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\Sahpark\개발 업무보고\2026\Lithos PJT\７／２３ＷＳ\"/>
    </mc:Choice>
  </mc:AlternateContent>
  <bookViews>
    <workbookView xWindow="-9690" yWindow="-16320" windowWidth="38490" windowHeight="15720" firstSheet="4" activeTab="4"/>
  </bookViews>
  <sheets>
    <sheet name="티저PV" sheetId="2" state="hidden" r:id="rId1"/>
    <sheet name="티져DB" sheetId="1" state="hidden" r:id="rId2"/>
    <sheet name="6월PV" sheetId="4" state="hidden" r:id="rId3"/>
    <sheet name="정리" sheetId="6" state="hidden" r:id="rId4"/>
    <sheet name="논의사항" sheetId="7" r:id="rId5"/>
    <sheet name="6월DB" sheetId="3" state="hidden" r:id="rId6"/>
    <sheet name="품질설비" sheetId="8" r:id="rId7"/>
    <sheet name="Sheet5" sheetId="5" state="hidden" r:id="rId8"/>
  </sheets>
  <externalReferences>
    <externalReference r:id="rId9"/>
  </externalReferences>
  <definedNames>
    <definedName name="_xlnm._FilterDatabase" localSheetId="5" hidden="1">'6월DB'!$I$4:$X$81</definedName>
    <definedName name="_xlnm._FilterDatabase" localSheetId="1" hidden="1">티져DB!$B$5:$BG$1000</definedName>
  </definedNames>
  <calcPr calcId="152511"/>
  <pivotCaches>
    <pivotCache cacheId="4" r:id="rId10"/>
    <pivotCache cacheId="5" r:id="rId11"/>
    <pivotCache cacheId="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5" i="8" l="1"/>
  <c r="J45" i="8"/>
  <c r="F42" i="8"/>
  <c r="F41" i="8"/>
  <c r="F40" i="8"/>
  <c r="F38" i="8"/>
  <c r="F37" i="8"/>
  <c r="K31" i="8"/>
  <c r="J31" i="8"/>
  <c r="E13" i="8"/>
  <c r="D13" i="8"/>
  <c r="Z80" i="3" l="1"/>
  <c r="Z79" i="3"/>
  <c r="Z75" i="3"/>
  <c r="Z74" i="3"/>
  <c r="Z73" i="3"/>
  <c r="Z72" i="3"/>
  <c r="Z70" i="3"/>
  <c r="Z69" i="3"/>
  <c r="Z64" i="3"/>
  <c r="Z63" i="3"/>
  <c r="Z62" i="3"/>
  <c r="Z60" i="3"/>
  <c r="Z59" i="3"/>
  <c r="Z45" i="3"/>
  <c r="Z44" i="3"/>
  <c r="Z42" i="3"/>
  <c r="Z41" i="3"/>
  <c r="Z40" i="3"/>
  <c r="Z39" i="3"/>
  <c r="Z38" i="3"/>
  <c r="Z37" i="3"/>
  <c r="Z36" i="3"/>
  <c r="Z34" i="3"/>
  <c r="Z33" i="3"/>
  <c r="Z19" i="3"/>
  <c r="Z15" i="3"/>
  <c r="Z12" i="3"/>
  <c r="Z11" i="3"/>
  <c r="Z9" i="3"/>
  <c r="Z6" i="3"/>
  <c r="Z2" i="3" l="1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L46" i="7"/>
  <c r="L45" i="7"/>
  <c r="L44" i="7"/>
  <c r="L12" i="6" l="1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11" i="6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5" i="3"/>
  <c r="Y2" i="3" s="1"/>
  <c r="T2" i="3"/>
  <c r="P2" i="3"/>
  <c r="E20" i="3"/>
  <c r="H20" i="3" s="1"/>
  <c r="H43" i="3"/>
  <c r="H48" i="3"/>
  <c r="G2" i="3"/>
  <c r="E6" i="3"/>
  <c r="H6" i="3" s="1"/>
  <c r="E7" i="3"/>
  <c r="H7" i="3" s="1"/>
  <c r="E8" i="3"/>
  <c r="H8" i="3" s="1"/>
  <c r="E9" i="3"/>
  <c r="H9" i="3" s="1"/>
  <c r="E10" i="3"/>
  <c r="H10" i="3" s="1"/>
  <c r="E11" i="3"/>
  <c r="H11" i="3" s="1"/>
  <c r="E12" i="3"/>
  <c r="H12" i="3" s="1"/>
  <c r="E13" i="3"/>
  <c r="H13" i="3" s="1"/>
  <c r="E14" i="3"/>
  <c r="H14" i="3" s="1"/>
  <c r="E15" i="3"/>
  <c r="H15" i="3" s="1"/>
  <c r="E16" i="3"/>
  <c r="H16" i="3" s="1"/>
  <c r="E17" i="3"/>
  <c r="H17" i="3" s="1"/>
  <c r="E18" i="3"/>
  <c r="H18" i="3" s="1"/>
  <c r="E19" i="3"/>
  <c r="H19" i="3" s="1"/>
  <c r="E21" i="3"/>
  <c r="H21" i="3" s="1"/>
  <c r="E22" i="3"/>
  <c r="H22" i="3" s="1"/>
  <c r="E23" i="3"/>
  <c r="H23" i="3" s="1"/>
  <c r="E24" i="3"/>
  <c r="H24" i="3" s="1"/>
  <c r="E25" i="3"/>
  <c r="H25" i="3" s="1"/>
  <c r="E26" i="3"/>
  <c r="H26" i="3" s="1"/>
  <c r="E27" i="3"/>
  <c r="H27" i="3" s="1"/>
  <c r="E28" i="3"/>
  <c r="H28" i="3" s="1"/>
  <c r="E29" i="3"/>
  <c r="H29" i="3" s="1"/>
  <c r="E30" i="3"/>
  <c r="H30" i="3" s="1"/>
  <c r="E31" i="3"/>
  <c r="H31" i="3" s="1"/>
  <c r="E32" i="3"/>
  <c r="H32" i="3" s="1"/>
  <c r="E33" i="3"/>
  <c r="H33" i="3" s="1"/>
  <c r="E34" i="3"/>
  <c r="H34" i="3" s="1"/>
  <c r="E35" i="3"/>
  <c r="H35" i="3" s="1"/>
  <c r="E36" i="3"/>
  <c r="H36" i="3" s="1"/>
  <c r="E37" i="3"/>
  <c r="H37" i="3" s="1"/>
  <c r="E38" i="3"/>
  <c r="H38" i="3" s="1"/>
  <c r="E39" i="3"/>
  <c r="H39" i="3" s="1"/>
  <c r="E40" i="3"/>
  <c r="H40" i="3" s="1"/>
  <c r="E41" i="3"/>
  <c r="H41" i="3" s="1"/>
  <c r="E42" i="3"/>
  <c r="H42" i="3" s="1"/>
  <c r="E43" i="3"/>
  <c r="E44" i="3"/>
  <c r="H44" i="3" s="1"/>
  <c r="E45" i="3"/>
  <c r="H45" i="3" s="1"/>
  <c r="E46" i="3"/>
  <c r="H46" i="3" s="1"/>
  <c r="E47" i="3"/>
  <c r="H47" i="3" s="1"/>
  <c r="E48" i="3"/>
  <c r="E49" i="3"/>
  <c r="H49" i="3" s="1"/>
  <c r="E50" i="3"/>
  <c r="H50" i="3" s="1"/>
  <c r="E51" i="3"/>
  <c r="H51" i="3" s="1"/>
  <c r="E52" i="3"/>
  <c r="H52" i="3" s="1"/>
  <c r="E53" i="3"/>
  <c r="H53" i="3" s="1"/>
  <c r="E54" i="3"/>
  <c r="H54" i="3" s="1"/>
  <c r="E55" i="3"/>
  <c r="H55" i="3" s="1"/>
  <c r="E56" i="3"/>
  <c r="H56" i="3" s="1"/>
  <c r="E57" i="3"/>
  <c r="H57" i="3" s="1"/>
  <c r="E58" i="3"/>
  <c r="H58" i="3" s="1"/>
  <c r="E59" i="3"/>
  <c r="H59" i="3" s="1"/>
  <c r="E60" i="3"/>
  <c r="H60" i="3" s="1"/>
  <c r="E61" i="3"/>
  <c r="H61" i="3" s="1"/>
  <c r="E62" i="3"/>
  <c r="H62" i="3" s="1"/>
  <c r="E63" i="3"/>
  <c r="H63" i="3" s="1"/>
  <c r="E64" i="3"/>
  <c r="H64" i="3" s="1"/>
  <c r="E65" i="3"/>
  <c r="H65" i="3" s="1"/>
  <c r="E66" i="3"/>
  <c r="H66" i="3" s="1"/>
  <c r="E67" i="3"/>
  <c r="H67" i="3" s="1"/>
  <c r="E68" i="3"/>
  <c r="H68" i="3" s="1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5" i="3"/>
  <c r="H5" i="3" s="1"/>
  <c r="X45" i="3"/>
  <c r="W45" i="3"/>
  <c r="AA45" i="3" s="1"/>
  <c r="V4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9" i="3"/>
  <c r="X80" i="3"/>
  <c r="X81" i="3"/>
  <c r="X5" i="3"/>
  <c r="V6" i="3"/>
  <c r="W6" i="3"/>
  <c r="AA6" i="3" s="1"/>
  <c r="V7" i="3"/>
  <c r="W7" i="3"/>
  <c r="AA7" i="3" s="1"/>
  <c r="V8" i="3"/>
  <c r="W8" i="3"/>
  <c r="AA8" i="3" s="1"/>
  <c r="V9" i="3"/>
  <c r="W9" i="3"/>
  <c r="AA9" i="3" s="1"/>
  <c r="V10" i="3"/>
  <c r="W10" i="3"/>
  <c r="AA10" i="3" s="1"/>
  <c r="V11" i="3"/>
  <c r="W11" i="3"/>
  <c r="AA11" i="3" s="1"/>
  <c r="V12" i="3"/>
  <c r="W12" i="3"/>
  <c r="AA12" i="3" s="1"/>
  <c r="V13" i="3"/>
  <c r="W13" i="3"/>
  <c r="AA13" i="3" s="1"/>
  <c r="V14" i="3"/>
  <c r="W14" i="3"/>
  <c r="AA14" i="3" s="1"/>
  <c r="V15" i="3"/>
  <c r="W15" i="3"/>
  <c r="AA15" i="3" s="1"/>
  <c r="V16" i="3"/>
  <c r="W16" i="3"/>
  <c r="AA16" i="3" s="1"/>
  <c r="V17" i="3"/>
  <c r="W17" i="3"/>
  <c r="AA17" i="3" s="1"/>
  <c r="V18" i="3"/>
  <c r="W18" i="3"/>
  <c r="AA18" i="3" s="1"/>
  <c r="V19" i="3"/>
  <c r="W19" i="3"/>
  <c r="AA19" i="3" s="1"/>
  <c r="V20" i="3"/>
  <c r="W20" i="3"/>
  <c r="AA20" i="3" s="1"/>
  <c r="V21" i="3"/>
  <c r="W21" i="3"/>
  <c r="AA21" i="3" s="1"/>
  <c r="V22" i="3"/>
  <c r="W22" i="3"/>
  <c r="AA22" i="3" s="1"/>
  <c r="V23" i="3"/>
  <c r="W23" i="3"/>
  <c r="AA23" i="3" s="1"/>
  <c r="V24" i="3"/>
  <c r="W24" i="3"/>
  <c r="AA24" i="3" s="1"/>
  <c r="V25" i="3"/>
  <c r="W25" i="3"/>
  <c r="AA25" i="3" s="1"/>
  <c r="V26" i="3"/>
  <c r="W26" i="3"/>
  <c r="AA26" i="3" s="1"/>
  <c r="V27" i="3"/>
  <c r="W27" i="3"/>
  <c r="AA27" i="3" s="1"/>
  <c r="V28" i="3"/>
  <c r="W28" i="3"/>
  <c r="AA28" i="3" s="1"/>
  <c r="V29" i="3"/>
  <c r="W29" i="3"/>
  <c r="AA29" i="3" s="1"/>
  <c r="V30" i="3"/>
  <c r="W30" i="3"/>
  <c r="AA30" i="3" s="1"/>
  <c r="V31" i="3"/>
  <c r="W31" i="3"/>
  <c r="AA31" i="3" s="1"/>
  <c r="V32" i="3"/>
  <c r="W32" i="3"/>
  <c r="AA32" i="3" s="1"/>
  <c r="V33" i="3"/>
  <c r="W33" i="3"/>
  <c r="AA33" i="3" s="1"/>
  <c r="V34" i="3"/>
  <c r="W34" i="3"/>
  <c r="AA34" i="3" s="1"/>
  <c r="V35" i="3"/>
  <c r="W35" i="3"/>
  <c r="AA35" i="3" s="1"/>
  <c r="V36" i="3"/>
  <c r="W36" i="3"/>
  <c r="AA36" i="3" s="1"/>
  <c r="V37" i="3"/>
  <c r="W37" i="3"/>
  <c r="AA37" i="3" s="1"/>
  <c r="V38" i="3"/>
  <c r="W38" i="3"/>
  <c r="AA38" i="3" s="1"/>
  <c r="V39" i="3"/>
  <c r="W39" i="3"/>
  <c r="AA39" i="3" s="1"/>
  <c r="V40" i="3"/>
  <c r="W40" i="3"/>
  <c r="AA40" i="3" s="1"/>
  <c r="V41" i="3"/>
  <c r="W41" i="3"/>
  <c r="AA41" i="3" s="1"/>
  <c r="V42" i="3"/>
  <c r="W42" i="3"/>
  <c r="AA42" i="3" s="1"/>
  <c r="V43" i="3"/>
  <c r="W43" i="3"/>
  <c r="AA43" i="3" s="1"/>
  <c r="V44" i="3"/>
  <c r="W44" i="3"/>
  <c r="AA44" i="3" s="1"/>
  <c r="V46" i="3"/>
  <c r="W46" i="3"/>
  <c r="AA46" i="3" s="1"/>
  <c r="V47" i="3"/>
  <c r="W47" i="3"/>
  <c r="AA47" i="3" s="1"/>
  <c r="V48" i="3"/>
  <c r="W48" i="3"/>
  <c r="AA48" i="3" s="1"/>
  <c r="V49" i="3"/>
  <c r="W49" i="3"/>
  <c r="AA49" i="3" s="1"/>
  <c r="V50" i="3"/>
  <c r="W50" i="3"/>
  <c r="AA50" i="3" s="1"/>
  <c r="V51" i="3"/>
  <c r="W51" i="3"/>
  <c r="AA51" i="3" s="1"/>
  <c r="V52" i="3"/>
  <c r="W52" i="3"/>
  <c r="AA52" i="3" s="1"/>
  <c r="V53" i="3"/>
  <c r="W53" i="3"/>
  <c r="AA53" i="3" s="1"/>
  <c r="V54" i="3"/>
  <c r="W54" i="3"/>
  <c r="AA54" i="3" s="1"/>
  <c r="V55" i="3"/>
  <c r="W55" i="3"/>
  <c r="AA55" i="3" s="1"/>
  <c r="V56" i="3"/>
  <c r="W56" i="3"/>
  <c r="AA56" i="3" s="1"/>
  <c r="V57" i="3"/>
  <c r="W57" i="3"/>
  <c r="AA57" i="3" s="1"/>
  <c r="V58" i="3"/>
  <c r="W58" i="3"/>
  <c r="AA58" i="3" s="1"/>
  <c r="V59" i="3"/>
  <c r="W59" i="3"/>
  <c r="AA59" i="3" s="1"/>
  <c r="V60" i="3"/>
  <c r="W60" i="3"/>
  <c r="AA60" i="3" s="1"/>
  <c r="V61" i="3"/>
  <c r="W61" i="3"/>
  <c r="AA61" i="3" s="1"/>
  <c r="V62" i="3"/>
  <c r="W62" i="3"/>
  <c r="AA62" i="3" s="1"/>
  <c r="V63" i="3"/>
  <c r="W63" i="3"/>
  <c r="AA63" i="3" s="1"/>
  <c r="V64" i="3"/>
  <c r="W64" i="3"/>
  <c r="AA64" i="3" s="1"/>
  <c r="V65" i="3"/>
  <c r="W65" i="3"/>
  <c r="AA65" i="3" s="1"/>
  <c r="V66" i="3"/>
  <c r="W66" i="3"/>
  <c r="AA66" i="3" s="1"/>
  <c r="V67" i="3"/>
  <c r="W67" i="3"/>
  <c r="AA67" i="3" s="1"/>
  <c r="V68" i="3"/>
  <c r="W68" i="3"/>
  <c r="AA68" i="3" s="1"/>
  <c r="V69" i="3"/>
  <c r="W69" i="3"/>
  <c r="AA69" i="3" s="1"/>
  <c r="V70" i="3"/>
  <c r="W70" i="3"/>
  <c r="AA70" i="3" s="1"/>
  <c r="V71" i="3"/>
  <c r="W71" i="3"/>
  <c r="AA71" i="3" s="1"/>
  <c r="V72" i="3"/>
  <c r="W72" i="3"/>
  <c r="AA72" i="3" s="1"/>
  <c r="V73" i="3"/>
  <c r="W73" i="3"/>
  <c r="AA73" i="3" s="1"/>
  <c r="V74" i="3"/>
  <c r="W74" i="3"/>
  <c r="AA74" i="3" s="1"/>
  <c r="V75" i="3"/>
  <c r="AA75" i="3"/>
  <c r="V79" i="3"/>
  <c r="W79" i="3"/>
  <c r="AA79" i="3" s="1"/>
  <c r="V80" i="3"/>
  <c r="W80" i="3"/>
  <c r="AA80" i="3" s="1"/>
  <c r="V81" i="3"/>
  <c r="W81" i="3"/>
  <c r="AA81" i="3" s="1"/>
  <c r="W5" i="3"/>
  <c r="AA5" i="3" s="1"/>
  <c r="V5" i="3"/>
  <c r="H2" i="3" l="1"/>
  <c r="BA843" i="1" l="1"/>
  <c r="BK843" i="1" s="1"/>
  <c r="BM843" i="1" s="1"/>
  <c r="BP843" i="1" s="1"/>
  <c r="BA842" i="1"/>
  <c r="BK842" i="1" s="1"/>
  <c r="BA841" i="1"/>
  <c r="BK841" i="1" s="1"/>
  <c r="BM841" i="1" s="1"/>
  <c r="BP841" i="1" s="1"/>
  <c r="BU840" i="1"/>
  <c r="BA840" i="1"/>
  <c r="BU839" i="1"/>
  <c r="BA839" i="1"/>
  <c r="BU838" i="1"/>
  <c r="BV838" i="1" s="1"/>
  <c r="BX838" i="1" s="1"/>
  <c r="BY838" i="1" s="1"/>
  <c r="BA838" i="1"/>
  <c r="BU837" i="1"/>
  <c r="BV837" i="1" s="1"/>
  <c r="BX837" i="1" s="1"/>
  <c r="BY837" i="1" s="1"/>
  <c r="BA837" i="1"/>
  <c r="BU836" i="1"/>
  <c r="BA836" i="1"/>
  <c r="BU835" i="1"/>
  <c r="BA835" i="1"/>
  <c r="BU834" i="1"/>
  <c r="BV834" i="1" s="1"/>
  <c r="BA834" i="1"/>
  <c r="BU833" i="1"/>
  <c r="BV833" i="1" s="1"/>
  <c r="BA833" i="1"/>
  <c r="BU832" i="1"/>
  <c r="BA832" i="1"/>
  <c r="BU831" i="1"/>
  <c r="BA831" i="1"/>
  <c r="BU830" i="1"/>
  <c r="BV830" i="1" s="1"/>
  <c r="BA830" i="1"/>
  <c r="BU829" i="1"/>
  <c r="BV829" i="1" s="1"/>
  <c r="BX829" i="1" s="1"/>
  <c r="BY829" i="1" s="1"/>
  <c r="BA829" i="1"/>
  <c r="BU828" i="1"/>
  <c r="BA828" i="1"/>
  <c r="BU827" i="1"/>
  <c r="BA827" i="1"/>
  <c r="BU826" i="1"/>
  <c r="BV826" i="1" s="1"/>
  <c r="BA826" i="1"/>
  <c r="BU825" i="1"/>
  <c r="BA825" i="1"/>
  <c r="BU824" i="1"/>
  <c r="BA824" i="1"/>
  <c r="BU823" i="1"/>
  <c r="BA823" i="1"/>
  <c r="BU822" i="1"/>
  <c r="BV822" i="1" s="1"/>
  <c r="BA822" i="1"/>
  <c r="BU821" i="1"/>
  <c r="BV821" i="1" s="1"/>
  <c r="BX821" i="1" s="1"/>
  <c r="BY821" i="1" s="1"/>
  <c r="BA821" i="1"/>
  <c r="BU820" i="1"/>
  <c r="BA820" i="1"/>
  <c r="BU819" i="1"/>
  <c r="BV819" i="1" s="1"/>
  <c r="BX819" i="1" s="1"/>
  <c r="BY819" i="1" s="1"/>
  <c r="BA819" i="1"/>
  <c r="BM818" i="1"/>
  <c r="BZ818" i="1" s="1"/>
  <c r="CA818" i="1" s="1"/>
  <c r="CC818" i="1" s="1"/>
  <c r="BL818" i="1"/>
  <c r="BA818" i="1"/>
  <c r="BA817" i="1"/>
  <c r="BK817" i="1" s="1"/>
  <c r="BM817" i="1" s="1"/>
  <c r="BP817" i="1" s="1"/>
  <c r="BA816" i="1"/>
  <c r="BK816" i="1" s="1"/>
  <c r="BM815" i="1"/>
  <c r="BU815" i="1" s="1"/>
  <c r="BL815" i="1"/>
  <c r="BA815" i="1"/>
  <c r="BA814" i="1"/>
  <c r="BK814" i="1" s="1"/>
  <c r="BA813" i="1"/>
  <c r="BK813" i="1" s="1"/>
  <c r="BM813" i="1" s="1"/>
  <c r="BP813" i="1" s="1"/>
  <c r="BQ813" i="1" s="1"/>
  <c r="BS813" i="1" s="1"/>
  <c r="BM812" i="1"/>
  <c r="BU812" i="1" s="1"/>
  <c r="BL812" i="1"/>
  <c r="BA812" i="1"/>
  <c r="BK812" i="1" s="1"/>
  <c r="BA811" i="1"/>
  <c r="BK811" i="1" s="1"/>
  <c r="BL811" i="1" s="1"/>
  <c r="BM810" i="1"/>
  <c r="BU810" i="1" s="1"/>
  <c r="BL810" i="1"/>
  <c r="BA810" i="1"/>
  <c r="BK810" i="1" s="1"/>
  <c r="BA809" i="1"/>
  <c r="BK809" i="1" s="1"/>
  <c r="BM809" i="1" s="1"/>
  <c r="BP809" i="1" s="1"/>
  <c r="BM808" i="1"/>
  <c r="BU808" i="1" s="1"/>
  <c r="BV808" i="1" s="1"/>
  <c r="BX808" i="1" s="1"/>
  <c r="BL808" i="1"/>
  <c r="BA808" i="1"/>
  <c r="BK808" i="1" s="1"/>
  <c r="BA807" i="1"/>
  <c r="BK807" i="1" s="1"/>
  <c r="BM806" i="1"/>
  <c r="BZ806" i="1" s="1"/>
  <c r="CA806" i="1" s="1"/>
  <c r="CC806" i="1" s="1"/>
  <c r="BL806" i="1"/>
  <c r="BA806" i="1"/>
  <c r="BK806" i="1" s="1"/>
  <c r="BA805" i="1"/>
  <c r="BK805" i="1" s="1"/>
  <c r="BM805" i="1" s="1"/>
  <c r="BP805" i="1" s="1"/>
  <c r="BQ805" i="1" s="1"/>
  <c r="BS805" i="1" s="1"/>
  <c r="BM804" i="1"/>
  <c r="BZ804" i="1" s="1"/>
  <c r="CA804" i="1" s="1"/>
  <c r="CC804" i="1" s="1"/>
  <c r="BL804" i="1"/>
  <c r="BA804" i="1"/>
  <c r="BK804" i="1" s="1"/>
  <c r="BA803" i="1"/>
  <c r="BK803" i="1" s="1"/>
  <c r="BM802" i="1"/>
  <c r="BU802" i="1" s="1"/>
  <c r="BL802" i="1"/>
  <c r="BA802" i="1"/>
  <c r="BK802" i="1" s="1"/>
  <c r="BA801" i="1"/>
  <c r="BK801" i="1" s="1"/>
  <c r="BU800" i="1"/>
  <c r="BA800" i="1"/>
  <c r="BU799" i="1"/>
  <c r="BA799" i="1"/>
  <c r="BU798" i="1"/>
  <c r="BA798" i="1"/>
  <c r="BU797" i="1"/>
  <c r="BV797" i="1" s="1"/>
  <c r="BX797" i="1" s="1"/>
  <c r="BY797" i="1" s="1"/>
  <c r="BA797" i="1"/>
  <c r="BU796" i="1"/>
  <c r="BA796" i="1"/>
  <c r="BU795" i="1"/>
  <c r="AU795" i="1"/>
  <c r="BA794" i="1"/>
  <c r="BK794" i="1" s="1"/>
  <c r="BA793" i="1"/>
  <c r="BK793" i="1" s="1"/>
  <c r="BL793" i="1" s="1"/>
  <c r="BM792" i="1"/>
  <c r="BZ792" i="1" s="1"/>
  <c r="CA792" i="1" s="1"/>
  <c r="CC792" i="1" s="1"/>
  <c r="BL792" i="1"/>
  <c r="BA792" i="1"/>
  <c r="BA791" i="1"/>
  <c r="BK791" i="1" s="1"/>
  <c r="BL791" i="1" s="1"/>
  <c r="BA790" i="1"/>
  <c r="BK790" i="1" s="1"/>
  <c r="BM789" i="1"/>
  <c r="BZ789" i="1" s="1"/>
  <c r="CA789" i="1" s="1"/>
  <c r="CC789" i="1" s="1"/>
  <c r="BL789" i="1"/>
  <c r="BI789" i="1"/>
  <c r="BB789" i="1"/>
  <c r="AL789" i="1"/>
  <c r="BI788" i="1"/>
  <c r="BB788" i="1"/>
  <c r="AL788" i="1"/>
  <c r="BI787" i="1"/>
  <c r="BB787" i="1"/>
  <c r="AL787" i="1"/>
  <c r="BI786" i="1"/>
  <c r="BB786" i="1"/>
  <c r="AL786" i="1"/>
  <c r="BI785" i="1"/>
  <c r="BB785" i="1"/>
  <c r="AL785" i="1"/>
  <c r="BI784" i="1"/>
  <c r="BB784" i="1"/>
  <c r="AL784" i="1"/>
  <c r="BI783" i="1"/>
  <c r="BB783" i="1"/>
  <c r="AL783" i="1"/>
  <c r="BI782" i="1"/>
  <c r="BB782" i="1"/>
  <c r="AL782" i="1"/>
  <c r="BI781" i="1"/>
  <c r="BB781" i="1"/>
  <c r="AL781" i="1"/>
  <c r="BI780" i="1"/>
  <c r="BB780" i="1"/>
  <c r="AL780" i="1"/>
  <c r="BI779" i="1"/>
  <c r="BB779" i="1"/>
  <c r="AL779" i="1"/>
  <c r="BI778" i="1"/>
  <c r="BB778" i="1"/>
  <c r="AL778" i="1"/>
  <c r="BI777" i="1"/>
  <c r="BB777" i="1"/>
  <c r="AL777" i="1"/>
  <c r="BI776" i="1"/>
  <c r="BB776" i="1"/>
  <c r="AL776" i="1"/>
  <c r="BI775" i="1"/>
  <c r="BB775" i="1"/>
  <c r="AL775" i="1"/>
  <c r="BI774" i="1"/>
  <c r="BB774" i="1"/>
  <c r="AL774" i="1"/>
  <c r="BI773" i="1"/>
  <c r="BB773" i="1"/>
  <c r="AL773" i="1"/>
  <c r="BI772" i="1"/>
  <c r="BB772" i="1"/>
  <c r="AL772" i="1"/>
  <c r="BI771" i="1"/>
  <c r="BB771" i="1"/>
  <c r="AL771" i="1"/>
  <c r="BI770" i="1"/>
  <c r="BB770" i="1"/>
  <c r="AL770" i="1"/>
  <c r="BI769" i="1"/>
  <c r="BB769" i="1"/>
  <c r="AL769" i="1"/>
  <c r="BI768" i="1"/>
  <c r="BB768" i="1"/>
  <c r="AL768" i="1"/>
  <c r="BI767" i="1"/>
  <c r="BB767" i="1"/>
  <c r="AL767" i="1"/>
  <c r="BI766" i="1"/>
  <c r="BB766" i="1"/>
  <c r="AL766" i="1"/>
  <c r="BI765" i="1"/>
  <c r="BB765" i="1"/>
  <c r="AL765" i="1"/>
  <c r="BI764" i="1"/>
  <c r="BB764" i="1"/>
  <c r="AL764" i="1"/>
  <c r="BI763" i="1"/>
  <c r="BB763" i="1"/>
  <c r="AL763" i="1"/>
  <c r="BI762" i="1"/>
  <c r="BB762" i="1"/>
  <c r="AL762" i="1"/>
  <c r="BI761" i="1"/>
  <c r="BB761" i="1"/>
  <c r="AL761" i="1"/>
  <c r="BI760" i="1"/>
  <c r="BB760" i="1"/>
  <c r="AL760" i="1"/>
  <c r="BI759" i="1"/>
  <c r="BB759" i="1"/>
  <c r="AL759" i="1"/>
  <c r="BI758" i="1"/>
  <c r="BB758" i="1"/>
  <c r="AL758" i="1"/>
  <c r="BI757" i="1"/>
  <c r="BB757" i="1"/>
  <c r="AL757" i="1"/>
  <c r="BI756" i="1"/>
  <c r="BB756" i="1"/>
  <c r="AL756" i="1"/>
  <c r="BI755" i="1"/>
  <c r="BB755" i="1"/>
  <c r="AL755" i="1"/>
  <c r="BI754" i="1"/>
  <c r="BB754" i="1"/>
  <c r="AL754" i="1"/>
  <c r="BI753" i="1"/>
  <c r="BB753" i="1"/>
  <c r="AL753" i="1"/>
  <c r="BI752" i="1"/>
  <c r="BB752" i="1"/>
  <c r="AL752" i="1"/>
  <c r="BI751" i="1"/>
  <c r="BB751" i="1"/>
  <c r="AL751" i="1"/>
  <c r="BI750" i="1"/>
  <c r="BB750" i="1"/>
  <c r="AL750" i="1"/>
  <c r="BI749" i="1"/>
  <c r="BB749" i="1"/>
  <c r="AL749" i="1"/>
  <c r="BI748" i="1"/>
  <c r="BB748" i="1"/>
  <c r="AL748" i="1"/>
  <c r="BI747" i="1"/>
  <c r="BB747" i="1"/>
  <c r="AL747" i="1"/>
  <c r="BI746" i="1"/>
  <c r="BB746" i="1"/>
  <c r="AL746" i="1"/>
  <c r="BI745" i="1"/>
  <c r="BB745" i="1"/>
  <c r="AL745" i="1"/>
  <c r="BI744" i="1"/>
  <c r="BB744" i="1"/>
  <c r="AL744" i="1"/>
  <c r="BI743" i="1"/>
  <c r="BB743" i="1"/>
  <c r="AL743" i="1"/>
  <c r="BI742" i="1"/>
  <c r="BB742" i="1"/>
  <c r="AL742" i="1"/>
  <c r="BI741" i="1"/>
  <c r="BB741" i="1"/>
  <c r="AL741" i="1"/>
  <c r="BI740" i="1"/>
  <c r="BB740" i="1"/>
  <c r="AL740" i="1"/>
  <c r="BI739" i="1"/>
  <c r="BB739" i="1"/>
  <c r="AL739" i="1"/>
  <c r="BI738" i="1"/>
  <c r="BB738" i="1"/>
  <c r="AL738" i="1"/>
  <c r="BI737" i="1"/>
  <c r="BB737" i="1"/>
  <c r="AL737" i="1"/>
  <c r="BI736" i="1"/>
  <c r="BB736" i="1"/>
  <c r="AL736" i="1"/>
  <c r="BI735" i="1"/>
  <c r="BB735" i="1"/>
  <c r="AL735" i="1"/>
  <c r="BI734" i="1"/>
  <c r="BB734" i="1"/>
  <c r="AL734" i="1"/>
  <c r="BI733" i="1"/>
  <c r="BB733" i="1"/>
  <c r="AL733" i="1"/>
  <c r="BI732" i="1"/>
  <c r="BB732" i="1"/>
  <c r="AL732" i="1"/>
  <c r="BI731" i="1"/>
  <c r="BB731" i="1"/>
  <c r="AL731" i="1"/>
  <c r="BI730" i="1"/>
  <c r="BB730" i="1"/>
  <c r="AL730" i="1"/>
  <c r="BI729" i="1"/>
  <c r="BB729" i="1"/>
  <c r="AL729" i="1"/>
  <c r="BI728" i="1"/>
  <c r="BB728" i="1"/>
  <c r="AL728" i="1"/>
  <c r="BI727" i="1"/>
  <c r="BB727" i="1"/>
  <c r="AL727" i="1"/>
  <c r="BI726" i="1"/>
  <c r="BB726" i="1"/>
  <c r="AL726" i="1"/>
  <c r="BI725" i="1"/>
  <c r="BB725" i="1"/>
  <c r="AL725" i="1"/>
  <c r="BI724" i="1"/>
  <c r="BB724" i="1"/>
  <c r="AL724" i="1"/>
  <c r="BI723" i="1"/>
  <c r="BB723" i="1"/>
  <c r="AL723" i="1"/>
  <c r="BI722" i="1"/>
  <c r="BB722" i="1"/>
  <c r="AL722" i="1"/>
  <c r="BI721" i="1"/>
  <c r="BB721" i="1"/>
  <c r="AL721" i="1"/>
  <c r="BI720" i="1"/>
  <c r="BB720" i="1"/>
  <c r="AL720" i="1"/>
  <c r="BI719" i="1"/>
  <c r="BB719" i="1"/>
  <c r="AL719" i="1"/>
  <c r="BI718" i="1"/>
  <c r="BB718" i="1"/>
  <c r="AL718" i="1"/>
  <c r="BI717" i="1"/>
  <c r="BB717" i="1"/>
  <c r="AL717" i="1"/>
  <c r="BI716" i="1"/>
  <c r="BB716" i="1"/>
  <c r="AL716" i="1"/>
  <c r="BI715" i="1"/>
  <c r="BB715" i="1"/>
  <c r="AL715" i="1"/>
  <c r="BI714" i="1"/>
  <c r="BB714" i="1"/>
  <c r="AL714" i="1"/>
  <c r="BI713" i="1"/>
  <c r="BB713" i="1"/>
  <c r="AL713" i="1"/>
  <c r="BI712" i="1"/>
  <c r="BB712" i="1"/>
  <c r="AL712" i="1"/>
  <c r="BI711" i="1"/>
  <c r="BB711" i="1"/>
  <c r="AL711" i="1"/>
  <c r="BI710" i="1"/>
  <c r="BB710" i="1"/>
  <c r="AL710" i="1"/>
  <c r="BI709" i="1"/>
  <c r="BB709" i="1"/>
  <c r="AL709" i="1"/>
  <c r="BI708" i="1"/>
  <c r="BB708" i="1"/>
  <c r="AL708" i="1"/>
  <c r="BI707" i="1"/>
  <c r="BB707" i="1"/>
  <c r="AL707" i="1"/>
  <c r="BI706" i="1"/>
  <c r="BB706" i="1"/>
  <c r="AL706" i="1"/>
  <c r="BI705" i="1"/>
  <c r="BB705" i="1"/>
  <c r="AL705" i="1"/>
  <c r="BI704" i="1"/>
  <c r="BB704" i="1"/>
  <c r="AL704" i="1"/>
  <c r="BI703" i="1"/>
  <c r="BB703" i="1"/>
  <c r="AL703" i="1"/>
  <c r="BI702" i="1"/>
  <c r="BB702" i="1"/>
  <c r="AL702" i="1"/>
  <c r="BI701" i="1"/>
  <c r="BB701" i="1"/>
  <c r="AL701" i="1"/>
  <c r="BI700" i="1"/>
  <c r="BB700" i="1"/>
  <c r="AL700" i="1"/>
  <c r="BI699" i="1"/>
  <c r="BB699" i="1"/>
  <c r="AL699" i="1"/>
  <c r="BI698" i="1"/>
  <c r="BB698" i="1"/>
  <c r="AL698" i="1"/>
  <c r="BI697" i="1"/>
  <c r="BB697" i="1"/>
  <c r="AL697" i="1"/>
  <c r="BI696" i="1"/>
  <c r="BB696" i="1"/>
  <c r="AL696" i="1"/>
  <c r="BI695" i="1"/>
  <c r="BB695" i="1"/>
  <c r="AL695" i="1"/>
  <c r="BI694" i="1"/>
  <c r="BB694" i="1"/>
  <c r="AL694" i="1"/>
  <c r="BI693" i="1"/>
  <c r="BB693" i="1"/>
  <c r="AL693" i="1"/>
  <c r="BI692" i="1"/>
  <c r="BB692" i="1"/>
  <c r="AL692" i="1"/>
  <c r="BI691" i="1"/>
  <c r="BB691" i="1"/>
  <c r="AL691" i="1"/>
  <c r="BI690" i="1"/>
  <c r="BB690" i="1"/>
  <c r="AL690" i="1"/>
  <c r="BI689" i="1"/>
  <c r="BB689" i="1"/>
  <c r="AL689" i="1"/>
  <c r="BI688" i="1"/>
  <c r="BB688" i="1"/>
  <c r="AL688" i="1"/>
  <c r="BI687" i="1"/>
  <c r="BB687" i="1"/>
  <c r="AL687" i="1"/>
  <c r="BI686" i="1"/>
  <c r="BB686" i="1"/>
  <c r="AL686" i="1"/>
  <c r="BI685" i="1"/>
  <c r="BB685" i="1"/>
  <c r="AL685" i="1"/>
  <c r="BI684" i="1"/>
  <c r="BB684" i="1"/>
  <c r="AL684" i="1"/>
  <c r="BI683" i="1"/>
  <c r="BB683" i="1"/>
  <c r="AL683" i="1"/>
  <c r="BI682" i="1"/>
  <c r="BB682" i="1"/>
  <c r="AL682" i="1"/>
  <c r="BI681" i="1"/>
  <c r="BB681" i="1"/>
  <c r="AL681" i="1"/>
  <c r="BI680" i="1"/>
  <c r="BB680" i="1"/>
  <c r="AL680" i="1"/>
  <c r="BI679" i="1"/>
  <c r="BB679" i="1"/>
  <c r="AL679" i="1"/>
  <c r="BI678" i="1"/>
  <c r="BB678" i="1"/>
  <c r="AL678" i="1"/>
  <c r="BI677" i="1"/>
  <c r="BB677" i="1"/>
  <c r="AL677" i="1"/>
  <c r="BI676" i="1"/>
  <c r="BB676" i="1"/>
  <c r="AL676" i="1"/>
  <c r="BI675" i="1"/>
  <c r="BB675" i="1"/>
  <c r="AL675" i="1"/>
  <c r="BI674" i="1"/>
  <c r="BB674" i="1"/>
  <c r="AL674" i="1"/>
  <c r="BI673" i="1"/>
  <c r="BB673" i="1"/>
  <c r="AL673" i="1"/>
  <c r="BI672" i="1"/>
  <c r="BB672" i="1"/>
  <c r="AL672" i="1"/>
  <c r="BI671" i="1"/>
  <c r="BB671" i="1"/>
  <c r="AL671" i="1"/>
  <c r="BI670" i="1"/>
  <c r="BB670" i="1"/>
  <c r="AL670" i="1"/>
  <c r="BI669" i="1"/>
  <c r="BB669" i="1"/>
  <c r="AL669" i="1"/>
  <c r="BI668" i="1"/>
  <c r="BB668" i="1"/>
  <c r="AL668" i="1"/>
  <c r="BI667" i="1"/>
  <c r="BB667" i="1"/>
  <c r="AL667" i="1"/>
  <c r="BI666" i="1"/>
  <c r="BB666" i="1"/>
  <c r="AL666" i="1"/>
  <c r="BI665" i="1"/>
  <c r="BB665" i="1"/>
  <c r="AL665" i="1"/>
  <c r="BI664" i="1"/>
  <c r="BB664" i="1"/>
  <c r="AL664" i="1"/>
  <c r="BI663" i="1"/>
  <c r="BB663" i="1"/>
  <c r="AL663" i="1"/>
  <c r="BI662" i="1"/>
  <c r="BB662" i="1"/>
  <c r="AL662" i="1"/>
  <c r="BI661" i="1"/>
  <c r="BB661" i="1"/>
  <c r="AL661" i="1"/>
  <c r="BI660" i="1"/>
  <c r="BB660" i="1"/>
  <c r="AL660" i="1"/>
  <c r="BI659" i="1"/>
  <c r="BB659" i="1"/>
  <c r="AL659" i="1"/>
  <c r="BI658" i="1"/>
  <c r="BB658" i="1"/>
  <c r="AL658" i="1"/>
  <c r="BI657" i="1"/>
  <c r="BB657" i="1"/>
  <c r="AL657" i="1"/>
  <c r="BI656" i="1"/>
  <c r="BB656" i="1"/>
  <c r="AL656" i="1"/>
  <c r="BI655" i="1"/>
  <c r="BB655" i="1"/>
  <c r="AL655" i="1"/>
  <c r="BI654" i="1"/>
  <c r="BB654" i="1"/>
  <c r="AL654" i="1"/>
  <c r="BI653" i="1"/>
  <c r="BB653" i="1"/>
  <c r="AL653" i="1"/>
  <c r="BI652" i="1"/>
  <c r="BB652" i="1"/>
  <c r="AL652" i="1"/>
  <c r="BI651" i="1"/>
  <c r="BB651" i="1"/>
  <c r="AL651" i="1"/>
  <c r="BI650" i="1"/>
  <c r="BB650" i="1"/>
  <c r="AL650" i="1"/>
  <c r="BI649" i="1"/>
  <c r="BB649" i="1"/>
  <c r="AL649" i="1"/>
  <c r="BI648" i="1"/>
  <c r="BB648" i="1"/>
  <c r="AL648" i="1"/>
  <c r="BI647" i="1"/>
  <c r="BB647" i="1"/>
  <c r="AL647" i="1"/>
  <c r="BI646" i="1"/>
  <c r="BB646" i="1"/>
  <c r="AL646" i="1"/>
  <c r="BI645" i="1"/>
  <c r="BB645" i="1"/>
  <c r="AL645" i="1"/>
  <c r="BI644" i="1"/>
  <c r="BB644" i="1"/>
  <c r="AL644" i="1"/>
  <c r="BI643" i="1"/>
  <c r="BB643" i="1"/>
  <c r="AL643" i="1"/>
  <c r="BI642" i="1"/>
  <c r="BB642" i="1"/>
  <c r="AL642" i="1"/>
  <c r="BI641" i="1"/>
  <c r="BB641" i="1"/>
  <c r="AL641" i="1"/>
  <c r="BI640" i="1"/>
  <c r="BB640" i="1"/>
  <c r="AL640" i="1"/>
  <c r="BI639" i="1"/>
  <c r="BB639" i="1"/>
  <c r="AL639" i="1"/>
  <c r="BI638" i="1"/>
  <c r="BB638" i="1"/>
  <c r="AL638" i="1"/>
  <c r="BI637" i="1"/>
  <c r="BB637" i="1"/>
  <c r="AL637" i="1"/>
  <c r="BI636" i="1"/>
  <c r="BB636" i="1"/>
  <c r="AL636" i="1"/>
  <c r="BI635" i="1"/>
  <c r="BB635" i="1"/>
  <c r="AL635" i="1"/>
  <c r="BI634" i="1"/>
  <c r="BB634" i="1"/>
  <c r="AL634" i="1"/>
  <c r="BI633" i="1"/>
  <c r="BB633" i="1"/>
  <c r="AL633" i="1"/>
  <c r="BI632" i="1"/>
  <c r="BB632" i="1"/>
  <c r="AL632" i="1"/>
  <c r="BI631" i="1"/>
  <c r="BB631" i="1"/>
  <c r="AL631" i="1"/>
  <c r="BI630" i="1"/>
  <c r="BB630" i="1"/>
  <c r="AL630" i="1"/>
  <c r="BI629" i="1"/>
  <c r="BB629" i="1"/>
  <c r="AL629" i="1"/>
  <c r="BI628" i="1"/>
  <c r="BB628" i="1"/>
  <c r="AL628" i="1"/>
  <c r="BI627" i="1"/>
  <c r="BB627" i="1"/>
  <c r="AL627" i="1"/>
  <c r="BI626" i="1"/>
  <c r="BB626" i="1"/>
  <c r="AL626" i="1"/>
  <c r="BI625" i="1"/>
  <c r="BB625" i="1"/>
  <c r="AL625" i="1"/>
  <c r="BI624" i="1"/>
  <c r="BB624" i="1"/>
  <c r="AL624" i="1"/>
  <c r="BI623" i="1"/>
  <c r="BB623" i="1"/>
  <c r="AL623" i="1"/>
  <c r="BI622" i="1"/>
  <c r="BB622" i="1"/>
  <c r="AL622" i="1"/>
  <c r="BI621" i="1"/>
  <c r="BB621" i="1"/>
  <c r="AL621" i="1"/>
  <c r="BI620" i="1"/>
  <c r="BB620" i="1"/>
  <c r="AL620" i="1"/>
  <c r="BI619" i="1"/>
  <c r="BB619" i="1"/>
  <c r="AL619" i="1"/>
  <c r="BI618" i="1"/>
  <c r="BB618" i="1"/>
  <c r="AL618" i="1"/>
  <c r="BI617" i="1"/>
  <c r="BB617" i="1"/>
  <c r="AL617" i="1"/>
  <c r="BI616" i="1"/>
  <c r="BB616" i="1"/>
  <c r="AL616" i="1"/>
  <c r="BI615" i="1"/>
  <c r="BB615" i="1"/>
  <c r="AL615" i="1"/>
  <c r="BI614" i="1"/>
  <c r="BB614" i="1"/>
  <c r="AL614" i="1"/>
  <c r="BI613" i="1"/>
  <c r="BB613" i="1"/>
  <c r="AL613" i="1"/>
  <c r="BI612" i="1"/>
  <c r="BB612" i="1"/>
  <c r="AL612" i="1"/>
  <c r="BI611" i="1"/>
  <c r="BB611" i="1"/>
  <c r="AL611" i="1"/>
  <c r="BI610" i="1"/>
  <c r="BB610" i="1"/>
  <c r="AL610" i="1"/>
  <c r="BI609" i="1"/>
  <c r="BB609" i="1"/>
  <c r="AL609" i="1"/>
  <c r="BI608" i="1"/>
  <c r="BB608" i="1"/>
  <c r="AL608" i="1"/>
  <c r="BI607" i="1"/>
  <c r="BB607" i="1"/>
  <c r="AL607" i="1"/>
  <c r="BI606" i="1"/>
  <c r="BB606" i="1"/>
  <c r="AL606" i="1"/>
  <c r="BI605" i="1"/>
  <c r="BB605" i="1"/>
  <c r="AL605" i="1"/>
  <c r="BI604" i="1"/>
  <c r="BB604" i="1"/>
  <c r="AL604" i="1"/>
  <c r="BI603" i="1"/>
  <c r="BB603" i="1"/>
  <c r="AL603" i="1"/>
  <c r="BI602" i="1"/>
  <c r="BB602" i="1"/>
  <c r="AL602" i="1"/>
  <c r="BI601" i="1"/>
  <c r="BB601" i="1"/>
  <c r="AL601" i="1"/>
  <c r="Q601" i="1"/>
  <c r="BI600" i="1"/>
  <c r="BB600" i="1"/>
  <c r="AL600" i="1"/>
  <c r="BI599" i="1"/>
  <c r="BB599" i="1"/>
  <c r="AL599" i="1"/>
  <c r="BI598" i="1"/>
  <c r="BB598" i="1"/>
  <c r="AL598" i="1"/>
  <c r="BI597" i="1"/>
  <c r="BB597" i="1"/>
  <c r="AL597" i="1"/>
  <c r="BI596" i="1"/>
  <c r="BB596" i="1"/>
  <c r="AL596" i="1"/>
  <c r="BI595" i="1"/>
  <c r="BB595" i="1"/>
  <c r="AL595" i="1"/>
  <c r="BI594" i="1"/>
  <c r="BB594" i="1"/>
  <c r="AL594" i="1"/>
  <c r="BI593" i="1"/>
  <c r="BB593" i="1"/>
  <c r="AL593" i="1"/>
  <c r="BI592" i="1"/>
  <c r="BB592" i="1"/>
  <c r="AL592" i="1"/>
  <c r="BI591" i="1"/>
  <c r="BB591" i="1"/>
  <c r="AL591" i="1"/>
  <c r="BI590" i="1"/>
  <c r="BB590" i="1"/>
  <c r="AL590" i="1"/>
  <c r="BI589" i="1"/>
  <c r="BB589" i="1"/>
  <c r="AL589" i="1"/>
  <c r="BI588" i="1"/>
  <c r="BB588" i="1"/>
  <c r="AL588" i="1"/>
  <c r="BI587" i="1"/>
  <c r="BB587" i="1"/>
  <c r="AL587" i="1"/>
  <c r="BI586" i="1"/>
  <c r="BB586" i="1"/>
  <c r="AL586" i="1"/>
  <c r="BI585" i="1"/>
  <c r="BB585" i="1"/>
  <c r="AL585" i="1"/>
  <c r="BI584" i="1"/>
  <c r="BB584" i="1"/>
  <c r="AL584" i="1"/>
  <c r="BI583" i="1"/>
  <c r="BB583" i="1"/>
  <c r="AL583" i="1"/>
  <c r="BI582" i="1"/>
  <c r="BB582" i="1"/>
  <c r="AL582" i="1"/>
  <c r="BI581" i="1"/>
  <c r="BB581" i="1"/>
  <c r="AL581" i="1"/>
  <c r="BI580" i="1"/>
  <c r="BB580" i="1"/>
  <c r="AL580" i="1"/>
  <c r="BI579" i="1"/>
  <c r="BB579" i="1"/>
  <c r="AL579" i="1"/>
  <c r="BI578" i="1"/>
  <c r="BB578" i="1"/>
  <c r="AL578" i="1"/>
  <c r="BI577" i="1"/>
  <c r="BB577" i="1"/>
  <c r="AL577" i="1"/>
  <c r="BI576" i="1"/>
  <c r="BB576" i="1"/>
  <c r="AL576" i="1"/>
  <c r="BI575" i="1"/>
  <c r="BB575" i="1"/>
  <c r="AL575" i="1"/>
  <c r="BI574" i="1"/>
  <c r="BB574" i="1"/>
  <c r="AL574" i="1"/>
  <c r="BI573" i="1"/>
  <c r="BB573" i="1"/>
  <c r="AL573" i="1"/>
  <c r="BI572" i="1"/>
  <c r="BB572" i="1"/>
  <c r="AL572" i="1"/>
  <c r="BI571" i="1"/>
  <c r="BB571" i="1"/>
  <c r="AL571" i="1"/>
  <c r="BI570" i="1"/>
  <c r="BB570" i="1"/>
  <c r="AL570" i="1"/>
  <c r="BI569" i="1"/>
  <c r="BB569" i="1"/>
  <c r="AL569" i="1"/>
  <c r="BI568" i="1"/>
  <c r="BB568" i="1"/>
  <c r="AL568" i="1"/>
  <c r="BI567" i="1"/>
  <c r="BB567" i="1"/>
  <c r="AL567" i="1"/>
  <c r="BI566" i="1"/>
  <c r="BB566" i="1"/>
  <c r="AL566" i="1"/>
  <c r="BI565" i="1"/>
  <c r="BB565" i="1"/>
  <c r="AL565" i="1"/>
  <c r="BI564" i="1"/>
  <c r="BB564" i="1"/>
  <c r="AL564" i="1"/>
  <c r="BI563" i="1"/>
  <c r="BB563" i="1"/>
  <c r="AL563" i="1"/>
  <c r="BI562" i="1"/>
  <c r="BB562" i="1"/>
  <c r="AL562" i="1"/>
  <c r="BI561" i="1"/>
  <c r="BB561" i="1"/>
  <c r="AL561" i="1"/>
  <c r="BI560" i="1"/>
  <c r="BB560" i="1"/>
  <c r="AL560" i="1"/>
  <c r="BI559" i="1"/>
  <c r="BB559" i="1"/>
  <c r="AL559" i="1"/>
  <c r="BI558" i="1"/>
  <c r="BB558" i="1"/>
  <c r="AL558" i="1"/>
  <c r="BI557" i="1"/>
  <c r="BB557" i="1"/>
  <c r="AL557" i="1"/>
  <c r="BI556" i="1"/>
  <c r="BB556" i="1"/>
  <c r="AL556" i="1"/>
  <c r="BI555" i="1"/>
  <c r="BB555" i="1"/>
  <c r="AL555" i="1"/>
  <c r="BI554" i="1"/>
  <c r="BB554" i="1"/>
  <c r="AL554" i="1"/>
  <c r="BI553" i="1"/>
  <c r="BB553" i="1"/>
  <c r="AL553" i="1"/>
  <c r="BI552" i="1"/>
  <c r="BB552" i="1"/>
  <c r="AL552" i="1"/>
  <c r="BI551" i="1"/>
  <c r="BB551" i="1"/>
  <c r="AL551" i="1"/>
  <c r="BI550" i="1"/>
  <c r="BB550" i="1"/>
  <c r="AL550" i="1"/>
  <c r="BI549" i="1"/>
  <c r="BB549" i="1"/>
  <c r="AL549" i="1"/>
  <c r="BI548" i="1"/>
  <c r="BB548" i="1"/>
  <c r="AL548" i="1"/>
  <c r="BI547" i="1"/>
  <c r="BB547" i="1"/>
  <c r="AL547" i="1"/>
  <c r="BI546" i="1"/>
  <c r="BB546" i="1"/>
  <c r="AL546" i="1"/>
  <c r="BI545" i="1"/>
  <c r="BB545" i="1"/>
  <c r="AL545" i="1"/>
  <c r="BI544" i="1"/>
  <c r="BB544" i="1"/>
  <c r="AL544" i="1"/>
  <c r="BI543" i="1"/>
  <c r="BB543" i="1"/>
  <c r="AL543" i="1"/>
  <c r="BI542" i="1"/>
  <c r="BB542" i="1"/>
  <c r="AL542" i="1"/>
  <c r="BI541" i="1"/>
  <c r="BB541" i="1"/>
  <c r="AL541" i="1"/>
  <c r="BI540" i="1"/>
  <c r="BB540" i="1"/>
  <c r="AL540" i="1"/>
  <c r="BI539" i="1"/>
  <c r="BB539" i="1"/>
  <c r="AL539" i="1"/>
  <c r="BI538" i="1"/>
  <c r="BB538" i="1"/>
  <c r="AL538" i="1"/>
  <c r="BI537" i="1"/>
  <c r="BB537" i="1"/>
  <c r="AL537" i="1"/>
  <c r="BI536" i="1"/>
  <c r="BB536" i="1"/>
  <c r="AL536" i="1"/>
  <c r="BI535" i="1"/>
  <c r="BB535" i="1"/>
  <c r="AL535" i="1"/>
  <c r="BI534" i="1"/>
  <c r="BB534" i="1"/>
  <c r="AL534" i="1"/>
  <c r="BI533" i="1"/>
  <c r="BB533" i="1"/>
  <c r="AL533" i="1"/>
  <c r="BI532" i="1"/>
  <c r="BB532" i="1"/>
  <c r="AL532" i="1"/>
  <c r="BI531" i="1"/>
  <c r="BB531" i="1"/>
  <c r="AL531" i="1"/>
  <c r="BI530" i="1"/>
  <c r="BB530" i="1"/>
  <c r="AL530" i="1"/>
  <c r="BI529" i="1"/>
  <c r="BB529" i="1"/>
  <c r="AL529" i="1"/>
  <c r="BI528" i="1"/>
  <c r="BB528" i="1"/>
  <c r="AL528" i="1"/>
  <c r="BI527" i="1"/>
  <c r="BB527" i="1"/>
  <c r="AL527" i="1"/>
  <c r="BI526" i="1"/>
  <c r="BB526" i="1"/>
  <c r="AL526" i="1"/>
  <c r="BI525" i="1"/>
  <c r="BB525" i="1"/>
  <c r="AL525" i="1"/>
  <c r="BI524" i="1"/>
  <c r="BB524" i="1"/>
  <c r="AL524" i="1"/>
  <c r="BI523" i="1"/>
  <c r="BB523" i="1"/>
  <c r="AL523" i="1"/>
  <c r="BI522" i="1"/>
  <c r="BB522" i="1"/>
  <c r="AL522" i="1"/>
  <c r="BI521" i="1"/>
  <c r="BB521" i="1"/>
  <c r="AL521" i="1"/>
  <c r="BI520" i="1"/>
  <c r="BB520" i="1"/>
  <c r="AL520" i="1"/>
  <c r="BI519" i="1"/>
  <c r="BB519" i="1"/>
  <c r="AL519" i="1"/>
  <c r="BI518" i="1"/>
  <c r="BB518" i="1"/>
  <c r="AL518" i="1"/>
  <c r="BI517" i="1"/>
  <c r="BB517" i="1"/>
  <c r="AL517" i="1"/>
  <c r="BI516" i="1"/>
  <c r="BB516" i="1"/>
  <c r="AL516" i="1"/>
  <c r="BI515" i="1"/>
  <c r="BB515" i="1"/>
  <c r="AL515" i="1"/>
  <c r="BI514" i="1"/>
  <c r="BB514" i="1"/>
  <c r="AL514" i="1"/>
  <c r="BI513" i="1"/>
  <c r="BB513" i="1"/>
  <c r="AL513" i="1"/>
  <c r="BI512" i="1"/>
  <c r="BB512" i="1"/>
  <c r="AL512" i="1"/>
  <c r="BI511" i="1"/>
  <c r="BB511" i="1"/>
  <c r="AL511" i="1"/>
  <c r="BI510" i="1"/>
  <c r="BB510" i="1"/>
  <c r="AL510" i="1"/>
  <c r="BI509" i="1"/>
  <c r="BB509" i="1"/>
  <c r="AL509" i="1"/>
  <c r="BI508" i="1"/>
  <c r="BB508" i="1"/>
  <c r="AL508" i="1"/>
  <c r="BI507" i="1"/>
  <c r="BB507" i="1"/>
  <c r="AL507" i="1"/>
  <c r="BI506" i="1"/>
  <c r="BB506" i="1"/>
  <c r="AL506" i="1"/>
  <c r="BI505" i="1"/>
  <c r="BB505" i="1"/>
  <c r="AL505" i="1"/>
  <c r="BI504" i="1"/>
  <c r="BB504" i="1"/>
  <c r="AL504" i="1"/>
  <c r="BI503" i="1"/>
  <c r="BB503" i="1"/>
  <c r="AL503" i="1"/>
  <c r="BI502" i="1"/>
  <c r="BB502" i="1"/>
  <c r="AL502" i="1"/>
  <c r="BI501" i="1"/>
  <c r="BB501" i="1"/>
  <c r="AL501" i="1"/>
  <c r="BI500" i="1"/>
  <c r="BB500" i="1"/>
  <c r="AL500" i="1"/>
  <c r="BI499" i="1"/>
  <c r="BB499" i="1"/>
  <c r="AL499" i="1"/>
  <c r="BI498" i="1"/>
  <c r="BB498" i="1"/>
  <c r="AL498" i="1"/>
  <c r="BV497" i="1"/>
  <c r="BX497" i="1" s="1"/>
  <c r="BY497" i="1" s="1"/>
  <c r="BZ497" i="1" s="1"/>
  <c r="CA497" i="1" s="1"/>
  <c r="CC497" i="1" s="1"/>
  <c r="BR497" i="1"/>
  <c r="BI497" i="1"/>
  <c r="BB497" i="1"/>
  <c r="AL497" i="1"/>
  <c r="BV496" i="1"/>
  <c r="BX496" i="1" s="1"/>
  <c r="BY496" i="1" s="1"/>
  <c r="BZ496" i="1" s="1"/>
  <c r="CA496" i="1" s="1"/>
  <c r="CC496" i="1" s="1"/>
  <c r="BQ496" i="1"/>
  <c r="BR496" i="1" s="1"/>
  <c r="BI496" i="1"/>
  <c r="BB496" i="1"/>
  <c r="AL496" i="1"/>
  <c r="BI495" i="1"/>
  <c r="BB495" i="1"/>
  <c r="AL495" i="1"/>
  <c r="BI494" i="1"/>
  <c r="BB494" i="1"/>
  <c r="AL494" i="1"/>
  <c r="Q494" i="1"/>
  <c r="BI493" i="1"/>
  <c r="BB493" i="1"/>
  <c r="AL493" i="1"/>
  <c r="BI492" i="1"/>
  <c r="BB492" i="1"/>
  <c r="AL492" i="1"/>
  <c r="BI491" i="1"/>
  <c r="BB491" i="1"/>
  <c r="AL491" i="1"/>
  <c r="BI490" i="1"/>
  <c r="BB490" i="1"/>
  <c r="AL490" i="1"/>
  <c r="BI489" i="1"/>
  <c r="BB489" i="1"/>
  <c r="AL489" i="1"/>
  <c r="BI488" i="1"/>
  <c r="BB488" i="1"/>
  <c r="AL488" i="1"/>
  <c r="BI487" i="1"/>
  <c r="BB487" i="1"/>
  <c r="AL487" i="1"/>
  <c r="BI486" i="1"/>
  <c r="BB486" i="1"/>
  <c r="AL486" i="1"/>
  <c r="BI485" i="1"/>
  <c r="BB485" i="1"/>
  <c r="AL485" i="1"/>
  <c r="BI484" i="1"/>
  <c r="BB484" i="1"/>
  <c r="AL484" i="1"/>
  <c r="BI483" i="1"/>
  <c r="BB483" i="1"/>
  <c r="AL483" i="1"/>
  <c r="BI482" i="1"/>
  <c r="BB482" i="1"/>
  <c r="AL482" i="1"/>
  <c r="BI481" i="1"/>
  <c r="BB481" i="1"/>
  <c r="AL481" i="1"/>
  <c r="BI480" i="1"/>
  <c r="BB480" i="1"/>
  <c r="AL480" i="1"/>
  <c r="BI479" i="1"/>
  <c r="BB479" i="1"/>
  <c r="AL479" i="1"/>
  <c r="BI478" i="1"/>
  <c r="BB478" i="1"/>
  <c r="AL478" i="1"/>
  <c r="BI477" i="1"/>
  <c r="BB477" i="1"/>
  <c r="AL477" i="1"/>
  <c r="BI476" i="1"/>
  <c r="BB476" i="1"/>
  <c r="AL476" i="1"/>
  <c r="BI475" i="1"/>
  <c r="BB475" i="1"/>
  <c r="AL475" i="1"/>
  <c r="BI474" i="1"/>
  <c r="BB474" i="1"/>
  <c r="AL474" i="1"/>
  <c r="BI473" i="1"/>
  <c r="BB473" i="1"/>
  <c r="AL473" i="1"/>
  <c r="BI472" i="1"/>
  <c r="BB472" i="1"/>
  <c r="AL472" i="1"/>
  <c r="BI471" i="1"/>
  <c r="BB471" i="1"/>
  <c r="AL471" i="1"/>
  <c r="BI470" i="1"/>
  <c r="BB470" i="1"/>
  <c r="AL470" i="1"/>
  <c r="BI469" i="1"/>
  <c r="BB469" i="1"/>
  <c r="AL469" i="1"/>
  <c r="BI468" i="1"/>
  <c r="BB468" i="1"/>
  <c r="AL468" i="1"/>
  <c r="BI467" i="1"/>
  <c r="BB467" i="1"/>
  <c r="AL467" i="1"/>
  <c r="BI466" i="1"/>
  <c r="BB466" i="1"/>
  <c r="AL466" i="1"/>
  <c r="BI465" i="1"/>
  <c r="BB465" i="1"/>
  <c r="AL465" i="1"/>
  <c r="BI464" i="1"/>
  <c r="BB464" i="1"/>
  <c r="AL464" i="1"/>
  <c r="BI463" i="1"/>
  <c r="BB463" i="1"/>
  <c r="AL463" i="1"/>
  <c r="BI462" i="1"/>
  <c r="BB462" i="1"/>
  <c r="AL462" i="1"/>
  <c r="BI461" i="1"/>
  <c r="BB461" i="1"/>
  <c r="AL461" i="1"/>
  <c r="BI460" i="1"/>
  <c r="BB460" i="1"/>
  <c r="AL460" i="1"/>
  <c r="BI459" i="1"/>
  <c r="BB459" i="1"/>
  <c r="AL459" i="1"/>
  <c r="BI458" i="1"/>
  <c r="BB458" i="1"/>
  <c r="AL458" i="1"/>
  <c r="BI457" i="1"/>
  <c r="BB457" i="1"/>
  <c r="AL457" i="1"/>
  <c r="BI456" i="1"/>
  <c r="BB456" i="1"/>
  <c r="AL456" i="1"/>
  <c r="Q456" i="1"/>
  <c r="BI455" i="1"/>
  <c r="BB455" i="1"/>
  <c r="AL455" i="1"/>
  <c r="Q455" i="1"/>
  <c r="BI454" i="1"/>
  <c r="BB454" i="1"/>
  <c r="AL454" i="1"/>
  <c r="BI453" i="1"/>
  <c r="BB453" i="1"/>
  <c r="AL453" i="1"/>
  <c r="BI452" i="1"/>
  <c r="BB452" i="1"/>
  <c r="AL452" i="1"/>
  <c r="BI451" i="1"/>
  <c r="BB451" i="1"/>
  <c r="AL451" i="1"/>
  <c r="BI450" i="1"/>
  <c r="BB450" i="1"/>
  <c r="AL450" i="1"/>
  <c r="Q450" i="1"/>
  <c r="BI449" i="1"/>
  <c r="BB449" i="1"/>
  <c r="AL449" i="1"/>
  <c r="BI448" i="1"/>
  <c r="BB448" i="1"/>
  <c r="AL448" i="1"/>
  <c r="BI447" i="1"/>
  <c r="BB447" i="1"/>
  <c r="AL447" i="1"/>
  <c r="BI446" i="1"/>
  <c r="BB446" i="1"/>
  <c r="AL446" i="1"/>
  <c r="BI445" i="1"/>
  <c r="BB445" i="1"/>
  <c r="AL445" i="1"/>
  <c r="BI444" i="1"/>
  <c r="BB444" i="1"/>
  <c r="AL444" i="1"/>
  <c r="BI443" i="1"/>
  <c r="BB443" i="1"/>
  <c r="AL443" i="1"/>
  <c r="BI442" i="1"/>
  <c r="BB442" i="1"/>
  <c r="AL442" i="1"/>
  <c r="BI441" i="1"/>
  <c r="BB441" i="1"/>
  <c r="AL441" i="1"/>
  <c r="BI440" i="1"/>
  <c r="BB440" i="1"/>
  <c r="AL440" i="1"/>
  <c r="BI439" i="1"/>
  <c r="BB439" i="1"/>
  <c r="AL439" i="1"/>
  <c r="BI438" i="1"/>
  <c r="BB438" i="1"/>
  <c r="AL438" i="1"/>
  <c r="BI437" i="1"/>
  <c r="BB437" i="1"/>
  <c r="AL437" i="1"/>
  <c r="BI436" i="1"/>
  <c r="BB436" i="1"/>
  <c r="AL436" i="1"/>
  <c r="BI435" i="1"/>
  <c r="BB435" i="1"/>
  <c r="AL435" i="1"/>
  <c r="BI434" i="1"/>
  <c r="BB434" i="1"/>
  <c r="AL434" i="1"/>
  <c r="BI433" i="1"/>
  <c r="BB433" i="1"/>
  <c r="AL433" i="1"/>
  <c r="BI432" i="1"/>
  <c r="BB432" i="1"/>
  <c r="AL432" i="1"/>
  <c r="BI431" i="1"/>
  <c r="BB431" i="1"/>
  <c r="AL431" i="1"/>
  <c r="BI430" i="1"/>
  <c r="BB430" i="1"/>
  <c r="AL430" i="1"/>
  <c r="BI429" i="1"/>
  <c r="BB429" i="1"/>
  <c r="AL429" i="1"/>
  <c r="BI428" i="1"/>
  <c r="BB428" i="1"/>
  <c r="AL428" i="1"/>
  <c r="BI427" i="1"/>
  <c r="BB427" i="1"/>
  <c r="AL427" i="1"/>
  <c r="BI426" i="1"/>
  <c r="BB426" i="1"/>
  <c r="AL426" i="1"/>
  <c r="BI425" i="1"/>
  <c r="BB425" i="1"/>
  <c r="AL425" i="1"/>
  <c r="BI424" i="1"/>
  <c r="BB424" i="1"/>
  <c r="AL424" i="1"/>
  <c r="BI423" i="1"/>
  <c r="BB423" i="1"/>
  <c r="AL423" i="1"/>
  <c r="BI422" i="1"/>
  <c r="BB422" i="1"/>
  <c r="AL422" i="1"/>
  <c r="BI421" i="1"/>
  <c r="BB421" i="1"/>
  <c r="AL421" i="1"/>
  <c r="BI420" i="1"/>
  <c r="BB420" i="1"/>
  <c r="AL420" i="1"/>
  <c r="BI419" i="1"/>
  <c r="BB419" i="1"/>
  <c r="AL419" i="1"/>
  <c r="BI418" i="1"/>
  <c r="BB418" i="1"/>
  <c r="AL418" i="1"/>
  <c r="BI417" i="1"/>
  <c r="BB417" i="1"/>
  <c r="AL417" i="1"/>
  <c r="BI416" i="1"/>
  <c r="BB416" i="1"/>
  <c r="AL416" i="1"/>
  <c r="BI415" i="1"/>
  <c r="BB415" i="1"/>
  <c r="AL415" i="1"/>
  <c r="BI414" i="1"/>
  <c r="BB414" i="1"/>
  <c r="AL414" i="1"/>
  <c r="BI413" i="1"/>
  <c r="BB413" i="1"/>
  <c r="AL413" i="1"/>
  <c r="BI412" i="1"/>
  <c r="BB412" i="1"/>
  <c r="AL412" i="1"/>
  <c r="BI411" i="1"/>
  <c r="BB411" i="1"/>
  <c r="AL411" i="1"/>
  <c r="BI410" i="1"/>
  <c r="BB410" i="1"/>
  <c r="AL410" i="1"/>
  <c r="BI409" i="1"/>
  <c r="BB409" i="1"/>
  <c r="AL409" i="1"/>
  <c r="BI408" i="1"/>
  <c r="BB408" i="1"/>
  <c r="AL408" i="1"/>
  <c r="BI407" i="1"/>
  <c r="BB407" i="1"/>
  <c r="AL407" i="1"/>
  <c r="BI406" i="1"/>
  <c r="BB406" i="1"/>
  <c r="AL406" i="1"/>
  <c r="BI405" i="1"/>
  <c r="BB405" i="1"/>
  <c r="AL405" i="1"/>
  <c r="Q405" i="1"/>
  <c r="BI404" i="1"/>
  <c r="BB404" i="1"/>
  <c r="AL404" i="1"/>
  <c r="BI403" i="1"/>
  <c r="BB403" i="1"/>
  <c r="AL403" i="1"/>
  <c r="BI402" i="1"/>
  <c r="BB402" i="1"/>
  <c r="AL402" i="1"/>
  <c r="BI401" i="1"/>
  <c r="BB401" i="1"/>
  <c r="AL401" i="1"/>
  <c r="BI400" i="1"/>
  <c r="BB400" i="1"/>
  <c r="AL400" i="1"/>
  <c r="BI399" i="1"/>
  <c r="BB399" i="1"/>
  <c r="AL399" i="1"/>
  <c r="BI398" i="1"/>
  <c r="BB398" i="1"/>
  <c r="AL398" i="1"/>
  <c r="BI397" i="1"/>
  <c r="BB397" i="1"/>
  <c r="AL397" i="1"/>
  <c r="BI396" i="1"/>
  <c r="BB396" i="1"/>
  <c r="AL396" i="1"/>
  <c r="BI395" i="1"/>
  <c r="BB395" i="1"/>
  <c r="AL395" i="1"/>
  <c r="BI394" i="1"/>
  <c r="BB394" i="1"/>
  <c r="AL394" i="1"/>
  <c r="Q394" i="1"/>
  <c r="BI393" i="1"/>
  <c r="BB393" i="1"/>
  <c r="AL393" i="1"/>
  <c r="BI392" i="1"/>
  <c r="BB392" i="1"/>
  <c r="AL392" i="1"/>
  <c r="BI391" i="1"/>
  <c r="BB391" i="1"/>
  <c r="AL391" i="1"/>
  <c r="BI390" i="1"/>
  <c r="BB390" i="1"/>
  <c r="AL390" i="1"/>
  <c r="BI389" i="1"/>
  <c r="BB389" i="1"/>
  <c r="AL389" i="1"/>
  <c r="BI388" i="1"/>
  <c r="BB388" i="1"/>
  <c r="AL388" i="1"/>
  <c r="BI387" i="1"/>
  <c r="BB387" i="1"/>
  <c r="AL387" i="1"/>
  <c r="BI386" i="1"/>
  <c r="BB386" i="1"/>
  <c r="AL386" i="1"/>
  <c r="BI385" i="1"/>
  <c r="BB385" i="1"/>
  <c r="AL385" i="1"/>
  <c r="BI384" i="1"/>
  <c r="BB384" i="1"/>
  <c r="AL384" i="1"/>
  <c r="BI383" i="1"/>
  <c r="BB383" i="1"/>
  <c r="AL383" i="1"/>
  <c r="Q383" i="1"/>
  <c r="BI382" i="1"/>
  <c r="BB382" i="1"/>
  <c r="AL382" i="1"/>
  <c r="BI381" i="1"/>
  <c r="BB381" i="1"/>
  <c r="AL381" i="1"/>
  <c r="BI380" i="1"/>
  <c r="BB380" i="1"/>
  <c r="AL380" i="1"/>
  <c r="BI379" i="1"/>
  <c r="BB379" i="1"/>
  <c r="AL379" i="1"/>
  <c r="BI378" i="1"/>
  <c r="BB378" i="1"/>
  <c r="AL378" i="1"/>
  <c r="Q378" i="1"/>
  <c r="BI377" i="1"/>
  <c r="BB377" i="1"/>
  <c r="AL377" i="1"/>
  <c r="BI376" i="1"/>
  <c r="BB376" i="1"/>
  <c r="AL376" i="1"/>
  <c r="BI375" i="1"/>
  <c r="BB375" i="1"/>
  <c r="AL375" i="1"/>
  <c r="BI374" i="1"/>
  <c r="BB374" i="1"/>
  <c r="AL374" i="1"/>
  <c r="BI373" i="1"/>
  <c r="BB373" i="1"/>
  <c r="AL373" i="1"/>
  <c r="BI372" i="1"/>
  <c r="BB372" i="1"/>
  <c r="AL372" i="1"/>
  <c r="BI371" i="1"/>
  <c r="BB371" i="1"/>
  <c r="AL371" i="1"/>
  <c r="BI370" i="1"/>
  <c r="BB370" i="1"/>
  <c r="AL370" i="1"/>
  <c r="BI369" i="1"/>
  <c r="BB369" i="1"/>
  <c r="AL369" i="1"/>
  <c r="BI368" i="1"/>
  <c r="BB368" i="1"/>
  <c r="AL368" i="1"/>
  <c r="BI367" i="1"/>
  <c r="BB367" i="1"/>
  <c r="AL367" i="1"/>
  <c r="Q367" i="1"/>
  <c r="BI366" i="1"/>
  <c r="BB366" i="1"/>
  <c r="AL366" i="1"/>
  <c r="BI365" i="1"/>
  <c r="BB365" i="1"/>
  <c r="AL365" i="1"/>
  <c r="BI364" i="1"/>
  <c r="BB364" i="1"/>
  <c r="AL364" i="1"/>
  <c r="BI363" i="1"/>
  <c r="BB363" i="1"/>
  <c r="AL363" i="1"/>
  <c r="CP362" i="1"/>
  <c r="BZ362" i="1"/>
  <c r="CA362" i="1" s="1"/>
  <c r="CC362" i="1" s="1"/>
  <c r="BU362" i="1"/>
  <c r="BV362" i="1" s="1"/>
  <c r="BX362" i="1" s="1"/>
  <c r="CP361" i="1"/>
  <c r="BZ361" i="1"/>
  <c r="CA361" i="1" s="1"/>
  <c r="CC361" i="1" s="1"/>
  <c r="BU361" i="1"/>
  <c r="BI360" i="1"/>
  <c r="BB360" i="1"/>
  <c r="AL360" i="1"/>
  <c r="BI359" i="1"/>
  <c r="BB359" i="1"/>
  <c r="AL359" i="1"/>
  <c r="BI358" i="1"/>
  <c r="BB358" i="1"/>
  <c r="AL358" i="1"/>
  <c r="BI357" i="1"/>
  <c r="BB357" i="1"/>
  <c r="AL357" i="1"/>
  <c r="BI356" i="1"/>
  <c r="BB356" i="1"/>
  <c r="AL356" i="1"/>
  <c r="BI355" i="1"/>
  <c r="BB355" i="1"/>
  <c r="AL355" i="1"/>
  <c r="BI354" i="1"/>
  <c r="BB354" i="1"/>
  <c r="AL354" i="1"/>
  <c r="BI353" i="1"/>
  <c r="BB353" i="1"/>
  <c r="AL353" i="1"/>
  <c r="CP352" i="1"/>
  <c r="BZ352" i="1"/>
  <c r="CA352" i="1" s="1"/>
  <c r="CC352" i="1" s="1"/>
  <c r="BU352" i="1"/>
  <c r="BI351" i="1"/>
  <c r="BB351" i="1"/>
  <c r="AL351" i="1"/>
  <c r="BI350" i="1"/>
  <c r="BB350" i="1"/>
  <c r="AL350" i="1"/>
  <c r="CP349" i="1"/>
  <c r="BZ349" i="1"/>
  <c r="CA349" i="1" s="1"/>
  <c r="CC349" i="1" s="1"/>
  <c r="BU349" i="1"/>
  <c r="CP348" i="1"/>
  <c r="BZ348" i="1"/>
  <c r="CA348" i="1" s="1"/>
  <c r="CC348" i="1" s="1"/>
  <c r="BU348" i="1"/>
  <c r="BV348" i="1" s="1"/>
  <c r="BI347" i="1"/>
  <c r="BB347" i="1"/>
  <c r="AL347" i="1"/>
  <c r="BI346" i="1"/>
  <c r="BB346" i="1"/>
  <c r="AL346" i="1"/>
  <c r="CP345" i="1"/>
  <c r="BZ345" i="1"/>
  <c r="CA345" i="1" s="1"/>
  <c r="CC345" i="1" s="1"/>
  <c r="CD345" i="1" s="1"/>
  <c r="CE345" i="1" s="1"/>
  <c r="CF345" i="1" s="1"/>
  <c r="CH345" i="1" s="1"/>
  <c r="BU345" i="1"/>
  <c r="BI344" i="1"/>
  <c r="BB344" i="1"/>
  <c r="AL344" i="1"/>
  <c r="BI343" i="1"/>
  <c r="BB343" i="1"/>
  <c r="AL343" i="1"/>
  <c r="BI342" i="1"/>
  <c r="BB342" i="1"/>
  <c r="AL342" i="1"/>
  <c r="BI341" i="1"/>
  <c r="BB341" i="1"/>
  <c r="AL341" i="1"/>
  <c r="BI340" i="1"/>
  <c r="BB340" i="1"/>
  <c r="AL340" i="1"/>
  <c r="BI339" i="1"/>
  <c r="BB339" i="1"/>
  <c r="AL339" i="1"/>
  <c r="BI338" i="1"/>
  <c r="BB338" i="1"/>
  <c r="AL338" i="1"/>
  <c r="BI337" i="1"/>
  <c r="BB337" i="1"/>
  <c r="AL337" i="1"/>
  <c r="BI336" i="1"/>
  <c r="BB336" i="1"/>
  <c r="AL336" i="1"/>
  <c r="BI335" i="1"/>
  <c r="BB335" i="1"/>
  <c r="AL335" i="1"/>
  <c r="BI334" i="1"/>
  <c r="BB334" i="1"/>
  <c r="AL334" i="1"/>
  <c r="BI333" i="1"/>
  <c r="BB333" i="1"/>
  <c r="AL333" i="1"/>
  <c r="BI332" i="1"/>
  <c r="BB332" i="1"/>
  <c r="AL332" i="1"/>
  <c r="BI331" i="1"/>
  <c r="BB331" i="1"/>
  <c r="AL331" i="1"/>
  <c r="Q331" i="1"/>
  <c r="BI330" i="1"/>
  <c r="BB330" i="1"/>
  <c r="AL330" i="1"/>
  <c r="BI329" i="1"/>
  <c r="BB329" i="1"/>
  <c r="AL329" i="1"/>
  <c r="BI328" i="1"/>
  <c r="BB328" i="1"/>
  <c r="AL328" i="1"/>
  <c r="BI327" i="1"/>
  <c r="BB327" i="1"/>
  <c r="AL327" i="1"/>
  <c r="BI326" i="1"/>
  <c r="BB326" i="1"/>
  <c r="AL326" i="1"/>
  <c r="BI325" i="1"/>
  <c r="BB325" i="1"/>
  <c r="AL325" i="1"/>
  <c r="BI324" i="1"/>
  <c r="BB324" i="1"/>
  <c r="AL324" i="1"/>
  <c r="BI323" i="1"/>
  <c r="BB323" i="1"/>
  <c r="AL323" i="1"/>
  <c r="BI322" i="1"/>
  <c r="BB322" i="1"/>
  <c r="AL322" i="1"/>
  <c r="BI321" i="1"/>
  <c r="BB321" i="1"/>
  <c r="AL321" i="1"/>
  <c r="BI320" i="1"/>
  <c r="BB320" i="1"/>
  <c r="AL320" i="1"/>
  <c r="BI319" i="1"/>
  <c r="BB319" i="1"/>
  <c r="AL319" i="1"/>
  <c r="BI318" i="1"/>
  <c r="BB318" i="1"/>
  <c r="AL318" i="1"/>
  <c r="BI317" i="1"/>
  <c r="BB317" i="1"/>
  <c r="AL317" i="1"/>
  <c r="BI316" i="1"/>
  <c r="BB316" i="1"/>
  <c r="AL316" i="1"/>
  <c r="BI315" i="1"/>
  <c r="BB315" i="1"/>
  <c r="AL315" i="1"/>
  <c r="BI314" i="1"/>
  <c r="BB314" i="1"/>
  <c r="AL314" i="1"/>
  <c r="BI313" i="1"/>
  <c r="BB313" i="1"/>
  <c r="AL313" i="1"/>
  <c r="BI312" i="1"/>
  <c r="BB312" i="1"/>
  <c r="AL312" i="1"/>
  <c r="CP311" i="1"/>
  <c r="BZ311" i="1"/>
  <c r="CA311" i="1" s="1"/>
  <c r="CC311" i="1" s="1"/>
  <c r="BU311" i="1"/>
  <c r="BI310" i="1"/>
  <c r="BB310" i="1"/>
  <c r="AL310" i="1"/>
  <c r="BI309" i="1"/>
  <c r="BB309" i="1"/>
  <c r="AL309" i="1"/>
  <c r="BI308" i="1"/>
  <c r="BB308" i="1"/>
  <c r="AL308" i="1"/>
  <c r="BI307" i="1"/>
  <c r="BB307" i="1"/>
  <c r="AL307" i="1"/>
  <c r="BI306" i="1"/>
  <c r="BB306" i="1"/>
  <c r="AL306" i="1"/>
  <c r="BI305" i="1"/>
  <c r="BB305" i="1"/>
  <c r="AL305" i="1"/>
  <c r="BI304" i="1"/>
  <c r="BB304" i="1"/>
  <c r="AL304" i="1"/>
  <c r="BI303" i="1"/>
  <c r="BB303" i="1"/>
  <c r="AL303" i="1"/>
  <c r="BI302" i="1"/>
  <c r="BB302" i="1"/>
  <c r="AL302" i="1"/>
  <c r="BI301" i="1"/>
  <c r="BB301" i="1"/>
  <c r="AL301" i="1"/>
  <c r="BI300" i="1"/>
  <c r="BB300" i="1"/>
  <c r="AL300" i="1"/>
  <c r="BI299" i="1"/>
  <c r="BB299" i="1"/>
  <c r="AL299" i="1"/>
  <c r="BI298" i="1"/>
  <c r="BB298" i="1"/>
  <c r="AL298" i="1"/>
  <c r="BI297" i="1"/>
  <c r="BB297" i="1"/>
  <c r="AL297" i="1"/>
  <c r="BI296" i="1"/>
  <c r="BB296" i="1"/>
  <c r="AL296" i="1"/>
  <c r="BI295" i="1"/>
  <c r="BB295" i="1"/>
  <c r="AL295" i="1"/>
  <c r="BI294" i="1"/>
  <c r="BB294" i="1"/>
  <c r="AL294" i="1"/>
  <c r="Q294" i="1"/>
  <c r="BI293" i="1"/>
  <c r="BB293" i="1"/>
  <c r="AL293" i="1"/>
  <c r="Q293" i="1"/>
  <c r="BI292" i="1"/>
  <c r="BB292" i="1"/>
  <c r="AL292" i="1"/>
  <c r="BI291" i="1"/>
  <c r="BB291" i="1"/>
  <c r="AL291" i="1"/>
  <c r="BI290" i="1"/>
  <c r="BB290" i="1"/>
  <c r="AL290" i="1"/>
  <c r="BI289" i="1"/>
  <c r="BB289" i="1"/>
  <c r="AL289" i="1"/>
  <c r="BI288" i="1"/>
  <c r="BB288" i="1"/>
  <c r="AL288" i="1"/>
  <c r="BI287" i="1"/>
  <c r="BB287" i="1"/>
  <c r="AL287" i="1"/>
  <c r="BI286" i="1"/>
  <c r="BB286" i="1"/>
  <c r="AL286" i="1"/>
  <c r="BI285" i="1"/>
  <c r="BB285" i="1"/>
  <c r="AL285" i="1"/>
  <c r="BI284" i="1"/>
  <c r="BB284" i="1"/>
  <c r="AL284" i="1"/>
  <c r="BI283" i="1"/>
  <c r="BB283" i="1"/>
  <c r="AL283" i="1"/>
  <c r="BI282" i="1"/>
  <c r="BB282" i="1"/>
  <c r="AL282" i="1"/>
  <c r="BI281" i="1"/>
  <c r="BB281" i="1"/>
  <c r="AL281" i="1"/>
  <c r="BI280" i="1"/>
  <c r="BB280" i="1"/>
  <c r="AL280" i="1"/>
  <c r="BI279" i="1"/>
  <c r="BB279" i="1"/>
  <c r="AL279" i="1"/>
  <c r="BI278" i="1"/>
  <c r="BB278" i="1"/>
  <c r="AL278" i="1"/>
  <c r="BI277" i="1"/>
  <c r="BB277" i="1"/>
  <c r="AL277" i="1"/>
  <c r="BI276" i="1"/>
  <c r="BB276" i="1"/>
  <c r="AL276" i="1"/>
  <c r="BI275" i="1"/>
  <c r="BB275" i="1"/>
  <c r="AL275" i="1"/>
  <c r="BI274" i="1"/>
  <c r="BB274" i="1"/>
  <c r="AL274" i="1"/>
  <c r="BI273" i="1"/>
  <c r="BB273" i="1"/>
  <c r="AL273" i="1"/>
  <c r="BK272" i="1"/>
  <c r="CP272" i="1" s="1"/>
  <c r="BI272" i="1"/>
  <c r="BK271" i="1"/>
  <c r="CP271" i="1" s="1"/>
  <c r="BL271" i="1" s="1"/>
  <c r="BI271" i="1"/>
  <c r="BK270" i="1"/>
  <c r="CP270" i="1" s="1"/>
  <c r="BM270" i="1" s="1"/>
  <c r="BI270" i="1"/>
  <c r="BK269" i="1"/>
  <c r="CP269" i="1" s="1"/>
  <c r="BM269" i="1" s="1"/>
  <c r="BU269" i="1" s="1"/>
  <c r="BI269" i="1"/>
  <c r="BK268" i="1"/>
  <c r="CP268" i="1" s="1"/>
  <c r="BM268" i="1" s="1"/>
  <c r="BP268" i="1" s="1"/>
  <c r="BI268" i="1"/>
  <c r="BK267" i="1"/>
  <c r="CP267" i="1" s="1"/>
  <c r="BI267" i="1"/>
  <c r="Q267" i="1"/>
  <c r="BK266" i="1"/>
  <c r="CP266" i="1" s="1"/>
  <c r="BI266" i="1"/>
  <c r="BK265" i="1"/>
  <c r="CP265" i="1" s="1"/>
  <c r="BI265" i="1"/>
  <c r="BK264" i="1"/>
  <c r="CP264" i="1" s="1"/>
  <c r="BL264" i="1" s="1"/>
  <c r="BI264" i="1"/>
  <c r="Q264" i="1"/>
  <c r="BK263" i="1"/>
  <c r="CP263" i="1" s="1"/>
  <c r="BI263" i="1"/>
  <c r="Q263" i="1"/>
  <c r="BK262" i="1"/>
  <c r="CP262" i="1" s="1"/>
  <c r="BL262" i="1" s="1"/>
  <c r="BI262" i="1"/>
  <c r="Q262" i="1"/>
  <c r="BK261" i="1"/>
  <c r="CP261" i="1" s="1"/>
  <c r="BI261" i="1"/>
  <c r="Q261" i="1"/>
  <c r="BK260" i="1"/>
  <c r="CP260" i="1" s="1"/>
  <c r="BI260" i="1"/>
  <c r="Q260" i="1"/>
  <c r="BK259" i="1"/>
  <c r="CP259" i="1" s="1"/>
  <c r="BI259" i="1"/>
  <c r="Q259" i="1"/>
  <c r="BK258" i="1"/>
  <c r="CP258" i="1" s="1"/>
  <c r="BM258" i="1" s="1"/>
  <c r="BP258" i="1" s="1"/>
  <c r="BI258" i="1"/>
  <c r="Q258" i="1"/>
  <c r="BK257" i="1"/>
  <c r="CP257" i="1" s="1"/>
  <c r="BI257" i="1"/>
  <c r="Q257" i="1"/>
  <c r="BK256" i="1"/>
  <c r="CP256" i="1" s="1"/>
  <c r="BI256" i="1"/>
  <c r="Q256" i="1"/>
  <c r="BK255" i="1"/>
  <c r="CP255" i="1" s="1"/>
  <c r="BM255" i="1" s="1"/>
  <c r="BP255" i="1" s="1"/>
  <c r="BQ255" i="1" s="1"/>
  <c r="BS255" i="1" s="1"/>
  <c r="BI255" i="1"/>
  <c r="Q255" i="1"/>
  <c r="BK254" i="1"/>
  <c r="CP254" i="1" s="1"/>
  <c r="BI254" i="1"/>
  <c r="BK253" i="1"/>
  <c r="CP253" i="1" s="1"/>
  <c r="BI253" i="1"/>
  <c r="BK252" i="1"/>
  <c r="CP252" i="1" s="1"/>
  <c r="BI252" i="1"/>
  <c r="BK251" i="1"/>
  <c r="BL251" i="1" s="1"/>
  <c r="BI251" i="1"/>
  <c r="AL251" i="1"/>
  <c r="BK250" i="1"/>
  <c r="CP250" i="1" s="1"/>
  <c r="BL250" i="1" s="1"/>
  <c r="BI250" i="1"/>
  <c r="BI249" i="1"/>
  <c r="AL249" i="1"/>
  <c r="BI248" i="1"/>
  <c r="AL248" i="1"/>
  <c r="BI247" i="1"/>
  <c r="AL247" i="1"/>
  <c r="BI246" i="1"/>
  <c r="AL246" i="1"/>
  <c r="BI245" i="1"/>
  <c r="AL245" i="1"/>
  <c r="BI244" i="1"/>
  <c r="AL244" i="1"/>
  <c r="BI243" i="1"/>
  <c r="AL243" i="1"/>
  <c r="BI242" i="1"/>
  <c r="AL242" i="1"/>
  <c r="BI241" i="1"/>
  <c r="AL241" i="1"/>
  <c r="Q241" i="1"/>
  <c r="BI240" i="1"/>
  <c r="AL240" i="1"/>
  <c r="BI239" i="1"/>
  <c r="AL239" i="1"/>
  <c r="BI238" i="1"/>
  <c r="AL238" i="1"/>
  <c r="BI237" i="1"/>
  <c r="AL237" i="1"/>
  <c r="BI236" i="1"/>
  <c r="AL236" i="1"/>
  <c r="BI235" i="1"/>
  <c r="AL235" i="1"/>
  <c r="BI234" i="1"/>
  <c r="AL234" i="1"/>
  <c r="BI233" i="1"/>
  <c r="AL233" i="1"/>
  <c r="BI232" i="1"/>
  <c r="AL232" i="1"/>
  <c r="BI231" i="1"/>
  <c r="AL231" i="1"/>
  <c r="BI230" i="1"/>
  <c r="AL230" i="1"/>
  <c r="BI229" i="1"/>
  <c r="AL229" i="1"/>
  <c r="BI228" i="1"/>
  <c r="AL228" i="1"/>
  <c r="BI227" i="1"/>
  <c r="AL227" i="1"/>
  <c r="BI226" i="1"/>
  <c r="AL226" i="1"/>
  <c r="BI225" i="1"/>
  <c r="AL225" i="1"/>
  <c r="BI224" i="1"/>
  <c r="AL224" i="1"/>
  <c r="BI223" i="1"/>
  <c r="AL223" i="1"/>
  <c r="BI222" i="1"/>
  <c r="AL222" i="1"/>
  <c r="BI221" i="1"/>
  <c r="AL221" i="1"/>
  <c r="BI220" i="1"/>
  <c r="AL220" i="1"/>
  <c r="BI219" i="1"/>
  <c r="AL219" i="1"/>
  <c r="BI218" i="1"/>
  <c r="AL218" i="1"/>
  <c r="BI217" i="1"/>
  <c r="AL217" i="1"/>
  <c r="BI216" i="1"/>
  <c r="AL216" i="1"/>
  <c r="BI215" i="1"/>
  <c r="AL215" i="1"/>
  <c r="BI214" i="1"/>
  <c r="AL214" i="1"/>
  <c r="BI213" i="1"/>
  <c r="AL213" i="1"/>
  <c r="BI212" i="1"/>
  <c r="AL212" i="1"/>
  <c r="BI211" i="1"/>
  <c r="AL211" i="1"/>
  <c r="BI210" i="1"/>
  <c r="AL210" i="1"/>
  <c r="BI209" i="1"/>
  <c r="AL209" i="1"/>
  <c r="BI208" i="1"/>
  <c r="AL208" i="1"/>
  <c r="BI207" i="1"/>
  <c r="AL207" i="1"/>
  <c r="BI206" i="1"/>
  <c r="AL206" i="1"/>
  <c r="BI205" i="1"/>
  <c r="AL205" i="1"/>
  <c r="BI204" i="1"/>
  <c r="AL204" i="1"/>
  <c r="BI203" i="1"/>
  <c r="AL203" i="1"/>
  <c r="BI202" i="1"/>
  <c r="AL202" i="1"/>
  <c r="BI201" i="1"/>
  <c r="AL201" i="1"/>
  <c r="BI200" i="1"/>
  <c r="AL200" i="1"/>
  <c r="BI199" i="1"/>
  <c r="AL199" i="1"/>
  <c r="BI198" i="1"/>
  <c r="AL198" i="1"/>
  <c r="BI197" i="1"/>
  <c r="AL197" i="1"/>
  <c r="BI196" i="1"/>
  <c r="AL196" i="1"/>
  <c r="BI195" i="1"/>
  <c r="AL195" i="1"/>
  <c r="BI194" i="1"/>
  <c r="AL194" i="1"/>
  <c r="BI193" i="1"/>
  <c r="AL193" i="1"/>
  <c r="BI192" i="1"/>
  <c r="AL192" i="1"/>
  <c r="BI191" i="1"/>
  <c r="AL191" i="1"/>
  <c r="BI190" i="1"/>
  <c r="AL190" i="1"/>
  <c r="BI189" i="1"/>
  <c r="AL189" i="1"/>
  <c r="BI188" i="1"/>
  <c r="AL188" i="1"/>
  <c r="BI187" i="1"/>
  <c r="AL187" i="1"/>
  <c r="BI186" i="1"/>
  <c r="AL186" i="1"/>
  <c r="BI185" i="1"/>
  <c r="AL185" i="1"/>
  <c r="BV184" i="1"/>
  <c r="BX184" i="1" s="1"/>
  <c r="BY184" i="1" s="1"/>
  <c r="BZ184" i="1" s="1"/>
  <c r="CA184" i="1" s="1"/>
  <c r="CC184" i="1" s="1"/>
  <c r="CD184" i="1" s="1"/>
  <c r="BR184" i="1"/>
  <c r="BI184" i="1"/>
  <c r="AL184" i="1"/>
  <c r="BI183" i="1"/>
  <c r="AL183" i="1"/>
  <c r="BI182" i="1"/>
  <c r="AL182" i="1"/>
  <c r="BI181" i="1"/>
  <c r="AL181" i="1"/>
  <c r="BI180" i="1"/>
  <c r="AL180" i="1"/>
  <c r="BI179" i="1"/>
  <c r="AL179" i="1"/>
  <c r="BI178" i="1"/>
  <c r="AL178" i="1"/>
  <c r="BI177" i="1"/>
  <c r="AL177" i="1"/>
  <c r="BI176" i="1"/>
  <c r="AL176" i="1"/>
  <c r="BI175" i="1"/>
  <c r="AL175" i="1"/>
  <c r="BI174" i="1"/>
  <c r="AL174" i="1"/>
  <c r="BI173" i="1"/>
  <c r="AL173" i="1"/>
  <c r="BI172" i="1"/>
  <c r="AL172" i="1"/>
  <c r="BI171" i="1"/>
  <c r="AL171" i="1"/>
  <c r="BI170" i="1"/>
  <c r="AL170" i="1"/>
  <c r="BI169" i="1"/>
  <c r="AL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CP156" i="1"/>
  <c r="BI155" i="1"/>
  <c r="AL155" i="1"/>
  <c r="CP154" i="1"/>
  <c r="BZ154" i="1"/>
  <c r="CA154" i="1" s="1"/>
  <c r="CC154" i="1" s="1"/>
  <c r="BU154" i="1"/>
  <c r="CP153" i="1"/>
  <c r="CP152" i="1"/>
  <c r="BI151" i="1"/>
  <c r="BI150" i="1"/>
  <c r="BI149" i="1"/>
  <c r="BI148" i="1"/>
  <c r="BI147" i="1"/>
  <c r="BI146" i="1"/>
  <c r="BI145" i="1"/>
  <c r="CP144" i="1"/>
  <c r="BZ144" i="1"/>
  <c r="CA144" i="1" s="1"/>
  <c r="CC144" i="1" s="1"/>
  <c r="CD144" i="1" s="1"/>
  <c r="CE144" i="1" s="1"/>
  <c r="CF144" i="1" s="1"/>
  <c r="CH144" i="1" s="1"/>
  <c r="CI144" i="1" s="1"/>
  <c r="CJ144" i="1" s="1"/>
  <c r="CK144" i="1" s="1"/>
  <c r="BU144" i="1"/>
  <c r="BV144" i="1" s="1"/>
  <c r="CP143" i="1"/>
  <c r="BZ143" i="1"/>
  <c r="CA143" i="1" s="1"/>
  <c r="CC143" i="1" s="1"/>
  <c r="BU143" i="1"/>
  <c r="CP142" i="1"/>
  <c r="BZ142" i="1"/>
  <c r="CA142" i="1" s="1"/>
  <c r="CC142" i="1" s="1"/>
  <c r="CD142" i="1" s="1"/>
  <c r="CE142" i="1" s="1"/>
  <c r="CF142" i="1" s="1"/>
  <c r="CG142" i="1" s="1"/>
  <c r="BU142" i="1"/>
  <c r="CP141" i="1"/>
  <c r="BZ141" i="1"/>
  <c r="CA141" i="1" s="1"/>
  <c r="CC141" i="1" s="1"/>
  <c r="CD141" i="1" s="1"/>
  <c r="CE141" i="1" s="1"/>
  <c r="CF141" i="1" s="1"/>
  <c r="CH141" i="1" s="1"/>
  <c r="CI141" i="1" s="1"/>
  <c r="CJ141" i="1" s="1"/>
  <c r="CK141" i="1" s="1"/>
  <c r="CL141" i="1" s="1"/>
  <c r="BU141" i="1"/>
  <c r="BV141" i="1" s="1"/>
  <c r="BX141" i="1" s="1"/>
  <c r="CP140" i="1"/>
  <c r="BZ140" i="1"/>
  <c r="CA140" i="1" s="1"/>
  <c r="CC140" i="1" s="1"/>
  <c r="CD140" i="1" s="1"/>
  <c r="BU140" i="1"/>
  <c r="BV140" i="1" s="1"/>
  <c r="CP139" i="1"/>
  <c r="BZ139" i="1"/>
  <c r="CA139" i="1" s="1"/>
  <c r="CC139" i="1" s="1"/>
  <c r="CD139" i="1" s="1"/>
  <c r="CE139" i="1" s="1"/>
  <c r="CF139" i="1" s="1"/>
  <c r="CH139" i="1" s="1"/>
  <c r="BU139" i="1"/>
  <c r="BV139" i="1" s="1"/>
  <c r="BX139" i="1" s="1"/>
  <c r="CP138" i="1"/>
  <c r="BZ138" i="1"/>
  <c r="CA138" i="1" s="1"/>
  <c r="CC138" i="1" s="1"/>
  <c r="CD138" i="1" s="1"/>
  <c r="CE138" i="1" s="1"/>
  <c r="CF138" i="1" s="1"/>
  <c r="CH138" i="1" s="1"/>
  <c r="CI138" i="1" s="1"/>
  <c r="CJ138" i="1" s="1"/>
  <c r="CK138" i="1" s="1"/>
  <c r="BU138" i="1"/>
  <c r="BV138" i="1" s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AL108" i="1"/>
  <c r="BI107" i="1"/>
  <c r="AL107" i="1"/>
  <c r="BI106" i="1"/>
  <c r="AL106" i="1"/>
  <c r="BI105" i="1"/>
  <c r="AL105" i="1"/>
  <c r="BI104" i="1"/>
  <c r="AL104" i="1"/>
  <c r="BI103" i="1"/>
  <c r="AL103" i="1"/>
  <c r="BI102" i="1"/>
  <c r="AL102" i="1"/>
  <c r="BI101" i="1"/>
  <c r="AL101" i="1"/>
  <c r="BI100" i="1"/>
  <c r="AL100" i="1"/>
  <c r="BI99" i="1"/>
  <c r="AL99" i="1"/>
  <c r="BK98" i="1"/>
  <c r="CN98" i="1" s="1"/>
  <c r="CO98" i="1" s="1"/>
  <c r="CP98" i="1" s="1"/>
  <c r="BL98" i="1" s="1"/>
  <c r="BI98" i="1"/>
  <c r="AL98" i="1"/>
  <c r="BI97" i="1"/>
  <c r="AL97" i="1"/>
  <c r="BI96" i="1"/>
  <c r="AL96" i="1"/>
  <c r="BI95" i="1"/>
  <c r="AL95" i="1"/>
  <c r="BI94" i="1"/>
  <c r="AL94" i="1"/>
  <c r="BI93" i="1"/>
  <c r="AL93" i="1"/>
  <c r="BI92" i="1"/>
  <c r="AL92" i="1"/>
  <c r="BI91" i="1"/>
  <c r="AL91" i="1"/>
  <c r="BI90" i="1"/>
  <c r="AL90" i="1"/>
  <c r="BI89" i="1"/>
  <c r="AL89" i="1"/>
  <c r="BI88" i="1"/>
  <c r="AL88" i="1"/>
  <c r="BI87" i="1"/>
  <c r="AL87" i="1"/>
  <c r="BI86" i="1"/>
  <c r="AL86" i="1"/>
  <c r="BI85" i="1"/>
  <c r="AL85" i="1"/>
  <c r="BI84" i="1"/>
  <c r="AL84" i="1"/>
  <c r="BI83" i="1"/>
  <c r="AL83" i="1"/>
  <c r="BI82" i="1"/>
  <c r="AL82" i="1"/>
  <c r="BI81" i="1"/>
  <c r="AL81" i="1"/>
  <c r="BI80" i="1"/>
  <c r="AL80" i="1"/>
  <c r="BI79" i="1"/>
  <c r="AL79" i="1"/>
  <c r="BI78" i="1"/>
  <c r="AL78" i="1"/>
  <c r="BI77" i="1"/>
  <c r="AL77" i="1"/>
  <c r="BI76" i="1"/>
  <c r="AL76" i="1"/>
  <c r="BK75" i="1"/>
  <c r="CN75" i="1" s="1"/>
  <c r="CO75" i="1" s="1"/>
  <c r="CP75" i="1" s="1"/>
  <c r="BI75" i="1"/>
  <c r="AL75" i="1"/>
  <c r="BI74" i="1"/>
  <c r="AL74" i="1"/>
  <c r="BI73" i="1"/>
  <c r="AL73" i="1"/>
  <c r="BI72" i="1"/>
  <c r="AL72" i="1"/>
  <c r="BI71" i="1"/>
  <c r="AL71" i="1"/>
  <c r="BI70" i="1"/>
  <c r="AL70" i="1"/>
  <c r="BI69" i="1"/>
  <c r="AL69" i="1"/>
  <c r="BI68" i="1"/>
  <c r="AL68" i="1"/>
  <c r="BI67" i="1"/>
  <c r="AL67" i="1"/>
  <c r="BI66" i="1"/>
  <c r="AL66" i="1"/>
  <c r="BI65" i="1"/>
  <c r="AL65" i="1"/>
  <c r="BI64" i="1"/>
  <c r="AL64" i="1"/>
  <c r="BK63" i="1"/>
  <c r="CN63" i="1" s="1"/>
  <c r="CO63" i="1" s="1"/>
  <c r="CP63" i="1" s="1"/>
  <c r="BM63" i="1" s="1"/>
  <c r="BU63" i="1" s="1"/>
  <c r="BI63" i="1"/>
  <c r="AL63" i="1"/>
  <c r="BK62" i="1"/>
  <c r="CP62" i="1" s="1"/>
  <c r="BI62" i="1"/>
  <c r="AL62" i="1"/>
  <c r="BI61" i="1"/>
  <c r="AL61" i="1"/>
  <c r="BI60" i="1"/>
  <c r="AL60" i="1"/>
  <c r="BI59" i="1"/>
  <c r="AL59" i="1"/>
  <c r="BK58" i="1"/>
  <c r="CP58" i="1" s="1"/>
  <c r="BI58" i="1"/>
  <c r="AL58" i="1"/>
  <c r="BI57" i="1"/>
  <c r="AL57" i="1"/>
  <c r="BI56" i="1"/>
  <c r="AL56" i="1"/>
  <c r="BK55" i="1"/>
  <c r="CN55" i="1" s="1"/>
  <c r="CO55" i="1" s="1"/>
  <c r="CP55" i="1" s="1"/>
  <c r="BI55" i="1"/>
  <c r="AL55" i="1"/>
  <c r="BK54" i="1"/>
  <c r="CN54" i="1" s="1"/>
  <c r="CO54" i="1" s="1"/>
  <c r="CP54" i="1" s="1"/>
  <c r="BI54" i="1"/>
  <c r="AL54" i="1"/>
  <c r="BI53" i="1"/>
  <c r="AL53" i="1"/>
  <c r="BI52" i="1"/>
  <c r="AL52" i="1"/>
  <c r="BI51" i="1"/>
  <c r="AL51" i="1"/>
  <c r="BK50" i="1"/>
  <c r="CP50" i="1" s="1"/>
  <c r="BM50" i="1" s="1"/>
  <c r="BU50" i="1" s="1"/>
  <c r="BI50" i="1"/>
  <c r="AL50" i="1"/>
  <c r="BI49" i="1"/>
  <c r="AL49" i="1"/>
  <c r="BK48" i="1"/>
  <c r="CN48" i="1" s="1"/>
  <c r="CO48" i="1" s="1"/>
  <c r="CP48" i="1" s="1"/>
  <c r="BI48" i="1"/>
  <c r="AL48" i="1"/>
  <c r="BI47" i="1"/>
  <c r="AL47" i="1"/>
  <c r="BI46" i="1"/>
  <c r="AL46" i="1"/>
  <c r="BK45" i="1"/>
  <c r="CP45" i="1" s="1"/>
  <c r="BI45" i="1"/>
  <c r="AL45" i="1"/>
  <c r="BK44" i="1"/>
  <c r="CP44" i="1" s="1"/>
  <c r="BI44" i="1"/>
  <c r="AL44" i="1"/>
  <c r="BI43" i="1"/>
  <c r="AL43" i="1"/>
  <c r="BI42" i="1"/>
  <c r="AL42" i="1"/>
  <c r="BI41" i="1"/>
  <c r="AL41" i="1"/>
  <c r="BI40" i="1"/>
  <c r="AL40" i="1"/>
  <c r="BK39" i="1"/>
  <c r="CP39" i="1" s="1"/>
  <c r="BM39" i="1" s="1"/>
  <c r="BU39" i="1" s="1"/>
  <c r="BI39" i="1"/>
  <c r="AL39" i="1"/>
  <c r="BI38" i="1"/>
  <c r="AL38" i="1"/>
  <c r="BK37" i="1"/>
  <c r="CP37" i="1" s="1"/>
  <c r="BL37" i="1" s="1"/>
  <c r="BI37" i="1"/>
  <c r="AL37" i="1"/>
  <c r="BK36" i="1"/>
  <c r="CN36" i="1" s="1"/>
  <c r="CO36" i="1" s="1"/>
  <c r="CP36" i="1" s="1"/>
  <c r="BI36" i="1"/>
  <c r="AL36" i="1"/>
  <c r="BI35" i="1"/>
  <c r="AL35" i="1"/>
  <c r="BI34" i="1"/>
  <c r="AL34" i="1"/>
  <c r="BK33" i="1"/>
  <c r="CP33" i="1" s="1"/>
  <c r="BI33" i="1"/>
  <c r="AL33" i="1"/>
  <c r="BI32" i="1"/>
  <c r="AL32" i="1"/>
  <c r="BK31" i="1"/>
  <c r="CN31" i="1" s="1"/>
  <c r="CO31" i="1" s="1"/>
  <c r="CP31" i="1" s="1"/>
  <c r="BI31" i="1"/>
  <c r="AL31" i="1"/>
  <c r="BK30" i="1"/>
  <c r="CN30" i="1" s="1"/>
  <c r="CO30" i="1" s="1"/>
  <c r="CP30" i="1" s="1"/>
  <c r="BI30" i="1"/>
  <c r="AL30" i="1"/>
  <c r="BI29" i="1"/>
  <c r="AL29" i="1"/>
  <c r="BI28" i="1"/>
  <c r="AL28" i="1"/>
  <c r="BK27" i="1"/>
  <c r="CN27" i="1" s="1"/>
  <c r="CO27" i="1" s="1"/>
  <c r="CP27" i="1" s="1"/>
  <c r="BI27" i="1"/>
  <c r="AL27" i="1"/>
  <c r="BK26" i="1"/>
  <c r="CN26" i="1" s="1"/>
  <c r="CO26" i="1" s="1"/>
  <c r="CP26" i="1" s="1"/>
  <c r="BI26" i="1"/>
  <c r="AL26" i="1"/>
  <c r="BK25" i="1"/>
  <c r="CN25" i="1" s="1"/>
  <c r="CO25" i="1" s="1"/>
  <c r="CP25" i="1" s="1"/>
  <c r="BI25" i="1"/>
  <c r="AL25" i="1"/>
  <c r="BK24" i="1"/>
  <c r="CN24" i="1" s="1"/>
  <c r="CO24" i="1" s="1"/>
  <c r="CP24" i="1" s="1"/>
  <c r="BI24" i="1"/>
  <c r="AL24" i="1"/>
  <c r="BI23" i="1"/>
  <c r="AL23" i="1"/>
  <c r="BI22" i="1"/>
  <c r="AL22" i="1"/>
  <c r="BK21" i="1"/>
  <c r="CN21" i="1" s="1"/>
  <c r="CO21" i="1" s="1"/>
  <c r="CP21" i="1" s="1"/>
  <c r="BI21" i="1"/>
  <c r="AL21" i="1"/>
  <c r="BI20" i="1"/>
  <c r="AL20" i="1"/>
  <c r="BK19" i="1"/>
  <c r="CN19" i="1" s="1"/>
  <c r="CO19" i="1" s="1"/>
  <c r="CP19" i="1" s="1"/>
  <c r="BI19" i="1"/>
  <c r="AL19" i="1"/>
  <c r="BI18" i="1"/>
  <c r="AL18" i="1"/>
  <c r="BI17" i="1"/>
  <c r="AL17" i="1"/>
  <c r="BI16" i="1"/>
  <c r="AL16" i="1"/>
  <c r="BI15" i="1"/>
  <c r="AL15" i="1"/>
  <c r="BI14" i="1"/>
  <c r="AL14" i="1"/>
  <c r="BK13" i="1"/>
  <c r="CN13" i="1" s="1"/>
  <c r="CO13" i="1" s="1"/>
  <c r="CP13" i="1" s="1"/>
  <c r="BM13" i="1" s="1"/>
  <c r="BU13" i="1" s="1"/>
  <c r="BI13" i="1"/>
  <c r="AL13" i="1"/>
  <c r="BI12" i="1"/>
  <c r="AL12" i="1"/>
  <c r="BI11" i="1"/>
  <c r="AL11" i="1"/>
  <c r="BI10" i="1"/>
  <c r="AL10" i="1"/>
  <c r="BI9" i="1"/>
  <c r="AL9" i="1"/>
  <c r="BI8" i="1"/>
  <c r="AL8" i="1"/>
  <c r="BK7" i="1"/>
  <c r="CN7" i="1" s="1"/>
  <c r="CO7" i="1" s="1"/>
  <c r="CP7" i="1" s="1"/>
  <c r="BM7" i="1" s="1"/>
  <c r="BP7" i="1" s="1"/>
  <c r="BI7" i="1"/>
  <c r="AL7" i="1"/>
  <c r="BI6" i="1"/>
  <c r="AL6" i="1"/>
  <c r="BL2" i="1"/>
  <c r="BK167" i="1" s="1"/>
  <c r="CN167" i="1" s="1"/>
  <c r="CO167" i="1" s="1"/>
  <c r="CP167" i="1" s="1"/>
  <c r="AZ2" i="1"/>
  <c r="AY2" i="1"/>
  <c r="AX2" i="1"/>
  <c r="AW2" i="1"/>
  <c r="AV2" i="1"/>
  <c r="E2" i="1"/>
  <c r="BQ1" i="1"/>
  <c r="BK66" i="1" s="1"/>
  <c r="CP66" i="1" s="1"/>
  <c r="AZ1" i="1"/>
  <c r="AY1" i="1"/>
  <c r="AX1" i="1"/>
  <c r="AW1" i="1"/>
  <c r="AV1" i="1"/>
  <c r="E1" i="1"/>
  <c r="BK90" i="1" l="1"/>
  <c r="CN90" i="1" s="1"/>
  <c r="CO90" i="1" s="1"/>
  <c r="CP90" i="1" s="1"/>
  <c r="BK130" i="1"/>
  <c r="CP130" i="1" s="1"/>
  <c r="BM130" i="1" s="1"/>
  <c r="BK91" i="1"/>
  <c r="CN91" i="1" s="1"/>
  <c r="CO91" i="1" s="1"/>
  <c r="CP91" i="1" s="1"/>
  <c r="BL91" i="1" s="1"/>
  <c r="BK107" i="1"/>
  <c r="CP107" i="1" s="1"/>
  <c r="BK22" i="1"/>
  <c r="CN22" i="1" s="1"/>
  <c r="CO22" i="1" s="1"/>
  <c r="CP22" i="1" s="1"/>
  <c r="BK46" i="1"/>
  <c r="CP46" i="1" s="1"/>
  <c r="BM46" i="1" s="1"/>
  <c r="BU46" i="1" s="1"/>
  <c r="BK81" i="1"/>
  <c r="CN81" i="1" s="1"/>
  <c r="CO81" i="1" s="1"/>
  <c r="CP81" i="1" s="1"/>
  <c r="BK133" i="1"/>
  <c r="CP133" i="1" s="1"/>
  <c r="BL133" i="1" s="1"/>
  <c r="BK165" i="1"/>
  <c r="CN165" i="1" s="1"/>
  <c r="CO165" i="1" s="1"/>
  <c r="CP165" i="1" s="1"/>
  <c r="BM165" i="1" s="1"/>
  <c r="BK34" i="1"/>
  <c r="CN34" i="1" s="1"/>
  <c r="CO34" i="1" s="1"/>
  <c r="CP34" i="1" s="1"/>
  <c r="BL34" i="1" s="1"/>
  <c r="BK99" i="1"/>
  <c r="CN99" i="1" s="1"/>
  <c r="CO99" i="1" s="1"/>
  <c r="CP99" i="1" s="1"/>
  <c r="BL99" i="1" s="1"/>
  <c r="BK93" i="1"/>
  <c r="CN93" i="1" s="1"/>
  <c r="CO93" i="1" s="1"/>
  <c r="CP93" i="1" s="1"/>
  <c r="BL93" i="1" s="1"/>
  <c r="BK16" i="1"/>
  <c r="CN16" i="1" s="1"/>
  <c r="CO16" i="1" s="1"/>
  <c r="CP16" i="1" s="1"/>
  <c r="BL16" i="1" s="1"/>
  <c r="BK28" i="1"/>
  <c r="CN28" i="1" s="1"/>
  <c r="CO28" i="1" s="1"/>
  <c r="CP28" i="1" s="1"/>
  <c r="BM28" i="1" s="1"/>
  <c r="BU28" i="1" s="1"/>
  <c r="BV28" i="1" s="1"/>
  <c r="BX28" i="1" s="1"/>
  <c r="BY28" i="1" s="1"/>
  <c r="BZ28" i="1" s="1"/>
  <c r="CA28" i="1" s="1"/>
  <c r="CC28" i="1" s="1"/>
  <c r="BK35" i="1"/>
  <c r="CP35" i="1" s="1"/>
  <c r="BM35" i="1" s="1"/>
  <c r="BU35" i="1" s="1"/>
  <c r="BV35" i="1" s="1"/>
  <c r="BX35" i="1" s="1"/>
  <c r="BY35" i="1" s="1"/>
  <c r="BZ35" i="1" s="1"/>
  <c r="CA35" i="1" s="1"/>
  <c r="CC35" i="1" s="1"/>
  <c r="BK41" i="1"/>
  <c r="CP41" i="1" s="1"/>
  <c r="BL41" i="1" s="1"/>
  <c r="BK47" i="1"/>
  <c r="CP47" i="1" s="1"/>
  <c r="BL47" i="1" s="1"/>
  <c r="BK67" i="1"/>
  <c r="CP67" i="1" s="1"/>
  <c r="BL67" i="1" s="1"/>
  <c r="BK89" i="1"/>
  <c r="CN89" i="1" s="1"/>
  <c r="CO89" i="1" s="1"/>
  <c r="CP89" i="1" s="1"/>
  <c r="BM89" i="1" s="1"/>
  <c r="BU89" i="1" s="1"/>
  <c r="BK95" i="1"/>
  <c r="CP95" i="1" s="1"/>
  <c r="BL95" i="1" s="1"/>
  <c r="BK82" i="1"/>
  <c r="CN82" i="1" s="1"/>
  <c r="CO82" i="1" s="1"/>
  <c r="CP82" i="1" s="1"/>
  <c r="BA795" i="1"/>
  <c r="AU2" i="1"/>
  <c r="AU1" i="1"/>
  <c r="BZ810" i="1"/>
  <c r="CA810" i="1" s="1"/>
  <c r="CC810" i="1" s="1"/>
  <c r="BB1" i="1"/>
  <c r="BZ815" i="1"/>
  <c r="CA815" i="1" s="1"/>
  <c r="CC815" i="1" s="1"/>
  <c r="CD815" i="1" s="1"/>
  <c r="CE815" i="1" s="1"/>
  <c r="CF815" i="1" s="1"/>
  <c r="CH815" i="1" s="1"/>
  <c r="CP251" i="1"/>
  <c r="BM801" i="1"/>
  <c r="BP801" i="1" s="1"/>
  <c r="BQ801" i="1" s="1"/>
  <c r="BS801" i="1" s="1"/>
  <c r="BL801" i="1"/>
  <c r="BM814" i="1"/>
  <c r="BP814" i="1" s="1"/>
  <c r="BQ814" i="1" s="1"/>
  <c r="BS814" i="1" s="1"/>
  <c r="BL814" i="1"/>
  <c r="BM803" i="1"/>
  <c r="BP803" i="1" s="1"/>
  <c r="BQ803" i="1" s="1"/>
  <c r="BS803" i="1" s="1"/>
  <c r="BL803" i="1"/>
  <c r="BZ802" i="1"/>
  <c r="CA802" i="1" s="1"/>
  <c r="CC802" i="1" s="1"/>
  <c r="CD802" i="1" s="1"/>
  <c r="BU806" i="1"/>
  <c r="BW837" i="1"/>
  <c r="BM262" i="1"/>
  <c r="BP262" i="1" s="1"/>
  <c r="BQ262" i="1" s="1"/>
  <c r="BS262" i="1" s="1"/>
  <c r="BW797" i="1"/>
  <c r="BV825" i="1"/>
  <c r="BX825" i="1" s="1"/>
  <c r="BY825" i="1" s="1"/>
  <c r="BW838" i="1"/>
  <c r="BU804" i="1"/>
  <c r="BV804" i="1" s="1"/>
  <c r="BX804" i="1" s="1"/>
  <c r="BY804" i="1" s="1"/>
  <c r="CB804" i="1" s="1"/>
  <c r="BZ808" i="1"/>
  <c r="CA808" i="1" s="1"/>
  <c r="CC808" i="1" s="1"/>
  <c r="CD808" i="1" s="1"/>
  <c r="CE808" i="1" s="1"/>
  <c r="CF808" i="1" s="1"/>
  <c r="CH808" i="1" s="1"/>
  <c r="CI808" i="1" s="1"/>
  <c r="CJ808" i="1" s="1"/>
  <c r="CK808" i="1" s="1"/>
  <c r="BU792" i="1"/>
  <c r="BV792" i="1" s="1"/>
  <c r="BX792" i="1" s="1"/>
  <c r="BM264" i="1"/>
  <c r="BP264" i="1" s="1"/>
  <c r="BQ264" i="1" s="1"/>
  <c r="BS264" i="1" s="1"/>
  <c r="BT264" i="1" s="1"/>
  <c r="BU264" i="1" s="1"/>
  <c r="BV264" i="1" s="1"/>
  <c r="BX264" i="1" s="1"/>
  <c r="BM250" i="1"/>
  <c r="BP250" i="1" s="1"/>
  <c r="BQ250" i="1" s="1"/>
  <c r="BS250" i="1" s="1"/>
  <c r="BT250" i="1" s="1"/>
  <c r="BU250" i="1" s="1"/>
  <c r="BV250" i="1" s="1"/>
  <c r="BX250" i="1" s="1"/>
  <c r="BM256" i="1"/>
  <c r="BP256" i="1" s="1"/>
  <c r="BQ256" i="1" s="1"/>
  <c r="BS256" i="1" s="1"/>
  <c r="BL256" i="1"/>
  <c r="BM816" i="1"/>
  <c r="BP816" i="1" s="1"/>
  <c r="BQ816" i="1" s="1"/>
  <c r="BS816" i="1" s="1"/>
  <c r="BL816" i="1"/>
  <c r="BW348" i="1"/>
  <c r="BX348" i="1"/>
  <c r="BY348" i="1" s="1"/>
  <c r="BV63" i="1"/>
  <c r="BX63" i="1" s="1"/>
  <c r="BY63" i="1" s="1"/>
  <c r="BZ63" i="1" s="1"/>
  <c r="CA63" i="1" s="1"/>
  <c r="CC63" i="1" s="1"/>
  <c r="CD63" i="1" s="1"/>
  <c r="CE63" i="1" s="1"/>
  <c r="CF63" i="1" s="1"/>
  <c r="CH63" i="1" s="1"/>
  <c r="BX833" i="1"/>
  <c r="BY833" i="1" s="1"/>
  <c r="BW833" i="1"/>
  <c r="BM253" i="1"/>
  <c r="BP253" i="1" s="1"/>
  <c r="BQ253" i="1" s="1"/>
  <c r="BS253" i="1" s="1"/>
  <c r="BL253" i="1"/>
  <c r="BL28" i="1"/>
  <c r="BX138" i="1"/>
  <c r="BY138" i="1" s="1"/>
  <c r="CB138" i="1" s="1"/>
  <c r="BW138" i="1"/>
  <c r="BM41" i="1"/>
  <c r="BU41" i="1" s="1"/>
  <c r="BV41" i="1" s="1"/>
  <c r="BX41" i="1" s="1"/>
  <c r="BM794" i="1"/>
  <c r="BP794" i="1" s="1"/>
  <c r="BQ794" i="1" s="1"/>
  <c r="BS794" i="1" s="1"/>
  <c r="BL794" i="1"/>
  <c r="BL266" i="1"/>
  <c r="BM266" i="1"/>
  <c r="BP266" i="1" s="1"/>
  <c r="BQ266" i="1" s="1"/>
  <c r="BS266" i="1" s="1"/>
  <c r="BU789" i="1"/>
  <c r="BV789" i="1" s="1"/>
  <c r="BX789" i="1" s="1"/>
  <c r="CG138" i="1"/>
  <c r="BV154" i="1"/>
  <c r="BX154" i="1" s="1"/>
  <c r="BY154" i="1" s="1"/>
  <c r="CB154" i="1" s="1"/>
  <c r="BM271" i="1"/>
  <c r="BL130" i="1"/>
  <c r="BL258" i="1"/>
  <c r="CG144" i="1"/>
  <c r="BL255" i="1"/>
  <c r="BA1" i="1"/>
  <c r="BU7" i="1"/>
  <c r="BV7" i="1" s="1"/>
  <c r="BX7" i="1" s="1"/>
  <c r="BY7" i="1" s="1"/>
  <c r="BZ7" i="1" s="1"/>
  <c r="CA7" i="1" s="1"/>
  <c r="CC7" i="1" s="1"/>
  <c r="BM251" i="1"/>
  <c r="BU251" i="1" s="1"/>
  <c r="BV795" i="1"/>
  <c r="BX795" i="1" s="1"/>
  <c r="BY795" i="1" s="1"/>
  <c r="BW821" i="1"/>
  <c r="BV827" i="1"/>
  <c r="BX827" i="1" s="1"/>
  <c r="BY827" i="1" s="1"/>
  <c r="BL269" i="1"/>
  <c r="BV798" i="1"/>
  <c r="BX798" i="1" s="1"/>
  <c r="BY798" i="1" s="1"/>
  <c r="BZ812" i="1"/>
  <c r="CA812" i="1" s="1"/>
  <c r="CC812" i="1" s="1"/>
  <c r="CD812" i="1" s="1"/>
  <c r="CE812" i="1" s="1"/>
  <c r="CF812" i="1" s="1"/>
  <c r="CH812" i="1" s="1"/>
  <c r="BL817" i="1"/>
  <c r="BW139" i="1"/>
  <c r="BV142" i="1"/>
  <c r="BX142" i="1" s="1"/>
  <c r="BM37" i="1"/>
  <c r="BU37" i="1" s="1"/>
  <c r="BV37" i="1" s="1"/>
  <c r="BX37" i="1" s="1"/>
  <c r="CB184" i="1"/>
  <c r="BM67" i="1"/>
  <c r="BU67" i="1" s="1"/>
  <c r="BW808" i="1"/>
  <c r="CB496" i="1"/>
  <c r="BM793" i="1"/>
  <c r="BP793" i="1" s="1"/>
  <c r="BQ793" i="1" s="1"/>
  <c r="BS793" i="1" s="1"/>
  <c r="BT793" i="1" s="1"/>
  <c r="BU793" i="1" s="1"/>
  <c r="BV793" i="1" s="1"/>
  <c r="BX793" i="1" s="1"/>
  <c r="BV835" i="1"/>
  <c r="BX835" i="1" s="1"/>
  <c r="BY835" i="1" s="1"/>
  <c r="BL841" i="1"/>
  <c r="BW819" i="1"/>
  <c r="BM36" i="1"/>
  <c r="BU36" i="1" s="1"/>
  <c r="BL36" i="1"/>
  <c r="BM31" i="1"/>
  <c r="BL31" i="1"/>
  <c r="BV13" i="1"/>
  <c r="BX13" i="1" s="1"/>
  <c r="BQ7" i="1"/>
  <c r="BR7" i="1" s="1"/>
  <c r="BL26" i="1"/>
  <c r="BM26" i="1"/>
  <c r="BU26" i="1" s="1"/>
  <c r="BM66" i="1"/>
  <c r="BU66" i="1" s="1"/>
  <c r="BL66" i="1"/>
  <c r="BM21" i="1"/>
  <c r="BU21" i="1" s="1"/>
  <c r="BL21" i="1"/>
  <c r="BL22" i="1"/>
  <c r="BM22" i="1"/>
  <c r="BU22" i="1" s="1"/>
  <c r="BM54" i="1"/>
  <c r="BU54" i="1" s="1"/>
  <c r="BL54" i="1"/>
  <c r="BV89" i="1"/>
  <c r="BX89" i="1" s="1"/>
  <c r="BM33" i="1"/>
  <c r="BU33" i="1" s="1"/>
  <c r="BL33" i="1"/>
  <c r="BM55" i="1"/>
  <c r="BL55" i="1"/>
  <c r="BM62" i="1"/>
  <c r="BU62" i="1" s="1"/>
  <c r="BL62" i="1"/>
  <c r="BM75" i="1"/>
  <c r="BU75" i="1" s="1"/>
  <c r="BL75" i="1"/>
  <c r="BM82" i="1"/>
  <c r="BU82" i="1" s="1"/>
  <c r="BL82" i="1"/>
  <c r="BM81" i="1"/>
  <c r="BU81" i="1" s="1"/>
  <c r="BL81" i="1"/>
  <c r="BM16" i="1"/>
  <c r="BU16" i="1" s="1"/>
  <c r="BV39" i="1"/>
  <c r="BX39" i="1" s="1"/>
  <c r="BM24" i="1"/>
  <c r="BU24" i="1" s="1"/>
  <c r="BL24" i="1"/>
  <c r="BL45" i="1"/>
  <c r="BM45" i="1"/>
  <c r="BU45" i="1" s="1"/>
  <c r="BV50" i="1"/>
  <c r="BX50" i="1" s="1"/>
  <c r="BM27" i="1"/>
  <c r="BU27" i="1" s="1"/>
  <c r="BL27" i="1"/>
  <c r="BM48" i="1"/>
  <c r="BU48" i="1" s="1"/>
  <c r="BL48" i="1"/>
  <c r="CD35" i="1"/>
  <c r="CE35" i="1" s="1"/>
  <c r="CF35" i="1" s="1"/>
  <c r="CH35" i="1" s="1"/>
  <c r="BL19" i="1"/>
  <c r="BM19" i="1"/>
  <c r="BU19" i="1" s="1"/>
  <c r="BM25" i="1"/>
  <c r="BU25" i="1" s="1"/>
  <c r="BL25" i="1"/>
  <c r="BM30" i="1"/>
  <c r="BL30" i="1"/>
  <c r="BV46" i="1"/>
  <c r="BX46" i="1" s="1"/>
  <c r="BL13" i="1"/>
  <c r="BM44" i="1"/>
  <c r="BU44" i="1" s="1"/>
  <c r="BL44" i="1"/>
  <c r="BM58" i="1"/>
  <c r="BU58" i="1" s="1"/>
  <c r="BL58" i="1"/>
  <c r="BL35" i="1"/>
  <c r="BL39" i="1"/>
  <c r="BK119" i="1"/>
  <c r="CP119" i="1" s="1"/>
  <c r="BM167" i="1"/>
  <c r="BL167" i="1"/>
  <c r="BL63" i="1"/>
  <c r="BL46" i="1"/>
  <c r="BK70" i="1"/>
  <c r="CN70" i="1" s="1"/>
  <c r="CO70" i="1" s="1"/>
  <c r="CP70" i="1" s="1"/>
  <c r="BK78" i="1"/>
  <c r="CP78" i="1" s="1"/>
  <c r="CE140" i="1"/>
  <c r="CF140" i="1" s="1"/>
  <c r="CH140" i="1" s="1"/>
  <c r="BK15" i="1"/>
  <c r="CN15" i="1" s="1"/>
  <c r="CO15" i="1" s="1"/>
  <c r="CP15" i="1" s="1"/>
  <c r="BM47" i="1"/>
  <c r="BU47" i="1" s="1"/>
  <c r="CH142" i="1"/>
  <c r="BM95" i="1"/>
  <c r="BU95" i="1" s="1"/>
  <c r="BL50" i="1"/>
  <c r="BM90" i="1"/>
  <c r="BU90" i="1" s="1"/>
  <c r="BL90" i="1"/>
  <c r="CL138" i="1"/>
  <c r="BV143" i="1"/>
  <c r="BX143" i="1" s="1"/>
  <c r="BK785" i="1"/>
  <c r="CP785" i="1" s="1"/>
  <c r="BK778" i="1"/>
  <c r="CP778" i="1" s="1"/>
  <c r="BK788" i="1"/>
  <c r="CN788" i="1" s="1"/>
  <c r="CO788" i="1" s="1"/>
  <c r="CP788" i="1" s="1"/>
  <c r="BK784" i="1"/>
  <c r="CP784" i="1" s="1"/>
  <c r="BK777" i="1"/>
  <c r="CN777" i="1" s="1"/>
  <c r="CO777" i="1" s="1"/>
  <c r="CP777" i="1" s="1"/>
  <c r="BK776" i="1"/>
  <c r="CN776" i="1" s="1"/>
  <c r="CO776" i="1" s="1"/>
  <c r="CP776" i="1" s="1"/>
  <c r="BK752" i="1"/>
  <c r="CP752" i="1" s="1"/>
  <c r="BK783" i="1"/>
  <c r="CN783" i="1" s="1"/>
  <c r="CO783" i="1" s="1"/>
  <c r="CP783" i="1" s="1"/>
  <c r="BK758" i="1"/>
  <c r="CN758" i="1" s="1"/>
  <c r="CO758" i="1" s="1"/>
  <c r="CP758" i="1" s="1"/>
  <c r="BK747" i="1"/>
  <c r="CP747" i="1" s="1"/>
  <c r="BK734" i="1"/>
  <c r="CN734" i="1" s="1"/>
  <c r="CO734" i="1" s="1"/>
  <c r="CP734" i="1" s="1"/>
  <c r="BK728" i="1"/>
  <c r="CN728" i="1" s="1"/>
  <c r="CO728" i="1" s="1"/>
  <c r="CP728" i="1" s="1"/>
  <c r="BK786" i="1"/>
  <c r="CP786" i="1" s="1"/>
  <c r="BK744" i="1"/>
  <c r="CP744" i="1" s="1"/>
  <c r="BK714" i="1"/>
  <c r="CN714" i="1" s="1"/>
  <c r="CO714" i="1" s="1"/>
  <c r="CP714" i="1" s="1"/>
  <c r="BK750" i="1"/>
  <c r="CP750" i="1" s="1"/>
  <c r="BK749" i="1"/>
  <c r="CP749" i="1" s="1"/>
  <c r="BK751" i="1"/>
  <c r="CP751" i="1" s="1"/>
  <c r="BK775" i="1"/>
  <c r="CN775" i="1" s="1"/>
  <c r="CO775" i="1" s="1"/>
  <c r="CP775" i="1" s="1"/>
  <c r="BK723" i="1"/>
  <c r="CN723" i="1" s="1"/>
  <c r="CO723" i="1" s="1"/>
  <c r="CP723" i="1" s="1"/>
  <c r="BK722" i="1"/>
  <c r="CN722" i="1" s="1"/>
  <c r="CO722" i="1" s="1"/>
  <c r="CP722" i="1" s="1"/>
  <c r="BK721" i="1"/>
  <c r="CN721" i="1" s="1"/>
  <c r="CO721" i="1" s="1"/>
  <c r="CP721" i="1" s="1"/>
  <c r="BK720" i="1"/>
  <c r="CN720" i="1" s="1"/>
  <c r="CO720" i="1" s="1"/>
  <c r="CP720" i="1" s="1"/>
  <c r="BK719" i="1"/>
  <c r="CN719" i="1" s="1"/>
  <c r="CO719" i="1" s="1"/>
  <c r="CP719" i="1" s="1"/>
  <c r="BK718" i="1"/>
  <c r="CN718" i="1" s="1"/>
  <c r="CO718" i="1" s="1"/>
  <c r="CP718" i="1" s="1"/>
  <c r="BK717" i="1"/>
  <c r="CN717" i="1" s="1"/>
  <c r="CO717" i="1" s="1"/>
  <c r="CP717" i="1" s="1"/>
  <c r="BK716" i="1"/>
  <c r="CN716" i="1" s="1"/>
  <c r="CO716" i="1" s="1"/>
  <c r="CP716" i="1" s="1"/>
  <c r="BK715" i="1"/>
  <c r="CN715" i="1" s="1"/>
  <c r="CO715" i="1" s="1"/>
  <c r="CP715" i="1" s="1"/>
  <c r="BK748" i="1"/>
  <c r="CN748" i="1" s="1"/>
  <c r="CO748" i="1" s="1"/>
  <c r="CP748" i="1" s="1"/>
  <c r="BK713" i="1"/>
  <c r="CN713" i="1" s="1"/>
  <c r="CO713" i="1" s="1"/>
  <c r="CP713" i="1" s="1"/>
  <c r="BK711" i="1"/>
  <c r="CN711" i="1" s="1"/>
  <c r="CO711" i="1" s="1"/>
  <c r="CP711" i="1" s="1"/>
  <c r="BK708" i="1"/>
  <c r="CN708" i="1" s="1"/>
  <c r="CO708" i="1" s="1"/>
  <c r="CP708" i="1" s="1"/>
  <c r="BK757" i="1"/>
  <c r="CP757" i="1" s="1"/>
  <c r="BK733" i="1"/>
  <c r="CN733" i="1" s="1"/>
  <c r="CO733" i="1" s="1"/>
  <c r="CP733" i="1" s="1"/>
  <c r="BK724" i="1"/>
  <c r="CN724" i="1" s="1"/>
  <c r="CO724" i="1" s="1"/>
  <c r="CP724" i="1" s="1"/>
  <c r="BK709" i="1"/>
  <c r="CN709" i="1" s="1"/>
  <c r="CO709" i="1" s="1"/>
  <c r="CP709" i="1" s="1"/>
  <c r="BK735" i="1"/>
  <c r="CN735" i="1" s="1"/>
  <c r="CO735" i="1" s="1"/>
  <c r="CP735" i="1" s="1"/>
  <c r="BK730" i="1"/>
  <c r="CN730" i="1" s="1"/>
  <c r="CO730" i="1" s="1"/>
  <c r="CP730" i="1" s="1"/>
  <c r="BK732" i="1"/>
  <c r="CN732" i="1" s="1"/>
  <c r="CO732" i="1" s="1"/>
  <c r="CP732" i="1" s="1"/>
  <c r="BK746" i="1"/>
  <c r="CP746" i="1" s="1"/>
  <c r="BK745" i="1"/>
  <c r="CN745" i="1" s="1"/>
  <c r="CO745" i="1" s="1"/>
  <c r="CP745" i="1" s="1"/>
  <c r="BK701" i="1"/>
  <c r="CN701" i="1" s="1"/>
  <c r="CO701" i="1" s="1"/>
  <c r="CP701" i="1" s="1"/>
  <c r="BK677" i="1"/>
  <c r="CN677" i="1" s="1"/>
  <c r="CO677" i="1" s="1"/>
  <c r="CP677" i="1" s="1"/>
  <c r="BK731" i="1"/>
  <c r="CN731" i="1" s="1"/>
  <c r="CO731" i="1" s="1"/>
  <c r="CP731" i="1" s="1"/>
  <c r="BK738" i="1"/>
  <c r="CP738" i="1" s="1"/>
  <c r="BK725" i="1"/>
  <c r="CN725" i="1" s="1"/>
  <c r="CO725" i="1" s="1"/>
  <c r="CP725" i="1" s="1"/>
  <c r="BK727" i="1"/>
  <c r="CN727" i="1" s="1"/>
  <c r="CO727" i="1" s="1"/>
  <c r="CP727" i="1" s="1"/>
  <c r="BK678" i="1"/>
  <c r="CN678" i="1" s="1"/>
  <c r="CO678" i="1" s="1"/>
  <c r="CP678" i="1" s="1"/>
  <c r="BK666" i="1"/>
  <c r="CN666" i="1" s="1"/>
  <c r="CO666" i="1" s="1"/>
  <c r="CP666" i="1" s="1"/>
  <c r="BK660" i="1"/>
  <c r="CP660" i="1" s="1"/>
  <c r="BK729" i="1"/>
  <c r="CP729" i="1" s="1"/>
  <c r="BK655" i="1"/>
  <c r="CN655" i="1" s="1"/>
  <c r="CO655" i="1" s="1"/>
  <c r="CP655" i="1" s="1"/>
  <c r="BK651" i="1"/>
  <c r="CN651" i="1" s="1"/>
  <c r="CO651" i="1" s="1"/>
  <c r="CP651" i="1" s="1"/>
  <c r="BK647" i="1"/>
  <c r="CN647" i="1" s="1"/>
  <c r="CO647" i="1" s="1"/>
  <c r="CP647" i="1" s="1"/>
  <c r="BK707" i="1"/>
  <c r="CN707" i="1" s="1"/>
  <c r="CO707" i="1" s="1"/>
  <c r="CP707" i="1" s="1"/>
  <c r="BK712" i="1"/>
  <c r="CN712" i="1" s="1"/>
  <c r="CO712" i="1" s="1"/>
  <c r="CP712" i="1" s="1"/>
  <c r="BK710" i="1"/>
  <c r="CN710" i="1" s="1"/>
  <c r="CO710" i="1" s="1"/>
  <c r="CP710" i="1" s="1"/>
  <c r="BK726" i="1"/>
  <c r="CN726" i="1" s="1"/>
  <c r="CO726" i="1" s="1"/>
  <c r="CP726" i="1" s="1"/>
  <c r="BK702" i="1"/>
  <c r="CN702" i="1" s="1"/>
  <c r="CO702" i="1" s="1"/>
  <c r="CP702" i="1" s="1"/>
  <c r="BK650" i="1"/>
  <c r="CN650" i="1" s="1"/>
  <c r="CO650" i="1" s="1"/>
  <c r="CP650" i="1" s="1"/>
  <c r="BK644" i="1"/>
  <c r="CN644" i="1" s="1"/>
  <c r="CO644" i="1" s="1"/>
  <c r="CP644" i="1" s="1"/>
  <c r="BK649" i="1"/>
  <c r="CN649" i="1" s="1"/>
  <c r="CO649" i="1" s="1"/>
  <c r="CP649" i="1" s="1"/>
  <c r="BK645" i="1"/>
  <c r="CN645" i="1" s="1"/>
  <c r="CO645" i="1" s="1"/>
  <c r="CP645" i="1" s="1"/>
  <c r="BK659" i="1"/>
  <c r="CN659" i="1" s="1"/>
  <c r="CO659" i="1" s="1"/>
  <c r="CP659" i="1" s="1"/>
  <c r="BK641" i="1"/>
  <c r="CN641" i="1" s="1"/>
  <c r="CO641" i="1" s="1"/>
  <c r="CP641" i="1" s="1"/>
  <c r="BK611" i="1"/>
  <c r="CN611" i="1" s="1"/>
  <c r="CO611" i="1" s="1"/>
  <c r="CP611" i="1" s="1"/>
  <c r="BK664" i="1"/>
  <c r="CN664" i="1" s="1"/>
  <c r="CO664" i="1" s="1"/>
  <c r="CP664" i="1" s="1"/>
  <c r="BK648" i="1"/>
  <c r="CN648" i="1" s="1"/>
  <c r="CO648" i="1" s="1"/>
  <c r="CP648" i="1" s="1"/>
  <c r="BK661" i="1"/>
  <c r="CN661" i="1" s="1"/>
  <c r="CO661" i="1" s="1"/>
  <c r="CP661" i="1" s="1"/>
  <c r="BK652" i="1"/>
  <c r="CN652" i="1" s="1"/>
  <c r="CO652" i="1" s="1"/>
  <c r="CP652" i="1" s="1"/>
  <c r="BK654" i="1"/>
  <c r="CN654" i="1" s="1"/>
  <c r="CO654" i="1" s="1"/>
  <c r="CP654" i="1" s="1"/>
  <c r="BK653" i="1"/>
  <c r="CN653" i="1" s="1"/>
  <c r="CO653" i="1" s="1"/>
  <c r="CP653" i="1" s="1"/>
  <c r="BK656" i="1"/>
  <c r="CN656" i="1" s="1"/>
  <c r="CO656" i="1" s="1"/>
  <c r="CP656" i="1" s="1"/>
  <c r="BK642" i="1"/>
  <c r="CN642" i="1" s="1"/>
  <c r="CO642" i="1" s="1"/>
  <c r="CP642" i="1" s="1"/>
  <c r="BK643" i="1"/>
  <c r="CN643" i="1" s="1"/>
  <c r="CO643" i="1" s="1"/>
  <c r="CP643" i="1" s="1"/>
  <c r="BK662" i="1"/>
  <c r="CN662" i="1" s="1"/>
  <c r="CO662" i="1" s="1"/>
  <c r="CP662" i="1" s="1"/>
  <c r="BK657" i="1"/>
  <c r="CN657" i="1" s="1"/>
  <c r="CO657" i="1" s="1"/>
  <c r="CP657" i="1" s="1"/>
  <c r="BK609" i="1"/>
  <c r="CN609" i="1" s="1"/>
  <c r="CO609" i="1" s="1"/>
  <c r="CP609" i="1" s="1"/>
  <c r="BK646" i="1"/>
  <c r="CN646" i="1" s="1"/>
  <c r="CO646" i="1" s="1"/>
  <c r="CP646" i="1" s="1"/>
  <c r="BK579" i="1"/>
  <c r="CP579" i="1" s="1"/>
  <c r="BK543" i="1"/>
  <c r="CP543" i="1" s="1"/>
  <c r="BK602" i="1"/>
  <c r="CN602" i="1" s="1"/>
  <c r="CO602" i="1" s="1"/>
  <c r="CP602" i="1" s="1"/>
  <c r="BK547" i="1"/>
  <c r="CN547" i="1" s="1"/>
  <c r="CO547" i="1" s="1"/>
  <c r="CP547" i="1" s="1"/>
  <c r="BK616" i="1"/>
  <c r="CP616" i="1" s="1"/>
  <c r="BK607" i="1"/>
  <c r="CN607" i="1" s="1"/>
  <c r="CO607" i="1" s="1"/>
  <c r="CP607" i="1" s="1"/>
  <c r="BK663" i="1"/>
  <c r="CN663" i="1" s="1"/>
  <c r="CO663" i="1" s="1"/>
  <c r="CP663" i="1" s="1"/>
  <c r="BK639" i="1"/>
  <c r="CN639" i="1" s="1"/>
  <c r="CO639" i="1" s="1"/>
  <c r="CP639" i="1" s="1"/>
  <c r="BK617" i="1"/>
  <c r="CP617" i="1" s="1"/>
  <c r="BK619" i="1"/>
  <c r="CP619" i="1" s="1"/>
  <c r="BK618" i="1"/>
  <c r="CP618" i="1" s="1"/>
  <c r="BK615" i="1"/>
  <c r="CN615" i="1" s="1"/>
  <c r="CO615" i="1" s="1"/>
  <c r="CP615" i="1" s="1"/>
  <c r="BK676" i="1"/>
  <c r="CN676" i="1" s="1"/>
  <c r="CO676" i="1" s="1"/>
  <c r="CP676" i="1" s="1"/>
  <c r="BK658" i="1"/>
  <c r="CN658" i="1" s="1"/>
  <c r="CO658" i="1" s="1"/>
  <c r="CP658" i="1" s="1"/>
  <c r="BK580" i="1"/>
  <c r="CP580" i="1" s="1"/>
  <c r="BK638" i="1"/>
  <c r="CN638" i="1" s="1"/>
  <c r="CO638" i="1" s="1"/>
  <c r="CP638" i="1" s="1"/>
  <c r="BK603" i="1"/>
  <c r="CN603" i="1" s="1"/>
  <c r="CO603" i="1" s="1"/>
  <c r="CP603" i="1" s="1"/>
  <c r="BK608" i="1"/>
  <c r="CN608" i="1" s="1"/>
  <c r="CO608" i="1" s="1"/>
  <c r="CP608" i="1" s="1"/>
  <c r="BK614" i="1"/>
  <c r="CN614" i="1" s="1"/>
  <c r="CO614" i="1" s="1"/>
  <c r="CP614" i="1" s="1"/>
  <c r="BK548" i="1"/>
  <c r="CN548" i="1" s="1"/>
  <c r="CO548" i="1" s="1"/>
  <c r="CP548" i="1" s="1"/>
  <c r="BK546" i="1"/>
  <c r="CN546" i="1" s="1"/>
  <c r="CO546" i="1" s="1"/>
  <c r="CP546" i="1" s="1"/>
  <c r="BK581" i="1"/>
  <c r="CN581" i="1" s="1"/>
  <c r="CO581" i="1" s="1"/>
  <c r="CP581" i="1" s="1"/>
  <c r="BK574" i="1"/>
  <c r="CN574" i="1" s="1"/>
  <c r="CO574" i="1" s="1"/>
  <c r="CP574" i="1" s="1"/>
  <c r="BK576" i="1"/>
  <c r="CP576" i="1" s="1"/>
  <c r="BK569" i="1"/>
  <c r="CN569" i="1" s="1"/>
  <c r="CO569" i="1" s="1"/>
  <c r="CP569" i="1" s="1"/>
  <c r="BK555" i="1"/>
  <c r="CN555" i="1" s="1"/>
  <c r="CO555" i="1" s="1"/>
  <c r="CP555" i="1" s="1"/>
  <c r="BK544" i="1"/>
  <c r="CN544" i="1" s="1"/>
  <c r="CO544" i="1" s="1"/>
  <c r="CP544" i="1" s="1"/>
  <c r="BK540" i="1"/>
  <c r="CN540" i="1" s="1"/>
  <c r="CO540" i="1" s="1"/>
  <c r="CP540" i="1" s="1"/>
  <c r="BK606" i="1"/>
  <c r="CN606" i="1" s="1"/>
  <c r="CO606" i="1" s="1"/>
  <c r="CP606" i="1" s="1"/>
  <c r="BK601" i="1"/>
  <c r="CN601" i="1" s="1"/>
  <c r="CO601" i="1" s="1"/>
  <c r="CP601" i="1" s="1"/>
  <c r="BK640" i="1"/>
  <c r="CN640" i="1" s="1"/>
  <c r="CO640" i="1" s="1"/>
  <c r="CP640" i="1" s="1"/>
  <c r="BK633" i="1"/>
  <c r="CN633" i="1" s="1"/>
  <c r="CO633" i="1" s="1"/>
  <c r="CP633" i="1" s="1"/>
  <c r="BK613" i="1"/>
  <c r="CP613" i="1" s="1"/>
  <c r="BK560" i="1"/>
  <c r="CN560" i="1" s="1"/>
  <c r="CO560" i="1" s="1"/>
  <c r="CP560" i="1" s="1"/>
  <c r="BK556" i="1"/>
  <c r="CN556" i="1" s="1"/>
  <c r="CO556" i="1" s="1"/>
  <c r="CP556" i="1" s="1"/>
  <c r="BK554" i="1"/>
  <c r="CN554" i="1" s="1"/>
  <c r="CO554" i="1" s="1"/>
  <c r="CP554" i="1" s="1"/>
  <c r="BK558" i="1"/>
  <c r="CN558" i="1" s="1"/>
  <c r="CO558" i="1" s="1"/>
  <c r="CP558" i="1" s="1"/>
  <c r="BK557" i="1"/>
  <c r="CN557" i="1" s="1"/>
  <c r="CO557" i="1" s="1"/>
  <c r="CP557" i="1" s="1"/>
  <c r="BK553" i="1"/>
  <c r="CN553" i="1" s="1"/>
  <c r="CO553" i="1" s="1"/>
  <c r="CP553" i="1" s="1"/>
  <c r="BK549" i="1"/>
  <c r="CP549" i="1" s="1"/>
  <c r="BK575" i="1"/>
  <c r="CP575" i="1" s="1"/>
  <c r="BK572" i="1"/>
  <c r="CP572" i="1" s="1"/>
  <c r="BK561" i="1"/>
  <c r="CN561" i="1" s="1"/>
  <c r="CO561" i="1" s="1"/>
  <c r="CP561" i="1" s="1"/>
  <c r="BK562" i="1"/>
  <c r="CN562" i="1" s="1"/>
  <c r="CO562" i="1" s="1"/>
  <c r="CP562" i="1" s="1"/>
  <c r="BK578" i="1"/>
  <c r="CP578" i="1" s="1"/>
  <c r="BK485" i="1"/>
  <c r="CN485" i="1" s="1"/>
  <c r="CO485" i="1" s="1"/>
  <c r="CP485" i="1" s="1"/>
  <c r="BK577" i="1"/>
  <c r="CN577" i="1" s="1"/>
  <c r="CO577" i="1" s="1"/>
  <c r="CP577" i="1" s="1"/>
  <c r="BK545" i="1"/>
  <c r="CN545" i="1" s="1"/>
  <c r="CO545" i="1" s="1"/>
  <c r="CP545" i="1" s="1"/>
  <c r="BK539" i="1"/>
  <c r="CN539" i="1" s="1"/>
  <c r="CO539" i="1" s="1"/>
  <c r="CP539" i="1" s="1"/>
  <c r="BK573" i="1"/>
  <c r="CN573" i="1" s="1"/>
  <c r="CO573" i="1" s="1"/>
  <c r="CP573" i="1" s="1"/>
  <c r="BK550" i="1"/>
  <c r="CN550" i="1" s="1"/>
  <c r="CO550" i="1" s="1"/>
  <c r="CP550" i="1" s="1"/>
  <c r="BK541" i="1"/>
  <c r="CP541" i="1" s="1"/>
  <c r="BK563" i="1"/>
  <c r="CP563" i="1" s="1"/>
  <c r="BK398" i="1"/>
  <c r="CN398" i="1" s="1"/>
  <c r="CO398" i="1" s="1"/>
  <c r="CP398" i="1" s="1"/>
  <c r="BK486" i="1"/>
  <c r="CN486" i="1" s="1"/>
  <c r="CO486" i="1" s="1"/>
  <c r="CP486" i="1" s="1"/>
  <c r="BK542" i="1"/>
  <c r="CN542" i="1" s="1"/>
  <c r="CO542" i="1" s="1"/>
  <c r="CP542" i="1" s="1"/>
  <c r="BK400" i="1"/>
  <c r="CP400" i="1" s="1"/>
  <c r="BK484" i="1"/>
  <c r="CP484" i="1" s="1"/>
  <c r="BK407" i="1"/>
  <c r="CN407" i="1" s="1"/>
  <c r="CO407" i="1" s="1"/>
  <c r="CP407" i="1" s="1"/>
  <c r="BK393" i="1"/>
  <c r="CP393" i="1" s="1"/>
  <c r="BK366" i="1"/>
  <c r="CN366" i="1" s="1"/>
  <c r="CO366" i="1" s="1"/>
  <c r="CP366" i="1" s="1"/>
  <c r="BK358" i="1"/>
  <c r="CN358" i="1" s="1"/>
  <c r="CO358" i="1" s="1"/>
  <c r="CP358" i="1" s="1"/>
  <c r="BK357" i="1"/>
  <c r="CN357" i="1" s="1"/>
  <c r="CO357" i="1" s="1"/>
  <c r="CP357" i="1" s="1"/>
  <c r="BK330" i="1"/>
  <c r="CN330" i="1" s="1"/>
  <c r="CO330" i="1" s="1"/>
  <c r="CP330" i="1" s="1"/>
  <c r="BK329" i="1"/>
  <c r="CN329" i="1" s="1"/>
  <c r="CO329" i="1" s="1"/>
  <c r="CP329" i="1" s="1"/>
  <c r="BK415" i="1"/>
  <c r="CN415" i="1" s="1"/>
  <c r="CO415" i="1" s="1"/>
  <c r="CP415" i="1" s="1"/>
  <c r="BK411" i="1"/>
  <c r="CN411" i="1" s="1"/>
  <c r="CO411" i="1" s="1"/>
  <c r="CP411" i="1" s="1"/>
  <c r="BK306" i="1"/>
  <c r="CN306" i="1" s="1"/>
  <c r="CO306" i="1" s="1"/>
  <c r="CP306" i="1" s="1"/>
  <c r="BK397" i="1"/>
  <c r="CN397" i="1" s="1"/>
  <c r="CO397" i="1" s="1"/>
  <c r="CP397" i="1" s="1"/>
  <c r="BK392" i="1"/>
  <c r="CN392" i="1" s="1"/>
  <c r="CO392" i="1" s="1"/>
  <c r="CP392" i="1" s="1"/>
  <c r="BK379" i="1"/>
  <c r="CN379" i="1" s="1"/>
  <c r="CO379" i="1" s="1"/>
  <c r="CP379" i="1" s="1"/>
  <c r="BK336" i="1"/>
  <c r="CP336" i="1" s="1"/>
  <c r="BK406" i="1"/>
  <c r="CN406" i="1" s="1"/>
  <c r="CO406" i="1" s="1"/>
  <c r="CP406" i="1" s="1"/>
  <c r="BK384" i="1"/>
  <c r="CN384" i="1" s="1"/>
  <c r="CO384" i="1" s="1"/>
  <c r="CP384" i="1" s="1"/>
  <c r="BK340" i="1"/>
  <c r="CN340" i="1" s="1"/>
  <c r="CO340" i="1" s="1"/>
  <c r="CP340" i="1" s="1"/>
  <c r="BK339" i="1"/>
  <c r="CN339" i="1" s="1"/>
  <c r="CO339" i="1" s="1"/>
  <c r="CP339" i="1" s="1"/>
  <c r="BK387" i="1"/>
  <c r="CN387" i="1" s="1"/>
  <c r="CO387" i="1" s="1"/>
  <c r="CP387" i="1" s="1"/>
  <c r="BK377" i="1"/>
  <c r="CP377" i="1" s="1"/>
  <c r="BK383" i="1"/>
  <c r="CP383" i="1" s="1"/>
  <c r="BK382" i="1"/>
  <c r="CP382" i="1" s="1"/>
  <c r="BK380" i="1"/>
  <c r="CN380" i="1" s="1"/>
  <c r="CO380" i="1" s="1"/>
  <c r="CP380" i="1" s="1"/>
  <c r="BK375" i="1"/>
  <c r="CP375" i="1" s="1"/>
  <c r="BK371" i="1"/>
  <c r="CN371" i="1" s="1"/>
  <c r="CO371" i="1" s="1"/>
  <c r="CP371" i="1" s="1"/>
  <c r="BK334" i="1"/>
  <c r="CN334" i="1" s="1"/>
  <c r="CO334" i="1" s="1"/>
  <c r="CP334" i="1" s="1"/>
  <c r="BK376" i="1"/>
  <c r="CP376" i="1" s="1"/>
  <c r="BK354" i="1"/>
  <c r="CN354" i="1" s="1"/>
  <c r="CO354" i="1" s="1"/>
  <c r="CP354" i="1" s="1"/>
  <c r="BK231" i="1"/>
  <c r="CN231" i="1" s="1"/>
  <c r="CO231" i="1" s="1"/>
  <c r="CP231" i="1" s="1"/>
  <c r="BK378" i="1"/>
  <c r="CP378" i="1" s="1"/>
  <c r="BK347" i="1"/>
  <c r="CN347" i="1" s="1"/>
  <c r="CO347" i="1" s="1"/>
  <c r="CP347" i="1" s="1"/>
  <c r="BK317" i="1"/>
  <c r="CN317" i="1" s="1"/>
  <c r="CO317" i="1" s="1"/>
  <c r="CP317" i="1" s="1"/>
  <c r="BK313" i="1"/>
  <c r="CN313" i="1" s="1"/>
  <c r="CO313" i="1" s="1"/>
  <c r="CP313" i="1" s="1"/>
  <c r="BK288" i="1"/>
  <c r="CN288" i="1" s="1"/>
  <c r="CO288" i="1" s="1"/>
  <c r="CP288" i="1" s="1"/>
  <c r="BK399" i="1"/>
  <c r="CN399" i="1" s="1"/>
  <c r="CO399" i="1" s="1"/>
  <c r="CP399" i="1" s="1"/>
  <c r="BK386" i="1"/>
  <c r="CN386" i="1" s="1"/>
  <c r="CO386" i="1" s="1"/>
  <c r="CP386" i="1" s="1"/>
  <c r="BK385" i="1"/>
  <c r="CN385" i="1" s="1"/>
  <c r="CO385" i="1" s="1"/>
  <c r="CP385" i="1" s="1"/>
  <c r="BK390" i="1"/>
  <c r="CN390" i="1" s="1"/>
  <c r="CO390" i="1" s="1"/>
  <c r="CP390" i="1" s="1"/>
  <c r="BK388" i="1"/>
  <c r="CN388" i="1" s="1"/>
  <c r="CO388" i="1" s="1"/>
  <c r="CP388" i="1" s="1"/>
  <c r="BK395" i="1"/>
  <c r="CP395" i="1" s="1"/>
  <c r="BK401" i="1"/>
  <c r="CP401" i="1" s="1"/>
  <c r="BK365" i="1"/>
  <c r="CN365" i="1" s="1"/>
  <c r="CO365" i="1" s="1"/>
  <c r="CP365" i="1" s="1"/>
  <c r="BK335" i="1"/>
  <c r="CP335" i="1" s="1"/>
  <c r="BK299" i="1"/>
  <c r="CN299" i="1" s="1"/>
  <c r="CO299" i="1" s="1"/>
  <c r="CP299" i="1" s="1"/>
  <c r="BK295" i="1"/>
  <c r="CN295" i="1" s="1"/>
  <c r="CO295" i="1" s="1"/>
  <c r="CP295" i="1" s="1"/>
  <c r="BK293" i="1"/>
  <c r="CN293" i="1" s="1"/>
  <c r="CO293" i="1" s="1"/>
  <c r="CP293" i="1" s="1"/>
  <c r="BK391" i="1"/>
  <c r="CN391" i="1" s="1"/>
  <c r="CO391" i="1" s="1"/>
  <c r="CP391" i="1" s="1"/>
  <c r="BK302" i="1"/>
  <c r="CN302" i="1" s="1"/>
  <c r="CO302" i="1" s="1"/>
  <c r="CP302" i="1" s="1"/>
  <c r="BK289" i="1"/>
  <c r="CN289" i="1" s="1"/>
  <c r="CO289" i="1" s="1"/>
  <c r="CP289" i="1" s="1"/>
  <c r="BK275" i="1"/>
  <c r="CP275" i="1" s="1"/>
  <c r="BK274" i="1"/>
  <c r="CN274" i="1" s="1"/>
  <c r="CO274" i="1" s="1"/>
  <c r="CP274" i="1" s="1"/>
  <c r="BK273" i="1"/>
  <c r="CN273" i="1" s="1"/>
  <c r="CO273" i="1" s="1"/>
  <c r="CP273" i="1" s="1"/>
  <c r="BK409" i="1"/>
  <c r="CN409" i="1" s="1"/>
  <c r="CO409" i="1" s="1"/>
  <c r="CP409" i="1" s="1"/>
  <c r="BK373" i="1"/>
  <c r="CN373" i="1" s="1"/>
  <c r="CO373" i="1" s="1"/>
  <c r="CP373" i="1" s="1"/>
  <c r="BK359" i="1"/>
  <c r="CN359" i="1" s="1"/>
  <c r="CO359" i="1" s="1"/>
  <c r="CP359" i="1" s="1"/>
  <c r="BK332" i="1"/>
  <c r="CN332" i="1" s="1"/>
  <c r="CO332" i="1" s="1"/>
  <c r="CP332" i="1" s="1"/>
  <c r="BK320" i="1"/>
  <c r="CN320" i="1" s="1"/>
  <c r="CO320" i="1" s="1"/>
  <c r="CP320" i="1" s="1"/>
  <c r="BK315" i="1"/>
  <c r="CN315" i="1" s="1"/>
  <c r="CO315" i="1" s="1"/>
  <c r="CP315" i="1" s="1"/>
  <c r="BK307" i="1"/>
  <c r="CN307" i="1" s="1"/>
  <c r="CO307" i="1" s="1"/>
  <c r="CP307" i="1" s="1"/>
  <c r="BK305" i="1"/>
  <c r="CN305" i="1" s="1"/>
  <c r="CO305" i="1" s="1"/>
  <c r="CP305" i="1" s="1"/>
  <c r="BK286" i="1"/>
  <c r="CN286" i="1" s="1"/>
  <c r="CO286" i="1" s="1"/>
  <c r="CP286" i="1" s="1"/>
  <c r="BK355" i="1"/>
  <c r="CN355" i="1" s="1"/>
  <c r="CO355" i="1" s="1"/>
  <c r="CP355" i="1" s="1"/>
  <c r="BK353" i="1"/>
  <c r="CN353" i="1" s="1"/>
  <c r="CO353" i="1" s="1"/>
  <c r="CP353" i="1" s="1"/>
  <c r="BK346" i="1"/>
  <c r="CN346" i="1" s="1"/>
  <c r="CO346" i="1" s="1"/>
  <c r="CP346" i="1" s="1"/>
  <c r="BK372" i="1"/>
  <c r="CN372" i="1" s="1"/>
  <c r="CO372" i="1" s="1"/>
  <c r="CP372" i="1" s="1"/>
  <c r="BK364" i="1"/>
  <c r="CN364" i="1" s="1"/>
  <c r="CO364" i="1" s="1"/>
  <c r="CP364" i="1" s="1"/>
  <c r="BK416" i="1"/>
  <c r="CN416" i="1" s="1"/>
  <c r="CO416" i="1" s="1"/>
  <c r="CP416" i="1" s="1"/>
  <c r="BK367" i="1"/>
  <c r="CN367" i="1" s="1"/>
  <c r="CO367" i="1" s="1"/>
  <c r="CP367" i="1" s="1"/>
  <c r="BK394" i="1"/>
  <c r="CP394" i="1" s="1"/>
  <c r="BK381" i="1"/>
  <c r="CP381" i="1" s="1"/>
  <c r="BK360" i="1"/>
  <c r="CN360" i="1" s="1"/>
  <c r="CO360" i="1" s="1"/>
  <c r="CP360" i="1" s="1"/>
  <c r="BK333" i="1"/>
  <c r="CN333" i="1" s="1"/>
  <c r="CO333" i="1" s="1"/>
  <c r="CP333" i="1" s="1"/>
  <c r="BK308" i="1"/>
  <c r="CN308" i="1" s="1"/>
  <c r="CO308" i="1" s="1"/>
  <c r="CP308" i="1" s="1"/>
  <c r="BK301" i="1"/>
  <c r="CN301" i="1" s="1"/>
  <c r="CO301" i="1" s="1"/>
  <c r="CP301" i="1" s="1"/>
  <c r="BK297" i="1"/>
  <c r="CN297" i="1" s="1"/>
  <c r="CO297" i="1" s="1"/>
  <c r="CP297" i="1" s="1"/>
  <c r="BK276" i="1"/>
  <c r="CP276" i="1" s="1"/>
  <c r="BK363" i="1"/>
  <c r="CP363" i="1" s="1"/>
  <c r="BK321" i="1"/>
  <c r="CN321" i="1" s="1"/>
  <c r="CO321" i="1" s="1"/>
  <c r="CP321" i="1" s="1"/>
  <c r="BK225" i="1"/>
  <c r="CN225" i="1" s="1"/>
  <c r="CO225" i="1" s="1"/>
  <c r="CP225" i="1" s="1"/>
  <c r="BK215" i="1"/>
  <c r="CN215" i="1" s="1"/>
  <c r="CO215" i="1" s="1"/>
  <c r="CP215" i="1" s="1"/>
  <c r="BK207" i="1"/>
  <c r="CN207" i="1" s="1"/>
  <c r="CO207" i="1" s="1"/>
  <c r="CP207" i="1" s="1"/>
  <c r="BK314" i="1"/>
  <c r="CN314" i="1" s="1"/>
  <c r="CO314" i="1" s="1"/>
  <c r="CP314" i="1" s="1"/>
  <c r="BK280" i="1"/>
  <c r="CN280" i="1" s="1"/>
  <c r="CO280" i="1" s="1"/>
  <c r="CP280" i="1" s="1"/>
  <c r="BK223" i="1"/>
  <c r="CN223" i="1" s="1"/>
  <c r="CO223" i="1" s="1"/>
  <c r="CP223" i="1" s="1"/>
  <c r="BK219" i="1"/>
  <c r="CN219" i="1" s="1"/>
  <c r="CO219" i="1" s="1"/>
  <c r="CP219" i="1" s="1"/>
  <c r="BK216" i="1"/>
  <c r="CN216" i="1" s="1"/>
  <c r="CO216" i="1" s="1"/>
  <c r="CP216" i="1" s="1"/>
  <c r="BK184" i="1"/>
  <c r="CN184" i="1" s="1"/>
  <c r="CO184" i="1" s="1"/>
  <c r="CP184" i="1" s="1"/>
  <c r="BK350" i="1"/>
  <c r="CN350" i="1" s="1"/>
  <c r="CO350" i="1" s="1"/>
  <c r="CP350" i="1" s="1"/>
  <c r="BK331" i="1"/>
  <c r="CN331" i="1" s="1"/>
  <c r="CO331" i="1" s="1"/>
  <c r="CP331" i="1" s="1"/>
  <c r="BK300" i="1"/>
  <c r="CN300" i="1" s="1"/>
  <c r="CO300" i="1" s="1"/>
  <c r="CP300" i="1" s="1"/>
  <c r="BK296" i="1"/>
  <c r="CN296" i="1" s="1"/>
  <c r="CO296" i="1" s="1"/>
  <c r="CP296" i="1" s="1"/>
  <c r="BK292" i="1"/>
  <c r="CN292" i="1" s="1"/>
  <c r="CO292" i="1" s="1"/>
  <c r="CP292" i="1" s="1"/>
  <c r="BK282" i="1"/>
  <c r="CN282" i="1" s="1"/>
  <c r="CO282" i="1" s="1"/>
  <c r="CP282" i="1" s="1"/>
  <c r="BK356" i="1"/>
  <c r="CP356" i="1" s="1"/>
  <c r="BK278" i="1"/>
  <c r="CN278" i="1" s="1"/>
  <c r="CO278" i="1" s="1"/>
  <c r="CP278" i="1" s="1"/>
  <c r="BK239" i="1"/>
  <c r="CN239" i="1" s="1"/>
  <c r="CO239" i="1" s="1"/>
  <c r="CP239" i="1" s="1"/>
  <c r="BK319" i="1"/>
  <c r="CN319" i="1" s="1"/>
  <c r="CO319" i="1" s="1"/>
  <c r="CP319" i="1" s="1"/>
  <c r="BK208" i="1"/>
  <c r="CN208" i="1" s="1"/>
  <c r="CO208" i="1" s="1"/>
  <c r="CP208" i="1" s="1"/>
  <c r="BK370" i="1"/>
  <c r="CN370" i="1" s="1"/>
  <c r="CO370" i="1" s="1"/>
  <c r="CP370" i="1" s="1"/>
  <c r="BK368" i="1"/>
  <c r="CN368" i="1" s="1"/>
  <c r="CO368" i="1" s="1"/>
  <c r="CP368" i="1" s="1"/>
  <c r="BK351" i="1"/>
  <c r="CN351" i="1" s="1"/>
  <c r="CO351" i="1" s="1"/>
  <c r="CP351" i="1" s="1"/>
  <c r="BK318" i="1"/>
  <c r="CN318" i="1" s="1"/>
  <c r="CO318" i="1" s="1"/>
  <c r="CP318" i="1" s="1"/>
  <c r="BK281" i="1"/>
  <c r="CP281" i="1" s="1"/>
  <c r="BK221" i="1"/>
  <c r="CN221" i="1" s="1"/>
  <c r="CO221" i="1" s="1"/>
  <c r="CP221" i="1" s="1"/>
  <c r="BK217" i="1"/>
  <c r="CN217" i="1" s="1"/>
  <c r="CO217" i="1" s="1"/>
  <c r="CP217" i="1" s="1"/>
  <c r="BK324" i="1"/>
  <c r="CN324" i="1" s="1"/>
  <c r="CO324" i="1" s="1"/>
  <c r="CP324" i="1" s="1"/>
  <c r="BK316" i="1"/>
  <c r="CN316" i="1" s="1"/>
  <c r="CO316" i="1" s="1"/>
  <c r="CP316" i="1" s="1"/>
  <c r="BK285" i="1"/>
  <c r="CN285" i="1" s="1"/>
  <c r="CO285" i="1" s="1"/>
  <c r="CP285" i="1" s="1"/>
  <c r="BK283" i="1"/>
  <c r="CN283" i="1" s="1"/>
  <c r="CO283" i="1" s="1"/>
  <c r="CP283" i="1" s="1"/>
  <c r="BK342" i="1"/>
  <c r="CN342" i="1" s="1"/>
  <c r="CO342" i="1" s="1"/>
  <c r="CP342" i="1" s="1"/>
  <c r="BK309" i="1"/>
  <c r="CN309" i="1" s="1"/>
  <c r="CO309" i="1" s="1"/>
  <c r="CP309" i="1" s="1"/>
  <c r="BK312" i="1"/>
  <c r="CN312" i="1" s="1"/>
  <c r="CO312" i="1" s="1"/>
  <c r="CP312" i="1" s="1"/>
  <c r="BK322" i="1"/>
  <c r="CN322" i="1" s="1"/>
  <c r="CO322" i="1" s="1"/>
  <c r="CP322" i="1" s="1"/>
  <c r="BK410" i="1"/>
  <c r="CN410" i="1" s="1"/>
  <c r="CO410" i="1" s="1"/>
  <c r="CP410" i="1" s="1"/>
  <c r="BK369" i="1"/>
  <c r="CP369" i="1" s="1"/>
  <c r="BK279" i="1"/>
  <c r="CN279" i="1" s="1"/>
  <c r="CO279" i="1" s="1"/>
  <c r="CP279" i="1" s="1"/>
  <c r="BK218" i="1"/>
  <c r="CN218" i="1" s="1"/>
  <c r="CO218" i="1" s="1"/>
  <c r="CP218" i="1" s="1"/>
  <c r="BK197" i="1"/>
  <c r="CP197" i="1" s="1"/>
  <c r="BK192" i="1"/>
  <c r="CN192" i="1" s="1"/>
  <c r="CO192" i="1" s="1"/>
  <c r="CP192" i="1" s="1"/>
  <c r="BK374" i="1"/>
  <c r="CN374" i="1" s="1"/>
  <c r="CO374" i="1" s="1"/>
  <c r="CP374" i="1" s="1"/>
  <c r="BK294" i="1"/>
  <c r="CN294" i="1" s="1"/>
  <c r="CO294" i="1" s="1"/>
  <c r="CP294" i="1" s="1"/>
  <c r="BK229" i="1"/>
  <c r="CN229" i="1" s="1"/>
  <c r="CO229" i="1" s="1"/>
  <c r="CP229" i="1" s="1"/>
  <c r="BK180" i="1"/>
  <c r="CN180" i="1" s="1"/>
  <c r="CO180" i="1" s="1"/>
  <c r="CP180" i="1" s="1"/>
  <c r="BK176" i="1"/>
  <c r="CP176" i="1" s="1"/>
  <c r="BK160" i="1"/>
  <c r="CN160" i="1" s="1"/>
  <c r="CO160" i="1" s="1"/>
  <c r="CP160" i="1" s="1"/>
  <c r="BK116" i="1"/>
  <c r="CP116" i="1" s="1"/>
  <c r="BK114" i="1"/>
  <c r="CP114" i="1" s="1"/>
  <c r="BK105" i="1"/>
  <c r="CN105" i="1" s="1"/>
  <c r="CO105" i="1" s="1"/>
  <c r="CP105" i="1" s="1"/>
  <c r="BK291" i="1"/>
  <c r="CN291" i="1" s="1"/>
  <c r="CO291" i="1" s="1"/>
  <c r="CP291" i="1" s="1"/>
  <c r="BK213" i="1"/>
  <c r="CN213" i="1" s="1"/>
  <c r="CO213" i="1" s="1"/>
  <c r="CP213" i="1" s="1"/>
  <c r="BK209" i="1"/>
  <c r="CN209" i="1" s="1"/>
  <c r="CO209" i="1" s="1"/>
  <c r="CP209" i="1" s="1"/>
  <c r="BK150" i="1"/>
  <c r="CN150" i="1" s="1"/>
  <c r="CO150" i="1" s="1"/>
  <c r="CP150" i="1" s="1"/>
  <c r="BK148" i="1"/>
  <c r="CN148" i="1" s="1"/>
  <c r="CO148" i="1" s="1"/>
  <c r="CP148" i="1" s="1"/>
  <c r="BK129" i="1"/>
  <c r="CP129" i="1" s="1"/>
  <c r="BK228" i="1"/>
  <c r="CN228" i="1" s="1"/>
  <c r="CO228" i="1" s="1"/>
  <c r="CP228" i="1" s="1"/>
  <c r="BK227" i="1"/>
  <c r="CN227" i="1" s="1"/>
  <c r="CO227" i="1" s="1"/>
  <c r="CP227" i="1" s="1"/>
  <c r="BK396" i="1"/>
  <c r="CN396" i="1" s="1"/>
  <c r="CO396" i="1" s="1"/>
  <c r="CP396" i="1" s="1"/>
  <c r="BK310" i="1"/>
  <c r="CN310" i="1" s="1"/>
  <c r="CO310" i="1" s="1"/>
  <c r="CP310" i="1" s="1"/>
  <c r="BK298" i="1"/>
  <c r="CN298" i="1" s="1"/>
  <c r="CO298" i="1" s="1"/>
  <c r="CP298" i="1" s="1"/>
  <c r="BK241" i="1"/>
  <c r="CP241" i="1" s="1"/>
  <c r="BK323" i="1"/>
  <c r="CN323" i="1" s="1"/>
  <c r="CO323" i="1" s="1"/>
  <c r="CP323" i="1" s="1"/>
  <c r="BK220" i="1"/>
  <c r="CN220" i="1" s="1"/>
  <c r="CO220" i="1" s="1"/>
  <c r="CP220" i="1" s="1"/>
  <c r="BK203" i="1"/>
  <c r="CP203" i="1" s="1"/>
  <c r="BK181" i="1"/>
  <c r="CN181" i="1" s="1"/>
  <c r="CO181" i="1" s="1"/>
  <c r="CP181" i="1" s="1"/>
  <c r="BK171" i="1"/>
  <c r="CP171" i="1" s="1"/>
  <c r="BK249" i="1"/>
  <c r="CP249" i="1" s="1"/>
  <c r="BK212" i="1"/>
  <c r="CN212" i="1" s="1"/>
  <c r="CO212" i="1" s="1"/>
  <c r="CP212" i="1" s="1"/>
  <c r="BK193" i="1"/>
  <c r="CN193" i="1" s="1"/>
  <c r="CO193" i="1" s="1"/>
  <c r="CP193" i="1" s="1"/>
  <c r="BK185" i="1"/>
  <c r="CN185" i="1" s="1"/>
  <c r="CO185" i="1" s="1"/>
  <c r="CP185" i="1" s="1"/>
  <c r="BK173" i="1"/>
  <c r="CP173" i="1" s="1"/>
  <c r="BK126" i="1"/>
  <c r="CP126" i="1" s="1"/>
  <c r="BK124" i="1"/>
  <c r="CN124" i="1" s="1"/>
  <c r="CO124" i="1" s="1"/>
  <c r="CP124" i="1" s="1"/>
  <c r="BK122" i="1"/>
  <c r="CP122" i="1" s="1"/>
  <c r="BK189" i="1"/>
  <c r="CN189" i="1" s="1"/>
  <c r="CO189" i="1" s="1"/>
  <c r="CP189" i="1" s="1"/>
  <c r="BK284" i="1"/>
  <c r="CN284" i="1" s="1"/>
  <c r="CO284" i="1" s="1"/>
  <c r="CP284" i="1" s="1"/>
  <c r="BK202" i="1"/>
  <c r="CP202" i="1" s="1"/>
  <c r="BK195" i="1"/>
  <c r="CN195" i="1" s="1"/>
  <c r="CO195" i="1" s="1"/>
  <c r="CP195" i="1" s="1"/>
  <c r="BK303" i="1"/>
  <c r="CN303" i="1" s="1"/>
  <c r="CO303" i="1" s="1"/>
  <c r="CP303" i="1" s="1"/>
  <c r="BK230" i="1"/>
  <c r="CN230" i="1" s="1"/>
  <c r="CO230" i="1" s="1"/>
  <c r="CP230" i="1" s="1"/>
  <c r="BK222" i="1"/>
  <c r="CN222" i="1" s="1"/>
  <c r="CO222" i="1" s="1"/>
  <c r="CP222" i="1" s="1"/>
  <c r="BK277" i="1"/>
  <c r="CP277" i="1" s="1"/>
  <c r="BK211" i="1"/>
  <c r="CN211" i="1" s="1"/>
  <c r="CO211" i="1" s="1"/>
  <c r="CP211" i="1" s="1"/>
  <c r="BK186" i="1"/>
  <c r="CN186" i="1" s="1"/>
  <c r="CO186" i="1" s="1"/>
  <c r="CP186" i="1" s="1"/>
  <c r="BK174" i="1"/>
  <c r="CP174" i="1" s="1"/>
  <c r="BK102" i="1"/>
  <c r="CN102" i="1" s="1"/>
  <c r="CO102" i="1" s="1"/>
  <c r="CP102" i="1" s="1"/>
  <c r="BK157" i="1"/>
  <c r="CN157" i="1" s="1"/>
  <c r="CO157" i="1" s="1"/>
  <c r="CP157" i="1" s="1"/>
  <c r="BK123" i="1"/>
  <c r="CN123" i="1" s="1"/>
  <c r="CO123" i="1" s="1"/>
  <c r="CP123" i="1" s="1"/>
  <c r="BK118" i="1"/>
  <c r="CP118" i="1" s="1"/>
  <c r="BK115" i="1"/>
  <c r="CN115" i="1" s="1"/>
  <c r="CO115" i="1" s="1"/>
  <c r="CP115" i="1" s="1"/>
  <c r="BK112" i="1"/>
  <c r="CN112" i="1" s="1"/>
  <c r="CO112" i="1" s="1"/>
  <c r="CP112" i="1" s="1"/>
  <c r="BK87" i="1"/>
  <c r="CN87" i="1" s="1"/>
  <c r="CO87" i="1" s="1"/>
  <c r="CP87" i="1" s="1"/>
  <c r="BK155" i="1"/>
  <c r="CN155" i="1" s="1"/>
  <c r="CO155" i="1" s="1"/>
  <c r="CP155" i="1" s="1"/>
  <c r="BK169" i="1"/>
  <c r="CP169" i="1" s="1"/>
  <c r="BK110" i="1"/>
  <c r="CN110" i="1" s="1"/>
  <c r="CO110" i="1" s="1"/>
  <c r="CP110" i="1" s="1"/>
  <c r="BK53" i="1"/>
  <c r="CN53" i="1" s="1"/>
  <c r="CO53" i="1" s="1"/>
  <c r="CP53" i="1" s="1"/>
  <c r="BK51" i="1"/>
  <c r="CP51" i="1" s="1"/>
  <c r="BK40" i="1"/>
  <c r="CN40" i="1" s="1"/>
  <c r="CO40" i="1" s="1"/>
  <c r="CP40" i="1" s="1"/>
  <c r="BK38" i="1"/>
  <c r="CP38" i="1" s="1"/>
  <c r="BK194" i="1"/>
  <c r="CP194" i="1" s="1"/>
  <c r="BK177" i="1"/>
  <c r="CP177" i="1" s="1"/>
  <c r="BK190" i="1"/>
  <c r="CN190" i="1" s="1"/>
  <c r="CO190" i="1" s="1"/>
  <c r="CP190" i="1" s="1"/>
  <c r="BK200" i="1"/>
  <c r="CN200" i="1" s="1"/>
  <c r="CO200" i="1" s="1"/>
  <c r="CP200" i="1" s="1"/>
  <c r="BK109" i="1"/>
  <c r="CN109" i="1" s="1"/>
  <c r="CO109" i="1" s="1"/>
  <c r="CP109" i="1" s="1"/>
  <c r="BK104" i="1"/>
  <c r="CN104" i="1" s="1"/>
  <c r="CO104" i="1" s="1"/>
  <c r="CP104" i="1" s="1"/>
  <c r="BK85" i="1"/>
  <c r="CN85" i="1" s="1"/>
  <c r="CO85" i="1" s="1"/>
  <c r="CP85" i="1" s="1"/>
  <c r="BK83" i="1"/>
  <c r="CN83" i="1" s="1"/>
  <c r="CO83" i="1" s="1"/>
  <c r="CP83" i="1" s="1"/>
  <c r="BK214" i="1"/>
  <c r="CN214" i="1" s="1"/>
  <c r="CO214" i="1" s="1"/>
  <c r="CP214" i="1" s="1"/>
  <c r="BK147" i="1"/>
  <c r="CN147" i="1" s="1"/>
  <c r="CO147" i="1" s="1"/>
  <c r="CP147" i="1" s="1"/>
  <c r="BK73" i="1"/>
  <c r="CP73" i="1" s="1"/>
  <c r="BK71" i="1"/>
  <c r="CP71" i="1" s="1"/>
  <c r="BK64" i="1"/>
  <c r="CN64" i="1" s="1"/>
  <c r="CO64" i="1" s="1"/>
  <c r="CP64" i="1" s="1"/>
  <c r="BK237" i="1"/>
  <c r="CN237" i="1" s="1"/>
  <c r="CO237" i="1" s="1"/>
  <c r="CP237" i="1" s="1"/>
  <c r="BK191" i="1"/>
  <c r="CN191" i="1" s="1"/>
  <c r="CO191" i="1" s="1"/>
  <c r="CP191" i="1" s="1"/>
  <c r="BK178" i="1"/>
  <c r="CN178" i="1" s="1"/>
  <c r="CO178" i="1" s="1"/>
  <c r="CP178" i="1" s="1"/>
  <c r="BK151" i="1"/>
  <c r="CN151" i="1" s="1"/>
  <c r="CO151" i="1" s="1"/>
  <c r="CP151" i="1" s="1"/>
  <c r="BK149" i="1"/>
  <c r="CN149" i="1" s="1"/>
  <c r="CO149" i="1" s="1"/>
  <c r="CP149" i="1" s="1"/>
  <c r="BK146" i="1"/>
  <c r="CN146" i="1" s="1"/>
  <c r="CO146" i="1" s="1"/>
  <c r="CP146" i="1" s="1"/>
  <c r="BK57" i="1"/>
  <c r="CN57" i="1" s="1"/>
  <c r="CO57" i="1" s="1"/>
  <c r="CP57" i="1" s="1"/>
  <c r="BK187" i="1"/>
  <c r="CN187" i="1" s="1"/>
  <c r="CO187" i="1" s="1"/>
  <c r="CP187" i="1" s="1"/>
  <c r="BK172" i="1"/>
  <c r="CN172" i="1" s="1"/>
  <c r="CO172" i="1" s="1"/>
  <c r="CP172" i="1" s="1"/>
  <c r="BK162" i="1"/>
  <c r="CN162" i="1" s="1"/>
  <c r="CO162" i="1" s="1"/>
  <c r="CP162" i="1" s="1"/>
  <c r="BK161" i="1"/>
  <c r="CN161" i="1" s="1"/>
  <c r="CO161" i="1" s="1"/>
  <c r="CP161" i="1" s="1"/>
  <c r="BK121" i="1"/>
  <c r="CP121" i="1" s="1"/>
  <c r="BK120" i="1"/>
  <c r="CP120" i="1" s="1"/>
  <c r="BK201" i="1"/>
  <c r="CP201" i="1" s="1"/>
  <c r="BK137" i="1"/>
  <c r="CP137" i="1" s="1"/>
  <c r="BK113" i="1"/>
  <c r="CN113" i="1" s="1"/>
  <c r="CO113" i="1" s="1"/>
  <c r="CP113" i="1" s="1"/>
  <c r="BK103" i="1"/>
  <c r="CN103" i="1" s="1"/>
  <c r="CO103" i="1" s="1"/>
  <c r="CP103" i="1" s="1"/>
  <c r="BK183" i="1"/>
  <c r="CP183" i="1" s="1"/>
  <c r="BK206" i="1"/>
  <c r="CN206" i="1" s="1"/>
  <c r="CO206" i="1" s="1"/>
  <c r="CP206" i="1" s="1"/>
  <c r="BK196" i="1"/>
  <c r="CP196" i="1" s="1"/>
  <c r="BK175" i="1"/>
  <c r="CN175" i="1" s="1"/>
  <c r="CO175" i="1" s="1"/>
  <c r="CP175" i="1" s="1"/>
  <c r="BK226" i="1"/>
  <c r="CN226" i="1" s="1"/>
  <c r="CO226" i="1" s="1"/>
  <c r="CP226" i="1" s="1"/>
  <c r="BK199" i="1"/>
  <c r="CP199" i="1" s="1"/>
  <c r="BK238" i="1"/>
  <c r="CN238" i="1" s="1"/>
  <c r="CO238" i="1" s="1"/>
  <c r="CP238" i="1" s="1"/>
  <c r="BK88" i="1"/>
  <c r="CN88" i="1" s="1"/>
  <c r="CO88" i="1" s="1"/>
  <c r="CP88" i="1" s="1"/>
  <c r="BK65" i="1"/>
  <c r="CP65" i="1" s="1"/>
  <c r="BK56" i="1"/>
  <c r="CP56" i="1" s="1"/>
  <c r="BK43" i="1"/>
  <c r="CN43" i="1" s="1"/>
  <c r="CO43" i="1" s="1"/>
  <c r="CP43" i="1" s="1"/>
  <c r="BK32" i="1"/>
  <c r="CN32" i="1" s="1"/>
  <c r="CO32" i="1" s="1"/>
  <c r="CP32" i="1" s="1"/>
  <c r="BK131" i="1"/>
  <c r="CN131" i="1" s="1"/>
  <c r="CO131" i="1" s="1"/>
  <c r="CP131" i="1" s="1"/>
  <c r="BK101" i="1"/>
  <c r="CN101" i="1" s="1"/>
  <c r="CO101" i="1" s="1"/>
  <c r="CP101" i="1" s="1"/>
  <c r="BK80" i="1"/>
  <c r="CN80" i="1" s="1"/>
  <c r="CO80" i="1" s="1"/>
  <c r="CP80" i="1" s="1"/>
  <c r="BK86" i="1"/>
  <c r="CN86" i="1" s="1"/>
  <c r="CO86" i="1" s="1"/>
  <c r="CP86" i="1" s="1"/>
  <c r="BK198" i="1"/>
  <c r="CN198" i="1" s="1"/>
  <c r="CO198" i="1" s="1"/>
  <c r="CP198" i="1" s="1"/>
  <c r="BK79" i="1"/>
  <c r="CP79" i="1" s="1"/>
  <c r="BK74" i="1"/>
  <c r="CN74" i="1" s="1"/>
  <c r="CO74" i="1" s="1"/>
  <c r="CP74" i="1" s="1"/>
  <c r="BK59" i="1"/>
  <c r="CP59" i="1" s="1"/>
  <c r="BK29" i="1"/>
  <c r="CN29" i="1" s="1"/>
  <c r="CO29" i="1" s="1"/>
  <c r="CP29" i="1" s="1"/>
  <c r="BK14" i="1"/>
  <c r="CN14" i="1" s="1"/>
  <c r="CO14" i="1" s="1"/>
  <c r="CP14" i="1" s="1"/>
  <c r="BK8" i="1"/>
  <c r="CN8" i="1" s="1"/>
  <c r="CO8" i="1" s="1"/>
  <c r="CP8" i="1" s="1"/>
  <c r="BK224" i="1"/>
  <c r="CN224" i="1" s="1"/>
  <c r="CO224" i="1" s="1"/>
  <c r="CP224" i="1" s="1"/>
  <c r="BK17" i="1"/>
  <c r="CN17" i="1" s="1"/>
  <c r="CO17" i="1" s="1"/>
  <c r="CP17" i="1" s="1"/>
  <c r="BK10" i="1"/>
  <c r="CN10" i="1" s="1"/>
  <c r="CO10" i="1" s="1"/>
  <c r="CP10" i="1" s="1"/>
  <c r="BK111" i="1"/>
  <c r="CN111" i="1" s="1"/>
  <c r="CO111" i="1" s="1"/>
  <c r="CP111" i="1" s="1"/>
  <c r="BK106" i="1"/>
  <c r="CN106" i="1" s="1"/>
  <c r="CO106" i="1" s="1"/>
  <c r="CP106" i="1" s="1"/>
  <c r="BK84" i="1"/>
  <c r="CN84" i="1" s="1"/>
  <c r="CO84" i="1" s="1"/>
  <c r="CP84" i="1" s="1"/>
  <c r="BK52" i="1"/>
  <c r="CP52" i="1" s="1"/>
  <c r="BK49" i="1"/>
  <c r="CN49" i="1" s="1"/>
  <c r="CO49" i="1" s="1"/>
  <c r="CP49" i="1" s="1"/>
  <c r="BK11" i="1"/>
  <c r="CN11" i="1" s="1"/>
  <c r="CO11" i="1" s="1"/>
  <c r="CP11" i="1" s="1"/>
  <c r="BK210" i="1"/>
  <c r="CN210" i="1" s="1"/>
  <c r="CO210" i="1" s="1"/>
  <c r="CP210" i="1" s="1"/>
  <c r="BK132" i="1"/>
  <c r="CP132" i="1" s="1"/>
  <c r="BK77" i="1"/>
  <c r="CP77" i="1" s="1"/>
  <c r="BK68" i="1"/>
  <c r="CN68" i="1" s="1"/>
  <c r="CO68" i="1" s="1"/>
  <c r="CP68" i="1" s="1"/>
  <c r="BK42" i="1"/>
  <c r="CP42" i="1" s="1"/>
  <c r="BK20" i="1"/>
  <c r="CN20" i="1" s="1"/>
  <c r="CO20" i="1" s="1"/>
  <c r="CP20" i="1" s="1"/>
  <c r="BK12" i="1"/>
  <c r="CN12" i="1" s="1"/>
  <c r="CO12" i="1" s="1"/>
  <c r="CP12" i="1" s="1"/>
  <c r="BK145" i="1"/>
  <c r="CN145" i="1" s="1"/>
  <c r="CO145" i="1" s="1"/>
  <c r="CP145" i="1" s="1"/>
  <c r="BK179" i="1"/>
  <c r="CN179" i="1" s="1"/>
  <c r="CO179" i="1" s="1"/>
  <c r="CP179" i="1" s="1"/>
  <c r="BK128" i="1"/>
  <c r="CP128" i="1" s="1"/>
  <c r="BK117" i="1"/>
  <c r="CP117" i="1" s="1"/>
  <c r="BK23" i="1"/>
  <c r="CN23" i="1" s="1"/>
  <c r="CO23" i="1" s="1"/>
  <c r="CP23" i="1" s="1"/>
  <c r="BK61" i="1"/>
  <c r="CP61" i="1" s="1"/>
  <c r="BK69" i="1"/>
  <c r="CN69" i="1" s="1"/>
  <c r="CO69" i="1" s="1"/>
  <c r="CP69" i="1" s="1"/>
  <c r="CD143" i="1"/>
  <c r="CE143" i="1" s="1"/>
  <c r="CF143" i="1" s="1"/>
  <c r="CH143" i="1" s="1"/>
  <c r="BK182" i="1"/>
  <c r="CN182" i="1" s="1"/>
  <c r="CO182" i="1" s="1"/>
  <c r="CP182" i="1" s="1"/>
  <c r="BK6" i="1"/>
  <c r="BK9" i="1"/>
  <c r="CN9" i="1" s="1"/>
  <c r="CO9" i="1" s="1"/>
  <c r="CP9" i="1" s="1"/>
  <c r="BK188" i="1"/>
  <c r="CP188" i="1" s="1"/>
  <c r="BK60" i="1"/>
  <c r="CP60" i="1" s="1"/>
  <c r="BM98" i="1"/>
  <c r="BL107" i="1"/>
  <c r="BM107" i="1"/>
  <c r="BU107" i="1" s="1"/>
  <c r="BL7" i="1"/>
  <c r="BK18" i="1"/>
  <c r="CN18" i="1" s="1"/>
  <c r="CO18" i="1" s="1"/>
  <c r="CP18" i="1" s="1"/>
  <c r="BK72" i="1"/>
  <c r="CP72" i="1" s="1"/>
  <c r="BZ130" i="1"/>
  <c r="CA130" i="1" s="1"/>
  <c r="CC130" i="1" s="1"/>
  <c r="BU130" i="1"/>
  <c r="BK76" i="1"/>
  <c r="CN76" i="1" s="1"/>
  <c r="CO76" i="1" s="1"/>
  <c r="CP76" i="1" s="1"/>
  <c r="BM91" i="1"/>
  <c r="BU91" i="1" s="1"/>
  <c r="CI139" i="1"/>
  <c r="CJ139" i="1" s="1"/>
  <c r="CK139" i="1" s="1"/>
  <c r="CE184" i="1"/>
  <c r="CF184" i="1" s="1"/>
  <c r="CH184" i="1" s="1"/>
  <c r="BK135" i="1"/>
  <c r="CP135" i="1" s="1"/>
  <c r="BX140" i="1"/>
  <c r="BW140" i="1"/>
  <c r="BK94" i="1"/>
  <c r="CN94" i="1" s="1"/>
  <c r="CO94" i="1" s="1"/>
  <c r="CP94" i="1" s="1"/>
  <c r="CL144" i="1"/>
  <c r="BK127" i="1"/>
  <c r="CP127" i="1" s="1"/>
  <c r="BK134" i="1"/>
  <c r="CP134" i="1" s="1"/>
  <c r="BY139" i="1"/>
  <c r="CB139" i="1" s="1"/>
  <c r="BR255" i="1"/>
  <c r="CD311" i="1"/>
  <c r="CE311" i="1" s="1"/>
  <c r="CF311" i="1" s="1"/>
  <c r="CH311" i="1" s="1"/>
  <c r="CD154" i="1"/>
  <c r="CE154" i="1" s="1"/>
  <c r="CF154" i="1" s="1"/>
  <c r="CH154" i="1" s="1"/>
  <c r="BK136" i="1"/>
  <c r="CP136" i="1" s="1"/>
  <c r="BT255" i="1"/>
  <c r="BU255" i="1" s="1"/>
  <c r="BV255" i="1" s="1"/>
  <c r="BX255" i="1" s="1"/>
  <c r="CG139" i="1"/>
  <c r="BX144" i="1"/>
  <c r="BW144" i="1"/>
  <c r="BK780" i="1"/>
  <c r="CP780" i="1" s="1"/>
  <c r="BK772" i="1"/>
  <c r="CP772" i="1" s="1"/>
  <c r="BK789" i="1"/>
  <c r="BK771" i="1"/>
  <c r="CN771" i="1" s="1"/>
  <c r="CO771" i="1" s="1"/>
  <c r="CP771" i="1" s="1"/>
  <c r="BK770" i="1"/>
  <c r="CN770" i="1" s="1"/>
  <c r="CO770" i="1" s="1"/>
  <c r="CP770" i="1" s="1"/>
  <c r="BK782" i="1"/>
  <c r="CP782" i="1" s="1"/>
  <c r="BK774" i="1"/>
  <c r="CN774" i="1" s="1"/>
  <c r="CO774" i="1" s="1"/>
  <c r="CP774" i="1" s="1"/>
  <c r="BK787" i="1"/>
  <c r="CP787" i="1" s="1"/>
  <c r="BK765" i="1"/>
  <c r="CP765" i="1" s="1"/>
  <c r="BK768" i="1"/>
  <c r="CN768" i="1" s="1"/>
  <c r="CO768" i="1" s="1"/>
  <c r="CP768" i="1" s="1"/>
  <c r="BK767" i="1"/>
  <c r="CP767" i="1" s="1"/>
  <c r="BK755" i="1"/>
  <c r="CP755" i="1" s="1"/>
  <c r="BK761" i="1"/>
  <c r="CP761" i="1" s="1"/>
  <c r="BK779" i="1"/>
  <c r="CP779" i="1" s="1"/>
  <c r="BK764" i="1"/>
  <c r="CP764" i="1" s="1"/>
  <c r="BK760" i="1"/>
  <c r="CP760" i="1" s="1"/>
  <c r="BK756" i="1"/>
  <c r="CP756" i="1" s="1"/>
  <c r="BK763" i="1"/>
  <c r="CP763" i="1" s="1"/>
  <c r="BK754" i="1"/>
  <c r="CP754" i="1" s="1"/>
  <c r="BK753" i="1"/>
  <c r="CN753" i="1" s="1"/>
  <c r="CO753" i="1" s="1"/>
  <c r="CP753" i="1" s="1"/>
  <c r="BK742" i="1"/>
  <c r="CP742" i="1" s="1"/>
  <c r="BK781" i="1"/>
  <c r="CP781" i="1" s="1"/>
  <c r="BK769" i="1"/>
  <c r="CP769" i="1" s="1"/>
  <c r="BK773" i="1"/>
  <c r="CP773" i="1" s="1"/>
  <c r="BK759" i="1"/>
  <c r="CP759" i="1" s="1"/>
  <c r="BK766" i="1"/>
  <c r="CP766" i="1" s="1"/>
  <c r="BK741" i="1"/>
  <c r="CP741" i="1" s="1"/>
  <c r="BK762" i="1"/>
  <c r="CP762" i="1" s="1"/>
  <c r="BK737" i="1"/>
  <c r="CP737" i="1" s="1"/>
  <c r="BK736" i="1"/>
  <c r="CP736" i="1" s="1"/>
  <c r="BK706" i="1"/>
  <c r="CP706" i="1" s="1"/>
  <c r="BK704" i="1"/>
  <c r="CN704" i="1" s="1"/>
  <c r="CO704" i="1" s="1"/>
  <c r="CP704" i="1" s="1"/>
  <c r="BK740" i="1"/>
  <c r="CP740" i="1" s="1"/>
  <c r="BK743" i="1"/>
  <c r="CP743" i="1" s="1"/>
  <c r="BK670" i="1"/>
  <c r="CP670" i="1" s="1"/>
  <c r="BK700" i="1"/>
  <c r="CP700" i="1" s="1"/>
  <c r="BK690" i="1"/>
  <c r="CP690" i="1" s="1"/>
  <c r="BK697" i="1"/>
  <c r="CP697" i="1" s="1"/>
  <c r="BK673" i="1"/>
  <c r="CP673" i="1" s="1"/>
  <c r="BK699" i="1"/>
  <c r="CP699" i="1" s="1"/>
  <c r="BK694" i="1"/>
  <c r="CP694" i="1" s="1"/>
  <c r="BK739" i="1"/>
  <c r="CP739" i="1" s="1"/>
  <c r="BK705" i="1"/>
  <c r="CP705" i="1" s="1"/>
  <c r="BK688" i="1"/>
  <c r="CN688" i="1" s="1"/>
  <c r="CO688" i="1" s="1"/>
  <c r="CP688" i="1" s="1"/>
  <c r="BK698" i="1"/>
  <c r="CP698" i="1" s="1"/>
  <c r="BK683" i="1"/>
  <c r="CN683" i="1" s="1"/>
  <c r="CO683" i="1" s="1"/>
  <c r="CP683" i="1" s="1"/>
  <c r="BK636" i="1"/>
  <c r="CN636" i="1" s="1"/>
  <c r="CO636" i="1" s="1"/>
  <c r="CP636" i="1" s="1"/>
  <c r="BK635" i="1"/>
  <c r="CN635" i="1" s="1"/>
  <c r="CO635" i="1" s="1"/>
  <c r="CP635" i="1" s="1"/>
  <c r="BK689" i="1"/>
  <c r="CN689" i="1" s="1"/>
  <c r="CO689" i="1" s="1"/>
  <c r="CP689" i="1" s="1"/>
  <c r="BK675" i="1"/>
  <c r="CN675" i="1" s="1"/>
  <c r="CO675" i="1" s="1"/>
  <c r="CP675" i="1" s="1"/>
  <c r="BK687" i="1"/>
  <c r="CP687" i="1" s="1"/>
  <c r="BK686" i="1"/>
  <c r="CP686" i="1" s="1"/>
  <c r="BK681" i="1"/>
  <c r="CN681" i="1" s="1"/>
  <c r="CO681" i="1" s="1"/>
  <c r="CP681" i="1" s="1"/>
  <c r="BK703" i="1"/>
  <c r="CP703" i="1" s="1"/>
  <c r="BK695" i="1"/>
  <c r="CP695" i="1" s="1"/>
  <c r="BK680" i="1"/>
  <c r="CN680" i="1" s="1"/>
  <c r="CO680" i="1" s="1"/>
  <c r="CP680" i="1" s="1"/>
  <c r="BK630" i="1"/>
  <c r="CP630" i="1" s="1"/>
  <c r="BK628" i="1"/>
  <c r="CP628" i="1" s="1"/>
  <c r="BK682" i="1"/>
  <c r="CN682" i="1" s="1"/>
  <c r="CO682" i="1" s="1"/>
  <c r="CP682" i="1" s="1"/>
  <c r="BK632" i="1"/>
  <c r="CN632" i="1" s="1"/>
  <c r="CO632" i="1" s="1"/>
  <c r="CP632" i="1" s="1"/>
  <c r="BK625" i="1"/>
  <c r="CN625" i="1" s="1"/>
  <c r="CO625" i="1" s="1"/>
  <c r="CP625" i="1" s="1"/>
  <c r="BK624" i="1"/>
  <c r="CN624" i="1" s="1"/>
  <c r="CO624" i="1" s="1"/>
  <c r="CP624" i="1" s="1"/>
  <c r="BK623" i="1"/>
  <c r="CN623" i="1" s="1"/>
  <c r="CO623" i="1" s="1"/>
  <c r="CP623" i="1" s="1"/>
  <c r="BK622" i="1"/>
  <c r="CN622" i="1" s="1"/>
  <c r="CO622" i="1" s="1"/>
  <c r="CP622" i="1" s="1"/>
  <c r="BK693" i="1"/>
  <c r="CP693" i="1" s="1"/>
  <c r="BK685" i="1"/>
  <c r="CP685" i="1" s="1"/>
  <c r="BK696" i="1"/>
  <c r="CP696" i="1" s="1"/>
  <c r="BK691" i="1"/>
  <c r="CP691" i="1" s="1"/>
  <c r="BK631" i="1"/>
  <c r="CP631" i="1" s="1"/>
  <c r="BK629" i="1"/>
  <c r="CP629" i="1" s="1"/>
  <c r="BK665" i="1"/>
  <c r="CN665" i="1" s="1"/>
  <c r="CO665" i="1" s="1"/>
  <c r="CP665" i="1" s="1"/>
  <c r="BK627" i="1"/>
  <c r="CN627" i="1" s="1"/>
  <c r="CO627" i="1" s="1"/>
  <c r="CP627" i="1" s="1"/>
  <c r="BK610" i="1"/>
  <c r="CN610" i="1" s="1"/>
  <c r="CO610" i="1" s="1"/>
  <c r="CP610" i="1" s="1"/>
  <c r="BK684" i="1"/>
  <c r="CP684" i="1" s="1"/>
  <c r="BK605" i="1"/>
  <c r="CN605" i="1" s="1"/>
  <c r="CO605" i="1" s="1"/>
  <c r="CP605" i="1" s="1"/>
  <c r="BK600" i="1"/>
  <c r="CP600" i="1" s="1"/>
  <c r="BK692" i="1"/>
  <c r="CP692" i="1" s="1"/>
  <c r="BK668" i="1"/>
  <c r="CP668" i="1" s="1"/>
  <c r="BK672" i="1"/>
  <c r="CP672" i="1" s="1"/>
  <c r="BK626" i="1"/>
  <c r="CN626" i="1" s="1"/>
  <c r="CO626" i="1" s="1"/>
  <c r="CP626" i="1" s="1"/>
  <c r="BK620" i="1"/>
  <c r="CP620" i="1" s="1"/>
  <c r="BK674" i="1"/>
  <c r="CP674" i="1" s="1"/>
  <c r="BK669" i="1"/>
  <c r="CN669" i="1" s="1"/>
  <c r="CO669" i="1" s="1"/>
  <c r="CP669" i="1" s="1"/>
  <c r="BK667" i="1"/>
  <c r="CP667" i="1" s="1"/>
  <c r="BK671" i="1"/>
  <c r="CP671" i="1" s="1"/>
  <c r="BK679" i="1"/>
  <c r="CN679" i="1" s="1"/>
  <c r="CO679" i="1" s="1"/>
  <c r="CP679" i="1" s="1"/>
  <c r="BK586" i="1"/>
  <c r="CP586" i="1" s="1"/>
  <c r="BK585" i="1"/>
  <c r="CN585" i="1" s="1"/>
  <c r="CO585" i="1" s="1"/>
  <c r="CP585" i="1" s="1"/>
  <c r="BK584" i="1"/>
  <c r="CN584" i="1" s="1"/>
  <c r="CO584" i="1" s="1"/>
  <c r="CP584" i="1" s="1"/>
  <c r="BK583" i="1"/>
  <c r="CN583" i="1" s="1"/>
  <c r="CO583" i="1" s="1"/>
  <c r="CP583" i="1" s="1"/>
  <c r="BK532" i="1"/>
  <c r="CP532" i="1" s="1"/>
  <c r="BK535" i="1"/>
  <c r="CP535" i="1" s="1"/>
  <c r="BK517" i="1"/>
  <c r="CP517" i="1" s="1"/>
  <c r="BK604" i="1"/>
  <c r="CN604" i="1" s="1"/>
  <c r="CO604" i="1" s="1"/>
  <c r="CP604" i="1" s="1"/>
  <c r="BK637" i="1"/>
  <c r="CP637" i="1" s="1"/>
  <c r="BK589" i="1"/>
  <c r="CP589" i="1" s="1"/>
  <c r="BK599" i="1"/>
  <c r="CP599" i="1" s="1"/>
  <c r="BK621" i="1"/>
  <c r="CP621" i="1" s="1"/>
  <c r="BK596" i="1"/>
  <c r="CP596" i="1" s="1"/>
  <c r="BK593" i="1"/>
  <c r="CP593" i="1" s="1"/>
  <c r="BK590" i="1"/>
  <c r="CP590" i="1" s="1"/>
  <c r="BK570" i="1"/>
  <c r="CN570" i="1" s="1"/>
  <c r="CO570" i="1" s="1"/>
  <c r="CP570" i="1" s="1"/>
  <c r="BK534" i="1"/>
  <c r="CN534" i="1" s="1"/>
  <c r="CO534" i="1" s="1"/>
  <c r="CP534" i="1" s="1"/>
  <c r="BK521" i="1"/>
  <c r="CN521" i="1" s="1"/>
  <c r="CO521" i="1" s="1"/>
  <c r="CP521" i="1" s="1"/>
  <c r="BK519" i="1"/>
  <c r="CP519" i="1" s="1"/>
  <c r="BK592" i="1"/>
  <c r="CP592" i="1" s="1"/>
  <c r="BK595" i="1"/>
  <c r="CP595" i="1" s="1"/>
  <c r="BK587" i="1"/>
  <c r="CP587" i="1" s="1"/>
  <c r="BK533" i="1"/>
  <c r="CN533" i="1" s="1"/>
  <c r="CO533" i="1" s="1"/>
  <c r="CP533" i="1" s="1"/>
  <c r="BK564" i="1"/>
  <c r="CN564" i="1" s="1"/>
  <c r="CO564" i="1" s="1"/>
  <c r="CP564" i="1" s="1"/>
  <c r="BK551" i="1"/>
  <c r="CN551" i="1" s="1"/>
  <c r="CO551" i="1" s="1"/>
  <c r="CP551" i="1" s="1"/>
  <c r="BK528" i="1"/>
  <c r="CP528" i="1" s="1"/>
  <c r="BK634" i="1"/>
  <c r="CN634" i="1" s="1"/>
  <c r="CO634" i="1" s="1"/>
  <c r="CP634" i="1" s="1"/>
  <c r="BK612" i="1"/>
  <c r="CN612" i="1" s="1"/>
  <c r="CO612" i="1" s="1"/>
  <c r="CP612" i="1" s="1"/>
  <c r="BK591" i="1"/>
  <c r="CP591" i="1" s="1"/>
  <c r="BK571" i="1"/>
  <c r="CP571" i="1" s="1"/>
  <c r="BK565" i="1"/>
  <c r="CN565" i="1" s="1"/>
  <c r="CO565" i="1" s="1"/>
  <c r="CP565" i="1" s="1"/>
  <c r="BK559" i="1"/>
  <c r="CN559" i="1" s="1"/>
  <c r="CO559" i="1" s="1"/>
  <c r="CP559" i="1" s="1"/>
  <c r="BK516" i="1"/>
  <c r="CN516" i="1" s="1"/>
  <c r="CO516" i="1" s="1"/>
  <c r="CP516" i="1" s="1"/>
  <c r="BK594" i="1"/>
  <c r="CP594" i="1" s="1"/>
  <c r="BK566" i="1"/>
  <c r="CN566" i="1" s="1"/>
  <c r="CO566" i="1" s="1"/>
  <c r="CP566" i="1" s="1"/>
  <c r="BK582" i="1"/>
  <c r="CP582" i="1" s="1"/>
  <c r="BK567" i="1"/>
  <c r="CN567" i="1" s="1"/>
  <c r="CO567" i="1" s="1"/>
  <c r="CP567" i="1" s="1"/>
  <c r="BK552" i="1"/>
  <c r="CN552" i="1" s="1"/>
  <c r="CO552" i="1" s="1"/>
  <c r="CP552" i="1" s="1"/>
  <c r="BK538" i="1"/>
  <c r="CN538" i="1" s="1"/>
  <c r="CO538" i="1" s="1"/>
  <c r="CP538" i="1" s="1"/>
  <c r="BK518" i="1"/>
  <c r="CP518" i="1" s="1"/>
  <c r="BK500" i="1"/>
  <c r="CP500" i="1" s="1"/>
  <c r="BK490" i="1"/>
  <c r="CP490" i="1" s="1"/>
  <c r="BK442" i="1"/>
  <c r="CP442" i="1" s="1"/>
  <c r="BK537" i="1"/>
  <c r="CN537" i="1" s="1"/>
  <c r="CO537" i="1" s="1"/>
  <c r="CP537" i="1" s="1"/>
  <c r="BK536" i="1"/>
  <c r="CP536" i="1" s="1"/>
  <c r="BK512" i="1"/>
  <c r="CP512" i="1" s="1"/>
  <c r="BK507" i="1"/>
  <c r="CP507" i="1" s="1"/>
  <c r="BK479" i="1"/>
  <c r="CP479" i="1" s="1"/>
  <c r="BK471" i="1"/>
  <c r="CN471" i="1" s="1"/>
  <c r="CO471" i="1" s="1"/>
  <c r="CP471" i="1" s="1"/>
  <c r="BK463" i="1"/>
  <c r="CP463" i="1" s="1"/>
  <c r="BK453" i="1"/>
  <c r="CP453" i="1" s="1"/>
  <c r="BK445" i="1"/>
  <c r="CP445" i="1" s="1"/>
  <c r="BK588" i="1"/>
  <c r="CP588" i="1" s="1"/>
  <c r="BK598" i="1"/>
  <c r="CP598" i="1" s="1"/>
  <c r="BK527" i="1"/>
  <c r="CP527" i="1" s="1"/>
  <c r="BK526" i="1"/>
  <c r="CP526" i="1" s="1"/>
  <c r="BK510" i="1"/>
  <c r="CN510" i="1" s="1"/>
  <c r="CO510" i="1" s="1"/>
  <c r="CP510" i="1" s="1"/>
  <c r="BK508" i="1"/>
  <c r="CN508" i="1" s="1"/>
  <c r="CO508" i="1" s="1"/>
  <c r="CP508" i="1" s="1"/>
  <c r="BK480" i="1"/>
  <c r="CP480" i="1" s="1"/>
  <c r="BK466" i="1"/>
  <c r="CN466" i="1" s="1"/>
  <c r="CO466" i="1" s="1"/>
  <c r="CP466" i="1" s="1"/>
  <c r="BK448" i="1"/>
  <c r="CP448" i="1" s="1"/>
  <c r="BK441" i="1"/>
  <c r="CP441" i="1" s="1"/>
  <c r="BK505" i="1"/>
  <c r="CP505" i="1" s="1"/>
  <c r="BK493" i="1"/>
  <c r="CP493" i="1" s="1"/>
  <c r="BK488" i="1"/>
  <c r="CP488" i="1" s="1"/>
  <c r="BK477" i="1"/>
  <c r="CP477" i="1" s="1"/>
  <c r="BK464" i="1"/>
  <c r="CN464" i="1" s="1"/>
  <c r="CO464" i="1" s="1"/>
  <c r="CP464" i="1" s="1"/>
  <c r="BK452" i="1"/>
  <c r="CP452" i="1" s="1"/>
  <c r="BK420" i="1"/>
  <c r="CP420" i="1" s="1"/>
  <c r="BK405" i="1"/>
  <c r="CP405" i="1" s="1"/>
  <c r="BK529" i="1"/>
  <c r="CP529" i="1" s="1"/>
  <c r="BK513" i="1"/>
  <c r="CP513" i="1" s="1"/>
  <c r="BK482" i="1"/>
  <c r="CP482" i="1" s="1"/>
  <c r="BK530" i="1"/>
  <c r="CN530" i="1" s="1"/>
  <c r="CO530" i="1" s="1"/>
  <c r="CP530" i="1" s="1"/>
  <c r="BK522" i="1"/>
  <c r="CP522" i="1" s="1"/>
  <c r="BK531" i="1"/>
  <c r="CP531" i="1" s="1"/>
  <c r="BK597" i="1"/>
  <c r="CP597" i="1" s="1"/>
  <c r="BK524" i="1"/>
  <c r="CN524" i="1" s="1"/>
  <c r="CO524" i="1" s="1"/>
  <c r="CP524" i="1" s="1"/>
  <c r="BK568" i="1"/>
  <c r="CN568" i="1" s="1"/>
  <c r="CO568" i="1" s="1"/>
  <c r="CP568" i="1" s="1"/>
  <c r="BK525" i="1"/>
  <c r="CN525" i="1" s="1"/>
  <c r="CO525" i="1" s="1"/>
  <c r="CP525" i="1" s="1"/>
  <c r="BK509" i="1"/>
  <c r="CN509" i="1" s="1"/>
  <c r="CO509" i="1" s="1"/>
  <c r="CP509" i="1" s="1"/>
  <c r="BK504" i="1"/>
  <c r="CP504" i="1" s="1"/>
  <c r="BK499" i="1"/>
  <c r="CP499" i="1" s="1"/>
  <c r="BK492" i="1"/>
  <c r="CP492" i="1" s="1"/>
  <c r="BK487" i="1"/>
  <c r="CP487" i="1" s="1"/>
  <c r="BK474" i="1"/>
  <c r="CP474" i="1" s="1"/>
  <c r="BK515" i="1"/>
  <c r="CN515" i="1" s="1"/>
  <c r="CO515" i="1" s="1"/>
  <c r="CP515" i="1" s="1"/>
  <c r="BK460" i="1"/>
  <c r="CP460" i="1" s="1"/>
  <c r="BK456" i="1"/>
  <c r="CN456" i="1" s="1"/>
  <c r="CO456" i="1" s="1"/>
  <c r="CP456" i="1" s="1"/>
  <c r="BK427" i="1"/>
  <c r="CP427" i="1" s="1"/>
  <c r="BK422" i="1"/>
  <c r="CP422" i="1" s="1"/>
  <c r="BK403" i="1"/>
  <c r="CP403" i="1" s="1"/>
  <c r="BK514" i="1"/>
  <c r="CN514" i="1" s="1"/>
  <c r="CO514" i="1" s="1"/>
  <c r="CP514" i="1" s="1"/>
  <c r="BK511" i="1"/>
  <c r="CN511" i="1" s="1"/>
  <c r="CO511" i="1" s="1"/>
  <c r="CP511" i="1" s="1"/>
  <c r="BK433" i="1"/>
  <c r="CN433" i="1" s="1"/>
  <c r="CO433" i="1" s="1"/>
  <c r="CP433" i="1" s="1"/>
  <c r="BK417" i="1"/>
  <c r="CN417" i="1" s="1"/>
  <c r="CO417" i="1" s="1"/>
  <c r="CP417" i="1" s="1"/>
  <c r="BK498" i="1"/>
  <c r="CP498" i="1" s="1"/>
  <c r="BK478" i="1"/>
  <c r="CP478" i="1" s="1"/>
  <c r="BK497" i="1"/>
  <c r="CN497" i="1" s="1"/>
  <c r="CO497" i="1" s="1"/>
  <c r="CP497" i="1" s="1"/>
  <c r="BK520" i="1"/>
  <c r="CN520" i="1" s="1"/>
  <c r="CO520" i="1" s="1"/>
  <c r="CP520" i="1" s="1"/>
  <c r="BK506" i="1"/>
  <c r="CP506" i="1" s="1"/>
  <c r="BK476" i="1"/>
  <c r="CN476" i="1" s="1"/>
  <c r="CO476" i="1" s="1"/>
  <c r="CP476" i="1" s="1"/>
  <c r="BK451" i="1"/>
  <c r="CP451" i="1" s="1"/>
  <c r="BK426" i="1"/>
  <c r="CP426" i="1" s="1"/>
  <c r="BK421" i="1"/>
  <c r="CP421" i="1" s="1"/>
  <c r="BK470" i="1"/>
  <c r="CN470" i="1" s="1"/>
  <c r="CO470" i="1" s="1"/>
  <c r="CP470" i="1" s="1"/>
  <c r="BK458" i="1"/>
  <c r="CP458" i="1" s="1"/>
  <c r="BK455" i="1"/>
  <c r="CN455" i="1" s="1"/>
  <c r="CO455" i="1" s="1"/>
  <c r="CP455" i="1" s="1"/>
  <c r="BK437" i="1"/>
  <c r="CP437" i="1" s="1"/>
  <c r="BK418" i="1"/>
  <c r="CP418" i="1" s="1"/>
  <c r="BK402" i="1"/>
  <c r="CP402" i="1" s="1"/>
  <c r="BK475" i="1"/>
  <c r="CN475" i="1" s="1"/>
  <c r="CO475" i="1" s="1"/>
  <c r="CP475" i="1" s="1"/>
  <c r="BK462" i="1"/>
  <c r="CP462" i="1" s="1"/>
  <c r="BK430" i="1"/>
  <c r="CN430" i="1" s="1"/>
  <c r="CO430" i="1" s="1"/>
  <c r="CP430" i="1" s="1"/>
  <c r="BK423" i="1"/>
  <c r="CP423" i="1" s="1"/>
  <c r="BK501" i="1"/>
  <c r="CP501" i="1" s="1"/>
  <c r="BK496" i="1"/>
  <c r="CN496" i="1" s="1"/>
  <c r="CO496" i="1" s="1"/>
  <c r="CP496" i="1" s="1"/>
  <c r="BK495" i="1"/>
  <c r="CP495" i="1" s="1"/>
  <c r="BK469" i="1"/>
  <c r="CP469" i="1" s="1"/>
  <c r="BK440" i="1"/>
  <c r="CP440" i="1" s="1"/>
  <c r="BK434" i="1"/>
  <c r="CN434" i="1" s="1"/>
  <c r="CO434" i="1" s="1"/>
  <c r="CP434" i="1" s="1"/>
  <c r="BK432" i="1"/>
  <c r="CN432" i="1" s="1"/>
  <c r="CO432" i="1" s="1"/>
  <c r="CP432" i="1" s="1"/>
  <c r="BK523" i="1"/>
  <c r="CP523" i="1" s="1"/>
  <c r="BK494" i="1"/>
  <c r="CP494" i="1" s="1"/>
  <c r="BK461" i="1"/>
  <c r="CP461" i="1" s="1"/>
  <c r="BK428" i="1"/>
  <c r="CN428" i="1" s="1"/>
  <c r="CO428" i="1" s="1"/>
  <c r="CP428" i="1" s="1"/>
  <c r="BK413" i="1"/>
  <c r="CP413" i="1" s="1"/>
  <c r="BK491" i="1"/>
  <c r="CP491" i="1" s="1"/>
  <c r="BK502" i="1"/>
  <c r="CP502" i="1" s="1"/>
  <c r="BK483" i="1"/>
  <c r="CP483" i="1" s="1"/>
  <c r="BK468" i="1"/>
  <c r="CP468" i="1" s="1"/>
  <c r="BK465" i="1"/>
  <c r="CN465" i="1" s="1"/>
  <c r="CO465" i="1" s="1"/>
  <c r="CP465" i="1" s="1"/>
  <c r="BK457" i="1"/>
  <c r="CP457" i="1" s="1"/>
  <c r="BK473" i="1"/>
  <c r="CP473" i="1" s="1"/>
  <c r="BK412" i="1"/>
  <c r="CP412" i="1" s="1"/>
  <c r="BK435" i="1"/>
  <c r="CP435" i="1" s="1"/>
  <c r="BK424" i="1"/>
  <c r="CP424" i="1" s="1"/>
  <c r="BK414" i="1"/>
  <c r="CP414" i="1" s="1"/>
  <c r="BK344" i="1"/>
  <c r="CN344" i="1" s="1"/>
  <c r="CO344" i="1" s="1"/>
  <c r="CP344" i="1" s="1"/>
  <c r="BK326" i="1"/>
  <c r="CN326" i="1" s="1"/>
  <c r="CO326" i="1" s="1"/>
  <c r="CP326" i="1" s="1"/>
  <c r="BK444" i="1"/>
  <c r="CN444" i="1" s="1"/>
  <c r="CO444" i="1" s="1"/>
  <c r="CP444" i="1" s="1"/>
  <c r="BK436" i="1"/>
  <c r="CP436" i="1" s="1"/>
  <c r="BK459" i="1"/>
  <c r="CP459" i="1" s="1"/>
  <c r="BK389" i="1"/>
  <c r="CN389" i="1" s="1"/>
  <c r="CO389" i="1" s="1"/>
  <c r="CP389" i="1" s="1"/>
  <c r="BK472" i="1"/>
  <c r="CN472" i="1" s="1"/>
  <c r="CO472" i="1" s="1"/>
  <c r="CP472" i="1" s="1"/>
  <c r="BK449" i="1"/>
  <c r="CP449" i="1" s="1"/>
  <c r="BK429" i="1"/>
  <c r="CN429" i="1" s="1"/>
  <c r="CO429" i="1" s="1"/>
  <c r="CP429" i="1" s="1"/>
  <c r="BK341" i="1"/>
  <c r="CN341" i="1" s="1"/>
  <c r="CO341" i="1" s="1"/>
  <c r="CP341" i="1" s="1"/>
  <c r="BK431" i="1"/>
  <c r="CN431" i="1" s="1"/>
  <c r="CO431" i="1" s="1"/>
  <c r="CP431" i="1" s="1"/>
  <c r="BK438" i="1"/>
  <c r="CP438" i="1" s="1"/>
  <c r="BK467" i="1"/>
  <c r="CP467" i="1" s="1"/>
  <c r="BK443" i="1"/>
  <c r="CN443" i="1" s="1"/>
  <c r="CO443" i="1" s="1"/>
  <c r="CP443" i="1" s="1"/>
  <c r="BK439" i="1"/>
  <c r="CP439" i="1" s="1"/>
  <c r="BK503" i="1"/>
  <c r="CP503" i="1" s="1"/>
  <c r="BK447" i="1"/>
  <c r="CP447" i="1" s="1"/>
  <c r="BK454" i="1"/>
  <c r="CP454" i="1" s="1"/>
  <c r="BK419" i="1"/>
  <c r="CP419" i="1" s="1"/>
  <c r="BK328" i="1"/>
  <c r="CN328" i="1" s="1"/>
  <c r="CO328" i="1" s="1"/>
  <c r="CP328" i="1" s="1"/>
  <c r="BK489" i="1"/>
  <c r="CP489" i="1" s="1"/>
  <c r="BK450" i="1"/>
  <c r="CN450" i="1" s="1"/>
  <c r="CO450" i="1" s="1"/>
  <c r="CP450" i="1" s="1"/>
  <c r="BK408" i="1"/>
  <c r="CP408" i="1" s="1"/>
  <c r="BK404" i="1"/>
  <c r="CP404" i="1" s="1"/>
  <c r="BK446" i="1"/>
  <c r="CP446" i="1" s="1"/>
  <c r="BK425" i="1"/>
  <c r="CP425" i="1" s="1"/>
  <c r="BK290" i="1"/>
  <c r="CN290" i="1" s="1"/>
  <c r="CO290" i="1" s="1"/>
  <c r="CP290" i="1" s="1"/>
  <c r="BK327" i="1"/>
  <c r="CN327" i="1" s="1"/>
  <c r="CO327" i="1" s="1"/>
  <c r="CP327" i="1" s="1"/>
  <c r="BK338" i="1"/>
  <c r="CN338" i="1" s="1"/>
  <c r="CO338" i="1" s="1"/>
  <c r="CP338" i="1" s="1"/>
  <c r="BK481" i="1"/>
  <c r="CP481" i="1" s="1"/>
  <c r="BK163" i="1"/>
  <c r="CN163" i="1" s="1"/>
  <c r="CO163" i="1" s="1"/>
  <c r="CP163" i="1" s="1"/>
  <c r="BK325" i="1"/>
  <c r="CN325" i="1" s="1"/>
  <c r="CO325" i="1" s="1"/>
  <c r="CP325" i="1" s="1"/>
  <c r="BK244" i="1"/>
  <c r="CN244" i="1" s="1"/>
  <c r="CO244" i="1" s="1"/>
  <c r="CP244" i="1" s="1"/>
  <c r="BK232" i="1"/>
  <c r="CN232" i="1" s="1"/>
  <c r="CO232" i="1" s="1"/>
  <c r="CP232" i="1" s="1"/>
  <c r="BK304" i="1"/>
  <c r="CN304" i="1" s="1"/>
  <c r="CO304" i="1" s="1"/>
  <c r="CP304" i="1" s="1"/>
  <c r="BK246" i="1"/>
  <c r="CN246" i="1" s="1"/>
  <c r="CO246" i="1" s="1"/>
  <c r="CP246" i="1" s="1"/>
  <c r="BK248" i="1"/>
  <c r="CN248" i="1" s="1"/>
  <c r="CO248" i="1" s="1"/>
  <c r="CP248" i="1" s="1"/>
  <c r="BK343" i="1"/>
  <c r="CN343" i="1" s="1"/>
  <c r="CO343" i="1" s="1"/>
  <c r="CP343" i="1" s="1"/>
  <c r="BK337" i="1"/>
  <c r="CN337" i="1" s="1"/>
  <c r="CO337" i="1" s="1"/>
  <c r="CP337" i="1" s="1"/>
  <c r="BK236" i="1"/>
  <c r="CN236" i="1" s="1"/>
  <c r="CO236" i="1" s="1"/>
  <c r="CP236" i="1" s="1"/>
  <c r="BK205" i="1"/>
  <c r="CP205" i="1" s="1"/>
  <c r="BK100" i="1"/>
  <c r="CP100" i="1" s="1"/>
  <c r="BK235" i="1"/>
  <c r="CN235" i="1" s="1"/>
  <c r="CO235" i="1" s="1"/>
  <c r="CP235" i="1" s="1"/>
  <c r="BK287" i="1"/>
  <c r="CN287" i="1" s="1"/>
  <c r="CO287" i="1" s="1"/>
  <c r="CP287" i="1" s="1"/>
  <c r="BK234" i="1"/>
  <c r="CN234" i="1" s="1"/>
  <c r="CO234" i="1" s="1"/>
  <c r="CP234" i="1" s="1"/>
  <c r="BK242" i="1"/>
  <c r="CN242" i="1" s="1"/>
  <c r="CO242" i="1" s="1"/>
  <c r="CP242" i="1" s="1"/>
  <c r="BK233" i="1"/>
  <c r="CN233" i="1" s="1"/>
  <c r="CO233" i="1" s="1"/>
  <c r="CP233" i="1" s="1"/>
  <c r="BK240" i="1"/>
  <c r="CN240" i="1" s="1"/>
  <c r="CO240" i="1" s="1"/>
  <c r="CP240" i="1" s="1"/>
  <c r="BK166" i="1"/>
  <c r="CN166" i="1" s="1"/>
  <c r="CO166" i="1" s="1"/>
  <c r="CP166" i="1" s="1"/>
  <c r="BK247" i="1"/>
  <c r="CP247" i="1" s="1"/>
  <c r="BK96" i="1"/>
  <c r="CN96" i="1" s="1"/>
  <c r="CO96" i="1" s="1"/>
  <c r="CP96" i="1" s="1"/>
  <c r="BK92" i="1"/>
  <c r="CN92" i="1" s="1"/>
  <c r="CO92" i="1" s="1"/>
  <c r="CP92" i="1" s="1"/>
  <c r="BK245" i="1"/>
  <c r="CP245" i="1" s="1"/>
  <c r="BK204" i="1"/>
  <c r="CN204" i="1" s="1"/>
  <c r="CO204" i="1" s="1"/>
  <c r="CP204" i="1" s="1"/>
  <c r="BK164" i="1"/>
  <c r="CN164" i="1" s="1"/>
  <c r="CO164" i="1" s="1"/>
  <c r="CP164" i="1" s="1"/>
  <c r="BK125" i="1"/>
  <c r="CP125" i="1" s="1"/>
  <c r="BK243" i="1"/>
  <c r="CN243" i="1" s="1"/>
  <c r="CO243" i="1" s="1"/>
  <c r="CP243" i="1" s="1"/>
  <c r="BK170" i="1"/>
  <c r="CN170" i="1" s="1"/>
  <c r="CO170" i="1" s="1"/>
  <c r="CP170" i="1" s="1"/>
  <c r="BK108" i="1"/>
  <c r="CP108" i="1" s="1"/>
  <c r="BK158" i="1"/>
  <c r="CN158" i="1" s="1"/>
  <c r="CO158" i="1" s="1"/>
  <c r="CP158" i="1" s="1"/>
  <c r="BK159" i="1"/>
  <c r="CN159" i="1" s="1"/>
  <c r="CO159" i="1" s="1"/>
  <c r="CP159" i="1" s="1"/>
  <c r="BK97" i="1"/>
  <c r="CN97" i="1" s="1"/>
  <c r="CO97" i="1" s="1"/>
  <c r="CP97" i="1" s="1"/>
  <c r="BK168" i="1"/>
  <c r="CP168" i="1" s="1"/>
  <c r="CG141" i="1"/>
  <c r="BM267" i="1"/>
  <c r="BP267" i="1" s="1"/>
  <c r="BL267" i="1"/>
  <c r="BW184" i="1"/>
  <c r="BM261" i="1"/>
  <c r="BL261" i="1"/>
  <c r="BQ268" i="1"/>
  <c r="BS268" i="1" s="1"/>
  <c r="BM265" i="1"/>
  <c r="BP265" i="1" s="1"/>
  <c r="BL265" i="1"/>
  <c r="BY141" i="1"/>
  <c r="CB141" i="1" s="1"/>
  <c r="BU270" i="1"/>
  <c r="BZ270" i="1"/>
  <c r="CA270" i="1" s="1"/>
  <c r="CC270" i="1" s="1"/>
  <c r="BM263" i="1"/>
  <c r="BP263" i="1" s="1"/>
  <c r="BL263" i="1"/>
  <c r="BM254" i="1"/>
  <c r="BL254" i="1"/>
  <c r="BM260" i="1"/>
  <c r="BL260" i="1"/>
  <c r="BM272" i="1"/>
  <c r="BL272" i="1"/>
  <c r="BM257" i="1"/>
  <c r="BP257" i="1" s="1"/>
  <c r="BL257" i="1"/>
  <c r="BM259" i="1"/>
  <c r="BP259" i="1" s="1"/>
  <c r="BL259" i="1"/>
  <c r="CD349" i="1"/>
  <c r="CE349" i="1" s="1"/>
  <c r="CF349" i="1" s="1"/>
  <c r="CH349" i="1" s="1"/>
  <c r="BW141" i="1"/>
  <c r="BY362" i="1"/>
  <c r="CB362" i="1" s="1"/>
  <c r="BL270" i="1"/>
  <c r="CD362" i="1"/>
  <c r="CE362" i="1" s="1"/>
  <c r="CF362" i="1" s="1"/>
  <c r="CH362" i="1" s="1"/>
  <c r="BL268" i="1"/>
  <c r="BV269" i="1"/>
  <c r="BX269" i="1" s="1"/>
  <c r="BM252" i="1"/>
  <c r="BP252" i="1" s="1"/>
  <c r="BL252" i="1"/>
  <c r="BZ269" i="1"/>
  <c r="CA269" i="1" s="1"/>
  <c r="CC269" i="1" s="1"/>
  <c r="BQ258" i="1"/>
  <c r="BS258" i="1" s="1"/>
  <c r="CD352" i="1"/>
  <c r="CE352" i="1" s="1"/>
  <c r="CF352" i="1" s="1"/>
  <c r="CH352" i="1" s="1"/>
  <c r="BV349" i="1"/>
  <c r="BX349" i="1" s="1"/>
  <c r="BV311" i="1"/>
  <c r="BX311" i="1" s="1"/>
  <c r="CI345" i="1"/>
  <c r="CJ345" i="1" s="1"/>
  <c r="CK345" i="1" s="1"/>
  <c r="CD348" i="1"/>
  <c r="CE348" i="1" s="1"/>
  <c r="CF348" i="1" s="1"/>
  <c r="CH348" i="1" s="1"/>
  <c r="BV361" i="1"/>
  <c r="BX361" i="1" s="1"/>
  <c r="BV352" i="1"/>
  <c r="BX352" i="1" s="1"/>
  <c r="CD361" i="1"/>
  <c r="CE361" i="1" s="1"/>
  <c r="CF361" i="1" s="1"/>
  <c r="CH361" i="1" s="1"/>
  <c r="BW362" i="1"/>
  <c r="BV345" i="1"/>
  <c r="BX345" i="1" s="1"/>
  <c r="CG345" i="1"/>
  <c r="CD497" i="1"/>
  <c r="CE497" i="1" s="1"/>
  <c r="CF497" i="1" s="1"/>
  <c r="CH497" i="1" s="1"/>
  <c r="CB497" i="1"/>
  <c r="BW496" i="1"/>
  <c r="CD496" i="1"/>
  <c r="CE496" i="1" s="1"/>
  <c r="CF496" i="1" s="1"/>
  <c r="CH496" i="1" s="1"/>
  <c r="BW497" i="1"/>
  <c r="CD810" i="1"/>
  <c r="CE810" i="1" s="1"/>
  <c r="CF810" i="1" s="1"/>
  <c r="CH810" i="1" s="1"/>
  <c r="CD804" i="1"/>
  <c r="CE804" i="1" s="1"/>
  <c r="CF804" i="1" s="1"/>
  <c r="CH804" i="1" s="1"/>
  <c r="CD792" i="1"/>
  <c r="CE792" i="1" s="1"/>
  <c r="CF792" i="1" s="1"/>
  <c r="CH792" i="1" s="1"/>
  <c r="BV840" i="1"/>
  <c r="BX840" i="1" s="1"/>
  <c r="BY840" i="1" s="1"/>
  <c r="BQ809" i="1"/>
  <c r="BS809" i="1" s="1"/>
  <c r="CD789" i="1"/>
  <c r="CE789" i="1" s="1"/>
  <c r="CF789" i="1" s="1"/>
  <c r="CH789" i="1" s="1"/>
  <c r="BV800" i="1"/>
  <c r="BX800" i="1" s="1"/>
  <c r="BY800" i="1" s="1"/>
  <c r="BT805" i="1"/>
  <c r="BU805" i="1" s="1"/>
  <c r="BV805" i="1" s="1"/>
  <c r="BX805" i="1" s="1"/>
  <c r="BX826" i="1"/>
  <c r="BY826" i="1" s="1"/>
  <c r="BW826" i="1"/>
  <c r="BV832" i="1"/>
  <c r="BX832" i="1" s="1"/>
  <c r="BY832" i="1" s="1"/>
  <c r="BR805" i="1"/>
  <c r="BM807" i="1"/>
  <c r="BP807" i="1" s="1"/>
  <c r="BL807" i="1"/>
  <c r="BQ817" i="1"/>
  <c r="BS817" i="1" s="1"/>
  <c r="BQ841" i="1"/>
  <c r="BS841" i="1" s="1"/>
  <c r="BV812" i="1"/>
  <c r="BX812" i="1" s="1"/>
  <c r="BM790" i="1"/>
  <c r="BP790" i="1" s="1"/>
  <c r="BL790" i="1"/>
  <c r="BV815" i="1"/>
  <c r="BX815" i="1" s="1"/>
  <c r="BX822" i="1"/>
  <c r="BY822" i="1" s="1"/>
  <c r="BW822" i="1"/>
  <c r="BM842" i="1"/>
  <c r="BP842" i="1" s="1"/>
  <c r="BL842" i="1"/>
  <c r="BR813" i="1"/>
  <c r="BM791" i="1"/>
  <c r="BP791" i="1" s="1"/>
  <c r="BL813" i="1"/>
  <c r="CD818" i="1"/>
  <c r="CE818" i="1" s="1"/>
  <c r="CF818" i="1" s="1"/>
  <c r="CH818" i="1" s="1"/>
  <c r="BT813" i="1"/>
  <c r="BU813" i="1" s="1"/>
  <c r="BV813" i="1" s="1"/>
  <c r="BX813" i="1" s="1"/>
  <c r="BV802" i="1"/>
  <c r="BX802" i="1" s="1"/>
  <c r="BV824" i="1"/>
  <c r="BX824" i="1" s="1"/>
  <c r="BY824" i="1" s="1"/>
  <c r="BW829" i="1"/>
  <c r="BX834" i="1"/>
  <c r="BY834" i="1" s="1"/>
  <c r="BW834" i="1"/>
  <c r="BL843" i="1"/>
  <c r="BY808" i="1"/>
  <c r="BQ843" i="1"/>
  <c r="BS843" i="1" s="1"/>
  <c r="BM811" i="1"/>
  <c r="BP811" i="1" s="1"/>
  <c r="BX830" i="1"/>
  <c r="BY830" i="1" s="1"/>
  <c r="BW830" i="1"/>
  <c r="BV796" i="1"/>
  <c r="BX796" i="1" s="1"/>
  <c r="BY796" i="1" s="1"/>
  <c r="BL805" i="1"/>
  <c r="BV810" i="1"/>
  <c r="BX810" i="1" s="1"/>
  <c r="BV820" i="1"/>
  <c r="BX820" i="1" s="1"/>
  <c r="BY820" i="1" s="1"/>
  <c r="BV828" i="1"/>
  <c r="BX828" i="1" s="1"/>
  <c r="BY828" i="1" s="1"/>
  <c r="BV836" i="1"/>
  <c r="BX836" i="1" s="1"/>
  <c r="BY836" i="1" s="1"/>
  <c r="BV799" i="1"/>
  <c r="BX799" i="1" s="1"/>
  <c r="BY799" i="1" s="1"/>
  <c r="BL809" i="1"/>
  <c r="BV823" i="1"/>
  <c r="BX823" i="1" s="1"/>
  <c r="BY823" i="1" s="1"/>
  <c r="BV831" i="1"/>
  <c r="BX831" i="1" s="1"/>
  <c r="BY831" i="1" s="1"/>
  <c r="BV839" i="1"/>
  <c r="BX839" i="1" s="1"/>
  <c r="BY839" i="1" s="1"/>
  <c r="CD806" i="1"/>
  <c r="CE806" i="1" s="1"/>
  <c r="CF806" i="1" s="1"/>
  <c r="CH806" i="1" s="1"/>
  <c r="BU818" i="1"/>
  <c r="BM99" i="1" l="1"/>
  <c r="BU99" i="1" s="1"/>
  <c r="BM93" i="1"/>
  <c r="BU93" i="1" s="1"/>
  <c r="BM133" i="1"/>
  <c r="BU133" i="1" s="1"/>
  <c r="CB35" i="1"/>
  <c r="BL165" i="1"/>
  <c r="BW35" i="1"/>
  <c r="BM34" i="1"/>
  <c r="BU34" i="1" s="1"/>
  <c r="BL89" i="1"/>
  <c r="CG808" i="1"/>
  <c r="CB808" i="1"/>
  <c r="BW142" i="1"/>
  <c r="BW154" i="1"/>
  <c r="BR250" i="1"/>
  <c r="CB348" i="1"/>
  <c r="BW800" i="1"/>
  <c r="BP28" i="1"/>
  <c r="BQ28" i="1" s="1"/>
  <c r="BS28" i="1" s="1"/>
  <c r="BW63" i="1"/>
  <c r="BW804" i="1"/>
  <c r="BW13" i="1"/>
  <c r="CG311" i="1"/>
  <c r="BW839" i="1"/>
  <c r="BW264" i="1"/>
  <c r="BR793" i="1"/>
  <c r="CG362" i="1"/>
  <c r="BW802" i="1"/>
  <c r="BW825" i="1"/>
  <c r="CE802" i="1"/>
  <c r="CF802" i="1" s="1"/>
  <c r="CH802" i="1" s="1"/>
  <c r="CI802" i="1" s="1"/>
  <c r="CJ802" i="1" s="1"/>
  <c r="CK802" i="1" s="1"/>
  <c r="BW813" i="1"/>
  <c r="BW345" i="1"/>
  <c r="BR264" i="1"/>
  <c r="BW798" i="1"/>
  <c r="CL139" i="1"/>
  <c r="BV806" i="1"/>
  <c r="BX806" i="1" s="1"/>
  <c r="BW46" i="1"/>
  <c r="BW836" i="1"/>
  <c r="CG806" i="1"/>
  <c r="BW799" i="1"/>
  <c r="BW805" i="1"/>
  <c r="BR794" i="1"/>
  <c r="CG792" i="1"/>
  <c r="BW827" i="1"/>
  <c r="BR803" i="1"/>
  <c r="CL345" i="1"/>
  <c r="CG143" i="1"/>
  <c r="BW812" i="1"/>
  <c r="BR816" i="1"/>
  <c r="BR817" i="1"/>
  <c r="BW39" i="1"/>
  <c r="BY142" i="1"/>
  <c r="CB142" i="1" s="1"/>
  <c r="CG804" i="1"/>
  <c r="BW349" i="1"/>
  <c r="BV67" i="1"/>
  <c r="BX67" i="1" s="1"/>
  <c r="BY67" i="1" s="1"/>
  <c r="BZ67" i="1" s="1"/>
  <c r="CA67" i="1" s="1"/>
  <c r="CC67" i="1" s="1"/>
  <c r="BW792" i="1"/>
  <c r="BW37" i="1"/>
  <c r="BW835" i="1"/>
  <c r="BU271" i="1"/>
  <c r="BV271" i="1" s="1"/>
  <c r="BX271" i="1" s="1"/>
  <c r="BY271" i="1" s="1"/>
  <c r="BZ271" i="1"/>
  <c r="CA271" i="1" s="1"/>
  <c r="CC271" i="1" s="1"/>
  <c r="CD271" i="1" s="1"/>
  <c r="CE271" i="1" s="1"/>
  <c r="CF271" i="1" s="1"/>
  <c r="CH271" i="1" s="1"/>
  <c r="CI271" i="1" s="1"/>
  <c r="CJ271" i="1" s="1"/>
  <c r="CK271" i="1" s="1"/>
  <c r="BW796" i="1"/>
  <c r="BR258" i="1"/>
  <c r="BR809" i="1"/>
  <c r="BZ251" i="1"/>
  <c r="CA251" i="1" s="1"/>
  <c r="CC251" i="1" s="1"/>
  <c r="CD251" i="1" s="1"/>
  <c r="CE251" i="1" s="1"/>
  <c r="CF251" i="1" s="1"/>
  <c r="CH251" i="1" s="1"/>
  <c r="BR262" i="1"/>
  <c r="CL808" i="1"/>
  <c r="CG184" i="1"/>
  <c r="CB63" i="1"/>
  <c r="BW795" i="1"/>
  <c r="BT256" i="1"/>
  <c r="BU256" i="1" s="1"/>
  <c r="BV256" i="1" s="1"/>
  <c r="BX256" i="1" s="1"/>
  <c r="BL785" i="1"/>
  <c r="BM785" i="1"/>
  <c r="BR268" i="1"/>
  <c r="BL603" i="1"/>
  <c r="BM603" i="1"/>
  <c r="BP603" i="1" s="1"/>
  <c r="BL390" i="1"/>
  <c r="BM390" i="1"/>
  <c r="BW815" i="1"/>
  <c r="BZ272" i="1"/>
  <c r="CA272" i="1" s="1"/>
  <c r="CC272" i="1" s="1"/>
  <c r="BU272" i="1"/>
  <c r="BM97" i="1"/>
  <c r="BU97" i="1" s="1"/>
  <c r="BL97" i="1"/>
  <c r="BM242" i="1"/>
  <c r="BP242" i="1" s="1"/>
  <c r="BL242" i="1"/>
  <c r="BL481" i="1"/>
  <c r="BM481" i="1"/>
  <c r="BM443" i="1"/>
  <c r="BL443" i="1"/>
  <c r="BM435" i="1"/>
  <c r="BL435" i="1"/>
  <c r="BM440" i="1"/>
  <c r="BL440" i="1"/>
  <c r="BM426" i="1"/>
  <c r="BL426" i="1"/>
  <c r="BL460" i="1"/>
  <c r="BM460" i="1"/>
  <c r="BM513" i="1"/>
  <c r="BL513" i="1"/>
  <c r="BM526" i="1"/>
  <c r="BL526" i="1"/>
  <c r="BM518" i="1"/>
  <c r="BL518" i="1"/>
  <c r="BL564" i="1"/>
  <c r="BM564" i="1"/>
  <c r="BP564" i="1" s="1"/>
  <c r="BL604" i="1"/>
  <c r="BM604" i="1"/>
  <c r="BM668" i="1"/>
  <c r="BL668" i="1"/>
  <c r="BL624" i="1"/>
  <c r="BM624" i="1"/>
  <c r="BP624" i="1" s="1"/>
  <c r="BL683" i="1"/>
  <c r="BM683" i="1"/>
  <c r="BM736" i="1"/>
  <c r="BL736" i="1"/>
  <c r="BM779" i="1"/>
  <c r="BL779" i="1"/>
  <c r="BT253" i="1"/>
  <c r="BU253" i="1" s="1"/>
  <c r="BV253" i="1" s="1"/>
  <c r="BX253" i="1" s="1"/>
  <c r="BM23" i="1"/>
  <c r="BU23" i="1" s="1"/>
  <c r="BL23" i="1"/>
  <c r="BM106" i="1"/>
  <c r="BU106" i="1" s="1"/>
  <c r="BL106" i="1"/>
  <c r="BM32" i="1"/>
  <c r="BU32" i="1" s="1"/>
  <c r="BL32" i="1"/>
  <c r="BM120" i="1"/>
  <c r="BL120" i="1"/>
  <c r="BL147" i="1"/>
  <c r="BM147" i="1"/>
  <c r="BM155" i="1"/>
  <c r="BL155" i="1"/>
  <c r="BM202" i="1"/>
  <c r="BL202" i="1"/>
  <c r="BM241" i="1"/>
  <c r="BL241" i="1"/>
  <c r="BM176" i="1"/>
  <c r="BL176" i="1"/>
  <c r="BL285" i="1"/>
  <c r="BM285" i="1"/>
  <c r="BP285" i="1" s="1"/>
  <c r="BM292" i="1"/>
  <c r="BP292" i="1" s="1"/>
  <c r="BL292" i="1"/>
  <c r="BM276" i="1"/>
  <c r="BL276" i="1"/>
  <c r="BM305" i="1"/>
  <c r="BL305" i="1"/>
  <c r="BM299" i="1"/>
  <c r="BP299" i="1" s="1"/>
  <c r="BL299" i="1"/>
  <c r="BL354" i="1"/>
  <c r="BM354" i="1"/>
  <c r="BP354" i="1" s="1"/>
  <c r="BM392" i="1"/>
  <c r="BP392" i="1" s="1"/>
  <c r="BL392" i="1"/>
  <c r="BM398" i="1"/>
  <c r="BL398" i="1"/>
  <c r="BM557" i="1"/>
  <c r="BP557" i="1" s="1"/>
  <c r="BL557" i="1"/>
  <c r="BM581" i="1"/>
  <c r="BP581" i="1" s="1"/>
  <c r="BL581" i="1"/>
  <c r="BM607" i="1"/>
  <c r="BP607" i="1" s="1"/>
  <c r="BL607" i="1"/>
  <c r="BL661" i="1"/>
  <c r="BM661" i="1"/>
  <c r="BM651" i="1"/>
  <c r="BP651" i="1" s="1"/>
  <c r="BL651" i="1"/>
  <c r="BM735" i="1"/>
  <c r="BL735" i="1"/>
  <c r="BM722" i="1"/>
  <c r="BP722" i="1" s="1"/>
  <c r="BL722" i="1"/>
  <c r="BM777" i="1"/>
  <c r="BL777" i="1"/>
  <c r="BV26" i="1"/>
  <c r="BX26" i="1" s="1"/>
  <c r="BM608" i="1"/>
  <c r="BL608" i="1"/>
  <c r="CI810" i="1"/>
  <c r="CJ810" i="1" s="1"/>
  <c r="CK810" i="1" s="1"/>
  <c r="BM678" i="1"/>
  <c r="BL678" i="1"/>
  <c r="BM14" i="1"/>
  <c r="BU14" i="1" s="1"/>
  <c r="BL14" i="1"/>
  <c r="BT843" i="1"/>
  <c r="BU843" i="1" s="1"/>
  <c r="BV843" i="1" s="1"/>
  <c r="BX843" i="1" s="1"/>
  <c r="BR843" i="1"/>
  <c r="BY815" i="1"/>
  <c r="CB815" i="1" s="1"/>
  <c r="CI804" i="1"/>
  <c r="CJ804" i="1" s="1"/>
  <c r="CK804" i="1" s="1"/>
  <c r="CG352" i="1"/>
  <c r="BM159" i="1"/>
  <c r="BL159" i="1"/>
  <c r="BM234" i="1"/>
  <c r="BL234" i="1"/>
  <c r="BM338" i="1"/>
  <c r="BL338" i="1"/>
  <c r="BM467" i="1"/>
  <c r="BL467" i="1"/>
  <c r="BM412" i="1"/>
  <c r="BL412" i="1"/>
  <c r="BM469" i="1"/>
  <c r="BL469" i="1"/>
  <c r="BM451" i="1"/>
  <c r="BL451" i="1"/>
  <c r="BM515" i="1"/>
  <c r="BL515" i="1"/>
  <c r="BM529" i="1"/>
  <c r="BL529" i="1"/>
  <c r="BM527" i="1"/>
  <c r="BL527" i="1"/>
  <c r="BM538" i="1"/>
  <c r="BP538" i="1" s="1"/>
  <c r="BL538" i="1"/>
  <c r="BM533" i="1"/>
  <c r="BL533" i="1"/>
  <c r="BL517" i="1"/>
  <c r="BM517" i="1"/>
  <c r="BL692" i="1"/>
  <c r="BM692" i="1"/>
  <c r="BL625" i="1"/>
  <c r="BM625" i="1"/>
  <c r="BM698" i="1"/>
  <c r="BL698" i="1"/>
  <c r="BL737" i="1"/>
  <c r="BM737" i="1"/>
  <c r="BL761" i="1"/>
  <c r="BM761" i="1"/>
  <c r="BW255" i="1"/>
  <c r="BV107" i="1"/>
  <c r="BX107" i="1" s="1"/>
  <c r="BM117" i="1"/>
  <c r="BL117" i="1"/>
  <c r="BM111" i="1"/>
  <c r="BL111" i="1"/>
  <c r="BM43" i="1"/>
  <c r="BU43" i="1" s="1"/>
  <c r="BL43" i="1"/>
  <c r="BM121" i="1"/>
  <c r="BL121" i="1"/>
  <c r="BM214" i="1"/>
  <c r="BL214" i="1"/>
  <c r="BL87" i="1"/>
  <c r="BM87" i="1"/>
  <c r="BU87" i="1" s="1"/>
  <c r="BM284" i="1"/>
  <c r="BL284" i="1"/>
  <c r="BM298" i="1"/>
  <c r="BL298" i="1"/>
  <c r="BM180" i="1"/>
  <c r="BP180" i="1" s="1"/>
  <c r="BL180" i="1"/>
  <c r="BM316" i="1"/>
  <c r="BL316" i="1"/>
  <c r="BM296" i="1"/>
  <c r="BP296" i="1" s="1"/>
  <c r="BL296" i="1"/>
  <c r="BL297" i="1"/>
  <c r="BM297" i="1"/>
  <c r="BP297" i="1" s="1"/>
  <c r="BM307" i="1"/>
  <c r="BP307" i="1" s="1"/>
  <c r="BL307" i="1"/>
  <c r="BM335" i="1"/>
  <c r="BL335" i="1"/>
  <c r="BM376" i="1"/>
  <c r="BL376" i="1"/>
  <c r="BM397" i="1"/>
  <c r="BL397" i="1"/>
  <c r="BL563" i="1"/>
  <c r="BM563" i="1"/>
  <c r="BM558" i="1"/>
  <c r="BP558" i="1" s="1"/>
  <c r="BL558" i="1"/>
  <c r="BM546" i="1"/>
  <c r="BL546" i="1"/>
  <c r="BM616" i="1"/>
  <c r="BL616" i="1"/>
  <c r="BM648" i="1"/>
  <c r="BP648" i="1" s="1"/>
  <c r="BL648" i="1"/>
  <c r="BM655" i="1"/>
  <c r="BP655" i="1" s="1"/>
  <c r="BL655" i="1"/>
  <c r="BL709" i="1"/>
  <c r="BM709" i="1"/>
  <c r="BL723" i="1"/>
  <c r="BM723" i="1"/>
  <c r="BP723" i="1" s="1"/>
  <c r="BL784" i="1"/>
  <c r="BM784" i="1"/>
  <c r="BV25" i="1"/>
  <c r="BX25" i="1" s="1"/>
  <c r="BV24" i="1"/>
  <c r="BX24" i="1" s="1"/>
  <c r="BU55" i="1"/>
  <c r="BV55" i="1" s="1"/>
  <c r="BX55" i="1" s="1"/>
  <c r="BP55" i="1"/>
  <c r="BL543" i="1"/>
  <c r="BM543" i="1"/>
  <c r="BL708" i="1"/>
  <c r="BM708" i="1"/>
  <c r="BP708" i="1" s="1"/>
  <c r="BM521" i="1"/>
  <c r="BL521" i="1"/>
  <c r="BY810" i="1"/>
  <c r="CB810" i="1" s="1"/>
  <c r="CI812" i="1"/>
  <c r="CJ812" i="1" s="1"/>
  <c r="CK812" i="1" s="1"/>
  <c r="BQ807" i="1"/>
  <c r="BS807" i="1" s="1"/>
  <c r="BY789" i="1"/>
  <c r="CB789" i="1" s="1"/>
  <c r="CI361" i="1"/>
  <c r="CJ361" i="1" s="1"/>
  <c r="CK361" i="1" s="1"/>
  <c r="CI352" i="1"/>
  <c r="CJ352" i="1" s="1"/>
  <c r="CK352" i="1" s="1"/>
  <c r="BT266" i="1"/>
  <c r="BU266" i="1" s="1"/>
  <c r="BV266" i="1" s="1"/>
  <c r="BX266" i="1" s="1"/>
  <c r="BQ265" i="1"/>
  <c r="BS265" i="1" s="1"/>
  <c r="BM158" i="1"/>
  <c r="BL158" i="1"/>
  <c r="BM287" i="1"/>
  <c r="BL287" i="1"/>
  <c r="BM327" i="1"/>
  <c r="BL327" i="1"/>
  <c r="BM438" i="1"/>
  <c r="BL438" i="1"/>
  <c r="BM473" i="1"/>
  <c r="BL473" i="1"/>
  <c r="BM495" i="1"/>
  <c r="BL495" i="1"/>
  <c r="BM476" i="1"/>
  <c r="BL476" i="1"/>
  <c r="BM474" i="1"/>
  <c r="BL474" i="1"/>
  <c r="BL405" i="1"/>
  <c r="BM405" i="1"/>
  <c r="BM598" i="1"/>
  <c r="BP598" i="1" s="1"/>
  <c r="BL598" i="1"/>
  <c r="BM552" i="1"/>
  <c r="BL552" i="1"/>
  <c r="BM587" i="1"/>
  <c r="BP587" i="1" s="1"/>
  <c r="BL587" i="1"/>
  <c r="BL535" i="1"/>
  <c r="BM535" i="1"/>
  <c r="BL600" i="1"/>
  <c r="BM600" i="1"/>
  <c r="BL632" i="1"/>
  <c r="BM632" i="1"/>
  <c r="BM688" i="1"/>
  <c r="BL688" i="1"/>
  <c r="BL762" i="1"/>
  <c r="BM762" i="1"/>
  <c r="BL755" i="1"/>
  <c r="BM755" i="1"/>
  <c r="BY255" i="1"/>
  <c r="BZ255" i="1" s="1"/>
  <c r="CA255" i="1" s="1"/>
  <c r="CC255" i="1" s="1"/>
  <c r="BY140" i="1"/>
  <c r="CB140" i="1" s="1"/>
  <c r="BM128" i="1"/>
  <c r="BL128" i="1"/>
  <c r="BM10" i="1"/>
  <c r="BL10" i="1"/>
  <c r="BM56" i="1"/>
  <c r="BU56" i="1" s="1"/>
  <c r="BL56" i="1"/>
  <c r="BM161" i="1"/>
  <c r="BL161" i="1"/>
  <c r="BM83" i="1"/>
  <c r="BU83" i="1" s="1"/>
  <c r="BL83" i="1"/>
  <c r="BM112" i="1"/>
  <c r="BL112" i="1"/>
  <c r="BM189" i="1"/>
  <c r="BP189" i="1" s="1"/>
  <c r="BL189" i="1"/>
  <c r="BM310" i="1"/>
  <c r="BL310" i="1"/>
  <c r="BM229" i="1"/>
  <c r="BL229" i="1"/>
  <c r="BM324" i="1"/>
  <c r="BL324" i="1"/>
  <c r="BM300" i="1"/>
  <c r="BP300" i="1" s="1"/>
  <c r="BL300" i="1"/>
  <c r="BM301" i="1"/>
  <c r="BL301" i="1"/>
  <c r="BM315" i="1"/>
  <c r="BP315" i="1" s="1"/>
  <c r="BL315" i="1"/>
  <c r="BM365" i="1"/>
  <c r="BL365" i="1"/>
  <c r="BM334" i="1"/>
  <c r="BP334" i="1" s="1"/>
  <c r="BL334" i="1"/>
  <c r="BL306" i="1"/>
  <c r="BM306" i="1"/>
  <c r="BM541" i="1"/>
  <c r="BL541" i="1"/>
  <c r="BM554" i="1"/>
  <c r="BP554" i="1" s="1"/>
  <c r="BL554" i="1"/>
  <c r="BM548" i="1"/>
  <c r="BP548" i="1" s="1"/>
  <c r="BL548" i="1"/>
  <c r="BL547" i="1"/>
  <c r="BM547" i="1"/>
  <c r="BL664" i="1"/>
  <c r="BM664" i="1"/>
  <c r="BM729" i="1"/>
  <c r="BL729" i="1"/>
  <c r="BL724" i="1"/>
  <c r="BM724" i="1"/>
  <c r="BP724" i="1" s="1"/>
  <c r="BM775" i="1"/>
  <c r="BL775" i="1"/>
  <c r="BM788" i="1"/>
  <c r="BL788" i="1"/>
  <c r="CG140" i="1"/>
  <c r="BP165" i="1"/>
  <c r="BZ165" i="1"/>
  <c r="CA165" i="1" s="1"/>
  <c r="CC165" i="1" s="1"/>
  <c r="BU165" i="1"/>
  <c r="BV165" i="1" s="1"/>
  <c r="BX165" i="1" s="1"/>
  <c r="BV19" i="1"/>
  <c r="BX19" i="1" s="1"/>
  <c r="BY39" i="1"/>
  <c r="BZ39" i="1" s="1"/>
  <c r="CA39" i="1" s="1"/>
  <c r="CC39" i="1" s="1"/>
  <c r="BY352" i="1"/>
  <c r="CB352" i="1" s="1"/>
  <c r="BM666" i="1"/>
  <c r="BL666" i="1"/>
  <c r="BM497" i="1"/>
  <c r="BL497" i="1"/>
  <c r="BY143" i="1"/>
  <c r="CB143" i="1" s="1"/>
  <c r="BM699" i="1"/>
  <c r="BL699" i="1"/>
  <c r="BT816" i="1"/>
  <c r="BU816" i="1" s="1"/>
  <c r="BV816" i="1" s="1"/>
  <c r="BX816" i="1" s="1"/>
  <c r="BY813" i="1"/>
  <c r="BZ813" i="1" s="1"/>
  <c r="CA813" i="1" s="1"/>
  <c r="CC813" i="1" s="1"/>
  <c r="CG812" i="1"/>
  <c r="BW789" i="1"/>
  <c r="CG815" i="1"/>
  <c r="CG361" i="1"/>
  <c r="BT258" i="1"/>
  <c r="BU258" i="1" s="1"/>
  <c r="BV258" i="1" s="1"/>
  <c r="BX258" i="1" s="1"/>
  <c r="BR266" i="1"/>
  <c r="BY264" i="1"/>
  <c r="BZ264" i="1" s="1"/>
  <c r="CA264" i="1" s="1"/>
  <c r="CC264" i="1" s="1"/>
  <c r="BL108" i="1"/>
  <c r="BM108" i="1"/>
  <c r="BU108" i="1" s="1"/>
  <c r="BM235" i="1"/>
  <c r="BL235" i="1"/>
  <c r="BM290" i="1"/>
  <c r="BL290" i="1"/>
  <c r="BM431" i="1"/>
  <c r="BL431" i="1"/>
  <c r="BM457" i="1"/>
  <c r="BL457" i="1"/>
  <c r="BM496" i="1"/>
  <c r="BL496" i="1"/>
  <c r="BM506" i="1"/>
  <c r="BL506" i="1"/>
  <c r="BM487" i="1"/>
  <c r="BL487" i="1"/>
  <c r="BL420" i="1"/>
  <c r="BM420" i="1"/>
  <c r="BL588" i="1"/>
  <c r="BM588" i="1"/>
  <c r="BP588" i="1" s="1"/>
  <c r="BM567" i="1"/>
  <c r="BL567" i="1"/>
  <c r="BM595" i="1"/>
  <c r="BP595" i="1" s="1"/>
  <c r="BL595" i="1"/>
  <c r="BM532" i="1"/>
  <c r="BL532" i="1"/>
  <c r="BL605" i="1"/>
  <c r="BM605" i="1"/>
  <c r="BM682" i="1"/>
  <c r="BL682" i="1"/>
  <c r="BM705" i="1"/>
  <c r="BL705" i="1"/>
  <c r="BL741" i="1"/>
  <c r="BM741" i="1"/>
  <c r="BM767" i="1"/>
  <c r="BL767" i="1"/>
  <c r="BM136" i="1"/>
  <c r="BL136" i="1"/>
  <c r="BM135" i="1"/>
  <c r="BL135" i="1"/>
  <c r="BU98" i="1"/>
  <c r="BV98" i="1" s="1"/>
  <c r="BX98" i="1" s="1"/>
  <c r="BP98" i="1"/>
  <c r="BM179" i="1"/>
  <c r="BP179" i="1" s="1"/>
  <c r="BL179" i="1"/>
  <c r="BM17" i="1"/>
  <c r="BU17" i="1" s="1"/>
  <c r="BL17" i="1"/>
  <c r="BM65" i="1"/>
  <c r="BU65" i="1" s="1"/>
  <c r="BL65" i="1"/>
  <c r="BM162" i="1"/>
  <c r="BL162" i="1"/>
  <c r="BM85" i="1"/>
  <c r="BU85" i="1" s="1"/>
  <c r="BL85" i="1"/>
  <c r="BL115" i="1"/>
  <c r="BM115" i="1"/>
  <c r="BM122" i="1"/>
  <c r="BL122" i="1"/>
  <c r="BM396" i="1"/>
  <c r="BL396" i="1"/>
  <c r="BM294" i="1"/>
  <c r="BL294" i="1"/>
  <c r="BM217" i="1"/>
  <c r="BL217" i="1"/>
  <c r="BM331" i="1"/>
  <c r="BP331" i="1" s="1"/>
  <c r="BL331" i="1"/>
  <c r="BM308" i="1"/>
  <c r="BP308" i="1" s="1"/>
  <c r="BL308" i="1"/>
  <c r="BM320" i="1"/>
  <c r="BP320" i="1" s="1"/>
  <c r="BL320" i="1"/>
  <c r="BM401" i="1"/>
  <c r="BL401" i="1"/>
  <c r="BM371" i="1"/>
  <c r="BP371" i="1" s="1"/>
  <c r="BL371" i="1"/>
  <c r="BL411" i="1"/>
  <c r="BM411" i="1"/>
  <c r="BM550" i="1"/>
  <c r="BP550" i="1" s="1"/>
  <c r="BL550" i="1"/>
  <c r="BM556" i="1"/>
  <c r="BP556" i="1" s="1"/>
  <c r="BL556" i="1"/>
  <c r="BM614" i="1"/>
  <c r="BL614" i="1"/>
  <c r="BL602" i="1"/>
  <c r="BM602" i="1"/>
  <c r="BM611" i="1"/>
  <c r="BL611" i="1"/>
  <c r="BM660" i="1"/>
  <c r="BL660" i="1"/>
  <c r="BM733" i="1"/>
  <c r="BL733" i="1"/>
  <c r="BM751" i="1"/>
  <c r="BL751" i="1"/>
  <c r="BM778" i="1"/>
  <c r="BL778" i="1"/>
  <c r="CI140" i="1"/>
  <c r="CJ140" i="1" s="1"/>
  <c r="CK140" i="1" s="1"/>
  <c r="BV33" i="1"/>
  <c r="BX33" i="1" s="1"/>
  <c r="BM501" i="1"/>
  <c r="BL501" i="1"/>
  <c r="BM582" i="1"/>
  <c r="BL582" i="1"/>
  <c r="BM766" i="1"/>
  <c r="BL766" i="1"/>
  <c r="BM224" i="1"/>
  <c r="BL224" i="1"/>
  <c r="BM374" i="1"/>
  <c r="BP374" i="1" s="1"/>
  <c r="BL374" i="1"/>
  <c r="BM395" i="1"/>
  <c r="BL395" i="1"/>
  <c r="BV58" i="1"/>
  <c r="BX58" i="1" s="1"/>
  <c r="BM243" i="1"/>
  <c r="BL243" i="1"/>
  <c r="BL453" i="1"/>
  <c r="BM453" i="1"/>
  <c r="BM759" i="1"/>
  <c r="BL759" i="1"/>
  <c r="BM12" i="1"/>
  <c r="BU12" i="1" s="1"/>
  <c r="BL12" i="1"/>
  <c r="BL109" i="1"/>
  <c r="BM109" i="1"/>
  <c r="BM281" i="1"/>
  <c r="BL281" i="1"/>
  <c r="BM380" i="1"/>
  <c r="BL380" i="1"/>
  <c r="BY361" i="1"/>
  <c r="CB361" i="1" s="1"/>
  <c r="BL125" i="1"/>
  <c r="BM125" i="1"/>
  <c r="BM430" i="1"/>
  <c r="BL430" i="1"/>
  <c r="BM627" i="1"/>
  <c r="BL627" i="1"/>
  <c r="BM57" i="1"/>
  <c r="BL57" i="1"/>
  <c r="BM381" i="1"/>
  <c r="BL381" i="1"/>
  <c r="CG789" i="1"/>
  <c r="CI348" i="1"/>
  <c r="CJ348" i="1" s="1"/>
  <c r="CK348" i="1" s="1"/>
  <c r="CD269" i="1"/>
  <c r="CE269" i="1" s="1"/>
  <c r="CF269" i="1" s="1"/>
  <c r="CH269" i="1" s="1"/>
  <c r="CI349" i="1"/>
  <c r="CJ349" i="1" s="1"/>
  <c r="CK349" i="1" s="1"/>
  <c r="BU261" i="1"/>
  <c r="BZ261" i="1"/>
  <c r="CA261" i="1" s="1"/>
  <c r="CC261" i="1" s="1"/>
  <c r="BM164" i="1"/>
  <c r="BL164" i="1"/>
  <c r="BM337" i="1"/>
  <c r="BL337" i="1"/>
  <c r="BM408" i="1"/>
  <c r="BL408" i="1"/>
  <c r="BM472" i="1"/>
  <c r="BL472" i="1"/>
  <c r="BM502" i="1"/>
  <c r="BL502" i="1"/>
  <c r="BM462" i="1"/>
  <c r="BL462" i="1"/>
  <c r="BM498" i="1"/>
  <c r="BL498" i="1"/>
  <c r="BL509" i="1"/>
  <c r="BM509" i="1"/>
  <c r="BM488" i="1"/>
  <c r="BL488" i="1"/>
  <c r="BL471" i="1"/>
  <c r="BM471" i="1"/>
  <c r="BL516" i="1"/>
  <c r="BM516" i="1"/>
  <c r="BM534" i="1"/>
  <c r="BL534" i="1"/>
  <c r="BL586" i="1"/>
  <c r="BM586" i="1"/>
  <c r="BP586" i="1" s="1"/>
  <c r="BM665" i="1"/>
  <c r="BL665" i="1"/>
  <c r="BL695" i="1"/>
  <c r="BM695" i="1"/>
  <c r="BL673" i="1"/>
  <c r="BM673" i="1"/>
  <c r="BM769" i="1"/>
  <c r="BL769" i="1"/>
  <c r="BM774" i="1"/>
  <c r="BL774" i="1"/>
  <c r="CI311" i="1"/>
  <c r="CJ311" i="1" s="1"/>
  <c r="CK311" i="1" s="1"/>
  <c r="BL9" i="1"/>
  <c r="BM9" i="1"/>
  <c r="BM42" i="1"/>
  <c r="BU42" i="1" s="1"/>
  <c r="BL42" i="1"/>
  <c r="BM29" i="1"/>
  <c r="BU29" i="1" s="1"/>
  <c r="BL29" i="1"/>
  <c r="BM226" i="1"/>
  <c r="BL226" i="1"/>
  <c r="BM146" i="1"/>
  <c r="BL146" i="1"/>
  <c r="BM190" i="1"/>
  <c r="BP190" i="1" s="1"/>
  <c r="BL190" i="1"/>
  <c r="BM102" i="1"/>
  <c r="BU102" i="1" s="1"/>
  <c r="BL102" i="1"/>
  <c r="BL185" i="1"/>
  <c r="BM185" i="1"/>
  <c r="BP185" i="1" s="1"/>
  <c r="BL148" i="1"/>
  <c r="BM148" i="1"/>
  <c r="BL218" i="1"/>
  <c r="BM218" i="1"/>
  <c r="BP218" i="1" s="1"/>
  <c r="BM351" i="1"/>
  <c r="BL351" i="1"/>
  <c r="BL219" i="1"/>
  <c r="BM219" i="1"/>
  <c r="BP219" i="1" s="1"/>
  <c r="BL394" i="1"/>
  <c r="BM394" i="1"/>
  <c r="BM409" i="1"/>
  <c r="BP409" i="1" s="1"/>
  <c r="BL409" i="1"/>
  <c r="BM385" i="1"/>
  <c r="BP385" i="1" s="1"/>
  <c r="BL385" i="1"/>
  <c r="BM383" i="1"/>
  <c r="BL383" i="1"/>
  <c r="BM357" i="1"/>
  <c r="BP357" i="1" s="1"/>
  <c r="BL357" i="1"/>
  <c r="BM577" i="1"/>
  <c r="BL577" i="1"/>
  <c r="BM640" i="1"/>
  <c r="BL640" i="1"/>
  <c r="BL580" i="1"/>
  <c r="BM580" i="1"/>
  <c r="BP580" i="1" s="1"/>
  <c r="BM609" i="1"/>
  <c r="BL609" i="1"/>
  <c r="BM649" i="1"/>
  <c r="BP649" i="1" s="1"/>
  <c r="BL649" i="1"/>
  <c r="BM725" i="1"/>
  <c r="BP725" i="1" s="1"/>
  <c r="BL725" i="1"/>
  <c r="BM713" i="1"/>
  <c r="BL713" i="1"/>
  <c r="BM744" i="1"/>
  <c r="BL744" i="1"/>
  <c r="BM70" i="1"/>
  <c r="BU70" i="1" s="1"/>
  <c r="BL70" i="1"/>
  <c r="BV48" i="1"/>
  <c r="BX48" i="1" s="1"/>
  <c r="BV16" i="1"/>
  <c r="BX16" i="1" s="1"/>
  <c r="CB28" i="1"/>
  <c r="CB7" i="1"/>
  <c r="CI818" i="1"/>
  <c r="CJ818" i="1" s="1"/>
  <c r="CK818" i="1" s="1"/>
  <c r="BM465" i="1"/>
  <c r="BL465" i="1"/>
  <c r="BM583" i="1"/>
  <c r="BP583" i="1" s="1"/>
  <c r="BL583" i="1"/>
  <c r="CI154" i="1"/>
  <c r="CJ154" i="1" s="1"/>
  <c r="CK154" i="1" s="1"/>
  <c r="BM172" i="1"/>
  <c r="BL172" i="1"/>
  <c r="BM221" i="1"/>
  <c r="BL221" i="1"/>
  <c r="BM415" i="1"/>
  <c r="BL415" i="1"/>
  <c r="BY89" i="1"/>
  <c r="BZ89" i="1" s="1"/>
  <c r="CA89" i="1" s="1"/>
  <c r="CC89" i="1" s="1"/>
  <c r="BM446" i="1"/>
  <c r="BL446" i="1"/>
  <c r="BM566" i="1"/>
  <c r="BP566" i="1" s="1"/>
  <c r="BL566" i="1"/>
  <c r="BM694" i="1"/>
  <c r="BL694" i="1"/>
  <c r="CG154" i="1"/>
  <c r="BM187" i="1"/>
  <c r="BP187" i="1" s="1"/>
  <c r="BL187" i="1"/>
  <c r="BL184" i="1"/>
  <c r="BM184" i="1"/>
  <c r="BM329" i="1"/>
  <c r="BP329" i="1" s="1"/>
  <c r="BL329" i="1"/>
  <c r="CG35" i="1"/>
  <c r="BY792" i="1"/>
  <c r="CB792" i="1" s="1"/>
  <c r="BW832" i="1"/>
  <c r="BL449" i="1"/>
  <c r="BM449" i="1"/>
  <c r="BL504" i="1"/>
  <c r="BM504" i="1"/>
  <c r="BM594" i="1"/>
  <c r="BP594" i="1" s="1"/>
  <c r="BL594" i="1"/>
  <c r="BL773" i="1"/>
  <c r="BM773" i="1"/>
  <c r="BM199" i="1"/>
  <c r="BL199" i="1"/>
  <c r="BM197" i="1"/>
  <c r="BL197" i="1"/>
  <c r="BL330" i="1"/>
  <c r="BM330" i="1"/>
  <c r="BP330" i="1" s="1"/>
  <c r="BM645" i="1"/>
  <c r="BL645" i="1"/>
  <c r="BM714" i="1"/>
  <c r="BL714" i="1"/>
  <c r="BW143" i="1"/>
  <c r="BV44" i="1"/>
  <c r="BX44" i="1" s="1"/>
  <c r="CD7" i="1"/>
  <c r="CE7" i="1" s="1"/>
  <c r="CF7" i="1" s="1"/>
  <c r="CH7" i="1" s="1"/>
  <c r="BT814" i="1"/>
  <c r="BU814" i="1" s="1"/>
  <c r="BV814" i="1" s="1"/>
  <c r="BX814" i="1" s="1"/>
  <c r="BR814" i="1"/>
  <c r="BQ790" i="1"/>
  <c r="BS790" i="1" s="1"/>
  <c r="BW831" i="1"/>
  <c r="CI496" i="1"/>
  <c r="CJ496" i="1" s="1"/>
  <c r="CK496" i="1" s="1"/>
  <c r="CG348" i="1"/>
  <c r="CG349" i="1"/>
  <c r="BU260" i="1"/>
  <c r="BZ260" i="1"/>
  <c r="CA260" i="1" s="1"/>
  <c r="CC260" i="1" s="1"/>
  <c r="BY250" i="1"/>
  <c r="BZ250" i="1" s="1"/>
  <c r="CA250" i="1" s="1"/>
  <c r="CC250" i="1" s="1"/>
  <c r="BM343" i="1"/>
  <c r="BL343" i="1"/>
  <c r="BM450" i="1"/>
  <c r="BP450" i="1" s="1"/>
  <c r="BL450" i="1"/>
  <c r="BM389" i="1"/>
  <c r="BL389" i="1"/>
  <c r="BM491" i="1"/>
  <c r="BL491" i="1"/>
  <c r="BM475" i="1"/>
  <c r="BL475" i="1"/>
  <c r="BL417" i="1"/>
  <c r="BM417" i="1"/>
  <c r="BM525" i="1"/>
  <c r="BL525" i="1"/>
  <c r="BL493" i="1"/>
  <c r="BM493" i="1"/>
  <c r="BL479" i="1"/>
  <c r="BM479" i="1"/>
  <c r="BM559" i="1"/>
  <c r="BP559" i="1" s="1"/>
  <c r="BL559" i="1"/>
  <c r="BM570" i="1"/>
  <c r="BL570" i="1"/>
  <c r="BM679" i="1"/>
  <c r="BL679" i="1"/>
  <c r="BL629" i="1"/>
  <c r="BM629" i="1"/>
  <c r="BL703" i="1"/>
  <c r="BM703" i="1"/>
  <c r="BM697" i="1"/>
  <c r="BL697" i="1"/>
  <c r="BL781" i="1"/>
  <c r="BM781" i="1"/>
  <c r="BL782" i="1"/>
  <c r="BM782" i="1"/>
  <c r="BV91" i="1"/>
  <c r="BX91" i="1" s="1"/>
  <c r="CN6" i="1"/>
  <c r="CO6" i="1" s="1"/>
  <c r="CP6" i="1" s="1"/>
  <c r="BK4" i="1"/>
  <c r="BA2" i="1"/>
  <c r="BM68" i="1"/>
  <c r="BU68" i="1" s="1"/>
  <c r="BL68" i="1"/>
  <c r="BM59" i="1"/>
  <c r="BU59" i="1" s="1"/>
  <c r="BL59" i="1"/>
  <c r="BM175" i="1"/>
  <c r="BL175" i="1"/>
  <c r="BM149" i="1"/>
  <c r="BL149" i="1"/>
  <c r="BM177" i="1"/>
  <c r="BL177" i="1"/>
  <c r="BL174" i="1"/>
  <c r="BM174" i="1"/>
  <c r="BL193" i="1"/>
  <c r="BM193" i="1"/>
  <c r="BP193" i="1" s="1"/>
  <c r="BL150" i="1"/>
  <c r="BM150" i="1"/>
  <c r="BM279" i="1"/>
  <c r="BL279" i="1"/>
  <c r="BM368" i="1"/>
  <c r="BL368" i="1"/>
  <c r="BL223" i="1"/>
  <c r="BM223" i="1"/>
  <c r="BM367" i="1"/>
  <c r="BL367" i="1"/>
  <c r="BM273" i="1"/>
  <c r="BP273" i="1" s="1"/>
  <c r="BL273" i="1"/>
  <c r="BM386" i="1"/>
  <c r="BP386" i="1" s="1"/>
  <c r="BL386" i="1"/>
  <c r="BM377" i="1"/>
  <c r="BL377" i="1"/>
  <c r="BM358" i="1"/>
  <c r="BL358" i="1"/>
  <c r="BM485" i="1"/>
  <c r="BL485" i="1"/>
  <c r="BM601" i="1"/>
  <c r="BP601" i="1" s="1"/>
  <c r="BL601" i="1"/>
  <c r="BM658" i="1"/>
  <c r="BL658" i="1"/>
  <c r="BM657" i="1"/>
  <c r="BL657" i="1"/>
  <c r="BL644" i="1"/>
  <c r="BM644" i="1"/>
  <c r="BM738" i="1"/>
  <c r="BL738" i="1"/>
  <c r="BL748" i="1"/>
  <c r="BM748" i="1"/>
  <c r="BM786" i="1"/>
  <c r="BL786" i="1"/>
  <c r="BL341" i="1"/>
  <c r="BM341" i="1"/>
  <c r="BL445" i="1"/>
  <c r="BM445" i="1"/>
  <c r="BL684" i="1"/>
  <c r="BM684" i="1"/>
  <c r="BM145" i="1"/>
  <c r="BL145" i="1"/>
  <c r="BM124" i="1"/>
  <c r="BL124" i="1"/>
  <c r="BM333" i="1"/>
  <c r="BP333" i="1" s="1"/>
  <c r="BL333" i="1"/>
  <c r="BM375" i="1"/>
  <c r="BL375" i="1"/>
  <c r="CI35" i="1"/>
  <c r="CJ35" i="1" s="1"/>
  <c r="CK35" i="1" s="1"/>
  <c r="BW352" i="1"/>
  <c r="BM423" i="1"/>
  <c r="BL423" i="1"/>
  <c r="BM610" i="1"/>
  <c r="BL610" i="1"/>
  <c r="CI184" i="1"/>
  <c r="CJ184" i="1" s="1"/>
  <c r="CK184" i="1" s="1"/>
  <c r="BL123" i="1"/>
  <c r="BM123" i="1"/>
  <c r="BM360" i="1"/>
  <c r="BL360" i="1"/>
  <c r="BM613" i="1"/>
  <c r="BL613" i="1"/>
  <c r="BW89" i="1"/>
  <c r="BM404" i="1"/>
  <c r="BL404" i="1"/>
  <c r="BM477" i="1"/>
  <c r="BL477" i="1"/>
  <c r="BM680" i="1"/>
  <c r="BL680" i="1"/>
  <c r="BM20" i="1"/>
  <c r="BU20" i="1" s="1"/>
  <c r="BL20" i="1"/>
  <c r="BL173" i="1"/>
  <c r="BM173" i="1"/>
  <c r="BM373" i="1"/>
  <c r="BP373" i="1" s="1"/>
  <c r="BL373" i="1"/>
  <c r="BM633" i="1"/>
  <c r="BP633" i="1" s="1"/>
  <c r="BL633" i="1"/>
  <c r="BL727" i="1"/>
  <c r="BM727" i="1"/>
  <c r="BL78" i="1"/>
  <c r="BM78" i="1"/>
  <c r="BU78" i="1" s="1"/>
  <c r="CD28" i="1"/>
  <c r="CE28" i="1" s="1"/>
  <c r="CF28" i="1" s="1"/>
  <c r="CH28" i="1" s="1"/>
  <c r="BV818" i="1"/>
  <c r="BX818" i="1" s="1"/>
  <c r="BQ791" i="1"/>
  <c r="BS791" i="1" s="1"/>
  <c r="BM204" i="1"/>
  <c r="BL204" i="1"/>
  <c r="CI806" i="1"/>
  <c r="CJ806" i="1" s="1"/>
  <c r="CK806" i="1" s="1"/>
  <c r="BW828" i="1"/>
  <c r="BY812" i="1"/>
  <c r="CB812" i="1" s="1"/>
  <c r="BY805" i="1"/>
  <c r="BZ805" i="1" s="1"/>
  <c r="CA805" i="1" s="1"/>
  <c r="CC805" i="1" s="1"/>
  <c r="BT809" i="1"/>
  <c r="BU809" i="1" s="1"/>
  <c r="BV809" i="1" s="1"/>
  <c r="BX809" i="1" s="1"/>
  <c r="CG496" i="1"/>
  <c r="BW361" i="1"/>
  <c r="BQ252" i="1"/>
  <c r="BS252" i="1" s="1"/>
  <c r="BT262" i="1"/>
  <c r="BU262" i="1" s="1"/>
  <c r="BV262" i="1" s="1"/>
  <c r="BX262" i="1" s="1"/>
  <c r="BW250" i="1"/>
  <c r="BM245" i="1"/>
  <c r="BL245" i="1"/>
  <c r="BL248" i="1"/>
  <c r="BM248" i="1"/>
  <c r="BM489" i="1"/>
  <c r="BL489" i="1"/>
  <c r="BM459" i="1"/>
  <c r="BL459" i="1"/>
  <c r="BM413" i="1"/>
  <c r="BL413" i="1"/>
  <c r="BL402" i="1"/>
  <c r="BM402" i="1"/>
  <c r="BM433" i="1"/>
  <c r="BL433" i="1"/>
  <c r="BM568" i="1"/>
  <c r="BP568" i="1" s="1"/>
  <c r="BL568" i="1"/>
  <c r="BM505" i="1"/>
  <c r="BL505" i="1"/>
  <c r="BL507" i="1"/>
  <c r="BM507" i="1"/>
  <c r="BM565" i="1"/>
  <c r="BP565" i="1" s="1"/>
  <c r="BL565" i="1"/>
  <c r="BM590" i="1"/>
  <c r="BP590" i="1" s="1"/>
  <c r="BL590" i="1"/>
  <c r="BL671" i="1"/>
  <c r="BM671" i="1"/>
  <c r="BL631" i="1"/>
  <c r="BM631" i="1"/>
  <c r="BM681" i="1"/>
  <c r="BL681" i="1"/>
  <c r="BL690" i="1"/>
  <c r="BM690" i="1"/>
  <c r="BM742" i="1"/>
  <c r="BL742" i="1"/>
  <c r="BL770" i="1"/>
  <c r="BM770" i="1"/>
  <c r="BP770" i="1" s="1"/>
  <c r="BM76" i="1"/>
  <c r="BU76" i="1" s="1"/>
  <c r="BL76" i="1"/>
  <c r="BM182" i="1"/>
  <c r="BP182" i="1" s="1"/>
  <c r="BL182" i="1"/>
  <c r="BM77" i="1"/>
  <c r="BU77" i="1" s="1"/>
  <c r="BL77" i="1"/>
  <c r="BM74" i="1"/>
  <c r="BU74" i="1" s="1"/>
  <c r="BL74" i="1"/>
  <c r="BM196" i="1"/>
  <c r="BL196" i="1"/>
  <c r="BM151" i="1"/>
  <c r="BL151" i="1"/>
  <c r="BM194" i="1"/>
  <c r="BL194" i="1"/>
  <c r="BM186" i="1"/>
  <c r="BP186" i="1" s="1"/>
  <c r="BL186" i="1"/>
  <c r="BL212" i="1"/>
  <c r="BM212" i="1"/>
  <c r="BM209" i="1"/>
  <c r="BL209" i="1"/>
  <c r="BM369" i="1"/>
  <c r="BL369" i="1"/>
  <c r="BM370" i="1"/>
  <c r="BP370" i="1" s="1"/>
  <c r="BL370" i="1"/>
  <c r="BM280" i="1"/>
  <c r="BP280" i="1" s="1"/>
  <c r="BL280" i="1"/>
  <c r="BL416" i="1"/>
  <c r="BM416" i="1"/>
  <c r="BM274" i="1"/>
  <c r="BP274" i="1" s="1"/>
  <c r="BL274" i="1"/>
  <c r="BM399" i="1"/>
  <c r="BP399" i="1" s="1"/>
  <c r="BL399" i="1"/>
  <c r="BM387" i="1"/>
  <c r="BP387" i="1" s="1"/>
  <c r="BL387" i="1"/>
  <c r="BM366" i="1"/>
  <c r="BP366" i="1" s="1"/>
  <c r="BL366" i="1"/>
  <c r="BL578" i="1"/>
  <c r="BM578" i="1"/>
  <c r="BP578" i="1" s="1"/>
  <c r="BM606" i="1"/>
  <c r="BP606" i="1" s="1"/>
  <c r="BL606" i="1"/>
  <c r="BL676" i="1"/>
  <c r="BM676" i="1"/>
  <c r="BM662" i="1"/>
  <c r="BL662" i="1"/>
  <c r="BL650" i="1"/>
  <c r="BM650" i="1"/>
  <c r="BP650" i="1" s="1"/>
  <c r="BL731" i="1"/>
  <c r="BM731" i="1"/>
  <c r="BL715" i="1"/>
  <c r="BM715" i="1"/>
  <c r="BP715" i="1" s="1"/>
  <c r="BM728" i="1"/>
  <c r="BL728" i="1"/>
  <c r="BV90" i="1"/>
  <c r="BX90" i="1" s="1"/>
  <c r="BV93" i="1"/>
  <c r="BX93" i="1" s="1"/>
  <c r="BV81" i="1"/>
  <c r="BX81" i="1" s="1"/>
  <c r="BV54" i="1"/>
  <c r="BX54" i="1" s="1"/>
  <c r="BY13" i="1"/>
  <c r="BZ13" i="1" s="1"/>
  <c r="CA13" i="1" s="1"/>
  <c r="CC13" i="1" s="1"/>
  <c r="CI815" i="1"/>
  <c r="CJ815" i="1" s="1"/>
  <c r="CK815" i="1" s="1"/>
  <c r="BM520" i="1"/>
  <c r="BL520" i="1"/>
  <c r="BM592" i="1"/>
  <c r="BL592" i="1"/>
  <c r="BM739" i="1"/>
  <c r="BL739" i="1"/>
  <c r="BM118" i="1"/>
  <c r="BL118" i="1"/>
  <c r="BM332" i="1"/>
  <c r="BP332" i="1" s="1"/>
  <c r="BL332" i="1"/>
  <c r="BV99" i="1"/>
  <c r="BX99" i="1" s="1"/>
  <c r="BR801" i="1"/>
  <c r="BM429" i="1"/>
  <c r="BL429" i="1"/>
  <c r="BL519" i="1"/>
  <c r="BM519" i="1"/>
  <c r="BM60" i="1"/>
  <c r="BU60" i="1" s="1"/>
  <c r="BL60" i="1"/>
  <c r="BM228" i="1"/>
  <c r="BL228" i="1"/>
  <c r="BM359" i="1"/>
  <c r="BP359" i="1" s="1"/>
  <c r="BL359" i="1"/>
  <c r="CG810" i="1"/>
  <c r="BM236" i="1"/>
  <c r="BL236" i="1"/>
  <c r="BM483" i="1"/>
  <c r="BL483" i="1"/>
  <c r="BM585" i="1"/>
  <c r="BP585" i="1" s="1"/>
  <c r="BL585" i="1"/>
  <c r="BL787" i="1"/>
  <c r="BM787" i="1"/>
  <c r="BM188" i="1"/>
  <c r="BL188" i="1"/>
  <c r="BL157" i="1"/>
  <c r="BM157" i="1"/>
  <c r="BL216" i="1"/>
  <c r="BM216" i="1"/>
  <c r="BM382" i="1"/>
  <c r="BL382" i="1"/>
  <c r="BM646" i="1"/>
  <c r="BP646" i="1" s="1"/>
  <c r="BL646" i="1"/>
  <c r="BL711" i="1"/>
  <c r="BM711" i="1"/>
  <c r="BW810" i="1"/>
  <c r="BW823" i="1"/>
  <c r="BW269" i="1"/>
  <c r="BZ254" i="1"/>
  <c r="CA254" i="1" s="1"/>
  <c r="CC254" i="1" s="1"/>
  <c r="BU254" i="1"/>
  <c r="BM92" i="1"/>
  <c r="BU92" i="1" s="1"/>
  <c r="BL92" i="1"/>
  <c r="BL246" i="1"/>
  <c r="BM246" i="1"/>
  <c r="BM328" i="1"/>
  <c r="BL328" i="1"/>
  <c r="BM436" i="1"/>
  <c r="BL436" i="1"/>
  <c r="BM428" i="1"/>
  <c r="BL428" i="1"/>
  <c r="BM418" i="1"/>
  <c r="BL418" i="1"/>
  <c r="BM511" i="1"/>
  <c r="BL511" i="1"/>
  <c r="BM524" i="1"/>
  <c r="BL524" i="1"/>
  <c r="BL441" i="1"/>
  <c r="BM441" i="1"/>
  <c r="BL512" i="1"/>
  <c r="BM512" i="1"/>
  <c r="BL571" i="1"/>
  <c r="BM571" i="1"/>
  <c r="BM593" i="1"/>
  <c r="BP593" i="1" s="1"/>
  <c r="BL593" i="1"/>
  <c r="BL667" i="1"/>
  <c r="BM667" i="1"/>
  <c r="BL691" i="1"/>
  <c r="BM691" i="1"/>
  <c r="BL686" i="1"/>
  <c r="BM686" i="1"/>
  <c r="BM700" i="1"/>
  <c r="BL700" i="1"/>
  <c r="BM753" i="1"/>
  <c r="BL753" i="1"/>
  <c r="BL771" i="1"/>
  <c r="BM771" i="1"/>
  <c r="BV130" i="1"/>
  <c r="BX130" i="1" s="1"/>
  <c r="CI143" i="1"/>
  <c r="CJ143" i="1" s="1"/>
  <c r="CK143" i="1" s="1"/>
  <c r="BM132" i="1"/>
  <c r="BL132" i="1"/>
  <c r="BL79" i="1"/>
  <c r="BM79" i="1"/>
  <c r="BU79" i="1" s="1"/>
  <c r="BL206" i="1"/>
  <c r="BM206" i="1"/>
  <c r="BM178" i="1"/>
  <c r="BL178" i="1"/>
  <c r="BL38" i="1"/>
  <c r="BM38" i="1"/>
  <c r="BU38" i="1" s="1"/>
  <c r="BM211" i="1"/>
  <c r="BL211" i="1"/>
  <c r="BL249" i="1"/>
  <c r="BM249" i="1"/>
  <c r="BM213" i="1"/>
  <c r="BL213" i="1"/>
  <c r="BM410" i="1"/>
  <c r="BL410" i="1"/>
  <c r="BM208" i="1"/>
  <c r="BL208" i="1"/>
  <c r="BM314" i="1"/>
  <c r="BP314" i="1" s="1"/>
  <c r="BL314" i="1"/>
  <c r="BM364" i="1"/>
  <c r="BP364" i="1" s="1"/>
  <c r="BL364" i="1"/>
  <c r="BM275" i="1"/>
  <c r="BL275" i="1"/>
  <c r="BL288" i="1"/>
  <c r="BM288" i="1"/>
  <c r="BL339" i="1"/>
  <c r="BM339" i="1"/>
  <c r="BP339" i="1" s="1"/>
  <c r="BL393" i="1"/>
  <c r="BM393" i="1"/>
  <c r="BM562" i="1"/>
  <c r="BL562" i="1"/>
  <c r="BM540" i="1"/>
  <c r="BP540" i="1" s="1"/>
  <c r="BL540" i="1"/>
  <c r="BM615" i="1"/>
  <c r="BL615" i="1"/>
  <c r="BM643" i="1"/>
  <c r="BP643" i="1" s="1"/>
  <c r="BL643" i="1"/>
  <c r="BM702" i="1"/>
  <c r="BP702" i="1" s="1"/>
  <c r="BL702" i="1"/>
  <c r="BM677" i="1"/>
  <c r="BL677" i="1"/>
  <c r="BM716" i="1"/>
  <c r="BP716" i="1" s="1"/>
  <c r="BL716" i="1"/>
  <c r="BM734" i="1"/>
  <c r="BL734" i="1"/>
  <c r="BY46" i="1"/>
  <c r="BZ46" i="1" s="1"/>
  <c r="CA46" i="1" s="1"/>
  <c r="CC46" i="1" s="1"/>
  <c r="BV22" i="1"/>
  <c r="BX22" i="1" s="1"/>
  <c r="BW41" i="1"/>
  <c r="BM170" i="1"/>
  <c r="BP170" i="1" s="1"/>
  <c r="BL170" i="1"/>
  <c r="BM757" i="1"/>
  <c r="BL757" i="1"/>
  <c r="BM468" i="1"/>
  <c r="BL468" i="1"/>
  <c r="BM750" i="1"/>
  <c r="BL750" i="1"/>
  <c r="BV251" i="1"/>
  <c r="BX251" i="1" s="1"/>
  <c r="BL129" i="1"/>
  <c r="BM129" i="1"/>
  <c r="BY269" i="1"/>
  <c r="CB269" i="1" s="1"/>
  <c r="BM96" i="1"/>
  <c r="BU96" i="1" s="1"/>
  <c r="BL96" i="1"/>
  <c r="BL304" i="1"/>
  <c r="BM304" i="1"/>
  <c r="BM419" i="1"/>
  <c r="BL419" i="1"/>
  <c r="BM444" i="1"/>
  <c r="BL444" i="1"/>
  <c r="BM461" i="1"/>
  <c r="BL461" i="1"/>
  <c r="BL437" i="1"/>
  <c r="BM437" i="1"/>
  <c r="BL514" i="1"/>
  <c r="BM514" i="1"/>
  <c r="BM597" i="1"/>
  <c r="BP597" i="1" s="1"/>
  <c r="BL597" i="1"/>
  <c r="BM448" i="1"/>
  <c r="BL448" i="1"/>
  <c r="BM536" i="1"/>
  <c r="BL536" i="1"/>
  <c r="BM591" i="1"/>
  <c r="BP591" i="1" s="1"/>
  <c r="BL591" i="1"/>
  <c r="BM596" i="1"/>
  <c r="BL596" i="1"/>
  <c r="BL669" i="1"/>
  <c r="BM669" i="1"/>
  <c r="BL696" i="1"/>
  <c r="BM696" i="1"/>
  <c r="BM687" i="1"/>
  <c r="BL687" i="1"/>
  <c r="BM670" i="1"/>
  <c r="BL670" i="1"/>
  <c r="BM754" i="1"/>
  <c r="BL754" i="1"/>
  <c r="BM134" i="1"/>
  <c r="BL134" i="1"/>
  <c r="CD130" i="1"/>
  <c r="CE130" i="1" s="1"/>
  <c r="CF130" i="1" s="1"/>
  <c r="CH130" i="1" s="1"/>
  <c r="BM210" i="1"/>
  <c r="BL210" i="1"/>
  <c r="BM198" i="1"/>
  <c r="BP198" i="1" s="1"/>
  <c r="BL198" i="1"/>
  <c r="BM183" i="1"/>
  <c r="BL183" i="1"/>
  <c r="BM191" i="1"/>
  <c r="BL191" i="1"/>
  <c r="BM40" i="1"/>
  <c r="BU40" i="1" s="1"/>
  <c r="BL40" i="1"/>
  <c r="BM277" i="1"/>
  <c r="BL277" i="1"/>
  <c r="BM171" i="1"/>
  <c r="BL171" i="1"/>
  <c r="BM291" i="1"/>
  <c r="BL291" i="1"/>
  <c r="BM322" i="1"/>
  <c r="BP322" i="1" s="1"/>
  <c r="BL322" i="1"/>
  <c r="BM319" i="1"/>
  <c r="BP319" i="1" s="1"/>
  <c r="BL319" i="1"/>
  <c r="BM207" i="1"/>
  <c r="BL207" i="1"/>
  <c r="BM372" i="1"/>
  <c r="BP372" i="1" s="1"/>
  <c r="BL372" i="1"/>
  <c r="BM289" i="1"/>
  <c r="BP289" i="1" s="1"/>
  <c r="BL289" i="1"/>
  <c r="BL313" i="1"/>
  <c r="BM313" i="1"/>
  <c r="BP313" i="1" s="1"/>
  <c r="BL340" i="1"/>
  <c r="BM340" i="1"/>
  <c r="BP340" i="1" s="1"/>
  <c r="BM407" i="1"/>
  <c r="BP407" i="1" s="1"/>
  <c r="BL407" i="1"/>
  <c r="BM561" i="1"/>
  <c r="BP561" i="1" s="1"/>
  <c r="BL561" i="1"/>
  <c r="BM544" i="1"/>
  <c r="BP544" i="1" s="1"/>
  <c r="BL544" i="1"/>
  <c r="BM618" i="1"/>
  <c r="BL618" i="1"/>
  <c r="BM642" i="1"/>
  <c r="BL642" i="1"/>
  <c r="BL726" i="1"/>
  <c r="BM726" i="1"/>
  <c r="BM701" i="1"/>
  <c r="BL701" i="1"/>
  <c r="BM717" i="1"/>
  <c r="BP717" i="1" s="1"/>
  <c r="BL717" i="1"/>
  <c r="BL747" i="1"/>
  <c r="BM747" i="1"/>
  <c r="BV95" i="1"/>
  <c r="BX95" i="1" s="1"/>
  <c r="BV27" i="1"/>
  <c r="BX27" i="1" s="1"/>
  <c r="BV82" i="1"/>
  <c r="BX82" i="1" s="1"/>
  <c r="BY41" i="1"/>
  <c r="BZ41" i="1" s="1"/>
  <c r="CA41" i="1" s="1"/>
  <c r="CC41" i="1" s="1"/>
  <c r="BT268" i="1"/>
  <c r="BU268" i="1" s="1"/>
  <c r="BV268" i="1" s="1"/>
  <c r="BX268" i="1" s="1"/>
  <c r="BM749" i="1"/>
  <c r="BL749" i="1"/>
  <c r="BM205" i="1"/>
  <c r="BL205" i="1"/>
  <c r="BM659" i="1"/>
  <c r="BL659" i="1"/>
  <c r="BM318" i="1"/>
  <c r="BL318" i="1"/>
  <c r="BY793" i="1"/>
  <c r="BZ793" i="1" s="1"/>
  <c r="CA793" i="1" s="1"/>
  <c r="CC793" i="1" s="1"/>
  <c r="BW824" i="1"/>
  <c r="BW793" i="1"/>
  <c r="BW820" i="1"/>
  <c r="CG497" i="1"/>
  <c r="BQ259" i="1"/>
  <c r="BS259" i="1" s="1"/>
  <c r="BQ263" i="1"/>
  <c r="BS263" i="1" s="1"/>
  <c r="BQ267" i="1"/>
  <c r="BS267" i="1" s="1"/>
  <c r="BM247" i="1"/>
  <c r="BL247" i="1"/>
  <c r="BL232" i="1"/>
  <c r="BM232" i="1"/>
  <c r="BL454" i="1"/>
  <c r="BM454" i="1"/>
  <c r="BL326" i="1"/>
  <c r="BM326" i="1"/>
  <c r="BM494" i="1"/>
  <c r="BL494" i="1"/>
  <c r="BL455" i="1"/>
  <c r="BM455" i="1"/>
  <c r="BM403" i="1"/>
  <c r="BL403" i="1"/>
  <c r="BM531" i="1"/>
  <c r="BL531" i="1"/>
  <c r="BM466" i="1"/>
  <c r="BL466" i="1"/>
  <c r="BL537" i="1"/>
  <c r="BM537" i="1"/>
  <c r="BM612" i="1"/>
  <c r="BL612" i="1"/>
  <c r="BL621" i="1"/>
  <c r="BM621" i="1"/>
  <c r="BM674" i="1"/>
  <c r="BL674" i="1"/>
  <c r="BL685" i="1"/>
  <c r="BM685" i="1"/>
  <c r="BL675" i="1"/>
  <c r="BM675" i="1"/>
  <c r="BM743" i="1"/>
  <c r="BL743" i="1"/>
  <c r="BL763" i="1"/>
  <c r="BM763" i="1"/>
  <c r="BM772" i="1"/>
  <c r="BL772" i="1"/>
  <c r="BM127" i="1"/>
  <c r="BL127" i="1"/>
  <c r="BM72" i="1"/>
  <c r="BU72" i="1" s="1"/>
  <c r="BL72" i="1"/>
  <c r="BL11" i="1"/>
  <c r="BM11" i="1"/>
  <c r="BM86" i="1"/>
  <c r="BU86" i="1" s="1"/>
  <c r="BL86" i="1"/>
  <c r="BM103" i="1"/>
  <c r="BU103" i="1" s="1"/>
  <c r="BL103" i="1"/>
  <c r="BL237" i="1"/>
  <c r="BM237" i="1"/>
  <c r="BP237" i="1" s="1"/>
  <c r="BL51" i="1"/>
  <c r="BM51" i="1"/>
  <c r="BU51" i="1" s="1"/>
  <c r="BM222" i="1"/>
  <c r="BL222" i="1"/>
  <c r="BL181" i="1"/>
  <c r="BM181" i="1"/>
  <c r="BP181" i="1" s="1"/>
  <c r="BM105" i="1"/>
  <c r="BU105" i="1" s="1"/>
  <c r="BL105" i="1"/>
  <c r="BL312" i="1"/>
  <c r="BM312" i="1"/>
  <c r="BP312" i="1" s="1"/>
  <c r="BM239" i="1"/>
  <c r="BL239" i="1"/>
  <c r="BM215" i="1"/>
  <c r="BL215" i="1"/>
  <c r="BM346" i="1"/>
  <c r="BP346" i="1" s="1"/>
  <c r="BL346" i="1"/>
  <c r="BL302" i="1"/>
  <c r="BM302" i="1"/>
  <c r="BP302" i="1" s="1"/>
  <c r="BM317" i="1"/>
  <c r="BL317" i="1"/>
  <c r="BM384" i="1"/>
  <c r="BP384" i="1" s="1"/>
  <c r="BL384" i="1"/>
  <c r="BM484" i="1"/>
  <c r="BL484" i="1"/>
  <c r="BM572" i="1"/>
  <c r="BL572" i="1"/>
  <c r="BM555" i="1"/>
  <c r="BP555" i="1" s="1"/>
  <c r="BL555" i="1"/>
  <c r="BL619" i="1"/>
  <c r="BM619" i="1"/>
  <c r="BM656" i="1"/>
  <c r="BP656" i="1" s="1"/>
  <c r="BL656" i="1"/>
  <c r="BL710" i="1"/>
  <c r="BM710" i="1"/>
  <c r="BM745" i="1"/>
  <c r="BL745" i="1"/>
  <c r="BM718" i="1"/>
  <c r="BP718" i="1" s="1"/>
  <c r="BL718" i="1"/>
  <c r="BL758" i="1"/>
  <c r="BM758" i="1"/>
  <c r="BU167" i="1"/>
  <c r="BV167" i="1" s="1"/>
  <c r="BX167" i="1" s="1"/>
  <c r="BZ167" i="1"/>
  <c r="CA167" i="1" s="1"/>
  <c r="CC167" i="1" s="1"/>
  <c r="BP167" i="1"/>
  <c r="CG63" i="1"/>
  <c r="BW50" i="1"/>
  <c r="BL641" i="1"/>
  <c r="BM641" i="1"/>
  <c r="BM579" i="1"/>
  <c r="BL579" i="1"/>
  <c r="BM200" i="1"/>
  <c r="BP200" i="1" s="1"/>
  <c r="BL200" i="1"/>
  <c r="BL344" i="1"/>
  <c r="BM344" i="1"/>
  <c r="BM522" i="1"/>
  <c r="BL522" i="1"/>
  <c r="BM634" i="1"/>
  <c r="BL634" i="1"/>
  <c r="BL693" i="1"/>
  <c r="BM693" i="1"/>
  <c r="BL689" i="1"/>
  <c r="BM689" i="1"/>
  <c r="BM740" i="1"/>
  <c r="BL740" i="1"/>
  <c r="BM756" i="1"/>
  <c r="BL756" i="1"/>
  <c r="BM780" i="1"/>
  <c r="BL780" i="1"/>
  <c r="BL18" i="1"/>
  <c r="BM18" i="1"/>
  <c r="BU18" i="1" s="1"/>
  <c r="BV133" i="1"/>
  <c r="BX133" i="1" s="1"/>
  <c r="BM113" i="1"/>
  <c r="BL113" i="1"/>
  <c r="BL64" i="1"/>
  <c r="BM64" i="1"/>
  <c r="BU64" i="1" s="1"/>
  <c r="BL53" i="1"/>
  <c r="BM53" i="1"/>
  <c r="BU53" i="1" s="1"/>
  <c r="BM230" i="1"/>
  <c r="BL230" i="1"/>
  <c r="BL203" i="1"/>
  <c r="BM203" i="1"/>
  <c r="BM114" i="1"/>
  <c r="BL114" i="1"/>
  <c r="BM309" i="1"/>
  <c r="BL309" i="1"/>
  <c r="BL278" i="1"/>
  <c r="BM278" i="1"/>
  <c r="BM225" i="1"/>
  <c r="BP225" i="1" s="1"/>
  <c r="BL225" i="1"/>
  <c r="BM353" i="1"/>
  <c r="BP353" i="1" s="1"/>
  <c r="BL353" i="1"/>
  <c r="BM391" i="1"/>
  <c r="BL391" i="1"/>
  <c r="BM347" i="1"/>
  <c r="BP347" i="1" s="1"/>
  <c r="BL347" i="1"/>
  <c r="BM406" i="1"/>
  <c r="BP406" i="1" s="1"/>
  <c r="BL406" i="1"/>
  <c r="BL400" i="1"/>
  <c r="BM400" i="1"/>
  <c r="BL575" i="1"/>
  <c r="BM575" i="1"/>
  <c r="BM569" i="1"/>
  <c r="BP569" i="1" s="1"/>
  <c r="BL569" i="1"/>
  <c r="BM617" i="1"/>
  <c r="BL617" i="1"/>
  <c r="BM653" i="1"/>
  <c r="BP653" i="1" s="1"/>
  <c r="BL653" i="1"/>
  <c r="BL712" i="1"/>
  <c r="BM712" i="1"/>
  <c r="BM746" i="1"/>
  <c r="BL746" i="1"/>
  <c r="BL719" i="1"/>
  <c r="BM719" i="1"/>
  <c r="BP719" i="1" s="1"/>
  <c r="BL783" i="1"/>
  <c r="BM783" i="1"/>
  <c r="CI142" i="1"/>
  <c r="CJ142" i="1" s="1"/>
  <c r="CK142" i="1" s="1"/>
  <c r="BM119" i="1"/>
  <c r="BL119" i="1"/>
  <c r="CI63" i="1"/>
  <c r="CJ63" i="1" s="1"/>
  <c r="CK63" i="1" s="1"/>
  <c r="BY50" i="1"/>
  <c r="BZ50" i="1" s="1"/>
  <c r="CA50" i="1" s="1"/>
  <c r="CC50" i="1" s="1"/>
  <c r="BV75" i="1"/>
  <c r="BX75" i="1" s="1"/>
  <c r="BV21" i="1"/>
  <c r="BX21" i="1" s="1"/>
  <c r="BU31" i="1"/>
  <c r="BV31" i="1" s="1"/>
  <c r="BX31" i="1" s="1"/>
  <c r="BP31" i="1"/>
  <c r="BT801" i="1"/>
  <c r="BU801" i="1" s="1"/>
  <c r="BV801" i="1" s="1"/>
  <c r="BX801" i="1" s="1"/>
  <c r="BM100" i="1"/>
  <c r="BU100" i="1" s="1"/>
  <c r="BL100" i="1"/>
  <c r="BL452" i="1"/>
  <c r="BM452" i="1"/>
  <c r="BM768" i="1"/>
  <c r="BL768" i="1"/>
  <c r="BM88" i="1"/>
  <c r="BU88" i="1" s="1"/>
  <c r="BL88" i="1"/>
  <c r="BM227" i="1"/>
  <c r="BL227" i="1"/>
  <c r="BL573" i="1"/>
  <c r="BM573" i="1"/>
  <c r="BS7" i="1"/>
  <c r="CG818" i="1"/>
  <c r="BR256" i="1"/>
  <c r="BL499" i="1"/>
  <c r="BM499" i="1"/>
  <c r="BL584" i="1"/>
  <c r="BM584" i="1"/>
  <c r="BP584" i="1" s="1"/>
  <c r="BM765" i="1"/>
  <c r="BL765" i="1"/>
  <c r="BM238" i="1"/>
  <c r="BL238" i="1"/>
  <c r="BM192" i="1"/>
  <c r="BP192" i="1" s="1"/>
  <c r="BL192" i="1"/>
  <c r="BM539" i="1"/>
  <c r="BP539" i="1" s="1"/>
  <c r="BL539" i="1"/>
  <c r="BL478" i="1"/>
  <c r="BM478" i="1"/>
  <c r="BM638" i="1"/>
  <c r="BP638" i="1" s="1"/>
  <c r="BL638" i="1"/>
  <c r="BQ842" i="1"/>
  <c r="BS842" i="1" s="1"/>
  <c r="CI497" i="1"/>
  <c r="CJ497" i="1" s="1"/>
  <c r="CK497" i="1" s="1"/>
  <c r="BM244" i="1"/>
  <c r="BL244" i="1"/>
  <c r="BM523" i="1"/>
  <c r="BL523" i="1"/>
  <c r="BM422" i="1"/>
  <c r="BL422" i="1"/>
  <c r="BM442" i="1"/>
  <c r="BL442" i="1"/>
  <c r="BM620" i="1"/>
  <c r="BL620" i="1"/>
  <c r="BL80" i="1"/>
  <c r="BM80" i="1"/>
  <c r="BU80" i="1" s="1"/>
  <c r="BY802" i="1"/>
  <c r="CB802" i="1" s="1"/>
  <c r="BR841" i="1"/>
  <c r="BT803" i="1"/>
  <c r="BU803" i="1" s="1"/>
  <c r="BV803" i="1" s="1"/>
  <c r="BX803" i="1" s="1"/>
  <c r="BW840" i="1"/>
  <c r="BW311" i="1"/>
  <c r="CI362" i="1"/>
  <c r="CJ362" i="1" s="1"/>
  <c r="CK362" i="1" s="1"/>
  <c r="BQ257" i="1"/>
  <c r="BS257" i="1" s="1"/>
  <c r="CD270" i="1"/>
  <c r="CE270" i="1" s="1"/>
  <c r="CF270" i="1" s="1"/>
  <c r="CH270" i="1" s="1"/>
  <c r="BL240" i="1"/>
  <c r="BM240" i="1"/>
  <c r="BM325" i="1"/>
  <c r="BL325" i="1"/>
  <c r="BM503" i="1"/>
  <c r="BL503" i="1"/>
  <c r="BL414" i="1"/>
  <c r="BM414" i="1"/>
  <c r="BM432" i="1"/>
  <c r="BL432" i="1"/>
  <c r="BM470" i="1"/>
  <c r="BL470" i="1"/>
  <c r="BM427" i="1"/>
  <c r="BL427" i="1"/>
  <c r="BL530" i="1"/>
  <c r="BM530" i="1"/>
  <c r="BM508" i="1"/>
  <c r="BL508" i="1"/>
  <c r="BM490" i="1"/>
  <c r="BL490" i="1"/>
  <c r="BL528" i="1"/>
  <c r="BM528" i="1"/>
  <c r="BM589" i="1"/>
  <c r="BP589" i="1" s="1"/>
  <c r="BL589" i="1"/>
  <c r="BM626" i="1"/>
  <c r="BL626" i="1"/>
  <c r="BL622" i="1"/>
  <c r="BM622" i="1"/>
  <c r="BP622" i="1" s="1"/>
  <c r="BM635" i="1"/>
  <c r="BP635" i="1" s="1"/>
  <c r="BL635" i="1"/>
  <c r="BL704" i="1"/>
  <c r="BM704" i="1"/>
  <c r="BP704" i="1" s="1"/>
  <c r="BL760" i="1"/>
  <c r="BM760" i="1"/>
  <c r="BL94" i="1"/>
  <c r="BM94" i="1"/>
  <c r="BU94" i="1" s="1"/>
  <c r="BM69" i="1"/>
  <c r="BU69" i="1" s="1"/>
  <c r="BL69" i="1"/>
  <c r="BL52" i="1"/>
  <c r="BM52" i="1"/>
  <c r="BU52" i="1" s="1"/>
  <c r="BL101" i="1"/>
  <c r="BM101" i="1"/>
  <c r="BU101" i="1" s="1"/>
  <c r="BL137" i="1"/>
  <c r="BM137" i="1"/>
  <c r="BL71" i="1"/>
  <c r="BM71" i="1"/>
  <c r="BU71" i="1" s="1"/>
  <c r="BM110" i="1"/>
  <c r="BL110" i="1"/>
  <c r="BM303" i="1"/>
  <c r="BP303" i="1" s="1"/>
  <c r="BL303" i="1"/>
  <c r="BM220" i="1"/>
  <c r="BP220" i="1" s="1"/>
  <c r="BL220" i="1"/>
  <c r="BM116" i="1"/>
  <c r="BL116" i="1"/>
  <c r="BM342" i="1"/>
  <c r="BP342" i="1" s="1"/>
  <c r="BL342" i="1"/>
  <c r="BM356" i="1"/>
  <c r="BL356" i="1"/>
  <c r="BL321" i="1"/>
  <c r="BM321" i="1"/>
  <c r="BP321" i="1" s="1"/>
  <c r="BM355" i="1"/>
  <c r="BL355" i="1"/>
  <c r="BM293" i="1"/>
  <c r="BL293" i="1"/>
  <c r="BM378" i="1"/>
  <c r="BL378" i="1"/>
  <c r="BM336" i="1"/>
  <c r="BL336" i="1"/>
  <c r="BM542" i="1"/>
  <c r="BL542" i="1"/>
  <c r="BL549" i="1"/>
  <c r="BM549" i="1"/>
  <c r="BM576" i="1"/>
  <c r="BL576" i="1"/>
  <c r="BM639" i="1"/>
  <c r="BP639" i="1" s="1"/>
  <c r="BL639" i="1"/>
  <c r="BL654" i="1"/>
  <c r="BM654" i="1"/>
  <c r="BP654" i="1" s="1"/>
  <c r="BL707" i="1"/>
  <c r="BM707" i="1"/>
  <c r="BP707" i="1" s="1"/>
  <c r="BM732" i="1"/>
  <c r="BL732" i="1"/>
  <c r="BM720" i="1"/>
  <c r="BP720" i="1" s="1"/>
  <c r="BL720" i="1"/>
  <c r="BM752" i="1"/>
  <c r="BL752" i="1"/>
  <c r="BV47" i="1"/>
  <c r="BX47" i="1" s="1"/>
  <c r="BV45" i="1"/>
  <c r="BX45" i="1" s="1"/>
  <c r="BL425" i="1"/>
  <c r="BM425" i="1"/>
  <c r="BL492" i="1"/>
  <c r="BM492" i="1"/>
  <c r="BM628" i="1"/>
  <c r="BL628" i="1"/>
  <c r="BM104" i="1"/>
  <c r="BU104" i="1" s="1"/>
  <c r="BL104" i="1"/>
  <c r="BM350" i="1"/>
  <c r="BL350" i="1"/>
  <c r="BM560" i="1"/>
  <c r="BP560" i="1" s="1"/>
  <c r="BL560" i="1"/>
  <c r="BV34" i="1"/>
  <c r="BX34" i="1" s="1"/>
  <c r="BL464" i="1"/>
  <c r="BM464" i="1"/>
  <c r="BM630" i="1"/>
  <c r="BL630" i="1"/>
  <c r="BM8" i="1"/>
  <c r="BL8" i="1"/>
  <c r="BM126" i="1"/>
  <c r="BL126" i="1"/>
  <c r="BM388" i="1"/>
  <c r="BP388" i="1" s="1"/>
  <c r="BL388" i="1"/>
  <c r="CI789" i="1"/>
  <c r="CJ789" i="1" s="1"/>
  <c r="CK789" i="1" s="1"/>
  <c r="BL463" i="1"/>
  <c r="BM463" i="1"/>
  <c r="BM545" i="1"/>
  <c r="BL545" i="1"/>
  <c r="BT841" i="1"/>
  <c r="BU841" i="1" s="1"/>
  <c r="BV841" i="1" s="1"/>
  <c r="BX841" i="1" s="1"/>
  <c r="BY311" i="1"/>
  <c r="CB311" i="1" s="1"/>
  <c r="BM166" i="1"/>
  <c r="BL166" i="1"/>
  <c r="BM447" i="1"/>
  <c r="BL447" i="1"/>
  <c r="BM458" i="1"/>
  <c r="BL458" i="1"/>
  <c r="BL480" i="1"/>
  <c r="BM480" i="1"/>
  <c r="BM599" i="1"/>
  <c r="BL599" i="1"/>
  <c r="BM49" i="1"/>
  <c r="BU49" i="1" s="1"/>
  <c r="BL49" i="1"/>
  <c r="BQ811" i="1"/>
  <c r="BS811" i="1" s="1"/>
  <c r="BT794" i="1"/>
  <c r="BU794" i="1" s="1"/>
  <c r="BV794" i="1" s="1"/>
  <c r="BX794" i="1" s="1"/>
  <c r="BT817" i="1"/>
  <c r="BU817" i="1" s="1"/>
  <c r="BV817" i="1" s="1"/>
  <c r="BX817" i="1" s="1"/>
  <c r="CI792" i="1"/>
  <c r="CJ792" i="1" s="1"/>
  <c r="CK792" i="1" s="1"/>
  <c r="BY345" i="1"/>
  <c r="CB345" i="1" s="1"/>
  <c r="BY349" i="1"/>
  <c r="CB349" i="1" s="1"/>
  <c r="BV270" i="1"/>
  <c r="BX270" i="1" s="1"/>
  <c r="BM168" i="1"/>
  <c r="BL168" i="1"/>
  <c r="BM233" i="1"/>
  <c r="BL233" i="1"/>
  <c r="BM163" i="1"/>
  <c r="BL163" i="1"/>
  <c r="BL439" i="1"/>
  <c r="BM439" i="1"/>
  <c r="BM424" i="1"/>
  <c r="BL424" i="1"/>
  <c r="BM434" i="1"/>
  <c r="BL434" i="1"/>
  <c r="BM421" i="1"/>
  <c r="BL421" i="1"/>
  <c r="BM456" i="1"/>
  <c r="BL456" i="1"/>
  <c r="BM482" i="1"/>
  <c r="BL482" i="1"/>
  <c r="BM510" i="1"/>
  <c r="BL510" i="1"/>
  <c r="BM500" i="1"/>
  <c r="BL500" i="1"/>
  <c r="BL551" i="1"/>
  <c r="BM551" i="1"/>
  <c r="BP551" i="1" s="1"/>
  <c r="BM637" i="1"/>
  <c r="BL637" i="1"/>
  <c r="BM672" i="1"/>
  <c r="BL672" i="1"/>
  <c r="BM623" i="1"/>
  <c r="BP623" i="1" s="1"/>
  <c r="BL623" i="1"/>
  <c r="BM636" i="1"/>
  <c r="BL636" i="1"/>
  <c r="BM706" i="1"/>
  <c r="BL706" i="1"/>
  <c r="BM764" i="1"/>
  <c r="BL764" i="1"/>
  <c r="BY144" i="1"/>
  <c r="CB144" i="1" s="1"/>
  <c r="BR253" i="1"/>
  <c r="BY37" i="1"/>
  <c r="BZ37" i="1" s="1"/>
  <c r="CA37" i="1" s="1"/>
  <c r="CC37" i="1" s="1"/>
  <c r="BM61" i="1"/>
  <c r="BU61" i="1" s="1"/>
  <c r="BL61" i="1"/>
  <c r="BM84" i="1"/>
  <c r="BU84" i="1" s="1"/>
  <c r="BL84" i="1"/>
  <c r="BM131" i="1"/>
  <c r="BL131" i="1"/>
  <c r="BM201" i="1"/>
  <c r="BL201" i="1"/>
  <c r="BL73" i="1"/>
  <c r="BM73" i="1"/>
  <c r="BU73" i="1" s="1"/>
  <c r="BM169" i="1"/>
  <c r="BL169" i="1"/>
  <c r="BM195" i="1"/>
  <c r="BL195" i="1"/>
  <c r="BM323" i="1"/>
  <c r="BL323" i="1"/>
  <c r="BM160" i="1"/>
  <c r="BL160" i="1"/>
  <c r="BM283" i="1"/>
  <c r="BP283" i="1" s="1"/>
  <c r="BL283" i="1"/>
  <c r="BM282" i="1"/>
  <c r="BP282" i="1" s="1"/>
  <c r="BL282" i="1"/>
  <c r="BM363" i="1"/>
  <c r="BL363" i="1"/>
  <c r="BL286" i="1"/>
  <c r="BM286" i="1"/>
  <c r="BM295" i="1"/>
  <c r="BP295" i="1" s="1"/>
  <c r="BL295" i="1"/>
  <c r="BM231" i="1"/>
  <c r="BL231" i="1"/>
  <c r="BL379" i="1"/>
  <c r="BM379" i="1"/>
  <c r="BM486" i="1"/>
  <c r="BL486" i="1"/>
  <c r="BM553" i="1"/>
  <c r="BP553" i="1" s="1"/>
  <c r="BL553" i="1"/>
  <c r="BM574" i="1"/>
  <c r="BP574" i="1" s="1"/>
  <c r="BL574" i="1"/>
  <c r="BL663" i="1"/>
  <c r="BM663" i="1"/>
  <c r="BM652" i="1"/>
  <c r="BP652" i="1" s="1"/>
  <c r="BL652" i="1"/>
  <c r="BM647" i="1"/>
  <c r="BP647" i="1" s="1"/>
  <c r="BL647" i="1"/>
  <c r="BM730" i="1"/>
  <c r="BL730" i="1"/>
  <c r="BM721" i="1"/>
  <c r="BP721" i="1" s="1"/>
  <c r="BL721" i="1"/>
  <c r="BM776" i="1"/>
  <c r="BL776" i="1"/>
  <c r="BM15" i="1"/>
  <c r="BU15" i="1" s="1"/>
  <c r="BL15" i="1"/>
  <c r="BU30" i="1"/>
  <c r="BV30" i="1" s="1"/>
  <c r="BX30" i="1" s="1"/>
  <c r="BP30" i="1"/>
  <c r="BV62" i="1"/>
  <c r="BX62" i="1" s="1"/>
  <c r="BV66" i="1"/>
  <c r="BX66" i="1" s="1"/>
  <c r="BV36" i="1"/>
  <c r="BX36" i="1" s="1"/>
  <c r="BZ133" i="1" l="1"/>
  <c r="CA133" i="1" s="1"/>
  <c r="CC133" i="1" s="1"/>
  <c r="CD133" i="1" s="1"/>
  <c r="CE133" i="1" s="1"/>
  <c r="CF133" i="1" s="1"/>
  <c r="CH133" i="1" s="1"/>
  <c r="CB805" i="1"/>
  <c r="BW266" i="1"/>
  <c r="CG28" i="1"/>
  <c r="BW271" i="1"/>
  <c r="CG802" i="1"/>
  <c r="BW93" i="1"/>
  <c r="BW133" i="1"/>
  <c r="CB793" i="1"/>
  <c r="BW843" i="1"/>
  <c r="BW803" i="1"/>
  <c r="BR842" i="1"/>
  <c r="CB271" i="1"/>
  <c r="BW818" i="1"/>
  <c r="CL140" i="1"/>
  <c r="BR811" i="1"/>
  <c r="BW75" i="1"/>
  <c r="CL802" i="1"/>
  <c r="BW816" i="1"/>
  <c r="CL63" i="1"/>
  <c r="CB255" i="1"/>
  <c r="BY806" i="1"/>
  <c r="CB806" i="1" s="1"/>
  <c r="BW806" i="1"/>
  <c r="BW270" i="1"/>
  <c r="CL496" i="1"/>
  <c r="BW45" i="1"/>
  <c r="CG269" i="1"/>
  <c r="BW25" i="1"/>
  <c r="BW95" i="1"/>
  <c r="BR807" i="1"/>
  <c r="CG130" i="1"/>
  <c r="BW81" i="1"/>
  <c r="BR252" i="1"/>
  <c r="BW107" i="1"/>
  <c r="BW99" i="1"/>
  <c r="CL142" i="1"/>
  <c r="CL497" i="1"/>
  <c r="BW809" i="1"/>
  <c r="BW91" i="1"/>
  <c r="CG7" i="1"/>
  <c r="CB39" i="1"/>
  <c r="BW26" i="1"/>
  <c r="BW817" i="1"/>
  <c r="CL143" i="1"/>
  <c r="CG271" i="1"/>
  <c r="CL818" i="1"/>
  <c r="CL806" i="1"/>
  <c r="CL352" i="1"/>
  <c r="BW253" i="1"/>
  <c r="BW67" i="1"/>
  <c r="BZ232" i="1"/>
  <c r="CA232" i="1" s="1"/>
  <c r="CC232" i="1" s="1"/>
  <c r="BU232" i="1"/>
  <c r="BR28" i="1"/>
  <c r="BQ307" i="1"/>
  <c r="BS307" i="1" s="1"/>
  <c r="BW794" i="1"/>
  <c r="BZ672" i="1"/>
  <c r="CA672" i="1" s="1"/>
  <c r="CC672" i="1" s="1"/>
  <c r="BU672" i="1"/>
  <c r="BU434" i="1"/>
  <c r="BZ434" i="1"/>
  <c r="CA434" i="1" s="1"/>
  <c r="CC434" i="1" s="1"/>
  <c r="BZ458" i="1"/>
  <c r="CA458" i="1" s="1"/>
  <c r="CC458" i="1" s="1"/>
  <c r="BU458" i="1"/>
  <c r="BQ388" i="1"/>
  <c r="BS388" i="1" s="1"/>
  <c r="BZ350" i="1"/>
  <c r="CA350" i="1" s="1"/>
  <c r="CC350" i="1" s="1"/>
  <c r="BU350" i="1"/>
  <c r="BQ720" i="1"/>
  <c r="BS720" i="1" s="1"/>
  <c r="BZ336" i="1"/>
  <c r="CA336" i="1" s="1"/>
  <c r="CC336" i="1" s="1"/>
  <c r="BU336" i="1"/>
  <c r="BQ220" i="1"/>
  <c r="BS220" i="1" s="1"/>
  <c r="BZ490" i="1"/>
  <c r="CA490" i="1" s="1"/>
  <c r="CC490" i="1" s="1"/>
  <c r="BU490" i="1"/>
  <c r="BU325" i="1"/>
  <c r="BZ325" i="1"/>
  <c r="CA325" i="1" s="1"/>
  <c r="CC325" i="1" s="1"/>
  <c r="BV80" i="1"/>
  <c r="BX80" i="1" s="1"/>
  <c r="BV100" i="1"/>
  <c r="BX100" i="1" s="1"/>
  <c r="BZ309" i="1"/>
  <c r="CA309" i="1" s="1"/>
  <c r="CC309" i="1" s="1"/>
  <c r="BU309" i="1"/>
  <c r="BQ181" i="1"/>
  <c r="BS181" i="1" s="1"/>
  <c r="BU621" i="1"/>
  <c r="BZ621" i="1"/>
  <c r="CA621" i="1" s="1"/>
  <c r="CC621" i="1" s="1"/>
  <c r="BZ326" i="1"/>
  <c r="CA326" i="1" s="1"/>
  <c r="CC326" i="1" s="1"/>
  <c r="BU326" i="1"/>
  <c r="BY82" i="1"/>
  <c r="BZ82" i="1" s="1"/>
  <c r="CA82" i="1" s="1"/>
  <c r="CC82" i="1" s="1"/>
  <c r="BZ696" i="1"/>
  <c r="CA696" i="1" s="1"/>
  <c r="CC696" i="1" s="1"/>
  <c r="BU696" i="1"/>
  <c r="BZ437" i="1"/>
  <c r="CA437" i="1" s="1"/>
  <c r="CC437" i="1" s="1"/>
  <c r="BU437" i="1"/>
  <c r="BY251" i="1"/>
  <c r="CB251" i="1" s="1"/>
  <c r="BZ734" i="1"/>
  <c r="CA734" i="1" s="1"/>
  <c r="CC734" i="1" s="1"/>
  <c r="BU734" i="1"/>
  <c r="BU213" i="1"/>
  <c r="BZ213" i="1"/>
  <c r="CA213" i="1" s="1"/>
  <c r="CC213" i="1" s="1"/>
  <c r="BQ593" i="1"/>
  <c r="BS593" i="1" s="1"/>
  <c r="BU436" i="1"/>
  <c r="BZ436" i="1"/>
  <c r="CA436" i="1" s="1"/>
  <c r="CC436" i="1" s="1"/>
  <c r="BY93" i="1"/>
  <c r="BZ93" i="1" s="1"/>
  <c r="CA93" i="1" s="1"/>
  <c r="CC93" i="1" s="1"/>
  <c r="BZ631" i="1"/>
  <c r="CA631" i="1" s="1"/>
  <c r="CC631" i="1" s="1"/>
  <c r="BU631" i="1"/>
  <c r="BZ402" i="1"/>
  <c r="CA402" i="1" s="1"/>
  <c r="CC402" i="1" s="1"/>
  <c r="BU402" i="1"/>
  <c r="BY818" i="1"/>
  <c r="CB818" i="1" s="1"/>
  <c r="BZ610" i="1"/>
  <c r="CA610" i="1" s="1"/>
  <c r="CC610" i="1" s="1"/>
  <c r="BU610" i="1"/>
  <c r="BZ445" i="1"/>
  <c r="CA445" i="1" s="1"/>
  <c r="CC445" i="1" s="1"/>
  <c r="BU445" i="1"/>
  <c r="BZ223" i="1"/>
  <c r="CA223" i="1" s="1"/>
  <c r="CC223" i="1" s="1"/>
  <c r="BU223" i="1"/>
  <c r="BZ697" i="1"/>
  <c r="CA697" i="1" s="1"/>
  <c r="CC697" i="1" s="1"/>
  <c r="BU697" i="1"/>
  <c r="BU525" i="1"/>
  <c r="BZ525" i="1"/>
  <c r="CA525" i="1" s="1"/>
  <c r="CC525" i="1" s="1"/>
  <c r="BV260" i="1"/>
  <c r="BX260" i="1" s="1"/>
  <c r="BZ449" i="1"/>
  <c r="CA449" i="1" s="1"/>
  <c r="CC449" i="1" s="1"/>
  <c r="BU449" i="1"/>
  <c r="BZ471" i="1"/>
  <c r="CA471" i="1" s="1"/>
  <c r="CC471" i="1" s="1"/>
  <c r="BU471" i="1"/>
  <c r="BU57" i="1"/>
  <c r="BV57" i="1" s="1"/>
  <c r="BX57" i="1" s="1"/>
  <c r="BP57" i="1"/>
  <c r="BV12" i="1"/>
  <c r="BX12" i="1" s="1"/>
  <c r="BZ766" i="1"/>
  <c r="CA766" i="1" s="1"/>
  <c r="CC766" i="1" s="1"/>
  <c r="BU766" i="1"/>
  <c r="BZ660" i="1"/>
  <c r="CA660" i="1" s="1"/>
  <c r="CC660" i="1" s="1"/>
  <c r="BU660" i="1"/>
  <c r="BZ401" i="1"/>
  <c r="CA401" i="1" s="1"/>
  <c r="CC401" i="1" s="1"/>
  <c r="BU401" i="1"/>
  <c r="BZ136" i="1"/>
  <c r="CA136" i="1" s="1"/>
  <c r="CC136" i="1" s="1"/>
  <c r="BU136" i="1"/>
  <c r="BZ567" i="1"/>
  <c r="CA567" i="1" s="1"/>
  <c r="CC567" i="1" s="1"/>
  <c r="BU567" i="1"/>
  <c r="BU290" i="1"/>
  <c r="BZ290" i="1"/>
  <c r="CA290" i="1" s="1"/>
  <c r="CC290" i="1" s="1"/>
  <c r="BY816" i="1"/>
  <c r="BZ816" i="1" s="1"/>
  <c r="CA816" i="1" s="1"/>
  <c r="CC816" i="1" s="1"/>
  <c r="BY165" i="1"/>
  <c r="CB165" i="1" s="1"/>
  <c r="BU632" i="1"/>
  <c r="BV632" i="1" s="1"/>
  <c r="BX632" i="1" s="1"/>
  <c r="BZ632" i="1"/>
  <c r="CA632" i="1" s="1"/>
  <c r="CC632" i="1" s="1"/>
  <c r="BP632" i="1"/>
  <c r="BU709" i="1"/>
  <c r="BV709" i="1" s="1"/>
  <c r="BX709" i="1" s="1"/>
  <c r="BP709" i="1"/>
  <c r="BZ709" i="1"/>
  <c r="CA709" i="1" s="1"/>
  <c r="CC709" i="1" s="1"/>
  <c r="BQ538" i="1"/>
  <c r="BS538" i="1" s="1"/>
  <c r="BU338" i="1"/>
  <c r="BZ338" i="1"/>
  <c r="CA338" i="1" s="1"/>
  <c r="CC338" i="1" s="1"/>
  <c r="BZ772" i="1"/>
  <c r="CA772" i="1" s="1"/>
  <c r="CC772" i="1" s="1"/>
  <c r="BU772" i="1"/>
  <c r="BZ404" i="1"/>
  <c r="CA404" i="1" s="1"/>
  <c r="CC404" i="1" s="1"/>
  <c r="BU404" i="1"/>
  <c r="BZ630" i="1"/>
  <c r="CA630" i="1" s="1"/>
  <c r="CC630" i="1" s="1"/>
  <c r="BU630" i="1"/>
  <c r="BZ776" i="1"/>
  <c r="CA776" i="1" s="1"/>
  <c r="CC776" i="1" s="1"/>
  <c r="BU776" i="1"/>
  <c r="BP486" i="1"/>
  <c r="BZ486" i="1"/>
  <c r="CA486" i="1" s="1"/>
  <c r="CC486" i="1" s="1"/>
  <c r="BZ160" i="1"/>
  <c r="CA160" i="1" s="1"/>
  <c r="CC160" i="1" s="1"/>
  <c r="BU160" i="1"/>
  <c r="BV160" i="1" s="1"/>
  <c r="BX160" i="1" s="1"/>
  <c r="BP160" i="1"/>
  <c r="BV61" i="1"/>
  <c r="BX61" i="1" s="1"/>
  <c r="BZ760" i="1"/>
  <c r="CA760" i="1" s="1"/>
  <c r="CC760" i="1" s="1"/>
  <c r="BU760" i="1"/>
  <c r="BZ240" i="1"/>
  <c r="CA240" i="1" s="1"/>
  <c r="CC240" i="1" s="1"/>
  <c r="BU240" i="1"/>
  <c r="BQ638" i="1"/>
  <c r="BS638" i="1" s="1"/>
  <c r="BY801" i="1"/>
  <c r="BZ801" i="1" s="1"/>
  <c r="CA801" i="1" s="1"/>
  <c r="CC801" i="1" s="1"/>
  <c r="BU783" i="1"/>
  <c r="BZ783" i="1"/>
  <c r="CA783" i="1" s="1"/>
  <c r="CC783" i="1" s="1"/>
  <c r="BZ400" i="1"/>
  <c r="CA400" i="1" s="1"/>
  <c r="CC400" i="1" s="1"/>
  <c r="BU400" i="1"/>
  <c r="BQ718" i="1"/>
  <c r="BS718" i="1" s="1"/>
  <c r="BQ384" i="1"/>
  <c r="BS384" i="1" s="1"/>
  <c r="BV72" i="1"/>
  <c r="BX72" i="1" s="1"/>
  <c r="BW82" i="1"/>
  <c r="BZ618" i="1"/>
  <c r="CA618" i="1" s="1"/>
  <c r="CC618" i="1" s="1"/>
  <c r="BU618" i="1"/>
  <c r="BU207" i="1"/>
  <c r="BZ207" i="1"/>
  <c r="CA207" i="1" s="1"/>
  <c r="CC207" i="1" s="1"/>
  <c r="BZ183" i="1"/>
  <c r="CA183" i="1" s="1"/>
  <c r="CC183" i="1" s="1"/>
  <c r="BU183" i="1"/>
  <c r="BW251" i="1"/>
  <c r="BQ339" i="1"/>
  <c r="BS339" i="1" s="1"/>
  <c r="BZ249" i="1"/>
  <c r="CA249" i="1" s="1"/>
  <c r="CC249" i="1" s="1"/>
  <c r="BU249" i="1"/>
  <c r="BW130" i="1"/>
  <c r="BZ571" i="1"/>
  <c r="CA571" i="1" s="1"/>
  <c r="CC571" i="1" s="1"/>
  <c r="BU571" i="1"/>
  <c r="BU382" i="1"/>
  <c r="BZ382" i="1"/>
  <c r="CA382" i="1" s="1"/>
  <c r="CC382" i="1" s="1"/>
  <c r="BU118" i="1"/>
  <c r="BZ118" i="1"/>
  <c r="CA118" i="1" s="1"/>
  <c r="CC118" i="1" s="1"/>
  <c r="BQ606" i="1"/>
  <c r="BS606" i="1" s="1"/>
  <c r="BQ370" i="1"/>
  <c r="BS370" i="1" s="1"/>
  <c r="BV74" i="1"/>
  <c r="BX74" i="1" s="1"/>
  <c r="BZ680" i="1"/>
  <c r="CA680" i="1" s="1"/>
  <c r="CC680" i="1" s="1"/>
  <c r="BU680" i="1"/>
  <c r="BZ658" i="1"/>
  <c r="CA658" i="1" s="1"/>
  <c r="CC658" i="1" s="1"/>
  <c r="BU658" i="1"/>
  <c r="BZ175" i="1"/>
  <c r="CA175" i="1" s="1"/>
  <c r="CC175" i="1" s="1"/>
  <c r="BU175" i="1"/>
  <c r="BZ703" i="1"/>
  <c r="CA703" i="1" s="1"/>
  <c r="CC703" i="1" s="1"/>
  <c r="BU703" i="1"/>
  <c r="BZ417" i="1"/>
  <c r="CA417" i="1" s="1"/>
  <c r="CC417" i="1" s="1"/>
  <c r="BU417" i="1"/>
  <c r="BU714" i="1"/>
  <c r="BZ714" i="1"/>
  <c r="CA714" i="1" s="1"/>
  <c r="CC714" i="1" s="1"/>
  <c r="BQ566" i="1"/>
  <c r="BS566" i="1" s="1"/>
  <c r="BZ465" i="1"/>
  <c r="CA465" i="1" s="1"/>
  <c r="CC465" i="1" s="1"/>
  <c r="BU465" i="1"/>
  <c r="BQ725" i="1"/>
  <c r="BS725" i="1" s="1"/>
  <c r="BQ385" i="1"/>
  <c r="BS385" i="1" s="1"/>
  <c r="BV102" i="1"/>
  <c r="BX102" i="1" s="1"/>
  <c r="BZ774" i="1"/>
  <c r="CA774" i="1" s="1"/>
  <c r="CC774" i="1" s="1"/>
  <c r="BU774" i="1"/>
  <c r="BZ337" i="1"/>
  <c r="CA337" i="1" s="1"/>
  <c r="CC337" i="1" s="1"/>
  <c r="BU337" i="1"/>
  <c r="BQ588" i="1"/>
  <c r="BS588" i="1" s="1"/>
  <c r="CD165" i="1"/>
  <c r="CE165" i="1" s="1"/>
  <c r="CF165" i="1" s="1"/>
  <c r="CH165" i="1" s="1"/>
  <c r="BQ548" i="1"/>
  <c r="BS548" i="1" s="1"/>
  <c r="BQ300" i="1"/>
  <c r="BS300" i="1" s="1"/>
  <c r="BV56" i="1"/>
  <c r="BX56" i="1" s="1"/>
  <c r="BZ476" i="1"/>
  <c r="CA476" i="1" s="1"/>
  <c r="CC476" i="1" s="1"/>
  <c r="BU476" i="1"/>
  <c r="CL271" i="1"/>
  <c r="BZ521" i="1"/>
  <c r="CA521" i="1" s="1"/>
  <c r="CC521" i="1" s="1"/>
  <c r="BU521" i="1"/>
  <c r="BU376" i="1"/>
  <c r="BZ376" i="1"/>
  <c r="CA376" i="1" s="1"/>
  <c r="CC376" i="1" s="1"/>
  <c r="BZ284" i="1"/>
  <c r="CA284" i="1" s="1"/>
  <c r="CC284" i="1" s="1"/>
  <c r="BU284" i="1"/>
  <c r="BZ761" i="1"/>
  <c r="CA761" i="1" s="1"/>
  <c r="CC761" i="1" s="1"/>
  <c r="BU761" i="1"/>
  <c r="BZ678" i="1"/>
  <c r="CA678" i="1" s="1"/>
  <c r="CC678" i="1" s="1"/>
  <c r="BU678" i="1"/>
  <c r="BQ651" i="1"/>
  <c r="BS651" i="1" s="1"/>
  <c r="BQ299" i="1"/>
  <c r="BS299" i="1" s="1"/>
  <c r="BZ155" i="1"/>
  <c r="CA155" i="1" s="1"/>
  <c r="CC155" i="1" s="1"/>
  <c r="BU155" i="1"/>
  <c r="BU736" i="1"/>
  <c r="BZ736" i="1"/>
  <c r="CA736" i="1" s="1"/>
  <c r="CC736" i="1" s="1"/>
  <c r="BZ513" i="1"/>
  <c r="CA513" i="1" s="1"/>
  <c r="CC513" i="1" s="1"/>
  <c r="BU513" i="1"/>
  <c r="BV97" i="1"/>
  <c r="BX97" i="1" s="1"/>
  <c r="BU543" i="1"/>
  <c r="BZ543" i="1"/>
  <c r="CA543" i="1" s="1"/>
  <c r="CC543" i="1" s="1"/>
  <c r="BZ231" i="1"/>
  <c r="CA231" i="1" s="1"/>
  <c r="CC231" i="1" s="1"/>
  <c r="BU231" i="1"/>
  <c r="BZ210" i="1"/>
  <c r="CA210" i="1" s="1"/>
  <c r="CC210" i="1" s="1"/>
  <c r="BU210" i="1"/>
  <c r="BV68" i="1"/>
  <c r="BX68" i="1" s="1"/>
  <c r="BU214" i="1"/>
  <c r="BZ214" i="1"/>
  <c r="CA214" i="1" s="1"/>
  <c r="CC214" i="1" s="1"/>
  <c r="BZ212" i="1"/>
  <c r="CA212" i="1" s="1"/>
  <c r="CC212" i="1" s="1"/>
  <c r="BU212" i="1"/>
  <c r="BZ379" i="1"/>
  <c r="CA379" i="1" s="1"/>
  <c r="CC379" i="1" s="1"/>
  <c r="BU379" i="1"/>
  <c r="CB37" i="1"/>
  <c r="BU637" i="1"/>
  <c r="BZ637" i="1"/>
  <c r="CA637" i="1" s="1"/>
  <c r="CC637" i="1" s="1"/>
  <c r="BU424" i="1"/>
  <c r="BZ424" i="1"/>
  <c r="CA424" i="1" s="1"/>
  <c r="CC424" i="1" s="1"/>
  <c r="CL792" i="1"/>
  <c r="BZ447" i="1"/>
  <c r="CA447" i="1" s="1"/>
  <c r="CC447" i="1" s="1"/>
  <c r="BU447" i="1"/>
  <c r="BU126" i="1"/>
  <c r="BZ126" i="1"/>
  <c r="CA126" i="1" s="1"/>
  <c r="CC126" i="1" s="1"/>
  <c r="BV104" i="1"/>
  <c r="BX104" i="1" s="1"/>
  <c r="BZ732" i="1"/>
  <c r="CA732" i="1" s="1"/>
  <c r="CC732" i="1" s="1"/>
  <c r="BU732" i="1"/>
  <c r="BZ378" i="1"/>
  <c r="CA378" i="1" s="1"/>
  <c r="CC378" i="1" s="1"/>
  <c r="BU378" i="1"/>
  <c r="BQ303" i="1"/>
  <c r="BS303" i="1" s="1"/>
  <c r="BZ508" i="1"/>
  <c r="CA508" i="1" s="1"/>
  <c r="CC508" i="1" s="1"/>
  <c r="BU508" i="1"/>
  <c r="BU478" i="1"/>
  <c r="BZ478" i="1"/>
  <c r="CA478" i="1" s="1"/>
  <c r="CC478" i="1" s="1"/>
  <c r="BT7" i="1"/>
  <c r="BW801" i="1"/>
  <c r="BU114" i="1"/>
  <c r="BZ114" i="1"/>
  <c r="CA114" i="1" s="1"/>
  <c r="CC114" i="1" s="1"/>
  <c r="BZ780" i="1"/>
  <c r="CA780" i="1" s="1"/>
  <c r="CC780" i="1" s="1"/>
  <c r="BU780" i="1"/>
  <c r="BQ200" i="1"/>
  <c r="BS200" i="1" s="1"/>
  <c r="BZ454" i="1"/>
  <c r="CA454" i="1" s="1"/>
  <c r="CC454" i="1" s="1"/>
  <c r="BU454" i="1"/>
  <c r="CD793" i="1"/>
  <c r="CE793" i="1" s="1"/>
  <c r="CF793" i="1" s="1"/>
  <c r="CH793" i="1" s="1"/>
  <c r="BW27" i="1"/>
  <c r="BU669" i="1"/>
  <c r="BZ669" i="1"/>
  <c r="CA669" i="1" s="1"/>
  <c r="CC669" i="1" s="1"/>
  <c r="BQ716" i="1"/>
  <c r="BS716" i="1" s="1"/>
  <c r="BY130" i="1"/>
  <c r="CB130" i="1" s="1"/>
  <c r="BU328" i="1"/>
  <c r="BZ328" i="1"/>
  <c r="CA328" i="1" s="1"/>
  <c r="CC328" i="1" s="1"/>
  <c r="BU216" i="1"/>
  <c r="BZ216" i="1"/>
  <c r="CA216" i="1" s="1"/>
  <c r="CC216" i="1" s="1"/>
  <c r="BQ359" i="1"/>
  <c r="BS359" i="1" s="1"/>
  <c r="BW90" i="1"/>
  <c r="BQ578" i="1"/>
  <c r="BS578" i="1" s="1"/>
  <c r="BU671" i="1"/>
  <c r="BZ671" i="1"/>
  <c r="CA671" i="1" s="1"/>
  <c r="CC671" i="1" s="1"/>
  <c r="CI28" i="1"/>
  <c r="CJ28" i="1" s="1"/>
  <c r="CK28" i="1" s="1"/>
  <c r="BU423" i="1"/>
  <c r="BZ423" i="1"/>
  <c r="CA423" i="1" s="1"/>
  <c r="CC423" i="1" s="1"/>
  <c r="BZ341" i="1"/>
  <c r="CA341" i="1" s="1"/>
  <c r="CC341" i="1" s="1"/>
  <c r="BU341" i="1"/>
  <c r="BU627" i="1"/>
  <c r="BZ627" i="1"/>
  <c r="CA627" i="1" s="1"/>
  <c r="CC627" i="1" s="1"/>
  <c r="BU759" i="1"/>
  <c r="BZ759" i="1"/>
  <c r="CA759" i="1" s="1"/>
  <c r="CC759" i="1" s="1"/>
  <c r="BZ582" i="1"/>
  <c r="CA582" i="1" s="1"/>
  <c r="CC582" i="1" s="1"/>
  <c r="BU582" i="1"/>
  <c r="BU611" i="1"/>
  <c r="BZ611" i="1"/>
  <c r="CA611" i="1" s="1"/>
  <c r="CC611" i="1" s="1"/>
  <c r="BQ320" i="1"/>
  <c r="BS320" i="1" s="1"/>
  <c r="BV85" i="1"/>
  <c r="BX85" i="1" s="1"/>
  <c r="BU767" i="1"/>
  <c r="BZ767" i="1"/>
  <c r="CA767" i="1" s="1"/>
  <c r="CC767" i="1" s="1"/>
  <c r="BZ235" i="1"/>
  <c r="CA235" i="1" s="1"/>
  <c r="CC235" i="1" s="1"/>
  <c r="BU235" i="1"/>
  <c r="BQ165" i="1"/>
  <c r="BS165" i="1" s="1"/>
  <c r="BU600" i="1"/>
  <c r="BZ600" i="1"/>
  <c r="CA600" i="1" s="1"/>
  <c r="CC600" i="1" s="1"/>
  <c r="BY266" i="1"/>
  <c r="BZ266" i="1" s="1"/>
  <c r="CA266" i="1" s="1"/>
  <c r="CC266" i="1" s="1"/>
  <c r="BQ708" i="1"/>
  <c r="BS708" i="1" s="1"/>
  <c r="BV87" i="1"/>
  <c r="BX87" i="1" s="1"/>
  <c r="BZ527" i="1"/>
  <c r="CA527" i="1" s="1"/>
  <c r="CC527" i="1" s="1"/>
  <c r="BU527" i="1"/>
  <c r="BU234" i="1"/>
  <c r="BZ234" i="1"/>
  <c r="CA234" i="1" s="1"/>
  <c r="CC234" i="1" s="1"/>
  <c r="BZ661" i="1"/>
  <c r="CA661" i="1" s="1"/>
  <c r="CC661" i="1" s="1"/>
  <c r="BU661" i="1"/>
  <c r="BZ147" i="1"/>
  <c r="CA147" i="1" s="1"/>
  <c r="CC147" i="1" s="1"/>
  <c r="BU147" i="1"/>
  <c r="BU683" i="1"/>
  <c r="BZ683" i="1"/>
  <c r="CA683" i="1" s="1"/>
  <c r="CC683" i="1" s="1"/>
  <c r="BZ460" i="1"/>
  <c r="CA460" i="1" s="1"/>
  <c r="CC460" i="1" s="1"/>
  <c r="BU460" i="1"/>
  <c r="BV272" i="1"/>
  <c r="BX272" i="1" s="1"/>
  <c r="CB89" i="1"/>
  <c r="BZ276" i="1"/>
  <c r="CA276" i="1" s="1"/>
  <c r="CC276" i="1" s="1"/>
  <c r="BU276" i="1"/>
  <c r="BU740" i="1"/>
  <c r="BZ740" i="1"/>
  <c r="CA740" i="1" s="1"/>
  <c r="CC740" i="1" s="1"/>
  <c r="BQ721" i="1"/>
  <c r="BS721" i="1" s="1"/>
  <c r="BP323" i="1"/>
  <c r="BZ323" i="1"/>
  <c r="CA323" i="1" s="1"/>
  <c r="CC323" i="1" s="1"/>
  <c r="CD37" i="1"/>
  <c r="CE37" i="1" s="1"/>
  <c r="CF37" i="1" s="1"/>
  <c r="CH37" i="1" s="1"/>
  <c r="BQ551" i="1"/>
  <c r="BS551" i="1" s="1"/>
  <c r="BZ439" i="1"/>
  <c r="CA439" i="1" s="1"/>
  <c r="CC439" i="1" s="1"/>
  <c r="BU439" i="1"/>
  <c r="BY817" i="1"/>
  <c r="BZ817" i="1" s="1"/>
  <c r="CA817" i="1" s="1"/>
  <c r="CC817" i="1" s="1"/>
  <c r="BQ707" i="1"/>
  <c r="BS707" i="1" s="1"/>
  <c r="BQ704" i="1"/>
  <c r="BS704" i="1" s="1"/>
  <c r="BU530" i="1"/>
  <c r="BZ530" i="1"/>
  <c r="CA530" i="1" s="1"/>
  <c r="CC530" i="1" s="1"/>
  <c r="CG270" i="1"/>
  <c r="BZ620" i="1"/>
  <c r="CA620" i="1" s="1"/>
  <c r="CC620" i="1" s="1"/>
  <c r="BU620" i="1"/>
  <c r="BQ31" i="1"/>
  <c r="BS31" i="1" s="1"/>
  <c r="BQ719" i="1"/>
  <c r="BS719" i="1" s="1"/>
  <c r="BU203" i="1"/>
  <c r="BZ203" i="1"/>
  <c r="CA203" i="1" s="1"/>
  <c r="CC203" i="1" s="1"/>
  <c r="BP745" i="1"/>
  <c r="BZ745" i="1"/>
  <c r="CA745" i="1" s="1"/>
  <c r="CC745" i="1" s="1"/>
  <c r="BU317" i="1"/>
  <c r="BZ317" i="1"/>
  <c r="CA317" i="1" s="1"/>
  <c r="CC317" i="1" s="1"/>
  <c r="BU222" i="1"/>
  <c r="BZ222" i="1"/>
  <c r="CA222" i="1" s="1"/>
  <c r="CC222" i="1" s="1"/>
  <c r="BZ127" i="1"/>
  <c r="CA127" i="1" s="1"/>
  <c r="CC127" i="1" s="1"/>
  <c r="BU127" i="1"/>
  <c r="BZ612" i="1"/>
  <c r="CA612" i="1" s="1"/>
  <c r="CC612" i="1" s="1"/>
  <c r="BU612" i="1"/>
  <c r="BV612" i="1" s="1"/>
  <c r="BX612" i="1" s="1"/>
  <c r="BP612" i="1"/>
  <c r="BY27" i="1"/>
  <c r="BZ27" i="1" s="1"/>
  <c r="CA27" i="1" s="1"/>
  <c r="CC27" i="1" s="1"/>
  <c r="BQ544" i="1"/>
  <c r="BS544" i="1" s="1"/>
  <c r="BQ319" i="1"/>
  <c r="BS319" i="1" s="1"/>
  <c r="BQ198" i="1"/>
  <c r="BS198" i="1" s="1"/>
  <c r="BU461" i="1"/>
  <c r="BZ461" i="1"/>
  <c r="CA461" i="1" s="1"/>
  <c r="CC461" i="1" s="1"/>
  <c r="BU750" i="1"/>
  <c r="BZ750" i="1"/>
  <c r="CA750" i="1" s="1"/>
  <c r="CC750" i="1" s="1"/>
  <c r="BZ288" i="1"/>
  <c r="CA288" i="1" s="1"/>
  <c r="CC288" i="1" s="1"/>
  <c r="BU288" i="1"/>
  <c r="BZ771" i="1"/>
  <c r="CA771" i="1" s="1"/>
  <c r="CC771" i="1" s="1"/>
  <c r="BU771" i="1"/>
  <c r="BZ512" i="1"/>
  <c r="CA512" i="1" s="1"/>
  <c r="CC512" i="1" s="1"/>
  <c r="BU512" i="1"/>
  <c r="BU246" i="1"/>
  <c r="BZ246" i="1"/>
  <c r="CA246" i="1" s="1"/>
  <c r="CC246" i="1" s="1"/>
  <c r="BZ739" i="1"/>
  <c r="CA739" i="1" s="1"/>
  <c r="CC739" i="1" s="1"/>
  <c r="BU739" i="1"/>
  <c r="BY90" i="1"/>
  <c r="BZ90" i="1" s="1"/>
  <c r="CA90" i="1" s="1"/>
  <c r="CC90" i="1" s="1"/>
  <c r="BU369" i="1"/>
  <c r="BZ369" i="1"/>
  <c r="CA369" i="1" s="1"/>
  <c r="CC369" i="1" s="1"/>
  <c r="BV77" i="1"/>
  <c r="BX77" i="1" s="1"/>
  <c r="BU413" i="1"/>
  <c r="BZ413" i="1"/>
  <c r="CA413" i="1" s="1"/>
  <c r="CC413" i="1" s="1"/>
  <c r="BY809" i="1"/>
  <c r="BZ809" i="1" s="1"/>
  <c r="CA809" i="1" s="1"/>
  <c r="CC809" i="1" s="1"/>
  <c r="BU477" i="1"/>
  <c r="BZ477" i="1"/>
  <c r="CA477" i="1" s="1"/>
  <c r="CC477" i="1" s="1"/>
  <c r="BQ601" i="1"/>
  <c r="BS601" i="1" s="1"/>
  <c r="BP368" i="1"/>
  <c r="BZ368" i="1"/>
  <c r="CA368" i="1" s="1"/>
  <c r="CC368" i="1" s="1"/>
  <c r="BV59" i="1"/>
  <c r="BX59" i="1" s="1"/>
  <c r="BZ629" i="1"/>
  <c r="CA629" i="1" s="1"/>
  <c r="CC629" i="1" s="1"/>
  <c r="BU629" i="1"/>
  <c r="BZ645" i="1"/>
  <c r="CA645" i="1" s="1"/>
  <c r="CC645" i="1" s="1"/>
  <c r="BU645" i="1"/>
  <c r="BZ446" i="1"/>
  <c r="CA446" i="1" s="1"/>
  <c r="CC446" i="1" s="1"/>
  <c r="BU446" i="1"/>
  <c r="BQ649" i="1"/>
  <c r="BS649" i="1" s="1"/>
  <c r="BQ409" i="1"/>
  <c r="BS409" i="1" s="1"/>
  <c r="BQ190" i="1"/>
  <c r="BS190" i="1" s="1"/>
  <c r="BU769" i="1"/>
  <c r="BZ769" i="1"/>
  <c r="CA769" i="1" s="1"/>
  <c r="CC769" i="1" s="1"/>
  <c r="BU488" i="1"/>
  <c r="BZ488" i="1"/>
  <c r="CA488" i="1" s="1"/>
  <c r="CC488" i="1" s="1"/>
  <c r="BU164" i="1"/>
  <c r="BV164" i="1" s="1"/>
  <c r="BX164" i="1" s="1"/>
  <c r="BP164" i="1"/>
  <c r="BZ164" i="1"/>
  <c r="CA164" i="1" s="1"/>
  <c r="CC164" i="1" s="1"/>
  <c r="BU453" i="1"/>
  <c r="BZ453" i="1"/>
  <c r="CA453" i="1" s="1"/>
  <c r="CC453" i="1" s="1"/>
  <c r="BZ602" i="1"/>
  <c r="CA602" i="1" s="1"/>
  <c r="CC602" i="1" s="1"/>
  <c r="BU602" i="1"/>
  <c r="BU741" i="1"/>
  <c r="BZ741" i="1"/>
  <c r="CA741" i="1" s="1"/>
  <c r="CC741" i="1" s="1"/>
  <c r="BU420" i="1"/>
  <c r="BZ420" i="1"/>
  <c r="CA420" i="1" s="1"/>
  <c r="CC420" i="1" s="1"/>
  <c r="BV108" i="1"/>
  <c r="BX108" i="1" s="1"/>
  <c r="BZ699" i="1"/>
  <c r="CA699" i="1" s="1"/>
  <c r="CC699" i="1" s="1"/>
  <c r="BU699" i="1"/>
  <c r="BQ554" i="1"/>
  <c r="BS554" i="1" s="1"/>
  <c r="BZ324" i="1"/>
  <c r="CA324" i="1" s="1"/>
  <c r="CC324" i="1" s="1"/>
  <c r="BP324" i="1"/>
  <c r="BU10" i="1"/>
  <c r="BV10" i="1" s="1"/>
  <c r="BX10" i="1" s="1"/>
  <c r="BP10" i="1"/>
  <c r="BZ495" i="1"/>
  <c r="CA495" i="1" s="1"/>
  <c r="CC495" i="1" s="1"/>
  <c r="BU495" i="1"/>
  <c r="BQ655" i="1"/>
  <c r="BS655" i="1" s="1"/>
  <c r="BZ335" i="1"/>
  <c r="CA335" i="1" s="1"/>
  <c r="CC335" i="1" s="1"/>
  <c r="BU335" i="1"/>
  <c r="BZ737" i="1"/>
  <c r="CA737" i="1" s="1"/>
  <c r="CC737" i="1" s="1"/>
  <c r="BU737" i="1"/>
  <c r="CL810" i="1"/>
  <c r="BZ305" i="1"/>
  <c r="CA305" i="1" s="1"/>
  <c r="CC305" i="1" s="1"/>
  <c r="BU305" i="1"/>
  <c r="CD272" i="1"/>
  <c r="CE272" i="1" s="1"/>
  <c r="CF272" i="1" s="1"/>
  <c r="CH272" i="1" s="1"/>
  <c r="BU166" i="1"/>
  <c r="BV166" i="1" s="1"/>
  <c r="BX166" i="1" s="1"/>
  <c r="BZ166" i="1"/>
  <c r="CA166" i="1" s="1"/>
  <c r="CC166" i="1" s="1"/>
  <c r="BP166" i="1"/>
  <c r="BU110" i="1"/>
  <c r="BZ110" i="1"/>
  <c r="CA110" i="1" s="1"/>
  <c r="CC110" i="1" s="1"/>
  <c r="BU537" i="1"/>
  <c r="BZ537" i="1"/>
  <c r="CA537" i="1" s="1"/>
  <c r="CC537" i="1" s="1"/>
  <c r="BZ211" i="1"/>
  <c r="CA211" i="1" s="1"/>
  <c r="CC211" i="1" s="1"/>
  <c r="BU211" i="1"/>
  <c r="BZ673" i="1"/>
  <c r="CA673" i="1" s="1"/>
  <c r="CC673" i="1" s="1"/>
  <c r="BU673" i="1"/>
  <c r="BU162" i="1"/>
  <c r="BV162" i="1" s="1"/>
  <c r="BX162" i="1" s="1"/>
  <c r="BP162" i="1"/>
  <c r="BZ162" i="1"/>
  <c r="CA162" i="1" s="1"/>
  <c r="CC162" i="1" s="1"/>
  <c r="BU195" i="1"/>
  <c r="BZ195" i="1"/>
  <c r="CA195" i="1" s="1"/>
  <c r="CC195" i="1" s="1"/>
  <c r="BY794" i="1"/>
  <c r="BZ794" i="1" s="1"/>
  <c r="CA794" i="1" s="1"/>
  <c r="CC794" i="1" s="1"/>
  <c r="BQ654" i="1"/>
  <c r="BS654" i="1" s="1"/>
  <c r="BT257" i="1"/>
  <c r="BU257" i="1" s="1"/>
  <c r="BV257" i="1" s="1"/>
  <c r="BX257" i="1" s="1"/>
  <c r="BQ322" i="1"/>
  <c r="BS322" i="1" s="1"/>
  <c r="BZ444" i="1"/>
  <c r="CA444" i="1" s="1"/>
  <c r="CC444" i="1" s="1"/>
  <c r="BU444" i="1"/>
  <c r="BZ209" i="1"/>
  <c r="CA209" i="1" s="1"/>
  <c r="CC209" i="1" s="1"/>
  <c r="BU209" i="1"/>
  <c r="BZ125" i="1"/>
  <c r="CA125" i="1" s="1"/>
  <c r="CC125" i="1" s="1"/>
  <c r="BU125" i="1"/>
  <c r="BQ648" i="1"/>
  <c r="BS648" i="1" s="1"/>
  <c r="BZ679" i="1"/>
  <c r="CA679" i="1" s="1"/>
  <c r="CC679" i="1" s="1"/>
  <c r="BP679" i="1"/>
  <c r="BZ491" i="1"/>
  <c r="CA491" i="1" s="1"/>
  <c r="CC491" i="1" s="1"/>
  <c r="BU491" i="1"/>
  <c r="BT790" i="1"/>
  <c r="BU790" i="1" s="1"/>
  <c r="BV790" i="1" s="1"/>
  <c r="BX790" i="1" s="1"/>
  <c r="BY16" i="1"/>
  <c r="BZ16" i="1" s="1"/>
  <c r="CA16" i="1" s="1"/>
  <c r="CC16" i="1" s="1"/>
  <c r="BQ580" i="1"/>
  <c r="BS580" i="1" s="1"/>
  <c r="BQ219" i="1"/>
  <c r="BS219" i="1" s="1"/>
  <c r="BU695" i="1"/>
  <c r="BZ695" i="1"/>
  <c r="CA695" i="1" s="1"/>
  <c r="CC695" i="1" s="1"/>
  <c r="BZ243" i="1"/>
  <c r="CA243" i="1" s="1"/>
  <c r="CC243" i="1" s="1"/>
  <c r="BU243" i="1"/>
  <c r="BW33" i="1"/>
  <c r="BU614" i="1"/>
  <c r="BV614" i="1" s="1"/>
  <c r="BX614" i="1" s="1"/>
  <c r="BZ614" i="1"/>
  <c r="CA614" i="1" s="1"/>
  <c r="CC614" i="1" s="1"/>
  <c r="BP614" i="1"/>
  <c r="BQ331" i="1"/>
  <c r="BS331" i="1" s="1"/>
  <c r="BV65" i="1"/>
  <c r="BX65" i="1" s="1"/>
  <c r="BU705" i="1"/>
  <c r="BZ705" i="1"/>
  <c r="CA705" i="1" s="1"/>
  <c r="CC705" i="1" s="1"/>
  <c r="BZ487" i="1"/>
  <c r="CA487" i="1" s="1"/>
  <c r="CC487" i="1" s="1"/>
  <c r="BU487" i="1"/>
  <c r="CB264" i="1"/>
  <c r="BU306" i="1"/>
  <c r="BZ306" i="1"/>
  <c r="CA306" i="1" s="1"/>
  <c r="CC306" i="1" s="1"/>
  <c r="BQ55" i="1"/>
  <c r="BS55" i="1" s="1"/>
  <c r="BQ297" i="1"/>
  <c r="BS297" i="1" s="1"/>
  <c r="BZ698" i="1"/>
  <c r="CA698" i="1" s="1"/>
  <c r="CC698" i="1" s="1"/>
  <c r="BU698" i="1"/>
  <c r="BZ515" i="1"/>
  <c r="CA515" i="1" s="1"/>
  <c r="CC515" i="1" s="1"/>
  <c r="BU515" i="1"/>
  <c r="BZ628" i="1"/>
  <c r="CA628" i="1" s="1"/>
  <c r="CC628" i="1" s="1"/>
  <c r="BU628" i="1"/>
  <c r="BZ756" i="1"/>
  <c r="CA756" i="1" s="1"/>
  <c r="CC756" i="1" s="1"/>
  <c r="BU756" i="1"/>
  <c r="BQ330" i="1"/>
  <c r="BS330" i="1" s="1"/>
  <c r="BU394" i="1"/>
  <c r="BZ394" i="1"/>
  <c r="CA394" i="1" s="1"/>
  <c r="CC394" i="1" s="1"/>
  <c r="BU430" i="1"/>
  <c r="BZ430" i="1"/>
  <c r="CA430" i="1" s="1"/>
  <c r="CC430" i="1" s="1"/>
  <c r="BQ624" i="1"/>
  <c r="BS624" i="1" s="1"/>
  <c r="BV71" i="1"/>
  <c r="BX71" i="1" s="1"/>
  <c r="BR790" i="1"/>
  <c r="BZ197" i="1"/>
  <c r="CA197" i="1" s="1"/>
  <c r="CC197" i="1" s="1"/>
  <c r="BU197" i="1"/>
  <c r="BZ415" i="1"/>
  <c r="CA415" i="1" s="1"/>
  <c r="CC415" i="1" s="1"/>
  <c r="BP415" i="1"/>
  <c r="BW16" i="1"/>
  <c r="BU226" i="1"/>
  <c r="BZ226" i="1"/>
  <c r="CA226" i="1" s="1"/>
  <c r="CC226" i="1" s="1"/>
  <c r="BZ498" i="1"/>
  <c r="CA498" i="1" s="1"/>
  <c r="CC498" i="1" s="1"/>
  <c r="BU498" i="1"/>
  <c r="CL349" i="1"/>
  <c r="BW58" i="1"/>
  <c r="BU775" i="1"/>
  <c r="BZ775" i="1"/>
  <c r="CA775" i="1" s="1"/>
  <c r="CC775" i="1" s="1"/>
  <c r="BZ310" i="1"/>
  <c r="CA310" i="1" s="1"/>
  <c r="CC310" i="1" s="1"/>
  <c r="BU310" i="1"/>
  <c r="BQ587" i="1"/>
  <c r="BS587" i="1" s="1"/>
  <c r="BU438" i="1"/>
  <c r="BZ438" i="1"/>
  <c r="CA438" i="1" s="1"/>
  <c r="CC438" i="1" s="1"/>
  <c r="CL361" i="1"/>
  <c r="BY55" i="1"/>
  <c r="BZ55" i="1" s="1"/>
  <c r="CA55" i="1" s="1"/>
  <c r="CC55" i="1" s="1"/>
  <c r="BU616" i="1"/>
  <c r="BZ616" i="1"/>
  <c r="CA616" i="1" s="1"/>
  <c r="CC616" i="1" s="1"/>
  <c r="BZ121" i="1"/>
  <c r="CA121" i="1" s="1"/>
  <c r="CC121" i="1" s="1"/>
  <c r="BU121" i="1"/>
  <c r="BZ625" i="1"/>
  <c r="CA625" i="1" s="1"/>
  <c r="CC625" i="1" s="1"/>
  <c r="BU625" i="1"/>
  <c r="CL804" i="1"/>
  <c r="BY26" i="1"/>
  <c r="BZ26" i="1" s="1"/>
  <c r="CA26" i="1" s="1"/>
  <c r="CC26" i="1" s="1"/>
  <c r="BQ581" i="1"/>
  <c r="BS581" i="1" s="1"/>
  <c r="BQ292" i="1"/>
  <c r="BS292" i="1" s="1"/>
  <c r="BV32" i="1"/>
  <c r="BX32" i="1" s="1"/>
  <c r="BU668" i="1"/>
  <c r="BZ668" i="1"/>
  <c r="CA668" i="1" s="1"/>
  <c r="CC668" i="1" s="1"/>
  <c r="BU440" i="1"/>
  <c r="BZ440" i="1"/>
  <c r="CA440" i="1" s="1"/>
  <c r="CC440" i="1" s="1"/>
  <c r="BQ603" i="1"/>
  <c r="BS603" i="1" s="1"/>
  <c r="BP157" i="1"/>
  <c r="BU157" i="1"/>
  <c r="BV157" i="1" s="1"/>
  <c r="BX157" i="1" s="1"/>
  <c r="BZ157" i="1"/>
  <c r="CA157" i="1" s="1"/>
  <c r="CC157" i="1" s="1"/>
  <c r="BZ492" i="1"/>
  <c r="CA492" i="1" s="1"/>
  <c r="CC492" i="1" s="1"/>
  <c r="BU492" i="1"/>
  <c r="BQ561" i="1"/>
  <c r="BS561" i="1" s="1"/>
  <c r="BZ441" i="1"/>
  <c r="CA441" i="1" s="1"/>
  <c r="CC441" i="1" s="1"/>
  <c r="BU441" i="1"/>
  <c r="BU459" i="1"/>
  <c r="BZ459" i="1"/>
  <c r="CA459" i="1" s="1"/>
  <c r="CC459" i="1" s="1"/>
  <c r="BZ146" i="1"/>
  <c r="CA146" i="1" s="1"/>
  <c r="CC146" i="1" s="1"/>
  <c r="BU146" i="1"/>
  <c r="BU541" i="1"/>
  <c r="BZ541" i="1"/>
  <c r="CA541" i="1" s="1"/>
  <c r="CC541" i="1" s="1"/>
  <c r="BU763" i="1"/>
  <c r="BZ763" i="1"/>
  <c r="CA763" i="1" s="1"/>
  <c r="CC763" i="1" s="1"/>
  <c r="BQ702" i="1"/>
  <c r="BS702" i="1" s="1"/>
  <c r="BZ150" i="1"/>
  <c r="CA150" i="1" s="1"/>
  <c r="CC150" i="1" s="1"/>
  <c r="BU150" i="1"/>
  <c r="BZ169" i="1"/>
  <c r="CA169" i="1" s="1"/>
  <c r="CC169" i="1" s="1"/>
  <c r="BU169" i="1"/>
  <c r="BY841" i="1"/>
  <c r="BZ841" i="1" s="1"/>
  <c r="CA841" i="1" s="1"/>
  <c r="CC841" i="1" s="1"/>
  <c r="BQ321" i="1"/>
  <c r="BS321" i="1" s="1"/>
  <c r="BP689" i="1"/>
  <c r="BZ689" i="1"/>
  <c r="CA689" i="1" s="1"/>
  <c r="CC689" i="1" s="1"/>
  <c r="BQ407" i="1"/>
  <c r="BS407" i="1" s="1"/>
  <c r="BQ591" i="1"/>
  <c r="BS591" i="1" s="1"/>
  <c r="BZ188" i="1"/>
  <c r="CA188" i="1" s="1"/>
  <c r="CC188" i="1" s="1"/>
  <c r="BU188" i="1"/>
  <c r="BQ387" i="1"/>
  <c r="BS387" i="1" s="1"/>
  <c r="BQ565" i="1"/>
  <c r="BS565" i="1" s="1"/>
  <c r="BU375" i="1"/>
  <c r="BZ375" i="1"/>
  <c r="CA375" i="1" s="1"/>
  <c r="CC375" i="1" s="1"/>
  <c r="BU286" i="1"/>
  <c r="BZ286" i="1"/>
  <c r="CA286" i="1" s="1"/>
  <c r="CC286" i="1" s="1"/>
  <c r="BZ233" i="1"/>
  <c r="CA233" i="1" s="1"/>
  <c r="CC233" i="1" s="1"/>
  <c r="BU233" i="1"/>
  <c r="BW841" i="1"/>
  <c r="BQ639" i="1"/>
  <c r="BS639" i="1" s="1"/>
  <c r="BU470" i="1"/>
  <c r="BZ470" i="1"/>
  <c r="CA470" i="1" s="1"/>
  <c r="CC470" i="1" s="1"/>
  <c r="CL362" i="1"/>
  <c r="BU227" i="1"/>
  <c r="BZ227" i="1"/>
  <c r="CA227" i="1" s="1"/>
  <c r="CC227" i="1" s="1"/>
  <c r="BY75" i="1"/>
  <c r="BZ75" i="1" s="1"/>
  <c r="CA75" i="1" s="1"/>
  <c r="CC75" i="1" s="1"/>
  <c r="BZ391" i="1"/>
  <c r="CA391" i="1" s="1"/>
  <c r="CC391" i="1" s="1"/>
  <c r="BU391" i="1"/>
  <c r="BU619" i="1"/>
  <c r="BZ619" i="1"/>
  <c r="CA619" i="1" s="1"/>
  <c r="CC619" i="1" s="1"/>
  <c r="BT267" i="1"/>
  <c r="BU267" i="1" s="1"/>
  <c r="BV267" i="1" s="1"/>
  <c r="BX267" i="1" s="1"/>
  <c r="BQ340" i="1"/>
  <c r="BS340" i="1" s="1"/>
  <c r="BZ304" i="1"/>
  <c r="CA304" i="1" s="1"/>
  <c r="CC304" i="1" s="1"/>
  <c r="BU304" i="1"/>
  <c r="BQ643" i="1"/>
  <c r="BS643" i="1" s="1"/>
  <c r="BQ364" i="1"/>
  <c r="BS364" i="1" s="1"/>
  <c r="BU178" i="1"/>
  <c r="BZ178" i="1"/>
  <c r="CA178" i="1" s="1"/>
  <c r="CC178" i="1" s="1"/>
  <c r="BU700" i="1"/>
  <c r="BZ700" i="1"/>
  <c r="CA700" i="1" s="1"/>
  <c r="CC700" i="1" s="1"/>
  <c r="BZ524" i="1"/>
  <c r="CA524" i="1" s="1"/>
  <c r="CC524" i="1" s="1"/>
  <c r="BU524" i="1"/>
  <c r="CD254" i="1"/>
  <c r="CE254" i="1" s="1"/>
  <c r="CF254" i="1" s="1"/>
  <c r="CH254" i="1" s="1"/>
  <c r="BU787" i="1"/>
  <c r="BZ787" i="1"/>
  <c r="CA787" i="1" s="1"/>
  <c r="CC787" i="1" s="1"/>
  <c r="BU731" i="1"/>
  <c r="BZ731" i="1"/>
  <c r="CA731" i="1" s="1"/>
  <c r="CC731" i="1" s="1"/>
  <c r="BQ770" i="1"/>
  <c r="BS770" i="1" s="1"/>
  <c r="BZ507" i="1"/>
  <c r="CA507" i="1" s="1"/>
  <c r="CC507" i="1" s="1"/>
  <c r="BU507" i="1"/>
  <c r="BZ248" i="1"/>
  <c r="CA248" i="1" s="1"/>
  <c r="CC248" i="1" s="1"/>
  <c r="BU248" i="1"/>
  <c r="BU613" i="1"/>
  <c r="BZ613" i="1"/>
  <c r="CA613" i="1" s="1"/>
  <c r="CC613" i="1" s="1"/>
  <c r="BP748" i="1"/>
  <c r="BZ748" i="1"/>
  <c r="CA748" i="1" s="1"/>
  <c r="CC748" i="1" s="1"/>
  <c r="BQ193" i="1"/>
  <c r="BS193" i="1" s="1"/>
  <c r="BM6" i="1"/>
  <c r="BU6" i="1" s="1"/>
  <c r="BL6" i="1"/>
  <c r="BL4" i="1" s="1"/>
  <c r="CP4" i="1"/>
  <c r="BU570" i="1"/>
  <c r="BZ570" i="1"/>
  <c r="CA570" i="1" s="1"/>
  <c r="CC570" i="1" s="1"/>
  <c r="BU389" i="1"/>
  <c r="BZ389" i="1"/>
  <c r="CA389" i="1" s="1"/>
  <c r="CC389" i="1" s="1"/>
  <c r="BQ329" i="1"/>
  <c r="BS329" i="1" s="1"/>
  <c r="BY48" i="1"/>
  <c r="BZ48" i="1" s="1"/>
  <c r="CA48" i="1" s="1"/>
  <c r="CC48" i="1" s="1"/>
  <c r="BY58" i="1"/>
  <c r="BZ58" i="1" s="1"/>
  <c r="CA58" i="1" s="1"/>
  <c r="CC58" i="1" s="1"/>
  <c r="BQ556" i="1"/>
  <c r="BS556" i="1" s="1"/>
  <c r="BU217" i="1"/>
  <c r="BZ217" i="1"/>
  <c r="CA217" i="1" s="1"/>
  <c r="CC217" i="1" s="1"/>
  <c r="BV17" i="1"/>
  <c r="BX17" i="1" s="1"/>
  <c r="BZ682" i="1"/>
  <c r="CA682" i="1" s="1"/>
  <c r="CC682" i="1" s="1"/>
  <c r="BU682" i="1"/>
  <c r="BU506" i="1"/>
  <c r="BZ506" i="1"/>
  <c r="CA506" i="1" s="1"/>
  <c r="CC506" i="1" s="1"/>
  <c r="BY258" i="1"/>
  <c r="BZ258" i="1" s="1"/>
  <c r="CA258" i="1" s="1"/>
  <c r="CC258" i="1" s="1"/>
  <c r="BQ724" i="1"/>
  <c r="BS724" i="1" s="1"/>
  <c r="BY24" i="1"/>
  <c r="BZ24" i="1" s="1"/>
  <c r="CA24" i="1" s="1"/>
  <c r="CC24" i="1" s="1"/>
  <c r="BU451" i="1"/>
  <c r="BZ451" i="1"/>
  <c r="CA451" i="1" s="1"/>
  <c r="CC451" i="1" s="1"/>
  <c r="CD67" i="1"/>
  <c r="CE67" i="1" s="1"/>
  <c r="CF67" i="1" s="1"/>
  <c r="CH67" i="1" s="1"/>
  <c r="BQ285" i="1"/>
  <c r="BS285" i="1" s="1"/>
  <c r="BU604" i="1"/>
  <c r="BZ604" i="1"/>
  <c r="CA604" i="1" s="1"/>
  <c r="CC604" i="1" s="1"/>
  <c r="BY31" i="1"/>
  <c r="BZ31" i="1" s="1"/>
  <c r="CA31" i="1" s="1"/>
  <c r="CC31" i="1" s="1"/>
  <c r="BZ228" i="1"/>
  <c r="CA228" i="1" s="1"/>
  <c r="CC228" i="1" s="1"/>
  <c r="BU228" i="1"/>
  <c r="CD89" i="1"/>
  <c r="CE89" i="1" s="1"/>
  <c r="CF89" i="1" s="1"/>
  <c r="CH89" i="1" s="1"/>
  <c r="BZ509" i="1"/>
  <c r="CA509" i="1" s="1"/>
  <c r="CC509" i="1" s="1"/>
  <c r="BU509" i="1"/>
  <c r="BQ308" i="1"/>
  <c r="BS308" i="1" s="1"/>
  <c r="BZ535" i="1"/>
  <c r="CA535" i="1" s="1"/>
  <c r="CC535" i="1" s="1"/>
  <c r="BU535" i="1"/>
  <c r="BQ590" i="1"/>
  <c r="BS590" i="1" s="1"/>
  <c r="BY33" i="1"/>
  <c r="BZ33" i="1" s="1"/>
  <c r="CA33" i="1" s="1"/>
  <c r="CC33" i="1" s="1"/>
  <c r="BU788" i="1"/>
  <c r="BZ788" i="1"/>
  <c r="CA788" i="1" s="1"/>
  <c r="CC788" i="1" s="1"/>
  <c r="BZ426" i="1"/>
  <c r="CA426" i="1" s="1"/>
  <c r="CC426" i="1" s="1"/>
  <c r="BU426" i="1"/>
  <c r="BZ500" i="1"/>
  <c r="CA500" i="1" s="1"/>
  <c r="CC500" i="1" s="1"/>
  <c r="BU500" i="1"/>
  <c r="BZ746" i="1"/>
  <c r="CA746" i="1" s="1"/>
  <c r="CC746" i="1" s="1"/>
  <c r="BU746" i="1"/>
  <c r="BU275" i="1"/>
  <c r="BZ275" i="1"/>
  <c r="CA275" i="1" s="1"/>
  <c r="CC275" i="1" s="1"/>
  <c r="BQ295" i="1"/>
  <c r="BS295" i="1" s="1"/>
  <c r="BZ464" i="1"/>
  <c r="CA464" i="1" s="1"/>
  <c r="CC464" i="1" s="1"/>
  <c r="BU464" i="1"/>
  <c r="BU137" i="1"/>
  <c r="BZ137" i="1"/>
  <c r="CA137" i="1" s="1"/>
  <c r="CC137" i="1" s="1"/>
  <c r="BQ192" i="1"/>
  <c r="BS192" i="1" s="1"/>
  <c r="BQ346" i="1"/>
  <c r="BS346" i="1" s="1"/>
  <c r="BU659" i="1"/>
  <c r="BZ659" i="1"/>
  <c r="CA659" i="1" s="1"/>
  <c r="CC659" i="1" s="1"/>
  <c r="BU419" i="1"/>
  <c r="BZ419" i="1"/>
  <c r="CA419" i="1" s="1"/>
  <c r="CC419" i="1" s="1"/>
  <c r="BV254" i="1"/>
  <c r="BX254" i="1" s="1"/>
  <c r="CI251" i="1"/>
  <c r="CJ251" i="1" s="1"/>
  <c r="CK251" i="1" s="1"/>
  <c r="BZ523" i="1"/>
  <c r="CA523" i="1" s="1"/>
  <c r="CC523" i="1" s="1"/>
  <c r="BU523" i="1"/>
  <c r="BZ238" i="1"/>
  <c r="CA238" i="1" s="1"/>
  <c r="CC238" i="1" s="1"/>
  <c r="BU238" i="1"/>
  <c r="CD50" i="1"/>
  <c r="CE50" i="1" s="1"/>
  <c r="CF50" i="1" s="1"/>
  <c r="CH50" i="1" s="1"/>
  <c r="BV64" i="1"/>
  <c r="BX64" i="1" s="1"/>
  <c r="BU693" i="1"/>
  <c r="BZ693" i="1"/>
  <c r="CA693" i="1" s="1"/>
  <c r="CC693" i="1" s="1"/>
  <c r="BZ215" i="1"/>
  <c r="CA215" i="1" s="1"/>
  <c r="CC215" i="1" s="1"/>
  <c r="BP215" i="1"/>
  <c r="BV103" i="1"/>
  <c r="BX103" i="1" s="1"/>
  <c r="BZ743" i="1"/>
  <c r="CA743" i="1" s="1"/>
  <c r="CC743" i="1" s="1"/>
  <c r="BU743" i="1"/>
  <c r="BZ531" i="1"/>
  <c r="CA531" i="1" s="1"/>
  <c r="CC531" i="1" s="1"/>
  <c r="BU531" i="1"/>
  <c r="BR267" i="1"/>
  <c r="BZ205" i="1"/>
  <c r="CA205" i="1" s="1"/>
  <c r="CC205" i="1" s="1"/>
  <c r="BU205" i="1"/>
  <c r="BQ717" i="1"/>
  <c r="BS717" i="1" s="1"/>
  <c r="BU171" i="1"/>
  <c r="BZ171" i="1"/>
  <c r="CA171" i="1" s="1"/>
  <c r="CC171" i="1" s="1"/>
  <c r="BZ134" i="1"/>
  <c r="CA134" i="1" s="1"/>
  <c r="CC134" i="1" s="1"/>
  <c r="BU134" i="1"/>
  <c r="BZ536" i="1"/>
  <c r="CA536" i="1" s="1"/>
  <c r="CC536" i="1" s="1"/>
  <c r="BU536" i="1"/>
  <c r="BQ170" i="1"/>
  <c r="BS170" i="1" s="1"/>
  <c r="BU206" i="1"/>
  <c r="BZ206" i="1"/>
  <c r="CA206" i="1" s="1"/>
  <c r="CC206" i="1" s="1"/>
  <c r="BU686" i="1"/>
  <c r="BZ686" i="1"/>
  <c r="CA686" i="1" s="1"/>
  <c r="CC686" i="1" s="1"/>
  <c r="CL815" i="1"/>
  <c r="BQ399" i="1"/>
  <c r="BS399" i="1" s="1"/>
  <c r="BQ186" i="1"/>
  <c r="BS186" i="1" s="1"/>
  <c r="BQ633" i="1"/>
  <c r="BS633" i="1" s="1"/>
  <c r="BQ333" i="1"/>
  <c r="BS333" i="1" s="1"/>
  <c r="BZ377" i="1"/>
  <c r="CA377" i="1" s="1"/>
  <c r="CC377" i="1" s="1"/>
  <c r="BU377" i="1"/>
  <c r="BY814" i="1"/>
  <c r="BZ814" i="1" s="1"/>
  <c r="CA814" i="1" s="1"/>
  <c r="CC814" i="1" s="1"/>
  <c r="BU199" i="1"/>
  <c r="BZ199" i="1"/>
  <c r="CA199" i="1" s="1"/>
  <c r="CC199" i="1" s="1"/>
  <c r="BP221" i="1"/>
  <c r="BZ221" i="1"/>
  <c r="CA221" i="1" s="1"/>
  <c r="CC221" i="1" s="1"/>
  <c r="BW48" i="1"/>
  <c r="BU640" i="1"/>
  <c r="BZ640" i="1"/>
  <c r="CA640" i="1" s="1"/>
  <c r="CC640" i="1" s="1"/>
  <c r="BZ351" i="1"/>
  <c r="CA351" i="1" s="1"/>
  <c r="CC351" i="1" s="1"/>
  <c r="BU351" i="1"/>
  <c r="BV29" i="1"/>
  <c r="BX29" i="1" s="1"/>
  <c r="BU665" i="1"/>
  <c r="BZ665" i="1"/>
  <c r="CA665" i="1" s="1"/>
  <c r="CC665" i="1" s="1"/>
  <c r="BZ462" i="1"/>
  <c r="CA462" i="1" s="1"/>
  <c r="CC462" i="1" s="1"/>
  <c r="BU462" i="1"/>
  <c r="CI269" i="1"/>
  <c r="CJ269" i="1" s="1"/>
  <c r="CK269" i="1" s="1"/>
  <c r="BZ605" i="1"/>
  <c r="CA605" i="1" s="1"/>
  <c r="CC605" i="1" s="1"/>
  <c r="BU605" i="1"/>
  <c r="BW258" i="1"/>
  <c r="BZ666" i="1"/>
  <c r="CA666" i="1" s="1"/>
  <c r="CC666" i="1" s="1"/>
  <c r="BU666" i="1"/>
  <c r="BQ334" i="1"/>
  <c r="BS334" i="1" s="1"/>
  <c r="BQ189" i="1"/>
  <c r="BS189" i="1" s="1"/>
  <c r="CD255" i="1"/>
  <c r="CE255" i="1" s="1"/>
  <c r="CF255" i="1" s="1"/>
  <c r="CH255" i="1" s="1"/>
  <c r="BZ552" i="1"/>
  <c r="CA552" i="1" s="1"/>
  <c r="CC552" i="1" s="1"/>
  <c r="BU552" i="1"/>
  <c r="BZ327" i="1"/>
  <c r="CA327" i="1" s="1"/>
  <c r="CC327" i="1" s="1"/>
  <c r="BU327" i="1"/>
  <c r="BW24" i="1"/>
  <c r="BU546" i="1"/>
  <c r="BZ546" i="1"/>
  <c r="CA546" i="1" s="1"/>
  <c r="CC546" i="1" s="1"/>
  <c r="BQ296" i="1"/>
  <c r="BS296" i="1" s="1"/>
  <c r="BV43" i="1"/>
  <c r="BX43" i="1" s="1"/>
  <c r="BZ692" i="1"/>
  <c r="CA692" i="1" s="1"/>
  <c r="CC692" i="1" s="1"/>
  <c r="BU692" i="1"/>
  <c r="CB67" i="1"/>
  <c r="BQ557" i="1"/>
  <c r="BS557" i="1" s="1"/>
  <c r="BV106" i="1"/>
  <c r="BX106" i="1" s="1"/>
  <c r="BU435" i="1"/>
  <c r="BZ435" i="1"/>
  <c r="CA435" i="1" s="1"/>
  <c r="CC435" i="1" s="1"/>
  <c r="BP8" i="1"/>
  <c r="BU8" i="1"/>
  <c r="BV8" i="1" s="1"/>
  <c r="BX8" i="1" s="1"/>
  <c r="CI270" i="1"/>
  <c r="CJ270" i="1" s="1"/>
  <c r="CK270" i="1" s="1"/>
  <c r="BQ406" i="1"/>
  <c r="BS406" i="1" s="1"/>
  <c r="BT28" i="1"/>
  <c r="BW28" i="1" s="1"/>
  <c r="BZ475" i="1"/>
  <c r="CA475" i="1" s="1"/>
  <c r="CC475" i="1" s="1"/>
  <c r="BU475" i="1"/>
  <c r="BZ730" i="1"/>
  <c r="CA730" i="1" s="1"/>
  <c r="CC730" i="1" s="1"/>
  <c r="BU730" i="1"/>
  <c r="BQ539" i="1"/>
  <c r="BS539" i="1" s="1"/>
  <c r="BU318" i="1"/>
  <c r="BZ318" i="1"/>
  <c r="CA318" i="1" s="1"/>
  <c r="CC318" i="1" s="1"/>
  <c r="BU596" i="1"/>
  <c r="BZ596" i="1"/>
  <c r="CA596" i="1" s="1"/>
  <c r="CC596" i="1" s="1"/>
  <c r="BV38" i="1"/>
  <c r="BX38" i="1" s="1"/>
  <c r="BQ366" i="1"/>
  <c r="BS366" i="1" s="1"/>
  <c r="BZ485" i="1"/>
  <c r="CA485" i="1" s="1"/>
  <c r="CC485" i="1" s="1"/>
  <c r="BP485" i="1"/>
  <c r="BU609" i="1"/>
  <c r="BZ609" i="1"/>
  <c r="CA609" i="1" s="1"/>
  <c r="CC609" i="1" s="1"/>
  <c r="CD264" i="1"/>
  <c r="CE264" i="1" s="1"/>
  <c r="CF264" i="1" s="1"/>
  <c r="CH264" i="1" s="1"/>
  <c r="BP229" i="1"/>
  <c r="BZ229" i="1"/>
  <c r="CA229" i="1" s="1"/>
  <c r="CC229" i="1" s="1"/>
  <c r="BZ473" i="1"/>
  <c r="CA473" i="1" s="1"/>
  <c r="CC473" i="1" s="1"/>
  <c r="BU473" i="1"/>
  <c r="BU390" i="1"/>
  <c r="BZ390" i="1"/>
  <c r="CA390" i="1" s="1"/>
  <c r="CC390" i="1" s="1"/>
  <c r="BY36" i="1"/>
  <c r="BZ36" i="1" s="1"/>
  <c r="CA36" i="1" s="1"/>
  <c r="CC36" i="1" s="1"/>
  <c r="BR257" i="1"/>
  <c r="BW21" i="1"/>
  <c r="BZ230" i="1"/>
  <c r="CA230" i="1" s="1"/>
  <c r="CC230" i="1" s="1"/>
  <c r="BP230" i="1"/>
  <c r="BZ747" i="1"/>
  <c r="CA747" i="1" s="1"/>
  <c r="CC747" i="1" s="1"/>
  <c r="BU747" i="1"/>
  <c r="BV92" i="1"/>
  <c r="BX92" i="1" s="1"/>
  <c r="BQ715" i="1"/>
  <c r="BS715" i="1" s="1"/>
  <c r="BW36" i="1"/>
  <c r="BV53" i="1"/>
  <c r="BX53" i="1" s="1"/>
  <c r="BQ656" i="1"/>
  <c r="BS656" i="1" s="1"/>
  <c r="BZ247" i="1"/>
  <c r="CA247" i="1" s="1"/>
  <c r="CC247" i="1" s="1"/>
  <c r="BU247" i="1"/>
  <c r="BZ291" i="1"/>
  <c r="CA291" i="1" s="1"/>
  <c r="CC291" i="1" s="1"/>
  <c r="BU291" i="1"/>
  <c r="BZ489" i="1"/>
  <c r="CA489" i="1" s="1"/>
  <c r="CC489" i="1" s="1"/>
  <c r="BU489" i="1"/>
  <c r="BZ358" i="1"/>
  <c r="CA358" i="1" s="1"/>
  <c r="CC358" i="1" s="1"/>
  <c r="BU358" i="1"/>
  <c r="BV73" i="1"/>
  <c r="BX73" i="1" s="1"/>
  <c r="BT811" i="1"/>
  <c r="BU811" i="1" s="1"/>
  <c r="BV811" i="1" s="1"/>
  <c r="BX811" i="1" s="1"/>
  <c r="BW66" i="1"/>
  <c r="BU663" i="1"/>
  <c r="BZ663" i="1"/>
  <c r="CA663" i="1" s="1"/>
  <c r="CC663" i="1" s="1"/>
  <c r="BZ482" i="1"/>
  <c r="CA482" i="1" s="1"/>
  <c r="CC482" i="1" s="1"/>
  <c r="BU482" i="1"/>
  <c r="BZ168" i="1"/>
  <c r="CA168" i="1" s="1"/>
  <c r="CC168" i="1" s="1"/>
  <c r="BU168" i="1"/>
  <c r="BV49" i="1"/>
  <c r="BX49" i="1" s="1"/>
  <c r="BZ545" i="1"/>
  <c r="CA545" i="1" s="1"/>
  <c r="CC545" i="1" s="1"/>
  <c r="BU545" i="1"/>
  <c r="CG251" i="1"/>
  <c r="BY45" i="1"/>
  <c r="BZ45" i="1" s="1"/>
  <c r="CA45" i="1" s="1"/>
  <c r="CC45" i="1" s="1"/>
  <c r="BZ576" i="1"/>
  <c r="CA576" i="1" s="1"/>
  <c r="CC576" i="1" s="1"/>
  <c r="BU576" i="1"/>
  <c r="BZ356" i="1"/>
  <c r="CA356" i="1" s="1"/>
  <c r="CC356" i="1" s="1"/>
  <c r="BU356" i="1"/>
  <c r="BZ626" i="1"/>
  <c r="CA626" i="1" s="1"/>
  <c r="CC626" i="1" s="1"/>
  <c r="BU626" i="1"/>
  <c r="BU432" i="1"/>
  <c r="BZ432" i="1"/>
  <c r="CA432" i="1" s="1"/>
  <c r="CC432" i="1" s="1"/>
  <c r="BV88" i="1"/>
  <c r="BX88" i="1" s="1"/>
  <c r="CB50" i="1"/>
  <c r="BQ653" i="1"/>
  <c r="BS653" i="1" s="1"/>
  <c r="BQ353" i="1"/>
  <c r="BS353" i="1" s="1"/>
  <c r="BU675" i="1"/>
  <c r="BZ675" i="1"/>
  <c r="CA675" i="1" s="1"/>
  <c r="CC675" i="1" s="1"/>
  <c r="BT263" i="1"/>
  <c r="BU263" i="1" s="1"/>
  <c r="BV263" i="1" s="1"/>
  <c r="BX263" i="1" s="1"/>
  <c r="BQ313" i="1"/>
  <c r="BS313" i="1" s="1"/>
  <c r="BP615" i="1"/>
  <c r="BU615" i="1"/>
  <c r="BV615" i="1" s="1"/>
  <c r="BX615" i="1" s="1"/>
  <c r="BZ615" i="1"/>
  <c r="CA615" i="1" s="1"/>
  <c r="CC615" i="1" s="1"/>
  <c r="BQ314" i="1"/>
  <c r="BS314" i="1" s="1"/>
  <c r="BZ511" i="1"/>
  <c r="CA511" i="1" s="1"/>
  <c r="CC511" i="1" s="1"/>
  <c r="BU511" i="1"/>
  <c r="BU429" i="1"/>
  <c r="BZ429" i="1"/>
  <c r="CA429" i="1" s="1"/>
  <c r="CC429" i="1" s="1"/>
  <c r="CD13" i="1"/>
  <c r="CE13" i="1" s="1"/>
  <c r="CF13" i="1" s="1"/>
  <c r="CH13" i="1" s="1"/>
  <c r="BQ650" i="1"/>
  <c r="BS650" i="1" s="1"/>
  <c r="BZ360" i="1"/>
  <c r="CA360" i="1" s="1"/>
  <c r="CC360" i="1" s="1"/>
  <c r="BU360" i="1"/>
  <c r="BZ174" i="1"/>
  <c r="CA174" i="1" s="1"/>
  <c r="CC174" i="1" s="1"/>
  <c r="BU174" i="1"/>
  <c r="BY91" i="1"/>
  <c r="BZ91" i="1" s="1"/>
  <c r="CA91" i="1" s="1"/>
  <c r="CC91" i="1" s="1"/>
  <c r="BQ559" i="1"/>
  <c r="BS559" i="1" s="1"/>
  <c r="BQ450" i="1"/>
  <c r="BS450" i="1" s="1"/>
  <c r="BW814" i="1"/>
  <c r="BZ773" i="1"/>
  <c r="CA773" i="1" s="1"/>
  <c r="CC773" i="1" s="1"/>
  <c r="BU773" i="1"/>
  <c r="BQ218" i="1"/>
  <c r="BS218" i="1" s="1"/>
  <c r="BQ586" i="1"/>
  <c r="BS586" i="1" s="1"/>
  <c r="CL348" i="1"/>
  <c r="BP380" i="1"/>
  <c r="BZ380" i="1"/>
  <c r="CA380" i="1" s="1"/>
  <c r="CC380" i="1" s="1"/>
  <c r="BZ395" i="1"/>
  <c r="CA395" i="1" s="1"/>
  <c r="CC395" i="1" s="1"/>
  <c r="BU395" i="1"/>
  <c r="BZ778" i="1"/>
  <c r="CA778" i="1" s="1"/>
  <c r="CC778" i="1" s="1"/>
  <c r="BU778" i="1"/>
  <c r="BQ550" i="1"/>
  <c r="BS550" i="1" s="1"/>
  <c r="BZ294" i="1"/>
  <c r="CA294" i="1" s="1"/>
  <c r="CC294" i="1" s="1"/>
  <c r="BU294" i="1"/>
  <c r="BQ179" i="1"/>
  <c r="BS179" i="1" s="1"/>
  <c r="BZ755" i="1"/>
  <c r="CA755" i="1" s="1"/>
  <c r="CC755" i="1" s="1"/>
  <c r="BU755" i="1"/>
  <c r="BT807" i="1"/>
  <c r="BU807" i="1" s="1"/>
  <c r="BV807" i="1" s="1"/>
  <c r="BX807" i="1" s="1"/>
  <c r="BY25" i="1"/>
  <c r="BZ25" i="1" s="1"/>
  <c r="CA25" i="1" s="1"/>
  <c r="CC25" i="1" s="1"/>
  <c r="BU469" i="1"/>
  <c r="BZ469" i="1"/>
  <c r="CA469" i="1" s="1"/>
  <c r="CC469" i="1" s="1"/>
  <c r="BQ564" i="1"/>
  <c r="BS564" i="1" s="1"/>
  <c r="BZ785" i="1"/>
  <c r="CA785" i="1" s="1"/>
  <c r="CC785" i="1" s="1"/>
  <c r="BU785" i="1"/>
  <c r="BU293" i="1"/>
  <c r="BZ293" i="1"/>
  <c r="CA293" i="1" s="1"/>
  <c r="CC293" i="1" s="1"/>
  <c r="BV51" i="1"/>
  <c r="BX51" i="1" s="1"/>
  <c r="BZ677" i="1"/>
  <c r="CA677" i="1" s="1"/>
  <c r="CC677" i="1" s="1"/>
  <c r="BU677" i="1"/>
  <c r="BV78" i="1"/>
  <c r="BX78" i="1" s="1"/>
  <c r="CD261" i="1"/>
  <c r="CE261" i="1" s="1"/>
  <c r="CF261" i="1" s="1"/>
  <c r="CH261" i="1" s="1"/>
  <c r="BU501" i="1"/>
  <c r="BZ501" i="1"/>
  <c r="CA501" i="1" s="1"/>
  <c r="CC501" i="1" s="1"/>
  <c r="BY21" i="1"/>
  <c r="BZ21" i="1" s="1"/>
  <c r="CA21" i="1" s="1"/>
  <c r="CC21" i="1" s="1"/>
  <c r="BZ468" i="1"/>
  <c r="CA468" i="1" s="1"/>
  <c r="CC468" i="1" s="1"/>
  <c r="BU468" i="1"/>
  <c r="BU592" i="1"/>
  <c r="BZ592" i="1"/>
  <c r="CA592" i="1" s="1"/>
  <c r="CC592" i="1" s="1"/>
  <c r="CL35" i="1"/>
  <c r="BV261" i="1"/>
  <c r="BX261" i="1" s="1"/>
  <c r="BZ128" i="1"/>
  <c r="CA128" i="1" s="1"/>
  <c r="CC128" i="1" s="1"/>
  <c r="BU128" i="1"/>
  <c r="BU120" i="1"/>
  <c r="BZ120" i="1"/>
  <c r="CA120" i="1" s="1"/>
  <c r="CC120" i="1" s="1"/>
  <c r="BQ635" i="1"/>
  <c r="BS635" i="1" s="1"/>
  <c r="BQ347" i="1"/>
  <c r="BS347" i="1" s="1"/>
  <c r="BQ237" i="1"/>
  <c r="BS237" i="1" s="1"/>
  <c r="BP753" i="1"/>
  <c r="BZ753" i="1"/>
  <c r="CA753" i="1" s="1"/>
  <c r="CC753" i="1" s="1"/>
  <c r="BV60" i="1"/>
  <c r="BX60" i="1" s="1"/>
  <c r="BQ647" i="1"/>
  <c r="BS647" i="1" s="1"/>
  <c r="BU425" i="1"/>
  <c r="BZ425" i="1"/>
  <c r="CA425" i="1" s="1"/>
  <c r="CC425" i="1" s="1"/>
  <c r="BQ622" i="1"/>
  <c r="BS622" i="1" s="1"/>
  <c r="BZ422" i="1"/>
  <c r="CA422" i="1" s="1"/>
  <c r="CC422" i="1" s="1"/>
  <c r="BU422" i="1"/>
  <c r="BU712" i="1"/>
  <c r="BV712" i="1" s="1"/>
  <c r="BX712" i="1" s="1"/>
  <c r="BP712" i="1"/>
  <c r="BZ712" i="1"/>
  <c r="CA712" i="1" s="1"/>
  <c r="CC712" i="1" s="1"/>
  <c r="BU641" i="1"/>
  <c r="BZ641" i="1"/>
  <c r="CA641" i="1" s="1"/>
  <c r="CC641" i="1" s="1"/>
  <c r="BZ466" i="1"/>
  <c r="CA466" i="1" s="1"/>
  <c r="CC466" i="1" s="1"/>
  <c r="BU466" i="1"/>
  <c r="CI130" i="1"/>
  <c r="CJ130" i="1" s="1"/>
  <c r="CK130" i="1" s="1"/>
  <c r="BZ757" i="1"/>
  <c r="CA757" i="1" s="1"/>
  <c r="CC757" i="1" s="1"/>
  <c r="BU757" i="1"/>
  <c r="BZ519" i="1"/>
  <c r="CA519" i="1" s="1"/>
  <c r="CC519" i="1" s="1"/>
  <c r="BU519" i="1"/>
  <c r="BZ520" i="1"/>
  <c r="CA520" i="1" s="1"/>
  <c r="CC520" i="1" s="1"/>
  <c r="BU520" i="1"/>
  <c r="BV76" i="1"/>
  <c r="BX76" i="1" s="1"/>
  <c r="BZ786" i="1"/>
  <c r="CA786" i="1" s="1"/>
  <c r="CC786" i="1" s="1"/>
  <c r="BU786" i="1"/>
  <c r="BY66" i="1"/>
  <c r="BZ66" i="1" s="1"/>
  <c r="CA66" i="1" s="1"/>
  <c r="CC66" i="1" s="1"/>
  <c r="BZ764" i="1"/>
  <c r="CA764" i="1" s="1"/>
  <c r="CC764" i="1" s="1"/>
  <c r="BU764" i="1"/>
  <c r="BU510" i="1"/>
  <c r="BZ510" i="1"/>
  <c r="CA510" i="1" s="1"/>
  <c r="CC510" i="1" s="1"/>
  <c r="BQ652" i="1"/>
  <c r="BS652" i="1" s="1"/>
  <c r="BV101" i="1"/>
  <c r="BX101" i="1" s="1"/>
  <c r="BY62" i="1"/>
  <c r="BZ62" i="1" s="1"/>
  <c r="CA62" i="1" s="1"/>
  <c r="CC62" i="1" s="1"/>
  <c r="BU706" i="1"/>
  <c r="BZ706" i="1"/>
  <c r="CA706" i="1" s="1"/>
  <c r="CC706" i="1" s="1"/>
  <c r="BW62" i="1"/>
  <c r="BU363" i="1"/>
  <c r="BZ363" i="1"/>
  <c r="CA363" i="1" s="1"/>
  <c r="CC363" i="1" s="1"/>
  <c r="BU201" i="1"/>
  <c r="BZ201" i="1"/>
  <c r="CA201" i="1" s="1"/>
  <c r="CC201" i="1" s="1"/>
  <c r="BY270" i="1"/>
  <c r="CB270" i="1" s="1"/>
  <c r="BZ463" i="1"/>
  <c r="CA463" i="1" s="1"/>
  <c r="CC463" i="1" s="1"/>
  <c r="BU463" i="1"/>
  <c r="BW34" i="1"/>
  <c r="BW47" i="1"/>
  <c r="BU549" i="1"/>
  <c r="BZ549" i="1"/>
  <c r="CA549" i="1" s="1"/>
  <c r="CC549" i="1" s="1"/>
  <c r="BV52" i="1"/>
  <c r="BX52" i="1" s="1"/>
  <c r="BU414" i="1"/>
  <c r="BZ414" i="1"/>
  <c r="CA414" i="1" s="1"/>
  <c r="CC414" i="1" s="1"/>
  <c r="BY803" i="1"/>
  <c r="BZ803" i="1" s="1"/>
  <c r="CA803" i="1" s="1"/>
  <c r="CC803" i="1" s="1"/>
  <c r="BZ244" i="1"/>
  <c r="CA244" i="1" s="1"/>
  <c r="CC244" i="1" s="1"/>
  <c r="BU244" i="1"/>
  <c r="BU765" i="1"/>
  <c r="BZ765" i="1"/>
  <c r="CA765" i="1" s="1"/>
  <c r="CC765" i="1" s="1"/>
  <c r="BQ167" i="1"/>
  <c r="BS167" i="1" s="1"/>
  <c r="BQ555" i="1"/>
  <c r="BS555" i="1" s="1"/>
  <c r="BZ239" i="1"/>
  <c r="CA239" i="1" s="1"/>
  <c r="CC239" i="1" s="1"/>
  <c r="BU239" i="1"/>
  <c r="BV86" i="1"/>
  <c r="BX86" i="1" s="1"/>
  <c r="BU403" i="1"/>
  <c r="BZ403" i="1"/>
  <c r="CA403" i="1" s="1"/>
  <c r="CC403" i="1" s="1"/>
  <c r="BR263" i="1"/>
  <c r="BZ749" i="1"/>
  <c r="CA749" i="1" s="1"/>
  <c r="CC749" i="1" s="1"/>
  <c r="BU749" i="1"/>
  <c r="BZ701" i="1"/>
  <c r="CA701" i="1" s="1"/>
  <c r="CC701" i="1" s="1"/>
  <c r="BU701" i="1"/>
  <c r="BU277" i="1"/>
  <c r="BZ277" i="1"/>
  <c r="CA277" i="1" s="1"/>
  <c r="CC277" i="1" s="1"/>
  <c r="BU754" i="1"/>
  <c r="BZ754" i="1"/>
  <c r="CA754" i="1" s="1"/>
  <c r="CC754" i="1" s="1"/>
  <c r="BZ448" i="1"/>
  <c r="CA448" i="1" s="1"/>
  <c r="CC448" i="1" s="1"/>
  <c r="BU448" i="1"/>
  <c r="BV96" i="1"/>
  <c r="BX96" i="1" s="1"/>
  <c r="BW22" i="1"/>
  <c r="BV79" i="1"/>
  <c r="BX79" i="1" s="1"/>
  <c r="BZ691" i="1"/>
  <c r="CA691" i="1" s="1"/>
  <c r="CC691" i="1" s="1"/>
  <c r="BU691" i="1"/>
  <c r="BQ585" i="1"/>
  <c r="BS585" i="1" s="1"/>
  <c r="CB13" i="1"/>
  <c r="BQ274" i="1"/>
  <c r="BS274" i="1" s="1"/>
  <c r="BZ194" i="1"/>
  <c r="CA194" i="1" s="1"/>
  <c r="CC194" i="1" s="1"/>
  <c r="BU194" i="1"/>
  <c r="BZ742" i="1"/>
  <c r="CA742" i="1" s="1"/>
  <c r="CC742" i="1" s="1"/>
  <c r="BU742" i="1"/>
  <c r="BU505" i="1"/>
  <c r="BZ505" i="1"/>
  <c r="CA505" i="1" s="1"/>
  <c r="CC505" i="1" s="1"/>
  <c r="BZ245" i="1"/>
  <c r="CA245" i="1" s="1"/>
  <c r="CC245" i="1" s="1"/>
  <c r="BU245" i="1"/>
  <c r="BQ373" i="1"/>
  <c r="BS373" i="1" s="1"/>
  <c r="BU123" i="1"/>
  <c r="BZ123" i="1"/>
  <c r="CA123" i="1" s="1"/>
  <c r="CC123" i="1" s="1"/>
  <c r="BU124" i="1"/>
  <c r="BZ124" i="1"/>
  <c r="CA124" i="1" s="1"/>
  <c r="CC124" i="1" s="1"/>
  <c r="BZ738" i="1"/>
  <c r="CA738" i="1" s="1"/>
  <c r="CC738" i="1" s="1"/>
  <c r="BU738" i="1"/>
  <c r="BQ386" i="1"/>
  <c r="BS386" i="1" s="1"/>
  <c r="BZ782" i="1"/>
  <c r="CA782" i="1" s="1"/>
  <c r="CC782" i="1" s="1"/>
  <c r="BU782" i="1"/>
  <c r="BU479" i="1"/>
  <c r="BZ479" i="1"/>
  <c r="CA479" i="1" s="1"/>
  <c r="CC479" i="1" s="1"/>
  <c r="CI7" i="1"/>
  <c r="CJ7" i="1" s="1"/>
  <c r="CK7" i="1" s="1"/>
  <c r="BU172" i="1"/>
  <c r="BZ172" i="1"/>
  <c r="CA172" i="1" s="1"/>
  <c r="CC172" i="1" s="1"/>
  <c r="BV70" i="1"/>
  <c r="BX70" i="1" s="1"/>
  <c r="BZ577" i="1"/>
  <c r="CA577" i="1" s="1"/>
  <c r="CC577" i="1" s="1"/>
  <c r="BU577" i="1"/>
  <c r="BV42" i="1"/>
  <c r="BX42" i="1" s="1"/>
  <c r="BU502" i="1"/>
  <c r="BZ502" i="1"/>
  <c r="CA502" i="1" s="1"/>
  <c r="CC502" i="1" s="1"/>
  <c r="BU411" i="1"/>
  <c r="BZ411" i="1"/>
  <c r="CA411" i="1" s="1"/>
  <c r="CC411" i="1" s="1"/>
  <c r="BQ98" i="1"/>
  <c r="BS98" i="1" s="1"/>
  <c r="BZ729" i="1"/>
  <c r="CA729" i="1" s="1"/>
  <c r="CC729" i="1" s="1"/>
  <c r="BU729" i="1"/>
  <c r="BU365" i="1"/>
  <c r="BZ365" i="1"/>
  <c r="CA365" i="1" s="1"/>
  <c r="CC365" i="1" s="1"/>
  <c r="BU112" i="1"/>
  <c r="BZ112" i="1"/>
  <c r="CA112" i="1" s="1"/>
  <c r="CC112" i="1" s="1"/>
  <c r="BQ598" i="1"/>
  <c r="BS598" i="1" s="1"/>
  <c r="BZ287" i="1"/>
  <c r="CA287" i="1" s="1"/>
  <c r="CC287" i="1" s="1"/>
  <c r="BU287" i="1"/>
  <c r="BQ558" i="1"/>
  <c r="BS558" i="1" s="1"/>
  <c r="BU316" i="1"/>
  <c r="BZ316" i="1"/>
  <c r="CA316" i="1" s="1"/>
  <c r="CC316" i="1" s="1"/>
  <c r="BZ111" i="1"/>
  <c r="CA111" i="1" s="1"/>
  <c r="CC111" i="1" s="1"/>
  <c r="BU111" i="1"/>
  <c r="BZ517" i="1"/>
  <c r="CA517" i="1" s="1"/>
  <c r="CC517" i="1" s="1"/>
  <c r="BU517" i="1"/>
  <c r="BU777" i="1"/>
  <c r="BZ777" i="1"/>
  <c r="CA777" i="1" s="1"/>
  <c r="CC777" i="1" s="1"/>
  <c r="BZ398" i="1"/>
  <c r="CA398" i="1" s="1"/>
  <c r="CC398" i="1" s="1"/>
  <c r="BU398" i="1"/>
  <c r="BZ176" i="1"/>
  <c r="CA176" i="1" s="1"/>
  <c r="CC176" i="1" s="1"/>
  <c r="BU176" i="1"/>
  <c r="BV23" i="1"/>
  <c r="BX23" i="1" s="1"/>
  <c r="BU443" i="1"/>
  <c r="BZ443" i="1"/>
  <c r="CA443" i="1" s="1"/>
  <c r="CC443" i="1" s="1"/>
  <c r="BY95" i="1"/>
  <c r="BZ95" i="1" s="1"/>
  <c r="CA95" i="1" s="1"/>
  <c r="CC95" i="1" s="1"/>
  <c r="BZ279" i="1"/>
  <c r="CA279" i="1" s="1"/>
  <c r="CC279" i="1" s="1"/>
  <c r="BP279" i="1"/>
  <c r="BZ163" i="1"/>
  <c r="CA163" i="1" s="1"/>
  <c r="CC163" i="1" s="1"/>
  <c r="BU163" i="1"/>
  <c r="BV163" i="1" s="1"/>
  <c r="BX163" i="1" s="1"/>
  <c r="BP163" i="1"/>
  <c r="BZ599" i="1"/>
  <c r="CA599" i="1" s="1"/>
  <c r="CC599" i="1" s="1"/>
  <c r="BU599" i="1"/>
  <c r="BQ342" i="1"/>
  <c r="BS342" i="1" s="1"/>
  <c r="BQ589" i="1"/>
  <c r="BS589" i="1" s="1"/>
  <c r="BQ584" i="1"/>
  <c r="BS584" i="1" s="1"/>
  <c r="BP768" i="1"/>
  <c r="BZ768" i="1"/>
  <c r="CA768" i="1" s="1"/>
  <c r="CC768" i="1" s="1"/>
  <c r="BU617" i="1"/>
  <c r="BZ617" i="1"/>
  <c r="CA617" i="1" s="1"/>
  <c r="CC617" i="1" s="1"/>
  <c r="BQ225" i="1"/>
  <c r="BS225" i="1" s="1"/>
  <c r="BZ113" i="1"/>
  <c r="CA113" i="1" s="1"/>
  <c r="CC113" i="1" s="1"/>
  <c r="BU113" i="1"/>
  <c r="BU634" i="1"/>
  <c r="BZ634" i="1"/>
  <c r="CA634" i="1" s="1"/>
  <c r="CC634" i="1" s="1"/>
  <c r="CD167" i="1"/>
  <c r="CE167" i="1" s="1"/>
  <c r="CF167" i="1" s="1"/>
  <c r="CH167" i="1" s="1"/>
  <c r="BQ312" i="1"/>
  <c r="BS312" i="1" s="1"/>
  <c r="BP11" i="1"/>
  <c r="BU11" i="1"/>
  <c r="BV11" i="1" s="1"/>
  <c r="BX11" i="1" s="1"/>
  <c r="BU685" i="1"/>
  <c r="BZ685" i="1"/>
  <c r="CA685" i="1" s="1"/>
  <c r="CC685" i="1" s="1"/>
  <c r="BZ455" i="1"/>
  <c r="CA455" i="1" s="1"/>
  <c r="CC455" i="1" s="1"/>
  <c r="BU455" i="1"/>
  <c r="BT259" i="1"/>
  <c r="BU259" i="1" s="1"/>
  <c r="BV259" i="1" s="1"/>
  <c r="BX259" i="1" s="1"/>
  <c r="BY268" i="1"/>
  <c r="BZ268" i="1" s="1"/>
  <c r="CA268" i="1" s="1"/>
  <c r="CC268" i="1" s="1"/>
  <c r="BZ726" i="1"/>
  <c r="CA726" i="1" s="1"/>
  <c r="CC726" i="1" s="1"/>
  <c r="BU726" i="1"/>
  <c r="BY22" i="1"/>
  <c r="BZ22" i="1" s="1"/>
  <c r="CA22" i="1" s="1"/>
  <c r="CC22" i="1" s="1"/>
  <c r="BQ540" i="1"/>
  <c r="BS540" i="1" s="1"/>
  <c r="BZ208" i="1"/>
  <c r="CA208" i="1" s="1"/>
  <c r="CC208" i="1" s="1"/>
  <c r="BU208" i="1"/>
  <c r="BU418" i="1"/>
  <c r="BZ418" i="1"/>
  <c r="CA418" i="1" s="1"/>
  <c r="CC418" i="1" s="1"/>
  <c r="BU711" i="1"/>
  <c r="BZ711" i="1"/>
  <c r="CA711" i="1" s="1"/>
  <c r="CC711" i="1" s="1"/>
  <c r="BY54" i="1"/>
  <c r="BZ54" i="1" s="1"/>
  <c r="CA54" i="1" s="1"/>
  <c r="CC54" i="1" s="1"/>
  <c r="BZ416" i="1"/>
  <c r="CA416" i="1" s="1"/>
  <c r="CC416" i="1" s="1"/>
  <c r="BP416" i="1"/>
  <c r="BU690" i="1"/>
  <c r="BZ690" i="1"/>
  <c r="CA690" i="1" s="1"/>
  <c r="CC690" i="1" s="1"/>
  <c r="BZ173" i="1"/>
  <c r="CA173" i="1" s="1"/>
  <c r="CC173" i="1" s="1"/>
  <c r="BU173" i="1"/>
  <c r="BZ644" i="1"/>
  <c r="CA644" i="1" s="1"/>
  <c r="CC644" i="1" s="1"/>
  <c r="BU644" i="1"/>
  <c r="BZ343" i="1"/>
  <c r="CA343" i="1" s="1"/>
  <c r="CC343" i="1" s="1"/>
  <c r="BU343" i="1"/>
  <c r="BQ187" i="1"/>
  <c r="BS187" i="1" s="1"/>
  <c r="BZ148" i="1"/>
  <c r="CA148" i="1" s="1"/>
  <c r="CC148" i="1" s="1"/>
  <c r="BU148" i="1"/>
  <c r="BP9" i="1"/>
  <c r="BU9" i="1"/>
  <c r="BV9" i="1" s="1"/>
  <c r="BX9" i="1" s="1"/>
  <c r="BZ281" i="1"/>
  <c r="CA281" i="1" s="1"/>
  <c r="CC281" i="1" s="1"/>
  <c r="BU281" i="1"/>
  <c r="BQ374" i="1"/>
  <c r="BS374" i="1" s="1"/>
  <c r="BU751" i="1"/>
  <c r="BZ751" i="1"/>
  <c r="CA751" i="1" s="1"/>
  <c r="CC751" i="1" s="1"/>
  <c r="BU396" i="1"/>
  <c r="BZ396" i="1"/>
  <c r="CA396" i="1" s="1"/>
  <c r="CC396" i="1" s="1"/>
  <c r="BY98" i="1"/>
  <c r="BZ98" i="1" s="1"/>
  <c r="CA98" i="1" s="1"/>
  <c r="CC98" i="1" s="1"/>
  <c r="BZ532" i="1"/>
  <c r="CA532" i="1" s="1"/>
  <c r="CC532" i="1" s="1"/>
  <c r="BU532" i="1"/>
  <c r="BZ457" i="1"/>
  <c r="CA457" i="1" s="1"/>
  <c r="CC457" i="1" s="1"/>
  <c r="BU457" i="1"/>
  <c r="BZ664" i="1"/>
  <c r="CA664" i="1" s="1"/>
  <c r="CC664" i="1" s="1"/>
  <c r="BU664" i="1"/>
  <c r="BZ762" i="1"/>
  <c r="CA762" i="1" s="1"/>
  <c r="CC762" i="1" s="1"/>
  <c r="BU762" i="1"/>
  <c r="BU405" i="1"/>
  <c r="BZ405" i="1"/>
  <c r="CA405" i="1" s="1"/>
  <c r="CC405" i="1" s="1"/>
  <c r="BZ784" i="1"/>
  <c r="CA784" i="1" s="1"/>
  <c r="CC784" i="1" s="1"/>
  <c r="BU784" i="1"/>
  <c r="BZ563" i="1"/>
  <c r="CA563" i="1" s="1"/>
  <c r="CC563" i="1" s="1"/>
  <c r="BU563" i="1"/>
  <c r="BZ412" i="1"/>
  <c r="CA412" i="1" s="1"/>
  <c r="CC412" i="1" s="1"/>
  <c r="BU412" i="1"/>
  <c r="BZ481" i="1"/>
  <c r="CA481" i="1" s="1"/>
  <c r="CC481" i="1" s="1"/>
  <c r="BU481" i="1"/>
  <c r="BY256" i="1"/>
  <c r="BZ256" i="1" s="1"/>
  <c r="CA256" i="1" s="1"/>
  <c r="CC256" i="1" s="1"/>
  <c r="BU710" i="1"/>
  <c r="BZ710" i="1"/>
  <c r="CA710" i="1" s="1"/>
  <c r="CC710" i="1" s="1"/>
  <c r="BU159" i="1"/>
  <c r="BV159" i="1" s="1"/>
  <c r="BX159" i="1" s="1"/>
  <c r="BZ159" i="1"/>
  <c r="CA159" i="1" s="1"/>
  <c r="CC159" i="1" s="1"/>
  <c r="BP159" i="1"/>
  <c r="BU442" i="1"/>
  <c r="BZ442" i="1"/>
  <c r="CA442" i="1" s="1"/>
  <c r="CC442" i="1" s="1"/>
  <c r="BQ607" i="1"/>
  <c r="BS607" i="1" s="1"/>
  <c r="BZ727" i="1"/>
  <c r="CA727" i="1" s="1"/>
  <c r="CC727" i="1" s="1"/>
  <c r="BU727" i="1"/>
  <c r="BQ30" i="1"/>
  <c r="BS30" i="1" s="1"/>
  <c r="BU636" i="1"/>
  <c r="BZ636" i="1"/>
  <c r="CA636" i="1" s="1"/>
  <c r="CC636" i="1" s="1"/>
  <c r="BY30" i="1"/>
  <c r="BZ30" i="1" s="1"/>
  <c r="CA30" i="1" s="1"/>
  <c r="CC30" i="1" s="1"/>
  <c r="BQ574" i="1"/>
  <c r="BS574" i="1" s="1"/>
  <c r="BQ282" i="1"/>
  <c r="BS282" i="1" s="1"/>
  <c r="BU131" i="1"/>
  <c r="BZ131" i="1"/>
  <c r="CA131" i="1" s="1"/>
  <c r="CC131" i="1" s="1"/>
  <c r="BZ480" i="1"/>
  <c r="CA480" i="1" s="1"/>
  <c r="CC480" i="1" s="1"/>
  <c r="BU480" i="1"/>
  <c r="BZ528" i="1"/>
  <c r="CA528" i="1" s="1"/>
  <c r="CC528" i="1" s="1"/>
  <c r="BU528" i="1"/>
  <c r="BU452" i="1"/>
  <c r="BZ452" i="1"/>
  <c r="CA452" i="1" s="1"/>
  <c r="CC452" i="1" s="1"/>
  <c r="BP278" i="1"/>
  <c r="BZ278" i="1"/>
  <c r="CA278" i="1" s="1"/>
  <c r="CC278" i="1" s="1"/>
  <c r="BY133" i="1"/>
  <c r="CB133" i="1" s="1"/>
  <c r="BY167" i="1"/>
  <c r="CB167" i="1" s="1"/>
  <c r="BZ572" i="1"/>
  <c r="CA572" i="1" s="1"/>
  <c r="CC572" i="1" s="1"/>
  <c r="BU572" i="1"/>
  <c r="BR259" i="1"/>
  <c r="BW268" i="1"/>
  <c r="BQ289" i="1"/>
  <c r="BS289" i="1" s="1"/>
  <c r="BV40" i="1"/>
  <c r="BX40" i="1" s="1"/>
  <c r="BZ670" i="1"/>
  <c r="CA670" i="1" s="1"/>
  <c r="CC670" i="1" s="1"/>
  <c r="BU670" i="1"/>
  <c r="BQ597" i="1"/>
  <c r="BS597" i="1" s="1"/>
  <c r="CD46" i="1"/>
  <c r="CE46" i="1" s="1"/>
  <c r="CF46" i="1" s="1"/>
  <c r="CH46" i="1" s="1"/>
  <c r="BU667" i="1"/>
  <c r="BZ667" i="1"/>
  <c r="CA667" i="1" s="1"/>
  <c r="CC667" i="1" s="1"/>
  <c r="BZ483" i="1"/>
  <c r="CA483" i="1" s="1"/>
  <c r="CC483" i="1" s="1"/>
  <c r="BU483" i="1"/>
  <c r="BY99" i="1"/>
  <c r="BZ99" i="1" s="1"/>
  <c r="CA99" i="1" s="1"/>
  <c r="CC99" i="1" s="1"/>
  <c r="BW54" i="1"/>
  <c r="BZ662" i="1"/>
  <c r="CA662" i="1" s="1"/>
  <c r="CC662" i="1" s="1"/>
  <c r="BU662" i="1"/>
  <c r="BU151" i="1"/>
  <c r="BZ151" i="1"/>
  <c r="CA151" i="1" s="1"/>
  <c r="CC151" i="1" s="1"/>
  <c r="BQ568" i="1"/>
  <c r="BS568" i="1" s="1"/>
  <c r="BY262" i="1"/>
  <c r="BZ262" i="1" s="1"/>
  <c r="CA262" i="1" s="1"/>
  <c r="CC262" i="1" s="1"/>
  <c r="BU204" i="1"/>
  <c r="BZ204" i="1"/>
  <c r="CA204" i="1" s="1"/>
  <c r="CC204" i="1" s="1"/>
  <c r="CL184" i="1"/>
  <c r="BZ145" i="1"/>
  <c r="CA145" i="1" s="1"/>
  <c r="CC145" i="1" s="1"/>
  <c r="BU145" i="1"/>
  <c r="BQ273" i="1"/>
  <c r="BS273" i="1" s="1"/>
  <c r="BU177" i="1"/>
  <c r="BZ177" i="1"/>
  <c r="CA177" i="1" s="1"/>
  <c r="CC177" i="1" s="1"/>
  <c r="BU781" i="1"/>
  <c r="BZ781" i="1"/>
  <c r="CA781" i="1" s="1"/>
  <c r="CC781" i="1" s="1"/>
  <c r="BZ493" i="1"/>
  <c r="CA493" i="1" s="1"/>
  <c r="CC493" i="1" s="1"/>
  <c r="BU493" i="1"/>
  <c r="CD250" i="1"/>
  <c r="CE250" i="1" s="1"/>
  <c r="CF250" i="1" s="1"/>
  <c r="CH250" i="1" s="1"/>
  <c r="BY44" i="1"/>
  <c r="BZ44" i="1" s="1"/>
  <c r="CA44" i="1" s="1"/>
  <c r="CC44" i="1" s="1"/>
  <c r="BQ594" i="1"/>
  <c r="BS594" i="1" s="1"/>
  <c r="CL154" i="1"/>
  <c r="BU744" i="1"/>
  <c r="BZ744" i="1"/>
  <c r="CA744" i="1" s="1"/>
  <c r="CC744" i="1" s="1"/>
  <c r="BQ357" i="1"/>
  <c r="BS357" i="1" s="1"/>
  <c r="BZ534" i="1"/>
  <c r="CA534" i="1" s="1"/>
  <c r="CC534" i="1" s="1"/>
  <c r="BU534" i="1"/>
  <c r="BZ472" i="1"/>
  <c r="CA472" i="1" s="1"/>
  <c r="CC472" i="1" s="1"/>
  <c r="BU472" i="1"/>
  <c r="BU109" i="1"/>
  <c r="BZ109" i="1"/>
  <c r="CA109" i="1" s="1"/>
  <c r="CC109" i="1" s="1"/>
  <c r="CD39" i="1"/>
  <c r="CE39" i="1" s="1"/>
  <c r="CF39" i="1" s="1"/>
  <c r="CH39" i="1" s="1"/>
  <c r="BQ315" i="1"/>
  <c r="BS315" i="1" s="1"/>
  <c r="BV83" i="1"/>
  <c r="BX83" i="1" s="1"/>
  <c r="BU158" i="1"/>
  <c r="BV158" i="1" s="1"/>
  <c r="BX158" i="1" s="1"/>
  <c r="BP158" i="1"/>
  <c r="BZ158" i="1"/>
  <c r="CA158" i="1" s="1"/>
  <c r="CC158" i="1" s="1"/>
  <c r="CL812" i="1"/>
  <c r="BQ180" i="1"/>
  <c r="BS180" i="1" s="1"/>
  <c r="BZ117" i="1"/>
  <c r="CA117" i="1" s="1"/>
  <c r="CC117" i="1" s="1"/>
  <c r="BU117" i="1"/>
  <c r="BY843" i="1"/>
  <c r="BZ843" i="1" s="1"/>
  <c r="CA843" i="1" s="1"/>
  <c r="CC843" i="1" s="1"/>
  <c r="BQ722" i="1"/>
  <c r="BS722" i="1" s="1"/>
  <c r="BQ392" i="1"/>
  <c r="BS392" i="1" s="1"/>
  <c r="BU241" i="1"/>
  <c r="BZ241" i="1"/>
  <c r="CA241" i="1" s="1"/>
  <c r="CC241" i="1" s="1"/>
  <c r="BY253" i="1"/>
  <c r="BZ253" i="1" s="1"/>
  <c r="CA253" i="1" s="1"/>
  <c r="CC253" i="1" s="1"/>
  <c r="BZ518" i="1"/>
  <c r="CA518" i="1" s="1"/>
  <c r="CC518" i="1" s="1"/>
  <c r="BU518" i="1"/>
  <c r="BW256" i="1"/>
  <c r="BQ302" i="1"/>
  <c r="BS302" i="1" s="1"/>
  <c r="BZ529" i="1"/>
  <c r="CA529" i="1" s="1"/>
  <c r="CC529" i="1" s="1"/>
  <c r="BU529" i="1"/>
  <c r="BZ573" i="1"/>
  <c r="CA573" i="1" s="1"/>
  <c r="CC573" i="1" s="1"/>
  <c r="BU573" i="1"/>
  <c r="BZ728" i="1"/>
  <c r="CA728" i="1" s="1"/>
  <c r="CC728" i="1" s="1"/>
  <c r="BU728" i="1"/>
  <c r="BZ608" i="1"/>
  <c r="CA608" i="1" s="1"/>
  <c r="CC608" i="1" s="1"/>
  <c r="BU608" i="1"/>
  <c r="BU355" i="1"/>
  <c r="BZ355" i="1"/>
  <c r="CA355" i="1" s="1"/>
  <c r="CC355" i="1" s="1"/>
  <c r="CD805" i="1"/>
  <c r="CE805" i="1" s="1"/>
  <c r="CF805" i="1" s="1"/>
  <c r="CH805" i="1" s="1"/>
  <c r="BU456" i="1"/>
  <c r="BZ456" i="1"/>
  <c r="CA456" i="1" s="1"/>
  <c r="CC456" i="1" s="1"/>
  <c r="BY47" i="1"/>
  <c r="BZ47" i="1" s="1"/>
  <c r="CA47" i="1" s="1"/>
  <c r="CC47" i="1" s="1"/>
  <c r="BQ623" i="1"/>
  <c r="BS623" i="1" s="1"/>
  <c r="BZ421" i="1"/>
  <c r="CA421" i="1" s="1"/>
  <c r="CC421" i="1" s="1"/>
  <c r="BU421" i="1"/>
  <c r="CL789" i="1"/>
  <c r="BQ560" i="1"/>
  <c r="BS560" i="1" s="1"/>
  <c r="BU752" i="1"/>
  <c r="BZ752" i="1"/>
  <c r="CA752" i="1" s="1"/>
  <c r="CC752" i="1" s="1"/>
  <c r="BZ542" i="1"/>
  <c r="CA542" i="1" s="1"/>
  <c r="CC542" i="1" s="1"/>
  <c r="BU542" i="1"/>
  <c r="BZ116" i="1"/>
  <c r="CA116" i="1" s="1"/>
  <c r="CC116" i="1" s="1"/>
  <c r="BU116" i="1"/>
  <c r="BV69" i="1"/>
  <c r="BX69" i="1" s="1"/>
  <c r="BZ503" i="1"/>
  <c r="CA503" i="1" s="1"/>
  <c r="CC503" i="1" s="1"/>
  <c r="BU503" i="1"/>
  <c r="BZ499" i="1"/>
  <c r="CA499" i="1" s="1"/>
  <c r="CC499" i="1" s="1"/>
  <c r="BU499" i="1"/>
  <c r="BZ119" i="1"/>
  <c r="CA119" i="1" s="1"/>
  <c r="CC119" i="1" s="1"/>
  <c r="BU119" i="1"/>
  <c r="BQ569" i="1"/>
  <c r="BS569" i="1" s="1"/>
  <c r="BZ522" i="1"/>
  <c r="CA522" i="1" s="1"/>
  <c r="CC522" i="1" s="1"/>
  <c r="BU522" i="1"/>
  <c r="BP758" i="1"/>
  <c r="BZ758" i="1"/>
  <c r="CA758" i="1" s="1"/>
  <c r="CC758" i="1" s="1"/>
  <c r="CI133" i="1"/>
  <c r="CJ133" i="1" s="1"/>
  <c r="CK133" i="1" s="1"/>
  <c r="CD41" i="1"/>
  <c r="CE41" i="1" s="1"/>
  <c r="CF41" i="1" s="1"/>
  <c r="CH41" i="1" s="1"/>
  <c r="BU514" i="1"/>
  <c r="BZ514" i="1"/>
  <c r="CA514" i="1" s="1"/>
  <c r="CC514" i="1" s="1"/>
  <c r="BU129" i="1"/>
  <c r="BZ129" i="1"/>
  <c r="CA129" i="1" s="1"/>
  <c r="CC129" i="1" s="1"/>
  <c r="CB46" i="1"/>
  <c r="BZ562" i="1"/>
  <c r="CA562" i="1" s="1"/>
  <c r="CC562" i="1" s="1"/>
  <c r="BU562" i="1"/>
  <c r="BU410" i="1"/>
  <c r="BZ410" i="1"/>
  <c r="CA410" i="1" s="1"/>
  <c r="CC410" i="1" s="1"/>
  <c r="BZ132" i="1"/>
  <c r="CA132" i="1" s="1"/>
  <c r="CC132" i="1" s="1"/>
  <c r="BU132" i="1"/>
  <c r="BZ428" i="1"/>
  <c r="CA428" i="1" s="1"/>
  <c r="CC428" i="1" s="1"/>
  <c r="BU428" i="1"/>
  <c r="BP676" i="1"/>
  <c r="BZ676" i="1"/>
  <c r="CA676" i="1" s="1"/>
  <c r="CC676" i="1" s="1"/>
  <c r="BW262" i="1"/>
  <c r="BR791" i="1"/>
  <c r="BU684" i="1"/>
  <c r="BZ684" i="1"/>
  <c r="CA684" i="1" s="1"/>
  <c r="CC684" i="1" s="1"/>
  <c r="CB250" i="1"/>
  <c r="BW44" i="1"/>
  <c r="BZ504" i="1"/>
  <c r="CA504" i="1" s="1"/>
  <c r="CC504" i="1" s="1"/>
  <c r="BU504" i="1"/>
  <c r="BQ185" i="1"/>
  <c r="BS185" i="1" s="1"/>
  <c r="CL311" i="1"/>
  <c r="BZ516" i="1"/>
  <c r="CA516" i="1" s="1"/>
  <c r="CC516" i="1" s="1"/>
  <c r="BU516" i="1"/>
  <c r="BZ381" i="1"/>
  <c r="CA381" i="1" s="1"/>
  <c r="CC381" i="1" s="1"/>
  <c r="BU381" i="1"/>
  <c r="BZ224" i="1"/>
  <c r="CA224" i="1" s="1"/>
  <c r="CC224" i="1" s="1"/>
  <c r="BU224" i="1"/>
  <c r="BZ733" i="1"/>
  <c r="CA733" i="1" s="1"/>
  <c r="CC733" i="1" s="1"/>
  <c r="BU733" i="1"/>
  <c r="BQ371" i="1"/>
  <c r="BS371" i="1" s="1"/>
  <c r="BU122" i="1"/>
  <c r="BZ122" i="1"/>
  <c r="CA122" i="1" s="1"/>
  <c r="CC122" i="1" s="1"/>
  <c r="BZ135" i="1"/>
  <c r="CA135" i="1" s="1"/>
  <c r="CC135" i="1" s="1"/>
  <c r="BU135" i="1"/>
  <c r="BQ595" i="1"/>
  <c r="BS595" i="1" s="1"/>
  <c r="BZ431" i="1"/>
  <c r="CA431" i="1" s="1"/>
  <c r="CC431" i="1" s="1"/>
  <c r="BU431" i="1"/>
  <c r="CD813" i="1"/>
  <c r="CE813" i="1" s="1"/>
  <c r="CF813" i="1" s="1"/>
  <c r="CH813" i="1" s="1"/>
  <c r="BY19" i="1"/>
  <c r="BZ19" i="1" s="1"/>
  <c r="CA19" i="1" s="1"/>
  <c r="CC19" i="1" s="1"/>
  <c r="BZ547" i="1"/>
  <c r="CA547" i="1" s="1"/>
  <c r="CC547" i="1" s="1"/>
  <c r="BU547" i="1"/>
  <c r="BT265" i="1"/>
  <c r="BU265" i="1" s="1"/>
  <c r="BV265" i="1" s="1"/>
  <c r="BX265" i="1" s="1"/>
  <c r="BQ723" i="1"/>
  <c r="BS723" i="1" s="1"/>
  <c r="BY107" i="1"/>
  <c r="BZ107" i="1" s="1"/>
  <c r="CA107" i="1" s="1"/>
  <c r="CC107" i="1" s="1"/>
  <c r="BZ533" i="1"/>
  <c r="CA533" i="1" s="1"/>
  <c r="CC533" i="1" s="1"/>
  <c r="BU533" i="1"/>
  <c r="BZ467" i="1"/>
  <c r="CA467" i="1" s="1"/>
  <c r="CC467" i="1" s="1"/>
  <c r="BU467" i="1"/>
  <c r="BQ354" i="1"/>
  <c r="BS354" i="1" s="1"/>
  <c r="BU579" i="1"/>
  <c r="BZ579" i="1"/>
  <c r="CA579" i="1" s="1"/>
  <c r="CC579" i="1" s="1"/>
  <c r="BQ182" i="1"/>
  <c r="BS182" i="1" s="1"/>
  <c r="BZ427" i="1"/>
  <c r="CA427" i="1" s="1"/>
  <c r="CC427" i="1" s="1"/>
  <c r="BU427" i="1"/>
  <c r="BY34" i="1"/>
  <c r="BZ34" i="1" s="1"/>
  <c r="CA34" i="1" s="1"/>
  <c r="CC34" i="1" s="1"/>
  <c r="BV15" i="1"/>
  <c r="BX15" i="1" s="1"/>
  <c r="BQ553" i="1"/>
  <c r="BS553" i="1" s="1"/>
  <c r="BQ283" i="1"/>
  <c r="BS283" i="1" s="1"/>
  <c r="BV84" i="1"/>
  <c r="BX84" i="1" s="1"/>
  <c r="BV94" i="1"/>
  <c r="BX94" i="1" s="1"/>
  <c r="BT842" i="1"/>
  <c r="BU842" i="1" s="1"/>
  <c r="BV842" i="1" s="1"/>
  <c r="BX842" i="1" s="1"/>
  <c r="BZ575" i="1"/>
  <c r="CA575" i="1" s="1"/>
  <c r="CC575" i="1" s="1"/>
  <c r="BU575" i="1"/>
  <c r="BV18" i="1"/>
  <c r="BX18" i="1" s="1"/>
  <c r="BU344" i="1"/>
  <c r="BZ344" i="1"/>
  <c r="CA344" i="1" s="1"/>
  <c r="CC344" i="1" s="1"/>
  <c r="BU484" i="1"/>
  <c r="BZ484" i="1"/>
  <c r="CA484" i="1" s="1"/>
  <c r="CC484" i="1" s="1"/>
  <c r="BV105" i="1"/>
  <c r="BX105" i="1" s="1"/>
  <c r="CG133" i="1"/>
  <c r="BU674" i="1"/>
  <c r="BZ674" i="1"/>
  <c r="CA674" i="1" s="1"/>
  <c r="CC674" i="1" s="1"/>
  <c r="BU494" i="1"/>
  <c r="BZ494" i="1"/>
  <c r="CA494" i="1" s="1"/>
  <c r="CC494" i="1" s="1"/>
  <c r="CB41" i="1"/>
  <c r="BZ642" i="1"/>
  <c r="CA642" i="1" s="1"/>
  <c r="CC642" i="1" s="1"/>
  <c r="BU642" i="1"/>
  <c r="BQ372" i="1"/>
  <c r="BS372" i="1" s="1"/>
  <c r="BU191" i="1"/>
  <c r="BZ191" i="1"/>
  <c r="CA191" i="1" s="1"/>
  <c r="CC191" i="1" s="1"/>
  <c r="BZ687" i="1"/>
  <c r="CA687" i="1" s="1"/>
  <c r="CC687" i="1" s="1"/>
  <c r="BU687" i="1"/>
  <c r="BU393" i="1"/>
  <c r="BZ393" i="1"/>
  <c r="CA393" i="1" s="1"/>
  <c r="CC393" i="1" s="1"/>
  <c r="BQ646" i="1"/>
  <c r="BS646" i="1" s="1"/>
  <c r="BU236" i="1"/>
  <c r="BZ236" i="1"/>
  <c r="CA236" i="1" s="1"/>
  <c r="CC236" i="1" s="1"/>
  <c r="BQ332" i="1"/>
  <c r="BS332" i="1" s="1"/>
  <c r="BY81" i="1"/>
  <c r="BZ81" i="1" s="1"/>
  <c r="CA81" i="1" s="1"/>
  <c r="CC81" i="1" s="1"/>
  <c r="BQ280" i="1"/>
  <c r="BS280" i="1" s="1"/>
  <c r="BU196" i="1"/>
  <c r="BZ196" i="1"/>
  <c r="CA196" i="1" s="1"/>
  <c r="CC196" i="1" s="1"/>
  <c r="BU681" i="1"/>
  <c r="BZ681" i="1"/>
  <c r="CA681" i="1" s="1"/>
  <c r="CC681" i="1" s="1"/>
  <c r="BU433" i="1"/>
  <c r="BZ433" i="1"/>
  <c r="CA433" i="1" s="1"/>
  <c r="CC433" i="1" s="1"/>
  <c r="BT252" i="1"/>
  <c r="BU252" i="1" s="1"/>
  <c r="BV252" i="1" s="1"/>
  <c r="BX252" i="1" s="1"/>
  <c r="BT791" i="1"/>
  <c r="BU791" i="1" s="1"/>
  <c r="BV791" i="1" s="1"/>
  <c r="BX791" i="1" s="1"/>
  <c r="BV20" i="1"/>
  <c r="BX20" i="1" s="1"/>
  <c r="BU657" i="1"/>
  <c r="BZ657" i="1"/>
  <c r="CA657" i="1" s="1"/>
  <c r="CC657" i="1" s="1"/>
  <c r="BZ367" i="1"/>
  <c r="CA367" i="1" s="1"/>
  <c r="CC367" i="1" s="1"/>
  <c r="BU367" i="1"/>
  <c r="BZ149" i="1"/>
  <c r="CA149" i="1" s="1"/>
  <c r="CC149" i="1" s="1"/>
  <c r="BU149" i="1"/>
  <c r="CD260" i="1"/>
  <c r="CE260" i="1" s="1"/>
  <c r="CF260" i="1" s="1"/>
  <c r="CH260" i="1" s="1"/>
  <c r="BU694" i="1"/>
  <c r="BZ694" i="1"/>
  <c r="CA694" i="1" s="1"/>
  <c r="CC694" i="1" s="1"/>
  <c r="BQ583" i="1"/>
  <c r="BS583" i="1" s="1"/>
  <c r="BZ713" i="1"/>
  <c r="CA713" i="1" s="1"/>
  <c r="CC713" i="1" s="1"/>
  <c r="BU713" i="1"/>
  <c r="BZ383" i="1"/>
  <c r="CA383" i="1" s="1"/>
  <c r="CC383" i="1" s="1"/>
  <c r="BU383" i="1"/>
  <c r="BZ408" i="1"/>
  <c r="CA408" i="1" s="1"/>
  <c r="CC408" i="1" s="1"/>
  <c r="BU408" i="1"/>
  <c r="BZ115" i="1"/>
  <c r="CA115" i="1" s="1"/>
  <c r="CC115" i="1" s="1"/>
  <c r="BU115" i="1"/>
  <c r="CB813" i="1"/>
  <c r="BW19" i="1"/>
  <c r="BZ301" i="1"/>
  <c r="CA301" i="1" s="1"/>
  <c r="CC301" i="1" s="1"/>
  <c r="BU301" i="1"/>
  <c r="BP161" i="1"/>
  <c r="BU161" i="1"/>
  <c r="BV161" i="1" s="1"/>
  <c r="BX161" i="1" s="1"/>
  <c r="BZ161" i="1"/>
  <c r="CA161" i="1" s="1"/>
  <c r="CC161" i="1" s="1"/>
  <c r="BZ688" i="1"/>
  <c r="CA688" i="1" s="1"/>
  <c r="CC688" i="1" s="1"/>
  <c r="BU688" i="1"/>
  <c r="BZ474" i="1"/>
  <c r="CA474" i="1" s="1"/>
  <c r="CC474" i="1" s="1"/>
  <c r="BU474" i="1"/>
  <c r="BR265" i="1"/>
  <c r="BZ397" i="1"/>
  <c r="CA397" i="1" s="1"/>
  <c r="CC397" i="1" s="1"/>
  <c r="BU397" i="1"/>
  <c r="BZ298" i="1"/>
  <c r="CA298" i="1" s="1"/>
  <c r="CC298" i="1" s="1"/>
  <c r="BU298" i="1"/>
  <c r="BV14" i="1"/>
  <c r="BX14" i="1" s="1"/>
  <c r="BU735" i="1"/>
  <c r="BZ735" i="1"/>
  <c r="CA735" i="1" s="1"/>
  <c r="CC735" i="1" s="1"/>
  <c r="BU202" i="1"/>
  <c r="BZ202" i="1"/>
  <c r="CA202" i="1" s="1"/>
  <c r="CC202" i="1" s="1"/>
  <c r="BZ779" i="1"/>
  <c r="CA779" i="1" s="1"/>
  <c r="CC779" i="1" s="1"/>
  <c r="BU779" i="1"/>
  <c r="BZ526" i="1"/>
  <c r="CA526" i="1" s="1"/>
  <c r="CC526" i="1" s="1"/>
  <c r="BU526" i="1"/>
  <c r="BQ242" i="1"/>
  <c r="BS242" i="1" s="1"/>
  <c r="CL28" i="1" l="1"/>
  <c r="CB262" i="1"/>
  <c r="BR285" i="1"/>
  <c r="BW70" i="1"/>
  <c r="BW59" i="1"/>
  <c r="CB814" i="1"/>
  <c r="BR724" i="1"/>
  <c r="CG254" i="1"/>
  <c r="BR334" i="1"/>
  <c r="BR31" i="1"/>
  <c r="BR220" i="1"/>
  <c r="BR364" i="1"/>
  <c r="BW69" i="1"/>
  <c r="BR561" i="1"/>
  <c r="BR708" i="1"/>
  <c r="BR656" i="1"/>
  <c r="BR702" i="1"/>
  <c r="CB44" i="1"/>
  <c r="BR568" i="1"/>
  <c r="BW40" i="1"/>
  <c r="CB55" i="1"/>
  <c r="BR198" i="1"/>
  <c r="BW42" i="1"/>
  <c r="CB82" i="1"/>
  <c r="CG255" i="1"/>
  <c r="BR186" i="1"/>
  <c r="BW84" i="1"/>
  <c r="BR30" i="1"/>
  <c r="BW254" i="1"/>
  <c r="BR603" i="1"/>
  <c r="BR357" i="1"/>
  <c r="BR560" i="1"/>
  <c r="BW103" i="1"/>
  <c r="BR407" i="1"/>
  <c r="BW20" i="1"/>
  <c r="BR374" i="1"/>
  <c r="CG37" i="1"/>
  <c r="BW791" i="1"/>
  <c r="BR564" i="1"/>
  <c r="BR55" i="1"/>
  <c r="BW261" i="1"/>
  <c r="BR292" i="1"/>
  <c r="BR566" i="1"/>
  <c r="BR720" i="1"/>
  <c r="BR399" i="1"/>
  <c r="CB258" i="1"/>
  <c r="CB27" i="1"/>
  <c r="BR181" i="1"/>
  <c r="BW94" i="1"/>
  <c r="CL251" i="1"/>
  <c r="BR721" i="1"/>
  <c r="BR283" i="1"/>
  <c r="BR585" i="1"/>
  <c r="BW105" i="1"/>
  <c r="CG41" i="1"/>
  <c r="BW100" i="1"/>
  <c r="CL270" i="1"/>
  <c r="BR556" i="1"/>
  <c r="BW102" i="1"/>
  <c r="BW60" i="1"/>
  <c r="BR366" i="1"/>
  <c r="BW43" i="1"/>
  <c r="BR559" i="1"/>
  <c r="BR333" i="1"/>
  <c r="CB58" i="1"/>
  <c r="CB93" i="1"/>
  <c r="BR584" i="1"/>
  <c r="BW32" i="1"/>
  <c r="CB95" i="1"/>
  <c r="BR170" i="1"/>
  <c r="CB809" i="1"/>
  <c r="BR646" i="1"/>
  <c r="BR647" i="1"/>
  <c r="BW38" i="1"/>
  <c r="BW87" i="1"/>
  <c r="BR200" i="1"/>
  <c r="BR299" i="1"/>
  <c r="BW56" i="1"/>
  <c r="BR638" i="1"/>
  <c r="BW15" i="1"/>
  <c r="BR581" i="1"/>
  <c r="BR587" i="1"/>
  <c r="BR704" i="1"/>
  <c r="BW104" i="1"/>
  <c r="BR370" i="1"/>
  <c r="BR606" i="1"/>
  <c r="CB19" i="1"/>
  <c r="CL133" i="1"/>
  <c r="BR282" i="1"/>
  <c r="BR589" i="1"/>
  <c r="CB21" i="1"/>
  <c r="BR633" i="1"/>
  <c r="BR346" i="1"/>
  <c r="BR373" i="1"/>
  <c r="CB25" i="1"/>
  <c r="BR192" i="1"/>
  <c r="BR387" i="1"/>
  <c r="BR319" i="1"/>
  <c r="CG165" i="1"/>
  <c r="BR538" i="1"/>
  <c r="CB26" i="1"/>
  <c r="CG813" i="1"/>
  <c r="BR312" i="1"/>
  <c r="BR342" i="1"/>
  <c r="BR218" i="1"/>
  <c r="BW53" i="1"/>
  <c r="BR539" i="1"/>
  <c r="BR655" i="1"/>
  <c r="CB66" i="1"/>
  <c r="BR717" i="1"/>
  <c r="BR590" i="1"/>
  <c r="BR544" i="1"/>
  <c r="BR165" i="1"/>
  <c r="BW72" i="1"/>
  <c r="CB98" i="1"/>
  <c r="BW790" i="1"/>
  <c r="CB794" i="1"/>
  <c r="BR719" i="1"/>
  <c r="BR180" i="1"/>
  <c r="BR167" i="1"/>
  <c r="BR595" i="1"/>
  <c r="CB22" i="1"/>
  <c r="BR98" i="1"/>
  <c r="BR450" i="1"/>
  <c r="BW73" i="1"/>
  <c r="BR715" i="1"/>
  <c r="CB48" i="1"/>
  <c r="BR594" i="1"/>
  <c r="BR386" i="1"/>
  <c r="BR329" i="1"/>
  <c r="CD279" i="1"/>
  <c r="CE279" i="1" s="1"/>
  <c r="CF279" i="1" s="1"/>
  <c r="CH279" i="1" s="1"/>
  <c r="CD316" i="1"/>
  <c r="CE316" i="1" s="1"/>
  <c r="CF316" i="1" s="1"/>
  <c r="CH316" i="1" s="1"/>
  <c r="BY102" i="1"/>
  <c r="BZ102" i="1" s="1"/>
  <c r="CA102" i="1" s="1"/>
  <c r="CC102" i="1" s="1"/>
  <c r="BT586" i="1"/>
  <c r="BU586" i="1" s="1"/>
  <c r="BV586" i="1" s="1"/>
  <c r="BX586" i="1" s="1"/>
  <c r="CD642" i="1"/>
  <c r="BQ768" i="1"/>
  <c r="BS768" i="1" s="1"/>
  <c r="CD735" i="1"/>
  <c r="CE735" i="1" s="1"/>
  <c r="CF735" i="1" s="1"/>
  <c r="CH735" i="1" s="1"/>
  <c r="CI260" i="1"/>
  <c r="CJ260" i="1" s="1"/>
  <c r="CK260" i="1" s="1"/>
  <c r="CD681" i="1"/>
  <c r="CE681" i="1" s="1"/>
  <c r="CF681" i="1" s="1"/>
  <c r="CH681" i="1" s="1"/>
  <c r="BV687" i="1"/>
  <c r="BX687" i="1" s="1"/>
  <c r="CD484" i="1"/>
  <c r="CE484" i="1" s="1"/>
  <c r="CF484" i="1" s="1"/>
  <c r="CH484" i="1" s="1"/>
  <c r="BR553" i="1"/>
  <c r="BV533" i="1"/>
  <c r="BX533" i="1" s="1"/>
  <c r="BT595" i="1"/>
  <c r="BU595" i="1" s="1"/>
  <c r="BV595" i="1" s="1"/>
  <c r="BX595" i="1" s="1"/>
  <c r="CD132" i="1"/>
  <c r="CE132" i="1" s="1"/>
  <c r="CF132" i="1" s="1"/>
  <c r="CH132" i="1" s="1"/>
  <c r="BV522" i="1"/>
  <c r="BX522" i="1" s="1"/>
  <c r="CD752" i="1"/>
  <c r="CE752" i="1" s="1"/>
  <c r="CF752" i="1" s="1"/>
  <c r="CH752" i="1" s="1"/>
  <c r="BV355" i="1"/>
  <c r="BX355" i="1" s="1"/>
  <c r="CD241" i="1"/>
  <c r="CE241" i="1" s="1"/>
  <c r="CF241" i="1" s="1"/>
  <c r="CH241" i="1" s="1"/>
  <c r="BY83" i="1"/>
  <c r="BZ83" i="1" s="1"/>
  <c r="CA83" i="1" s="1"/>
  <c r="CC83" i="1" s="1"/>
  <c r="CD145" i="1"/>
  <c r="CE145" i="1" s="1"/>
  <c r="CF145" i="1" s="1"/>
  <c r="CH145" i="1" s="1"/>
  <c r="CD483" i="1"/>
  <c r="CE483" i="1" s="1"/>
  <c r="CF483" i="1" s="1"/>
  <c r="CH483" i="1" s="1"/>
  <c r="CD572" i="1"/>
  <c r="CE572" i="1" s="1"/>
  <c r="CF572" i="1" s="1"/>
  <c r="CH572" i="1" s="1"/>
  <c r="CD159" i="1"/>
  <c r="CE159" i="1" s="1"/>
  <c r="CF159" i="1" s="1"/>
  <c r="CH159" i="1" s="1"/>
  <c r="BV762" i="1"/>
  <c r="BX762" i="1" s="1"/>
  <c r="BV281" i="1"/>
  <c r="BX281" i="1" s="1"/>
  <c r="BQ416" i="1"/>
  <c r="BS416" i="1" s="1"/>
  <c r="CD268" i="1"/>
  <c r="CE268" i="1" s="1"/>
  <c r="CF268" i="1" s="1"/>
  <c r="CH268" i="1" s="1"/>
  <c r="BV113" i="1"/>
  <c r="BX113" i="1" s="1"/>
  <c r="BQ163" i="1"/>
  <c r="BS163" i="1" s="1"/>
  <c r="BV777" i="1"/>
  <c r="BX777" i="1" s="1"/>
  <c r="BV365" i="1"/>
  <c r="BX365" i="1" s="1"/>
  <c r="BV172" i="1"/>
  <c r="BX172" i="1" s="1"/>
  <c r="BW79" i="1"/>
  <c r="CD403" i="1"/>
  <c r="CE403" i="1" s="1"/>
  <c r="CF403" i="1" s="1"/>
  <c r="CH403" i="1" s="1"/>
  <c r="CD414" i="1"/>
  <c r="CE414" i="1" s="1"/>
  <c r="CF414" i="1" s="1"/>
  <c r="CH414" i="1" s="1"/>
  <c r="CD786" i="1"/>
  <c r="CE786" i="1" s="1"/>
  <c r="CF786" i="1" s="1"/>
  <c r="CH786" i="1" s="1"/>
  <c r="BQ712" i="1"/>
  <c r="BR347" i="1"/>
  <c r="CD778" i="1"/>
  <c r="BT314" i="1"/>
  <c r="BU314" i="1" s="1"/>
  <c r="BV314" i="1" s="1"/>
  <c r="BX314" i="1" s="1"/>
  <c r="BY88" i="1"/>
  <c r="BZ88" i="1" s="1"/>
  <c r="CA88" i="1" s="1"/>
  <c r="CC88" i="1" s="1"/>
  <c r="BV168" i="1"/>
  <c r="BX168" i="1" s="1"/>
  <c r="CD291" i="1"/>
  <c r="CE291" i="1" s="1"/>
  <c r="CF291" i="1" s="1"/>
  <c r="CH291" i="1" s="1"/>
  <c r="BT366" i="1"/>
  <c r="BU366" i="1" s="1"/>
  <c r="BV366" i="1" s="1"/>
  <c r="BX366" i="1" s="1"/>
  <c r="BR406" i="1"/>
  <c r="BV666" i="1"/>
  <c r="BX666" i="1" s="1"/>
  <c r="BV640" i="1"/>
  <c r="BX640" i="1" s="1"/>
  <c r="BT399" i="1"/>
  <c r="BU399" i="1" s="1"/>
  <c r="BV399" i="1" s="1"/>
  <c r="BX399" i="1" s="1"/>
  <c r="CG50" i="1"/>
  <c r="CD788" i="1"/>
  <c r="CE788" i="1" s="1"/>
  <c r="CF788" i="1" s="1"/>
  <c r="CH788" i="1" s="1"/>
  <c r="CD31" i="1"/>
  <c r="CE31" i="1" s="1"/>
  <c r="CF31" i="1" s="1"/>
  <c r="CH31" i="1" s="1"/>
  <c r="CD506" i="1"/>
  <c r="CE506" i="1" s="1"/>
  <c r="CF506" i="1" s="1"/>
  <c r="CH506" i="1" s="1"/>
  <c r="CD389" i="1"/>
  <c r="CE389" i="1" s="1"/>
  <c r="CF389" i="1" s="1"/>
  <c r="CH389" i="1" s="1"/>
  <c r="CD507" i="1"/>
  <c r="BV227" i="1"/>
  <c r="BX227" i="1" s="1"/>
  <c r="CD150" i="1"/>
  <c r="CD492" i="1"/>
  <c r="CE492" i="1" s="1"/>
  <c r="CF492" i="1" s="1"/>
  <c r="CH492" i="1" s="1"/>
  <c r="CD26" i="1"/>
  <c r="CE26" i="1" s="1"/>
  <c r="CF26" i="1" s="1"/>
  <c r="CH26" i="1" s="1"/>
  <c r="BV310" i="1"/>
  <c r="BX310" i="1" s="1"/>
  <c r="BW71" i="1"/>
  <c r="BV698" i="1"/>
  <c r="BX698" i="1" s="1"/>
  <c r="BT331" i="1"/>
  <c r="BU331" i="1" s="1"/>
  <c r="BV331" i="1" s="1"/>
  <c r="BX331" i="1" s="1"/>
  <c r="BY257" i="1"/>
  <c r="BZ257" i="1" s="1"/>
  <c r="CA257" i="1" s="1"/>
  <c r="CC257" i="1" s="1"/>
  <c r="CD110" i="1"/>
  <c r="CE110" i="1" s="1"/>
  <c r="CF110" i="1" s="1"/>
  <c r="CH110" i="1" s="1"/>
  <c r="BV495" i="1"/>
  <c r="BX495" i="1" s="1"/>
  <c r="BV602" i="1"/>
  <c r="BX602" i="1" s="1"/>
  <c r="BT649" i="1"/>
  <c r="BU649" i="1" s="1"/>
  <c r="BV649" i="1" s="1"/>
  <c r="BX649" i="1" s="1"/>
  <c r="CD771" i="1"/>
  <c r="CE771" i="1" s="1"/>
  <c r="CF771" i="1" s="1"/>
  <c r="CH771" i="1" s="1"/>
  <c r="BY612" i="1"/>
  <c r="CB612" i="1" s="1"/>
  <c r="BV620" i="1"/>
  <c r="BX620" i="1" s="1"/>
  <c r="BV147" i="1"/>
  <c r="BX147" i="1" s="1"/>
  <c r="CD627" i="1"/>
  <c r="CE627" i="1" s="1"/>
  <c r="CF627" i="1" s="1"/>
  <c r="CH627" i="1" s="1"/>
  <c r="BV216" i="1"/>
  <c r="BX216" i="1" s="1"/>
  <c r="BV780" i="1"/>
  <c r="BX780" i="1" s="1"/>
  <c r="CD378" i="1"/>
  <c r="CE378" i="1" s="1"/>
  <c r="CF378" i="1" s="1"/>
  <c r="CH378" i="1" s="1"/>
  <c r="CD379" i="1"/>
  <c r="CE379" i="1" s="1"/>
  <c r="CF379" i="1" s="1"/>
  <c r="CH379" i="1" s="1"/>
  <c r="CD513" i="1"/>
  <c r="CE513" i="1" s="1"/>
  <c r="CF513" i="1" s="1"/>
  <c r="CH513" i="1" s="1"/>
  <c r="BV376" i="1"/>
  <c r="BX376" i="1" s="1"/>
  <c r="BV337" i="1"/>
  <c r="BV417" i="1"/>
  <c r="BX417" i="1" s="1"/>
  <c r="CD118" i="1"/>
  <c r="CE118" i="1" s="1"/>
  <c r="CF118" i="1" s="1"/>
  <c r="CH118" i="1" s="1"/>
  <c r="BV618" i="1"/>
  <c r="BX618" i="1" s="1"/>
  <c r="BV404" i="1"/>
  <c r="BX404" i="1" s="1"/>
  <c r="CB816" i="1"/>
  <c r="BQ57" i="1"/>
  <c r="BS57" i="1" s="1"/>
  <c r="BV610" i="1"/>
  <c r="BX610" i="1" s="1"/>
  <c r="BV734" i="1"/>
  <c r="BX734" i="1" s="1"/>
  <c r="BV309" i="1"/>
  <c r="BX309" i="1" s="1"/>
  <c r="BV350" i="1"/>
  <c r="BX350" i="1" s="1"/>
  <c r="CD111" i="1"/>
  <c r="CE111" i="1" s="1"/>
  <c r="CF111" i="1" s="1"/>
  <c r="CH111" i="1" s="1"/>
  <c r="BV571" i="1"/>
  <c r="BX571" i="1" s="1"/>
  <c r="CD175" i="1"/>
  <c r="CE175" i="1" s="1"/>
  <c r="CF175" i="1" s="1"/>
  <c r="CH175" i="1" s="1"/>
  <c r="CD356" i="1"/>
  <c r="CE356" i="1" s="1"/>
  <c r="CF356" i="1" s="1"/>
  <c r="CH356" i="1" s="1"/>
  <c r="BR384" i="1"/>
  <c r="CD408" i="1"/>
  <c r="CE408" i="1" s="1"/>
  <c r="CF408" i="1" s="1"/>
  <c r="CH408" i="1" s="1"/>
  <c r="CD443" i="1"/>
  <c r="CD301" i="1"/>
  <c r="CE301" i="1" s="1"/>
  <c r="CF301" i="1" s="1"/>
  <c r="CH301" i="1" s="1"/>
  <c r="BV681" i="1"/>
  <c r="BX681" i="1" s="1"/>
  <c r="BV484" i="1"/>
  <c r="BX484" i="1" s="1"/>
  <c r="CD533" i="1"/>
  <c r="CE533" i="1" s="1"/>
  <c r="CF533" i="1" s="1"/>
  <c r="CH533" i="1" s="1"/>
  <c r="BT185" i="1"/>
  <c r="BU185" i="1" s="1"/>
  <c r="BV185" i="1" s="1"/>
  <c r="BX185" i="1" s="1"/>
  <c r="CD410" i="1"/>
  <c r="CE410" i="1" s="1"/>
  <c r="CF410" i="1" s="1"/>
  <c r="CH410" i="1" s="1"/>
  <c r="CD522" i="1"/>
  <c r="CE522" i="1" s="1"/>
  <c r="CF522" i="1" s="1"/>
  <c r="CH522" i="1" s="1"/>
  <c r="BV752" i="1"/>
  <c r="BV608" i="1"/>
  <c r="BX608" i="1" s="1"/>
  <c r="BV241" i="1"/>
  <c r="BX241" i="1" s="1"/>
  <c r="BW83" i="1"/>
  <c r="CD667" i="1"/>
  <c r="CE667" i="1" s="1"/>
  <c r="CF667" i="1" s="1"/>
  <c r="CH667" i="1" s="1"/>
  <c r="BR574" i="1"/>
  <c r="BY159" i="1"/>
  <c r="CB159" i="1" s="1"/>
  <c r="CD762" i="1"/>
  <c r="CE762" i="1" s="1"/>
  <c r="CF762" i="1" s="1"/>
  <c r="CH762" i="1" s="1"/>
  <c r="CD281" i="1"/>
  <c r="CE281" i="1" s="1"/>
  <c r="CF281" i="1" s="1"/>
  <c r="CH281" i="1" s="1"/>
  <c r="CD416" i="1"/>
  <c r="CE416" i="1" s="1"/>
  <c r="CF416" i="1" s="1"/>
  <c r="CH416" i="1" s="1"/>
  <c r="CB268" i="1"/>
  <c r="CD113" i="1"/>
  <c r="CE113" i="1" s="1"/>
  <c r="CF113" i="1" s="1"/>
  <c r="CH113" i="1" s="1"/>
  <c r="BY163" i="1"/>
  <c r="CB163" i="1" s="1"/>
  <c r="BV517" i="1"/>
  <c r="BX517" i="1" s="1"/>
  <c r="BV729" i="1"/>
  <c r="BX729" i="1" s="1"/>
  <c r="CL7" i="1"/>
  <c r="BV245" i="1"/>
  <c r="BX245" i="1" s="1"/>
  <c r="BY79" i="1"/>
  <c r="BZ79" i="1" s="1"/>
  <c r="CA79" i="1" s="1"/>
  <c r="CC79" i="1" s="1"/>
  <c r="BV403" i="1"/>
  <c r="BX403" i="1" s="1"/>
  <c r="BV414" i="1"/>
  <c r="BX414" i="1" s="1"/>
  <c r="CD706" i="1"/>
  <c r="CE706" i="1" s="1"/>
  <c r="CF706" i="1" s="1"/>
  <c r="CH706" i="1" s="1"/>
  <c r="BY76" i="1"/>
  <c r="BZ76" i="1" s="1"/>
  <c r="CA76" i="1" s="1"/>
  <c r="CC76" i="1" s="1"/>
  <c r="BY712" i="1"/>
  <c r="CB712" i="1" s="1"/>
  <c r="BT347" i="1"/>
  <c r="BU347" i="1" s="1"/>
  <c r="BV347" i="1" s="1"/>
  <c r="BX347" i="1" s="1"/>
  <c r="CD501" i="1"/>
  <c r="CE501" i="1" s="1"/>
  <c r="CF501" i="1" s="1"/>
  <c r="CH501" i="1" s="1"/>
  <c r="CD469" i="1"/>
  <c r="CE469" i="1" s="1"/>
  <c r="CF469" i="1" s="1"/>
  <c r="CH469" i="1" s="1"/>
  <c r="BV395" i="1"/>
  <c r="BX395" i="1" s="1"/>
  <c r="CD91" i="1"/>
  <c r="CE91" i="1" s="1"/>
  <c r="CF91" i="1" s="1"/>
  <c r="CH91" i="1" s="1"/>
  <c r="CD615" i="1"/>
  <c r="CE615" i="1" s="1"/>
  <c r="CF615" i="1" s="1"/>
  <c r="CH615" i="1" s="1"/>
  <c r="CD432" i="1"/>
  <c r="CE432" i="1" s="1"/>
  <c r="CF432" i="1" s="1"/>
  <c r="CH432" i="1" s="1"/>
  <c r="CD168" i="1"/>
  <c r="CE168" i="1" s="1"/>
  <c r="CF168" i="1" s="1"/>
  <c r="CH168" i="1" s="1"/>
  <c r="BV247" i="1"/>
  <c r="BX247" i="1" s="1"/>
  <c r="BT406" i="1"/>
  <c r="BU406" i="1" s="1"/>
  <c r="BV406" i="1" s="1"/>
  <c r="BX406" i="1" s="1"/>
  <c r="BT296" i="1"/>
  <c r="BU296" i="1" s="1"/>
  <c r="BV296" i="1" s="1"/>
  <c r="BX296" i="1" s="1"/>
  <c r="CD666" i="1"/>
  <c r="CE666" i="1" s="1"/>
  <c r="CF666" i="1" s="1"/>
  <c r="CH666" i="1" s="1"/>
  <c r="BV205" i="1"/>
  <c r="BX205" i="1" s="1"/>
  <c r="CI50" i="1"/>
  <c r="CJ50" i="1" s="1"/>
  <c r="CK50" i="1" s="1"/>
  <c r="BT192" i="1"/>
  <c r="BU192" i="1" s="1"/>
  <c r="BV192" i="1" s="1"/>
  <c r="BX192" i="1" s="1"/>
  <c r="BV788" i="1"/>
  <c r="BX788" i="1" s="1"/>
  <c r="CB31" i="1"/>
  <c r="BV506" i="1"/>
  <c r="BX506" i="1" s="1"/>
  <c r="BV389" i="1"/>
  <c r="BX389" i="1" s="1"/>
  <c r="BT770" i="1"/>
  <c r="BU770" i="1" s="1"/>
  <c r="BV770" i="1" s="1"/>
  <c r="BX770" i="1" s="1"/>
  <c r="BT643" i="1"/>
  <c r="BU643" i="1" s="1"/>
  <c r="BV643" i="1" s="1"/>
  <c r="BX643" i="1" s="1"/>
  <c r="BV188" i="1"/>
  <c r="CD157" i="1"/>
  <c r="CE157" i="1" s="1"/>
  <c r="CF157" i="1" s="1"/>
  <c r="CH157" i="1" s="1"/>
  <c r="CD310" i="1"/>
  <c r="CE310" i="1" s="1"/>
  <c r="CF310" i="1" s="1"/>
  <c r="CH310" i="1" s="1"/>
  <c r="BY71" i="1"/>
  <c r="BZ71" i="1" s="1"/>
  <c r="CA71" i="1" s="1"/>
  <c r="CC71" i="1" s="1"/>
  <c r="CD698" i="1"/>
  <c r="CE698" i="1" s="1"/>
  <c r="CF698" i="1" s="1"/>
  <c r="CH698" i="1" s="1"/>
  <c r="BQ614" i="1"/>
  <c r="BS614" i="1" s="1"/>
  <c r="BV491" i="1"/>
  <c r="BX491" i="1" s="1"/>
  <c r="BT654" i="1"/>
  <c r="BU654" i="1" s="1"/>
  <c r="BV654" i="1" s="1"/>
  <c r="BX654" i="1" s="1"/>
  <c r="BV110" i="1"/>
  <c r="CD495" i="1"/>
  <c r="CE495" i="1" s="1"/>
  <c r="CF495" i="1" s="1"/>
  <c r="CH495" i="1" s="1"/>
  <c r="CD602" i="1"/>
  <c r="CE602" i="1" s="1"/>
  <c r="CF602" i="1" s="1"/>
  <c r="CH602" i="1" s="1"/>
  <c r="BV446" i="1"/>
  <c r="BX446" i="1" s="1"/>
  <c r="CD413" i="1"/>
  <c r="CE413" i="1" s="1"/>
  <c r="CF413" i="1" s="1"/>
  <c r="CH413" i="1" s="1"/>
  <c r="BV288" i="1"/>
  <c r="BX288" i="1" s="1"/>
  <c r="CD612" i="1"/>
  <c r="CE612" i="1" s="1"/>
  <c r="CF612" i="1" s="1"/>
  <c r="CH612" i="1" s="1"/>
  <c r="CD620" i="1"/>
  <c r="CE620" i="1" s="1"/>
  <c r="CF620" i="1" s="1"/>
  <c r="CH620" i="1" s="1"/>
  <c r="CD323" i="1"/>
  <c r="CE323" i="1" s="1"/>
  <c r="CF323" i="1" s="1"/>
  <c r="CH323" i="1" s="1"/>
  <c r="CD147" i="1"/>
  <c r="CE147" i="1" s="1"/>
  <c r="CF147" i="1" s="1"/>
  <c r="CH147" i="1" s="1"/>
  <c r="BT165" i="1"/>
  <c r="BW165" i="1" s="1"/>
  <c r="BV627" i="1"/>
  <c r="BX627" i="1" s="1"/>
  <c r="CD328" i="1"/>
  <c r="CE328" i="1" s="1"/>
  <c r="CF328" i="1" s="1"/>
  <c r="CH328" i="1" s="1"/>
  <c r="CD780" i="1"/>
  <c r="CE780" i="1" s="1"/>
  <c r="CF780" i="1" s="1"/>
  <c r="CH780" i="1" s="1"/>
  <c r="BV732" i="1"/>
  <c r="BX732" i="1" s="1"/>
  <c r="BV212" i="1"/>
  <c r="BX212" i="1" s="1"/>
  <c r="CD736" i="1"/>
  <c r="CE736" i="1" s="1"/>
  <c r="CF736" i="1" s="1"/>
  <c r="CH736" i="1" s="1"/>
  <c r="BV521" i="1"/>
  <c r="BX521" i="1" s="1"/>
  <c r="CD337" i="1"/>
  <c r="CE337" i="1" s="1"/>
  <c r="CF337" i="1" s="1"/>
  <c r="CH337" i="1" s="1"/>
  <c r="CD417" i="1"/>
  <c r="CE417" i="1" s="1"/>
  <c r="CF417" i="1" s="1"/>
  <c r="CH417" i="1" s="1"/>
  <c r="BV118" i="1"/>
  <c r="BX118" i="1" s="1"/>
  <c r="CD618" i="1"/>
  <c r="CE618" i="1" s="1"/>
  <c r="CF618" i="1" s="1"/>
  <c r="CH618" i="1" s="1"/>
  <c r="BV240" i="1"/>
  <c r="BX240" i="1" s="1"/>
  <c r="CD404" i="1"/>
  <c r="CE404" i="1" s="1"/>
  <c r="CF404" i="1" s="1"/>
  <c r="CH404" i="1" s="1"/>
  <c r="CD816" i="1"/>
  <c r="CE816" i="1" s="1"/>
  <c r="CF816" i="1" s="1"/>
  <c r="CH816" i="1" s="1"/>
  <c r="BY57" i="1"/>
  <c r="BZ57" i="1" s="1"/>
  <c r="CA57" i="1" s="1"/>
  <c r="CC57" i="1" s="1"/>
  <c r="CD610" i="1"/>
  <c r="CE610" i="1" s="1"/>
  <c r="CF610" i="1" s="1"/>
  <c r="CH610" i="1" s="1"/>
  <c r="CD734" i="1"/>
  <c r="CE734" i="1" s="1"/>
  <c r="CF734" i="1" s="1"/>
  <c r="CH734" i="1" s="1"/>
  <c r="CD309" i="1"/>
  <c r="CE309" i="1" s="1"/>
  <c r="CF309" i="1" s="1"/>
  <c r="CH309" i="1" s="1"/>
  <c r="CD350" i="1"/>
  <c r="CE350" i="1" s="1"/>
  <c r="CF350" i="1" s="1"/>
  <c r="CH350" i="1" s="1"/>
  <c r="BV505" i="1"/>
  <c r="BX505" i="1" s="1"/>
  <c r="BV175" i="1"/>
  <c r="BX175" i="1" s="1"/>
  <c r="CD455" i="1"/>
  <c r="CE455" i="1" s="1"/>
  <c r="CF455" i="1" s="1"/>
  <c r="CH455" i="1" s="1"/>
  <c r="CD571" i="1"/>
  <c r="CE571" i="1" s="1"/>
  <c r="CF571" i="1" s="1"/>
  <c r="CH571" i="1" s="1"/>
  <c r="CD425" i="1"/>
  <c r="CE425" i="1" s="1"/>
  <c r="CF425" i="1" s="1"/>
  <c r="CH425" i="1" s="1"/>
  <c r="BY260" i="1"/>
  <c r="CB260" i="1" s="1"/>
  <c r="CD427" i="1"/>
  <c r="CE427" i="1" s="1"/>
  <c r="CF427" i="1" s="1"/>
  <c r="CH427" i="1" s="1"/>
  <c r="BV685" i="1"/>
  <c r="BX685" i="1" s="1"/>
  <c r="BY14" i="1"/>
  <c r="BZ14" i="1" s="1"/>
  <c r="CA14" i="1" s="1"/>
  <c r="CC14" i="1" s="1"/>
  <c r="CD107" i="1"/>
  <c r="CE107" i="1" s="1"/>
  <c r="CF107" i="1" s="1"/>
  <c r="CH107" i="1" s="1"/>
  <c r="BT315" i="1"/>
  <c r="CD204" i="1"/>
  <c r="CE204" i="1" s="1"/>
  <c r="CF204" i="1" s="1"/>
  <c r="CH204" i="1" s="1"/>
  <c r="BV667" i="1"/>
  <c r="BX667" i="1" s="1"/>
  <c r="BT574" i="1"/>
  <c r="BU574" i="1" s="1"/>
  <c r="BV574" i="1" s="1"/>
  <c r="BX574" i="1" s="1"/>
  <c r="BV664" i="1"/>
  <c r="BX664" i="1" s="1"/>
  <c r="BY9" i="1"/>
  <c r="BZ9" i="1" s="1"/>
  <c r="CA9" i="1" s="1"/>
  <c r="CC9" i="1" s="1"/>
  <c r="CD54" i="1"/>
  <c r="CE54" i="1" s="1"/>
  <c r="CF54" i="1" s="1"/>
  <c r="CH54" i="1" s="1"/>
  <c r="BY259" i="1"/>
  <c r="BZ259" i="1" s="1"/>
  <c r="CA259" i="1" s="1"/>
  <c r="CC259" i="1" s="1"/>
  <c r="BT225" i="1"/>
  <c r="BU225" i="1" s="1"/>
  <c r="BV225" i="1" s="1"/>
  <c r="BX225" i="1" s="1"/>
  <c r="CD163" i="1"/>
  <c r="CE163" i="1" s="1"/>
  <c r="CF163" i="1" s="1"/>
  <c r="CH163" i="1" s="1"/>
  <c r="CD517" i="1"/>
  <c r="CE517" i="1" s="1"/>
  <c r="CF517" i="1" s="1"/>
  <c r="CH517" i="1" s="1"/>
  <c r="CD729" i="1"/>
  <c r="CE729" i="1" s="1"/>
  <c r="CF729" i="1" s="1"/>
  <c r="CH729" i="1" s="1"/>
  <c r="CD245" i="1"/>
  <c r="CE245" i="1" s="1"/>
  <c r="CF245" i="1" s="1"/>
  <c r="CH245" i="1" s="1"/>
  <c r="BY86" i="1"/>
  <c r="BZ86" i="1" s="1"/>
  <c r="CA86" i="1" s="1"/>
  <c r="CC86" i="1" s="1"/>
  <c r="BY52" i="1"/>
  <c r="BZ52" i="1" s="1"/>
  <c r="CA52" i="1" s="1"/>
  <c r="CC52" i="1" s="1"/>
  <c r="BV706" i="1"/>
  <c r="BX706" i="1" s="1"/>
  <c r="BW76" i="1"/>
  <c r="BV422" i="1"/>
  <c r="BX422" i="1" s="1"/>
  <c r="BT635" i="1"/>
  <c r="BU635" i="1" s="1"/>
  <c r="BV635" i="1" s="1"/>
  <c r="BX635" i="1" s="1"/>
  <c r="BV501" i="1"/>
  <c r="BX501" i="1" s="1"/>
  <c r="BV469" i="1"/>
  <c r="BX469" i="1" s="1"/>
  <c r="CD395" i="1"/>
  <c r="CE395" i="1" s="1"/>
  <c r="CF395" i="1" s="1"/>
  <c r="CH395" i="1" s="1"/>
  <c r="CB91" i="1"/>
  <c r="BY615" i="1"/>
  <c r="CB615" i="1" s="1"/>
  <c r="BV432" i="1"/>
  <c r="BX432" i="1" s="1"/>
  <c r="BV482" i="1"/>
  <c r="BX482" i="1" s="1"/>
  <c r="CD247" i="1"/>
  <c r="CE247" i="1" s="1"/>
  <c r="CF247" i="1" s="1"/>
  <c r="CH247" i="1" s="1"/>
  <c r="CD36" i="1"/>
  <c r="CE36" i="1" s="1"/>
  <c r="CF36" i="1" s="1"/>
  <c r="CH36" i="1" s="1"/>
  <c r="BR296" i="1"/>
  <c r="CD221" i="1"/>
  <c r="CE221" i="1" s="1"/>
  <c r="CF221" i="1" s="1"/>
  <c r="CH221" i="1" s="1"/>
  <c r="CD205" i="1"/>
  <c r="CE205" i="1" s="1"/>
  <c r="CF205" i="1" s="1"/>
  <c r="CH205" i="1" s="1"/>
  <c r="BV238" i="1"/>
  <c r="BX238" i="1" s="1"/>
  <c r="CD137" i="1"/>
  <c r="CE137" i="1" s="1"/>
  <c r="CF137" i="1" s="1"/>
  <c r="CH137" i="1" s="1"/>
  <c r="CD33" i="1"/>
  <c r="CE33" i="1" s="1"/>
  <c r="CF33" i="1" s="1"/>
  <c r="CH33" i="1" s="1"/>
  <c r="CD604" i="1"/>
  <c r="CE604" i="1" s="1"/>
  <c r="CF604" i="1" s="1"/>
  <c r="CH604" i="1" s="1"/>
  <c r="BV682" i="1"/>
  <c r="BX682" i="1" s="1"/>
  <c r="CD570" i="1"/>
  <c r="CE570" i="1" s="1"/>
  <c r="CF570" i="1" s="1"/>
  <c r="CH570" i="1" s="1"/>
  <c r="BR770" i="1"/>
  <c r="BR643" i="1"/>
  <c r="CD470" i="1"/>
  <c r="CE470" i="1" s="1"/>
  <c r="CF470" i="1" s="1"/>
  <c r="CH470" i="1" s="1"/>
  <c r="CD188" i="1"/>
  <c r="CE188" i="1" s="1"/>
  <c r="CF188" i="1" s="1"/>
  <c r="CH188" i="1" s="1"/>
  <c r="BT702" i="1"/>
  <c r="BU702" i="1" s="1"/>
  <c r="BV702" i="1" s="1"/>
  <c r="BX702" i="1" s="1"/>
  <c r="BY157" i="1"/>
  <c r="CB157" i="1" s="1"/>
  <c r="CD775" i="1"/>
  <c r="CE775" i="1" s="1"/>
  <c r="CF775" i="1" s="1"/>
  <c r="CH775" i="1" s="1"/>
  <c r="BT624" i="1"/>
  <c r="BU624" i="1" s="1"/>
  <c r="BV624" i="1" s="1"/>
  <c r="BX624" i="1" s="1"/>
  <c r="BT297" i="1"/>
  <c r="BU297" i="1" s="1"/>
  <c r="BV297" i="1" s="1"/>
  <c r="BX297" i="1" s="1"/>
  <c r="CD614" i="1"/>
  <c r="CE614" i="1" s="1"/>
  <c r="CF614" i="1" s="1"/>
  <c r="CH614" i="1" s="1"/>
  <c r="CD491" i="1"/>
  <c r="CE491" i="1" s="1"/>
  <c r="CF491" i="1" s="1"/>
  <c r="CH491" i="1" s="1"/>
  <c r="BR654" i="1"/>
  <c r="BQ166" i="1"/>
  <c r="BS166" i="1" s="1"/>
  <c r="BQ10" i="1"/>
  <c r="BS10" i="1" s="1"/>
  <c r="CD453" i="1"/>
  <c r="CD446" i="1"/>
  <c r="CE446" i="1" s="1"/>
  <c r="CF446" i="1" s="1"/>
  <c r="CH446" i="1" s="1"/>
  <c r="BV413" i="1"/>
  <c r="BX413" i="1" s="1"/>
  <c r="CD288" i="1"/>
  <c r="CE288" i="1" s="1"/>
  <c r="CF288" i="1" s="1"/>
  <c r="CH288" i="1" s="1"/>
  <c r="BV127" i="1"/>
  <c r="BX127" i="1" s="1"/>
  <c r="BQ323" i="1"/>
  <c r="BS323" i="1" s="1"/>
  <c r="BV661" i="1"/>
  <c r="BV235" i="1"/>
  <c r="BX235" i="1" s="1"/>
  <c r="BV341" i="1"/>
  <c r="BX341" i="1" s="1"/>
  <c r="BV328" i="1"/>
  <c r="BX328" i="1" s="1"/>
  <c r="CD114" i="1"/>
  <c r="CE114" i="1" s="1"/>
  <c r="CF114" i="1" s="1"/>
  <c r="CH114" i="1" s="1"/>
  <c r="CD732" i="1"/>
  <c r="CE732" i="1" s="1"/>
  <c r="CF732" i="1" s="1"/>
  <c r="CH732" i="1" s="1"/>
  <c r="CD212" i="1"/>
  <c r="CE212" i="1" s="1"/>
  <c r="CF212" i="1" s="1"/>
  <c r="CH212" i="1" s="1"/>
  <c r="BV736" i="1"/>
  <c r="BX736" i="1" s="1"/>
  <c r="CD521" i="1"/>
  <c r="CE521" i="1" s="1"/>
  <c r="CF521" i="1" s="1"/>
  <c r="CH521" i="1" s="1"/>
  <c r="BV774" i="1"/>
  <c r="BX774" i="1" s="1"/>
  <c r="BV703" i="1"/>
  <c r="BX703" i="1" s="1"/>
  <c r="CD382" i="1"/>
  <c r="CE382" i="1" s="1"/>
  <c r="CF382" i="1" s="1"/>
  <c r="CH382" i="1" s="1"/>
  <c r="CD240" i="1"/>
  <c r="CE240" i="1" s="1"/>
  <c r="CF240" i="1" s="1"/>
  <c r="CH240" i="1" s="1"/>
  <c r="BV772" i="1"/>
  <c r="BX772" i="1" s="1"/>
  <c r="CD290" i="1"/>
  <c r="CE290" i="1" s="1"/>
  <c r="CF290" i="1" s="1"/>
  <c r="CH290" i="1" s="1"/>
  <c r="BV471" i="1"/>
  <c r="BX471" i="1" s="1"/>
  <c r="BY100" i="1"/>
  <c r="BT388" i="1"/>
  <c r="BU388" i="1" s="1"/>
  <c r="BV388" i="1" s="1"/>
  <c r="BX388" i="1" s="1"/>
  <c r="CD520" i="1"/>
  <c r="CE520" i="1" s="1"/>
  <c r="CF520" i="1" s="1"/>
  <c r="CH520" i="1" s="1"/>
  <c r="CD760" i="1"/>
  <c r="CE760" i="1" s="1"/>
  <c r="CF760" i="1" s="1"/>
  <c r="CH760" i="1" s="1"/>
  <c r="CD115" i="1"/>
  <c r="CE115" i="1" s="1"/>
  <c r="CF115" i="1" s="1"/>
  <c r="CH115" i="1" s="1"/>
  <c r="BV356" i="1"/>
  <c r="BX356" i="1" s="1"/>
  <c r="BV338" i="1"/>
  <c r="BX338" i="1" s="1"/>
  <c r="BV316" i="1"/>
  <c r="BX316" i="1" s="1"/>
  <c r="CD754" i="1"/>
  <c r="BV301" i="1"/>
  <c r="BX301" i="1" s="1"/>
  <c r="BV735" i="1"/>
  <c r="BX735" i="1" s="1"/>
  <c r="CG260" i="1"/>
  <c r="CD687" i="1"/>
  <c r="CE687" i="1" s="1"/>
  <c r="CF687" i="1" s="1"/>
  <c r="CH687" i="1" s="1"/>
  <c r="BT553" i="1"/>
  <c r="BU553" i="1" s="1"/>
  <c r="BV553" i="1" s="1"/>
  <c r="BX553" i="1" s="1"/>
  <c r="BV149" i="1"/>
  <c r="BX149" i="1" s="1"/>
  <c r="CD196" i="1"/>
  <c r="CE196" i="1" s="1"/>
  <c r="CF196" i="1" s="1"/>
  <c r="CH196" i="1" s="1"/>
  <c r="CD191" i="1"/>
  <c r="CE191" i="1" s="1"/>
  <c r="CF191" i="1" s="1"/>
  <c r="CH191" i="1" s="1"/>
  <c r="CD344" i="1"/>
  <c r="CE344" i="1" s="1"/>
  <c r="CF344" i="1" s="1"/>
  <c r="CH344" i="1" s="1"/>
  <c r="BV135" i="1"/>
  <c r="BX135" i="1" s="1"/>
  <c r="BR185" i="1"/>
  <c r="BV410" i="1"/>
  <c r="BX410" i="1" s="1"/>
  <c r="BT569" i="1"/>
  <c r="BU569" i="1" s="1"/>
  <c r="BV569" i="1" s="1"/>
  <c r="BX569" i="1" s="1"/>
  <c r="CD608" i="1"/>
  <c r="CE608" i="1" s="1"/>
  <c r="CF608" i="1" s="1"/>
  <c r="CH608" i="1" s="1"/>
  <c r="BT392" i="1"/>
  <c r="BU392" i="1" s="1"/>
  <c r="BV392" i="1" s="1"/>
  <c r="BX392" i="1" s="1"/>
  <c r="BT594" i="1"/>
  <c r="BU594" i="1" s="1"/>
  <c r="BV594" i="1" s="1"/>
  <c r="BX594" i="1" s="1"/>
  <c r="CD710" i="1"/>
  <c r="CE710" i="1" s="1"/>
  <c r="CF710" i="1" s="1"/>
  <c r="CH710" i="1" s="1"/>
  <c r="BW14" i="1"/>
  <c r="CD149" i="1"/>
  <c r="CE149" i="1" s="1"/>
  <c r="CF149" i="1" s="1"/>
  <c r="CH149" i="1" s="1"/>
  <c r="BV196" i="1"/>
  <c r="BX196" i="1" s="1"/>
  <c r="BV191" i="1"/>
  <c r="BX191" i="1" s="1"/>
  <c r="BV344" i="1"/>
  <c r="BX344" i="1" s="1"/>
  <c r="BY15" i="1"/>
  <c r="BZ15" i="1" s="1"/>
  <c r="CA15" i="1" s="1"/>
  <c r="CC15" i="1" s="1"/>
  <c r="CB107" i="1"/>
  <c r="CD135" i="1"/>
  <c r="CE135" i="1" s="1"/>
  <c r="CF135" i="1" s="1"/>
  <c r="CH135" i="1" s="1"/>
  <c r="BV504" i="1"/>
  <c r="BV562" i="1"/>
  <c r="BX562" i="1" s="1"/>
  <c r="BR569" i="1"/>
  <c r="BT560" i="1"/>
  <c r="BU560" i="1" s="1"/>
  <c r="BV560" i="1" s="1"/>
  <c r="BX560" i="1" s="1"/>
  <c r="BV728" i="1"/>
  <c r="BX728" i="1" s="1"/>
  <c r="BR392" i="1"/>
  <c r="BR315" i="1"/>
  <c r="CD44" i="1"/>
  <c r="CE44" i="1" s="1"/>
  <c r="CF44" i="1" s="1"/>
  <c r="CH44" i="1" s="1"/>
  <c r="BV204" i="1"/>
  <c r="BX204" i="1" s="1"/>
  <c r="CG46" i="1"/>
  <c r="CB30" i="1"/>
  <c r="BV710" i="1"/>
  <c r="BX710" i="1" s="1"/>
  <c r="CD664" i="1"/>
  <c r="CE664" i="1" s="1"/>
  <c r="CF664" i="1" s="1"/>
  <c r="CH664" i="1" s="1"/>
  <c r="BQ9" i="1"/>
  <c r="BS9" i="1" s="1"/>
  <c r="CB54" i="1"/>
  <c r="BW259" i="1"/>
  <c r="BR225" i="1"/>
  <c r="BQ279" i="1"/>
  <c r="BS279" i="1" s="1"/>
  <c r="BV111" i="1"/>
  <c r="BX111" i="1" s="1"/>
  <c r="BT98" i="1"/>
  <c r="BW98" i="1" s="1"/>
  <c r="CD479" i="1"/>
  <c r="CD505" i="1"/>
  <c r="CE505" i="1" s="1"/>
  <c r="CF505" i="1" s="1"/>
  <c r="CH505" i="1" s="1"/>
  <c r="BW96" i="1"/>
  <c r="BW86" i="1"/>
  <c r="BW52" i="1"/>
  <c r="CB62" i="1"/>
  <c r="BV520" i="1"/>
  <c r="BX520" i="1" s="1"/>
  <c r="CD422" i="1"/>
  <c r="CE422" i="1" s="1"/>
  <c r="CF422" i="1" s="1"/>
  <c r="CH422" i="1" s="1"/>
  <c r="BR635" i="1"/>
  <c r="CG261" i="1"/>
  <c r="CD25" i="1"/>
  <c r="CE25" i="1" s="1"/>
  <c r="CF25" i="1" s="1"/>
  <c r="CH25" i="1" s="1"/>
  <c r="CD380" i="1"/>
  <c r="BV174" i="1"/>
  <c r="BX174" i="1" s="1"/>
  <c r="BQ615" i="1"/>
  <c r="BV626" i="1"/>
  <c r="BX626" i="1" s="1"/>
  <c r="CD482" i="1"/>
  <c r="CE482" i="1" s="1"/>
  <c r="CF482" i="1" s="1"/>
  <c r="CH482" i="1" s="1"/>
  <c r="BT656" i="1"/>
  <c r="BU656" i="1" s="1"/>
  <c r="BV656" i="1" s="1"/>
  <c r="BX656" i="1" s="1"/>
  <c r="CB36" i="1"/>
  <c r="BY38" i="1"/>
  <c r="BZ38" i="1" s="1"/>
  <c r="CA38" i="1" s="1"/>
  <c r="CC38" i="1" s="1"/>
  <c r="CD546" i="1"/>
  <c r="CE546" i="1" s="1"/>
  <c r="CF546" i="1" s="1"/>
  <c r="CH546" i="1" s="1"/>
  <c r="BV605" i="1"/>
  <c r="BX605" i="1" s="1"/>
  <c r="BQ221" i="1"/>
  <c r="BS221" i="1" s="1"/>
  <c r="CD686" i="1"/>
  <c r="CE686" i="1" s="1"/>
  <c r="CF686" i="1" s="1"/>
  <c r="CH686" i="1" s="1"/>
  <c r="CD238" i="1"/>
  <c r="CE238" i="1" s="1"/>
  <c r="CF238" i="1" s="1"/>
  <c r="CH238" i="1" s="1"/>
  <c r="BV137" i="1"/>
  <c r="BX137" i="1" s="1"/>
  <c r="CB33" i="1"/>
  <c r="BV604" i="1"/>
  <c r="BX604" i="1" s="1"/>
  <c r="CD682" i="1"/>
  <c r="CE682" i="1" s="1"/>
  <c r="CF682" i="1" s="1"/>
  <c r="CH682" i="1" s="1"/>
  <c r="BV570" i="1"/>
  <c r="BX570" i="1" s="1"/>
  <c r="CD731" i="1"/>
  <c r="CE731" i="1" s="1"/>
  <c r="CF731" i="1" s="1"/>
  <c r="CH731" i="1" s="1"/>
  <c r="BV304" i="1"/>
  <c r="BX304" i="1" s="1"/>
  <c r="BV470" i="1"/>
  <c r="BX470" i="1" s="1"/>
  <c r="BR591" i="1"/>
  <c r="CD763" i="1"/>
  <c r="CE763" i="1" s="1"/>
  <c r="CF763" i="1" s="1"/>
  <c r="CH763" i="1" s="1"/>
  <c r="BQ157" i="1"/>
  <c r="BS157" i="1" s="1"/>
  <c r="BV625" i="1"/>
  <c r="BX625" i="1" s="1"/>
  <c r="BV775" i="1"/>
  <c r="BX775" i="1" s="1"/>
  <c r="BR624" i="1"/>
  <c r="BR297" i="1"/>
  <c r="BY614" i="1"/>
  <c r="CB614" i="1" s="1"/>
  <c r="BQ679" i="1"/>
  <c r="BS679" i="1" s="1"/>
  <c r="CD794" i="1"/>
  <c r="CE794" i="1" s="1"/>
  <c r="CF794" i="1" s="1"/>
  <c r="CH794" i="1" s="1"/>
  <c r="CD166" i="1"/>
  <c r="CE166" i="1" s="1"/>
  <c r="CF166" i="1" s="1"/>
  <c r="CH166" i="1" s="1"/>
  <c r="BY10" i="1"/>
  <c r="BZ10" i="1" s="1"/>
  <c r="CA10" i="1" s="1"/>
  <c r="CC10" i="1" s="1"/>
  <c r="BV453" i="1"/>
  <c r="BX453" i="1" s="1"/>
  <c r="BV645" i="1"/>
  <c r="BX645" i="1" s="1"/>
  <c r="BW77" i="1"/>
  <c r="CD750" i="1"/>
  <c r="CE750" i="1" s="1"/>
  <c r="CF750" i="1" s="1"/>
  <c r="CH750" i="1" s="1"/>
  <c r="CD127" i="1"/>
  <c r="CE127" i="1" s="1"/>
  <c r="CF127" i="1" s="1"/>
  <c r="CH127" i="1" s="1"/>
  <c r="CD530" i="1"/>
  <c r="CE530" i="1" s="1"/>
  <c r="CF530" i="1" s="1"/>
  <c r="CH530" i="1" s="1"/>
  <c r="BT721" i="1"/>
  <c r="BU721" i="1" s="1"/>
  <c r="BV721" i="1" s="1"/>
  <c r="BX721" i="1" s="1"/>
  <c r="CD661" i="1"/>
  <c r="CE661" i="1" s="1"/>
  <c r="CF661" i="1" s="1"/>
  <c r="CH661" i="1" s="1"/>
  <c r="CD235" i="1"/>
  <c r="CE235" i="1" s="1"/>
  <c r="CF235" i="1" s="1"/>
  <c r="CH235" i="1" s="1"/>
  <c r="CD341" i="1"/>
  <c r="CE341" i="1" s="1"/>
  <c r="CF341" i="1" s="1"/>
  <c r="CH341" i="1" s="1"/>
  <c r="BV114" i="1"/>
  <c r="BY104" i="1"/>
  <c r="BZ104" i="1" s="1"/>
  <c r="CA104" i="1" s="1"/>
  <c r="CC104" i="1" s="1"/>
  <c r="CD214" i="1"/>
  <c r="BV155" i="1"/>
  <c r="BX155" i="1" s="1"/>
  <c r="CD774" i="1"/>
  <c r="CE774" i="1" s="1"/>
  <c r="CF774" i="1" s="1"/>
  <c r="CH774" i="1" s="1"/>
  <c r="CD703" i="1"/>
  <c r="CE703" i="1" s="1"/>
  <c r="CF703" i="1" s="1"/>
  <c r="CH703" i="1" s="1"/>
  <c r="BV382" i="1"/>
  <c r="BX382" i="1" s="1"/>
  <c r="BY72" i="1"/>
  <c r="BZ72" i="1" s="1"/>
  <c r="CA72" i="1" s="1"/>
  <c r="CC72" i="1" s="1"/>
  <c r="BV760" i="1"/>
  <c r="CD772" i="1"/>
  <c r="CE772" i="1" s="1"/>
  <c r="CF772" i="1" s="1"/>
  <c r="CH772" i="1" s="1"/>
  <c r="BV290" i="1"/>
  <c r="BX290" i="1" s="1"/>
  <c r="CD471" i="1"/>
  <c r="CE471" i="1" s="1"/>
  <c r="CF471" i="1" s="1"/>
  <c r="CH471" i="1" s="1"/>
  <c r="BR388" i="1"/>
  <c r="BT280" i="1"/>
  <c r="BU280" i="1" s="1"/>
  <c r="BV280" i="1" s="1"/>
  <c r="BX280" i="1" s="1"/>
  <c r="BT723" i="1"/>
  <c r="BU723" i="1" s="1"/>
  <c r="BV723" i="1" s="1"/>
  <c r="BX723" i="1" s="1"/>
  <c r="BV119" i="1"/>
  <c r="BX119" i="1" s="1"/>
  <c r="CD256" i="1"/>
  <c r="CE256" i="1" s="1"/>
  <c r="CF256" i="1" s="1"/>
  <c r="CH256" i="1" s="1"/>
  <c r="CD617" i="1"/>
  <c r="CE617" i="1" s="1"/>
  <c r="CF617" i="1" s="1"/>
  <c r="CH617" i="1" s="1"/>
  <c r="BY96" i="1"/>
  <c r="BZ96" i="1" s="1"/>
  <c r="CA96" i="1" s="1"/>
  <c r="CC96" i="1" s="1"/>
  <c r="CI261" i="1"/>
  <c r="CJ261" i="1" s="1"/>
  <c r="CK261" i="1" s="1"/>
  <c r="CD174" i="1"/>
  <c r="CE174" i="1" s="1"/>
  <c r="CF174" i="1" s="1"/>
  <c r="CH174" i="1" s="1"/>
  <c r="CD626" i="1"/>
  <c r="CE626" i="1" s="1"/>
  <c r="CF626" i="1" s="1"/>
  <c r="CH626" i="1" s="1"/>
  <c r="BY8" i="1"/>
  <c r="BZ8" i="1" s="1"/>
  <c r="CA8" i="1" s="1"/>
  <c r="CC8" i="1" s="1"/>
  <c r="CD605" i="1"/>
  <c r="CE605" i="1" s="1"/>
  <c r="CF605" i="1" s="1"/>
  <c r="CH605" i="1" s="1"/>
  <c r="BV531" i="1"/>
  <c r="BX531" i="1" s="1"/>
  <c r="BV464" i="1"/>
  <c r="BX464" i="1" s="1"/>
  <c r="CD304" i="1"/>
  <c r="CE304" i="1" s="1"/>
  <c r="CF304" i="1" s="1"/>
  <c r="CH304" i="1" s="1"/>
  <c r="BV763" i="1"/>
  <c r="BX763" i="1" s="1"/>
  <c r="BQ324" i="1"/>
  <c r="BS324" i="1" s="1"/>
  <c r="CD222" i="1"/>
  <c r="CE222" i="1" s="1"/>
  <c r="CF222" i="1" s="1"/>
  <c r="CH222" i="1" s="1"/>
  <c r="BV476" i="1"/>
  <c r="BX476" i="1" s="1"/>
  <c r="BY80" i="1"/>
  <c r="BZ80" i="1" s="1"/>
  <c r="CA80" i="1" s="1"/>
  <c r="CC80" i="1" s="1"/>
  <c r="CD367" i="1"/>
  <c r="CE367" i="1" s="1"/>
  <c r="CF367" i="1" s="1"/>
  <c r="CH367" i="1" s="1"/>
  <c r="CB34" i="1"/>
  <c r="BV421" i="1"/>
  <c r="BX421" i="1" s="1"/>
  <c r="CG39" i="1"/>
  <c r="CD278" i="1"/>
  <c r="CE278" i="1" s="1"/>
  <c r="CF278" i="1" s="1"/>
  <c r="CH278" i="1" s="1"/>
  <c r="CB256" i="1"/>
  <c r="BV617" i="1"/>
  <c r="BX617" i="1" s="1"/>
  <c r="BV448" i="1"/>
  <c r="BX448" i="1" s="1"/>
  <c r="BV120" i="1"/>
  <c r="BX120" i="1" s="1"/>
  <c r="BR313" i="1"/>
  <c r="BQ8" i="1"/>
  <c r="BP4" i="1"/>
  <c r="BP3" i="1"/>
  <c r="CD523" i="1"/>
  <c r="CE523" i="1" s="1"/>
  <c r="CF523" i="1" s="1"/>
  <c r="CH523" i="1" s="1"/>
  <c r="BR639" i="1"/>
  <c r="CD195" i="1"/>
  <c r="CE195" i="1" s="1"/>
  <c r="CF195" i="1" s="1"/>
  <c r="CH195" i="1" s="1"/>
  <c r="CD461" i="1"/>
  <c r="CE461" i="1" s="1"/>
  <c r="CF461" i="1" s="1"/>
  <c r="CH461" i="1" s="1"/>
  <c r="BV423" i="1"/>
  <c r="BX423" i="1" s="1"/>
  <c r="CD476" i="1"/>
  <c r="CE476" i="1" s="1"/>
  <c r="CF476" i="1" s="1"/>
  <c r="CH476" i="1" s="1"/>
  <c r="BW80" i="1"/>
  <c r="BV397" i="1"/>
  <c r="BX397" i="1" s="1"/>
  <c r="BV427" i="1"/>
  <c r="BX427" i="1" s="1"/>
  <c r="CD129" i="1"/>
  <c r="CE129" i="1" s="1"/>
  <c r="CF129" i="1" s="1"/>
  <c r="CH129" i="1" s="1"/>
  <c r="BR597" i="1"/>
  <c r="CD95" i="1"/>
  <c r="CE95" i="1" s="1"/>
  <c r="CF95" i="1" s="1"/>
  <c r="CH95" i="1" s="1"/>
  <c r="CD519" i="1"/>
  <c r="CE519" i="1" s="1"/>
  <c r="CF519" i="1" s="1"/>
  <c r="CH519" i="1" s="1"/>
  <c r="BY53" i="1"/>
  <c r="BZ53" i="1" s="1"/>
  <c r="CA53" i="1" s="1"/>
  <c r="CC53" i="1" s="1"/>
  <c r="CI67" i="1"/>
  <c r="CJ67" i="1" s="1"/>
  <c r="CK67" i="1" s="1"/>
  <c r="BV787" i="1"/>
  <c r="BX787" i="1" s="1"/>
  <c r="BT407" i="1"/>
  <c r="BU407" i="1" s="1"/>
  <c r="BV407" i="1" s="1"/>
  <c r="BX407" i="1" s="1"/>
  <c r="CD121" i="1"/>
  <c r="CE121" i="1" s="1"/>
  <c r="CF121" i="1" s="1"/>
  <c r="CH121" i="1" s="1"/>
  <c r="CD306" i="1"/>
  <c r="CE306" i="1" s="1"/>
  <c r="CF306" i="1" s="1"/>
  <c r="CH306" i="1" s="1"/>
  <c r="BV195" i="1"/>
  <c r="BX195" i="1" s="1"/>
  <c r="BV461" i="1"/>
  <c r="BX461" i="1" s="1"/>
  <c r="BY85" i="1"/>
  <c r="BZ85" i="1" s="1"/>
  <c r="CA85" i="1" s="1"/>
  <c r="CC85" i="1" s="1"/>
  <c r="BV126" i="1"/>
  <c r="BX126" i="1" s="1"/>
  <c r="BT385" i="1"/>
  <c r="BU385" i="1" s="1"/>
  <c r="BV385" i="1" s="1"/>
  <c r="BX385" i="1" s="1"/>
  <c r="BV696" i="1"/>
  <c r="BV657" i="1"/>
  <c r="BX657" i="1" s="1"/>
  <c r="CB843" i="1"/>
  <c r="CD481" i="1"/>
  <c r="CE481" i="1" s="1"/>
  <c r="CF481" i="1" s="1"/>
  <c r="CH481" i="1" s="1"/>
  <c r="BT558" i="1"/>
  <c r="BU558" i="1" s="1"/>
  <c r="BV558" i="1" s="1"/>
  <c r="BX558" i="1" s="1"/>
  <c r="BT652" i="1"/>
  <c r="BU652" i="1" s="1"/>
  <c r="BV652" i="1" s="1"/>
  <c r="BX652" i="1" s="1"/>
  <c r="BV755" i="1"/>
  <c r="BX755" i="1" s="1"/>
  <c r="CD743" i="1"/>
  <c r="CE743" i="1" s="1"/>
  <c r="CF743" i="1" s="1"/>
  <c r="CH743" i="1" s="1"/>
  <c r="BT193" i="1"/>
  <c r="BU193" i="1" s="1"/>
  <c r="BV193" i="1" s="1"/>
  <c r="BX193" i="1" s="1"/>
  <c r="CD616" i="1"/>
  <c r="CE616" i="1" s="1"/>
  <c r="CF616" i="1" s="1"/>
  <c r="CH616" i="1" s="1"/>
  <c r="BV125" i="1"/>
  <c r="BX125" i="1" s="1"/>
  <c r="BR385" i="1"/>
  <c r="BV434" i="1"/>
  <c r="BX434" i="1" s="1"/>
  <c r="BV383" i="1"/>
  <c r="BX383" i="1" s="1"/>
  <c r="BT332" i="1"/>
  <c r="BU332" i="1" s="1"/>
  <c r="BV332" i="1" s="1"/>
  <c r="BX332" i="1" s="1"/>
  <c r="BY842" i="1"/>
  <c r="BZ842" i="1" s="1"/>
  <c r="CA842" i="1" s="1"/>
  <c r="CC842" i="1" s="1"/>
  <c r="BT182" i="1"/>
  <c r="BU182" i="1" s="1"/>
  <c r="BV182" i="1" s="1"/>
  <c r="BX182" i="1" s="1"/>
  <c r="BV547" i="1"/>
  <c r="BV733" i="1"/>
  <c r="BX733" i="1" s="1"/>
  <c r="BV684" i="1"/>
  <c r="BX684" i="1" s="1"/>
  <c r="CD514" i="1"/>
  <c r="CE514" i="1" s="1"/>
  <c r="CF514" i="1" s="1"/>
  <c r="CH514" i="1" s="1"/>
  <c r="BV503" i="1"/>
  <c r="BX503" i="1" s="1"/>
  <c r="BR623" i="1"/>
  <c r="CD529" i="1"/>
  <c r="CE529" i="1" s="1"/>
  <c r="CF529" i="1" s="1"/>
  <c r="CH529" i="1" s="1"/>
  <c r="BV117" i="1"/>
  <c r="BX117" i="1" s="1"/>
  <c r="BV472" i="1"/>
  <c r="BX472" i="1" s="1"/>
  <c r="CD493" i="1"/>
  <c r="CE493" i="1" s="1"/>
  <c r="CF493" i="1" s="1"/>
  <c r="CH493" i="1" s="1"/>
  <c r="CD151" i="1"/>
  <c r="CE151" i="1" s="1"/>
  <c r="CF151" i="1" s="1"/>
  <c r="CH151" i="1" s="1"/>
  <c r="CD670" i="1"/>
  <c r="CE670" i="1" s="1"/>
  <c r="CF670" i="1" s="1"/>
  <c r="CH670" i="1" s="1"/>
  <c r="BV452" i="1"/>
  <c r="BX452" i="1" s="1"/>
  <c r="BT30" i="1"/>
  <c r="BW30" i="1" s="1"/>
  <c r="BV412" i="1"/>
  <c r="BX412" i="1" s="1"/>
  <c r="CD98" i="1"/>
  <c r="CE98" i="1" s="1"/>
  <c r="CF98" i="1" s="1"/>
  <c r="CH98" i="1" s="1"/>
  <c r="BV343" i="1"/>
  <c r="BX343" i="1" s="1"/>
  <c r="BV208" i="1"/>
  <c r="BX208" i="1" s="1"/>
  <c r="BY11" i="1"/>
  <c r="BZ11" i="1" s="1"/>
  <c r="CA11" i="1" s="1"/>
  <c r="CC11" i="1" s="1"/>
  <c r="BT584" i="1"/>
  <c r="BU584" i="1" s="1"/>
  <c r="BV584" i="1" s="1"/>
  <c r="BX584" i="1" s="1"/>
  <c r="BV443" i="1"/>
  <c r="BX443" i="1" s="1"/>
  <c r="BR558" i="1"/>
  <c r="BV502" i="1"/>
  <c r="BX502" i="1" s="1"/>
  <c r="BT386" i="1"/>
  <c r="BU386" i="1" s="1"/>
  <c r="BV386" i="1" s="1"/>
  <c r="BX386" i="1" s="1"/>
  <c r="CD194" i="1"/>
  <c r="CE194" i="1" s="1"/>
  <c r="CF194" i="1" s="1"/>
  <c r="CH194" i="1" s="1"/>
  <c r="BV754" i="1"/>
  <c r="BX754" i="1" s="1"/>
  <c r="BT167" i="1"/>
  <c r="BW167" i="1" s="1"/>
  <c r="BV463" i="1"/>
  <c r="BX463" i="1" s="1"/>
  <c r="BR652" i="1"/>
  <c r="CD757" i="1"/>
  <c r="CE757" i="1" s="1"/>
  <c r="CF757" i="1" s="1"/>
  <c r="CH757" i="1" s="1"/>
  <c r="BT647" i="1"/>
  <c r="BU647" i="1" s="1"/>
  <c r="BV647" i="1" s="1"/>
  <c r="BX647" i="1" s="1"/>
  <c r="BY261" i="1"/>
  <c r="CB261" i="1" s="1"/>
  <c r="CD677" i="1"/>
  <c r="CE677" i="1" s="1"/>
  <c r="CF677" i="1" s="1"/>
  <c r="CH677" i="1" s="1"/>
  <c r="CD755" i="1"/>
  <c r="CE755" i="1" s="1"/>
  <c r="CF755" i="1" s="1"/>
  <c r="CH755" i="1" s="1"/>
  <c r="BT218" i="1"/>
  <c r="BU218" i="1" s="1"/>
  <c r="BV218" i="1" s="1"/>
  <c r="BX218" i="1" s="1"/>
  <c r="BR650" i="1"/>
  <c r="CD675" i="1"/>
  <c r="CE675" i="1" s="1"/>
  <c r="CF675" i="1" s="1"/>
  <c r="CH675" i="1" s="1"/>
  <c r="CD576" i="1"/>
  <c r="CE576" i="1" s="1"/>
  <c r="CF576" i="1" s="1"/>
  <c r="CH576" i="1" s="1"/>
  <c r="BW811" i="1"/>
  <c r="BT715" i="1"/>
  <c r="BU715" i="1" s="1"/>
  <c r="BV715" i="1" s="1"/>
  <c r="BX715" i="1" s="1"/>
  <c r="CD229" i="1"/>
  <c r="CE229" i="1" s="1"/>
  <c r="CF229" i="1" s="1"/>
  <c r="CH229" i="1" s="1"/>
  <c r="BY106" i="1"/>
  <c r="BZ106" i="1" s="1"/>
  <c r="CA106" i="1" s="1"/>
  <c r="CC106" i="1" s="1"/>
  <c r="BV552" i="1"/>
  <c r="BX552" i="1" s="1"/>
  <c r="CD462" i="1"/>
  <c r="CE462" i="1" s="1"/>
  <c r="CF462" i="1" s="1"/>
  <c r="CH462" i="1" s="1"/>
  <c r="BV377" i="1"/>
  <c r="BX377" i="1" s="1"/>
  <c r="BT170" i="1"/>
  <c r="BU170" i="1" s="1"/>
  <c r="BV170" i="1" s="1"/>
  <c r="BX170" i="1" s="1"/>
  <c r="CD275" i="1"/>
  <c r="CE275" i="1" s="1"/>
  <c r="CF275" i="1" s="1"/>
  <c r="CH275" i="1" s="1"/>
  <c r="BT308" i="1"/>
  <c r="BU308" i="1" s="1"/>
  <c r="BV308" i="1" s="1"/>
  <c r="BX308" i="1" s="1"/>
  <c r="CD451" i="1"/>
  <c r="CE451" i="1" s="1"/>
  <c r="CF451" i="1" s="1"/>
  <c r="CH451" i="1" s="1"/>
  <c r="BR193" i="1"/>
  <c r="CI254" i="1"/>
  <c r="CJ254" i="1" s="1"/>
  <c r="CK254" i="1" s="1"/>
  <c r="BW267" i="1"/>
  <c r="CD233" i="1"/>
  <c r="CE233" i="1" s="1"/>
  <c r="CF233" i="1" s="1"/>
  <c r="CH233" i="1" s="1"/>
  <c r="BQ689" i="1"/>
  <c r="BS689" i="1" s="1"/>
  <c r="CD146" i="1"/>
  <c r="CE146" i="1" s="1"/>
  <c r="CF146" i="1" s="1"/>
  <c r="CH146" i="1" s="1"/>
  <c r="CD668" i="1"/>
  <c r="CE668" i="1" s="1"/>
  <c r="CF668" i="1" s="1"/>
  <c r="CH668" i="1" s="1"/>
  <c r="BV616" i="1"/>
  <c r="BX616" i="1" s="1"/>
  <c r="CD226" i="1"/>
  <c r="CE226" i="1" s="1"/>
  <c r="CF226" i="1" s="1"/>
  <c r="CH226" i="1" s="1"/>
  <c r="BT330" i="1"/>
  <c r="BU330" i="1" s="1"/>
  <c r="BV330" i="1" s="1"/>
  <c r="BX330" i="1" s="1"/>
  <c r="BV695" i="1"/>
  <c r="BX695" i="1" s="1"/>
  <c r="CD125" i="1"/>
  <c r="CE125" i="1" s="1"/>
  <c r="CF125" i="1" s="1"/>
  <c r="CH125" i="1" s="1"/>
  <c r="BQ162" i="1"/>
  <c r="BS162" i="1" s="1"/>
  <c r="CD305" i="1"/>
  <c r="CE305" i="1" s="1"/>
  <c r="CF305" i="1" s="1"/>
  <c r="CH305" i="1" s="1"/>
  <c r="BV699" i="1"/>
  <c r="BX699" i="1" s="1"/>
  <c r="BV488" i="1"/>
  <c r="BX488" i="1" s="1"/>
  <c r="BY59" i="1"/>
  <c r="BZ59" i="1" s="1"/>
  <c r="CA59" i="1" s="1"/>
  <c r="CC59" i="1" s="1"/>
  <c r="CB90" i="1"/>
  <c r="BT198" i="1"/>
  <c r="BU198" i="1" s="1"/>
  <c r="BV198" i="1" s="1"/>
  <c r="BX198" i="1" s="1"/>
  <c r="CD745" i="1"/>
  <c r="CE745" i="1" s="1"/>
  <c r="CF745" i="1" s="1"/>
  <c r="CH745" i="1" s="1"/>
  <c r="BR707" i="1"/>
  <c r="CD276" i="1"/>
  <c r="CE276" i="1" s="1"/>
  <c r="CF276" i="1" s="1"/>
  <c r="CH276" i="1" s="1"/>
  <c r="BT320" i="1"/>
  <c r="BU320" i="1" s="1"/>
  <c r="BV320" i="1" s="1"/>
  <c r="BX320" i="1" s="1"/>
  <c r="CD671" i="1"/>
  <c r="CE671" i="1" s="1"/>
  <c r="CF671" i="1" s="1"/>
  <c r="CH671" i="1" s="1"/>
  <c r="BV669" i="1"/>
  <c r="BX669" i="1" s="1"/>
  <c r="CD447" i="1"/>
  <c r="CE447" i="1" s="1"/>
  <c r="CF447" i="1" s="1"/>
  <c r="CH447" i="1" s="1"/>
  <c r="CD210" i="1"/>
  <c r="CE210" i="1" s="1"/>
  <c r="CF210" i="1" s="1"/>
  <c r="CH210" i="1" s="1"/>
  <c r="BR651" i="1"/>
  <c r="BT300" i="1"/>
  <c r="BT725" i="1"/>
  <c r="BU725" i="1" s="1"/>
  <c r="BV725" i="1" s="1"/>
  <c r="BX725" i="1" s="1"/>
  <c r="BV680" i="1"/>
  <c r="BX680" i="1" s="1"/>
  <c r="CD249" i="1"/>
  <c r="CE249" i="1" s="1"/>
  <c r="CF249" i="1" s="1"/>
  <c r="CH249" i="1" s="1"/>
  <c r="BR718" i="1"/>
  <c r="BY160" i="1"/>
  <c r="CB160" i="1" s="1"/>
  <c r="CD709" i="1"/>
  <c r="CE709" i="1" s="1"/>
  <c r="CF709" i="1" s="1"/>
  <c r="CH709" i="1" s="1"/>
  <c r="BV401" i="1"/>
  <c r="BX401" i="1" s="1"/>
  <c r="CD525" i="1"/>
  <c r="CE525" i="1" s="1"/>
  <c r="CF525" i="1" s="1"/>
  <c r="CH525" i="1" s="1"/>
  <c r="BV490" i="1"/>
  <c r="BX490" i="1" s="1"/>
  <c r="BV672" i="1"/>
  <c r="BX672" i="1" s="1"/>
  <c r="BV115" i="1"/>
  <c r="BX115" i="1" s="1"/>
  <c r="BY18" i="1"/>
  <c r="BZ18" i="1" s="1"/>
  <c r="CA18" i="1" s="1"/>
  <c r="CC18" i="1" s="1"/>
  <c r="CD562" i="1"/>
  <c r="CE562" i="1" s="1"/>
  <c r="CF562" i="1" s="1"/>
  <c r="CH562" i="1" s="1"/>
  <c r="CI39" i="1"/>
  <c r="CJ39" i="1" s="1"/>
  <c r="CK39" i="1" s="1"/>
  <c r="CD30" i="1"/>
  <c r="CE30" i="1" s="1"/>
  <c r="CF30" i="1" s="1"/>
  <c r="CH30" i="1" s="1"/>
  <c r="BV455" i="1"/>
  <c r="BX455" i="1" s="1"/>
  <c r="CD549" i="1"/>
  <c r="CE549" i="1" s="1"/>
  <c r="CF549" i="1" s="1"/>
  <c r="CH549" i="1" s="1"/>
  <c r="CD390" i="1"/>
  <c r="CE390" i="1" s="1"/>
  <c r="CF390" i="1" s="1"/>
  <c r="CH390" i="1" s="1"/>
  <c r="CD199" i="1"/>
  <c r="CE199" i="1" s="1"/>
  <c r="CF199" i="1" s="1"/>
  <c r="CH199" i="1" s="1"/>
  <c r="BT639" i="1"/>
  <c r="BU639" i="1" s="1"/>
  <c r="BV639" i="1" s="1"/>
  <c r="BX639" i="1" s="1"/>
  <c r="CD679" i="1"/>
  <c r="CE679" i="1" s="1"/>
  <c r="CF679" i="1" s="1"/>
  <c r="CH679" i="1" s="1"/>
  <c r="CD164" i="1"/>
  <c r="CE164" i="1" s="1"/>
  <c r="CF164" i="1" s="1"/>
  <c r="CH164" i="1" s="1"/>
  <c r="BV530" i="1"/>
  <c r="BX530" i="1" s="1"/>
  <c r="CD423" i="1"/>
  <c r="CE423" i="1" s="1"/>
  <c r="CF423" i="1" s="1"/>
  <c r="CH423" i="1" s="1"/>
  <c r="BV402" i="1"/>
  <c r="BX402" i="1" s="1"/>
  <c r="BW18" i="1"/>
  <c r="BR722" i="1"/>
  <c r="CD457" i="1"/>
  <c r="CE457" i="1" s="1"/>
  <c r="CF457" i="1" s="1"/>
  <c r="CH457" i="1" s="1"/>
  <c r="CD239" i="1"/>
  <c r="CE239" i="1" s="1"/>
  <c r="CF239" i="1" s="1"/>
  <c r="CH239" i="1" s="1"/>
  <c r="BV360" i="1"/>
  <c r="BX360" i="1" s="1"/>
  <c r="BT285" i="1"/>
  <c r="BU285" i="1" s="1"/>
  <c r="BV285" i="1" s="1"/>
  <c r="BX285" i="1" s="1"/>
  <c r="BV121" i="1"/>
  <c r="BX121" i="1" s="1"/>
  <c r="CD324" i="1"/>
  <c r="CE324" i="1" s="1"/>
  <c r="CF324" i="1" s="1"/>
  <c r="CH324" i="1" s="1"/>
  <c r="BV234" i="1"/>
  <c r="BX234" i="1" s="1"/>
  <c r="BY68" i="1"/>
  <c r="BZ68" i="1" s="1"/>
  <c r="CA68" i="1" s="1"/>
  <c r="CC68" i="1" s="1"/>
  <c r="CD449" i="1"/>
  <c r="CE449" i="1" s="1"/>
  <c r="CF449" i="1" s="1"/>
  <c r="CH449" i="1" s="1"/>
  <c r="BV642" i="1"/>
  <c r="BX642" i="1" s="1"/>
  <c r="BV499" i="1"/>
  <c r="BX499" i="1" s="1"/>
  <c r="BV481" i="1"/>
  <c r="BX481" i="1" s="1"/>
  <c r="CD448" i="1"/>
  <c r="CE448" i="1" s="1"/>
  <c r="CF448" i="1" s="1"/>
  <c r="CH448" i="1" s="1"/>
  <c r="BW807" i="1"/>
  <c r="CD435" i="1"/>
  <c r="CE435" i="1" s="1"/>
  <c r="CF435" i="1" s="1"/>
  <c r="CH435" i="1" s="1"/>
  <c r="BT295" i="1"/>
  <c r="BU295" i="1" s="1"/>
  <c r="BV295" i="1" s="1"/>
  <c r="BX295" i="1" s="1"/>
  <c r="BR340" i="1"/>
  <c r="CD394" i="1"/>
  <c r="CE394" i="1" s="1"/>
  <c r="CF394" i="1" s="1"/>
  <c r="CH394" i="1" s="1"/>
  <c r="BY164" i="1"/>
  <c r="CB164" i="1" s="1"/>
  <c r="BV527" i="1"/>
  <c r="BX527" i="1" s="1"/>
  <c r="BV136" i="1"/>
  <c r="BX136" i="1" s="1"/>
  <c r="CD499" i="1"/>
  <c r="CE499" i="1" s="1"/>
  <c r="CF499" i="1" s="1"/>
  <c r="CH499" i="1" s="1"/>
  <c r="BV425" i="1"/>
  <c r="BX425" i="1" s="1"/>
  <c r="BV576" i="1"/>
  <c r="BX576" i="1" s="1"/>
  <c r="BV462" i="1"/>
  <c r="BX462" i="1" s="1"/>
  <c r="BV217" i="1"/>
  <c r="BX217" i="1" s="1"/>
  <c r="BV440" i="1"/>
  <c r="BX440" i="1" s="1"/>
  <c r="BV305" i="1"/>
  <c r="BX305" i="1" s="1"/>
  <c r="BT707" i="1"/>
  <c r="BU707" i="1" s="1"/>
  <c r="BV707" i="1" s="1"/>
  <c r="BX707" i="1" s="1"/>
  <c r="BV210" i="1"/>
  <c r="BX210" i="1" s="1"/>
  <c r="CD696" i="1"/>
  <c r="CE696" i="1" s="1"/>
  <c r="CF696" i="1" s="1"/>
  <c r="CH696" i="1" s="1"/>
  <c r="BR242" i="1"/>
  <c r="CD383" i="1"/>
  <c r="CE383" i="1" s="1"/>
  <c r="CF383" i="1" s="1"/>
  <c r="CH383" i="1" s="1"/>
  <c r="BR332" i="1"/>
  <c r="BW842" i="1"/>
  <c r="CD547" i="1"/>
  <c r="CE547" i="1" s="1"/>
  <c r="CF547" i="1" s="1"/>
  <c r="CH547" i="1" s="1"/>
  <c r="CD503" i="1"/>
  <c r="CE503" i="1" s="1"/>
  <c r="CF503" i="1" s="1"/>
  <c r="CH503" i="1" s="1"/>
  <c r="BT302" i="1"/>
  <c r="BU302" i="1" s="1"/>
  <c r="BV302" i="1" s="1"/>
  <c r="BX302" i="1" s="1"/>
  <c r="CD472" i="1"/>
  <c r="CE472" i="1" s="1"/>
  <c r="CF472" i="1" s="1"/>
  <c r="CH472" i="1" s="1"/>
  <c r="BV151" i="1"/>
  <c r="BX151" i="1" s="1"/>
  <c r="BV528" i="1"/>
  <c r="BV727" i="1"/>
  <c r="BX727" i="1" s="1"/>
  <c r="CD412" i="1"/>
  <c r="CD208" i="1"/>
  <c r="CE208" i="1" s="1"/>
  <c r="CF208" i="1" s="1"/>
  <c r="CH208" i="1" s="1"/>
  <c r="BQ11" i="1"/>
  <c r="BS11" i="1" s="1"/>
  <c r="BY23" i="1"/>
  <c r="BZ23" i="1" s="1"/>
  <c r="CA23" i="1" s="1"/>
  <c r="CC23" i="1" s="1"/>
  <c r="BV287" i="1"/>
  <c r="BX287" i="1" s="1"/>
  <c r="BV738" i="1"/>
  <c r="BX738" i="1" s="1"/>
  <c r="BT274" i="1"/>
  <c r="CD277" i="1"/>
  <c r="CE277" i="1" s="1"/>
  <c r="CF277" i="1" s="1"/>
  <c r="CH277" i="1" s="1"/>
  <c r="CD463" i="1"/>
  <c r="CE463" i="1" s="1"/>
  <c r="CF463" i="1" s="1"/>
  <c r="CH463" i="1" s="1"/>
  <c r="CD510" i="1"/>
  <c r="CE510" i="1" s="1"/>
  <c r="CF510" i="1" s="1"/>
  <c r="CH510" i="1" s="1"/>
  <c r="BY51" i="1"/>
  <c r="BZ51" i="1" s="1"/>
  <c r="CA51" i="1" s="1"/>
  <c r="CC51" i="1" s="1"/>
  <c r="BT179" i="1"/>
  <c r="BU179" i="1" s="1"/>
  <c r="BV179" i="1" s="1"/>
  <c r="BX179" i="1" s="1"/>
  <c r="CI13" i="1"/>
  <c r="CJ13" i="1" s="1"/>
  <c r="CK13" i="1" s="1"/>
  <c r="BV675" i="1"/>
  <c r="BX675" i="1" s="1"/>
  <c r="CD45" i="1"/>
  <c r="BQ229" i="1"/>
  <c r="BS229" i="1" s="1"/>
  <c r="BT539" i="1"/>
  <c r="BW106" i="1"/>
  <c r="CD552" i="1"/>
  <c r="CE552" i="1" s="1"/>
  <c r="CF552" i="1" s="1"/>
  <c r="CH552" i="1" s="1"/>
  <c r="CD665" i="1"/>
  <c r="CE665" i="1" s="1"/>
  <c r="CF665" i="1" s="1"/>
  <c r="CH665" i="1" s="1"/>
  <c r="CD377" i="1"/>
  <c r="CE377" i="1" s="1"/>
  <c r="CF377" i="1" s="1"/>
  <c r="CH377" i="1" s="1"/>
  <c r="BV536" i="1"/>
  <c r="BX536" i="1" s="1"/>
  <c r="BY103" i="1"/>
  <c r="BZ103" i="1" s="1"/>
  <c r="CA103" i="1" s="1"/>
  <c r="CC103" i="1" s="1"/>
  <c r="BY254" i="1"/>
  <c r="CB254" i="1" s="1"/>
  <c r="BV275" i="1"/>
  <c r="BX275" i="1" s="1"/>
  <c r="BR308" i="1"/>
  <c r="BV451" i="1"/>
  <c r="BX451" i="1" s="1"/>
  <c r="BT556" i="1"/>
  <c r="BU556" i="1" s="1"/>
  <c r="BV556" i="1" s="1"/>
  <c r="BX556" i="1" s="1"/>
  <c r="CD748" i="1"/>
  <c r="CE748" i="1" s="1"/>
  <c r="CF748" i="1" s="1"/>
  <c r="CH748" i="1" s="1"/>
  <c r="BV524" i="1"/>
  <c r="BX524" i="1" s="1"/>
  <c r="CD619" i="1"/>
  <c r="CE619" i="1" s="1"/>
  <c r="CF619" i="1" s="1"/>
  <c r="CH619" i="1" s="1"/>
  <c r="CD286" i="1"/>
  <c r="CE286" i="1" s="1"/>
  <c r="CF286" i="1" s="1"/>
  <c r="CH286" i="1" s="1"/>
  <c r="BT321" i="1"/>
  <c r="BU321" i="1" s="1"/>
  <c r="BV321" i="1" s="1"/>
  <c r="BX321" i="1" s="1"/>
  <c r="CD459" i="1"/>
  <c r="CE459" i="1" s="1"/>
  <c r="CF459" i="1" s="1"/>
  <c r="CH459" i="1" s="1"/>
  <c r="BV668" i="1"/>
  <c r="BX668" i="1" s="1"/>
  <c r="BV226" i="1"/>
  <c r="BX226" i="1" s="1"/>
  <c r="BR330" i="1"/>
  <c r="BV487" i="1"/>
  <c r="BX487" i="1" s="1"/>
  <c r="BT219" i="1"/>
  <c r="BU219" i="1" s="1"/>
  <c r="BV219" i="1" s="1"/>
  <c r="BX219" i="1" s="1"/>
  <c r="BV209" i="1"/>
  <c r="BX209" i="1" s="1"/>
  <c r="BY162" i="1"/>
  <c r="CB162" i="1" s="1"/>
  <c r="CD699" i="1"/>
  <c r="CE699" i="1" s="1"/>
  <c r="CF699" i="1" s="1"/>
  <c r="CH699" i="1" s="1"/>
  <c r="CD769" i="1"/>
  <c r="CE769" i="1" s="1"/>
  <c r="CF769" i="1" s="1"/>
  <c r="CH769" i="1" s="1"/>
  <c r="CD368" i="1"/>
  <c r="CE368" i="1" s="1"/>
  <c r="CF368" i="1" s="1"/>
  <c r="CH368" i="1" s="1"/>
  <c r="BV739" i="1"/>
  <c r="BX739" i="1" s="1"/>
  <c r="BQ745" i="1"/>
  <c r="BS745" i="1" s="1"/>
  <c r="CD817" i="1"/>
  <c r="CE817" i="1" s="1"/>
  <c r="CF817" i="1" s="1"/>
  <c r="CH817" i="1" s="1"/>
  <c r="BY87" i="1"/>
  <c r="BZ87" i="1" s="1"/>
  <c r="CA87" i="1" s="1"/>
  <c r="CC87" i="1" s="1"/>
  <c r="BR320" i="1"/>
  <c r="BV671" i="1"/>
  <c r="BX671" i="1" s="1"/>
  <c r="CD478" i="1"/>
  <c r="BV231" i="1"/>
  <c r="BX231" i="1" s="1"/>
  <c r="BV678" i="1"/>
  <c r="BX678" i="1" s="1"/>
  <c r="BR300" i="1"/>
  <c r="BR725" i="1"/>
  <c r="CD680" i="1"/>
  <c r="CE680" i="1" s="1"/>
  <c r="CF680" i="1" s="1"/>
  <c r="CH680" i="1" s="1"/>
  <c r="BT339" i="1"/>
  <c r="BU339" i="1" s="1"/>
  <c r="BV339" i="1" s="1"/>
  <c r="BX339" i="1" s="1"/>
  <c r="BV400" i="1"/>
  <c r="CD160" i="1"/>
  <c r="CE160" i="1" s="1"/>
  <c r="CF160" i="1" s="1"/>
  <c r="CH160" i="1" s="1"/>
  <c r="BQ709" i="1"/>
  <c r="BS709" i="1" s="1"/>
  <c r="CD401" i="1"/>
  <c r="CE401" i="1" s="1"/>
  <c r="CF401" i="1" s="1"/>
  <c r="CH401" i="1" s="1"/>
  <c r="BV525" i="1"/>
  <c r="BX525" i="1" s="1"/>
  <c r="CD93" i="1"/>
  <c r="CE93" i="1" s="1"/>
  <c r="CF93" i="1" s="1"/>
  <c r="CH93" i="1" s="1"/>
  <c r="CD82" i="1"/>
  <c r="CE82" i="1" s="1"/>
  <c r="CF82" i="1" s="1"/>
  <c r="CH82" i="1" s="1"/>
  <c r="CD490" i="1"/>
  <c r="CE490" i="1" s="1"/>
  <c r="CF490" i="1" s="1"/>
  <c r="CH490" i="1" s="1"/>
  <c r="CD672" i="1"/>
  <c r="CD541" i="1"/>
  <c r="CE541" i="1" s="1"/>
  <c r="CF541" i="1" s="1"/>
  <c r="CH541" i="1" s="1"/>
  <c r="BV243" i="1"/>
  <c r="BX243" i="1" s="1"/>
  <c r="BQ164" i="1"/>
  <c r="BS164" i="1" s="1"/>
  <c r="CD740" i="1"/>
  <c r="CE740" i="1" s="1"/>
  <c r="CF740" i="1" s="1"/>
  <c r="CH740" i="1" s="1"/>
  <c r="CD126" i="1"/>
  <c r="CE126" i="1" s="1"/>
  <c r="CF126" i="1" s="1"/>
  <c r="CH126" i="1" s="1"/>
  <c r="CD402" i="1"/>
  <c r="CE402" i="1" s="1"/>
  <c r="CF402" i="1" s="1"/>
  <c r="CH402" i="1" s="1"/>
  <c r="CD81" i="1"/>
  <c r="CE81" i="1" s="1"/>
  <c r="CF81" i="1" s="1"/>
  <c r="CH81" i="1" s="1"/>
  <c r="BT371" i="1"/>
  <c r="CD843" i="1"/>
  <c r="CE843" i="1" s="1"/>
  <c r="CF843" i="1" s="1"/>
  <c r="CH843" i="1" s="1"/>
  <c r="BQ278" i="1"/>
  <c r="BS278" i="1" s="1"/>
  <c r="BV532" i="1"/>
  <c r="BX532" i="1" s="1"/>
  <c r="CD768" i="1"/>
  <c r="CE768" i="1" s="1"/>
  <c r="CF768" i="1" s="1"/>
  <c r="CH768" i="1" s="1"/>
  <c r="BV411" i="1"/>
  <c r="BX411" i="1" s="1"/>
  <c r="BW101" i="1"/>
  <c r="CD360" i="1"/>
  <c r="CE360" i="1" s="1"/>
  <c r="CF360" i="1" s="1"/>
  <c r="CH360" i="1" s="1"/>
  <c r="CD318" i="1"/>
  <c r="CE318" i="1" s="1"/>
  <c r="CF318" i="1" s="1"/>
  <c r="CH318" i="1" s="1"/>
  <c r="BV743" i="1"/>
  <c r="BX743" i="1" s="1"/>
  <c r="CD217" i="1"/>
  <c r="CE217" i="1" s="1"/>
  <c r="CF217" i="1" s="1"/>
  <c r="CH217" i="1" s="1"/>
  <c r="CD440" i="1"/>
  <c r="CE440" i="1" s="1"/>
  <c r="CF440" i="1" s="1"/>
  <c r="CH440" i="1" s="1"/>
  <c r="BR648" i="1"/>
  <c r="BT704" i="1"/>
  <c r="BU704" i="1" s="1"/>
  <c r="BV704" i="1" s="1"/>
  <c r="BX704" i="1" s="1"/>
  <c r="BW68" i="1"/>
  <c r="CD434" i="1"/>
  <c r="CE434" i="1" s="1"/>
  <c r="CF434" i="1" s="1"/>
  <c r="CH434" i="1" s="1"/>
  <c r="CD575" i="1"/>
  <c r="CE575" i="1" s="1"/>
  <c r="CF575" i="1" s="1"/>
  <c r="CH575" i="1" s="1"/>
  <c r="BT623" i="1"/>
  <c r="BU623" i="1" s="1"/>
  <c r="BV623" i="1" s="1"/>
  <c r="BX623" i="1" s="1"/>
  <c r="BT568" i="1"/>
  <c r="BU568" i="1" s="1"/>
  <c r="BV568" i="1" s="1"/>
  <c r="BX568" i="1" s="1"/>
  <c r="CD532" i="1"/>
  <c r="CE532" i="1" s="1"/>
  <c r="CF532" i="1" s="1"/>
  <c r="CH532" i="1" s="1"/>
  <c r="BV194" i="1"/>
  <c r="BX194" i="1" s="1"/>
  <c r="CD128" i="1"/>
  <c r="CE128" i="1" s="1"/>
  <c r="CF128" i="1" s="1"/>
  <c r="CH128" i="1" s="1"/>
  <c r="BW263" i="1"/>
  <c r="CD473" i="1"/>
  <c r="CE473" i="1" s="1"/>
  <c r="CF473" i="1" s="1"/>
  <c r="CH473" i="1" s="1"/>
  <c r="CD814" i="1"/>
  <c r="CE814" i="1" s="1"/>
  <c r="CF814" i="1" s="1"/>
  <c r="CH814" i="1" s="1"/>
  <c r="BR295" i="1"/>
  <c r="BV146" i="1"/>
  <c r="BX146" i="1" s="1"/>
  <c r="CD695" i="1"/>
  <c r="CE695" i="1" s="1"/>
  <c r="CF695" i="1" s="1"/>
  <c r="CH695" i="1" s="1"/>
  <c r="CD488" i="1"/>
  <c r="CE488" i="1" s="1"/>
  <c r="CF488" i="1" s="1"/>
  <c r="CH488" i="1" s="1"/>
  <c r="BV276" i="1"/>
  <c r="BX276" i="1" s="1"/>
  <c r="BT651" i="1"/>
  <c r="BU651" i="1" s="1"/>
  <c r="BV651" i="1" s="1"/>
  <c r="BX651" i="1" s="1"/>
  <c r="BV325" i="1"/>
  <c r="BX325" i="1" s="1"/>
  <c r="BT242" i="1"/>
  <c r="BU242" i="1" s="1"/>
  <c r="BV242" i="1" s="1"/>
  <c r="BX242" i="1" s="1"/>
  <c r="BV474" i="1"/>
  <c r="BX474" i="1" s="1"/>
  <c r="BY20" i="1"/>
  <c r="BZ20" i="1" s="1"/>
  <c r="CA20" i="1" s="1"/>
  <c r="CC20" i="1" s="1"/>
  <c r="CD494" i="1"/>
  <c r="CE494" i="1" s="1"/>
  <c r="CF494" i="1" s="1"/>
  <c r="CH494" i="1" s="1"/>
  <c r="BR182" i="1"/>
  <c r="CD733" i="1"/>
  <c r="BV514" i="1"/>
  <c r="BX514" i="1" s="1"/>
  <c r="CD47" i="1"/>
  <c r="CE47" i="1" s="1"/>
  <c r="CF47" i="1" s="1"/>
  <c r="CH47" i="1" s="1"/>
  <c r="CD117" i="1"/>
  <c r="CE117" i="1" s="1"/>
  <c r="CF117" i="1" s="1"/>
  <c r="CH117" i="1" s="1"/>
  <c r="CD781" i="1"/>
  <c r="CE781" i="1" s="1"/>
  <c r="CF781" i="1" s="1"/>
  <c r="CH781" i="1" s="1"/>
  <c r="CD343" i="1"/>
  <c r="CE343" i="1" s="1"/>
  <c r="CF343" i="1" s="1"/>
  <c r="CH343" i="1" s="1"/>
  <c r="BV526" i="1"/>
  <c r="CD474" i="1"/>
  <c r="CE474" i="1" s="1"/>
  <c r="CF474" i="1" s="1"/>
  <c r="CH474" i="1" s="1"/>
  <c r="BV713" i="1"/>
  <c r="BX713" i="1" s="1"/>
  <c r="BY791" i="1"/>
  <c r="BZ791" i="1" s="1"/>
  <c r="CA791" i="1" s="1"/>
  <c r="CC791" i="1" s="1"/>
  <c r="CD236" i="1"/>
  <c r="CE236" i="1" s="1"/>
  <c r="CF236" i="1" s="1"/>
  <c r="CH236" i="1" s="1"/>
  <c r="BV494" i="1"/>
  <c r="BX494" i="1" s="1"/>
  <c r="BY94" i="1"/>
  <c r="BZ94" i="1" s="1"/>
  <c r="CA94" i="1" s="1"/>
  <c r="CC94" i="1" s="1"/>
  <c r="CD579" i="1"/>
  <c r="CE579" i="1" s="1"/>
  <c r="CF579" i="1" s="1"/>
  <c r="CH579" i="1" s="1"/>
  <c r="CD19" i="1"/>
  <c r="CE19" i="1" s="1"/>
  <c r="CF19" i="1" s="1"/>
  <c r="CH19" i="1" s="1"/>
  <c r="BV224" i="1"/>
  <c r="BX224" i="1" s="1"/>
  <c r="CI41" i="1"/>
  <c r="BY69" i="1"/>
  <c r="BZ69" i="1" s="1"/>
  <c r="CA69" i="1" s="1"/>
  <c r="CC69" i="1" s="1"/>
  <c r="CB47" i="1"/>
  <c r="BR302" i="1"/>
  <c r="BT180" i="1"/>
  <c r="BU180" i="1" s="1"/>
  <c r="BV180" i="1" s="1"/>
  <c r="BX180" i="1" s="1"/>
  <c r="BV534" i="1"/>
  <c r="BX534" i="1" s="1"/>
  <c r="BV781" i="1"/>
  <c r="BX781" i="1" s="1"/>
  <c r="BV662" i="1"/>
  <c r="BX662" i="1" s="1"/>
  <c r="BY40" i="1"/>
  <c r="BZ40" i="1" s="1"/>
  <c r="CA40" i="1" s="1"/>
  <c r="CC40" i="1" s="1"/>
  <c r="CD528" i="1"/>
  <c r="CE528" i="1" s="1"/>
  <c r="CF528" i="1" s="1"/>
  <c r="CH528" i="1" s="1"/>
  <c r="CD727" i="1"/>
  <c r="CE727" i="1" s="1"/>
  <c r="CF727" i="1" s="1"/>
  <c r="CH727" i="1" s="1"/>
  <c r="BV563" i="1"/>
  <c r="BX563" i="1" s="1"/>
  <c r="CD396" i="1"/>
  <c r="CE396" i="1" s="1"/>
  <c r="CF396" i="1" s="1"/>
  <c r="CH396" i="1" s="1"/>
  <c r="BV644" i="1"/>
  <c r="BX644" i="1" s="1"/>
  <c r="BR540" i="1"/>
  <c r="BT312" i="1"/>
  <c r="BU312" i="1" s="1"/>
  <c r="BV312" i="1" s="1"/>
  <c r="BX312" i="1" s="1"/>
  <c r="BT589" i="1"/>
  <c r="BU589" i="1" s="1"/>
  <c r="BV589" i="1" s="1"/>
  <c r="BX589" i="1" s="1"/>
  <c r="BW23" i="1"/>
  <c r="CD287" i="1"/>
  <c r="BY42" i="1"/>
  <c r="BZ42" i="1" s="1"/>
  <c r="CA42" i="1" s="1"/>
  <c r="CC42" i="1" s="1"/>
  <c r="CD738" i="1"/>
  <c r="CE738" i="1" s="1"/>
  <c r="CF738" i="1" s="1"/>
  <c r="CH738" i="1" s="1"/>
  <c r="BR274" i="1"/>
  <c r="BV277" i="1"/>
  <c r="BX277" i="1" s="1"/>
  <c r="CD765" i="1"/>
  <c r="CE765" i="1" s="1"/>
  <c r="CF765" i="1" s="1"/>
  <c r="CH765" i="1" s="1"/>
  <c r="BV510" i="1"/>
  <c r="BX510" i="1" s="1"/>
  <c r="CL130" i="1"/>
  <c r="BY60" i="1"/>
  <c r="BZ60" i="1" s="1"/>
  <c r="CA60" i="1" s="1"/>
  <c r="CC60" i="1" s="1"/>
  <c r="BW51" i="1"/>
  <c r="BR179" i="1"/>
  <c r="BV773" i="1"/>
  <c r="BX773" i="1" s="1"/>
  <c r="CG13" i="1"/>
  <c r="BR353" i="1"/>
  <c r="CB45" i="1"/>
  <c r="BY73" i="1"/>
  <c r="BZ73" i="1" s="1"/>
  <c r="CA73" i="1" s="1"/>
  <c r="CC73" i="1" s="1"/>
  <c r="BW92" i="1"/>
  <c r="CG264" i="1"/>
  <c r="BV730" i="1"/>
  <c r="BX730" i="1" s="1"/>
  <c r="BR557" i="1"/>
  <c r="CI255" i="1"/>
  <c r="CJ255" i="1" s="1"/>
  <c r="CK255" i="1" s="1"/>
  <c r="BV665" i="1"/>
  <c r="BX665" i="1" s="1"/>
  <c r="BT333" i="1"/>
  <c r="BU333" i="1" s="1"/>
  <c r="BV333" i="1" s="1"/>
  <c r="BX333" i="1" s="1"/>
  <c r="CD536" i="1"/>
  <c r="CE536" i="1" s="1"/>
  <c r="CF536" i="1" s="1"/>
  <c r="CH536" i="1" s="1"/>
  <c r="BQ215" i="1"/>
  <c r="BS215" i="1" s="1"/>
  <c r="CD419" i="1"/>
  <c r="CE419" i="1" s="1"/>
  <c r="CF419" i="1" s="1"/>
  <c r="CH419" i="1" s="1"/>
  <c r="BV746" i="1"/>
  <c r="BX746" i="1" s="1"/>
  <c r="BV509" i="1"/>
  <c r="CB24" i="1"/>
  <c r="CD58" i="1"/>
  <c r="CE58" i="1" s="1"/>
  <c r="CF58" i="1" s="1"/>
  <c r="CH58" i="1" s="1"/>
  <c r="BQ748" i="1"/>
  <c r="BS748" i="1" s="1"/>
  <c r="CD524" i="1"/>
  <c r="CE524" i="1" s="1"/>
  <c r="CF524" i="1" s="1"/>
  <c r="CH524" i="1" s="1"/>
  <c r="BV619" i="1"/>
  <c r="BX619" i="1" s="1"/>
  <c r="BV286" i="1"/>
  <c r="BX286" i="1" s="1"/>
  <c r="BR321" i="1"/>
  <c r="BV459" i="1"/>
  <c r="BX459" i="1" s="1"/>
  <c r="BY32" i="1"/>
  <c r="CD55" i="1"/>
  <c r="CE55" i="1" s="1"/>
  <c r="CF55" i="1" s="1"/>
  <c r="CH55" i="1" s="1"/>
  <c r="BV756" i="1"/>
  <c r="BX756" i="1" s="1"/>
  <c r="CD487" i="1"/>
  <c r="CE487" i="1" s="1"/>
  <c r="CF487" i="1" s="1"/>
  <c r="CH487" i="1" s="1"/>
  <c r="BR219" i="1"/>
  <c r="CD209" i="1"/>
  <c r="CE209" i="1" s="1"/>
  <c r="CF209" i="1" s="1"/>
  <c r="CH209" i="1" s="1"/>
  <c r="BV673" i="1"/>
  <c r="BX673" i="1" s="1"/>
  <c r="BV737" i="1"/>
  <c r="BX737" i="1" s="1"/>
  <c r="BW108" i="1"/>
  <c r="BV769" i="1"/>
  <c r="BX769" i="1" s="1"/>
  <c r="BQ368" i="1"/>
  <c r="BS368" i="1" s="1"/>
  <c r="CD739" i="1"/>
  <c r="CE739" i="1" s="1"/>
  <c r="CF739" i="1" s="1"/>
  <c r="CH739" i="1" s="1"/>
  <c r="BT319" i="1"/>
  <c r="BU319" i="1" s="1"/>
  <c r="BV319" i="1" s="1"/>
  <c r="BX319" i="1" s="1"/>
  <c r="CD203" i="1"/>
  <c r="CE203" i="1" s="1"/>
  <c r="CF203" i="1" s="1"/>
  <c r="CH203" i="1" s="1"/>
  <c r="CB817" i="1"/>
  <c r="BY272" i="1"/>
  <c r="CB272" i="1" s="1"/>
  <c r="CD611" i="1"/>
  <c r="CE611" i="1" s="1"/>
  <c r="CF611" i="1" s="1"/>
  <c r="CH611" i="1" s="1"/>
  <c r="BT578" i="1"/>
  <c r="BU578" i="1" s="1"/>
  <c r="BV578" i="1" s="1"/>
  <c r="BX578" i="1" s="1"/>
  <c r="CI793" i="1"/>
  <c r="CJ793" i="1" s="1"/>
  <c r="CK793" i="1" s="1"/>
  <c r="BV478" i="1"/>
  <c r="BX478" i="1" s="1"/>
  <c r="CD424" i="1"/>
  <c r="CE424" i="1" s="1"/>
  <c r="CF424" i="1" s="1"/>
  <c r="CH424" i="1" s="1"/>
  <c r="CD231" i="1"/>
  <c r="CE231" i="1" s="1"/>
  <c r="CF231" i="1" s="1"/>
  <c r="CH231" i="1" s="1"/>
  <c r="CD678" i="1"/>
  <c r="CE678" i="1" s="1"/>
  <c r="CF678" i="1" s="1"/>
  <c r="CH678" i="1" s="1"/>
  <c r="BT548" i="1"/>
  <c r="BU548" i="1" s="1"/>
  <c r="BV548" i="1" s="1"/>
  <c r="BX548" i="1" s="1"/>
  <c r="BV465" i="1"/>
  <c r="BX465" i="1" s="1"/>
  <c r="BY74" i="1"/>
  <c r="BZ74" i="1" s="1"/>
  <c r="CA74" i="1" s="1"/>
  <c r="CC74" i="1" s="1"/>
  <c r="BR339" i="1"/>
  <c r="CD400" i="1"/>
  <c r="CE400" i="1" s="1"/>
  <c r="CF400" i="1" s="1"/>
  <c r="CH400" i="1" s="1"/>
  <c r="CD486" i="1"/>
  <c r="CE486" i="1" s="1"/>
  <c r="CF486" i="1" s="1"/>
  <c r="CH486" i="1" s="1"/>
  <c r="BY709" i="1"/>
  <c r="CB709" i="1" s="1"/>
  <c r="BV660" i="1"/>
  <c r="BX660" i="1" s="1"/>
  <c r="BV697" i="1"/>
  <c r="BX697" i="1" s="1"/>
  <c r="CD436" i="1"/>
  <c r="CE436" i="1" s="1"/>
  <c r="CF436" i="1" s="1"/>
  <c r="CH436" i="1" s="1"/>
  <c r="BV326" i="1"/>
  <c r="BX326" i="1" s="1"/>
  <c r="BV298" i="1"/>
  <c r="CD34" i="1"/>
  <c r="CE34" i="1" s="1"/>
  <c r="CF34" i="1" s="1"/>
  <c r="CH34" i="1" s="1"/>
  <c r="CD504" i="1"/>
  <c r="CD728" i="1"/>
  <c r="CE728" i="1" s="1"/>
  <c r="CF728" i="1" s="1"/>
  <c r="CH728" i="1" s="1"/>
  <c r="CI46" i="1"/>
  <c r="CJ46" i="1" s="1"/>
  <c r="CK46" i="1" s="1"/>
  <c r="BV457" i="1"/>
  <c r="BX457" i="1" s="1"/>
  <c r="CD711" i="1"/>
  <c r="CE711" i="1" s="1"/>
  <c r="CF711" i="1" s="1"/>
  <c r="CH711" i="1" s="1"/>
  <c r="BV479" i="1"/>
  <c r="BX479" i="1" s="1"/>
  <c r="BT622" i="1"/>
  <c r="BQ380" i="1"/>
  <c r="BS380" i="1" s="1"/>
  <c r="CD663" i="1"/>
  <c r="CE663" i="1" s="1"/>
  <c r="CF663" i="1" s="1"/>
  <c r="CH663" i="1" s="1"/>
  <c r="BV546" i="1"/>
  <c r="BX546" i="1" s="1"/>
  <c r="BV523" i="1"/>
  <c r="BX523" i="1" s="1"/>
  <c r="BV731" i="1"/>
  <c r="BX731" i="1" s="1"/>
  <c r="CD430" i="1"/>
  <c r="CE430" i="1" s="1"/>
  <c r="CF430" i="1" s="1"/>
  <c r="CH430" i="1" s="1"/>
  <c r="BY166" i="1"/>
  <c r="CB166" i="1" s="1"/>
  <c r="BY77" i="1"/>
  <c r="CD767" i="1"/>
  <c r="CE767" i="1" s="1"/>
  <c r="CF767" i="1" s="1"/>
  <c r="CH767" i="1" s="1"/>
  <c r="BV214" i="1"/>
  <c r="BV449" i="1"/>
  <c r="BX449" i="1" s="1"/>
  <c r="CD298" i="1"/>
  <c r="CE298" i="1" s="1"/>
  <c r="CF298" i="1" s="1"/>
  <c r="CH298" i="1" s="1"/>
  <c r="BV122" i="1"/>
  <c r="BX122" i="1" s="1"/>
  <c r="BT597" i="1"/>
  <c r="BU597" i="1" s="1"/>
  <c r="BV597" i="1" s="1"/>
  <c r="BX597" i="1" s="1"/>
  <c r="CD411" i="1"/>
  <c r="CE411" i="1" s="1"/>
  <c r="CF411" i="1" s="1"/>
  <c r="CH411" i="1" s="1"/>
  <c r="BY78" i="1"/>
  <c r="BZ78" i="1" s="1"/>
  <c r="CA78" i="1" s="1"/>
  <c r="CC78" i="1" s="1"/>
  <c r="BV199" i="1"/>
  <c r="BX199" i="1" s="1"/>
  <c r="BT590" i="1"/>
  <c r="BT648" i="1"/>
  <c r="BU648" i="1" s="1"/>
  <c r="BV648" i="1" s="1"/>
  <c r="BX648" i="1" s="1"/>
  <c r="BV222" i="1"/>
  <c r="BX222" i="1" s="1"/>
  <c r="BT716" i="1"/>
  <c r="BU716" i="1" s="1"/>
  <c r="BV716" i="1" s="1"/>
  <c r="BX716" i="1" s="1"/>
  <c r="CD567" i="1"/>
  <c r="CE567" i="1" s="1"/>
  <c r="CF567" i="1" s="1"/>
  <c r="CH567" i="1" s="1"/>
  <c r="BV408" i="1"/>
  <c r="BX408" i="1" s="1"/>
  <c r="CD421" i="1"/>
  <c r="CD418" i="1"/>
  <c r="CE418" i="1" s="1"/>
  <c r="CF418" i="1" s="1"/>
  <c r="CH418" i="1" s="1"/>
  <c r="BT555" i="1"/>
  <c r="BU555" i="1" s="1"/>
  <c r="BV555" i="1" s="1"/>
  <c r="BX555" i="1" s="1"/>
  <c r="BY263" i="1"/>
  <c r="BZ263" i="1" s="1"/>
  <c r="CA263" i="1" s="1"/>
  <c r="CC263" i="1" s="1"/>
  <c r="BV327" i="1"/>
  <c r="BX327" i="1" s="1"/>
  <c r="BV535" i="1"/>
  <c r="BX535" i="1" s="1"/>
  <c r="CD243" i="1"/>
  <c r="CE243" i="1" s="1"/>
  <c r="CF243" i="1" s="1"/>
  <c r="CH243" i="1" s="1"/>
  <c r="BV369" i="1"/>
  <c r="BX369" i="1" s="1"/>
  <c r="BR716" i="1"/>
  <c r="BW61" i="1"/>
  <c r="CB81" i="1"/>
  <c r="BV109" i="1"/>
  <c r="BX109" i="1" s="1"/>
  <c r="BR187" i="1"/>
  <c r="BT650" i="1"/>
  <c r="BU650" i="1" s="1"/>
  <c r="BV650" i="1" s="1"/>
  <c r="BX650" i="1" s="1"/>
  <c r="BV435" i="1"/>
  <c r="BX435" i="1" s="1"/>
  <c r="CD535" i="1"/>
  <c r="CE535" i="1" s="1"/>
  <c r="CF535" i="1" s="1"/>
  <c r="CH535" i="1" s="1"/>
  <c r="BV233" i="1"/>
  <c r="BX233" i="1" s="1"/>
  <c r="BV394" i="1"/>
  <c r="BX394" i="1" s="1"/>
  <c r="BR554" i="1"/>
  <c r="BV317" i="1"/>
  <c r="BX317" i="1" s="1"/>
  <c r="BW85" i="1"/>
  <c r="BV447" i="1"/>
  <c r="BX447" i="1" s="1"/>
  <c r="BV249" i="1"/>
  <c r="BX249" i="1" s="1"/>
  <c r="BW260" i="1"/>
  <c r="CD526" i="1"/>
  <c r="CE526" i="1" s="1"/>
  <c r="CF526" i="1" s="1"/>
  <c r="CH526" i="1" s="1"/>
  <c r="CD713" i="1"/>
  <c r="CE713" i="1" s="1"/>
  <c r="CF713" i="1" s="1"/>
  <c r="CH713" i="1" s="1"/>
  <c r="BV236" i="1"/>
  <c r="BX236" i="1" s="1"/>
  <c r="CD674" i="1"/>
  <c r="CE674" i="1" s="1"/>
  <c r="CF674" i="1" s="1"/>
  <c r="CH674" i="1" s="1"/>
  <c r="BV579" i="1"/>
  <c r="BX579" i="1" s="1"/>
  <c r="CD224" i="1"/>
  <c r="CE224" i="1" s="1"/>
  <c r="CF224" i="1" s="1"/>
  <c r="CH224" i="1" s="1"/>
  <c r="CD676" i="1"/>
  <c r="CE676" i="1" s="1"/>
  <c r="CF676" i="1" s="1"/>
  <c r="CH676" i="1" s="1"/>
  <c r="CD456" i="1"/>
  <c r="CE456" i="1" s="1"/>
  <c r="CF456" i="1" s="1"/>
  <c r="CH456" i="1" s="1"/>
  <c r="CD534" i="1"/>
  <c r="CE534" i="1" s="1"/>
  <c r="CF534" i="1" s="1"/>
  <c r="CH534" i="1" s="1"/>
  <c r="CD177" i="1"/>
  <c r="CE177" i="1" s="1"/>
  <c r="CF177" i="1" s="1"/>
  <c r="CH177" i="1" s="1"/>
  <c r="CD662" i="1"/>
  <c r="CE662" i="1" s="1"/>
  <c r="CF662" i="1" s="1"/>
  <c r="CH662" i="1" s="1"/>
  <c r="BT289" i="1"/>
  <c r="BU289" i="1" s="1"/>
  <c r="BV289" i="1" s="1"/>
  <c r="BX289" i="1" s="1"/>
  <c r="BV480" i="1"/>
  <c r="BX480" i="1" s="1"/>
  <c r="BT607" i="1"/>
  <c r="BU607" i="1" s="1"/>
  <c r="BV607" i="1" s="1"/>
  <c r="BX607" i="1" s="1"/>
  <c r="CD563" i="1"/>
  <c r="CE563" i="1" s="1"/>
  <c r="CF563" i="1" s="1"/>
  <c r="CH563" i="1" s="1"/>
  <c r="BV396" i="1"/>
  <c r="BX396" i="1" s="1"/>
  <c r="CD644" i="1"/>
  <c r="CE644" i="1" s="1"/>
  <c r="CF644" i="1" s="1"/>
  <c r="CH644" i="1" s="1"/>
  <c r="BT540" i="1"/>
  <c r="BU540" i="1" s="1"/>
  <c r="BV540" i="1" s="1"/>
  <c r="BX540" i="1" s="1"/>
  <c r="BV176" i="1"/>
  <c r="BX176" i="1" s="1"/>
  <c r="BT598" i="1"/>
  <c r="BU598" i="1" s="1"/>
  <c r="BV598" i="1" s="1"/>
  <c r="BX598" i="1" s="1"/>
  <c r="BV577" i="1"/>
  <c r="BX577" i="1" s="1"/>
  <c r="CD124" i="1"/>
  <c r="CE124" i="1" s="1"/>
  <c r="CF124" i="1" s="1"/>
  <c r="CH124" i="1" s="1"/>
  <c r="BV701" i="1"/>
  <c r="BX701" i="1" s="1"/>
  <c r="BV765" i="1"/>
  <c r="BX765" i="1" s="1"/>
  <c r="BV764" i="1"/>
  <c r="BX764" i="1" s="1"/>
  <c r="BV466" i="1"/>
  <c r="BX466" i="1" s="1"/>
  <c r="CD592" i="1"/>
  <c r="CE592" i="1" s="1"/>
  <c r="CF592" i="1" s="1"/>
  <c r="CH592" i="1" s="1"/>
  <c r="CD293" i="1"/>
  <c r="CE293" i="1" s="1"/>
  <c r="CF293" i="1" s="1"/>
  <c r="CH293" i="1" s="1"/>
  <c r="BV294" i="1"/>
  <c r="BX294" i="1" s="1"/>
  <c r="CD773" i="1"/>
  <c r="CE773" i="1" s="1"/>
  <c r="CF773" i="1" s="1"/>
  <c r="CH773" i="1" s="1"/>
  <c r="CD429" i="1"/>
  <c r="CE429" i="1" s="1"/>
  <c r="CF429" i="1" s="1"/>
  <c r="CH429" i="1" s="1"/>
  <c r="BT353" i="1"/>
  <c r="BU353" i="1" s="1"/>
  <c r="BV353" i="1" s="1"/>
  <c r="BX353" i="1" s="1"/>
  <c r="BV358" i="1"/>
  <c r="BX358" i="1" s="1"/>
  <c r="BY92" i="1"/>
  <c r="BZ92" i="1" s="1"/>
  <c r="CA92" i="1" s="1"/>
  <c r="CC92" i="1" s="1"/>
  <c r="CI264" i="1"/>
  <c r="CJ264" i="1" s="1"/>
  <c r="CK264" i="1" s="1"/>
  <c r="CD730" i="1"/>
  <c r="CE730" i="1" s="1"/>
  <c r="CF730" i="1" s="1"/>
  <c r="CH730" i="1" s="1"/>
  <c r="BT557" i="1"/>
  <c r="BU557" i="1" s="1"/>
  <c r="BV557" i="1" s="1"/>
  <c r="BX557" i="1" s="1"/>
  <c r="BY29" i="1"/>
  <c r="BZ29" i="1" s="1"/>
  <c r="CA29" i="1" s="1"/>
  <c r="CC29" i="1" s="1"/>
  <c r="BV134" i="1"/>
  <c r="BX134" i="1" s="1"/>
  <c r="CD215" i="1"/>
  <c r="CE215" i="1" s="1"/>
  <c r="CF215" i="1" s="1"/>
  <c r="CH215" i="1" s="1"/>
  <c r="BV419" i="1"/>
  <c r="BX419" i="1" s="1"/>
  <c r="CD746" i="1"/>
  <c r="CE746" i="1" s="1"/>
  <c r="CF746" i="1" s="1"/>
  <c r="CH746" i="1" s="1"/>
  <c r="CD509" i="1"/>
  <c r="CE509" i="1" s="1"/>
  <c r="CF509" i="1" s="1"/>
  <c r="CH509" i="1" s="1"/>
  <c r="CD24" i="1"/>
  <c r="CE24" i="1" s="1"/>
  <c r="CF24" i="1" s="1"/>
  <c r="CH24" i="1" s="1"/>
  <c r="CD613" i="1"/>
  <c r="CE613" i="1" s="1"/>
  <c r="CF613" i="1" s="1"/>
  <c r="CH613" i="1" s="1"/>
  <c r="CD700" i="1"/>
  <c r="CE700" i="1" s="1"/>
  <c r="CF700" i="1" s="1"/>
  <c r="CH700" i="1" s="1"/>
  <c r="BV391" i="1"/>
  <c r="BX391" i="1" s="1"/>
  <c r="CD375" i="1"/>
  <c r="CE375" i="1" s="1"/>
  <c r="CF375" i="1" s="1"/>
  <c r="CH375" i="1" s="1"/>
  <c r="CD841" i="1"/>
  <c r="CE841" i="1" s="1"/>
  <c r="CF841" i="1" s="1"/>
  <c r="CH841" i="1" s="1"/>
  <c r="BV441" i="1"/>
  <c r="BX441" i="1" s="1"/>
  <c r="BQ415" i="1"/>
  <c r="BS415" i="1" s="1"/>
  <c r="CD756" i="1"/>
  <c r="CE756" i="1" s="1"/>
  <c r="CF756" i="1" s="1"/>
  <c r="CH756" i="1" s="1"/>
  <c r="CD705" i="1"/>
  <c r="CE705" i="1" s="1"/>
  <c r="CF705" i="1" s="1"/>
  <c r="CH705" i="1" s="1"/>
  <c r="BT580" i="1"/>
  <c r="BU580" i="1" s="1"/>
  <c r="BV580" i="1" s="1"/>
  <c r="BX580" i="1" s="1"/>
  <c r="BV444" i="1"/>
  <c r="BX444" i="1" s="1"/>
  <c r="CD673" i="1"/>
  <c r="CE673" i="1" s="1"/>
  <c r="CF673" i="1" s="1"/>
  <c r="CH673" i="1" s="1"/>
  <c r="CD737" i="1"/>
  <c r="CE737" i="1" s="1"/>
  <c r="CF737" i="1" s="1"/>
  <c r="CH737" i="1" s="1"/>
  <c r="BY108" i="1"/>
  <c r="BZ108" i="1" s="1"/>
  <c r="CA108" i="1" s="1"/>
  <c r="CC108" i="1" s="1"/>
  <c r="BT190" i="1"/>
  <c r="BU190" i="1" s="1"/>
  <c r="BV190" i="1" s="1"/>
  <c r="BX190" i="1" s="1"/>
  <c r="BT601" i="1"/>
  <c r="BU601" i="1" s="1"/>
  <c r="BV601" i="1" s="1"/>
  <c r="BX601" i="1" s="1"/>
  <c r="CD246" i="1"/>
  <c r="CE246" i="1" s="1"/>
  <c r="CF246" i="1" s="1"/>
  <c r="CH246" i="1" s="1"/>
  <c r="BV203" i="1"/>
  <c r="BX203" i="1" s="1"/>
  <c r="BV439" i="1"/>
  <c r="BX439" i="1" s="1"/>
  <c r="BW272" i="1"/>
  <c r="BT708" i="1"/>
  <c r="BU708" i="1" s="1"/>
  <c r="BV708" i="1" s="1"/>
  <c r="BX708" i="1" s="1"/>
  <c r="BV611" i="1"/>
  <c r="BX611" i="1" s="1"/>
  <c r="BR578" i="1"/>
  <c r="CG793" i="1"/>
  <c r="BV508" i="1"/>
  <c r="BX508" i="1" s="1"/>
  <c r="BV424" i="1"/>
  <c r="CD543" i="1"/>
  <c r="CE543" i="1" s="1"/>
  <c r="CF543" i="1" s="1"/>
  <c r="CH543" i="1" s="1"/>
  <c r="BV761" i="1"/>
  <c r="BR548" i="1"/>
  <c r="CD465" i="1"/>
  <c r="CE465" i="1" s="1"/>
  <c r="CF465" i="1" s="1"/>
  <c r="CH465" i="1" s="1"/>
  <c r="BW74" i="1"/>
  <c r="CD783" i="1"/>
  <c r="CE783" i="1" s="1"/>
  <c r="CF783" i="1" s="1"/>
  <c r="CH783" i="1" s="1"/>
  <c r="BQ486" i="1"/>
  <c r="BS486" i="1" s="1"/>
  <c r="BQ632" i="1"/>
  <c r="BS632" i="1" s="1"/>
  <c r="CD660" i="1"/>
  <c r="CD697" i="1"/>
  <c r="CE697" i="1" s="1"/>
  <c r="CF697" i="1" s="1"/>
  <c r="CH697" i="1" s="1"/>
  <c r="BV436" i="1"/>
  <c r="BX436" i="1" s="1"/>
  <c r="CD326" i="1"/>
  <c r="CE326" i="1" s="1"/>
  <c r="CF326" i="1" s="1"/>
  <c r="CH326" i="1" s="1"/>
  <c r="BT220" i="1"/>
  <c r="BU220" i="1" s="1"/>
  <c r="BV220" i="1" s="1"/>
  <c r="BX220" i="1" s="1"/>
  <c r="BT307" i="1"/>
  <c r="BU307" i="1" s="1"/>
  <c r="BV307" i="1" s="1"/>
  <c r="BX307" i="1" s="1"/>
  <c r="BT591" i="1"/>
  <c r="BU591" i="1" s="1"/>
  <c r="BV591" i="1" s="1"/>
  <c r="BX591" i="1" s="1"/>
  <c r="CD645" i="1"/>
  <c r="CE645" i="1" s="1"/>
  <c r="CF645" i="1" s="1"/>
  <c r="CH645" i="1" s="1"/>
  <c r="CD234" i="1"/>
  <c r="CD155" i="1"/>
  <c r="CE155" i="1" s="1"/>
  <c r="CF155" i="1" s="1"/>
  <c r="CH155" i="1" s="1"/>
  <c r="BV458" i="1"/>
  <c r="BX458" i="1" s="1"/>
  <c r="BR280" i="1"/>
  <c r="BR723" i="1"/>
  <c r="BV573" i="1"/>
  <c r="BX573" i="1" s="1"/>
  <c r="CI250" i="1"/>
  <c r="CJ250" i="1" s="1"/>
  <c r="CK250" i="1" s="1"/>
  <c r="CD636" i="1"/>
  <c r="CE636" i="1" s="1"/>
  <c r="CF636" i="1" s="1"/>
  <c r="CH636" i="1" s="1"/>
  <c r="BV711" i="1"/>
  <c r="BX711" i="1" s="1"/>
  <c r="BV782" i="1"/>
  <c r="BV519" i="1"/>
  <c r="BX519" i="1" s="1"/>
  <c r="BV596" i="1"/>
  <c r="BX596" i="1" s="1"/>
  <c r="CD531" i="1"/>
  <c r="CE531" i="1" s="1"/>
  <c r="CF531" i="1" s="1"/>
  <c r="CH531" i="1" s="1"/>
  <c r="CD787" i="1"/>
  <c r="CE787" i="1" s="1"/>
  <c r="CF787" i="1" s="1"/>
  <c r="CH787" i="1" s="1"/>
  <c r="BT55" i="1"/>
  <c r="BW55" i="1" s="1"/>
  <c r="CD369" i="1"/>
  <c r="CE369" i="1" s="1"/>
  <c r="CF369" i="1" s="1"/>
  <c r="CH369" i="1" s="1"/>
  <c r="BV767" i="1"/>
  <c r="BX767" i="1" s="1"/>
  <c r="CD458" i="1"/>
  <c r="BY265" i="1"/>
  <c r="BZ265" i="1" s="1"/>
  <c r="CA265" i="1" s="1"/>
  <c r="CC265" i="1" s="1"/>
  <c r="CD573" i="1"/>
  <c r="CE573" i="1" s="1"/>
  <c r="CF573" i="1" s="1"/>
  <c r="CH573" i="1" s="1"/>
  <c r="BT187" i="1"/>
  <c r="BU187" i="1" s="1"/>
  <c r="BV187" i="1" s="1"/>
  <c r="BX187" i="1" s="1"/>
  <c r="CD742" i="1"/>
  <c r="CE742" i="1" s="1"/>
  <c r="CF742" i="1" s="1"/>
  <c r="CH742" i="1" s="1"/>
  <c r="BV128" i="1"/>
  <c r="BX128" i="1" s="1"/>
  <c r="CL269" i="1"/>
  <c r="BV498" i="1"/>
  <c r="BX498" i="1" s="1"/>
  <c r="BT554" i="1"/>
  <c r="BU554" i="1" s="1"/>
  <c r="BV554" i="1" s="1"/>
  <c r="BX554" i="1" s="1"/>
  <c r="BV740" i="1"/>
  <c r="BX740" i="1" s="1"/>
  <c r="BT299" i="1"/>
  <c r="BU299" i="1" s="1"/>
  <c r="BV299" i="1" s="1"/>
  <c r="BX299" i="1" s="1"/>
  <c r="BV658" i="1"/>
  <c r="BX658" i="1" s="1"/>
  <c r="BV631" i="1"/>
  <c r="BX631" i="1" s="1"/>
  <c r="BV129" i="1"/>
  <c r="BX129" i="1" s="1"/>
  <c r="CD452" i="1"/>
  <c r="CE452" i="1" s="1"/>
  <c r="CF452" i="1" s="1"/>
  <c r="CH452" i="1" s="1"/>
  <c r="CD502" i="1"/>
  <c r="CE502" i="1" s="1"/>
  <c r="CF502" i="1" s="1"/>
  <c r="CH502" i="1" s="1"/>
  <c r="BV757" i="1"/>
  <c r="BX757" i="1" s="1"/>
  <c r="BR586" i="1"/>
  <c r="BV318" i="1"/>
  <c r="BX318" i="1" s="1"/>
  <c r="CG67" i="1"/>
  <c r="CD689" i="1"/>
  <c r="CE689" i="1" s="1"/>
  <c r="CF689" i="1" s="1"/>
  <c r="CH689" i="1" s="1"/>
  <c r="BV306" i="1"/>
  <c r="BX306" i="1" s="1"/>
  <c r="CD90" i="1"/>
  <c r="CE90" i="1" s="1"/>
  <c r="CF90" i="1" s="1"/>
  <c r="CH90" i="1" s="1"/>
  <c r="CD669" i="1"/>
  <c r="CE669" i="1" s="1"/>
  <c r="CF669" i="1" s="1"/>
  <c r="CH669" i="1" s="1"/>
  <c r="CD658" i="1"/>
  <c r="CE658" i="1" s="1"/>
  <c r="CF658" i="1" s="1"/>
  <c r="CH658" i="1" s="1"/>
  <c r="CD631" i="1"/>
  <c r="CE631" i="1" s="1"/>
  <c r="CF631" i="1" s="1"/>
  <c r="CH631" i="1" s="1"/>
  <c r="BV688" i="1"/>
  <c r="BX688" i="1" s="1"/>
  <c r="BV779" i="1"/>
  <c r="BX779" i="1" s="1"/>
  <c r="CD688" i="1"/>
  <c r="CE688" i="1" s="1"/>
  <c r="CF688" i="1" s="1"/>
  <c r="CH688" i="1" s="1"/>
  <c r="BR583" i="1"/>
  <c r="BW252" i="1"/>
  <c r="BT646" i="1"/>
  <c r="BU646" i="1" s="1"/>
  <c r="BV646" i="1" s="1"/>
  <c r="BX646" i="1" s="1"/>
  <c r="BV674" i="1"/>
  <c r="BX674" i="1" s="1"/>
  <c r="BY84" i="1"/>
  <c r="BZ84" i="1" s="1"/>
  <c r="CA84" i="1" s="1"/>
  <c r="CC84" i="1" s="1"/>
  <c r="BR354" i="1"/>
  <c r="CI813" i="1"/>
  <c r="BV381" i="1"/>
  <c r="BX381" i="1" s="1"/>
  <c r="BQ676" i="1"/>
  <c r="BV116" i="1"/>
  <c r="BX116" i="1" s="1"/>
  <c r="BV456" i="1"/>
  <c r="BX456" i="1" s="1"/>
  <c r="BV518" i="1"/>
  <c r="BX518" i="1" s="1"/>
  <c r="BT357" i="1"/>
  <c r="BU357" i="1" s="1"/>
  <c r="BV357" i="1" s="1"/>
  <c r="BX357" i="1" s="1"/>
  <c r="BV177" i="1"/>
  <c r="BX177" i="1" s="1"/>
  <c r="BR289" i="1"/>
  <c r="CD480" i="1"/>
  <c r="CE480" i="1" s="1"/>
  <c r="CF480" i="1" s="1"/>
  <c r="CH480" i="1" s="1"/>
  <c r="BR607" i="1"/>
  <c r="BV784" i="1"/>
  <c r="CD751" i="1"/>
  <c r="CE751" i="1" s="1"/>
  <c r="CF751" i="1" s="1"/>
  <c r="CH751" i="1" s="1"/>
  <c r="BV173" i="1"/>
  <c r="BX173" i="1" s="1"/>
  <c r="CD22" i="1"/>
  <c r="CE22" i="1" s="1"/>
  <c r="CF22" i="1" s="1"/>
  <c r="CH22" i="1" s="1"/>
  <c r="CG167" i="1"/>
  <c r="BT342" i="1"/>
  <c r="BU342" i="1" s="1"/>
  <c r="BV342" i="1" s="1"/>
  <c r="BX342" i="1" s="1"/>
  <c r="CD176" i="1"/>
  <c r="CE176" i="1" s="1"/>
  <c r="CF176" i="1" s="1"/>
  <c r="CH176" i="1" s="1"/>
  <c r="BR598" i="1"/>
  <c r="CD577" i="1"/>
  <c r="CE577" i="1" s="1"/>
  <c r="CF577" i="1" s="1"/>
  <c r="CH577" i="1" s="1"/>
  <c r="BV124" i="1"/>
  <c r="BX124" i="1" s="1"/>
  <c r="BT585" i="1"/>
  <c r="BU585" i="1" s="1"/>
  <c r="BV585" i="1" s="1"/>
  <c r="BX585" i="1" s="1"/>
  <c r="CD701" i="1"/>
  <c r="CE701" i="1" s="1"/>
  <c r="CF701" i="1" s="1"/>
  <c r="CH701" i="1" s="1"/>
  <c r="BV244" i="1"/>
  <c r="BX244" i="1" s="1"/>
  <c r="CD201" i="1"/>
  <c r="CE201" i="1" s="1"/>
  <c r="CF201" i="1" s="1"/>
  <c r="CH201" i="1" s="1"/>
  <c r="CD764" i="1"/>
  <c r="CE764" i="1" s="1"/>
  <c r="CF764" i="1" s="1"/>
  <c r="CH764" i="1" s="1"/>
  <c r="CD466" i="1"/>
  <c r="CD753" i="1"/>
  <c r="CE753" i="1" s="1"/>
  <c r="CF753" i="1" s="1"/>
  <c r="CH753" i="1" s="1"/>
  <c r="BV592" i="1"/>
  <c r="BX592" i="1" s="1"/>
  <c r="BV293" i="1"/>
  <c r="BX293" i="1" s="1"/>
  <c r="CD294" i="1"/>
  <c r="CE294" i="1" s="1"/>
  <c r="CF294" i="1" s="1"/>
  <c r="CH294" i="1" s="1"/>
  <c r="BV429" i="1"/>
  <c r="BX429" i="1" s="1"/>
  <c r="BR653" i="1"/>
  <c r="BV545" i="1"/>
  <c r="BX545" i="1" s="1"/>
  <c r="CD358" i="1"/>
  <c r="CE358" i="1" s="1"/>
  <c r="CF358" i="1" s="1"/>
  <c r="CH358" i="1" s="1"/>
  <c r="BV747" i="1"/>
  <c r="BX747" i="1" s="1"/>
  <c r="CD609" i="1"/>
  <c r="CE609" i="1" s="1"/>
  <c r="CF609" i="1" s="1"/>
  <c r="CH609" i="1" s="1"/>
  <c r="BV475" i="1"/>
  <c r="BX475" i="1" s="1"/>
  <c r="BR189" i="1"/>
  <c r="BW29" i="1"/>
  <c r="BT633" i="1"/>
  <c r="BU633" i="1" s="1"/>
  <c r="BV633" i="1" s="1"/>
  <c r="BX633" i="1" s="1"/>
  <c r="CD134" i="1"/>
  <c r="CE134" i="1" s="1"/>
  <c r="CF134" i="1" s="1"/>
  <c r="CH134" i="1" s="1"/>
  <c r="CD693" i="1"/>
  <c r="CE693" i="1" s="1"/>
  <c r="CF693" i="1" s="1"/>
  <c r="CH693" i="1" s="1"/>
  <c r="CD659" i="1"/>
  <c r="CE659" i="1" s="1"/>
  <c r="CF659" i="1" s="1"/>
  <c r="CH659" i="1" s="1"/>
  <c r="BV500" i="1"/>
  <c r="BX500" i="1" s="1"/>
  <c r="CG89" i="1"/>
  <c r="BT724" i="1"/>
  <c r="CD48" i="1"/>
  <c r="CE48" i="1" s="1"/>
  <c r="CF48" i="1" s="1"/>
  <c r="CH48" i="1" s="1"/>
  <c r="BV613" i="1"/>
  <c r="BX613" i="1" s="1"/>
  <c r="BV700" i="1"/>
  <c r="BX700" i="1" s="1"/>
  <c r="CD391" i="1"/>
  <c r="CE391" i="1" s="1"/>
  <c r="CF391" i="1" s="1"/>
  <c r="CH391" i="1" s="1"/>
  <c r="BV375" i="1"/>
  <c r="BX375" i="1" s="1"/>
  <c r="CB841" i="1"/>
  <c r="CD441" i="1"/>
  <c r="CE441" i="1" s="1"/>
  <c r="CF441" i="1" s="1"/>
  <c r="CH441" i="1" s="1"/>
  <c r="BT292" i="1"/>
  <c r="BU292" i="1" s="1"/>
  <c r="BV292" i="1" s="1"/>
  <c r="BX292" i="1" s="1"/>
  <c r="CD438" i="1"/>
  <c r="CE438" i="1" s="1"/>
  <c r="CF438" i="1" s="1"/>
  <c r="CH438" i="1" s="1"/>
  <c r="CD415" i="1"/>
  <c r="CE415" i="1" s="1"/>
  <c r="CF415" i="1" s="1"/>
  <c r="CH415" i="1" s="1"/>
  <c r="BV628" i="1"/>
  <c r="BX628" i="1" s="1"/>
  <c r="BV705" i="1"/>
  <c r="BX705" i="1" s="1"/>
  <c r="BR580" i="1"/>
  <c r="CD444" i="1"/>
  <c r="CE444" i="1" s="1"/>
  <c r="CF444" i="1" s="1"/>
  <c r="CH444" i="1" s="1"/>
  <c r="BV211" i="1"/>
  <c r="BV335" i="1"/>
  <c r="BX335" i="1" s="1"/>
  <c r="CD420" i="1"/>
  <c r="CE420" i="1" s="1"/>
  <c r="CF420" i="1" s="1"/>
  <c r="CH420" i="1" s="1"/>
  <c r="BR190" i="1"/>
  <c r="BR601" i="1"/>
  <c r="BV246" i="1"/>
  <c r="BX246" i="1" s="1"/>
  <c r="BT544" i="1"/>
  <c r="BU544" i="1" s="1"/>
  <c r="BV544" i="1" s="1"/>
  <c r="BX544" i="1" s="1"/>
  <c r="BT719" i="1"/>
  <c r="BU719" i="1" s="1"/>
  <c r="BV719" i="1" s="1"/>
  <c r="BX719" i="1" s="1"/>
  <c r="CD439" i="1"/>
  <c r="CE439" i="1" s="1"/>
  <c r="CF439" i="1" s="1"/>
  <c r="CH439" i="1" s="1"/>
  <c r="BV460" i="1"/>
  <c r="CB266" i="1"/>
  <c r="BV582" i="1"/>
  <c r="BX582" i="1" s="1"/>
  <c r="BV454" i="1"/>
  <c r="BX454" i="1" s="1"/>
  <c r="CD508" i="1"/>
  <c r="CE508" i="1" s="1"/>
  <c r="CF508" i="1" s="1"/>
  <c r="CH508" i="1" s="1"/>
  <c r="CD637" i="1"/>
  <c r="CE637" i="1" s="1"/>
  <c r="CF637" i="1" s="1"/>
  <c r="CH637" i="1" s="1"/>
  <c r="BV543" i="1"/>
  <c r="BX543" i="1" s="1"/>
  <c r="CD761" i="1"/>
  <c r="CE761" i="1" s="1"/>
  <c r="CF761" i="1" s="1"/>
  <c r="CH761" i="1" s="1"/>
  <c r="CI165" i="1"/>
  <c r="CJ165" i="1" s="1"/>
  <c r="CK165" i="1" s="1"/>
  <c r="BT566" i="1"/>
  <c r="BU566" i="1" s="1"/>
  <c r="BV566" i="1" s="1"/>
  <c r="BX566" i="1" s="1"/>
  <c r="BT370" i="1"/>
  <c r="BU370" i="1" s="1"/>
  <c r="BV370" i="1" s="1"/>
  <c r="BX370" i="1" s="1"/>
  <c r="BV183" i="1"/>
  <c r="BX183" i="1" s="1"/>
  <c r="BV783" i="1"/>
  <c r="BX783" i="1" s="1"/>
  <c r="BV776" i="1"/>
  <c r="BX776" i="1" s="1"/>
  <c r="CD632" i="1"/>
  <c r="CE632" i="1" s="1"/>
  <c r="CF632" i="1" s="1"/>
  <c r="CH632" i="1" s="1"/>
  <c r="BV766" i="1"/>
  <c r="BX766" i="1" s="1"/>
  <c r="BV223" i="1"/>
  <c r="BX223" i="1" s="1"/>
  <c r="BR593" i="1"/>
  <c r="CD621" i="1"/>
  <c r="CE621" i="1" s="1"/>
  <c r="CF621" i="1" s="1"/>
  <c r="CH621" i="1" s="1"/>
  <c r="BV336" i="1"/>
  <c r="BX336" i="1" s="1"/>
  <c r="BR307" i="1"/>
  <c r="BV239" i="1"/>
  <c r="BX239" i="1" s="1"/>
  <c r="CD338" i="1"/>
  <c r="CE338" i="1" s="1"/>
  <c r="CF338" i="1" s="1"/>
  <c r="CH338" i="1" s="1"/>
  <c r="BY101" i="1"/>
  <c r="BZ101" i="1" s="1"/>
  <c r="CA101" i="1" s="1"/>
  <c r="CC101" i="1" s="1"/>
  <c r="BY61" i="1"/>
  <c r="BZ61" i="1" s="1"/>
  <c r="CA61" i="1" s="1"/>
  <c r="CC61" i="1" s="1"/>
  <c r="CD629" i="1"/>
  <c r="CE629" i="1" s="1"/>
  <c r="CF629" i="1" s="1"/>
  <c r="CH629" i="1" s="1"/>
  <c r="BW265" i="1"/>
  <c r="BT538" i="1"/>
  <c r="BU538" i="1" s="1"/>
  <c r="BV538" i="1" s="1"/>
  <c r="BX538" i="1" s="1"/>
  <c r="BT354" i="1"/>
  <c r="BU354" i="1" s="1"/>
  <c r="BV354" i="1" s="1"/>
  <c r="BX354" i="1" s="1"/>
  <c r="CD158" i="1"/>
  <c r="CE158" i="1" s="1"/>
  <c r="CF158" i="1" s="1"/>
  <c r="CH158" i="1" s="1"/>
  <c r="CD784" i="1"/>
  <c r="CE784" i="1" s="1"/>
  <c r="CF784" i="1" s="1"/>
  <c r="CH784" i="1" s="1"/>
  <c r="BV749" i="1"/>
  <c r="BX749" i="1" s="1"/>
  <c r="BV201" i="1"/>
  <c r="BX201" i="1" s="1"/>
  <c r="CD641" i="1"/>
  <c r="CE641" i="1" s="1"/>
  <c r="CF641" i="1" s="1"/>
  <c r="CH641" i="1" s="1"/>
  <c r="BQ753" i="1"/>
  <c r="BS753" i="1" s="1"/>
  <c r="BV468" i="1"/>
  <c r="BX468" i="1" s="1"/>
  <c r="BV785" i="1"/>
  <c r="BX785" i="1" s="1"/>
  <c r="BT550" i="1"/>
  <c r="BU550" i="1" s="1"/>
  <c r="BV550" i="1" s="1"/>
  <c r="BX550" i="1" s="1"/>
  <c r="BV511" i="1"/>
  <c r="BX511" i="1" s="1"/>
  <c r="BT653" i="1"/>
  <c r="BU653" i="1" s="1"/>
  <c r="BV653" i="1" s="1"/>
  <c r="BX653" i="1" s="1"/>
  <c r="CD545" i="1"/>
  <c r="CE545" i="1" s="1"/>
  <c r="CF545" i="1" s="1"/>
  <c r="CH545" i="1" s="1"/>
  <c r="CD747" i="1"/>
  <c r="CE747" i="1" s="1"/>
  <c r="CF747" i="1" s="1"/>
  <c r="CH747" i="1" s="1"/>
  <c r="BV609" i="1"/>
  <c r="BX609" i="1" s="1"/>
  <c r="CD475" i="1"/>
  <c r="CE475" i="1" s="1"/>
  <c r="CF475" i="1" s="1"/>
  <c r="CH475" i="1" s="1"/>
  <c r="BV692" i="1"/>
  <c r="BX692" i="1" s="1"/>
  <c r="BT189" i="1"/>
  <c r="BU189" i="1" s="1"/>
  <c r="BV189" i="1" s="1"/>
  <c r="BX189" i="1" s="1"/>
  <c r="BV351" i="1"/>
  <c r="BX351" i="1" s="1"/>
  <c r="CD171" i="1"/>
  <c r="CE171" i="1" s="1"/>
  <c r="CF171" i="1" s="1"/>
  <c r="CH171" i="1" s="1"/>
  <c r="BV693" i="1"/>
  <c r="BX693" i="1" s="1"/>
  <c r="BV659" i="1"/>
  <c r="BX659" i="1" s="1"/>
  <c r="CD500" i="1"/>
  <c r="CI89" i="1"/>
  <c r="CJ89" i="1" s="1"/>
  <c r="CK89" i="1" s="1"/>
  <c r="BV248" i="1"/>
  <c r="BX248" i="1" s="1"/>
  <c r="CD178" i="1"/>
  <c r="CE178" i="1" s="1"/>
  <c r="CF178" i="1" s="1"/>
  <c r="CH178" i="1" s="1"/>
  <c r="CD75" i="1"/>
  <c r="CE75" i="1" s="1"/>
  <c r="CF75" i="1" s="1"/>
  <c r="CH75" i="1" s="1"/>
  <c r="BT565" i="1"/>
  <c r="BU565" i="1" s="1"/>
  <c r="BV565" i="1" s="1"/>
  <c r="BX565" i="1" s="1"/>
  <c r="BV169" i="1"/>
  <c r="BX169" i="1" s="1"/>
  <c r="BV438" i="1"/>
  <c r="BX438" i="1" s="1"/>
  <c r="BV197" i="1"/>
  <c r="CD628" i="1"/>
  <c r="CE628" i="1" s="1"/>
  <c r="CF628" i="1" s="1"/>
  <c r="CH628" i="1" s="1"/>
  <c r="BY65" i="1"/>
  <c r="BZ65" i="1" s="1"/>
  <c r="CA65" i="1" s="1"/>
  <c r="CC65" i="1" s="1"/>
  <c r="CD16" i="1"/>
  <c r="CE16" i="1" s="1"/>
  <c r="CF16" i="1" s="1"/>
  <c r="CH16" i="1" s="1"/>
  <c r="BT322" i="1"/>
  <c r="BU322" i="1" s="1"/>
  <c r="BV322" i="1" s="1"/>
  <c r="BX322" i="1" s="1"/>
  <c r="CD211" i="1"/>
  <c r="CE211" i="1" s="1"/>
  <c r="CF211" i="1" s="1"/>
  <c r="CH211" i="1" s="1"/>
  <c r="CD335" i="1"/>
  <c r="CE335" i="1" s="1"/>
  <c r="CF335" i="1" s="1"/>
  <c r="CH335" i="1" s="1"/>
  <c r="BV420" i="1"/>
  <c r="BX420" i="1" s="1"/>
  <c r="BT409" i="1"/>
  <c r="CD477" i="1"/>
  <c r="CE477" i="1" s="1"/>
  <c r="CF477" i="1" s="1"/>
  <c r="CH477" i="1" s="1"/>
  <c r="BV512" i="1"/>
  <c r="BT551" i="1"/>
  <c r="BU551" i="1" s="1"/>
  <c r="BV551" i="1" s="1"/>
  <c r="BX551" i="1" s="1"/>
  <c r="CD460" i="1"/>
  <c r="CE460" i="1" s="1"/>
  <c r="CF460" i="1" s="1"/>
  <c r="CH460" i="1" s="1"/>
  <c r="CD266" i="1"/>
  <c r="CE266" i="1" s="1"/>
  <c r="CF266" i="1" s="1"/>
  <c r="CH266" i="1" s="1"/>
  <c r="CD582" i="1"/>
  <c r="CE582" i="1" s="1"/>
  <c r="CF582" i="1" s="1"/>
  <c r="CH582" i="1" s="1"/>
  <c r="BT359" i="1"/>
  <c r="BU359" i="1" s="1"/>
  <c r="BV359" i="1" s="1"/>
  <c r="BX359" i="1" s="1"/>
  <c r="CD454" i="1"/>
  <c r="BT303" i="1"/>
  <c r="BU303" i="1" s="1"/>
  <c r="BV303" i="1" s="1"/>
  <c r="BX303" i="1" s="1"/>
  <c r="BV637" i="1"/>
  <c r="BX637" i="1" s="1"/>
  <c r="BY97" i="1"/>
  <c r="BZ97" i="1" s="1"/>
  <c r="CA97" i="1" s="1"/>
  <c r="CC97" i="1" s="1"/>
  <c r="BV284" i="1"/>
  <c r="BX284" i="1" s="1"/>
  <c r="CD183" i="1"/>
  <c r="CE183" i="1" s="1"/>
  <c r="CF183" i="1" s="1"/>
  <c r="CH183" i="1" s="1"/>
  <c r="CD801" i="1"/>
  <c r="CE801" i="1" s="1"/>
  <c r="CF801" i="1" s="1"/>
  <c r="CH801" i="1" s="1"/>
  <c r="CD776" i="1"/>
  <c r="CE776" i="1" s="1"/>
  <c r="CF776" i="1" s="1"/>
  <c r="CH776" i="1" s="1"/>
  <c r="BY632" i="1"/>
  <c r="CB632" i="1" s="1"/>
  <c r="CD766" i="1"/>
  <c r="CE766" i="1" s="1"/>
  <c r="CF766" i="1" s="1"/>
  <c r="CH766" i="1" s="1"/>
  <c r="CD223" i="1"/>
  <c r="CE223" i="1" s="1"/>
  <c r="CF223" i="1" s="1"/>
  <c r="CH223" i="1" s="1"/>
  <c r="BT593" i="1"/>
  <c r="BU593" i="1" s="1"/>
  <c r="BV593" i="1" s="1"/>
  <c r="BX593" i="1" s="1"/>
  <c r="BV621" i="1"/>
  <c r="BX621" i="1" s="1"/>
  <c r="CD336" i="1"/>
  <c r="CE336" i="1" s="1"/>
  <c r="CF336" i="1" s="1"/>
  <c r="CH336" i="1" s="1"/>
  <c r="BV367" i="1"/>
  <c r="BX367" i="1" s="1"/>
  <c r="BT372" i="1"/>
  <c r="BU372" i="1" s="1"/>
  <c r="BV372" i="1" s="1"/>
  <c r="BX372" i="1" s="1"/>
  <c r="CD122" i="1"/>
  <c r="BT722" i="1"/>
  <c r="BU722" i="1" s="1"/>
  <c r="BV722" i="1" s="1"/>
  <c r="BX722" i="1" s="1"/>
  <c r="BV148" i="1"/>
  <c r="CD120" i="1"/>
  <c r="CE120" i="1" s="1"/>
  <c r="CF120" i="1" s="1"/>
  <c r="CH120" i="1" s="1"/>
  <c r="BT313" i="1"/>
  <c r="BU313" i="1" s="1"/>
  <c r="BV313" i="1" s="1"/>
  <c r="BX313" i="1" s="1"/>
  <c r="CD596" i="1"/>
  <c r="CE596" i="1" s="1"/>
  <c r="CF596" i="1" s="1"/>
  <c r="CH596" i="1" s="1"/>
  <c r="BV686" i="1"/>
  <c r="BX686" i="1" s="1"/>
  <c r="BY17" i="1"/>
  <c r="BZ17" i="1" s="1"/>
  <c r="CA17" i="1" s="1"/>
  <c r="CC17" i="1" s="1"/>
  <c r="CD625" i="1"/>
  <c r="BV750" i="1"/>
  <c r="BX750" i="1" s="1"/>
  <c r="BV437" i="1"/>
  <c r="BX437" i="1" s="1"/>
  <c r="BR372" i="1"/>
  <c r="CD119" i="1"/>
  <c r="CE119" i="1" s="1"/>
  <c r="CF119" i="1" s="1"/>
  <c r="CH119" i="1" s="1"/>
  <c r="CD262" i="1"/>
  <c r="CE262" i="1" s="1"/>
  <c r="CF262" i="1" s="1"/>
  <c r="CH262" i="1" s="1"/>
  <c r="CD148" i="1"/>
  <c r="CE148" i="1" s="1"/>
  <c r="CF148" i="1" s="1"/>
  <c r="CH148" i="1" s="1"/>
  <c r="BV742" i="1"/>
  <c r="BX742" i="1" s="1"/>
  <c r="BR622" i="1"/>
  <c r="BY807" i="1"/>
  <c r="BZ807" i="1" s="1"/>
  <c r="CA807" i="1" s="1"/>
  <c r="CC807" i="1" s="1"/>
  <c r="BV663" i="1"/>
  <c r="BX663" i="1" s="1"/>
  <c r="BV390" i="1"/>
  <c r="BX390" i="1" s="1"/>
  <c r="CD206" i="1"/>
  <c r="CE206" i="1" s="1"/>
  <c r="CF206" i="1" s="1"/>
  <c r="CH206" i="1" s="1"/>
  <c r="CD464" i="1"/>
  <c r="CE464" i="1" s="1"/>
  <c r="CF464" i="1" s="1"/>
  <c r="CH464" i="1" s="1"/>
  <c r="BW17" i="1"/>
  <c r="BT340" i="1"/>
  <c r="BU340" i="1" s="1"/>
  <c r="BV340" i="1" s="1"/>
  <c r="BX340" i="1" s="1"/>
  <c r="BT603" i="1"/>
  <c r="BU603" i="1" s="1"/>
  <c r="BV603" i="1" s="1"/>
  <c r="BX603" i="1" s="1"/>
  <c r="BV430" i="1"/>
  <c r="BX430" i="1" s="1"/>
  <c r="CI272" i="1"/>
  <c r="CJ272" i="1" s="1"/>
  <c r="CK272" i="1" s="1"/>
  <c r="BV629" i="1"/>
  <c r="BX629" i="1" s="1"/>
  <c r="CD437" i="1"/>
  <c r="CE437" i="1" s="1"/>
  <c r="CF437" i="1" s="1"/>
  <c r="CH437" i="1" s="1"/>
  <c r="CD657" i="1"/>
  <c r="CE657" i="1" s="1"/>
  <c r="CF657" i="1" s="1"/>
  <c r="CH657" i="1" s="1"/>
  <c r="BV575" i="1"/>
  <c r="BX575" i="1" s="1"/>
  <c r="CD109" i="1"/>
  <c r="CE109" i="1" s="1"/>
  <c r="CF109" i="1" s="1"/>
  <c r="CH109" i="1" s="1"/>
  <c r="BV636" i="1"/>
  <c r="BX636" i="1" s="1"/>
  <c r="CD685" i="1"/>
  <c r="CE685" i="1" s="1"/>
  <c r="CF685" i="1" s="1"/>
  <c r="CH685" i="1" s="1"/>
  <c r="CD782" i="1"/>
  <c r="CE782" i="1" s="1"/>
  <c r="CF782" i="1" s="1"/>
  <c r="CH782" i="1" s="1"/>
  <c r="BW78" i="1"/>
  <c r="BV473" i="1"/>
  <c r="BX473" i="1" s="1"/>
  <c r="BV206" i="1"/>
  <c r="BX206" i="1" s="1"/>
  <c r="BV6" i="1"/>
  <c r="BV541" i="1"/>
  <c r="BX541" i="1" s="1"/>
  <c r="CG272" i="1"/>
  <c r="CD325" i="1"/>
  <c r="CE325" i="1" s="1"/>
  <c r="CF325" i="1" s="1"/>
  <c r="CH325" i="1" s="1"/>
  <c r="CD397" i="1"/>
  <c r="CE397" i="1" s="1"/>
  <c r="CF397" i="1" s="1"/>
  <c r="CH397" i="1" s="1"/>
  <c r="BR371" i="1"/>
  <c r="BV529" i="1"/>
  <c r="BX529" i="1" s="1"/>
  <c r="BV493" i="1"/>
  <c r="BX493" i="1" s="1"/>
  <c r="BV670" i="1"/>
  <c r="BX670" i="1" s="1"/>
  <c r="BV418" i="1"/>
  <c r="BX418" i="1" s="1"/>
  <c r="BR555" i="1"/>
  <c r="BV677" i="1"/>
  <c r="BX677" i="1" s="1"/>
  <c r="BY811" i="1"/>
  <c r="BZ811" i="1" s="1"/>
  <c r="CA811" i="1" s="1"/>
  <c r="CC811" i="1" s="1"/>
  <c r="CD327" i="1"/>
  <c r="CE327" i="1" s="1"/>
  <c r="CF327" i="1" s="1"/>
  <c r="CH327" i="1" s="1"/>
  <c r="BY267" i="1"/>
  <c r="BZ267" i="1" s="1"/>
  <c r="CA267" i="1" s="1"/>
  <c r="CC267" i="1" s="1"/>
  <c r="CD498" i="1"/>
  <c r="CE498" i="1" s="1"/>
  <c r="CF498" i="1" s="1"/>
  <c r="CH498" i="1" s="1"/>
  <c r="CD162" i="1"/>
  <c r="CE162" i="1" s="1"/>
  <c r="CF162" i="1" s="1"/>
  <c r="CH162" i="1" s="1"/>
  <c r="CD527" i="1"/>
  <c r="CE527" i="1" s="1"/>
  <c r="CF527" i="1" s="1"/>
  <c r="CH527" i="1" s="1"/>
  <c r="BW7" i="1"/>
  <c r="BY56" i="1"/>
  <c r="BZ56" i="1" s="1"/>
  <c r="CA56" i="1" s="1"/>
  <c r="CC56" i="1" s="1"/>
  <c r="BT718" i="1"/>
  <c r="CD136" i="1"/>
  <c r="CE136" i="1" s="1"/>
  <c r="CF136" i="1" s="1"/>
  <c r="CH136" i="1" s="1"/>
  <c r="CD779" i="1"/>
  <c r="CE779" i="1" s="1"/>
  <c r="CF779" i="1" s="1"/>
  <c r="CH779" i="1" s="1"/>
  <c r="CD161" i="1"/>
  <c r="CE161" i="1" s="1"/>
  <c r="CF161" i="1" s="1"/>
  <c r="CH161" i="1" s="1"/>
  <c r="BT583" i="1"/>
  <c r="BU583" i="1" s="1"/>
  <c r="BV583" i="1" s="1"/>
  <c r="BX583" i="1" s="1"/>
  <c r="BY252" i="1"/>
  <c r="BZ252" i="1" s="1"/>
  <c r="CA252" i="1" s="1"/>
  <c r="CC252" i="1" s="1"/>
  <c r="CD381" i="1"/>
  <c r="CE381" i="1" s="1"/>
  <c r="CF381" i="1" s="1"/>
  <c r="CH381" i="1" s="1"/>
  <c r="BV428" i="1"/>
  <c r="BX428" i="1" s="1"/>
  <c r="CD116" i="1"/>
  <c r="CI805" i="1"/>
  <c r="CJ805" i="1" s="1"/>
  <c r="CK805" i="1" s="1"/>
  <c r="CD518" i="1"/>
  <c r="CE518" i="1" s="1"/>
  <c r="CF518" i="1" s="1"/>
  <c r="CH518" i="1" s="1"/>
  <c r="BT273" i="1"/>
  <c r="BU273" i="1" s="1"/>
  <c r="BV273" i="1" s="1"/>
  <c r="BX273" i="1" s="1"/>
  <c r="CD99" i="1"/>
  <c r="CE99" i="1" s="1"/>
  <c r="CF99" i="1" s="1"/>
  <c r="CH99" i="1" s="1"/>
  <c r="CD131" i="1"/>
  <c r="CE131" i="1" s="1"/>
  <c r="CF131" i="1" s="1"/>
  <c r="CH131" i="1" s="1"/>
  <c r="CD442" i="1"/>
  <c r="CE442" i="1" s="1"/>
  <c r="CF442" i="1" s="1"/>
  <c r="CH442" i="1" s="1"/>
  <c r="BV751" i="1"/>
  <c r="BX751" i="1" s="1"/>
  <c r="CD173" i="1"/>
  <c r="CI167" i="1"/>
  <c r="CJ167" i="1" s="1"/>
  <c r="CK167" i="1" s="1"/>
  <c r="BV398" i="1"/>
  <c r="CD112" i="1"/>
  <c r="CE112" i="1" s="1"/>
  <c r="CF112" i="1" s="1"/>
  <c r="CH112" i="1" s="1"/>
  <c r="CD123" i="1"/>
  <c r="CE123" i="1" s="1"/>
  <c r="CF123" i="1" s="1"/>
  <c r="CH123" i="1" s="1"/>
  <c r="CD244" i="1"/>
  <c r="CE244" i="1" s="1"/>
  <c r="CF244" i="1" s="1"/>
  <c r="CH244" i="1" s="1"/>
  <c r="BV489" i="1"/>
  <c r="BX489" i="1" s="1"/>
  <c r="CD202" i="1"/>
  <c r="CE202" i="1" s="1"/>
  <c r="CF202" i="1" s="1"/>
  <c r="CH202" i="1" s="1"/>
  <c r="BY161" i="1"/>
  <c r="CB161" i="1" s="1"/>
  <c r="CD694" i="1"/>
  <c r="CE694" i="1" s="1"/>
  <c r="CF694" i="1" s="1"/>
  <c r="CH694" i="1" s="1"/>
  <c r="CD433" i="1"/>
  <c r="CD393" i="1"/>
  <c r="CE393" i="1" s="1"/>
  <c r="CF393" i="1" s="1"/>
  <c r="CH393" i="1" s="1"/>
  <c r="BY105" i="1"/>
  <c r="BZ105" i="1" s="1"/>
  <c r="CA105" i="1" s="1"/>
  <c r="CC105" i="1" s="1"/>
  <c r="BT283" i="1"/>
  <c r="BU283" i="1" s="1"/>
  <c r="BV283" i="1" s="1"/>
  <c r="BX283" i="1" s="1"/>
  <c r="BV467" i="1"/>
  <c r="BX467" i="1" s="1"/>
  <c r="BV431" i="1"/>
  <c r="BX431" i="1" s="1"/>
  <c r="BV516" i="1"/>
  <c r="CD428" i="1"/>
  <c r="CE428" i="1" s="1"/>
  <c r="CF428" i="1" s="1"/>
  <c r="CH428" i="1" s="1"/>
  <c r="CD758" i="1"/>
  <c r="CE758" i="1" s="1"/>
  <c r="CF758" i="1" s="1"/>
  <c r="CH758" i="1" s="1"/>
  <c r="BV542" i="1"/>
  <c r="BX542" i="1" s="1"/>
  <c r="CG805" i="1"/>
  <c r="CB253" i="1"/>
  <c r="BQ158" i="1"/>
  <c r="BS158" i="1" s="1"/>
  <c r="CD744" i="1"/>
  <c r="CE744" i="1" s="1"/>
  <c r="CF744" i="1" s="1"/>
  <c r="CH744" i="1" s="1"/>
  <c r="BR273" i="1"/>
  <c r="CB99" i="1"/>
  <c r="BV131" i="1"/>
  <c r="BX131" i="1" s="1"/>
  <c r="BV442" i="1"/>
  <c r="BX442" i="1" s="1"/>
  <c r="CD405" i="1"/>
  <c r="BT374" i="1"/>
  <c r="BU374" i="1" s="1"/>
  <c r="BV374" i="1" s="1"/>
  <c r="BX374" i="1" s="1"/>
  <c r="CD690" i="1"/>
  <c r="CE690" i="1" s="1"/>
  <c r="CF690" i="1" s="1"/>
  <c r="CH690" i="1" s="1"/>
  <c r="BV726" i="1"/>
  <c r="BX726" i="1" s="1"/>
  <c r="CD634" i="1"/>
  <c r="CE634" i="1" s="1"/>
  <c r="CF634" i="1" s="1"/>
  <c r="CH634" i="1" s="1"/>
  <c r="BV599" i="1"/>
  <c r="BX599" i="1" s="1"/>
  <c r="CD398" i="1"/>
  <c r="BV112" i="1"/>
  <c r="BX112" i="1" s="1"/>
  <c r="BY70" i="1"/>
  <c r="BZ70" i="1" s="1"/>
  <c r="CA70" i="1" s="1"/>
  <c r="CC70" i="1" s="1"/>
  <c r="BV123" i="1"/>
  <c r="BX123" i="1" s="1"/>
  <c r="BV691" i="1"/>
  <c r="BX691" i="1" s="1"/>
  <c r="CD749" i="1"/>
  <c r="CE749" i="1" s="1"/>
  <c r="CF749" i="1" s="1"/>
  <c r="CH749" i="1" s="1"/>
  <c r="CB803" i="1"/>
  <c r="CD363" i="1"/>
  <c r="CE363" i="1" s="1"/>
  <c r="CF363" i="1" s="1"/>
  <c r="CH363" i="1" s="1"/>
  <c r="CD66" i="1"/>
  <c r="CE66" i="1" s="1"/>
  <c r="CF66" i="1" s="1"/>
  <c r="CH66" i="1" s="1"/>
  <c r="BV641" i="1"/>
  <c r="BX641" i="1" s="1"/>
  <c r="BR237" i="1"/>
  <c r="CD468" i="1"/>
  <c r="CD785" i="1"/>
  <c r="CE785" i="1" s="1"/>
  <c r="CF785" i="1" s="1"/>
  <c r="CH785" i="1" s="1"/>
  <c r="BR550" i="1"/>
  <c r="BT450" i="1"/>
  <c r="BU450" i="1" s="1"/>
  <c r="BV450" i="1" s="1"/>
  <c r="BX450" i="1" s="1"/>
  <c r="CD511" i="1"/>
  <c r="CE511" i="1" s="1"/>
  <c r="CF511" i="1" s="1"/>
  <c r="CH511" i="1" s="1"/>
  <c r="BW49" i="1"/>
  <c r="CD489" i="1"/>
  <c r="CE489" i="1" s="1"/>
  <c r="CF489" i="1" s="1"/>
  <c r="CH489" i="1" s="1"/>
  <c r="BQ230" i="1"/>
  <c r="BQ485" i="1"/>
  <c r="BS485" i="1" s="1"/>
  <c r="CD692" i="1"/>
  <c r="BT334" i="1"/>
  <c r="BU334" i="1" s="1"/>
  <c r="BV334" i="1" s="1"/>
  <c r="BX334" i="1" s="1"/>
  <c r="CD351" i="1"/>
  <c r="CE351" i="1" s="1"/>
  <c r="CF351" i="1" s="1"/>
  <c r="CH351" i="1" s="1"/>
  <c r="BT186" i="1"/>
  <c r="BU186" i="1" s="1"/>
  <c r="BV186" i="1" s="1"/>
  <c r="BX186" i="1" s="1"/>
  <c r="BV171" i="1"/>
  <c r="BX171" i="1" s="1"/>
  <c r="BW64" i="1"/>
  <c r="BT346" i="1"/>
  <c r="BU346" i="1" s="1"/>
  <c r="BV346" i="1" s="1"/>
  <c r="BX346" i="1" s="1"/>
  <c r="BV426" i="1"/>
  <c r="BX426" i="1" s="1"/>
  <c r="BV228" i="1"/>
  <c r="BX228" i="1" s="1"/>
  <c r="CD258" i="1"/>
  <c r="BT329" i="1"/>
  <c r="BU329" i="1" s="1"/>
  <c r="BV329" i="1" s="1"/>
  <c r="BX329" i="1" s="1"/>
  <c r="CD248" i="1"/>
  <c r="CE248" i="1" s="1"/>
  <c r="CF248" i="1" s="1"/>
  <c r="CH248" i="1" s="1"/>
  <c r="BV178" i="1"/>
  <c r="BX178" i="1" s="1"/>
  <c r="CB75" i="1"/>
  <c r="BR565" i="1"/>
  <c r="CD169" i="1"/>
  <c r="CE169" i="1" s="1"/>
  <c r="CF169" i="1" s="1"/>
  <c r="CH169" i="1" s="1"/>
  <c r="BT561" i="1"/>
  <c r="BU561" i="1" s="1"/>
  <c r="BV561" i="1" s="1"/>
  <c r="BX561" i="1" s="1"/>
  <c r="BT581" i="1"/>
  <c r="BU581" i="1" s="1"/>
  <c r="BV581" i="1" s="1"/>
  <c r="BX581" i="1" s="1"/>
  <c r="BT587" i="1"/>
  <c r="BU587" i="1" s="1"/>
  <c r="BV587" i="1" s="1"/>
  <c r="BX587" i="1" s="1"/>
  <c r="CD197" i="1"/>
  <c r="BV515" i="1"/>
  <c r="BX515" i="1" s="1"/>
  <c r="BW65" i="1"/>
  <c r="CB16" i="1"/>
  <c r="BR322" i="1"/>
  <c r="CD537" i="1"/>
  <c r="CE537" i="1" s="1"/>
  <c r="CF537" i="1" s="1"/>
  <c r="CH537" i="1" s="1"/>
  <c r="BT655" i="1"/>
  <c r="BU655" i="1" s="1"/>
  <c r="BV655" i="1" s="1"/>
  <c r="BX655" i="1" s="1"/>
  <c r="CD741" i="1"/>
  <c r="CE741" i="1" s="1"/>
  <c r="CF741" i="1" s="1"/>
  <c r="CH741" i="1" s="1"/>
  <c r="BR409" i="1"/>
  <c r="BV477" i="1"/>
  <c r="BX477" i="1" s="1"/>
  <c r="CD512" i="1"/>
  <c r="CE512" i="1" s="1"/>
  <c r="CF512" i="1" s="1"/>
  <c r="CH512" i="1" s="1"/>
  <c r="CD27" i="1"/>
  <c r="CE27" i="1" s="1"/>
  <c r="CF27" i="1" s="1"/>
  <c r="CH27" i="1" s="1"/>
  <c r="BT31" i="1"/>
  <c r="BW31" i="1" s="1"/>
  <c r="BR551" i="1"/>
  <c r="CD683" i="1"/>
  <c r="CE683" i="1" s="1"/>
  <c r="CF683" i="1" s="1"/>
  <c r="CH683" i="1" s="1"/>
  <c r="CD600" i="1"/>
  <c r="CE600" i="1" s="1"/>
  <c r="CF600" i="1" s="1"/>
  <c r="CH600" i="1" s="1"/>
  <c r="CD759" i="1"/>
  <c r="CE759" i="1" s="1"/>
  <c r="CF759" i="1" s="1"/>
  <c r="CH759" i="1" s="1"/>
  <c r="BR359" i="1"/>
  <c r="BT200" i="1"/>
  <c r="BU200" i="1" s="1"/>
  <c r="BV200" i="1" s="1"/>
  <c r="BX200" i="1" s="1"/>
  <c r="BR303" i="1"/>
  <c r="BW97" i="1"/>
  <c r="CD284" i="1"/>
  <c r="CE284" i="1" s="1"/>
  <c r="CF284" i="1" s="1"/>
  <c r="CH284" i="1" s="1"/>
  <c r="BR588" i="1"/>
  <c r="CD714" i="1"/>
  <c r="CE714" i="1" s="1"/>
  <c r="CF714" i="1" s="1"/>
  <c r="CH714" i="1" s="1"/>
  <c r="BT606" i="1"/>
  <c r="BU606" i="1" s="1"/>
  <c r="BV606" i="1" s="1"/>
  <c r="BX606" i="1" s="1"/>
  <c r="CD207" i="1"/>
  <c r="CB801" i="1"/>
  <c r="BV630" i="1"/>
  <c r="BX630" i="1" s="1"/>
  <c r="BW12" i="1"/>
  <c r="BV445" i="1"/>
  <c r="BX445" i="1" s="1"/>
  <c r="CD213" i="1"/>
  <c r="CE213" i="1" s="1"/>
  <c r="CF213" i="1" s="1"/>
  <c r="CH213" i="1" s="1"/>
  <c r="BT181" i="1"/>
  <c r="BU181" i="1" s="1"/>
  <c r="BV181" i="1" s="1"/>
  <c r="BX181" i="1" s="1"/>
  <c r="BT720" i="1"/>
  <c r="BU720" i="1" s="1"/>
  <c r="BV720" i="1" s="1"/>
  <c r="BX720" i="1" s="1"/>
  <c r="BV232" i="1"/>
  <c r="BX232" i="1" s="1"/>
  <c r="CD62" i="1"/>
  <c r="BV567" i="1"/>
  <c r="BX567" i="1" s="1"/>
  <c r="BV549" i="1"/>
  <c r="BX549" i="1" s="1"/>
  <c r="BT384" i="1"/>
  <c r="BU384" i="1" s="1"/>
  <c r="BV384" i="1" s="1"/>
  <c r="BX384" i="1" s="1"/>
  <c r="CG250" i="1"/>
  <c r="CD317" i="1"/>
  <c r="CE317" i="1" s="1"/>
  <c r="CF317" i="1" s="1"/>
  <c r="CH317" i="1" s="1"/>
  <c r="CD684" i="1"/>
  <c r="CE684" i="1" s="1"/>
  <c r="CF684" i="1" s="1"/>
  <c r="CH684" i="1" s="1"/>
  <c r="BQ160" i="1"/>
  <c r="BS160" i="1" s="1"/>
  <c r="BV202" i="1"/>
  <c r="BX202" i="1" s="1"/>
  <c r="BQ161" i="1"/>
  <c r="BS161" i="1" s="1"/>
  <c r="BV694" i="1"/>
  <c r="BX694" i="1" s="1"/>
  <c r="BV433" i="1"/>
  <c r="BX433" i="1" s="1"/>
  <c r="BV393" i="1"/>
  <c r="CD467" i="1"/>
  <c r="CE467" i="1" s="1"/>
  <c r="CF467" i="1" s="1"/>
  <c r="CH467" i="1" s="1"/>
  <c r="CD431" i="1"/>
  <c r="CE431" i="1" s="1"/>
  <c r="CF431" i="1" s="1"/>
  <c r="CH431" i="1" s="1"/>
  <c r="CD516" i="1"/>
  <c r="CE516" i="1" s="1"/>
  <c r="CF516" i="1" s="1"/>
  <c r="CH516" i="1" s="1"/>
  <c r="BV132" i="1"/>
  <c r="BX132" i="1" s="1"/>
  <c r="BQ758" i="1"/>
  <c r="BS758" i="1" s="1"/>
  <c r="CD542" i="1"/>
  <c r="CE542" i="1" s="1"/>
  <c r="CF542" i="1" s="1"/>
  <c r="CH542" i="1" s="1"/>
  <c r="CD355" i="1"/>
  <c r="CE355" i="1" s="1"/>
  <c r="CF355" i="1" s="1"/>
  <c r="CH355" i="1" s="1"/>
  <c r="CD253" i="1"/>
  <c r="CE253" i="1" s="1"/>
  <c r="CF253" i="1" s="1"/>
  <c r="CH253" i="1" s="1"/>
  <c r="BY158" i="1"/>
  <c r="CB158" i="1" s="1"/>
  <c r="BV744" i="1"/>
  <c r="BX744" i="1" s="1"/>
  <c r="BV145" i="1"/>
  <c r="BX145" i="1" s="1"/>
  <c r="BV483" i="1"/>
  <c r="BX483" i="1" s="1"/>
  <c r="BV572" i="1"/>
  <c r="BX572" i="1" s="1"/>
  <c r="BT282" i="1"/>
  <c r="BU282" i="1" s="1"/>
  <c r="BV282" i="1" s="1"/>
  <c r="BX282" i="1" s="1"/>
  <c r="BQ159" i="1"/>
  <c r="BS159" i="1" s="1"/>
  <c r="BV405" i="1"/>
  <c r="BX405" i="1" s="1"/>
  <c r="BV690" i="1"/>
  <c r="BX690" i="1" s="1"/>
  <c r="CD726" i="1"/>
  <c r="CE726" i="1" s="1"/>
  <c r="CF726" i="1" s="1"/>
  <c r="CH726" i="1" s="1"/>
  <c r="BV634" i="1"/>
  <c r="BX634" i="1" s="1"/>
  <c r="CD599" i="1"/>
  <c r="CE599" i="1" s="1"/>
  <c r="CF599" i="1" s="1"/>
  <c r="CH599" i="1" s="1"/>
  <c r="CD777" i="1"/>
  <c r="CE777" i="1" s="1"/>
  <c r="CF777" i="1" s="1"/>
  <c r="CH777" i="1" s="1"/>
  <c r="CD365" i="1"/>
  <c r="CE365" i="1" s="1"/>
  <c r="CF365" i="1" s="1"/>
  <c r="CH365" i="1" s="1"/>
  <c r="CD172" i="1"/>
  <c r="CE172" i="1" s="1"/>
  <c r="CF172" i="1" s="1"/>
  <c r="CH172" i="1" s="1"/>
  <c r="BT373" i="1"/>
  <c r="BU373" i="1" s="1"/>
  <c r="BV373" i="1" s="1"/>
  <c r="BX373" i="1" s="1"/>
  <c r="CD691" i="1"/>
  <c r="CE691" i="1" s="1"/>
  <c r="CF691" i="1" s="1"/>
  <c r="CH691" i="1" s="1"/>
  <c r="CD803" i="1"/>
  <c r="CE803" i="1" s="1"/>
  <c r="CF803" i="1" s="1"/>
  <c r="CH803" i="1" s="1"/>
  <c r="BV363" i="1"/>
  <c r="BX363" i="1" s="1"/>
  <c r="BV786" i="1"/>
  <c r="BX786" i="1" s="1"/>
  <c r="CD712" i="1"/>
  <c r="CE712" i="1" s="1"/>
  <c r="CF712" i="1" s="1"/>
  <c r="CH712" i="1" s="1"/>
  <c r="BT237" i="1"/>
  <c r="BU237" i="1" s="1"/>
  <c r="BV237" i="1" s="1"/>
  <c r="BX237" i="1" s="1"/>
  <c r="CD21" i="1"/>
  <c r="CE21" i="1" s="1"/>
  <c r="CF21" i="1" s="1"/>
  <c r="CH21" i="1" s="1"/>
  <c r="BT564" i="1"/>
  <c r="BV778" i="1"/>
  <c r="BX778" i="1" s="1"/>
  <c r="BT559" i="1"/>
  <c r="BU559" i="1" s="1"/>
  <c r="BV559" i="1" s="1"/>
  <c r="BX559" i="1" s="1"/>
  <c r="BR314" i="1"/>
  <c r="BW88" i="1"/>
  <c r="BY49" i="1"/>
  <c r="BZ49" i="1" s="1"/>
  <c r="CA49" i="1" s="1"/>
  <c r="CC49" i="1" s="1"/>
  <c r="BV291" i="1"/>
  <c r="BX291" i="1" s="1"/>
  <c r="CD230" i="1"/>
  <c r="CE230" i="1" s="1"/>
  <c r="CF230" i="1" s="1"/>
  <c r="CH230" i="1" s="1"/>
  <c r="CD485" i="1"/>
  <c r="CE485" i="1" s="1"/>
  <c r="CF485" i="1" s="1"/>
  <c r="CH485" i="1" s="1"/>
  <c r="BY43" i="1"/>
  <c r="BZ43" i="1" s="1"/>
  <c r="CA43" i="1" s="1"/>
  <c r="CC43" i="1" s="1"/>
  <c r="CD640" i="1"/>
  <c r="CE640" i="1" s="1"/>
  <c r="CF640" i="1" s="1"/>
  <c r="CH640" i="1" s="1"/>
  <c r="BT717" i="1"/>
  <c r="BU717" i="1" s="1"/>
  <c r="BV717" i="1" s="1"/>
  <c r="BX717" i="1" s="1"/>
  <c r="BY64" i="1"/>
  <c r="BZ64" i="1" s="1"/>
  <c r="CA64" i="1" s="1"/>
  <c r="CC64" i="1" s="1"/>
  <c r="CD426" i="1"/>
  <c r="CE426" i="1" s="1"/>
  <c r="CF426" i="1" s="1"/>
  <c r="CH426" i="1" s="1"/>
  <c r="CD228" i="1"/>
  <c r="CE228" i="1" s="1"/>
  <c r="CF228" i="1" s="1"/>
  <c r="CH228" i="1" s="1"/>
  <c r="BV507" i="1"/>
  <c r="BX507" i="1" s="1"/>
  <c r="BT364" i="1"/>
  <c r="BU364" i="1" s="1"/>
  <c r="BV364" i="1" s="1"/>
  <c r="BX364" i="1" s="1"/>
  <c r="CD227" i="1"/>
  <c r="BT387" i="1"/>
  <c r="BU387" i="1" s="1"/>
  <c r="BV387" i="1" s="1"/>
  <c r="BX387" i="1" s="1"/>
  <c r="BV150" i="1"/>
  <c r="BX150" i="1" s="1"/>
  <c r="BV492" i="1"/>
  <c r="BX492" i="1" s="1"/>
  <c r="CD515" i="1"/>
  <c r="CE515" i="1" s="1"/>
  <c r="CF515" i="1" s="1"/>
  <c r="CH515" i="1" s="1"/>
  <c r="BR331" i="1"/>
  <c r="BY790" i="1"/>
  <c r="BZ790" i="1" s="1"/>
  <c r="CA790" i="1" s="1"/>
  <c r="CC790" i="1" s="1"/>
  <c r="BW257" i="1"/>
  <c r="BV537" i="1"/>
  <c r="BX537" i="1" s="1"/>
  <c r="BV741" i="1"/>
  <c r="BX741" i="1" s="1"/>
  <c r="BR649" i="1"/>
  <c r="CD809" i="1"/>
  <c r="CE809" i="1" s="1"/>
  <c r="CF809" i="1" s="1"/>
  <c r="CH809" i="1" s="1"/>
  <c r="BV771" i="1"/>
  <c r="BX771" i="1" s="1"/>
  <c r="BQ612" i="1"/>
  <c r="BS612" i="1" s="1"/>
  <c r="CI37" i="1"/>
  <c r="BV683" i="1"/>
  <c r="BX683" i="1" s="1"/>
  <c r="BV600" i="1"/>
  <c r="BX600" i="1" s="1"/>
  <c r="BV759" i="1"/>
  <c r="BX759" i="1" s="1"/>
  <c r="CD216" i="1"/>
  <c r="CE216" i="1" s="1"/>
  <c r="CF216" i="1" s="1"/>
  <c r="CH216" i="1" s="1"/>
  <c r="BV378" i="1"/>
  <c r="BX378" i="1" s="1"/>
  <c r="BV379" i="1"/>
  <c r="BX379" i="1" s="1"/>
  <c r="BV513" i="1"/>
  <c r="BX513" i="1" s="1"/>
  <c r="CD376" i="1"/>
  <c r="CE376" i="1" s="1"/>
  <c r="CF376" i="1" s="1"/>
  <c r="CH376" i="1" s="1"/>
  <c r="BT588" i="1"/>
  <c r="BU588" i="1" s="1"/>
  <c r="BV588" i="1" s="1"/>
  <c r="BX588" i="1" s="1"/>
  <c r="BV714" i="1"/>
  <c r="BX714" i="1" s="1"/>
  <c r="BV207" i="1"/>
  <c r="BX207" i="1" s="1"/>
  <c r="BT638" i="1"/>
  <c r="BU638" i="1" s="1"/>
  <c r="BV638" i="1" s="1"/>
  <c r="BX638" i="1" s="1"/>
  <c r="CD630" i="1"/>
  <c r="CE630" i="1" s="1"/>
  <c r="CF630" i="1" s="1"/>
  <c r="CH630" i="1" s="1"/>
  <c r="BY12" i="1"/>
  <c r="BZ12" i="1" s="1"/>
  <c r="CA12" i="1" s="1"/>
  <c r="CC12" i="1" s="1"/>
  <c r="CD445" i="1"/>
  <c r="CE445" i="1" s="1"/>
  <c r="CF445" i="1" s="1"/>
  <c r="CH445" i="1" s="1"/>
  <c r="BV213" i="1"/>
  <c r="BX213" i="1" s="1"/>
  <c r="CD232" i="1"/>
  <c r="CE232" i="1" s="1"/>
  <c r="CF232" i="1" s="1"/>
  <c r="CH232" i="1" s="1"/>
  <c r="CG281" i="1" l="1"/>
  <c r="CG485" i="1"/>
  <c r="CB252" i="1"/>
  <c r="CG435" i="1"/>
  <c r="CG515" i="1"/>
  <c r="BR753" i="1"/>
  <c r="CB74" i="1"/>
  <c r="CG705" i="1"/>
  <c r="BR614" i="1"/>
  <c r="BW206" i="1"/>
  <c r="BW222" i="1"/>
  <c r="CG782" i="1"/>
  <c r="CG732" i="1"/>
  <c r="CG19" i="1"/>
  <c r="CG666" i="1"/>
  <c r="BW116" i="1"/>
  <c r="CG714" i="1"/>
  <c r="BW703" i="1"/>
  <c r="BW503" i="1"/>
  <c r="CB790" i="1"/>
  <c r="BW178" i="1"/>
  <c r="BW181" i="1"/>
  <c r="CG33" i="1"/>
  <c r="BW708" i="1"/>
  <c r="CG665" i="1"/>
  <c r="BW603" i="1"/>
  <c r="BW725" i="1"/>
  <c r="BW488" i="1"/>
  <c r="BW445" i="1"/>
  <c r="CG463" i="1"/>
  <c r="BW328" i="1"/>
  <c r="CG483" i="1"/>
  <c r="BW430" i="1"/>
  <c r="CG119" i="1"/>
  <c r="CG460" i="1"/>
  <c r="BW731" i="1"/>
  <c r="BR324" i="1"/>
  <c r="BW578" i="1"/>
  <c r="BW358" i="1"/>
  <c r="BW654" i="1"/>
  <c r="CL50" i="1"/>
  <c r="BW145" i="1"/>
  <c r="BW536" i="1"/>
  <c r="BW617" i="1"/>
  <c r="BW492" i="1"/>
  <c r="BW291" i="1"/>
  <c r="CG452" i="1"/>
  <c r="CG746" i="1"/>
  <c r="BW479" i="1"/>
  <c r="BW304" i="1"/>
  <c r="CG232" i="1"/>
  <c r="BW600" i="1"/>
  <c r="CB10" i="1"/>
  <c r="BW667" i="1"/>
  <c r="BR758" i="1"/>
  <c r="CG439" i="1"/>
  <c r="BW299" i="1"/>
  <c r="BW481" i="1"/>
  <c r="CG617" i="1"/>
  <c r="BW473" i="1"/>
  <c r="BW396" i="1"/>
  <c r="BW592" i="1"/>
  <c r="BW454" i="1"/>
  <c r="BW476" i="1"/>
  <c r="CG24" i="1"/>
  <c r="BW523" i="1"/>
  <c r="CG494" i="1"/>
  <c r="BW213" i="1"/>
  <c r="CL272" i="1"/>
  <c r="BW756" i="1"/>
  <c r="CG30" i="1"/>
  <c r="CG684" i="1"/>
  <c r="BW544" i="1"/>
  <c r="BW295" i="1"/>
  <c r="CG341" i="1"/>
  <c r="CB71" i="1"/>
  <c r="CB70" i="1"/>
  <c r="BW466" i="1"/>
  <c r="BW534" i="1"/>
  <c r="BW713" i="1"/>
  <c r="BW325" i="1"/>
  <c r="BW463" i="1"/>
  <c r="CG304" i="1"/>
  <c r="BW113" i="1"/>
  <c r="BW739" i="1"/>
  <c r="BW305" i="1"/>
  <c r="BW553" i="1"/>
  <c r="BW235" i="1"/>
  <c r="CB86" i="1"/>
  <c r="BW112" i="1"/>
  <c r="BW543" i="1"/>
  <c r="CG177" i="1"/>
  <c r="CG402" i="1"/>
  <c r="BW217" i="1"/>
  <c r="BW754" i="1"/>
  <c r="CG417" i="1"/>
  <c r="CG537" i="1"/>
  <c r="BW336" i="1"/>
  <c r="BW195" i="1"/>
  <c r="CG410" i="1"/>
  <c r="BW237" i="1"/>
  <c r="BW599" i="1"/>
  <c r="CG758" i="1"/>
  <c r="CG636" i="1"/>
  <c r="BW548" i="1"/>
  <c r="BW312" i="1"/>
  <c r="BW146" i="1"/>
  <c r="CG712" i="1"/>
  <c r="CG428" i="1"/>
  <c r="CG389" i="1"/>
  <c r="CB43" i="1"/>
  <c r="CG277" i="1"/>
  <c r="CG501" i="1"/>
  <c r="BW628" i="1"/>
  <c r="CB265" i="1"/>
  <c r="CG613" i="1"/>
  <c r="BW443" i="1"/>
  <c r="CG523" i="1"/>
  <c r="CG118" i="1"/>
  <c r="BW456" i="1"/>
  <c r="CG467" i="1"/>
  <c r="CG694" i="1"/>
  <c r="BW246" i="1"/>
  <c r="CG436" i="1"/>
  <c r="BW737" i="1"/>
  <c r="CG768" i="1"/>
  <c r="BW487" i="1"/>
  <c r="CB51" i="1"/>
  <c r="BW715" i="1"/>
  <c r="CG129" i="1"/>
  <c r="BW350" i="1"/>
  <c r="BW640" i="1"/>
  <c r="CG391" i="1"/>
  <c r="CG502" i="1"/>
  <c r="CG575" i="1"/>
  <c r="BW532" i="1"/>
  <c r="CG490" i="1"/>
  <c r="BW671" i="1"/>
  <c r="CL39" i="1"/>
  <c r="BW427" i="1"/>
  <c r="BW395" i="1"/>
  <c r="CB49" i="1"/>
  <c r="BW372" i="1"/>
  <c r="BW425" i="1"/>
  <c r="BW774" i="1"/>
  <c r="BW702" i="1"/>
  <c r="BW627" i="1"/>
  <c r="BW355" i="1"/>
  <c r="BW359" i="1"/>
  <c r="BR278" i="1"/>
  <c r="BW429" i="1"/>
  <c r="BW598" i="1"/>
  <c r="BW233" i="1"/>
  <c r="CG400" i="1"/>
  <c r="BW773" i="1"/>
  <c r="BW704" i="1"/>
  <c r="CG459" i="1"/>
  <c r="CG135" i="1"/>
  <c r="CG245" i="1"/>
  <c r="CG627" i="1"/>
  <c r="BW694" i="1"/>
  <c r="CG451" i="1"/>
  <c r="CG599" i="1"/>
  <c r="BW169" i="1"/>
  <c r="BW609" i="1"/>
  <c r="BW321" i="1"/>
  <c r="CB68" i="1"/>
  <c r="BW672" i="1"/>
  <c r="CG306" i="1"/>
  <c r="BW290" i="1"/>
  <c r="BW404" i="1"/>
  <c r="BW171" i="1"/>
  <c r="BW354" i="1"/>
  <c r="CG294" i="1"/>
  <c r="CG669" i="1"/>
  <c r="CG645" i="1"/>
  <c r="BW353" i="1"/>
  <c r="BW176" i="1"/>
  <c r="BW408" i="1"/>
  <c r="CG814" i="1"/>
  <c r="BW755" i="1"/>
  <c r="CG626" i="1"/>
  <c r="CG127" i="1"/>
  <c r="CG520" i="1"/>
  <c r="BR10" i="1"/>
  <c r="BW406" i="1"/>
  <c r="BW618" i="1"/>
  <c r="BR160" i="1"/>
  <c r="BW634" i="1"/>
  <c r="BW186" i="1"/>
  <c r="BW418" i="1"/>
  <c r="BW686" i="1"/>
  <c r="BW776" i="1"/>
  <c r="BW381" i="1"/>
  <c r="CG673" i="1"/>
  <c r="CG368" i="1"/>
  <c r="BW234" i="1"/>
  <c r="BW605" i="1"/>
  <c r="CG169" i="1"/>
  <c r="BW596" i="1"/>
  <c r="BW591" i="1"/>
  <c r="BW109" i="1"/>
  <c r="CG567" i="1"/>
  <c r="BW459" i="1"/>
  <c r="BW665" i="1"/>
  <c r="CG318" i="1"/>
  <c r="CG324" i="1"/>
  <c r="CG462" i="1"/>
  <c r="BW684" i="1"/>
  <c r="CG174" i="1"/>
  <c r="CG114" i="1"/>
  <c r="BW414" i="1"/>
  <c r="BW132" i="1"/>
  <c r="CG351" i="1"/>
  <c r="BW511" i="1"/>
  <c r="CB40" i="1"/>
  <c r="CG745" i="1"/>
  <c r="BW552" i="1"/>
  <c r="BW645" i="1"/>
  <c r="BW649" i="1"/>
  <c r="BW769" i="1"/>
  <c r="BW455" i="1"/>
  <c r="CG146" i="1"/>
  <c r="CG168" i="1"/>
  <c r="BW746" i="1"/>
  <c r="CB18" i="1"/>
  <c r="BW405" i="1"/>
  <c r="BW751" i="1"/>
  <c r="CL89" i="1"/>
  <c r="BW370" i="1"/>
  <c r="BW419" i="1"/>
  <c r="BW656" i="1"/>
  <c r="CG710" i="1"/>
  <c r="CG687" i="1"/>
  <c r="CG137" i="1"/>
  <c r="CB9" i="1"/>
  <c r="CG736" i="1"/>
  <c r="CG432" i="1"/>
  <c r="CG230" i="1"/>
  <c r="BW674" i="1"/>
  <c r="CG678" i="1"/>
  <c r="BW198" i="1"/>
  <c r="CG145" i="1"/>
  <c r="CB64" i="1"/>
  <c r="CG27" i="1"/>
  <c r="BW587" i="1"/>
  <c r="CG511" i="1"/>
  <c r="BW467" i="1"/>
  <c r="CL167" i="1"/>
  <c r="CG162" i="1"/>
  <c r="CG325" i="1"/>
  <c r="BW390" i="1"/>
  <c r="CG223" i="1"/>
  <c r="BW766" i="1"/>
  <c r="BW633" i="1"/>
  <c r="BW519" i="1"/>
  <c r="BW601" i="1"/>
  <c r="BR415" i="1"/>
  <c r="CG486" i="1"/>
  <c r="BW478" i="1"/>
  <c r="BW510" i="1"/>
  <c r="BW474" i="1"/>
  <c r="CG503" i="1"/>
  <c r="CG679" i="1"/>
  <c r="BW502" i="1"/>
  <c r="BW452" i="1"/>
  <c r="BW652" i="1"/>
  <c r="BW407" i="1"/>
  <c r="CG256" i="1"/>
  <c r="CG703" i="1"/>
  <c r="BW604" i="1"/>
  <c r="BW204" i="1"/>
  <c r="BW344" i="1"/>
  <c r="BW135" i="1"/>
  <c r="BW301" i="1"/>
  <c r="BW482" i="1"/>
  <c r="CG612" i="1"/>
  <c r="CG378" i="1"/>
  <c r="CG788" i="1"/>
  <c r="CG279" i="1"/>
  <c r="BW433" i="1"/>
  <c r="CG512" i="1"/>
  <c r="BW450" i="1"/>
  <c r="CG744" i="1"/>
  <c r="CG498" i="1"/>
  <c r="CG657" i="1"/>
  <c r="CB807" i="1"/>
  <c r="CB65" i="1"/>
  <c r="BW659" i="1"/>
  <c r="CG508" i="1"/>
  <c r="CG420" i="1"/>
  <c r="BW342" i="1"/>
  <c r="CG573" i="1"/>
  <c r="BW307" i="1"/>
  <c r="BW447" i="1"/>
  <c r="BW619" i="1"/>
  <c r="BW563" i="1"/>
  <c r="BW219" i="1"/>
  <c r="BW524" i="1"/>
  <c r="BW121" i="1"/>
  <c r="CB59" i="1"/>
  <c r="CG677" i="1"/>
  <c r="CG476" i="1"/>
  <c r="CG344" i="1"/>
  <c r="BW341" i="1"/>
  <c r="CG491" i="1"/>
  <c r="CG310" i="1"/>
  <c r="CG469" i="1"/>
  <c r="CG667" i="1"/>
  <c r="BW762" i="1"/>
  <c r="CG132" i="1"/>
  <c r="BW207" i="1"/>
  <c r="BW232" i="1"/>
  <c r="BW477" i="1"/>
  <c r="BW785" i="1"/>
  <c r="CB61" i="1"/>
  <c r="BW375" i="1"/>
  <c r="CG753" i="1"/>
  <c r="BW129" i="1"/>
  <c r="BW190" i="1"/>
  <c r="CG841" i="1"/>
  <c r="CG215" i="1"/>
  <c r="CG773" i="1"/>
  <c r="CL793" i="1"/>
  <c r="CG765" i="1"/>
  <c r="CG128" i="1"/>
  <c r="CG81" i="1"/>
  <c r="BW525" i="1"/>
  <c r="CB87" i="1"/>
  <c r="CG390" i="1"/>
  <c r="CG447" i="1"/>
  <c r="CG493" i="1"/>
  <c r="BW332" i="1"/>
  <c r="BW787" i="1"/>
  <c r="BW531" i="1"/>
  <c r="BW119" i="1"/>
  <c r="CG750" i="1"/>
  <c r="BW316" i="1"/>
  <c r="CG610" i="1"/>
  <c r="BW732" i="1"/>
  <c r="BW296" i="1"/>
  <c r="CG408" i="1"/>
  <c r="CG609" i="1"/>
  <c r="BW651" i="1"/>
  <c r="BW360" i="1"/>
  <c r="BW728" i="1"/>
  <c r="CG196" i="1"/>
  <c r="BW685" i="1"/>
  <c r="CG572" i="1"/>
  <c r="BW588" i="1"/>
  <c r="CG634" i="1"/>
  <c r="CG442" i="1"/>
  <c r="CG779" i="1"/>
  <c r="CB811" i="1"/>
  <c r="BW742" i="1"/>
  <c r="CG764" i="1"/>
  <c r="CG90" i="1"/>
  <c r="BW540" i="1"/>
  <c r="CG224" i="1"/>
  <c r="CG243" i="1"/>
  <c r="CG47" i="1"/>
  <c r="BR709" i="1"/>
  <c r="BW675" i="1"/>
  <c r="BR11" i="1"/>
  <c r="BW136" i="1"/>
  <c r="BW499" i="1"/>
  <c r="BW401" i="1"/>
  <c r="BW699" i="1"/>
  <c r="CG605" i="1"/>
  <c r="CB104" i="1"/>
  <c r="BW225" i="1"/>
  <c r="CG816" i="1"/>
  <c r="CG602" i="1"/>
  <c r="BW608" i="1"/>
  <c r="BW147" i="1"/>
  <c r="BW673" i="1"/>
  <c r="CG528" i="1"/>
  <c r="CG461" i="1"/>
  <c r="CG238" i="1"/>
  <c r="CG26" i="1"/>
  <c r="CG376" i="1"/>
  <c r="BW771" i="1"/>
  <c r="BW387" i="1"/>
  <c r="BW690" i="1"/>
  <c r="BW655" i="1"/>
  <c r="BW542" i="1"/>
  <c r="CG183" i="1"/>
  <c r="BW239" i="1"/>
  <c r="BW183" i="1"/>
  <c r="BW747" i="1"/>
  <c r="BW767" i="1"/>
  <c r="BW573" i="1"/>
  <c r="BW436" i="1"/>
  <c r="CG737" i="1"/>
  <c r="BW557" i="1"/>
  <c r="BW465" i="1"/>
  <c r="CG611" i="1"/>
  <c r="CG579" i="1"/>
  <c r="BW276" i="1"/>
  <c r="CG532" i="1"/>
  <c r="CG360" i="1"/>
  <c r="BR745" i="1"/>
  <c r="BW226" i="1"/>
  <c r="CG239" i="1"/>
  <c r="CG671" i="1"/>
  <c r="CL254" i="1"/>
  <c r="CG229" i="1"/>
  <c r="CG757" i="1"/>
  <c r="CB11" i="1"/>
  <c r="BW117" i="1"/>
  <c r="CG519" i="1"/>
  <c r="BW280" i="1"/>
  <c r="CG763" i="1"/>
  <c r="CG25" i="1"/>
  <c r="BW149" i="1"/>
  <c r="CG115" i="1"/>
  <c r="BR323" i="1"/>
  <c r="BW624" i="1"/>
  <c r="BW469" i="1"/>
  <c r="BW347" i="1"/>
  <c r="CG492" i="1"/>
  <c r="BW365" i="1"/>
  <c r="BR612" i="1"/>
  <c r="BW720" i="1"/>
  <c r="BW647" i="1"/>
  <c r="BW297" i="1"/>
  <c r="CG690" i="1"/>
  <c r="CG99" i="1"/>
  <c r="CG136" i="1"/>
  <c r="BW692" i="1"/>
  <c r="BW705" i="1"/>
  <c r="BW306" i="1"/>
  <c r="CG700" i="1"/>
  <c r="CG730" i="1"/>
  <c r="CG644" i="1"/>
  <c r="CG674" i="1"/>
  <c r="BW394" i="1"/>
  <c r="CB78" i="1"/>
  <c r="BW326" i="1"/>
  <c r="BW662" i="1"/>
  <c r="BW514" i="1"/>
  <c r="CG740" i="1"/>
  <c r="BW668" i="1"/>
  <c r="BW179" i="1"/>
  <c r="BW210" i="1"/>
  <c r="BW527" i="1"/>
  <c r="BW642" i="1"/>
  <c r="CB85" i="1"/>
  <c r="BW453" i="1"/>
  <c r="BW594" i="1"/>
  <c r="CB259" i="1"/>
  <c r="CG404" i="1"/>
  <c r="BW247" i="1"/>
  <c r="CG113" i="1"/>
  <c r="CG776" i="1"/>
  <c r="BW783" i="1"/>
  <c r="CG375" i="1"/>
  <c r="BW194" i="1"/>
  <c r="BW669" i="1"/>
  <c r="CB106" i="1"/>
  <c r="BW723" i="1"/>
  <c r="BW517" i="1"/>
  <c r="CG600" i="1"/>
  <c r="BW554" i="1"/>
  <c r="BW494" i="1"/>
  <c r="CG695" i="1"/>
  <c r="CG449" i="1"/>
  <c r="CG276" i="1"/>
  <c r="CG616" i="1"/>
  <c r="BW736" i="1"/>
  <c r="CG425" i="1"/>
  <c r="BW506" i="1"/>
  <c r="CB76" i="1"/>
  <c r="BW417" i="1"/>
  <c r="BW777" i="1"/>
  <c r="CG253" i="1"/>
  <c r="CB108" i="1"/>
  <c r="BW695" i="1"/>
  <c r="CG546" i="1"/>
  <c r="CG416" i="1"/>
  <c r="BW168" i="1"/>
  <c r="CB83" i="1"/>
  <c r="BW317" i="1"/>
  <c r="BW646" i="1"/>
  <c r="BW458" i="1"/>
  <c r="BW764" i="1"/>
  <c r="CG663" i="1"/>
  <c r="BW589" i="1"/>
  <c r="BW781" i="1"/>
  <c r="BW243" i="1"/>
  <c r="BW507" i="1"/>
  <c r="BR485" i="1"/>
  <c r="BW489" i="1"/>
  <c r="BW637" i="1"/>
  <c r="CG621" i="1"/>
  <c r="CG415" i="1"/>
  <c r="BW498" i="1"/>
  <c r="CG236" i="1"/>
  <c r="BW680" i="1"/>
  <c r="BW412" i="1"/>
  <c r="CG222" i="1"/>
  <c r="BW520" i="1"/>
  <c r="BW569" i="1"/>
  <c r="CG455" i="1"/>
  <c r="BW788" i="1"/>
  <c r="BW468" i="1"/>
  <c r="BW379" i="1"/>
  <c r="CB56" i="1"/>
  <c r="CG178" i="1"/>
  <c r="CG683" i="1"/>
  <c r="BW329" i="1"/>
  <c r="CG518" i="1"/>
  <c r="CG216" i="1"/>
  <c r="CG426" i="1"/>
  <c r="BW373" i="1"/>
  <c r="BW384" i="1"/>
  <c r="BW131" i="1"/>
  <c r="CG685" i="1"/>
  <c r="BW437" i="1"/>
  <c r="BW303" i="1"/>
  <c r="CG211" i="1"/>
  <c r="BW248" i="1"/>
  <c r="CG761" i="1"/>
  <c r="CG438" i="1"/>
  <c r="BW124" i="1"/>
  <c r="CB92" i="1"/>
  <c r="BW765" i="1"/>
  <c r="CG713" i="1"/>
  <c r="BW660" i="1"/>
  <c r="CG231" i="1"/>
  <c r="CG739" i="1"/>
  <c r="CB60" i="1"/>
  <c r="CB20" i="1"/>
  <c r="CG377" i="1"/>
  <c r="BW302" i="1"/>
  <c r="BW440" i="1"/>
  <c r="CG562" i="1"/>
  <c r="BW330" i="1"/>
  <c r="CG275" i="1"/>
  <c r="CG675" i="1"/>
  <c r="BW721" i="1"/>
  <c r="CG794" i="1"/>
  <c r="BW570" i="1"/>
  <c r="CB38" i="1"/>
  <c r="CG188" i="1"/>
  <c r="CG323" i="1"/>
  <c r="CG533" i="1"/>
  <c r="BW309" i="1"/>
  <c r="CG506" i="1"/>
  <c r="BW508" i="1"/>
  <c r="BW741" i="1"/>
  <c r="CG691" i="1"/>
  <c r="BW420" i="1"/>
  <c r="BW585" i="1"/>
  <c r="BR632" i="1"/>
  <c r="CL264" i="1"/>
  <c r="BW236" i="1"/>
  <c r="BW555" i="1"/>
  <c r="BW282" i="1"/>
  <c r="CG445" i="1"/>
  <c r="BW483" i="1"/>
  <c r="BW431" i="1"/>
  <c r="CG527" i="1"/>
  <c r="CG246" i="1"/>
  <c r="CG424" i="1"/>
  <c r="CG286" i="1"/>
  <c r="BW397" i="1"/>
  <c r="CG530" i="1"/>
  <c r="CB15" i="1"/>
  <c r="BW735" i="1"/>
  <c r="BW471" i="1"/>
  <c r="CG620" i="1"/>
  <c r="CG91" i="1"/>
  <c r="BW403" i="1"/>
  <c r="BW484" i="1"/>
  <c r="CG379" i="1"/>
  <c r="BR416" i="1"/>
  <c r="CI759" i="1"/>
  <c r="CJ759" i="1" s="1"/>
  <c r="CK759" i="1" s="1"/>
  <c r="CI397" i="1"/>
  <c r="CJ397" i="1" s="1"/>
  <c r="CK397" i="1" s="1"/>
  <c r="BY581" i="1"/>
  <c r="BZ581" i="1" s="1"/>
  <c r="CA581" i="1" s="1"/>
  <c r="CC581" i="1" s="1"/>
  <c r="BY426" i="1"/>
  <c r="CB426" i="1" s="1"/>
  <c r="BY442" i="1"/>
  <c r="CB442" i="1" s="1"/>
  <c r="BX516" i="1"/>
  <c r="BW516" i="1"/>
  <c r="BX148" i="1"/>
  <c r="BW148" i="1"/>
  <c r="CI628" i="1"/>
  <c r="CJ628" i="1" s="1"/>
  <c r="CK628" i="1" s="1"/>
  <c r="BY500" i="1"/>
  <c r="CB500" i="1" s="1"/>
  <c r="CI480" i="1"/>
  <c r="CJ480" i="1" s="1"/>
  <c r="CK480" i="1" s="1"/>
  <c r="CI543" i="1"/>
  <c r="CJ543" i="1" s="1"/>
  <c r="CK543" i="1" s="1"/>
  <c r="BY199" i="1"/>
  <c r="CB199" i="1" s="1"/>
  <c r="CE504" i="1"/>
  <c r="CF504" i="1" s="1"/>
  <c r="CH504" i="1" s="1"/>
  <c r="CL255" i="1"/>
  <c r="CG160" i="1"/>
  <c r="BR229" i="1"/>
  <c r="BY462" i="1"/>
  <c r="CB462" i="1" s="1"/>
  <c r="CI125" i="1"/>
  <c r="CJ125" i="1" s="1"/>
  <c r="CK125" i="1" s="1"/>
  <c r="CI151" i="1"/>
  <c r="CJ151" i="1" s="1"/>
  <c r="CK151" i="1" s="1"/>
  <c r="CG121" i="1"/>
  <c r="BY605" i="1"/>
  <c r="CB605" i="1" s="1"/>
  <c r="CI149" i="1"/>
  <c r="CJ149" i="1" s="1"/>
  <c r="CK149" i="1" s="1"/>
  <c r="BY432" i="1"/>
  <c r="CB432" i="1" s="1"/>
  <c r="BY175" i="1"/>
  <c r="CB175" i="1" s="1"/>
  <c r="BW666" i="1"/>
  <c r="BY595" i="1"/>
  <c r="BZ595" i="1" s="1"/>
  <c r="CA595" i="1" s="1"/>
  <c r="CC595" i="1" s="1"/>
  <c r="CG628" i="1"/>
  <c r="BW500" i="1"/>
  <c r="CG480" i="1"/>
  <c r="CE458" i="1"/>
  <c r="CF458" i="1" s="1"/>
  <c r="CH458" i="1" s="1"/>
  <c r="CG543" i="1"/>
  <c r="BY607" i="1"/>
  <c r="BZ607" i="1" s="1"/>
  <c r="CA607" i="1" s="1"/>
  <c r="CC607" i="1" s="1"/>
  <c r="BW199" i="1"/>
  <c r="CI34" i="1"/>
  <c r="CJ34" i="1" s="1"/>
  <c r="CK34" i="1" s="1"/>
  <c r="CI160" i="1"/>
  <c r="CJ160" i="1" s="1"/>
  <c r="CK160" i="1" s="1"/>
  <c r="BT229" i="1"/>
  <c r="BU229" i="1" s="1"/>
  <c r="BV229" i="1" s="1"/>
  <c r="BX229" i="1" s="1"/>
  <c r="BW462" i="1"/>
  <c r="CI121" i="1"/>
  <c r="CJ121" i="1" s="1"/>
  <c r="CK121" i="1" s="1"/>
  <c r="CD96" i="1"/>
  <c r="CE96" i="1" s="1"/>
  <c r="CF96" i="1" s="1"/>
  <c r="CH96" i="1" s="1"/>
  <c r="CI772" i="1"/>
  <c r="CJ772" i="1" s="1"/>
  <c r="CK772" i="1" s="1"/>
  <c r="CG149" i="1"/>
  <c r="BW432" i="1"/>
  <c r="BX337" i="1"/>
  <c r="BW337" i="1"/>
  <c r="CE150" i="1"/>
  <c r="CF150" i="1" s="1"/>
  <c r="CH150" i="1" s="1"/>
  <c r="BY666" i="1"/>
  <c r="CB666" i="1" s="1"/>
  <c r="BY714" i="1"/>
  <c r="CB714" i="1" s="1"/>
  <c r="CI542" i="1"/>
  <c r="CJ542" i="1" s="1"/>
  <c r="CK542" i="1" s="1"/>
  <c r="BW683" i="1"/>
  <c r="BR159" i="1"/>
  <c r="BU564" i="1"/>
  <c r="BV564" i="1" s="1"/>
  <c r="BX564" i="1" s="1"/>
  <c r="CI21" i="1"/>
  <c r="CJ21" i="1" s="1"/>
  <c r="CK21" i="1" s="1"/>
  <c r="BY572" i="1"/>
  <c r="CB572" i="1" s="1"/>
  <c r="BY477" i="1"/>
  <c r="CB477" i="1" s="1"/>
  <c r="BY722" i="1"/>
  <c r="BZ722" i="1" s="1"/>
  <c r="CA722" i="1" s="1"/>
  <c r="CC722" i="1" s="1"/>
  <c r="CI232" i="1"/>
  <c r="CJ232" i="1" s="1"/>
  <c r="CK232" i="1" s="1"/>
  <c r="CG21" i="1"/>
  <c r="CG777" i="1"/>
  <c r="BW572" i="1"/>
  <c r="BW200" i="1"/>
  <c r="BY561" i="1"/>
  <c r="BZ561" i="1" s="1"/>
  <c r="CA561" i="1" s="1"/>
  <c r="CC561" i="1" s="1"/>
  <c r="CL805" i="1"/>
  <c r="CI782" i="1"/>
  <c r="CJ782" i="1" s="1"/>
  <c r="CK782" i="1" s="1"/>
  <c r="BW722" i="1"/>
  <c r="BX197" i="1"/>
  <c r="BW197" i="1"/>
  <c r="BW292" i="1"/>
  <c r="BY299" i="1"/>
  <c r="BZ299" i="1" s="1"/>
  <c r="CA299" i="1" s="1"/>
  <c r="CC299" i="1" s="1"/>
  <c r="BX424" i="1"/>
  <c r="BW424" i="1"/>
  <c r="CI124" i="1"/>
  <c r="CJ124" i="1" s="1"/>
  <c r="CK124" i="1" s="1"/>
  <c r="CL124" i="1" s="1"/>
  <c r="BW607" i="1"/>
  <c r="CG34" i="1"/>
  <c r="CI474" i="1"/>
  <c r="CJ474" i="1" s="1"/>
  <c r="CK474" i="1" s="1"/>
  <c r="BX400" i="1"/>
  <c r="BW400" i="1"/>
  <c r="BY275" i="1"/>
  <c r="CB275" i="1" s="1"/>
  <c r="CE45" i="1"/>
  <c r="CF45" i="1" s="1"/>
  <c r="CH45" i="1" s="1"/>
  <c r="BY576" i="1"/>
  <c r="CB576" i="1" s="1"/>
  <c r="BY725" i="1"/>
  <c r="BZ725" i="1" s="1"/>
  <c r="CA725" i="1" s="1"/>
  <c r="CC725" i="1" s="1"/>
  <c r="CD11" i="1"/>
  <c r="CE11" i="1" s="1"/>
  <c r="CF11" i="1" s="1"/>
  <c r="CH11" i="1" s="1"/>
  <c r="CI493" i="1"/>
  <c r="CJ493" i="1" s="1"/>
  <c r="CK493" i="1" s="1"/>
  <c r="CB96" i="1"/>
  <c r="CG772" i="1"/>
  <c r="CG731" i="1"/>
  <c r="BY235" i="1"/>
  <c r="CB235" i="1" s="1"/>
  <c r="BU315" i="1"/>
  <c r="BV315" i="1" s="1"/>
  <c r="BX315" i="1" s="1"/>
  <c r="BY227" i="1"/>
  <c r="CB227" i="1" s="1"/>
  <c r="BY464" i="1"/>
  <c r="CB464" i="1" s="1"/>
  <c r="BT159" i="1"/>
  <c r="BW159" i="1" s="1"/>
  <c r="CI172" i="1"/>
  <c r="CJ172" i="1" s="1"/>
  <c r="CK172" i="1" s="1"/>
  <c r="CI365" i="1"/>
  <c r="CJ365" i="1" s="1"/>
  <c r="CK365" i="1" s="1"/>
  <c r="CG365" i="1"/>
  <c r="BY200" i="1"/>
  <c r="BZ200" i="1" s="1"/>
  <c r="CA200" i="1" s="1"/>
  <c r="CC200" i="1" s="1"/>
  <c r="BW581" i="1"/>
  <c r="BW426" i="1"/>
  <c r="BY237" i="1"/>
  <c r="BZ237" i="1" s="1"/>
  <c r="CA237" i="1" s="1"/>
  <c r="CC237" i="1" s="1"/>
  <c r="CI777" i="1"/>
  <c r="CJ777" i="1" s="1"/>
  <c r="CK777" i="1" s="1"/>
  <c r="BY445" i="1"/>
  <c r="CB445" i="1" s="1"/>
  <c r="CG741" i="1"/>
  <c r="BW561" i="1"/>
  <c r="BY112" i="1"/>
  <c r="CB112" i="1" s="1"/>
  <c r="BX398" i="1"/>
  <c r="BW398" i="1"/>
  <c r="CE116" i="1"/>
  <c r="CF116" i="1" s="1"/>
  <c r="CH116" i="1" s="1"/>
  <c r="CI685" i="1"/>
  <c r="CJ685" i="1" s="1"/>
  <c r="CK685" i="1" s="1"/>
  <c r="CE122" i="1"/>
  <c r="CF122" i="1" s="1"/>
  <c r="CH122" i="1" s="1"/>
  <c r="BX512" i="1"/>
  <c r="BW512" i="1"/>
  <c r="BY468" i="1"/>
  <c r="CB468" i="1" s="1"/>
  <c r="BY292" i="1"/>
  <c r="BZ292" i="1" s="1"/>
  <c r="CA292" i="1" s="1"/>
  <c r="CC292" i="1" s="1"/>
  <c r="BW740" i="1"/>
  <c r="CG124" i="1"/>
  <c r="BW480" i="1"/>
  <c r="BX298" i="1"/>
  <c r="BW298" i="1"/>
  <c r="CJ41" i="1"/>
  <c r="CK41" i="1" s="1"/>
  <c r="CG474" i="1"/>
  <c r="BW275" i="1"/>
  <c r="CG383" i="1"/>
  <c r="BW576" i="1"/>
  <c r="CI304" i="1"/>
  <c r="CJ304" i="1" s="1"/>
  <c r="CK304" i="1" s="1"/>
  <c r="CI617" i="1"/>
  <c r="CJ617" i="1" s="1"/>
  <c r="CK617" i="1" s="1"/>
  <c r="BX760" i="1"/>
  <c r="BW760" i="1"/>
  <c r="CI731" i="1"/>
  <c r="CJ731" i="1" s="1"/>
  <c r="CK731" i="1" s="1"/>
  <c r="CG107" i="1"/>
  <c r="CI620" i="1"/>
  <c r="CJ620" i="1" s="1"/>
  <c r="CK620" i="1" s="1"/>
  <c r="BY414" i="1"/>
  <c r="CB414" i="1" s="1"/>
  <c r="BY309" i="1"/>
  <c r="CB309" i="1" s="1"/>
  <c r="BW227" i="1"/>
  <c r="CI483" i="1"/>
  <c r="CJ483" i="1" s="1"/>
  <c r="CK483" i="1" s="1"/>
  <c r="BW577" i="1"/>
  <c r="BT163" i="1"/>
  <c r="BW163" i="1" s="1"/>
  <c r="BY630" i="1"/>
  <c r="CB630" i="1" s="1"/>
  <c r="CE173" i="1"/>
  <c r="CF173" i="1" s="1"/>
  <c r="CH173" i="1" s="1"/>
  <c r="BU409" i="1"/>
  <c r="BV409" i="1" s="1"/>
  <c r="BX409" i="1" s="1"/>
  <c r="BY582" i="1"/>
  <c r="CB582" i="1" s="1"/>
  <c r="BW335" i="1"/>
  <c r="BW318" i="1"/>
  <c r="CG697" i="1"/>
  <c r="CD29" i="1"/>
  <c r="CE29" i="1" s="1"/>
  <c r="CF29" i="1" s="1"/>
  <c r="CH29" i="1" s="1"/>
  <c r="CI773" i="1"/>
  <c r="CJ773" i="1" s="1"/>
  <c r="CK773" i="1" s="1"/>
  <c r="CE421" i="1"/>
  <c r="CF421" i="1" s="1"/>
  <c r="CH421" i="1" s="1"/>
  <c r="CE672" i="1"/>
  <c r="CF672" i="1" s="1"/>
  <c r="CH672" i="1" s="1"/>
  <c r="CE412" i="1"/>
  <c r="CF412" i="1" s="1"/>
  <c r="CH412" i="1" s="1"/>
  <c r="BY672" i="1"/>
  <c r="CB672" i="1" s="1"/>
  <c r="BX696" i="1"/>
  <c r="BW696" i="1"/>
  <c r="BW464" i="1"/>
  <c r="CG664" i="1"/>
  <c r="BX504" i="1"/>
  <c r="BW504" i="1"/>
  <c r="CI521" i="1"/>
  <c r="CJ521" i="1" s="1"/>
  <c r="CK521" i="1" s="1"/>
  <c r="BW212" i="1"/>
  <c r="BW205" i="1"/>
  <c r="CG110" i="1"/>
  <c r="BR163" i="1"/>
  <c r="BY577" i="1"/>
  <c r="CB577" i="1" s="1"/>
  <c r="CG759" i="1"/>
  <c r="CG441" i="1"/>
  <c r="CG577" i="1"/>
  <c r="BY318" i="1"/>
  <c r="CB318" i="1" s="1"/>
  <c r="CG58" i="1"/>
  <c r="CI664" i="1"/>
  <c r="CJ664" i="1" s="1"/>
  <c r="CK664" i="1" s="1"/>
  <c r="CI712" i="1"/>
  <c r="CJ712" i="1" s="1"/>
  <c r="CK712" i="1" s="1"/>
  <c r="BW630" i="1"/>
  <c r="BY750" i="1"/>
  <c r="CB750" i="1" s="1"/>
  <c r="CI475" i="1"/>
  <c r="CJ475" i="1" s="1"/>
  <c r="CK475" i="1" s="1"/>
  <c r="BW582" i="1"/>
  <c r="BX211" i="1"/>
  <c r="BW211" i="1"/>
  <c r="BY779" i="1"/>
  <c r="CB779" i="1" s="1"/>
  <c r="CE660" i="1"/>
  <c r="CF660" i="1" s="1"/>
  <c r="CH660" i="1" s="1"/>
  <c r="CB29" i="1"/>
  <c r="BY294" i="1"/>
  <c r="CB294" i="1" s="1"/>
  <c r="BT380" i="1"/>
  <c r="BU380" i="1" s="1"/>
  <c r="BV380" i="1" s="1"/>
  <c r="BX380" i="1" s="1"/>
  <c r="BX509" i="1"/>
  <c r="BW509" i="1"/>
  <c r="CI217" i="1"/>
  <c r="CJ217" i="1" s="1"/>
  <c r="CK217" i="1" s="1"/>
  <c r="CI843" i="1"/>
  <c r="CJ843" i="1" s="1"/>
  <c r="CK843" i="1" s="1"/>
  <c r="CI699" i="1"/>
  <c r="CJ699" i="1" s="1"/>
  <c r="CK699" i="1" s="1"/>
  <c r="BY727" i="1"/>
  <c r="CB727" i="1" s="1"/>
  <c r="CI390" i="1"/>
  <c r="CJ390" i="1" s="1"/>
  <c r="CK390" i="1" s="1"/>
  <c r="CL390" i="1" s="1"/>
  <c r="BY490" i="1"/>
  <c r="CB490" i="1" s="1"/>
  <c r="BY125" i="1"/>
  <c r="CB125" i="1" s="1"/>
  <c r="BY421" i="1"/>
  <c r="CB421" i="1" s="1"/>
  <c r="BY710" i="1"/>
  <c r="CB710" i="1" s="1"/>
  <c r="CI301" i="1"/>
  <c r="CJ301" i="1" s="1"/>
  <c r="CK301" i="1" s="1"/>
  <c r="CD257" i="1"/>
  <c r="CE257" i="1" s="1"/>
  <c r="CF257" i="1" s="1"/>
  <c r="CH257" i="1" s="1"/>
  <c r="CI477" i="1"/>
  <c r="CJ477" i="1" s="1"/>
  <c r="CK477" i="1" s="1"/>
  <c r="CI441" i="1"/>
  <c r="CJ441" i="1" s="1"/>
  <c r="CK441" i="1" s="1"/>
  <c r="BY740" i="1"/>
  <c r="CB740" i="1" s="1"/>
  <c r="BY480" i="1"/>
  <c r="CB480" i="1" s="1"/>
  <c r="BX526" i="1"/>
  <c r="BW526" i="1"/>
  <c r="BY657" i="1"/>
  <c r="CB657" i="1" s="1"/>
  <c r="BY562" i="1"/>
  <c r="CB562" i="1" s="1"/>
  <c r="BX661" i="1"/>
  <c r="BW661" i="1"/>
  <c r="CI485" i="1"/>
  <c r="CJ485" i="1" s="1"/>
  <c r="CK485" i="1" s="1"/>
  <c r="CE398" i="1"/>
  <c r="CF398" i="1" s="1"/>
  <c r="CH398" i="1" s="1"/>
  <c r="CG477" i="1"/>
  <c r="BY335" i="1"/>
  <c r="CB335" i="1" s="1"/>
  <c r="CI697" i="1"/>
  <c r="CJ697" i="1" s="1"/>
  <c r="CK697" i="1" s="1"/>
  <c r="CG418" i="1"/>
  <c r="BW224" i="1"/>
  <c r="CG541" i="1"/>
  <c r="BW208" i="1"/>
  <c r="BY774" i="1"/>
  <c r="CB774" i="1" s="1"/>
  <c r="CI33" i="1"/>
  <c r="CJ33" i="1" s="1"/>
  <c r="CK33" i="1" s="1"/>
  <c r="BY212" i="1"/>
  <c r="CB212" i="1" s="1"/>
  <c r="BY205" i="1"/>
  <c r="CB205" i="1" s="1"/>
  <c r="CI91" i="1"/>
  <c r="CJ91" i="1" s="1"/>
  <c r="CK91" i="1" s="1"/>
  <c r="CI110" i="1"/>
  <c r="CJ110" i="1" s="1"/>
  <c r="CK110" i="1" s="1"/>
  <c r="BY364" i="1"/>
  <c r="BZ364" i="1" s="1"/>
  <c r="CA364" i="1" s="1"/>
  <c r="CC364" i="1" s="1"/>
  <c r="BY384" i="1"/>
  <c r="BZ384" i="1" s="1"/>
  <c r="CA384" i="1" s="1"/>
  <c r="CC384" i="1" s="1"/>
  <c r="CG397" i="1"/>
  <c r="BW364" i="1"/>
  <c r="CI230" i="1"/>
  <c r="CJ230" i="1" s="1"/>
  <c r="CK230" i="1" s="1"/>
  <c r="BX393" i="1"/>
  <c r="BW393" i="1"/>
  <c r="BY549" i="1"/>
  <c r="CB549" i="1" s="1"/>
  <c r="CE468" i="1"/>
  <c r="CF468" i="1" s="1"/>
  <c r="CH468" i="1" s="1"/>
  <c r="BW537" i="1"/>
  <c r="BY507" i="1"/>
  <c r="CB507" i="1" s="1"/>
  <c r="BY291" i="1"/>
  <c r="CB291" i="1" s="1"/>
  <c r="BY433" i="1"/>
  <c r="CB433" i="1" s="1"/>
  <c r="BW549" i="1"/>
  <c r="CE433" i="1"/>
  <c r="CF433" i="1" s="1"/>
  <c r="CH433" i="1" s="1"/>
  <c r="CI325" i="1"/>
  <c r="CJ325" i="1" s="1"/>
  <c r="CK325" i="1" s="1"/>
  <c r="BW750" i="1"/>
  <c r="CG475" i="1"/>
  <c r="BY370" i="1"/>
  <c r="BZ370" i="1" s="1"/>
  <c r="CA370" i="1" s="1"/>
  <c r="CC370" i="1" s="1"/>
  <c r="CI753" i="1"/>
  <c r="CJ753" i="1" s="1"/>
  <c r="CK753" i="1" s="1"/>
  <c r="BW779" i="1"/>
  <c r="CG155" i="1"/>
  <c r="CI700" i="1"/>
  <c r="CJ700" i="1" s="1"/>
  <c r="CK700" i="1" s="1"/>
  <c r="BY557" i="1"/>
  <c r="BZ557" i="1" s="1"/>
  <c r="CA557" i="1" s="1"/>
  <c r="CC557" i="1" s="1"/>
  <c r="BW294" i="1"/>
  <c r="BY109" i="1"/>
  <c r="CB109" i="1" s="1"/>
  <c r="BR380" i="1"/>
  <c r="CD40" i="1"/>
  <c r="CE40" i="1" s="1"/>
  <c r="CF40" i="1" s="1"/>
  <c r="CH40" i="1" s="1"/>
  <c r="CG217" i="1"/>
  <c r="CG843" i="1"/>
  <c r="CG699" i="1"/>
  <c r="BY321" i="1"/>
  <c r="BZ321" i="1" s="1"/>
  <c r="CA321" i="1" s="1"/>
  <c r="CC321" i="1" s="1"/>
  <c r="BW727" i="1"/>
  <c r="CG549" i="1"/>
  <c r="BW490" i="1"/>
  <c r="BW377" i="1"/>
  <c r="BW125" i="1"/>
  <c r="BW421" i="1"/>
  <c r="CI750" i="1"/>
  <c r="CJ750" i="1" s="1"/>
  <c r="CK750" i="1" s="1"/>
  <c r="BW710" i="1"/>
  <c r="CD259" i="1"/>
  <c r="CE259" i="1" s="1"/>
  <c r="CF259" i="1" s="1"/>
  <c r="CH259" i="1" s="1"/>
  <c r="BX188" i="1"/>
  <c r="BW188" i="1"/>
  <c r="CG301" i="1"/>
  <c r="CB257" i="1"/>
  <c r="BR768" i="1"/>
  <c r="CI577" i="1"/>
  <c r="CJ577" i="1" s="1"/>
  <c r="CK577" i="1" s="1"/>
  <c r="CI58" i="1"/>
  <c r="CJ58" i="1" s="1"/>
  <c r="CK58" i="1" s="1"/>
  <c r="CE507" i="1"/>
  <c r="CF507" i="1" s="1"/>
  <c r="CH507" i="1" s="1"/>
  <c r="BW562" i="1"/>
  <c r="BY567" i="1"/>
  <c r="CB567" i="1" s="1"/>
  <c r="BY641" i="1"/>
  <c r="CB641" i="1" s="1"/>
  <c r="BY663" i="1"/>
  <c r="CB663" i="1" s="1"/>
  <c r="BX460" i="1"/>
  <c r="BW460" i="1"/>
  <c r="BY688" i="1"/>
  <c r="CB688" i="1" s="1"/>
  <c r="BX214" i="1"/>
  <c r="BW214" i="1"/>
  <c r="BU622" i="1"/>
  <c r="BV622" i="1" s="1"/>
  <c r="BX622" i="1" s="1"/>
  <c r="CI55" i="1"/>
  <c r="CJ55" i="1" s="1"/>
  <c r="CK55" i="1" s="1"/>
  <c r="CE287" i="1"/>
  <c r="CF287" i="1" s="1"/>
  <c r="CH287" i="1" s="1"/>
  <c r="BY743" i="1"/>
  <c r="CB743" i="1" s="1"/>
  <c r="BU371" i="1"/>
  <c r="BV371" i="1" s="1"/>
  <c r="BX371" i="1" s="1"/>
  <c r="CE478" i="1"/>
  <c r="CF478" i="1" s="1"/>
  <c r="CH478" i="1" s="1"/>
  <c r="BX528" i="1"/>
  <c r="BW528" i="1"/>
  <c r="CI549" i="1"/>
  <c r="CJ549" i="1" s="1"/>
  <c r="CK549" i="1" s="1"/>
  <c r="BY377" i="1"/>
  <c r="CB377" i="1" s="1"/>
  <c r="BY218" i="1"/>
  <c r="BZ218" i="1" s="1"/>
  <c r="CA218" i="1" s="1"/>
  <c r="CC218" i="1" s="1"/>
  <c r="BY388" i="1"/>
  <c r="BZ388" i="1" s="1"/>
  <c r="CA388" i="1" s="1"/>
  <c r="CC388" i="1" s="1"/>
  <c r="BY643" i="1"/>
  <c r="BZ643" i="1" s="1"/>
  <c r="CA643" i="1" s="1"/>
  <c r="CC643" i="1" s="1"/>
  <c r="CE443" i="1"/>
  <c r="CF443" i="1" s="1"/>
  <c r="CH443" i="1" s="1"/>
  <c r="CE778" i="1"/>
  <c r="CF778" i="1" s="1"/>
  <c r="CH778" i="1" s="1"/>
  <c r="BT768" i="1"/>
  <c r="BU768" i="1" s="1"/>
  <c r="BV768" i="1" s="1"/>
  <c r="BX768" i="1" s="1"/>
  <c r="BY537" i="1"/>
  <c r="CB537" i="1" s="1"/>
  <c r="CE207" i="1"/>
  <c r="CF207" i="1" s="1"/>
  <c r="CH207" i="1" s="1"/>
  <c r="CI327" i="1"/>
  <c r="CJ327" i="1" s="1"/>
  <c r="CK327" i="1" s="1"/>
  <c r="CE625" i="1"/>
  <c r="CF625" i="1" s="1"/>
  <c r="CH625" i="1" s="1"/>
  <c r="BW759" i="1"/>
  <c r="CG228" i="1"/>
  <c r="BY694" i="1"/>
  <c r="CB694" i="1" s="1"/>
  <c r="BW567" i="1"/>
  <c r="BW641" i="1"/>
  <c r="CI694" i="1"/>
  <c r="CJ694" i="1" s="1"/>
  <c r="CK694" i="1" s="1"/>
  <c r="CG327" i="1"/>
  <c r="BW663" i="1"/>
  <c r="BY303" i="1"/>
  <c r="BZ303" i="1" s="1"/>
  <c r="CA303" i="1" s="1"/>
  <c r="CC303" i="1" s="1"/>
  <c r="BW566" i="1"/>
  <c r="CI609" i="1"/>
  <c r="CJ609" i="1" s="1"/>
  <c r="CK609" i="1" s="1"/>
  <c r="CE466" i="1"/>
  <c r="CF466" i="1" s="1"/>
  <c r="CH466" i="1" s="1"/>
  <c r="BS676" i="1"/>
  <c r="BR676" i="1"/>
  <c r="BW688" i="1"/>
  <c r="CE234" i="1"/>
  <c r="CF234" i="1" s="1"/>
  <c r="CH234" i="1" s="1"/>
  <c r="CI613" i="1"/>
  <c r="CJ613" i="1" s="1"/>
  <c r="CK613" i="1" s="1"/>
  <c r="CG767" i="1"/>
  <c r="CG55" i="1"/>
  <c r="CI532" i="1"/>
  <c r="CJ532" i="1" s="1"/>
  <c r="CK532" i="1" s="1"/>
  <c r="BW743" i="1"/>
  <c r="BY671" i="1"/>
  <c r="CB671" i="1" s="1"/>
  <c r="BR689" i="1"/>
  <c r="CI462" i="1"/>
  <c r="CJ462" i="1" s="1"/>
  <c r="CK462" i="1" s="1"/>
  <c r="BW218" i="1"/>
  <c r="CI616" i="1"/>
  <c r="CJ616" i="1" s="1"/>
  <c r="CK616" i="1" s="1"/>
  <c r="CI523" i="1"/>
  <c r="CJ523" i="1" s="1"/>
  <c r="CK523" i="1" s="1"/>
  <c r="CE214" i="1"/>
  <c r="CF214" i="1" s="1"/>
  <c r="CH214" i="1" s="1"/>
  <c r="CG505" i="1"/>
  <c r="BW388" i="1"/>
  <c r="CI404" i="1"/>
  <c r="CJ404" i="1" s="1"/>
  <c r="CK404" i="1" s="1"/>
  <c r="BW643" i="1"/>
  <c r="CI627" i="1"/>
  <c r="CJ627" i="1" s="1"/>
  <c r="CK627" i="1" s="1"/>
  <c r="CE642" i="1"/>
  <c r="CF642" i="1" s="1"/>
  <c r="CH642" i="1" s="1"/>
  <c r="CI155" i="1"/>
  <c r="CJ155" i="1" s="1"/>
  <c r="CK155" i="1" s="1"/>
  <c r="BY207" i="1"/>
  <c r="CB207" i="1" s="1"/>
  <c r="BY600" i="1"/>
  <c r="CB600" i="1" s="1"/>
  <c r="CD790" i="1"/>
  <c r="CE790" i="1" s="1"/>
  <c r="CF790" i="1" s="1"/>
  <c r="CH790" i="1" s="1"/>
  <c r="CI228" i="1"/>
  <c r="CJ228" i="1" s="1"/>
  <c r="CK228" i="1" s="1"/>
  <c r="CG355" i="1"/>
  <c r="CE62" i="1"/>
  <c r="CF62" i="1" s="1"/>
  <c r="CH62" i="1" s="1"/>
  <c r="CE692" i="1"/>
  <c r="CF692" i="1" s="1"/>
  <c r="CH692" i="1" s="1"/>
  <c r="CD811" i="1"/>
  <c r="CE811" i="1" s="1"/>
  <c r="CF811" i="1" s="1"/>
  <c r="CH811" i="1" s="1"/>
  <c r="BW629" i="1"/>
  <c r="CE454" i="1"/>
  <c r="CF454" i="1" s="1"/>
  <c r="CH454" i="1" s="1"/>
  <c r="CI621" i="1"/>
  <c r="CJ621" i="1" s="1"/>
  <c r="CK621" i="1" s="1"/>
  <c r="BY566" i="1"/>
  <c r="BZ566" i="1" s="1"/>
  <c r="CA566" i="1" s="1"/>
  <c r="CC566" i="1" s="1"/>
  <c r="BY381" i="1"/>
  <c r="CB381" i="1" s="1"/>
  <c r="BY519" i="1"/>
  <c r="CB519" i="1" s="1"/>
  <c r="BW580" i="1"/>
  <c r="CI767" i="1"/>
  <c r="CJ767" i="1" s="1"/>
  <c r="CK767" i="1" s="1"/>
  <c r="BR368" i="1"/>
  <c r="BZ32" i="1"/>
  <c r="CA32" i="1" s="1"/>
  <c r="CC32" i="1" s="1"/>
  <c r="BY589" i="1"/>
  <c r="BZ589" i="1" s="1"/>
  <c r="CA589" i="1" s="1"/>
  <c r="CC589" i="1" s="1"/>
  <c r="CG488" i="1"/>
  <c r="BT689" i="1"/>
  <c r="BU689" i="1" s="1"/>
  <c r="BV689" i="1" s="1"/>
  <c r="BX689" i="1" s="1"/>
  <c r="CD104" i="1"/>
  <c r="CE104" i="1" s="1"/>
  <c r="CF104" i="1" s="1"/>
  <c r="CH104" i="1" s="1"/>
  <c r="BS615" i="1"/>
  <c r="BR615" i="1"/>
  <c r="CI505" i="1"/>
  <c r="CJ505" i="1" s="1"/>
  <c r="CK505" i="1" s="1"/>
  <c r="BZ100" i="1"/>
  <c r="CA100" i="1" s="1"/>
  <c r="CC100" i="1" s="1"/>
  <c r="CE453" i="1"/>
  <c r="CF453" i="1" s="1"/>
  <c r="CH453" i="1" s="1"/>
  <c r="BY608" i="1"/>
  <c r="CB608" i="1" s="1"/>
  <c r="BS712" i="1"/>
  <c r="BR712" i="1"/>
  <c r="BY759" i="1"/>
  <c r="CB759" i="1" s="1"/>
  <c r="CI355" i="1"/>
  <c r="CJ355" i="1" s="1"/>
  <c r="CK355" i="1" s="1"/>
  <c r="BR161" i="1"/>
  <c r="BT485" i="1"/>
  <c r="BU485" i="1" s="1"/>
  <c r="BV485" i="1" s="1"/>
  <c r="BX485" i="1" s="1"/>
  <c r="CI136" i="1"/>
  <c r="CJ136" i="1" s="1"/>
  <c r="CK136" i="1" s="1"/>
  <c r="BY629" i="1"/>
  <c r="CB629" i="1" s="1"/>
  <c r="CG766" i="1"/>
  <c r="BY747" i="1"/>
  <c r="CB747" i="1" s="1"/>
  <c r="BW203" i="1"/>
  <c r="BY580" i="1"/>
  <c r="BZ580" i="1" s="1"/>
  <c r="CA580" i="1" s="1"/>
  <c r="CC580" i="1" s="1"/>
  <c r="CI224" i="1"/>
  <c r="CJ224" i="1" s="1"/>
  <c r="CK224" i="1" s="1"/>
  <c r="BY317" i="1"/>
  <c r="CB317" i="1" s="1"/>
  <c r="BZ77" i="1"/>
  <c r="CA77" i="1" s="1"/>
  <c r="CC77" i="1" s="1"/>
  <c r="BT368" i="1"/>
  <c r="BU368" i="1" s="1"/>
  <c r="BV368" i="1" s="1"/>
  <c r="BX368" i="1" s="1"/>
  <c r="CE733" i="1"/>
  <c r="CF733" i="1" s="1"/>
  <c r="CH733" i="1" s="1"/>
  <c r="CI488" i="1"/>
  <c r="CJ488" i="1" s="1"/>
  <c r="CK488" i="1" s="1"/>
  <c r="BW568" i="1"/>
  <c r="CG233" i="1"/>
  <c r="CI129" i="1"/>
  <c r="CJ129" i="1" s="1"/>
  <c r="CK129" i="1" s="1"/>
  <c r="BY174" i="1"/>
  <c r="CB174" i="1" s="1"/>
  <c r="CE479" i="1"/>
  <c r="CF479" i="1" s="1"/>
  <c r="CH479" i="1" s="1"/>
  <c r="BT10" i="1"/>
  <c r="BW10" i="1" s="1"/>
  <c r="BY706" i="1"/>
  <c r="CB706" i="1" s="1"/>
  <c r="BX110" i="1"/>
  <c r="BW110" i="1"/>
  <c r="BY147" i="1"/>
  <c r="CB147" i="1" s="1"/>
  <c r="BW657" i="1"/>
  <c r="CE258" i="1"/>
  <c r="CF258" i="1" s="1"/>
  <c r="CH258" i="1" s="1"/>
  <c r="CI766" i="1"/>
  <c r="CJ766" i="1" s="1"/>
  <c r="CK766" i="1" s="1"/>
  <c r="CJ813" i="1"/>
  <c r="CK813" i="1" s="1"/>
  <c r="BX782" i="1"/>
  <c r="BW782" i="1"/>
  <c r="BY203" i="1"/>
  <c r="CB203" i="1" s="1"/>
  <c r="BY568" i="1"/>
  <c r="BZ568" i="1" s="1"/>
  <c r="CA568" i="1" s="1"/>
  <c r="CC568" i="1" s="1"/>
  <c r="BY402" i="1"/>
  <c r="CB402" i="1" s="1"/>
  <c r="BT162" i="1"/>
  <c r="BW162" i="1" s="1"/>
  <c r="CI233" i="1"/>
  <c r="CJ233" i="1" s="1"/>
  <c r="CK233" i="1" s="1"/>
  <c r="BY733" i="1"/>
  <c r="CB733" i="1" s="1"/>
  <c r="BX114" i="1"/>
  <c r="BW114" i="1"/>
  <c r="BW174" i="1"/>
  <c r="BY135" i="1"/>
  <c r="CB135" i="1" s="1"/>
  <c r="BY301" i="1"/>
  <c r="CB301" i="1" s="1"/>
  <c r="BW706" i="1"/>
  <c r="BY654" i="1"/>
  <c r="BZ654" i="1" s="1"/>
  <c r="CA654" i="1" s="1"/>
  <c r="CC654" i="1" s="1"/>
  <c r="BX752" i="1"/>
  <c r="BW752" i="1"/>
  <c r="BU300" i="1"/>
  <c r="BV300" i="1" s="1"/>
  <c r="BX300" i="1" s="1"/>
  <c r="BY683" i="1"/>
  <c r="CB683" i="1" s="1"/>
  <c r="BU724" i="1"/>
  <c r="BV724" i="1" s="1"/>
  <c r="BX724" i="1" s="1"/>
  <c r="CI705" i="1"/>
  <c r="CJ705" i="1" s="1"/>
  <c r="CK705" i="1" s="1"/>
  <c r="BY579" i="1"/>
  <c r="CB579" i="1" s="1"/>
  <c r="BY478" i="1"/>
  <c r="CB478" i="1" s="1"/>
  <c r="CI695" i="1"/>
  <c r="CJ695" i="1" s="1"/>
  <c r="CK695" i="1" s="1"/>
  <c r="CI277" i="1"/>
  <c r="CJ277" i="1" s="1"/>
  <c r="CK277" i="1" s="1"/>
  <c r="CD68" i="1"/>
  <c r="CE68" i="1" s="1"/>
  <c r="CF68" i="1" s="1"/>
  <c r="CH68" i="1" s="1"/>
  <c r="BW402" i="1"/>
  <c r="BR162" i="1"/>
  <c r="BW733" i="1"/>
  <c r="BT221" i="1"/>
  <c r="BU221" i="1" s="1"/>
  <c r="BV221" i="1" s="1"/>
  <c r="BX221" i="1" s="1"/>
  <c r="CE380" i="1"/>
  <c r="CF380" i="1" s="1"/>
  <c r="CH380" i="1" s="1"/>
  <c r="CI741" i="1"/>
  <c r="CJ741" i="1" s="1"/>
  <c r="CK741" i="1" s="1"/>
  <c r="CI418" i="1"/>
  <c r="CJ418" i="1" s="1"/>
  <c r="CK418" i="1" s="1"/>
  <c r="BY224" i="1"/>
  <c r="CB224" i="1" s="1"/>
  <c r="CI541" i="1"/>
  <c r="CJ541" i="1" s="1"/>
  <c r="CK541" i="1" s="1"/>
  <c r="CI383" i="1"/>
  <c r="CJ383" i="1" s="1"/>
  <c r="CK383" i="1" s="1"/>
  <c r="BY208" i="1"/>
  <c r="CB208" i="1" s="1"/>
  <c r="CI107" i="1"/>
  <c r="CJ107" i="1" s="1"/>
  <c r="CK107" i="1" s="1"/>
  <c r="CE227" i="1"/>
  <c r="CF227" i="1" s="1"/>
  <c r="CH227" i="1" s="1"/>
  <c r="BT161" i="1"/>
  <c r="BW161" i="1" s="1"/>
  <c r="CE197" i="1"/>
  <c r="CF197" i="1" s="1"/>
  <c r="CH197" i="1" s="1"/>
  <c r="BW714" i="1"/>
  <c r="CG542" i="1"/>
  <c r="BY228" i="1"/>
  <c r="CB228" i="1" s="1"/>
  <c r="BS230" i="1"/>
  <c r="BR230" i="1"/>
  <c r="CE405" i="1"/>
  <c r="CF405" i="1" s="1"/>
  <c r="CH405" i="1" s="1"/>
  <c r="BU718" i="1"/>
  <c r="BV718" i="1" s="1"/>
  <c r="BX718" i="1" s="1"/>
  <c r="CE500" i="1"/>
  <c r="CF500" i="1" s="1"/>
  <c r="CH500" i="1" s="1"/>
  <c r="BY538" i="1"/>
  <c r="BZ538" i="1" s="1"/>
  <c r="CA538" i="1" s="1"/>
  <c r="CC538" i="1" s="1"/>
  <c r="BX784" i="1"/>
  <c r="BW784" i="1"/>
  <c r="BY588" i="1"/>
  <c r="BZ588" i="1" s="1"/>
  <c r="CA588" i="1" s="1"/>
  <c r="CC588" i="1" s="1"/>
  <c r="CJ37" i="1"/>
  <c r="CK37" i="1" s="1"/>
  <c r="CG172" i="1"/>
  <c r="BY282" i="1"/>
  <c r="BZ282" i="1" s="1"/>
  <c r="CA282" i="1" s="1"/>
  <c r="CC282" i="1" s="1"/>
  <c r="BT758" i="1"/>
  <c r="BU758" i="1" s="1"/>
  <c r="BV758" i="1" s="1"/>
  <c r="BX758" i="1" s="1"/>
  <c r="BY587" i="1"/>
  <c r="BZ587" i="1" s="1"/>
  <c r="CA587" i="1" s="1"/>
  <c r="CC587" i="1" s="1"/>
  <c r="BW228" i="1"/>
  <c r="BW442" i="1"/>
  <c r="CI428" i="1"/>
  <c r="CJ428" i="1" s="1"/>
  <c r="CK428" i="1" s="1"/>
  <c r="BW538" i="1"/>
  <c r="CD265" i="1"/>
  <c r="CE265" i="1" s="1"/>
  <c r="CF265" i="1" s="1"/>
  <c r="CH265" i="1" s="1"/>
  <c r="BX761" i="1"/>
  <c r="BW761" i="1"/>
  <c r="CI246" i="1"/>
  <c r="CJ246" i="1" s="1"/>
  <c r="CK246" i="1" s="1"/>
  <c r="BW579" i="1"/>
  <c r="BU590" i="1"/>
  <c r="BV590" i="1" s="1"/>
  <c r="BX590" i="1" s="1"/>
  <c r="CI400" i="1"/>
  <c r="CJ400" i="1" s="1"/>
  <c r="CK400" i="1" s="1"/>
  <c r="CD60" i="1"/>
  <c r="CE60" i="1" s="1"/>
  <c r="CF60" i="1" s="1"/>
  <c r="CH60" i="1" s="1"/>
  <c r="CI494" i="1"/>
  <c r="CJ494" i="1" s="1"/>
  <c r="CK494" i="1" s="1"/>
  <c r="BU539" i="1"/>
  <c r="BV539" i="1" s="1"/>
  <c r="BX539" i="1" s="1"/>
  <c r="BU274" i="1"/>
  <c r="BV274" i="1" s="1"/>
  <c r="BX274" i="1" s="1"/>
  <c r="BY295" i="1"/>
  <c r="BZ295" i="1" s="1"/>
  <c r="CA295" i="1" s="1"/>
  <c r="CC295" i="1" s="1"/>
  <c r="BY234" i="1"/>
  <c r="CB234" i="1" s="1"/>
  <c r="CI276" i="1"/>
  <c r="CJ276" i="1" s="1"/>
  <c r="CK276" i="1" s="1"/>
  <c r="CG125" i="1"/>
  <c r="CG151" i="1"/>
  <c r="BX547" i="1"/>
  <c r="BW547" i="1"/>
  <c r="BY427" i="1"/>
  <c r="CB427" i="1" s="1"/>
  <c r="BR221" i="1"/>
  <c r="CI344" i="1"/>
  <c r="CJ344" i="1" s="1"/>
  <c r="CK344" i="1" s="1"/>
  <c r="CE754" i="1"/>
  <c r="CF754" i="1" s="1"/>
  <c r="CH754" i="1" s="1"/>
  <c r="BW175" i="1"/>
  <c r="BY417" i="1"/>
  <c r="CB417" i="1" s="1"/>
  <c r="BY640" i="1"/>
  <c r="CB640" i="1" s="1"/>
  <c r="BW595" i="1"/>
  <c r="BW638" i="1"/>
  <c r="CI216" i="1"/>
  <c r="CJ216" i="1" s="1"/>
  <c r="CK216" i="1" s="1"/>
  <c r="BY741" i="1"/>
  <c r="CB741" i="1" s="1"/>
  <c r="CD43" i="1"/>
  <c r="CE43" i="1" s="1"/>
  <c r="CF43" i="1" s="1"/>
  <c r="CH43" i="1" s="1"/>
  <c r="BY373" i="1"/>
  <c r="BZ373" i="1" s="1"/>
  <c r="CA373" i="1" s="1"/>
  <c r="CC373" i="1" s="1"/>
  <c r="BY405" i="1"/>
  <c r="CB405" i="1" s="1"/>
  <c r="CI253" i="1"/>
  <c r="CJ253" i="1" s="1"/>
  <c r="CK253" i="1" s="1"/>
  <c r="CG213" i="1"/>
  <c r="CI512" i="1"/>
  <c r="CJ512" i="1" s="1"/>
  <c r="CK512" i="1" s="1"/>
  <c r="BY329" i="1"/>
  <c r="BZ329" i="1" s="1"/>
  <c r="CA329" i="1" s="1"/>
  <c r="CC329" i="1" s="1"/>
  <c r="CI351" i="1"/>
  <c r="CJ351" i="1" s="1"/>
  <c r="CK351" i="1" s="1"/>
  <c r="BW691" i="1"/>
  <c r="CI690" i="1"/>
  <c r="CJ690" i="1" s="1"/>
  <c r="CK690" i="1" s="1"/>
  <c r="CB105" i="1"/>
  <c r="CG123" i="1"/>
  <c r="CI99" i="1"/>
  <c r="CJ99" i="1" s="1"/>
  <c r="CK99" i="1" s="1"/>
  <c r="BW583" i="1"/>
  <c r="CI498" i="1"/>
  <c r="CJ498" i="1" s="1"/>
  <c r="CK498" i="1" s="1"/>
  <c r="BW493" i="1"/>
  <c r="BY206" i="1"/>
  <c r="CB206" i="1" s="1"/>
  <c r="CG437" i="1"/>
  <c r="CG464" i="1"/>
  <c r="CI119" i="1"/>
  <c r="CJ119" i="1" s="1"/>
  <c r="CK119" i="1" s="1"/>
  <c r="BW313" i="1"/>
  <c r="BW621" i="1"/>
  <c r="BW284" i="1"/>
  <c r="CI460" i="1"/>
  <c r="CJ460" i="1" s="1"/>
  <c r="CK460" i="1" s="1"/>
  <c r="BW322" i="1"/>
  <c r="CG75" i="1"/>
  <c r="BW351" i="1"/>
  <c r="BY511" i="1"/>
  <c r="CB511" i="1" s="1"/>
  <c r="CG784" i="1"/>
  <c r="BY239" i="1"/>
  <c r="CB239" i="1" s="1"/>
  <c r="BY783" i="1"/>
  <c r="CB783" i="1" s="1"/>
  <c r="CI508" i="1"/>
  <c r="CJ508" i="1" s="1"/>
  <c r="CK508" i="1" s="1"/>
  <c r="CI415" i="1"/>
  <c r="CJ415" i="1" s="1"/>
  <c r="CK415" i="1" s="1"/>
  <c r="BW613" i="1"/>
  <c r="CI701" i="1"/>
  <c r="CJ701" i="1" s="1"/>
  <c r="CK701" i="1" s="1"/>
  <c r="BW173" i="1"/>
  <c r="BY306" i="1"/>
  <c r="CB306" i="1" s="1"/>
  <c r="BW631" i="1"/>
  <c r="CG742" i="1"/>
  <c r="CG787" i="1"/>
  <c r="BY220" i="1"/>
  <c r="BZ220" i="1" s="1"/>
  <c r="CA220" i="1" s="1"/>
  <c r="CC220" i="1" s="1"/>
  <c r="CG465" i="1"/>
  <c r="CI673" i="1"/>
  <c r="CJ673" i="1" s="1"/>
  <c r="CK673" i="1" s="1"/>
  <c r="CI375" i="1"/>
  <c r="CJ375" i="1" s="1"/>
  <c r="CK375" i="1" s="1"/>
  <c r="CI215" i="1"/>
  <c r="CJ215" i="1" s="1"/>
  <c r="CK215" i="1" s="1"/>
  <c r="BY353" i="1"/>
  <c r="BZ353" i="1" s="1"/>
  <c r="CA353" i="1" s="1"/>
  <c r="CC353" i="1" s="1"/>
  <c r="BY765" i="1"/>
  <c r="CB765" i="1" s="1"/>
  <c r="BY396" i="1"/>
  <c r="CB396" i="1" s="1"/>
  <c r="CG456" i="1"/>
  <c r="BW435" i="1"/>
  <c r="BW327" i="1"/>
  <c r="CI298" i="1"/>
  <c r="CJ298" i="1" s="1"/>
  <c r="CK298" i="1" s="1"/>
  <c r="BY523" i="1"/>
  <c r="CB523" i="1" s="1"/>
  <c r="CI231" i="1"/>
  <c r="CJ231" i="1" s="1"/>
  <c r="CK231" i="1" s="1"/>
  <c r="CG203" i="1"/>
  <c r="CG524" i="1"/>
  <c r="CI536" i="1"/>
  <c r="CJ536" i="1" s="1"/>
  <c r="CK536" i="1" s="1"/>
  <c r="CG738" i="1"/>
  <c r="BY651" i="1"/>
  <c r="BZ651" i="1" s="1"/>
  <c r="CA651" i="1" s="1"/>
  <c r="CC651" i="1" s="1"/>
  <c r="CI128" i="1"/>
  <c r="CJ128" i="1" s="1"/>
  <c r="CK128" i="1" s="1"/>
  <c r="BY678" i="1"/>
  <c r="CB678" i="1" s="1"/>
  <c r="CI368" i="1"/>
  <c r="CJ368" i="1" s="1"/>
  <c r="CK368" i="1" s="1"/>
  <c r="BY556" i="1"/>
  <c r="BZ556" i="1" s="1"/>
  <c r="CA556" i="1" s="1"/>
  <c r="CC556" i="1" s="1"/>
  <c r="CG552" i="1"/>
  <c r="BY440" i="1"/>
  <c r="CB440" i="1" s="1"/>
  <c r="BY642" i="1"/>
  <c r="CB642" i="1" s="1"/>
  <c r="CI239" i="1"/>
  <c r="CJ239" i="1" s="1"/>
  <c r="CK239" i="1" s="1"/>
  <c r="BW639" i="1"/>
  <c r="CD18" i="1"/>
  <c r="CE18" i="1" s="1"/>
  <c r="CF18" i="1" s="1"/>
  <c r="CH18" i="1" s="1"/>
  <c r="CI671" i="1"/>
  <c r="CJ671" i="1" s="1"/>
  <c r="CK671" i="1" s="1"/>
  <c r="BY699" i="1"/>
  <c r="CB699" i="1" s="1"/>
  <c r="CG668" i="1"/>
  <c r="CI275" i="1"/>
  <c r="CJ275" i="1" s="1"/>
  <c r="CK275" i="1" s="1"/>
  <c r="CI757" i="1"/>
  <c r="CJ757" i="1" s="1"/>
  <c r="CK757" i="1" s="1"/>
  <c r="BY443" i="1"/>
  <c r="CB443" i="1" s="1"/>
  <c r="BY452" i="1"/>
  <c r="CB452" i="1" s="1"/>
  <c r="BY383" i="1"/>
  <c r="CB383" i="1" s="1"/>
  <c r="BW558" i="1"/>
  <c r="BY461" i="1"/>
  <c r="CB461" i="1" s="1"/>
  <c r="BT324" i="1"/>
  <c r="BU324" i="1" s="1"/>
  <c r="BV324" i="1" s="1"/>
  <c r="BX324" i="1" s="1"/>
  <c r="CI174" i="1"/>
  <c r="CJ174" i="1" s="1"/>
  <c r="CK174" i="1" s="1"/>
  <c r="CI774" i="1"/>
  <c r="CJ774" i="1" s="1"/>
  <c r="CK774" i="1" s="1"/>
  <c r="CI794" i="1"/>
  <c r="CJ794" i="1" s="1"/>
  <c r="CK794" i="1" s="1"/>
  <c r="CI238" i="1"/>
  <c r="CJ238" i="1" s="1"/>
  <c r="CK238" i="1" s="1"/>
  <c r="CI482" i="1"/>
  <c r="CJ482" i="1" s="1"/>
  <c r="CK482" i="1" s="1"/>
  <c r="BY728" i="1"/>
  <c r="CB728" i="1" s="1"/>
  <c r="BW191" i="1"/>
  <c r="CI687" i="1"/>
  <c r="CJ687" i="1" s="1"/>
  <c r="CK687" i="1" s="1"/>
  <c r="CI240" i="1"/>
  <c r="CJ240" i="1" s="1"/>
  <c r="CK240" i="1" s="1"/>
  <c r="BY413" i="1"/>
  <c r="CB413" i="1" s="1"/>
  <c r="BY624" i="1"/>
  <c r="BZ624" i="1" s="1"/>
  <c r="CA624" i="1" s="1"/>
  <c r="CC624" i="1" s="1"/>
  <c r="BW682" i="1"/>
  <c r="CI36" i="1"/>
  <c r="CJ36" i="1" s="1"/>
  <c r="CK36" i="1" s="1"/>
  <c r="BW635" i="1"/>
  <c r="CI517" i="1"/>
  <c r="CJ517" i="1" s="1"/>
  <c r="CK517" i="1" s="1"/>
  <c r="CI337" i="1"/>
  <c r="CJ337" i="1" s="1"/>
  <c r="CK337" i="1" s="1"/>
  <c r="BY192" i="1"/>
  <c r="BZ192" i="1" s="1"/>
  <c r="CA192" i="1" s="1"/>
  <c r="CC192" i="1" s="1"/>
  <c r="BY571" i="1"/>
  <c r="CB571" i="1" s="1"/>
  <c r="BY780" i="1"/>
  <c r="CB780" i="1" s="1"/>
  <c r="BY602" i="1"/>
  <c r="CB602" i="1" s="1"/>
  <c r="CD88" i="1"/>
  <c r="CE88" i="1" s="1"/>
  <c r="CF88" i="1" s="1"/>
  <c r="CH88" i="1" s="1"/>
  <c r="BY172" i="1"/>
  <c r="CB172" i="1" s="1"/>
  <c r="CI752" i="1"/>
  <c r="CJ752" i="1" s="1"/>
  <c r="CK752" i="1" s="1"/>
  <c r="BY334" i="1"/>
  <c r="BZ334" i="1" s="1"/>
  <c r="CA334" i="1" s="1"/>
  <c r="CC334" i="1" s="1"/>
  <c r="CI785" i="1"/>
  <c r="CJ785" i="1" s="1"/>
  <c r="CK785" i="1" s="1"/>
  <c r="BY123" i="1"/>
  <c r="CB123" i="1" s="1"/>
  <c r="BY374" i="1"/>
  <c r="BZ374" i="1" s="1"/>
  <c r="CA374" i="1" s="1"/>
  <c r="CC374" i="1" s="1"/>
  <c r="BY542" i="1"/>
  <c r="CB542" i="1" s="1"/>
  <c r="CG393" i="1"/>
  <c r="CG112" i="1"/>
  <c r="BY273" i="1"/>
  <c r="BZ273" i="1" s="1"/>
  <c r="CA273" i="1" s="1"/>
  <c r="CC273" i="1" s="1"/>
  <c r="CI161" i="1"/>
  <c r="CJ161" i="1" s="1"/>
  <c r="CK161" i="1" s="1"/>
  <c r="BW529" i="1"/>
  <c r="BY473" i="1"/>
  <c r="CB473" i="1" s="1"/>
  <c r="CI437" i="1"/>
  <c r="CJ437" i="1" s="1"/>
  <c r="CK437" i="1" s="1"/>
  <c r="CG206" i="1"/>
  <c r="CG120" i="1"/>
  <c r="BY593" i="1"/>
  <c r="BZ593" i="1" s="1"/>
  <c r="CA593" i="1" s="1"/>
  <c r="CC593" i="1" s="1"/>
  <c r="CB97" i="1"/>
  <c r="BW551" i="1"/>
  <c r="CI16" i="1"/>
  <c r="CJ16" i="1" s="1"/>
  <c r="CK16" i="1" s="1"/>
  <c r="CI178" i="1"/>
  <c r="CJ178" i="1" s="1"/>
  <c r="CK178" i="1" s="1"/>
  <c r="BW189" i="1"/>
  <c r="BW550" i="1"/>
  <c r="CI158" i="1"/>
  <c r="CJ158" i="1" s="1"/>
  <c r="CK158" i="1" s="1"/>
  <c r="CG48" i="1"/>
  <c r="BW293" i="1"/>
  <c r="BY585" i="1"/>
  <c r="BZ585" i="1" s="1"/>
  <c r="CA585" i="1" s="1"/>
  <c r="CC585" i="1" s="1"/>
  <c r="CG751" i="1"/>
  <c r="BY116" i="1"/>
  <c r="CB116" i="1" s="1"/>
  <c r="BY631" i="1"/>
  <c r="CB631" i="1" s="1"/>
  <c r="BY187" i="1"/>
  <c r="BZ187" i="1" s="1"/>
  <c r="CA187" i="1" s="1"/>
  <c r="CC187" i="1" s="1"/>
  <c r="CI531" i="1"/>
  <c r="CJ531" i="1" s="1"/>
  <c r="CK531" i="1" s="1"/>
  <c r="CI326" i="1"/>
  <c r="CJ326" i="1" s="1"/>
  <c r="CK326" i="1" s="1"/>
  <c r="CI465" i="1"/>
  <c r="CJ465" i="1" s="1"/>
  <c r="CK465" i="1" s="1"/>
  <c r="CI456" i="1"/>
  <c r="CJ456" i="1" s="1"/>
  <c r="CK456" i="1" s="1"/>
  <c r="BY249" i="1"/>
  <c r="CB249" i="1" s="1"/>
  <c r="BY650" i="1"/>
  <c r="BZ650" i="1" s="1"/>
  <c r="CA650" i="1" s="1"/>
  <c r="CC650" i="1" s="1"/>
  <c r="CD263" i="1"/>
  <c r="CE263" i="1" s="1"/>
  <c r="CF263" i="1" s="1"/>
  <c r="CH263" i="1" s="1"/>
  <c r="BY648" i="1"/>
  <c r="BZ648" i="1" s="1"/>
  <c r="CA648" i="1" s="1"/>
  <c r="CC648" i="1" s="1"/>
  <c r="BY449" i="1"/>
  <c r="CB449" i="1" s="1"/>
  <c r="BY546" i="1"/>
  <c r="CB546" i="1" s="1"/>
  <c r="CI728" i="1"/>
  <c r="CJ728" i="1" s="1"/>
  <c r="CK728" i="1" s="1"/>
  <c r="BW319" i="1"/>
  <c r="CI487" i="1"/>
  <c r="CJ487" i="1" s="1"/>
  <c r="CK487" i="1" s="1"/>
  <c r="CI524" i="1"/>
  <c r="CJ524" i="1" s="1"/>
  <c r="CK524" i="1" s="1"/>
  <c r="BW333" i="1"/>
  <c r="BY773" i="1"/>
  <c r="CB773" i="1" s="1"/>
  <c r="CB42" i="1"/>
  <c r="CG727" i="1"/>
  <c r="CD69" i="1"/>
  <c r="CE69" i="1" s="1"/>
  <c r="CF69" i="1" s="1"/>
  <c r="CH69" i="1" s="1"/>
  <c r="CD791" i="1"/>
  <c r="CE791" i="1" s="1"/>
  <c r="CF791" i="1" s="1"/>
  <c r="CH791" i="1" s="1"/>
  <c r="BY514" i="1"/>
  <c r="CB514" i="1" s="1"/>
  <c r="BT164" i="1"/>
  <c r="BW164" i="1" s="1"/>
  <c r="CI401" i="1"/>
  <c r="CJ401" i="1" s="1"/>
  <c r="CK401" i="1" s="1"/>
  <c r="BW231" i="1"/>
  <c r="BY451" i="1"/>
  <c r="CB451" i="1" s="1"/>
  <c r="CI552" i="1"/>
  <c r="CJ552" i="1" s="1"/>
  <c r="CK552" i="1" s="1"/>
  <c r="CI510" i="1"/>
  <c r="CJ510" i="1" s="1"/>
  <c r="CK510" i="1" s="1"/>
  <c r="CI208" i="1"/>
  <c r="CJ208" i="1" s="1"/>
  <c r="CK208" i="1" s="1"/>
  <c r="CI547" i="1"/>
  <c r="CJ547" i="1" s="1"/>
  <c r="CK547" i="1" s="1"/>
  <c r="BY639" i="1"/>
  <c r="BZ639" i="1" s="1"/>
  <c r="CA639" i="1" s="1"/>
  <c r="CC639" i="1" s="1"/>
  <c r="CI249" i="1"/>
  <c r="CJ249" i="1" s="1"/>
  <c r="CK249" i="1" s="1"/>
  <c r="CI668" i="1"/>
  <c r="CJ668" i="1" s="1"/>
  <c r="CK668" i="1" s="1"/>
  <c r="CG576" i="1"/>
  <c r="CG514" i="1"/>
  <c r="BY434" i="1"/>
  <c r="CB434" i="1" s="1"/>
  <c r="BY558" i="1"/>
  <c r="BZ558" i="1" s="1"/>
  <c r="CA558" i="1" s="1"/>
  <c r="CC558" i="1" s="1"/>
  <c r="CI95" i="1"/>
  <c r="CJ95" i="1" s="1"/>
  <c r="CK95" i="1" s="1"/>
  <c r="CI195" i="1"/>
  <c r="CJ195" i="1" s="1"/>
  <c r="CK195" i="1" s="1"/>
  <c r="CI471" i="1"/>
  <c r="CJ471" i="1" s="1"/>
  <c r="CK471" i="1" s="1"/>
  <c r="BY155" i="1"/>
  <c r="CB155" i="1" s="1"/>
  <c r="BY470" i="1"/>
  <c r="CB470" i="1" s="1"/>
  <c r="BY626" i="1"/>
  <c r="CB626" i="1" s="1"/>
  <c r="BY191" i="1"/>
  <c r="CB191" i="1" s="1"/>
  <c r="BY410" i="1"/>
  <c r="CB410" i="1" s="1"/>
  <c r="CI760" i="1"/>
  <c r="CJ760" i="1" s="1"/>
  <c r="CK760" i="1" s="1"/>
  <c r="CI382" i="1"/>
  <c r="CJ382" i="1" s="1"/>
  <c r="CK382" i="1" s="1"/>
  <c r="CI446" i="1"/>
  <c r="CJ446" i="1" s="1"/>
  <c r="CK446" i="1" s="1"/>
  <c r="BY682" i="1"/>
  <c r="CB682" i="1" s="1"/>
  <c r="CI247" i="1"/>
  <c r="CJ247" i="1" s="1"/>
  <c r="CK247" i="1" s="1"/>
  <c r="BY635" i="1"/>
  <c r="BZ635" i="1" s="1"/>
  <c r="CA635" i="1" s="1"/>
  <c r="CC635" i="1" s="1"/>
  <c r="CG163" i="1"/>
  <c r="CG204" i="1"/>
  <c r="CG571" i="1"/>
  <c r="CD57" i="1"/>
  <c r="CE57" i="1" s="1"/>
  <c r="CF57" i="1" s="1"/>
  <c r="CH57" i="1" s="1"/>
  <c r="BY521" i="1"/>
  <c r="CB521" i="1" s="1"/>
  <c r="CI147" i="1"/>
  <c r="CJ147" i="1" s="1"/>
  <c r="CK147" i="1" s="1"/>
  <c r="CI495" i="1"/>
  <c r="CJ495" i="1" s="1"/>
  <c r="CK495" i="1" s="1"/>
  <c r="CI157" i="1"/>
  <c r="CJ157" i="1" s="1"/>
  <c r="CK157" i="1" s="1"/>
  <c r="BW192" i="1"/>
  <c r="CI432" i="1"/>
  <c r="CJ432" i="1" s="1"/>
  <c r="CK432" i="1" s="1"/>
  <c r="CL432" i="1" s="1"/>
  <c r="CD76" i="1"/>
  <c r="CE76" i="1" s="1"/>
  <c r="CF76" i="1" s="1"/>
  <c r="CH76" i="1" s="1"/>
  <c r="BY484" i="1"/>
  <c r="CB484" i="1" s="1"/>
  <c r="CG111" i="1"/>
  <c r="BY618" i="1"/>
  <c r="CB618" i="1" s="1"/>
  <c r="BW780" i="1"/>
  <c r="BW602" i="1"/>
  <c r="CI492" i="1"/>
  <c r="CJ492" i="1" s="1"/>
  <c r="CK492" i="1" s="1"/>
  <c r="BW314" i="1"/>
  <c r="BY365" i="1"/>
  <c r="CB365" i="1" s="1"/>
  <c r="CG159" i="1"/>
  <c r="BY522" i="1"/>
  <c r="CB522" i="1" s="1"/>
  <c r="CL260" i="1"/>
  <c r="BW334" i="1"/>
  <c r="CG785" i="1"/>
  <c r="BW123" i="1"/>
  <c r="BW374" i="1"/>
  <c r="CI393" i="1"/>
  <c r="CJ393" i="1" s="1"/>
  <c r="CK393" i="1" s="1"/>
  <c r="CI112" i="1"/>
  <c r="CJ112" i="1" s="1"/>
  <c r="CK112" i="1" s="1"/>
  <c r="BW273" i="1"/>
  <c r="CG161" i="1"/>
  <c r="CB267" i="1"/>
  <c r="BY529" i="1"/>
  <c r="CB529" i="1" s="1"/>
  <c r="CI206" i="1"/>
  <c r="CJ206" i="1" s="1"/>
  <c r="CK206" i="1" s="1"/>
  <c r="CI120" i="1"/>
  <c r="CJ120" i="1" s="1"/>
  <c r="CK120" i="1" s="1"/>
  <c r="BW593" i="1"/>
  <c r="CD97" i="1"/>
  <c r="CE97" i="1" s="1"/>
  <c r="CF97" i="1" s="1"/>
  <c r="CH97" i="1" s="1"/>
  <c r="BY551" i="1"/>
  <c r="BZ551" i="1" s="1"/>
  <c r="CA551" i="1" s="1"/>
  <c r="CC551" i="1" s="1"/>
  <c r="CG16" i="1"/>
  <c r="BY189" i="1"/>
  <c r="BZ189" i="1" s="1"/>
  <c r="CA189" i="1" s="1"/>
  <c r="CC189" i="1" s="1"/>
  <c r="BY550" i="1"/>
  <c r="BZ550" i="1" s="1"/>
  <c r="CA550" i="1" s="1"/>
  <c r="CC550" i="1" s="1"/>
  <c r="CG158" i="1"/>
  <c r="BY183" i="1"/>
  <c r="CB183" i="1" s="1"/>
  <c r="BY454" i="1"/>
  <c r="CB454" i="1" s="1"/>
  <c r="CI48" i="1"/>
  <c r="CJ48" i="1" s="1"/>
  <c r="CK48" i="1" s="1"/>
  <c r="BY475" i="1"/>
  <c r="CB475" i="1" s="1"/>
  <c r="BY293" i="1"/>
  <c r="CB293" i="1" s="1"/>
  <c r="CI751" i="1"/>
  <c r="CJ751" i="1" s="1"/>
  <c r="CK751" i="1" s="1"/>
  <c r="CI688" i="1"/>
  <c r="CJ688" i="1" s="1"/>
  <c r="CK688" i="1" s="1"/>
  <c r="CI689" i="1"/>
  <c r="CJ689" i="1" s="1"/>
  <c r="CK689" i="1" s="1"/>
  <c r="BW658" i="1"/>
  <c r="BW187" i="1"/>
  <c r="CG531" i="1"/>
  <c r="CG326" i="1"/>
  <c r="BY439" i="1"/>
  <c r="CB439" i="1" s="1"/>
  <c r="BY444" i="1"/>
  <c r="CB444" i="1" s="1"/>
  <c r="BY391" i="1"/>
  <c r="CB391" i="1" s="1"/>
  <c r="BY134" i="1"/>
  <c r="CB134" i="1" s="1"/>
  <c r="CI429" i="1"/>
  <c r="CJ429" i="1" s="1"/>
  <c r="CK429" i="1" s="1"/>
  <c r="BW701" i="1"/>
  <c r="CG563" i="1"/>
  <c r="CG676" i="1"/>
  <c r="BW249" i="1"/>
  <c r="BW650" i="1"/>
  <c r="CB263" i="1"/>
  <c r="BW648" i="1"/>
  <c r="BW449" i="1"/>
  <c r="BW546" i="1"/>
  <c r="CG728" i="1"/>
  <c r="BY319" i="1"/>
  <c r="BZ319" i="1" s="1"/>
  <c r="CA319" i="1" s="1"/>
  <c r="CC319" i="1" s="1"/>
  <c r="CG487" i="1"/>
  <c r="BT748" i="1"/>
  <c r="BU748" i="1" s="1"/>
  <c r="BV748" i="1" s="1"/>
  <c r="BX748" i="1" s="1"/>
  <c r="BY333" i="1"/>
  <c r="BZ333" i="1" s="1"/>
  <c r="CA333" i="1" s="1"/>
  <c r="CC333" i="1" s="1"/>
  <c r="CD42" i="1"/>
  <c r="CE42" i="1" s="1"/>
  <c r="CF42" i="1" s="1"/>
  <c r="CH42" i="1" s="1"/>
  <c r="CI727" i="1"/>
  <c r="CJ727" i="1" s="1"/>
  <c r="CK727" i="1" s="1"/>
  <c r="CB69" i="1"/>
  <c r="CB791" i="1"/>
  <c r="BY276" i="1"/>
  <c r="CB276" i="1" s="1"/>
  <c r="BY194" i="1"/>
  <c r="CB194" i="1" s="1"/>
  <c r="CG440" i="1"/>
  <c r="BY532" i="1"/>
  <c r="CB532" i="1" s="1"/>
  <c r="BR164" i="1"/>
  <c r="CG401" i="1"/>
  <c r="BY231" i="1"/>
  <c r="CB231" i="1" s="1"/>
  <c r="CI769" i="1"/>
  <c r="CJ769" i="1" s="1"/>
  <c r="CK769" i="1" s="1"/>
  <c r="BY668" i="1"/>
  <c r="CB668" i="1" s="1"/>
  <c r="BW451" i="1"/>
  <c r="CG510" i="1"/>
  <c r="CG208" i="1"/>
  <c r="CG547" i="1"/>
  <c r="BY217" i="1"/>
  <c r="CB217" i="1" s="1"/>
  <c r="CG394" i="1"/>
  <c r="CI457" i="1"/>
  <c r="CJ457" i="1" s="1"/>
  <c r="CK457" i="1" s="1"/>
  <c r="CI199" i="1"/>
  <c r="CJ199" i="1" s="1"/>
  <c r="CK199" i="1" s="1"/>
  <c r="BY115" i="1"/>
  <c r="CB115" i="1" s="1"/>
  <c r="CG249" i="1"/>
  <c r="BW320" i="1"/>
  <c r="CG305" i="1"/>
  <c r="BY170" i="1"/>
  <c r="BZ170" i="1" s="1"/>
  <c r="CA170" i="1" s="1"/>
  <c r="CC170" i="1" s="1"/>
  <c r="CI576" i="1"/>
  <c r="CJ576" i="1" s="1"/>
  <c r="CK576" i="1" s="1"/>
  <c r="BY584" i="1"/>
  <c r="BZ584" i="1" s="1"/>
  <c r="CA584" i="1" s="1"/>
  <c r="CC584" i="1" s="1"/>
  <c r="CI670" i="1"/>
  <c r="CJ670" i="1" s="1"/>
  <c r="CK670" i="1" s="1"/>
  <c r="CI514" i="1"/>
  <c r="CJ514" i="1" s="1"/>
  <c r="CK514" i="1" s="1"/>
  <c r="BW434" i="1"/>
  <c r="CI481" i="1"/>
  <c r="CJ481" i="1" s="1"/>
  <c r="CK481" i="1" s="1"/>
  <c r="BY195" i="1"/>
  <c r="CB195" i="1" s="1"/>
  <c r="CG95" i="1"/>
  <c r="CG195" i="1"/>
  <c r="CG278" i="1"/>
  <c r="BY763" i="1"/>
  <c r="CB763" i="1" s="1"/>
  <c r="CG471" i="1"/>
  <c r="BW155" i="1"/>
  <c r="CI530" i="1"/>
  <c r="CJ530" i="1" s="1"/>
  <c r="CK530" i="1" s="1"/>
  <c r="BT679" i="1"/>
  <c r="BU679" i="1" s="1"/>
  <c r="BV679" i="1" s="1"/>
  <c r="BX679" i="1" s="1"/>
  <c r="BW470" i="1"/>
  <c r="CG686" i="1"/>
  <c r="BW626" i="1"/>
  <c r="BR9" i="1"/>
  <c r="BW560" i="1"/>
  <c r="BW196" i="1"/>
  <c r="BW410" i="1"/>
  <c r="CG760" i="1"/>
  <c r="CG382" i="1"/>
  <c r="BY328" i="1"/>
  <c r="CB328" i="1" s="1"/>
  <c r="CG446" i="1"/>
  <c r="CI775" i="1"/>
  <c r="CJ775" i="1" s="1"/>
  <c r="CK775" i="1" s="1"/>
  <c r="CG604" i="1"/>
  <c r="CG247" i="1"/>
  <c r="BY422" i="1"/>
  <c r="CB422" i="1" s="1"/>
  <c r="CI163" i="1"/>
  <c r="CJ163" i="1" s="1"/>
  <c r="CK163" i="1" s="1"/>
  <c r="CI204" i="1"/>
  <c r="CJ204" i="1" s="1"/>
  <c r="CK204" i="1" s="1"/>
  <c r="CI571" i="1"/>
  <c r="CJ571" i="1" s="1"/>
  <c r="CK571" i="1" s="1"/>
  <c r="CB57" i="1"/>
  <c r="BW521" i="1"/>
  <c r="CG147" i="1"/>
  <c r="CG495" i="1"/>
  <c r="CG157" i="1"/>
  <c r="CI615" i="1"/>
  <c r="CJ615" i="1" s="1"/>
  <c r="CK615" i="1" s="1"/>
  <c r="CI706" i="1"/>
  <c r="CJ706" i="1" s="1"/>
  <c r="CK706" i="1" s="1"/>
  <c r="BY241" i="1"/>
  <c r="CB241" i="1" s="1"/>
  <c r="BY681" i="1"/>
  <c r="CB681" i="1" s="1"/>
  <c r="CI111" i="1"/>
  <c r="CJ111" i="1" s="1"/>
  <c r="CK111" i="1" s="1"/>
  <c r="BY216" i="1"/>
  <c r="CB216" i="1" s="1"/>
  <c r="BY495" i="1"/>
  <c r="CB495" i="1" s="1"/>
  <c r="BY399" i="1"/>
  <c r="BZ399" i="1" s="1"/>
  <c r="CA399" i="1" s="1"/>
  <c r="CC399" i="1" s="1"/>
  <c r="BY314" i="1"/>
  <c r="BZ314" i="1" s="1"/>
  <c r="CA314" i="1" s="1"/>
  <c r="CC314" i="1" s="1"/>
  <c r="CI159" i="1"/>
  <c r="CJ159" i="1" s="1"/>
  <c r="CK159" i="1" s="1"/>
  <c r="BW522" i="1"/>
  <c r="CG735" i="1"/>
  <c r="CD70" i="1"/>
  <c r="CE70" i="1" s="1"/>
  <c r="CF70" i="1" s="1"/>
  <c r="CH70" i="1" s="1"/>
  <c r="CI758" i="1"/>
  <c r="CJ758" i="1" s="1"/>
  <c r="CK758" i="1" s="1"/>
  <c r="CI518" i="1"/>
  <c r="CJ518" i="1" s="1"/>
  <c r="CK518" i="1" s="1"/>
  <c r="CI779" i="1"/>
  <c r="CJ779" i="1" s="1"/>
  <c r="CK779" i="1" s="1"/>
  <c r="CD267" i="1"/>
  <c r="CE267" i="1" s="1"/>
  <c r="CF267" i="1" s="1"/>
  <c r="CH267" i="1" s="1"/>
  <c r="BY390" i="1"/>
  <c r="CB390" i="1" s="1"/>
  <c r="BY437" i="1"/>
  <c r="CB437" i="1" s="1"/>
  <c r="CI223" i="1"/>
  <c r="CJ223" i="1" s="1"/>
  <c r="CK223" i="1" s="1"/>
  <c r="BY637" i="1"/>
  <c r="CB637" i="1" s="1"/>
  <c r="CD65" i="1"/>
  <c r="CE65" i="1" s="1"/>
  <c r="CF65" i="1" s="1"/>
  <c r="CH65" i="1" s="1"/>
  <c r="BY248" i="1"/>
  <c r="CB248" i="1" s="1"/>
  <c r="BY692" i="1"/>
  <c r="CB692" i="1" s="1"/>
  <c r="BY785" i="1"/>
  <c r="CB785" i="1" s="1"/>
  <c r="BY354" i="1"/>
  <c r="BZ354" i="1" s="1"/>
  <c r="CA354" i="1" s="1"/>
  <c r="CC354" i="1" s="1"/>
  <c r="BY336" i="1"/>
  <c r="CB336" i="1" s="1"/>
  <c r="CI420" i="1"/>
  <c r="CJ420" i="1" s="1"/>
  <c r="CK420" i="1" s="1"/>
  <c r="CI438" i="1"/>
  <c r="CJ438" i="1" s="1"/>
  <c r="CK438" i="1" s="1"/>
  <c r="BW475" i="1"/>
  <c r="BY592" i="1"/>
  <c r="CB592" i="1" s="1"/>
  <c r="BY124" i="1"/>
  <c r="CB124" i="1" s="1"/>
  <c r="CG688" i="1"/>
  <c r="CG689" i="1"/>
  <c r="BY658" i="1"/>
  <c r="CB658" i="1" s="1"/>
  <c r="CI573" i="1"/>
  <c r="CJ573" i="1" s="1"/>
  <c r="CK573" i="1" s="1"/>
  <c r="BY596" i="1"/>
  <c r="CB596" i="1" s="1"/>
  <c r="BY458" i="1"/>
  <c r="CB458" i="1" s="1"/>
  <c r="BY436" i="1"/>
  <c r="CB436" i="1" s="1"/>
  <c r="BW439" i="1"/>
  <c r="BW444" i="1"/>
  <c r="BW391" i="1"/>
  <c r="BW134" i="1"/>
  <c r="CG429" i="1"/>
  <c r="BY701" i="1"/>
  <c r="CB701" i="1" s="1"/>
  <c r="CI563" i="1"/>
  <c r="CJ563" i="1" s="1"/>
  <c r="CK563" i="1" s="1"/>
  <c r="CI676" i="1"/>
  <c r="CJ676" i="1" s="1"/>
  <c r="CK676" i="1" s="1"/>
  <c r="BY447" i="1"/>
  <c r="CB447" i="1" s="1"/>
  <c r="BY555" i="1"/>
  <c r="BZ555" i="1" s="1"/>
  <c r="CA555" i="1" s="1"/>
  <c r="CC555" i="1" s="1"/>
  <c r="CI663" i="1"/>
  <c r="CJ663" i="1" s="1"/>
  <c r="CK663" i="1" s="1"/>
  <c r="CI486" i="1"/>
  <c r="CJ486" i="1" s="1"/>
  <c r="CK486" i="1" s="1"/>
  <c r="CI424" i="1"/>
  <c r="CJ424" i="1" s="1"/>
  <c r="CK424" i="1" s="1"/>
  <c r="CI739" i="1"/>
  <c r="CJ739" i="1" s="1"/>
  <c r="CK739" i="1" s="1"/>
  <c r="BY756" i="1"/>
  <c r="CB756" i="1" s="1"/>
  <c r="BR748" i="1"/>
  <c r="BY665" i="1"/>
  <c r="CB665" i="1" s="1"/>
  <c r="CI528" i="1"/>
  <c r="CJ528" i="1" s="1"/>
  <c r="CK528" i="1" s="1"/>
  <c r="BY713" i="1"/>
  <c r="CB713" i="1" s="1"/>
  <c r="CI440" i="1"/>
  <c r="CJ440" i="1" s="1"/>
  <c r="CK440" i="1" s="1"/>
  <c r="BT278" i="1"/>
  <c r="BU278" i="1" s="1"/>
  <c r="BV278" i="1" s="1"/>
  <c r="BX278" i="1" s="1"/>
  <c r="BY243" i="1"/>
  <c r="CB243" i="1" s="1"/>
  <c r="BT709" i="1"/>
  <c r="BW709" i="1" s="1"/>
  <c r="CG769" i="1"/>
  <c r="CI459" i="1"/>
  <c r="CJ459" i="1" s="1"/>
  <c r="CK459" i="1" s="1"/>
  <c r="CI463" i="1"/>
  <c r="CJ463" i="1" s="1"/>
  <c r="CK463" i="1" s="1"/>
  <c r="CI394" i="1"/>
  <c r="CJ394" i="1" s="1"/>
  <c r="CK394" i="1" s="1"/>
  <c r="CI449" i="1"/>
  <c r="CJ449" i="1" s="1"/>
  <c r="CK449" i="1" s="1"/>
  <c r="CG457" i="1"/>
  <c r="CG199" i="1"/>
  <c r="BW115" i="1"/>
  <c r="BY680" i="1"/>
  <c r="CB680" i="1" s="1"/>
  <c r="BY320" i="1"/>
  <c r="BZ320" i="1" s="1"/>
  <c r="CA320" i="1" s="1"/>
  <c r="CC320" i="1" s="1"/>
  <c r="CI305" i="1"/>
  <c r="CJ305" i="1" s="1"/>
  <c r="CK305" i="1" s="1"/>
  <c r="CI146" i="1"/>
  <c r="CJ146" i="1" s="1"/>
  <c r="CK146" i="1" s="1"/>
  <c r="BW170" i="1"/>
  <c r="CI675" i="1"/>
  <c r="CJ675" i="1" s="1"/>
  <c r="CK675" i="1" s="1"/>
  <c r="BY463" i="1"/>
  <c r="CB463" i="1" s="1"/>
  <c r="BW584" i="1"/>
  <c r="CG670" i="1"/>
  <c r="BY684" i="1"/>
  <c r="CB684" i="1" s="1"/>
  <c r="CG481" i="1"/>
  <c r="CI306" i="1"/>
  <c r="CJ306" i="1" s="1"/>
  <c r="CK306" i="1" s="1"/>
  <c r="CI278" i="1"/>
  <c r="CJ278" i="1" s="1"/>
  <c r="CK278" i="1" s="1"/>
  <c r="BW763" i="1"/>
  <c r="CL261" i="1"/>
  <c r="BY290" i="1"/>
  <c r="CB290" i="1" s="1"/>
  <c r="CI127" i="1"/>
  <c r="CJ127" i="1" s="1"/>
  <c r="CK127" i="1" s="1"/>
  <c r="BR679" i="1"/>
  <c r="BY304" i="1"/>
  <c r="CB304" i="1" s="1"/>
  <c r="CI686" i="1"/>
  <c r="CJ686" i="1" s="1"/>
  <c r="CK686" i="1" s="1"/>
  <c r="BT9" i="1"/>
  <c r="BW9" i="1" s="1"/>
  <c r="BY560" i="1"/>
  <c r="BZ560" i="1" s="1"/>
  <c r="CA560" i="1" s="1"/>
  <c r="CC560" i="1" s="1"/>
  <c r="BY196" i="1"/>
  <c r="CB196" i="1" s="1"/>
  <c r="BY735" i="1"/>
  <c r="CB735" i="1" s="1"/>
  <c r="CI520" i="1"/>
  <c r="CJ520" i="1" s="1"/>
  <c r="CK520" i="1" s="1"/>
  <c r="BY703" i="1"/>
  <c r="CB703" i="1" s="1"/>
  <c r="BY341" i="1"/>
  <c r="CB341" i="1" s="1"/>
  <c r="CG775" i="1"/>
  <c r="CI604" i="1"/>
  <c r="CJ604" i="1" s="1"/>
  <c r="CK604" i="1" s="1"/>
  <c r="BY482" i="1"/>
  <c r="CB482" i="1" s="1"/>
  <c r="BW422" i="1"/>
  <c r="BY225" i="1"/>
  <c r="BZ225" i="1" s="1"/>
  <c r="CA225" i="1" s="1"/>
  <c r="CC225" i="1" s="1"/>
  <c r="CI455" i="1"/>
  <c r="CJ455" i="1" s="1"/>
  <c r="CK455" i="1" s="1"/>
  <c r="CI816" i="1"/>
  <c r="CJ816" i="1" s="1"/>
  <c r="CK816" i="1" s="1"/>
  <c r="CI736" i="1"/>
  <c r="CJ736" i="1" s="1"/>
  <c r="CK736" i="1" s="1"/>
  <c r="CI323" i="1"/>
  <c r="CJ323" i="1" s="1"/>
  <c r="CK323" i="1" s="1"/>
  <c r="CG615" i="1"/>
  <c r="CG706" i="1"/>
  <c r="CI113" i="1"/>
  <c r="CJ113" i="1" s="1"/>
  <c r="CK113" i="1" s="1"/>
  <c r="BW241" i="1"/>
  <c r="BW681" i="1"/>
  <c r="BY350" i="1"/>
  <c r="CB350" i="1" s="1"/>
  <c r="CI118" i="1"/>
  <c r="CJ118" i="1" s="1"/>
  <c r="CK118" i="1" s="1"/>
  <c r="BW216" i="1"/>
  <c r="BW495" i="1"/>
  <c r="BW399" i="1"/>
  <c r="BY777" i="1"/>
  <c r="CB777" i="1" s="1"/>
  <c r="CI572" i="1"/>
  <c r="CJ572" i="1" s="1"/>
  <c r="CK572" i="1" s="1"/>
  <c r="CI132" i="1"/>
  <c r="CJ132" i="1" s="1"/>
  <c r="CK132" i="1" s="1"/>
  <c r="CI735" i="1"/>
  <c r="CJ735" i="1" s="1"/>
  <c r="CK735" i="1" s="1"/>
  <c r="BT166" i="1"/>
  <c r="BW166" i="1" s="1"/>
  <c r="CI137" i="1"/>
  <c r="CJ137" i="1" s="1"/>
  <c r="CK137" i="1" s="1"/>
  <c r="CD52" i="1"/>
  <c r="CE52" i="1" s="1"/>
  <c r="CF52" i="1" s="1"/>
  <c r="CH52" i="1" s="1"/>
  <c r="BY505" i="1"/>
  <c r="CB505" i="1" s="1"/>
  <c r="BY770" i="1"/>
  <c r="BZ770" i="1" s="1"/>
  <c r="CA770" i="1" s="1"/>
  <c r="CC770" i="1" s="1"/>
  <c r="BY395" i="1"/>
  <c r="CB395" i="1" s="1"/>
  <c r="CI416" i="1"/>
  <c r="CJ416" i="1" s="1"/>
  <c r="CK416" i="1" s="1"/>
  <c r="BY734" i="1"/>
  <c r="CB734" i="1" s="1"/>
  <c r="BY533" i="1"/>
  <c r="CB533" i="1" s="1"/>
  <c r="CI600" i="1"/>
  <c r="CJ600" i="1" s="1"/>
  <c r="CK600" i="1" s="1"/>
  <c r="CI66" i="1"/>
  <c r="CJ66" i="1" s="1"/>
  <c r="CK66" i="1" s="1"/>
  <c r="BY131" i="1"/>
  <c r="CB131" i="1" s="1"/>
  <c r="BY677" i="1"/>
  <c r="CB677" i="1" s="1"/>
  <c r="BY636" i="1"/>
  <c r="CB636" i="1" s="1"/>
  <c r="CD807" i="1"/>
  <c r="CE807" i="1" s="1"/>
  <c r="CF807" i="1" s="1"/>
  <c r="CH807" i="1" s="1"/>
  <c r="BY609" i="1"/>
  <c r="CB609" i="1" s="1"/>
  <c r="BT753" i="1"/>
  <c r="BU753" i="1" s="1"/>
  <c r="BV753" i="1" s="1"/>
  <c r="BX753" i="1" s="1"/>
  <c r="CI629" i="1"/>
  <c r="CJ629" i="1" s="1"/>
  <c r="CK629" i="1" s="1"/>
  <c r="BY223" i="1"/>
  <c r="CB223" i="1" s="1"/>
  <c r="CI659" i="1"/>
  <c r="CJ659" i="1" s="1"/>
  <c r="CK659" i="1" s="1"/>
  <c r="CI358" i="1"/>
  <c r="CJ358" i="1" s="1"/>
  <c r="CK358" i="1" s="1"/>
  <c r="CI176" i="1"/>
  <c r="CJ176" i="1" s="1"/>
  <c r="CK176" i="1" s="1"/>
  <c r="CI631" i="1"/>
  <c r="CJ631" i="1" s="1"/>
  <c r="CK631" i="1" s="1"/>
  <c r="BY757" i="1"/>
  <c r="CB757" i="1" s="1"/>
  <c r="CI756" i="1"/>
  <c r="CJ756" i="1" s="1"/>
  <c r="CK756" i="1" s="1"/>
  <c r="CI293" i="1"/>
  <c r="CJ293" i="1" s="1"/>
  <c r="CK293" i="1" s="1"/>
  <c r="BY289" i="1"/>
  <c r="BZ289" i="1" s="1"/>
  <c r="CA289" i="1" s="1"/>
  <c r="CC289" i="1" s="1"/>
  <c r="CD78" i="1"/>
  <c r="CE78" i="1" s="1"/>
  <c r="CF78" i="1" s="1"/>
  <c r="CH78" i="1" s="1"/>
  <c r="BY769" i="1"/>
  <c r="CB769" i="1" s="1"/>
  <c r="BY730" i="1"/>
  <c r="CB730" i="1" s="1"/>
  <c r="BY662" i="1"/>
  <c r="CB662" i="1" s="1"/>
  <c r="CI19" i="1"/>
  <c r="CJ19" i="1" s="1"/>
  <c r="CK19" i="1" s="1"/>
  <c r="BY623" i="1"/>
  <c r="BZ623" i="1" s="1"/>
  <c r="CA623" i="1" s="1"/>
  <c r="CC623" i="1" s="1"/>
  <c r="BY209" i="1"/>
  <c r="CB209" i="1" s="1"/>
  <c r="CI286" i="1"/>
  <c r="CJ286" i="1" s="1"/>
  <c r="CK286" i="1" s="1"/>
  <c r="CD103" i="1"/>
  <c r="CE103" i="1" s="1"/>
  <c r="CF103" i="1" s="1"/>
  <c r="CH103" i="1" s="1"/>
  <c r="CI696" i="1"/>
  <c r="CJ696" i="1" s="1"/>
  <c r="CK696" i="1" s="1"/>
  <c r="CI435" i="1"/>
  <c r="CJ435" i="1" s="1"/>
  <c r="CK435" i="1" s="1"/>
  <c r="CI423" i="1"/>
  <c r="CJ423" i="1" s="1"/>
  <c r="CK423" i="1" s="1"/>
  <c r="CI525" i="1"/>
  <c r="CJ525" i="1" s="1"/>
  <c r="CK525" i="1" s="1"/>
  <c r="CI745" i="1"/>
  <c r="CJ745" i="1" s="1"/>
  <c r="CK745" i="1" s="1"/>
  <c r="CI755" i="1"/>
  <c r="CJ755" i="1" s="1"/>
  <c r="CK755" i="1" s="1"/>
  <c r="BY754" i="1"/>
  <c r="CB754" i="1" s="1"/>
  <c r="BY343" i="1"/>
  <c r="CB343" i="1" s="1"/>
  <c r="BY472" i="1"/>
  <c r="CB472" i="1" s="1"/>
  <c r="BY193" i="1"/>
  <c r="BZ193" i="1" s="1"/>
  <c r="CA193" i="1" s="1"/>
  <c r="CC193" i="1" s="1"/>
  <c r="BY407" i="1"/>
  <c r="BZ407" i="1" s="1"/>
  <c r="CA407" i="1" s="1"/>
  <c r="CC407" i="1" s="1"/>
  <c r="BS8" i="1"/>
  <c r="BQ3" i="1"/>
  <c r="BQ4" i="1"/>
  <c r="CI367" i="1"/>
  <c r="CJ367" i="1" s="1"/>
  <c r="CK367" i="1" s="1"/>
  <c r="BY775" i="1"/>
  <c r="CB775" i="1" s="1"/>
  <c r="BY570" i="1"/>
  <c r="CB570" i="1" s="1"/>
  <c r="CI710" i="1"/>
  <c r="CJ710" i="1" s="1"/>
  <c r="CK710" i="1" s="1"/>
  <c r="CI191" i="1"/>
  <c r="CJ191" i="1" s="1"/>
  <c r="CK191" i="1" s="1"/>
  <c r="CG521" i="1"/>
  <c r="BR166" i="1"/>
  <c r="BY238" i="1"/>
  <c r="CB238" i="1" s="1"/>
  <c r="CB52" i="1"/>
  <c r="CG54" i="1"/>
  <c r="CB14" i="1"/>
  <c r="BW505" i="1"/>
  <c r="BW240" i="1"/>
  <c r="BY732" i="1"/>
  <c r="CB732" i="1" s="1"/>
  <c r="CI612" i="1"/>
  <c r="CJ612" i="1" s="1"/>
  <c r="CK612" i="1" s="1"/>
  <c r="BW491" i="1"/>
  <c r="BW770" i="1"/>
  <c r="CD79" i="1"/>
  <c r="CE79" i="1" s="1"/>
  <c r="CF79" i="1" s="1"/>
  <c r="CH79" i="1" s="1"/>
  <c r="CI522" i="1"/>
  <c r="CJ522" i="1" s="1"/>
  <c r="CK522" i="1" s="1"/>
  <c r="BW734" i="1"/>
  <c r="BY376" i="1"/>
  <c r="CB376" i="1" s="1"/>
  <c r="BY620" i="1"/>
  <c r="CB620" i="1" s="1"/>
  <c r="BY331" i="1"/>
  <c r="BZ331" i="1" s="1"/>
  <c r="CA331" i="1" s="1"/>
  <c r="CC331" i="1" s="1"/>
  <c r="CI786" i="1"/>
  <c r="CJ786" i="1" s="1"/>
  <c r="CK786" i="1" s="1"/>
  <c r="BY113" i="1"/>
  <c r="CB113" i="1" s="1"/>
  <c r="CI145" i="1"/>
  <c r="CJ145" i="1" s="1"/>
  <c r="CK145" i="1" s="1"/>
  <c r="BW533" i="1"/>
  <c r="BY586" i="1"/>
  <c r="BZ586" i="1" s="1"/>
  <c r="CA586" i="1" s="1"/>
  <c r="CC586" i="1" s="1"/>
  <c r="CI54" i="1"/>
  <c r="CJ54" i="1" s="1"/>
  <c r="CK54" i="1" s="1"/>
  <c r="BY491" i="1"/>
  <c r="CB491" i="1" s="1"/>
  <c r="BY213" i="1"/>
  <c r="CB213" i="1" s="1"/>
  <c r="CI376" i="1"/>
  <c r="CJ376" i="1" s="1"/>
  <c r="CK376" i="1" s="1"/>
  <c r="BY786" i="1"/>
  <c r="CB786" i="1" s="1"/>
  <c r="BY202" i="1"/>
  <c r="CB202" i="1" s="1"/>
  <c r="BY655" i="1"/>
  <c r="BZ655" i="1" s="1"/>
  <c r="CA655" i="1" s="1"/>
  <c r="CC655" i="1" s="1"/>
  <c r="BY346" i="1"/>
  <c r="BZ346" i="1" s="1"/>
  <c r="CA346" i="1" s="1"/>
  <c r="CC346" i="1" s="1"/>
  <c r="CI445" i="1"/>
  <c r="CJ445" i="1" s="1"/>
  <c r="CK445" i="1" s="1"/>
  <c r="BW513" i="1"/>
  <c r="BT612" i="1"/>
  <c r="BW612" i="1" s="1"/>
  <c r="CI515" i="1"/>
  <c r="CJ515" i="1" s="1"/>
  <c r="CK515" i="1" s="1"/>
  <c r="CI426" i="1"/>
  <c r="CJ426" i="1" s="1"/>
  <c r="CK426" i="1" s="1"/>
  <c r="CD49" i="1"/>
  <c r="CE49" i="1" s="1"/>
  <c r="CF49" i="1" s="1"/>
  <c r="CH49" i="1" s="1"/>
  <c r="BW786" i="1"/>
  <c r="CI599" i="1"/>
  <c r="CJ599" i="1" s="1"/>
  <c r="CK599" i="1" s="1"/>
  <c r="BY483" i="1"/>
  <c r="CB483" i="1" s="1"/>
  <c r="BY132" i="1"/>
  <c r="CB132" i="1" s="1"/>
  <c r="BW202" i="1"/>
  <c r="BY232" i="1"/>
  <c r="CB232" i="1" s="1"/>
  <c r="BW606" i="1"/>
  <c r="CI683" i="1"/>
  <c r="CJ683" i="1" s="1"/>
  <c r="CK683" i="1" s="1"/>
  <c r="CI537" i="1"/>
  <c r="CJ537" i="1" s="1"/>
  <c r="CK537" i="1" s="1"/>
  <c r="CI169" i="1"/>
  <c r="CJ169" i="1" s="1"/>
  <c r="CK169" i="1" s="1"/>
  <c r="BW346" i="1"/>
  <c r="CG489" i="1"/>
  <c r="CG66" i="1"/>
  <c r="BY599" i="1"/>
  <c r="CB599" i="1" s="1"/>
  <c r="BY431" i="1"/>
  <c r="CB431" i="1" s="1"/>
  <c r="CG202" i="1"/>
  <c r="BY751" i="1"/>
  <c r="CB751" i="1" s="1"/>
  <c r="BW428" i="1"/>
  <c r="CD56" i="1"/>
  <c r="CE56" i="1" s="1"/>
  <c r="CF56" i="1" s="1"/>
  <c r="CH56" i="1" s="1"/>
  <c r="BW677" i="1"/>
  <c r="BW541" i="1"/>
  <c r="BW636" i="1"/>
  <c r="BY430" i="1"/>
  <c r="CB430" i="1" s="1"/>
  <c r="CB17" i="1"/>
  <c r="BY372" i="1"/>
  <c r="BZ372" i="1" s="1"/>
  <c r="CA372" i="1" s="1"/>
  <c r="CC372" i="1" s="1"/>
  <c r="CI776" i="1"/>
  <c r="CJ776" i="1" s="1"/>
  <c r="CK776" i="1" s="1"/>
  <c r="BY359" i="1"/>
  <c r="BZ359" i="1" s="1"/>
  <c r="CA359" i="1" s="1"/>
  <c r="CC359" i="1" s="1"/>
  <c r="BY420" i="1"/>
  <c r="CB420" i="1" s="1"/>
  <c r="BW438" i="1"/>
  <c r="BY659" i="1"/>
  <c r="CB659" i="1" s="1"/>
  <c r="CG747" i="1"/>
  <c r="CG641" i="1"/>
  <c r="CG629" i="1"/>
  <c r="BW223" i="1"/>
  <c r="CL165" i="1"/>
  <c r="CI439" i="1"/>
  <c r="CJ439" i="1" s="1"/>
  <c r="CK439" i="1" s="1"/>
  <c r="CG444" i="1"/>
  <c r="BY375" i="1"/>
  <c r="CB375" i="1" s="1"/>
  <c r="CG659" i="1"/>
  <c r="CG358" i="1"/>
  <c r="CI764" i="1"/>
  <c r="CJ764" i="1" s="1"/>
  <c r="CK764" i="1" s="1"/>
  <c r="CG176" i="1"/>
  <c r="BW177" i="1"/>
  <c r="CG631" i="1"/>
  <c r="BW757" i="1"/>
  <c r="BY554" i="1"/>
  <c r="BZ554" i="1" s="1"/>
  <c r="CA554" i="1" s="1"/>
  <c r="CC554" i="1" s="1"/>
  <c r="BY767" i="1"/>
  <c r="CB767" i="1" s="1"/>
  <c r="BW711" i="1"/>
  <c r="CI645" i="1"/>
  <c r="CJ645" i="1" s="1"/>
  <c r="CK645" i="1" s="1"/>
  <c r="BT632" i="1"/>
  <c r="BW632" i="1" s="1"/>
  <c r="BY508" i="1"/>
  <c r="CB508" i="1" s="1"/>
  <c r="BY601" i="1"/>
  <c r="BZ601" i="1" s="1"/>
  <c r="CA601" i="1" s="1"/>
  <c r="CC601" i="1" s="1"/>
  <c r="CG756" i="1"/>
  <c r="CI24" i="1"/>
  <c r="CJ24" i="1" s="1"/>
  <c r="CK24" i="1" s="1"/>
  <c r="CI730" i="1"/>
  <c r="CJ730" i="1" s="1"/>
  <c r="CK730" i="1" s="1"/>
  <c r="CG293" i="1"/>
  <c r="BY598" i="1"/>
  <c r="BZ598" i="1" s="1"/>
  <c r="CA598" i="1" s="1"/>
  <c r="CC598" i="1" s="1"/>
  <c r="BW289" i="1"/>
  <c r="CI674" i="1"/>
  <c r="CJ674" i="1" s="1"/>
  <c r="CK674" i="1" s="1"/>
  <c r="BY394" i="1"/>
  <c r="CB394" i="1" s="1"/>
  <c r="BW369" i="1"/>
  <c r="BY408" i="1"/>
  <c r="CB408" i="1" s="1"/>
  <c r="CG411" i="1"/>
  <c r="BY479" i="1"/>
  <c r="CB479" i="1" s="1"/>
  <c r="BY326" i="1"/>
  <c r="CB326" i="1" s="1"/>
  <c r="CD74" i="1"/>
  <c r="CE74" i="1" s="1"/>
  <c r="CF74" i="1" s="1"/>
  <c r="CH74" i="1" s="1"/>
  <c r="BY578" i="1"/>
  <c r="BZ578" i="1" s="1"/>
  <c r="CA578" i="1" s="1"/>
  <c r="CC578" i="1" s="1"/>
  <c r="BY459" i="1"/>
  <c r="CB459" i="1" s="1"/>
  <c r="BY746" i="1"/>
  <c r="CB746" i="1" s="1"/>
  <c r="BW730" i="1"/>
  <c r="BY510" i="1"/>
  <c r="CB510" i="1" s="1"/>
  <c r="BY312" i="1"/>
  <c r="BZ312" i="1" s="1"/>
  <c r="CA312" i="1" s="1"/>
  <c r="CC312" i="1" s="1"/>
  <c r="BY781" i="1"/>
  <c r="CB781" i="1" s="1"/>
  <c r="CI579" i="1"/>
  <c r="CJ579" i="1" s="1"/>
  <c r="CK579" i="1" s="1"/>
  <c r="CG343" i="1"/>
  <c r="CD20" i="1"/>
  <c r="CE20" i="1" s="1"/>
  <c r="CF20" i="1" s="1"/>
  <c r="CH20" i="1" s="1"/>
  <c r="BY146" i="1"/>
  <c r="CB146" i="1" s="1"/>
  <c r="BW623" i="1"/>
  <c r="CI318" i="1"/>
  <c r="CJ318" i="1" s="1"/>
  <c r="CK318" i="1" s="1"/>
  <c r="CI81" i="1"/>
  <c r="CJ81" i="1" s="1"/>
  <c r="CK81" i="1" s="1"/>
  <c r="CI490" i="1"/>
  <c r="CJ490" i="1" s="1"/>
  <c r="CK490" i="1" s="1"/>
  <c r="BW339" i="1"/>
  <c r="CD87" i="1"/>
  <c r="CE87" i="1" s="1"/>
  <c r="CF87" i="1" s="1"/>
  <c r="CH87" i="1" s="1"/>
  <c r="BW209" i="1"/>
  <c r="CG619" i="1"/>
  <c r="CB103" i="1"/>
  <c r="BY675" i="1"/>
  <c r="CB675" i="1" s="1"/>
  <c r="BW738" i="1"/>
  <c r="BW151" i="1"/>
  <c r="CG696" i="1"/>
  <c r="BY425" i="1"/>
  <c r="CB425" i="1" s="1"/>
  <c r="CI324" i="1"/>
  <c r="CJ324" i="1" s="1"/>
  <c r="CK324" i="1" s="1"/>
  <c r="CG423" i="1"/>
  <c r="BY455" i="1"/>
  <c r="CB455" i="1" s="1"/>
  <c r="CG525" i="1"/>
  <c r="BY198" i="1"/>
  <c r="BZ198" i="1" s="1"/>
  <c r="CA198" i="1" s="1"/>
  <c r="CC198" i="1" s="1"/>
  <c r="BY695" i="1"/>
  <c r="CB695" i="1" s="1"/>
  <c r="BY552" i="1"/>
  <c r="CB552" i="1" s="1"/>
  <c r="CG755" i="1"/>
  <c r="CG194" i="1"/>
  <c r="BW343" i="1"/>
  <c r="BW472" i="1"/>
  <c r="BW182" i="1"/>
  <c r="BW193" i="1"/>
  <c r="BW385" i="1"/>
  <c r="BY787" i="1"/>
  <c r="CB787" i="1" s="1"/>
  <c r="BY397" i="1"/>
  <c r="CB397" i="1" s="1"/>
  <c r="BR8" i="1"/>
  <c r="CG367" i="1"/>
  <c r="BY531" i="1"/>
  <c r="CB531" i="1" s="1"/>
  <c r="CI256" i="1"/>
  <c r="CJ256" i="1" s="1"/>
  <c r="CK256" i="1" s="1"/>
  <c r="CB72" i="1"/>
  <c r="CI341" i="1"/>
  <c r="CJ341" i="1" s="1"/>
  <c r="CK341" i="1" s="1"/>
  <c r="BY645" i="1"/>
  <c r="CB645" i="1" s="1"/>
  <c r="BW775" i="1"/>
  <c r="CG682" i="1"/>
  <c r="CI546" i="1"/>
  <c r="CJ546" i="1" s="1"/>
  <c r="CK546" i="1" s="1"/>
  <c r="CI25" i="1"/>
  <c r="CJ25" i="1" s="1"/>
  <c r="CK25" i="1" s="1"/>
  <c r="CI135" i="1"/>
  <c r="CJ135" i="1" s="1"/>
  <c r="CK135" i="1" s="1"/>
  <c r="BY594" i="1"/>
  <c r="BZ594" i="1" s="1"/>
  <c r="CA594" i="1" s="1"/>
  <c r="CC594" i="1" s="1"/>
  <c r="CG191" i="1"/>
  <c r="BY316" i="1"/>
  <c r="CB316" i="1" s="1"/>
  <c r="BY471" i="1"/>
  <c r="CB471" i="1" s="1"/>
  <c r="BY736" i="1"/>
  <c r="CB736" i="1" s="1"/>
  <c r="BT323" i="1"/>
  <c r="BU323" i="1" s="1"/>
  <c r="BV323" i="1" s="1"/>
  <c r="BX323" i="1" s="1"/>
  <c r="CI188" i="1"/>
  <c r="CJ188" i="1" s="1"/>
  <c r="CK188" i="1" s="1"/>
  <c r="BW238" i="1"/>
  <c r="CD86" i="1"/>
  <c r="CE86" i="1" s="1"/>
  <c r="CF86" i="1" s="1"/>
  <c r="CH86" i="1" s="1"/>
  <c r="CD9" i="1"/>
  <c r="CE9" i="1" s="1"/>
  <c r="CF9" i="1" s="1"/>
  <c r="CH9" i="1" s="1"/>
  <c r="BY685" i="1"/>
  <c r="CB685" i="1" s="1"/>
  <c r="CG350" i="1"/>
  <c r="CG618" i="1"/>
  <c r="CI780" i="1"/>
  <c r="CJ780" i="1" s="1"/>
  <c r="CK780" i="1" s="1"/>
  <c r="BY288" i="1"/>
  <c r="CB288" i="1" s="1"/>
  <c r="BY389" i="1"/>
  <c r="CB389" i="1" s="1"/>
  <c r="BY296" i="1"/>
  <c r="BZ296" i="1" s="1"/>
  <c r="CA296" i="1" s="1"/>
  <c r="CC296" i="1" s="1"/>
  <c r="CI469" i="1"/>
  <c r="CJ469" i="1" s="1"/>
  <c r="CK469" i="1" s="1"/>
  <c r="CB79" i="1"/>
  <c r="CI281" i="1"/>
  <c r="CJ281" i="1" s="1"/>
  <c r="CK281" i="1" s="1"/>
  <c r="CG522" i="1"/>
  <c r="CI408" i="1"/>
  <c r="CJ408" i="1" s="1"/>
  <c r="CK408" i="1" s="1"/>
  <c r="BY610" i="1"/>
  <c r="CB610" i="1" s="1"/>
  <c r="BW376" i="1"/>
  <c r="BW620" i="1"/>
  <c r="BW331" i="1"/>
  <c r="BY366" i="1"/>
  <c r="BZ366" i="1" s="1"/>
  <c r="CA366" i="1" s="1"/>
  <c r="CC366" i="1" s="1"/>
  <c r="CG786" i="1"/>
  <c r="CI268" i="1"/>
  <c r="CJ268" i="1" s="1"/>
  <c r="CK268" i="1" s="1"/>
  <c r="BW586" i="1"/>
  <c r="BY702" i="1"/>
  <c r="BZ702" i="1" s="1"/>
  <c r="CA702" i="1" s="1"/>
  <c r="CC702" i="1" s="1"/>
  <c r="CD14" i="1"/>
  <c r="CE14" i="1" s="1"/>
  <c r="CF14" i="1" s="1"/>
  <c r="CH14" i="1" s="1"/>
  <c r="BY240" i="1"/>
  <c r="CB240" i="1" s="1"/>
  <c r="CI666" i="1"/>
  <c r="CJ666" i="1" s="1"/>
  <c r="CK666" i="1" s="1"/>
  <c r="BY403" i="1"/>
  <c r="CB403" i="1" s="1"/>
  <c r="BY513" i="1"/>
  <c r="CB513" i="1" s="1"/>
  <c r="BY492" i="1"/>
  <c r="CB492" i="1" s="1"/>
  <c r="CD64" i="1"/>
  <c r="CE64" i="1" s="1"/>
  <c r="CF64" i="1" s="1"/>
  <c r="CH64" i="1" s="1"/>
  <c r="BW363" i="1"/>
  <c r="BY634" i="1"/>
  <c r="CB634" i="1" s="1"/>
  <c r="BY145" i="1"/>
  <c r="CB145" i="1" s="1"/>
  <c r="CG516" i="1"/>
  <c r="BT160" i="1"/>
  <c r="BW160" i="1" s="1"/>
  <c r="BY606" i="1"/>
  <c r="BZ606" i="1" s="1"/>
  <c r="CA606" i="1" s="1"/>
  <c r="CC606" i="1" s="1"/>
  <c r="CI489" i="1"/>
  <c r="CJ489" i="1" s="1"/>
  <c r="CK489" i="1" s="1"/>
  <c r="CG363" i="1"/>
  <c r="CI202" i="1"/>
  <c r="CJ202" i="1" s="1"/>
  <c r="CK202" i="1" s="1"/>
  <c r="BY428" i="1"/>
  <c r="CB428" i="1" s="1"/>
  <c r="BY541" i="1"/>
  <c r="CB541" i="1" s="1"/>
  <c r="CG109" i="1"/>
  <c r="BY603" i="1"/>
  <c r="BZ603" i="1" s="1"/>
  <c r="CA603" i="1" s="1"/>
  <c r="CC603" i="1" s="1"/>
  <c r="BY742" i="1"/>
  <c r="CB742" i="1" s="1"/>
  <c r="CD17" i="1"/>
  <c r="CE17" i="1" s="1"/>
  <c r="CF17" i="1" s="1"/>
  <c r="CH17" i="1" s="1"/>
  <c r="BY438" i="1"/>
  <c r="CB438" i="1" s="1"/>
  <c r="CI747" i="1"/>
  <c r="CJ747" i="1" s="1"/>
  <c r="CK747" i="1" s="1"/>
  <c r="CI641" i="1"/>
  <c r="CJ641" i="1" s="1"/>
  <c r="CK641" i="1" s="1"/>
  <c r="CL641" i="1" s="1"/>
  <c r="CD61" i="1"/>
  <c r="CE61" i="1" s="1"/>
  <c r="CF61" i="1" s="1"/>
  <c r="CH61" i="1" s="1"/>
  <c r="BY766" i="1"/>
  <c r="CB766" i="1" s="1"/>
  <c r="CI761" i="1"/>
  <c r="CJ761" i="1" s="1"/>
  <c r="CK761" i="1" s="1"/>
  <c r="CI444" i="1"/>
  <c r="CJ444" i="1" s="1"/>
  <c r="CK444" i="1" s="1"/>
  <c r="CG693" i="1"/>
  <c r="BW545" i="1"/>
  <c r="BY342" i="1"/>
  <c r="BZ342" i="1" s="1"/>
  <c r="CA342" i="1" s="1"/>
  <c r="CC342" i="1" s="1"/>
  <c r="BY177" i="1"/>
  <c r="CB177" i="1" s="1"/>
  <c r="CB84" i="1"/>
  <c r="CG658" i="1"/>
  <c r="CI502" i="1"/>
  <c r="CJ502" i="1" s="1"/>
  <c r="CK502" i="1" s="1"/>
  <c r="BY498" i="1"/>
  <c r="CB498" i="1" s="1"/>
  <c r="BY711" i="1"/>
  <c r="CB711" i="1" s="1"/>
  <c r="BY190" i="1"/>
  <c r="BZ190" i="1" s="1"/>
  <c r="CA190" i="1" s="1"/>
  <c r="CC190" i="1" s="1"/>
  <c r="BT415" i="1"/>
  <c r="BU415" i="1" s="1"/>
  <c r="BV415" i="1" s="1"/>
  <c r="BX415" i="1" s="1"/>
  <c r="CG509" i="1"/>
  <c r="CG592" i="1"/>
  <c r="BY176" i="1"/>
  <c r="CB176" i="1" s="1"/>
  <c r="CG662" i="1"/>
  <c r="BY236" i="1"/>
  <c r="CB236" i="1" s="1"/>
  <c r="BY369" i="1"/>
  <c r="CB369" i="1" s="1"/>
  <c r="CI411" i="1"/>
  <c r="CJ411" i="1" s="1"/>
  <c r="CK411" i="1" s="1"/>
  <c r="BY465" i="1"/>
  <c r="CB465" i="1" s="1"/>
  <c r="CI611" i="1"/>
  <c r="CJ611" i="1" s="1"/>
  <c r="CK611" i="1" s="1"/>
  <c r="BY737" i="1"/>
  <c r="CB737" i="1" s="1"/>
  <c r="CI765" i="1"/>
  <c r="CJ765" i="1" s="1"/>
  <c r="CK765" i="1" s="1"/>
  <c r="CI343" i="1"/>
  <c r="CJ343" i="1" s="1"/>
  <c r="CK343" i="1" s="1"/>
  <c r="BY474" i="1"/>
  <c r="CB474" i="1" s="1"/>
  <c r="CI575" i="1"/>
  <c r="CJ575" i="1" s="1"/>
  <c r="CK575" i="1" s="1"/>
  <c r="CI360" i="1"/>
  <c r="CJ360" i="1" s="1"/>
  <c r="CK360" i="1" s="1"/>
  <c r="BY339" i="1"/>
  <c r="BZ339" i="1" s="1"/>
  <c r="CA339" i="1" s="1"/>
  <c r="CC339" i="1" s="1"/>
  <c r="CG817" i="1"/>
  <c r="BY219" i="1"/>
  <c r="BZ219" i="1" s="1"/>
  <c r="CA219" i="1" s="1"/>
  <c r="CC219" i="1" s="1"/>
  <c r="CI619" i="1"/>
  <c r="CJ619" i="1" s="1"/>
  <c r="CK619" i="1" s="1"/>
  <c r="BY536" i="1"/>
  <c r="CB536" i="1" s="1"/>
  <c r="BY738" i="1"/>
  <c r="CB738" i="1" s="1"/>
  <c r="BY151" i="1"/>
  <c r="CB151" i="1" s="1"/>
  <c r="BY210" i="1"/>
  <c r="CB210" i="1" s="1"/>
  <c r="CG499" i="1"/>
  <c r="CG448" i="1"/>
  <c r="BY121" i="1"/>
  <c r="CB121" i="1" s="1"/>
  <c r="BW530" i="1"/>
  <c r="CI30" i="1"/>
  <c r="CJ30" i="1" s="1"/>
  <c r="CK30" i="1" s="1"/>
  <c r="BY401" i="1"/>
  <c r="CB401" i="1" s="1"/>
  <c r="CG210" i="1"/>
  <c r="BY330" i="1"/>
  <c r="BZ330" i="1" s="1"/>
  <c r="CA330" i="1" s="1"/>
  <c r="CC330" i="1" s="1"/>
  <c r="CD106" i="1"/>
  <c r="CE106" i="1" s="1"/>
  <c r="CF106" i="1" s="1"/>
  <c r="CH106" i="1" s="1"/>
  <c r="CI677" i="1"/>
  <c r="CJ677" i="1" s="1"/>
  <c r="CK677" i="1" s="1"/>
  <c r="CI194" i="1"/>
  <c r="CJ194" i="1" s="1"/>
  <c r="CK194" i="1" s="1"/>
  <c r="CG98" i="1"/>
  <c r="BY117" i="1"/>
  <c r="CB117" i="1" s="1"/>
  <c r="BY182" i="1"/>
  <c r="BZ182" i="1" s="1"/>
  <c r="CA182" i="1" s="1"/>
  <c r="CC182" i="1" s="1"/>
  <c r="CG743" i="1"/>
  <c r="BY385" i="1"/>
  <c r="BZ385" i="1" s="1"/>
  <c r="CA385" i="1" s="1"/>
  <c r="CC385" i="1" s="1"/>
  <c r="CB80" i="1"/>
  <c r="CI605" i="1"/>
  <c r="CJ605" i="1" s="1"/>
  <c r="CK605" i="1" s="1"/>
  <c r="BY119" i="1"/>
  <c r="CB119" i="1" s="1"/>
  <c r="CD72" i="1"/>
  <c r="CE72" i="1" s="1"/>
  <c r="CF72" i="1" s="1"/>
  <c r="CH72" i="1" s="1"/>
  <c r="BY453" i="1"/>
  <c r="CB453" i="1" s="1"/>
  <c r="BW625" i="1"/>
  <c r="CI682" i="1"/>
  <c r="CJ682" i="1" s="1"/>
  <c r="CK682" i="1" s="1"/>
  <c r="CD38" i="1"/>
  <c r="CE38" i="1" s="1"/>
  <c r="CF38" i="1" s="1"/>
  <c r="CH38" i="1" s="1"/>
  <c r="BY204" i="1"/>
  <c r="CB204" i="1" s="1"/>
  <c r="CI196" i="1"/>
  <c r="CJ196" i="1" s="1"/>
  <c r="CK196" i="1" s="1"/>
  <c r="CI491" i="1"/>
  <c r="CJ491" i="1" s="1"/>
  <c r="CK491" i="1" s="1"/>
  <c r="CG470" i="1"/>
  <c r="CG205" i="1"/>
  <c r="CG395" i="1"/>
  <c r="CI350" i="1"/>
  <c r="CJ350" i="1" s="1"/>
  <c r="CK350" i="1" s="1"/>
  <c r="CI618" i="1"/>
  <c r="CJ618" i="1" s="1"/>
  <c r="CK618" i="1" s="1"/>
  <c r="CG780" i="1"/>
  <c r="BW288" i="1"/>
  <c r="BT614" i="1"/>
  <c r="BW614" i="1" s="1"/>
  <c r="BW389" i="1"/>
  <c r="BY245" i="1"/>
  <c r="CB245" i="1" s="1"/>
  <c r="CI762" i="1"/>
  <c r="CJ762" i="1" s="1"/>
  <c r="CK762" i="1" s="1"/>
  <c r="CI410" i="1"/>
  <c r="CJ410" i="1" s="1"/>
  <c r="CK410" i="1" s="1"/>
  <c r="BW610" i="1"/>
  <c r="CG513" i="1"/>
  <c r="BY698" i="1"/>
  <c r="CB698" i="1" s="1"/>
  <c r="CI389" i="1"/>
  <c r="CJ389" i="1" s="1"/>
  <c r="CK389" i="1" s="1"/>
  <c r="BW366" i="1"/>
  <c r="CI414" i="1"/>
  <c r="CJ414" i="1" s="1"/>
  <c r="CK414" i="1" s="1"/>
  <c r="CG268" i="1"/>
  <c r="CD83" i="1"/>
  <c r="CE83" i="1" s="1"/>
  <c r="CF83" i="1" s="1"/>
  <c r="CH83" i="1" s="1"/>
  <c r="CI484" i="1"/>
  <c r="CJ484" i="1" s="1"/>
  <c r="CK484" i="1" s="1"/>
  <c r="CD102" i="1"/>
  <c r="CE102" i="1" s="1"/>
  <c r="CF102" i="1" s="1"/>
  <c r="CH102" i="1" s="1"/>
  <c r="CB12" i="1"/>
  <c r="BY379" i="1"/>
  <c r="CB379" i="1" s="1"/>
  <c r="BY771" i="1"/>
  <c r="CB771" i="1" s="1"/>
  <c r="BY363" i="1"/>
  <c r="CB363" i="1" s="1"/>
  <c r="CI516" i="1"/>
  <c r="CJ516" i="1" s="1"/>
  <c r="CK516" i="1" s="1"/>
  <c r="BY720" i="1"/>
  <c r="BZ720" i="1" s="1"/>
  <c r="CA720" i="1" s="1"/>
  <c r="CC720" i="1" s="1"/>
  <c r="CI714" i="1"/>
  <c r="CJ714" i="1" s="1"/>
  <c r="CK714" i="1" s="1"/>
  <c r="BY171" i="1"/>
  <c r="CB171" i="1" s="1"/>
  <c r="CI363" i="1"/>
  <c r="CJ363" i="1" s="1"/>
  <c r="CK363" i="1" s="1"/>
  <c r="CL363" i="1" s="1"/>
  <c r="CI634" i="1"/>
  <c r="CJ634" i="1" s="1"/>
  <c r="CK634" i="1" s="1"/>
  <c r="CI744" i="1"/>
  <c r="CJ744" i="1" s="1"/>
  <c r="CK744" i="1" s="1"/>
  <c r="BY467" i="1"/>
  <c r="CB467" i="1" s="1"/>
  <c r="BY489" i="1"/>
  <c r="CB489" i="1" s="1"/>
  <c r="CI442" i="1"/>
  <c r="CJ442" i="1" s="1"/>
  <c r="CK442" i="1" s="1"/>
  <c r="CG381" i="1"/>
  <c r="BY418" i="1"/>
  <c r="CB418" i="1" s="1"/>
  <c r="CI109" i="1"/>
  <c r="CJ109" i="1" s="1"/>
  <c r="CK109" i="1" s="1"/>
  <c r="BY367" i="1"/>
  <c r="CB367" i="1" s="1"/>
  <c r="CI801" i="1"/>
  <c r="CJ801" i="1" s="1"/>
  <c r="CK801" i="1" s="1"/>
  <c r="CI582" i="1"/>
  <c r="CJ582" i="1" s="1"/>
  <c r="CK582" i="1" s="1"/>
  <c r="CI335" i="1"/>
  <c r="CJ335" i="1" s="1"/>
  <c r="CK335" i="1" s="1"/>
  <c r="BY693" i="1"/>
  <c r="CB693" i="1" s="1"/>
  <c r="CI545" i="1"/>
  <c r="CJ545" i="1" s="1"/>
  <c r="CK545" i="1" s="1"/>
  <c r="BW201" i="1"/>
  <c r="BY719" i="1"/>
  <c r="BZ719" i="1" s="1"/>
  <c r="CA719" i="1" s="1"/>
  <c r="CC719" i="1" s="1"/>
  <c r="CI693" i="1"/>
  <c r="CJ693" i="1" s="1"/>
  <c r="CK693" i="1" s="1"/>
  <c r="BY545" i="1"/>
  <c r="CB545" i="1" s="1"/>
  <c r="CI201" i="1"/>
  <c r="CJ201" i="1" s="1"/>
  <c r="CK201" i="1" s="1"/>
  <c r="BY357" i="1"/>
  <c r="BZ357" i="1" s="1"/>
  <c r="CA357" i="1" s="1"/>
  <c r="CC357" i="1" s="1"/>
  <c r="CD84" i="1"/>
  <c r="CE84" i="1" s="1"/>
  <c r="CF84" i="1" s="1"/>
  <c r="CH84" i="1" s="1"/>
  <c r="CI658" i="1"/>
  <c r="CJ658" i="1" s="1"/>
  <c r="CK658" i="1" s="1"/>
  <c r="CG369" i="1"/>
  <c r="CI636" i="1"/>
  <c r="CJ636" i="1" s="1"/>
  <c r="CK636" i="1" s="1"/>
  <c r="BY591" i="1"/>
  <c r="BZ591" i="1" s="1"/>
  <c r="CA591" i="1" s="1"/>
  <c r="CC591" i="1" s="1"/>
  <c r="BR486" i="1"/>
  <c r="CI509" i="1"/>
  <c r="CJ509" i="1" s="1"/>
  <c r="CK509" i="1" s="1"/>
  <c r="CI592" i="1"/>
  <c r="CJ592" i="1" s="1"/>
  <c r="CK592" i="1" s="1"/>
  <c r="CI662" i="1"/>
  <c r="CJ662" i="1" s="1"/>
  <c r="CK662" i="1" s="1"/>
  <c r="BY233" i="1"/>
  <c r="CB233" i="1" s="1"/>
  <c r="CI243" i="1"/>
  <c r="CJ243" i="1" s="1"/>
  <c r="CK243" i="1" s="1"/>
  <c r="CI567" i="1"/>
  <c r="CJ567" i="1" s="1"/>
  <c r="CK567" i="1" s="1"/>
  <c r="BW597" i="1"/>
  <c r="CG430" i="1"/>
  <c r="CG711" i="1"/>
  <c r="CI436" i="1"/>
  <c r="CJ436" i="1" s="1"/>
  <c r="CK436" i="1" s="1"/>
  <c r="CG419" i="1"/>
  <c r="BW644" i="1"/>
  <c r="CD94" i="1"/>
  <c r="CE94" i="1" s="1"/>
  <c r="CF94" i="1" s="1"/>
  <c r="CH94" i="1" s="1"/>
  <c r="CG781" i="1"/>
  <c r="CI814" i="1"/>
  <c r="CJ814" i="1" s="1"/>
  <c r="CK814" i="1" s="1"/>
  <c r="CI82" i="1"/>
  <c r="CJ82" i="1" s="1"/>
  <c r="CK82" i="1" s="1"/>
  <c r="CI680" i="1"/>
  <c r="CJ680" i="1" s="1"/>
  <c r="CK680" i="1" s="1"/>
  <c r="CI817" i="1"/>
  <c r="CJ817" i="1" s="1"/>
  <c r="CK817" i="1" s="1"/>
  <c r="BY524" i="1"/>
  <c r="CB524" i="1" s="1"/>
  <c r="BY287" i="1"/>
  <c r="CB287" i="1" s="1"/>
  <c r="CI472" i="1"/>
  <c r="CJ472" i="1" s="1"/>
  <c r="CK472" i="1" s="1"/>
  <c r="CI499" i="1"/>
  <c r="CJ499" i="1" s="1"/>
  <c r="CK499" i="1" s="1"/>
  <c r="CI448" i="1"/>
  <c r="CJ448" i="1" s="1"/>
  <c r="CK448" i="1" s="1"/>
  <c r="BY530" i="1"/>
  <c r="CB530" i="1" s="1"/>
  <c r="CI210" i="1"/>
  <c r="CJ210" i="1" s="1"/>
  <c r="CK210" i="1" s="1"/>
  <c r="BY386" i="1"/>
  <c r="BZ386" i="1" s="1"/>
  <c r="CA386" i="1" s="1"/>
  <c r="CC386" i="1" s="1"/>
  <c r="CI98" i="1"/>
  <c r="CJ98" i="1" s="1"/>
  <c r="CK98" i="1" s="1"/>
  <c r="CD842" i="1"/>
  <c r="CE842" i="1" s="1"/>
  <c r="CF842" i="1" s="1"/>
  <c r="CH842" i="1" s="1"/>
  <c r="CI743" i="1"/>
  <c r="CJ743" i="1" s="1"/>
  <c r="CK743" i="1" s="1"/>
  <c r="BY126" i="1"/>
  <c r="CB126" i="1" s="1"/>
  <c r="CI476" i="1"/>
  <c r="CJ476" i="1" s="1"/>
  <c r="CK476" i="1" s="1"/>
  <c r="BW120" i="1"/>
  <c r="CD80" i="1"/>
  <c r="CE80" i="1" s="1"/>
  <c r="CF80" i="1" s="1"/>
  <c r="CH80" i="1" s="1"/>
  <c r="BW382" i="1"/>
  <c r="CG235" i="1"/>
  <c r="BY625" i="1"/>
  <c r="CB625" i="1" s="1"/>
  <c r="BY111" i="1"/>
  <c r="CB111" i="1" s="1"/>
  <c r="BY392" i="1"/>
  <c r="BZ392" i="1" s="1"/>
  <c r="CA392" i="1" s="1"/>
  <c r="CC392" i="1" s="1"/>
  <c r="BY338" i="1"/>
  <c r="CB338" i="1" s="1"/>
  <c r="CI290" i="1"/>
  <c r="CJ290" i="1" s="1"/>
  <c r="CK290" i="1" s="1"/>
  <c r="CI212" i="1"/>
  <c r="CJ212" i="1" s="1"/>
  <c r="CK212" i="1" s="1"/>
  <c r="BY127" i="1"/>
  <c r="CB127" i="1" s="1"/>
  <c r="CI470" i="1"/>
  <c r="CJ470" i="1" s="1"/>
  <c r="CK470" i="1" s="1"/>
  <c r="CI205" i="1"/>
  <c r="CJ205" i="1" s="1"/>
  <c r="CK205" i="1" s="1"/>
  <c r="CI395" i="1"/>
  <c r="CJ395" i="1" s="1"/>
  <c r="CK395" i="1" s="1"/>
  <c r="CI245" i="1"/>
  <c r="CJ245" i="1" s="1"/>
  <c r="CK245" i="1" s="1"/>
  <c r="BW664" i="1"/>
  <c r="CG427" i="1"/>
  <c r="CG309" i="1"/>
  <c r="BY118" i="1"/>
  <c r="CB118" i="1" s="1"/>
  <c r="CI328" i="1"/>
  <c r="CJ328" i="1" s="1"/>
  <c r="CK328" i="1" s="1"/>
  <c r="CI413" i="1"/>
  <c r="CJ413" i="1" s="1"/>
  <c r="CK413" i="1" s="1"/>
  <c r="CI698" i="1"/>
  <c r="CJ698" i="1" s="1"/>
  <c r="CK698" i="1" s="1"/>
  <c r="BY506" i="1"/>
  <c r="CB506" i="1" s="1"/>
  <c r="BY406" i="1"/>
  <c r="BZ406" i="1" s="1"/>
  <c r="CA406" i="1" s="1"/>
  <c r="CC406" i="1" s="1"/>
  <c r="CI501" i="1"/>
  <c r="CJ501" i="1" s="1"/>
  <c r="CK501" i="1" s="1"/>
  <c r="BW245" i="1"/>
  <c r="CG762" i="1"/>
  <c r="CG356" i="1"/>
  <c r="BT57" i="1"/>
  <c r="BW57" i="1" s="1"/>
  <c r="CI513" i="1"/>
  <c r="CJ513" i="1" s="1"/>
  <c r="CK513" i="1" s="1"/>
  <c r="BW698" i="1"/>
  <c r="CI291" i="1"/>
  <c r="CJ291" i="1" s="1"/>
  <c r="CK291" i="1" s="1"/>
  <c r="CG414" i="1"/>
  <c r="CI241" i="1"/>
  <c r="CJ241" i="1" s="1"/>
  <c r="CK241" i="1" s="1"/>
  <c r="CG484" i="1"/>
  <c r="CB102" i="1"/>
  <c r="CD12" i="1"/>
  <c r="CE12" i="1" s="1"/>
  <c r="CF12" i="1" s="1"/>
  <c r="CH12" i="1" s="1"/>
  <c r="BY150" i="1"/>
  <c r="CB150" i="1" s="1"/>
  <c r="BY717" i="1"/>
  <c r="BZ717" i="1" s="1"/>
  <c r="CA717" i="1" s="1"/>
  <c r="CC717" i="1" s="1"/>
  <c r="BW559" i="1"/>
  <c r="CI803" i="1"/>
  <c r="CJ803" i="1" s="1"/>
  <c r="CK803" i="1" s="1"/>
  <c r="CI726" i="1"/>
  <c r="CJ726" i="1" s="1"/>
  <c r="CK726" i="1" s="1"/>
  <c r="BW744" i="1"/>
  <c r="CG431" i="1"/>
  <c r="CI684" i="1"/>
  <c r="CJ684" i="1" s="1"/>
  <c r="CK684" i="1" s="1"/>
  <c r="BY178" i="1"/>
  <c r="CB178" i="1" s="1"/>
  <c r="CI511" i="1"/>
  <c r="CJ511" i="1" s="1"/>
  <c r="CK511" i="1" s="1"/>
  <c r="CI381" i="1"/>
  <c r="CJ381" i="1" s="1"/>
  <c r="CK381" i="1" s="1"/>
  <c r="CI527" i="1"/>
  <c r="CJ527" i="1" s="1"/>
  <c r="CK527" i="1" s="1"/>
  <c r="BW575" i="1"/>
  <c r="BW340" i="1"/>
  <c r="CG148" i="1"/>
  <c r="BY686" i="1"/>
  <c r="CB686" i="1" s="1"/>
  <c r="BW367" i="1"/>
  <c r="CG801" i="1"/>
  <c r="CG582" i="1"/>
  <c r="CG335" i="1"/>
  <c r="BY169" i="1"/>
  <c r="CB169" i="1" s="1"/>
  <c r="BW693" i="1"/>
  <c r="CG545" i="1"/>
  <c r="BY201" i="1"/>
  <c r="CB201" i="1" s="1"/>
  <c r="CB101" i="1"/>
  <c r="CG632" i="1"/>
  <c r="BY543" i="1"/>
  <c r="CB543" i="1" s="1"/>
  <c r="BW719" i="1"/>
  <c r="BY705" i="1"/>
  <c r="CB705" i="1" s="1"/>
  <c r="CI391" i="1"/>
  <c r="CJ391" i="1" s="1"/>
  <c r="CK391" i="1" s="1"/>
  <c r="CG134" i="1"/>
  <c r="CG201" i="1"/>
  <c r="BW357" i="1"/>
  <c r="BY674" i="1"/>
  <c r="CB674" i="1" s="1"/>
  <c r="CI669" i="1"/>
  <c r="CJ669" i="1" s="1"/>
  <c r="CK669" i="1" s="1"/>
  <c r="CI452" i="1"/>
  <c r="CJ452" i="1" s="1"/>
  <c r="CK452" i="1" s="1"/>
  <c r="CI369" i="1"/>
  <c r="CJ369" i="1" s="1"/>
  <c r="CK369" i="1" s="1"/>
  <c r="BT486" i="1"/>
  <c r="BU486" i="1" s="1"/>
  <c r="BV486" i="1" s="1"/>
  <c r="BX486" i="1" s="1"/>
  <c r="CD108" i="1"/>
  <c r="CE108" i="1" s="1"/>
  <c r="CF108" i="1" s="1"/>
  <c r="CH108" i="1" s="1"/>
  <c r="BW441" i="1"/>
  <c r="CI746" i="1"/>
  <c r="CJ746" i="1" s="1"/>
  <c r="CK746" i="1" s="1"/>
  <c r="CD92" i="1"/>
  <c r="CE92" i="1" s="1"/>
  <c r="CF92" i="1" s="1"/>
  <c r="CH92" i="1" s="1"/>
  <c r="BY466" i="1"/>
  <c r="CB466" i="1" s="1"/>
  <c r="BY540" i="1"/>
  <c r="BZ540" i="1" s="1"/>
  <c r="CA540" i="1" s="1"/>
  <c r="CC540" i="1" s="1"/>
  <c r="CI177" i="1"/>
  <c r="CJ177" i="1" s="1"/>
  <c r="CK177" i="1" s="1"/>
  <c r="CI713" i="1"/>
  <c r="CJ713" i="1" s="1"/>
  <c r="CK713" i="1" s="1"/>
  <c r="BY597" i="1"/>
  <c r="BZ597" i="1" s="1"/>
  <c r="CA597" i="1" s="1"/>
  <c r="CC597" i="1" s="1"/>
  <c r="CI430" i="1"/>
  <c r="CJ430" i="1" s="1"/>
  <c r="CK430" i="1" s="1"/>
  <c r="CI711" i="1"/>
  <c r="CJ711" i="1" s="1"/>
  <c r="CK711" i="1" s="1"/>
  <c r="BY548" i="1"/>
  <c r="BZ548" i="1" s="1"/>
  <c r="CA548" i="1" s="1"/>
  <c r="CC548" i="1" s="1"/>
  <c r="BY673" i="1"/>
  <c r="CB673" i="1" s="1"/>
  <c r="BW286" i="1"/>
  <c r="CI419" i="1"/>
  <c r="CJ419" i="1" s="1"/>
  <c r="CK419" i="1" s="1"/>
  <c r="CB73" i="1"/>
  <c r="BW277" i="1"/>
  <c r="BY644" i="1"/>
  <c r="CB644" i="1" s="1"/>
  <c r="BY534" i="1"/>
  <c r="CB534" i="1" s="1"/>
  <c r="CB94" i="1"/>
  <c r="CI781" i="1"/>
  <c r="CJ781" i="1" s="1"/>
  <c r="CK781" i="1" s="1"/>
  <c r="BW242" i="1"/>
  <c r="CG434" i="1"/>
  <c r="CI402" i="1"/>
  <c r="CJ402" i="1" s="1"/>
  <c r="CK402" i="1" s="1"/>
  <c r="CG82" i="1"/>
  <c r="CG680" i="1"/>
  <c r="BT745" i="1"/>
  <c r="BU745" i="1" s="1"/>
  <c r="BV745" i="1" s="1"/>
  <c r="BX745" i="1" s="1"/>
  <c r="BY487" i="1"/>
  <c r="CB487" i="1" s="1"/>
  <c r="CI377" i="1"/>
  <c r="CJ377" i="1" s="1"/>
  <c r="CK377" i="1" s="1"/>
  <c r="CL13" i="1"/>
  <c r="BW287" i="1"/>
  <c r="CG472" i="1"/>
  <c r="BW707" i="1"/>
  <c r="BY136" i="1"/>
  <c r="CB136" i="1" s="1"/>
  <c r="BY481" i="1"/>
  <c r="CB481" i="1" s="1"/>
  <c r="BW285" i="1"/>
  <c r="CG164" i="1"/>
  <c r="CG709" i="1"/>
  <c r="CI447" i="1"/>
  <c r="CJ447" i="1" s="1"/>
  <c r="CK447" i="1" s="1"/>
  <c r="CD59" i="1"/>
  <c r="CE59" i="1" s="1"/>
  <c r="CF59" i="1" s="1"/>
  <c r="CH59" i="1" s="1"/>
  <c r="CG226" i="1"/>
  <c r="CI451" i="1"/>
  <c r="CJ451" i="1" s="1"/>
  <c r="CK451" i="1" s="1"/>
  <c r="CI229" i="1"/>
  <c r="CJ229" i="1" s="1"/>
  <c r="CK229" i="1" s="1"/>
  <c r="BW386" i="1"/>
  <c r="BY412" i="1"/>
  <c r="CB412" i="1" s="1"/>
  <c r="CG529" i="1"/>
  <c r="CB842" i="1"/>
  <c r="BY755" i="1"/>
  <c r="CB755" i="1" s="1"/>
  <c r="BW126" i="1"/>
  <c r="CL67" i="1"/>
  <c r="BY120" i="1"/>
  <c r="CB120" i="1" s="1"/>
  <c r="BY476" i="1"/>
  <c r="CB476" i="1" s="1"/>
  <c r="CB8" i="1"/>
  <c r="BY723" i="1"/>
  <c r="BZ723" i="1" s="1"/>
  <c r="CA723" i="1" s="1"/>
  <c r="CC723" i="1" s="1"/>
  <c r="BY382" i="1"/>
  <c r="CB382" i="1" s="1"/>
  <c r="CI235" i="1"/>
  <c r="CJ235" i="1" s="1"/>
  <c r="CK235" i="1" s="1"/>
  <c r="CD10" i="1"/>
  <c r="CE10" i="1" s="1"/>
  <c r="CF10" i="1" s="1"/>
  <c r="CH10" i="1" s="1"/>
  <c r="BR157" i="1"/>
  <c r="BY604" i="1"/>
  <c r="CB604" i="1" s="1"/>
  <c r="BW111" i="1"/>
  <c r="CG44" i="1"/>
  <c r="CD15" i="1"/>
  <c r="CE15" i="1" s="1"/>
  <c r="CF15" i="1" s="1"/>
  <c r="CH15" i="1" s="1"/>
  <c r="BW392" i="1"/>
  <c r="BY149" i="1"/>
  <c r="CB149" i="1" s="1"/>
  <c r="BW338" i="1"/>
  <c r="CG290" i="1"/>
  <c r="CG212" i="1"/>
  <c r="BW127" i="1"/>
  <c r="CG614" i="1"/>
  <c r="CG221" i="1"/>
  <c r="BY469" i="1"/>
  <c r="CB469" i="1" s="1"/>
  <c r="BY664" i="1"/>
  <c r="CB664" i="1" s="1"/>
  <c r="CI427" i="1"/>
  <c r="CJ427" i="1" s="1"/>
  <c r="CK427" i="1" s="1"/>
  <c r="CI309" i="1"/>
  <c r="CJ309" i="1" s="1"/>
  <c r="CK309" i="1" s="1"/>
  <c r="BW118" i="1"/>
  <c r="CG328" i="1"/>
  <c r="CG413" i="1"/>
  <c r="CG698" i="1"/>
  <c r="BY247" i="1"/>
  <c r="CB247" i="1" s="1"/>
  <c r="BY347" i="1"/>
  <c r="BZ347" i="1" s="1"/>
  <c r="CA347" i="1" s="1"/>
  <c r="CC347" i="1" s="1"/>
  <c r="BW185" i="1"/>
  <c r="CI356" i="1"/>
  <c r="CJ356" i="1" s="1"/>
  <c r="CK356" i="1" s="1"/>
  <c r="BR57" i="1"/>
  <c r="CI379" i="1"/>
  <c r="CJ379" i="1" s="1"/>
  <c r="CK379" i="1" s="1"/>
  <c r="CG771" i="1"/>
  <c r="CI506" i="1"/>
  <c r="CJ506" i="1" s="1"/>
  <c r="CK506" i="1" s="1"/>
  <c r="CG291" i="1"/>
  <c r="CG403" i="1"/>
  <c r="BT416" i="1"/>
  <c r="BU416" i="1" s="1"/>
  <c r="BV416" i="1" s="1"/>
  <c r="BX416" i="1" s="1"/>
  <c r="CG241" i="1"/>
  <c r="BW687" i="1"/>
  <c r="CG316" i="1"/>
  <c r="BY559" i="1"/>
  <c r="BZ559" i="1" s="1"/>
  <c r="CA559" i="1" s="1"/>
  <c r="CC559" i="1" s="1"/>
  <c r="BY283" i="1"/>
  <c r="BZ283" i="1" s="1"/>
  <c r="CA283" i="1" s="1"/>
  <c r="CC283" i="1" s="1"/>
  <c r="BX6" i="1"/>
  <c r="CI336" i="1"/>
  <c r="CJ336" i="1" s="1"/>
  <c r="CK336" i="1" s="1"/>
  <c r="BY565" i="1"/>
  <c r="BZ565" i="1" s="1"/>
  <c r="CA565" i="1" s="1"/>
  <c r="CC565" i="1" s="1"/>
  <c r="BY749" i="1"/>
  <c r="CB749" i="1" s="1"/>
  <c r="CI134" i="1"/>
  <c r="CJ134" i="1" s="1"/>
  <c r="CK134" i="1" s="1"/>
  <c r="CI22" i="1"/>
  <c r="CJ22" i="1" s="1"/>
  <c r="CK22" i="1" s="1"/>
  <c r="BY518" i="1"/>
  <c r="CB518" i="1" s="1"/>
  <c r="BY128" i="1"/>
  <c r="CB128" i="1" s="1"/>
  <c r="CI783" i="1"/>
  <c r="CJ783" i="1" s="1"/>
  <c r="CK783" i="1" s="1"/>
  <c r="BY611" i="1"/>
  <c r="CB611" i="1" s="1"/>
  <c r="BY441" i="1"/>
  <c r="CB441" i="1" s="1"/>
  <c r="CI535" i="1"/>
  <c r="CJ535" i="1" s="1"/>
  <c r="CK535" i="1" s="1"/>
  <c r="BY535" i="1"/>
  <c r="CB535" i="1" s="1"/>
  <c r="BY716" i="1"/>
  <c r="BZ716" i="1" s="1"/>
  <c r="CA716" i="1" s="1"/>
  <c r="CC716" i="1" s="1"/>
  <c r="BY122" i="1"/>
  <c r="CB122" i="1" s="1"/>
  <c r="BY457" i="1"/>
  <c r="CB457" i="1" s="1"/>
  <c r="BY697" i="1"/>
  <c r="CB697" i="1" s="1"/>
  <c r="BY286" i="1"/>
  <c r="CB286" i="1" s="1"/>
  <c r="BT215" i="1"/>
  <c r="BU215" i="1" s="1"/>
  <c r="BV215" i="1" s="1"/>
  <c r="BX215" i="1" s="1"/>
  <c r="CD73" i="1"/>
  <c r="CE73" i="1" s="1"/>
  <c r="CF73" i="1" s="1"/>
  <c r="CH73" i="1" s="1"/>
  <c r="BY277" i="1"/>
  <c r="CB277" i="1" s="1"/>
  <c r="CI396" i="1"/>
  <c r="CJ396" i="1" s="1"/>
  <c r="CK396" i="1" s="1"/>
  <c r="BY180" i="1"/>
  <c r="BZ180" i="1" s="1"/>
  <c r="CA180" i="1" s="1"/>
  <c r="CC180" i="1" s="1"/>
  <c r="CI117" i="1"/>
  <c r="CJ117" i="1" s="1"/>
  <c r="CK117" i="1" s="1"/>
  <c r="BY242" i="1"/>
  <c r="BZ242" i="1" s="1"/>
  <c r="CA242" i="1" s="1"/>
  <c r="CC242" i="1" s="1"/>
  <c r="CI473" i="1"/>
  <c r="CJ473" i="1" s="1"/>
  <c r="CK473" i="1" s="1"/>
  <c r="CI434" i="1"/>
  <c r="CJ434" i="1" s="1"/>
  <c r="CK434" i="1" s="1"/>
  <c r="BY411" i="1"/>
  <c r="CB411" i="1" s="1"/>
  <c r="CI126" i="1"/>
  <c r="CJ126" i="1" s="1"/>
  <c r="CK126" i="1" s="1"/>
  <c r="CI93" i="1"/>
  <c r="CJ93" i="1" s="1"/>
  <c r="CK93" i="1" s="1"/>
  <c r="CI748" i="1"/>
  <c r="CJ748" i="1" s="1"/>
  <c r="CK748" i="1" s="1"/>
  <c r="CD23" i="1"/>
  <c r="CE23" i="1" s="1"/>
  <c r="CF23" i="1" s="1"/>
  <c r="CH23" i="1" s="1"/>
  <c r="BY707" i="1"/>
  <c r="BZ707" i="1" s="1"/>
  <c r="CA707" i="1" s="1"/>
  <c r="CC707" i="1" s="1"/>
  <c r="BY285" i="1"/>
  <c r="BZ285" i="1" s="1"/>
  <c r="CA285" i="1" s="1"/>
  <c r="CC285" i="1" s="1"/>
  <c r="CI164" i="1"/>
  <c r="CJ164" i="1" s="1"/>
  <c r="CK164" i="1" s="1"/>
  <c r="CI709" i="1"/>
  <c r="CJ709" i="1" s="1"/>
  <c r="CK709" i="1" s="1"/>
  <c r="CI226" i="1"/>
  <c r="CJ226" i="1" s="1"/>
  <c r="CK226" i="1" s="1"/>
  <c r="CI529" i="1"/>
  <c r="CJ529" i="1" s="1"/>
  <c r="CK529" i="1" s="1"/>
  <c r="CD53" i="1"/>
  <c r="CE53" i="1" s="1"/>
  <c r="CF53" i="1" s="1"/>
  <c r="CH53" i="1" s="1"/>
  <c r="BY423" i="1"/>
  <c r="CB423" i="1" s="1"/>
  <c r="BY448" i="1"/>
  <c r="CB448" i="1" s="1"/>
  <c r="CD8" i="1"/>
  <c r="CE8" i="1" s="1"/>
  <c r="CF8" i="1" s="1"/>
  <c r="CH8" i="1" s="1"/>
  <c r="CI661" i="1"/>
  <c r="CJ661" i="1" s="1"/>
  <c r="CK661" i="1" s="1"/>
  <c r="BT157" i="1"/>
  <c r="BW157" i="1" s="1"/>
  <c r="CI422" i="1"/>
  <c r="CJ422" i="1" s="1"/>
  <c r="CK422" i="1" s="1"/>
  <c r="BT279" i="1"/>
  <c r="BU279" i="1" s="1"/>
  <c r="BV279" i="1" s="1"/>
  <c r="BX279" i="1" s="1"/>
  <c r="CI44" i="1"/>
  <c r="CJ44" i="1" s="1"/>
  <c r="CK44" i="1" s="1"/>
  <c r="CI608" i="1"/>
  <c r="CJ608" i="1" s="1"/>
  <c r="CK608" i="1" s="1"/>
  <c r="BY356" i="1"/>
  <c r="CB356" i="1" s="1"/>
  <c r="BY772" i="1"/>
  <c r="CB772" i="1" s="1"/>
  <c r="CI288" i="1"/>
  <c r="CJ288" i="1" s="1"/>
  <c r="CK288" i="1" s="1"/>
  <c r="CI614" i="1"/>
  <c r="CJ614" i="1" s="1"/>
  <c r="CK614" i="1" s="1"/>
  <c r="CI221" i="1"/>
  <c r="CJ221" i="1" s="1"/>
  <c r="CK221" i="1" s="1"/>
  <c r="CI729" i="1"/>
  <c r="CJ729" i="1" s="1"/>
  <c r="CK729" i="1" s="1"/>
  <c r="BY574" i="1"/>
  <c r="BZ574" i="1" s="1"/>
  <c r="CA574" i="1" s="1"/>
  <c r="CC574" i="1" s="1"/>
  <c r="CI734" i="1"/>
  <c r="CJ734" i="1" s="1"/>
  <c r="CK734" i="1" s="1"/>
  <c r="BY446" i="1"/>
  <c r="CB446" i="1" s="1"/>
  <c r="BY729" i="1"/>
  <c r="CB729" i="1" s="1"/>
  <c r="BY185" i="1"/>
  <c r="BZ185" i="1" s="1"/>
  <c r="CA185" i="1" s="1"/>
  <c r="CC185" i="1" s="1"/>
  <c r="CI175" i="1"/>
  <c r="CJ175" i="1" s="1"/>
  <c r="CK175" i="1" s="1"/>
  <c r="CI771" i="1"/>
  <c r="CJ771" i="1" s="1"/>
  <c r="CK771" i="1" s="1"/>
  <c r="BY310" i="1"/>
  <c r="CB310" i="1" s="1"/>
  <c r="CI31" i="1"/>
  <c r="CJ31" i="1" s="1"/>
  <c r="CK31" i="1" s="1"/>
  <c r="CI403" i="1"/>
  <c r="CJ403" i="1" s="1"/>
  <c r="CK403" i="1" s="1"/>
  <c r="BY281" i="1"/>
  <c r="CB281" i="1" s="1"/>
  <c r="BY687" i="1"/>
  <c r="CB687" i="1" s="1"/>
  <c r="CI316" i="1"/>
  <c r="CJ316" i="1" s="1"/>
  <c r="CK316" i="1" s="1"/>
  <c r="CI630" i="1"/>
  <c r="CJ630" i="1" s="1"/>
  <c r="CK630" i="1" s="1"/>
  <c r="BY378" i="1"/>
  <c r="CB378" i="1" s="1"/>
  <c r="CI809" i="1"/>
  <c r="CJ809" i="1" s="1"/>
  <c r="CK809" i="1" s="1"/>
  <c r="BW150" i="1"/>
  <c r="BW717" i="1"/>
  <c r="CG803" i="1"/>
  <c r="CG726" i="1"/>
  <c r="BY744" i="1"/>
  <c r="CB744" i="1" s="1"/>
  <c r="CI431" i="1"/>
  <c r="CJ431" i="1" s="1"/>
  <c r="CK431" i="1" s="1"/>
  <c r="CI749" i="1"/>
  <c r="CJ749" i="1" s="1"/>
  <c r="CK749" i="1" s="1"/>
  <c r="BY726" i="1"/>
  <c r="CB726" i="1" s="1"/>
  <c r="BT158" i="1"/>
  <c r="BW158" i="1" s="1"/>
  <c r="CI244" i="1"/>
  <c r="CJ244" i="1" s="1"/>
  <c r="CK244" i="1" s="1"/>
  <c r="CI131" i="1"/>
  <c r="CJ131" i="1" s="1"/>
  <c r="CK131" i="1" s="1"/>
  <c r="BY670" i="1"/>
  <c r="CB670" i="1" s="1"/>
  <c r="BY575" i="1"/>
  <c r="CB575" i="1" s="1"/>
  <c r="BY340" i="1"/>
  <c r="BZ340" i="1" s="1"/>
  <c r="CA340" i="1" s="1"/>
  <c r="CC340" i="1" s="1"/>
  <c r="CI148" i="1"/>
  <c r="CJ148" i="1" s="1"/>
  <c r="CK148" i="1" s="1"/>
  <c r="CI596" i="1"/>
  <c r="CJ596" i="1" s="1"/>
  <c r="CK596" i="1" s="1"/>
  <c r="CI266" i="1"/>
  <c r="CJ266" i="1" s="1"/>
  <c r="CK266" i="1" s="1"/>
  <c r="CI171" i="1"/>
  <c r="CJ171" i="1" s="1"/>
  <c r="CK171" i="1" s="1"/>
  <c r="BY653" i="1"/>
  <c r="BZ653" i="1" s="1"/>
  <c r="CA653" i="1" s="1"/>
  <c r="CC653" i="1" s="1"/>
  <c r="CD101" i="1"/>
  <c r="CE101" i="1" s="1"/>
  <c r="CF101" i="1" s="1"/>
  <c r="CH101" i="1" s="1"/>
  <c r="CI632" i="1"/>
  <c r="CJ632" i="1" s="1"/>
  <c r="CK632" i="1" s="1"/>
  <c r="BY700" i="1"/>
  <c r="CB700" i="1" s="1"/>
  <c r="BY244" i="1"/>
  <c r="CB244" i="1" s="1"/>
  <c r="CG630" i="1"/>
  <c r="BW378" i="1"/>
  <c r="CG809" i="1"/>
  <c r="BY387" i="1"/>
  <c r="BZ387" i="1" s="1"/>
  <c r="CA387" i="1" s="1"/>
  <c r="CC387" i="1" s="1"/>
  <c r="CG640" i="1"/>
  <c r="BW778" i="1"/>
  <c r="CI691" i="1"/>
  <c r="CJ691" i="1" s="1"/>
  <c r="CK691" i="1" s="1"/>
  <c r="BY690" i="1"/>
  <c r="CB690" i="1" s="1"/>
  <c r="CI467" i="1"/>
  <c r="CJ467" i="1" s="1"/>
  <c r="CK467" i="1" s="1"/>
  <c r="CG317" i="1"/>
  <c r="BY181" i="1"/>
  <c r="BZ181" i="1" s="1"/>
  <c r="CA181" i="1" s="1"/>
  <c r="CC181" i="1" s="1"/>
  <c r="CG284" i="1"/>
  <c r="CI27" i="1"/>
  <c r="CJ27" i="1" s="1"/>
  <c r="CK27" i="1" s="1"/>
  <c r="BW515" i="1"/>
  <c r="CG248" i="1"/>
  <c r="BY186" i="1"/>
  <c r="BZ186" i="1" s="1"/>
  <c r="CA186" i="1" s="1"/>
  <c r="CC186" i="1" s="1"/>
  <c r="BY450" i="1"/>
  <c r="BZ450" i="1" s="1"/>
  <c r="CA450" i="1" s="1"/>
  <c r="CC450" i="1" s="1"/>
  <c r="CG749" i="1"/>
  <c r="BW726" i="1"/>
  <c r="BR158" i="1"/>
  <c r="BW283" i="1"/>
  <c r="CG244" i="1"/>
  <c r="CG131" i="1"/>
  <c r="CD252" i="1"/>
  <c r="CE252" i="1" s="1"/>
  <c r="CF252" i="1" s="1"/>
  <c r="CH252" i="1" s="1"/>
  <c r="CI162" i="1"/>
  <c r="CJ162" i="1" s="1"/>
  <c r="CK162" i="1" s="1"/>
  <c r="BW670" i="1"/>
  <c r="BW6" i="1"/>
  <c r="CI657" i="1"/>
  <c r="CJ657" i="1" s="1"/>
  <c r="CK657" i="1" s="1"/>
  <c r="CG262" i="1"/>
  <c r="CG596" i="1"/>
  <c r="CG336" i="1"/>
  <c r="CI183" i="1"/>
  <c r="CJ183" i="1" s="1"/>
  <c r="CK183" i="1" s="1"/>
  <c r="CG266" i="1"/>
  <c r="CI211" i="1"/>
  <c r="CJ211" i="1" s="1"/>
  <c r="CK211" i="1" s="1"/>
  <c r="BW565" i="1"/>
  <c r="CG171" i="1"/>
  <c r="BW653" i="1"/>
  <c r="BW749" i="1"/>
  <c r="CG338" i="1"/>
  <c r="BY776" i="1"/>
  <c r="CB776" i="1" s="1"/>
  <c r="CG637" i="1"/>
  <c r="BY544" i="1"/>
  <c r="BZ544" i="1" s="1"/>
  <c r="CA544" i="1" s="1"/>
  <c r="CC544" i="1" s="1"/>
  <c r="BY628" i="1"/>
  <c r="CB628" i="1" s="1"/>
  <c r="BW700" i="1"/>
  <c r="BY633" i="1"/>
  <c r="BZ633" i="1" s="1"/>
  <c r="CA633" i="1" s="1"/>
  <c r="CC633" i="1" s="1"/>
  <c r="BY429" i="1"/>
  <c r="CB429" i="1" s="1"/>
  <c r="BW244" i="1"/>
  <c r="CG22" i="1"/>
  <c r="BW518" i="1"/>
  <c r="BY646" i="1"/>
  <c r="BZ646" i="1" s="1"/>
  <c r="CA646" i="1" s="1"/>
  <c r="CC646" i="1" s="1"/>
  <c r="CI90" i="1"/>
  <c r="CJ90" i="1" s="1"/>
  <c r="CK90" i="1" s="1"/>
  <c r="BY129" i="1"/>
  <c r="CB129" i="1" s="1"/>
  <c r="BW128" i="1"/>
  <c r="CL250" i="1"/>
  <c r="BY307" i="1"/>
  <c r="BZ307" i="1" s="1"/>
  <c r="CA307" i="1" s="1"/>
  <c r="CC307" i="1" s="1"/>
  <c r="CG783" i="1"/>
  <c r="BW611" i="1"/>
  <c r="CI737" i="1"/>
  <c r="CJ737" i="1" s="1"/>
  <c r="CK737" i="1" s="1"/>
  <c r="CI841" i="1"/>
  <c r="CJ841" i="1" s="1"/>
  <c r="CK841" i="1" s="1"/>
  <c r="BY419" i="1"/>
  <c r="CB419" i="1" s="1"/>
  <c r="BY358" i="1"/>
  <c r="CB358" i="1" s="1"/>
  <c r="BY764" i="1"/>
  <c r="CB764" i="1" s="1"/>
  <c r="CI644" i="1"/>
  <c r="CJ644" i="1" s="1"/>
  <c r="CK644" i="1" s="1"/>
  <c r="CL644" i="1" s="1"/>
  <c r="CG534" i="1"/>
  <c r="CG526" i="1"/>
  <c r="CG535" i="1"/>
  <c r="BW535" i="1"/>
  <c r="BW716" i="1"/>
  <c r="BW122" i="1"/>
  <c r="BY731" i="1"/>
  <c r="CB731" i="1" s="1"/>
  <c r="BW457" i="1"/>
  <c r="BW697" i="1"/>
  <c r="CI678" i="1"/>
  <c r="CJ678" i="1" s="1"/>
  <c r="CK678" i="1" s="1"/>
  <c r="CG209" i="1"/>
  <c r="BY619" i="1"/>
  <c r="CB619" i="1" s="1"/>
  <c r="BR215" i="1"/>
  <c r="CG396" i="1"/>
  <c r="BW180" i="1"/>
  <c r="BY494" i="1"/>
  <c r="CB494" i="1" s="1"/>
  <c r="CG117" i="1"/>
  <c r="BY325" i="1"/>
  <c r="CB325" i="1" s="1"/>
  <c r="CG473" i="1"/>
  <c r="BW411" i="1"/>
  <c r="CG126" i="1"/>
  <c r="CG93" i="1"/>
  <c r="BY739" i="1"/>
  <c r="CB739" i="1" s="1"/>
  <c r="CG748" i="1"/>
  <c r="CI665" i="1"/>
  <c r="CJ665" i="1" s="1"/>
  <c r="CK665" i="1" s="1"/>
  <c r="BY179" i="1"/>
  <c r="BZ179" i="1" s="1"/>
  <c r="CA179" i="1" s="1"/>
  <c r="CC179" i="1" s="1"/>
  <c r="CB23" i="1"/>
  <c r="BY302" i="1"/>
  <c r="BZ302" i="1" s="1"/>
  <c r="CA302" i="1" s="1"/>
  <c r="CC302" i="1" s="1"/>
  <c r="BY305" i="1"/>
  <c r="CB305" i="1" s="1"/>
  <c r="BY527" i="1"/>
  <c r="CB527" i="1" s="1"/>
  <c r="BY499" i="1"/>
  <c r="CB499" i="1" s="1"/>
  <c r="BY360" i="1"/>
  <c r="CB360" i="1" s="1"/>
  <c r="CI679" i="1"/>
  <c r="CJ679" i="1" s="1"/>
  <c r="CK679" i="1" s="1"/>
  <c r="CI562" i="1"/>
  <c r="CJ562" i="1" s="1"/>
  <c r="CK562" i="1" s="1"/>
  <c r="BY669" i="1"/>
  <c r="CB669" i="1" s="1"/>
  <c r="BY488" i="1"/>
  <c r="CB488" i="1" s="1"/>
  <c r="BW616" i="1"/>
  <c r="BW308" i="1"/>
  <c r="BY715" i="1"/>
  <c r="BZ715" i="1" s="1"/>
  <c r="CA715" i="1" s="1"/>
  <c r="CC715" i="1" s="1"/>
  <c r="BY647" i="1"/>
  <c r="BZ647" i="1" s="1"/>
  <c r="CA647" i="1" s="1"/>
  <c r="CC647" i="1" s="1"/>
  <c r="BY502" i="1"/>
  <c r="CB502" i="1" s="1"/>
  <c r="BY332" i="1"/>
  <c r="BZ332" i="1" s="1"/>
  <c r="CA332" i="1" s="1"/>
  <c r="CC332" i="1" s="1"/>
  <c r="BY652" i="1"/>
  <c r="BZ652" i="1" s="1"/>
  <c r="CA652" i="1" s="1"/>
  <c r="CC652" i="1" s="1"/>
  <c r="CD85" i="1"/>
  <c r="CE85" i="1" s="1"/>
  <c r="CF85" i="1" s="1"/>
  <c r="CH85" i="1" s="1"/>
  <c r="CB53" i="1"/>
  <c r="BW423" i="1"/>
  <c r="BW448" i="1"/>
  <c r="CI222" i="1"/>
  <c r="CJ222" i="1" s="1"/>
  <c r="CK222" i="1" s="1"/>
  <c r="CI626" i="1"/>
  <c r="CJ626" i="1" s="1"/>
  <c r="CK626" i="1" s="1"/>
  <c r="BY280" i="1"/>
  <c r="BZ280" i="1" s="1"/>
  <c r="CA280" i="1" s="1"/>
  <c r="CC280" i="1" s="1"/>
  <c r="CI703" i="1"/>
  <c r="CJ703" i="1" s="1"/>
  <c r="CK703" i="1" s="1"/>
  <c r="CG661" i="1"/>
  <c r="CG166" i="1"/>
  <c r="CI763" i="1"/>
  <c r="CJ763" i="1" s="1"/>
  <c r="CK763" i="1" s="1"/>
  <c r="BW137" i="1"/>
  <c r="BY656" i="1"/>
  <c r="BZ656" i="1" s="1"/>
  <c r="CA656" i="1" s="1"/>
  <c r="CC656" i="1" s="1"/>
  <c r="CG422" i="1"/>
  <c r="BR279" i="1"/>
  <c r="BY344" i="1"/>
  <c r="CB344" i="1" s="1"/>
  <c r="CG608" i="1"/>
  <c r="BY553" i="1"/>
  <c r="BZ553" i="1" s="1"/>
  <c r="CA553" i="1" s="1"/>
  <c r="CC553" i="1" s="1"/>
  <c r="BW356" i="1"/>
  <c r="BW772" i="1"/>
  <c r="CI732" i="1"/>
  <c r="CJ732" i="1" s="1"/>
  <c r="CK732" i="1" s="1"/>
  <c r="CG288" i="1"/>
  <c r="BY297" i="1"/>
  <c r="BZ297" i="1" s="1"/>
  <c r="CA297" i="1" s="1"/>
  <c r="CC297" i="1" s="1"/>
  <c r="CG570" i="1"/>
  <c r="BW501" i="1"/>
  <c r="CG729" i="1"/>
  <c r="BW574" i="1"/>
  <c r="CG734" i="1"/>
  <c r="CI417" i="1"/>
  <c r="CJ417" i="1" s="1"/>
  <c r="CK417" i="1" s="1"/>
  <c r="BY627" i="1"/>
  <c r="CB627" i="1" s="1"/>
  <c r="BW446" i="1"/>
  <c r="CD71" i="1"/>
  <c r="CE71" i="1" s="1"/>
  <c r="CF71" i="1" s="1"/>
  <c r="CH71" i="1" s="1"/>
  <c r="BY788" i="1"/>
  <c r="CB788" i="1" s="1"/>
  <c r="CI168" i="1"/>
  <c r="CJ168" i="1" s="1"/>
  <c r="CK168" i="1" s="1"/>
  <c r="BW729" i="1"/>
  <c r="CI533" i="1"/>
  <c r="CJ533" i="1" s="1"/>
  <c r="CK533" i="1" s="1"/>
  <c r="CG175" i="1"/>
  <c r="BY404" i="1"/>
  <c r="CB404" i="1" s="1"/>
  <c r="CI378" i="1"/>
  <c r="CJ378" i="1" s="1"/>
  <c r="CK378" i="1" s="1"/>
  <c r="BY649" i="1"/>
  <c r="BZ649" i="1" s="1"/>
  <c r="CA649" i="1" s="1"/>
  <c r="CC649" i="1" s="1"/>
  <c r="BW310" i="1"/>
  <c r="CG31" i="1"/>
  <c r="BY168" i="1"/>
  <c r="CB168" i="1" s="1"/>
  <c r="BW281" i="1"/>
  <c r="BY355" i="1"/>
  <c r="CB355" i="1" s="1"/>
  <c r="CG681" i="1"/>
  <c r="CI279" i="1"/>
  <c r="CJ279" i="1" s="1"/>
  <c r="CK279" i="1" s="1"/>
  <c r="BY638" i="1"/>
  <c r="BZ638" i="1" s="1"/>
  <c r="CA638" i="1" s="1"/>
  <c r="CC638" i="1" s="1"/>
  <c r="CI640" i="1"/>
  <c r="CJ640" i="1" s="1"/>
  <c r="CK640" i="1" s="1"/>
  <c r="BY778" i="1"/>
  <c r="CB778" i="1" s="1"/>
  <c r="CI317" i="1"/>
  <c r="CJ317" i="1" s="1"/>
  <c r="CK317" i="1" s="1"/>
  <c r="CI213" i="1"/>
  <c r="CJ213" i="1" s="1"/>
  <c r="CK213" i="1" s="1"/>
  <c r="CI284" i="1"/>
  <c r="CJ284" i="1" s="1"/>
  <c r="CK284" i="1" s="1"/>
  <c r="BY515" i="1"/>
  <c r="CB515" i="1" s="1"/>
  <c r="CI248" i="1"/>
  <c r="CJ248" i="1" s="1"/>
  <c r="CK248" i="1" s="1"/>
  <c r="BY691" i="1"/>
  <c r="CB691" i="1" s="1"/>
  <c r="CD105" i="1"/>
  <c r="CE105" i="1" s="1"/>
  <c r="CF105" i="1" s="1"/>
  <c r="CH105" i="1" s="1"/>
  <c r="CI123" i="1"/>
  <c r="CJ123" i="1" s="1"/>
  <c r="CK123" i="1" s="1"/>
  <c r="BY583" i="1"/>
  <c r="BZ583" i="1" s="1"/>
  <c r="CA583" i="1" s="1"/>
  <c r="CC583" i="1" s="1"/>
  <c r="BY493" i="1"/>
  <c r="CB493" i="1" s="1"/>
  <c r="CI464" i="1"/>
  <c r="CJ464" i="1" s="1"/>
  <c r="CK464" i="1" s="1"/>
  <c r="CI262" i="1"/>
  <c r="CJ262" i="1" s="1"/>
  <c r="CK262" i="1" s="1"/>
  <c r="BY313" i="1"/>
  <c r="BZ313" i="1" s="1"/>
  <c r="CA313" i="1" s="1"/>
  <c r="CC313" i="1" s="1"/>
  <c r="BY621" i="1"/>
  <c r="CB621" i="1" s="1"/>
  <c r="BY284" i="1"/>
  <c r="CB284" i="1" s="1"/>
  <c r="BY322" i="1"/>
  <c r="BZ322" i="1" s="1"/>
  <c r="CA322" i="1" s="1"/>
  <c r="CC322" i="1" s="1"/>
  <c r="CI75" i="1"/>
  <c r="CJ75" i="1" s="1"/>
  <c r="CK75" i="1" s="1"/>
  <c r="BY351" i="1"/>
  <c r="CB351" i="1" s="1"/>
  <c r="CI784" i="1"/>
  <c r="CJ784" i="1" s="1"/>
  <c r="CK784" i="1" s="1"/>
  <c r="CI338" i="1"/>
  <c r="CJ338" i="1" s="1"/>
  <c r="CK338" i="1" s="1"/>
  <c r="CI637" i="1"/>
  <c r="CJ637" i="1" s="1"/>
  <c r="CK637" i="1" s="1"/>
  <c r="BY246" i="1"/>
  <c r="CB246" i="1" s="1"/>
  <c r="BY613" i="1"/>
  <c r="CB613" i="1" s="1"/>
  <c r="CI294" i="1"/>
  <c r="CJ294" i="1" s="1"/>
  <c r="CK294" i="1" s="1"/>
  <c r="CG701" i="1"/>
  <c r="BY173" i="1"/>
  <c r="CB173" i="1" s="1"/>
  <c r="BY456" i="1"/>
  <c r="CB456" i="1" s="1"/>
  <c r="CI742" i="1"/>
  <c r="CJ742" i="1" s="1"/>
  <c r="CK742" i="1" s="1"/>
  <c r="CI787" i="1"/>
  <c r="CJ787" i="1" s="1"/>
  <c r="CK787" i="1" s="1"/>
  <c r="CL787" i="1" s="1"/>
  <c r="BY573" i="1"/>
  <c r="CB573" i="1" s="1"/>
  <c r="BW220" i="1"/>
  <c r="BY708" i="1"/>
  <c r="BZ708" i="1" s="1"/>
  <c r="CA708" i="1" s="1"/>
  <c r="CC708" i="1" s="1"/>
  <c r="CI534" i="1"/>
  <c r="CJ534" i="1" s="1"/>
  <c r="CK534" i="1" s="1"/>
  <c r="CI526" i="1"/>
  <c r="CJ526" i="1" s="1"/>
  <c r="CK526" i="1" s="1"/>
  <c r="BY435" i="1"/>
  <c r="CB435" i="1" s="1"/>
  <c r="BY327" i="1"/>
  <c r="CB327" i="1" s="1"/>
  <c r="BY222" i="1"/>
  <c r="CB222" i="1" s="1"/>
  <c r="CG298" i="1"/>
  <c r="CL46" i="1"/>
  <c r="BY660" i="1"/>
  <c r="CB660" i="1" s="1"/>
  <c r="CI203" i="1"/>
  <c r="CJ203" i="1" s="1"/>
  <c r="CK203" i="1" s="1"/>
  <c r="CI209" i="1"/>
  <c r="CJ209" i="1" s="1"/>
  <c r="CK209" i="1" s="1"/>
  <c r="CG536" i="1"/>
  <c r="CI738" i="1"/>
  <c r="CJ738" i="1" s="1"/>
  <c r="CK738" i="1" s="1"/>
  <c r="BY563" i="1"/>
  <c r="CB563" i="1" s="1"/>
  <c r="CI236" i="1"/>
  <c r="CJ236" i="1" s="1"/>
  <c r="CK236" i="1" s="1"/>
  <c r="CI47" i="1"/>
  <c r="CJ47" i="1" s="1"/>
  <c r="CK47" i="1" s="1"/>
  <c r="BY704" i="1"/>
  <c r="BZ704" i="1" s="1"/>
  <c r="CA704" i="1" s="1"/>
  <c r="CC704" i="1" s="1"/>
  <c r="CI768" i="1"/>
  <c r="CJ768" i="1" s="1"/>
  <c r="CK768" i="1" s="1"/>
  <c r="CI740" i="1"/>
  <c r="CJ740" i="1" s="1"/>
  <c r="CK740" i="1" s="1"/>
  <c r="BY525" i="1"/>
  <c r="CB525" i="1" s="1"/>
  <c r="BW678" i="1"/>
  <c r="BY226" i="1"/>
  <c r="CB226" i="1" s="1"/>
  <c r="BW556" i="1"/>
  <c r="CD51" i="1"/>
  <c r="CE51" i="1" s="1"/>
  <c r="CF51" i="1" s="1"/>
  <c r="CH51" i="1" s="1"/>
  <c r="BT11" i="1"/>
  <c r="BW11" i="1" s="1"/>
  <c r="CI503" i="1"/>
  <c r="CJ503" i="1" s="1"/>
  <c r="CK503" i="1" s="1"/>
  <c r="BY616" i="1"/>
  <c r="CB616" i="1" s="1"/>
  <c r="BY308" i="1"/>
  <c r="BZ308" i="1" s="1"/>
  <c r="CA308" i="1" s="1"/>
  <c r="CC308" i="1" s="1"/>
  <c r="BY503" i="1"/>
  <c r="CB503" i="1" s="1"/>
  <c r="BW383" i="1"/>
  <c r="BW461" i="1"/>
  <c r="CI519" i="1"/>
  <c r="CJ519" i="1" s="1"/>
  <c r="CK519" i="1" s="1"/>
  <c r="CI461" i="1"/>
  <c r="CJ461" i="1" s="1"/>
  <c r="CK461" i="1" s="1"/>
  <c r="BY617" i="1"/>
  <c r="CB617" i="1" s="1"/>
  <c r="CG774" i="1"/>
  <c r="BY721" i="1"/>
  <c r="BZ721" i="1" s="1"/>
  <c r="CA721" i="1" s="1"/>
  <c r="CC721" i="1" s="1"/>
  <c r="CI166" i="1"/>
  <c r="CJ166" i="1" s="1"/>
  <c r="CK166" i="1" s="1"/>
  <c r="BY137" i="1"/>
  <c r="CB137" i="1" s="1"/>
  <c r="CG482" i="1"/>
  <c r="BY520" i="1"/>
  <c r="CB520" i="1" s="1"/>
  <c r="BY569" i="1"/>
  <c r="BZ569" i="1" s="1"/>
  <c r="CA569" i="1" s="1"/>
  <c r="CC569" i="1" s="1"/>
  <c r="CI115" i="1"/>
  <c r="CJ115" i="1" s="1"/>
  <c r="CK115" i="1" s="1"/>
  <c r="CG240" i="1"/>
  <c r="CI114" i="1"/>
  <c r="CJ114" i="1" s="1"/>
  <c r="CK114" i="1" s="1"/>
  <c r="BW413" i="1"/>
  <c r="CI570" i="1"/>
  <c r="CJ570" i="1" s="1"/>
  <c r="CK570" i="1" s="1"/>
  <c r="CG36" i="1"/>
  <c r="BY501" i="1"/>
  <c r="CB501" i="1" s="1"/>
  <c r="CG517" i="1"/>
  <c r="BY667" i="1"/>
  <c r="CB667" i="1" s="1"/>
  <c r="CI425" i="1"/>
  <c r="CJ425" i="1" s="1"/>
  <c r="CK425" i="1" s="1"/>
  <c r="CI610" i="1"/>
  <c r="CJ610" i="1" s="1"/>
  <c r="CK610" i="1" s="1"/>
  <c r="CG337" i="1"/>
  <c r="CI602" i="1"/>
  <c r="CJ602" i="1" s="1"/>
  <c r="CK602" i="1" s="1"/>
  <c r="CI310" i="1"/>
  <c r="CJ310" i="1" s="1"/>
  <c r="CK310" i="1" s="1"/>
  <c r="BY517" i="1"/>
  <c r="CB517" i="1" s="1"/>
  <c r="CI667" i="1"/>
  <c r="CJ667" i="1" s="1"/>
  <c r="CK667" i="1" s="1"/>
  <c r="BW571" i="1"/>
  <c r="CI26" i="1"/>
  <c r="CJ26" i="1" s="1"/>
  <c r="CK26" i="1" s="1"/>
  <c r="CI788" i="1"/>
  <c r="CJ788" i="1" s="1"/>
  <c r="CK788" i="1" s="1"/>
  <c r="CB88" i="1"/>
  <c r="BW172" i="1"/>
  <c r="BY762" i="1"/>
  <c r="CB762" i="1" s="1"/>
  <c r="CG752" i="1"/>
  <c r="CI681" i="1"/>
  <c r="CJ681" i="1" s="1"/>
  <c r="CK681" i="1" s="1"/>
  <c r="BW590" i="1" l="1"/>
  <c r="CB200" i="1"/>
  <c r="CG45" i="1"/>
  <c r="CL247" i="1"/>
  <c r="CL107" i="1"/>
  <c r="CB553" i="1"/>
  <c r="CL337" i="1"/>
  <c r="CL174" i="1"/>
  <c r="CL239" i="1"/>
  <c r="CB313" i="1"/>
  <c r="CL232" i="1"/>
  <c r="CL629" i="1"/>
  <c r="CB557" i="1"/>
  <c r="CL22" i="1"/>
  <c r="CL509" i="1"/>
  <c r="CL814" i="1"/>
  <c r="CB719" i="1"/>
  <c r="CL809" i="1"/>
  <c r="CL338" i="1"/>
  <c r="CG478" i="1"/>
  <c r="CL524" i="1"/>
  <c r="CL37" i="1"/>
  <c r="BW622" i="1"/>
  <c r="CG108" i="1"/>
  <c r="CL233" i="1"/>
  <c r="CL571" i="1"/>
  <c r="CL552" i="1"/>
  <c r="BW486" i="1"/>
  <c r="CB586" i="1"/>
  <c r="CL728" i="1"/>
  <c r="CL726" i="1"/>
  <c r="CL120" i="1"/>
  <c r="CL701" i="1"/>
  <c r="CL294" i="1"/>
  <c r="CL813" i="1"/>
  <c r="CB182" i="1"/>
  <c r="CL600" i="1"/>
  <c r="CG234" i="1"/>
  <c r="CB307" i="1"/>
  <c r="CL546" i="1"/>
  <c r="CL680" i="1"/>
  <c r="CL631" i="1"/>
  <c r="CL757" i="1"/>
  <c r="CB322" i="1"/>
  <c r="CL82" i="1"/>
  <c r="CL543" i="1"/>
  <c r="CL614" i="1"/>
  <c r="CG59" i="1"/>
  <c r="CL402" i="1"/>
  <c r="CB623" i="1"/>
  <c r="CG57" i="1"/>
  <c r="CG60" i="1"/>
  <c r="CG197" i="1"/>
  <c r="CL697" i="1"/>
  <c r="CB237" i="1"/>
  <c r="CG96" i="1"/>
  <c r="CL459" i="1"/>
  <c r="CL195" i="1"/>
  <c r="CB606" i="1"/>
  <c r="CB560" i="1"/>
  <c r="CB721" i="1"/>
  <c r="CL290" i="1"/>
  <c r="CB372" i="1"/>
  <c r="CL48" i="1"/>
  <c r="CB648" i="1"/>
  <c r="CL203" i="1"/>
  <c r="CL25" i="1"/>
  <c r="CB598" i="1"/>
  <c r="CB179" i="1"/>
  <c r="CL44" i="1"/>
  <c r="CL413" i="1"/>
  <c r="BW415" i="1"/>
  <c r="CL525" i="1"/>
  <c r="CG62" i="1"/>
  <c r="CL523" i="1"/>
  <c r="CL765" i="1"/>
  <c r="CL439" i="1"/>
  <c r="CL616" i="1"/>
  <c r="CL248" i="1"/>
  <c r="CL377" i="1"/>
  <c r="CL611" i="1"/>
  <c r="CL696" i="1"/>
  <c r="CL127" i="1"/>
  <c r="CG504" i="1"/>
  <c r="CB292" i="1"/>
  <c r="CB185" i="1"/>
  <c r="CL527" i="1"/>
  <c r="CB320" i="1"/>
  <c r="CB587" i="1"/>
  <c r="CG507" i="1"/>
  <c r="CL301" i="1"/>
  <c r="CG85" i="1"/>
  <c r="CG73" i="1"/>
  <c r="CL241" i="1"/>
  <c r="CL659" i="1"/>
  <c r="CL119" i="1"/>
  <c r="BW315" i="1"/>
  <c r="CG150" i="1"/>
  <c r="CL630" i="1"/>
  <c r="CL508" i="1"/>
  <c r="CG421" i="1"/>
  <c r="CL767" i="1"/>
  <c r="CL213" i="1"/>
  <c r="CB647" i="1"/>
  <c r="CL513" i="1"/>
  <c r="CL499" i="1"/>
  <c r="CL612" i="1"/>
  <c r="CB588" i="1"/>
  <c r="CG68" i="1"/>
  <c r="CL475" i="1"/>
  <c r="CL93" i="1"/>
  <c r="CB548" i="1"/>
  <c r="CL674" i="1"/>
  <c r="CL423" i="1"/>
  <c r="CL159" i="1"/>
  <c r="CL739" i="1"/>
  <c r="CG65" i="1"/>
  <c r="CB333" i="1"/>
  <c r="CG9" i="1"/>
  <c r="CG76" i="1"/>
  <c r="CG263" i="1"/>
  <c r="CL99" i="1"/>
  <c r="CB332" i="1"/>
  <c r="CL714" i="1"/>
  <c r="CL431" i="1"/>
  <c r="CL472" i="1"/>
  <c r="CG106" i="1"/>
  <c r="CL113" i="1"/>
  <c r="CL436" i="1"/>
  <c r="CB359" i="1"/>
  <c r="CL732" i="1"/>
  <c r="CL281" i="1"/>
  <c r="CG265" i="1"/>
  <c r="CB583" i="1"/>
  <c r="CB638" i="1"/>
  <c r="CL168" i="1"/>
  <c r="CL626" i="1"/>
  <c r="CG252" i="1"/>
  <c r="CL31" i="1"/>
  <c r="CL117" i="1"/>
  <c r="CL391" i="1"/>
  <c r="CL395" i="1"/>
  <c r="CL666" i="1"/>
  <c r="CL816" i="1"/>
  <c r="CG500" i="1"/>
  <c r="CG454" i="1"/>
  <c r="CL121" i="1"/>
  <c r="CL502" i="1"/>
  <c r="CG101" i="1"/>
  <c r="CL691" i="1"/>
  <c r="CL501" i="1"/>
  <c r="CL476" i="1"/>
  <c r="CL484" i="1"/>
  <c r="CL786" i="1"/>
  <c r="CL16" i="1"/>
  <c r="CL291" i="1"/>
  <c r="CL640" i="1"/>
  <c r="CL784" i="1"/>
  <c r="CB569" i="1"/>
  <c r="CG105" i="1"/>
  <c r="CL396" i="1"/>
  <c r="CL783" i="1"/>
  <c r="CG83" i="1"/>
  <c r="CL81" i="1"/>
  <c r="CL358" i="1"/>
  <c r="CL440" i="1"/>
  <c r="BW380" i="1"/>
  <c r="CL734" i="1"/>
  <c r="BW279" i="1"/>
  <c r="CL684" i="1"/>
  <c r="CG84" i="1"/>
  <c r="CL582" i="1"/>
  <c r="CL682" i="1"/>
  <c r="CG61" i="1"/>
  <c r="CB331" i="1"/>
  <c r="CL455" i="1"/>
  <c r="CB584" i="1"/>
  <c r="CL760" i="1"/>
  <c r="CL400" i="1"/>
  <c r="CL277" i="1"/>
  <c r="CL627" i="1"/>
  <c r="CB302" i="1"/>
  <c r="CL422" i="1"/>
  <c r="CL619" i="1"/>
  <c r="CB770" i="1"/>
  <c r="CL576" i="1"/>
  <c r="CG433" i="1"/>
  <c r="CB384" i="1"/>
  <c r="CL759" i="1"/>
  <c r="CL768" i="1"/>
  <c r="CB559" i="1"/>
  <c r="CL419" i="1"/>
  <c r="CG92" i="1"/>
  <c r="CL817" i="1"/>
  <c r="CL756" i="1"/>
  <c r="CL775" i="1"/>
  <c r="CB639" i="1"/>
  <c r="CL687" i="1"/>
  <c r="CL368" i="1"/>
  <c r="CB308" i="1"/>
  <c r="CB704" i="1"/>
  <c r="CB646" i="1"/>
  <c r="CL211" i="1"/>
  <c r="CL148" i="1"/>
  <c r="CG23" i="1"/>
  <c r="CL746" i="1"/>
  <c r="CG842" i="1"/>
  <c r="CL567" i="1"/>
  <c r="CL201" i="1"/>
  <c r="CL414" i="1"/>
  <c r="CL268" i="1"/>
  <c r="CL256" i="1"/>
  <c r="CL706" i="1"/>
  <c r="CB170" i="1"/>
  <c r="CL206" i="1"/>
  <c r="CL216" i="1"/>
  <c r="CL766" i="1"/>
  <c r="CG733" i="1"/>
  <c r="CG811" i="1"/>
  <c r="BW409" i="1"/>
  <c r="CL748" i="1"/>
  <c r="CL98" i="1"/>
  <c r="CB198" i="1"/>
  <c r="CL191" i="1"/>
  <c r="CL604" i="1"/>
  <c r="CL675" i="1"/>
  <c r="CG42" i="1"/>
  <c r="CL690" i="1"/>
  <c r="CL741" i="1"/>
  <c r="CL617" i="1"/>
  <c r="CL542" i="1"/>
  <c r="CL47" i="1"/>
  <c r="CG71" i="1"/>
  <c r="CL678" i="1"/>
  <c r="CB340" i="1"/>
  <c r="CL288" i="1"/>
  <c r="CL803" i="1"/>
  <c r="CL693" i="1"/>
  <c r="CL389" i="1"/>
  <c r="CB339" i="1"/>
  <c r="CG17" i="1"/>
  <c r="CL137" i="1"/>
  <c r="CL486" i="1"/>
  <c r="CL326" i="1"/>
  <c r="CL128" i="1"/>
  <c r="CL276" i="1"/>
  <c r="CG380" i="1"/>
  <c r="BW724" i="1"/>
  <c r="BW368" i="1"/>
  <c r="CL91" i="1"/>
  <c r="CL304" i="1"/>
  <c r="BW229" i="1"/>
  <c r="CL771" i="1"/>
  <c r="CL309" i="1"/>
  <c r="CL245" i="1"/>
  <c r="CL755" i="1"/>
  <c r="CL19" i="1"/>
  <c r="CL146" i="1"/>
  <c r="CL471" i="1"/>
  <c r="CL517" i="1"/>
  <c r="CB77" i="1"/>
  <c r="CL781" i="1"/>
  <c r="CL711" i="1"/>
  <c r="CB342" i="1"/>
  <c r="CL176" i="1"/>
  <c r="BW221" i="1"/>
  <c r="CG412" i="1"/>
  <c r="CG51" i="1"/>
  <c r="CL534" i="1"/>
  <c r="CL262" i="1"/>
  <c r="CB649" i="1"/>
  <c r="CL134" i="1"/>
  <c r="CL112" i="1"/>
  <c r="CB187" i="1"/>
  <c r="CG227" i="1"/>
  <c r="CG207" i="1"/>
  <c r="CL483" i="1"/>
  <c r="CG122" i="1"/>
  <c r="CL369" i="1"/>
  <c r="CG80" i="1"/>
  <c r="CL545" i="1"/>
  <c r="CL132" i="1"/>
  <c r="CL520" i="1"/>
  <c r="CL481" i="1"/>
  <c r="CL199" i="1"/>
  <c r="CL36" i="1"/>
  <c r="CL536" i="1"/>
  <c r="CB568" i="1"/>
  <c r="CL378" i="1"/>
  <c r="CB652" i="1"/>
  <c r="CL632" i="1"/>
  <c r="CL131" i="1"/>
  <c r="CL529" i="1"/>
  <c r="CB716" i="1"/>
  <c r="CB565" i="1"/>
  <c r="CB597" i="1"/>
  <c r="CB406" i="1"/>
  <c r="CG102" i="1"/>
  <c r="CL410" i="1"/>
  <c r="CL367" i="1"/>
  <c r="CL736" i="1"/>
  <c r="CL676" i="1"/>
  <c r="CB399" i="1"/>
  <c r="CL393" i="1"/>
  <c r="CL752" i="1"/>
  <c r="CL673" i="1"/>
  <c r="CL253" i="1"/>
  <c r="CG754" i="1"/>
  <c r="CL428" i="1"/>
  <c r="CG479" i="1"/>
  <c r="CB566" i="1"/>
  <c r="CB303" i="1"/>
  <c r="CL41" i="1"/>
  <c r="CG116" i="1"/>
  <c r="CL493" i="1"/>
  <c r="CL738" i="1"/>
  <c r="CL506" i="1"/>
  <c r="CL115" i="1"/>
  <c r="CL519" i="1"/>
  <c r="CL763" i="1"/>
  <c r="CL669" i="1"/>
  <c r="CL579" i="1"/>
  <c r="CL445" i="1"/>
  <c r="CL306" i="1"/>
  <c r="BW718" i="1"/>
  <c r="CG642" i="1"/>
  <c r="CG778" i="1"/>
  <c r="CL58" i="1"/>
  <c r="CL230" i="1"/>
  <c r="CB299" i="1"/>
  <c r="CL336" i="1"/>
  <c r="CL335" i="1"/>
  <c r="CL634" i="1"/>
  <c r="CB190" i="1"/>
  <c r="BW323" i="1"/>
  <c r="CG78" i="1"/>
  <c r="CL416" i="1"/>
  <c r="CL438" i="1"/>
  <c r="CL231" i="1"/>
  <c r="CL383" i="1"/>
  <c r="CL397" i="1"/>
  <c r="CD715" i="1"/>
  <c r="CE715" i="1" s="1"/>
  <c r="CF715" i="1" s="1"/>
  <c r="CH715" i="1" s="1"/>
  <c r="CD387" i="1"/>
  <c r="CE387" i="1" s="1"/>
  <c r="CF387" i="1" s="1"/>
  <c r="CH387" i="1" s="1"/>
  <c r="CD347" i="1"/>
  <c r="CE347" i="1" s="1"/>
  <c r="CF347" i="1" s="1"/>
  <c r="CH347" i="1" s="1"/>
  <c r="CI10" i="1"/>
  <c r="CJ10" i="1" s="1"/>
  <c r="CK10" i="1" s="1"/>
  <c r="CD540" i="1"/>
  <c r="CE540" i="1" s="1"/>
  <c r="CF540" i="1" s="1"/>
  <c r="CH540" i="1" s="1"/>
  <c r="CD330" i="1"/>
  <c r="CE330" i="1" s="1"/>
  <c r="CF330" i="1" s="1"/>
  <c r="CH330" i="1" s="1"/>
  <c r="CI64" i="1"/>
  <c r="CJ64" i="1" s="1"/>
  <c r="CK64" i="1" s="1"/>
  <c r="CD594" i="1"/>
  <c r="CE594" i="1" s="1"/>
  <c r="CF594" i="1" s="1"/>
  <c r="CH594" i="1" s="1"/>
  <c r="CL745" i="1"/>
  <c r="CD623" i="1"/>
  <c r="CE623" i="1" s="1"/>
  <c r="CF623" i="1" s="1"/>
  <c r="CH623" i="1" s="1"/>
  <c r="BW753" i="1"/>
  <c r="CD560" i="1"/>
  <c r="CE560" i="1" s="1"/>
  <c r="CF560" i="1" s="1"/>
  <c r="CH560" i="1" s="1"/>
  <c r="CL278" i="1"/>
  <c r="CL305" i="1"/>
  <c r="CL563" i="1"/>
  <c r="CB354" i="1"/>
  <c r="CB314" i="1"/>
  <c r="CL615" i="1"/>
  <c r="BY679" i="1"/>
  <c r="CB679" i="1" s="1"/>
  <c r="CL457" i="1"/>
  <c r="BW748" i="1"/>
  <c r="CL429" i="1"/>
  <c r="CL688" i="1"/>
  <c r="CB189" i="1"/>
  <c r="CL492" i="1"/>
  <c r="CL495" i="1"/>
  <c r="CL249" i="1"/>
  <c r="CL487" i="1"/>
  <c r="CL456" i="1"/>
  <c r="CB585" i="1"/>
  <c r="CL240" i="1"/>
  <c r="CB556" i="1"/>
  <c r="CL375" i="1"/>
  <c r="CG43" i="1"/>
  <c r="BW539" i="1"/>
  <c r="CL695" i="1"/>
  <c r="CB654" i="1"/>
  <c r="CG453" i="1"/>
  <c r="CD32" i="1"/>
  <c r="CE32" i="1" s="1"/>
  <c r="CF32" i="1" s="1"/>
  <c r="CH32" i="1" s="1"/>
  <c r="CI811" i="1"/>
  <c r="CJ811" i="1" s="1"/>
  <c r="CK811" i="1" s="1"/>
  <c r="CI443" i="1"/>
  <c r="CJ443" i="1" s="1"/>
  <c r="CK443" i="1" s="1"/>
  <c r="BY371" i="1"/>
  <c r="BZ371" i="1" s="1"/>
  <c r="CA371" i="1" s="1"/>
  <c r="CC371" i="1" s="1"/>
  <c r="BY188" i="1"/>
  <c r="CB188" i="1" s="1"/>
  <c r="CD370" i="1"/>
  <c r="CE370" i="1" s="1"/>
  <c r="CF370" i="1" s="1"/>
  <c r="CH370" i="1" s="1"/>
  <c r="CI468" i="1"/>
  <c r="CJ468" i="1" s="1"/>
  <c r="CK468" i="1" s="1"/>
  <c r="CB725" i="1"/>
  <c r="CL628" i="1"/>
  <c r="CD185" i="1"/>
  <c r="CE185" i="1" s="1"/>
  <c r="CF185" i="1" s="1"/>
  <c r="CH185" i="1" s="1"/>
  <c r="CL750" i="1"/>
  <c r="CL570" i="1"/>
  <c r="CD638" i="1"/>
  <c r="CE638" i="1" s="1"/>
  <c r="CF638" i="1" s="1"/>
  <c r="CH638" i="1" s="1"/>
  <c r="CB715" i="1"/>
  <c r="CL266" i="1"/>
  <c r="CL221" i="1"/>
  <c r="CL226" i="1"/>
  <c r="CL126" i="1"/>
  <c r="CD717" i="1"/>
  <c r="CE717" i="1" s="1"/>
  <c r="CF717" i="1" s="1"/>
  <c r="CH717" i="1" s="1"/>
  <c r="CL328" i="1"/>
  <c r="CL243" i="1"/>
  <c r="CL658" i="1"/>
  <c r="CD720" i="1"/>
  <c r="CE720" i="1" s="1"/>
  <c r="CF720" i="1" s="1"/>
  <c r="CH720" i="1" s="1"/>
  <c r="CI83" i="1"/>
  <c r="CJ83" i="1" s="1"/>
  <c r="CK83" i="1" s="1"/>
  <c r="CL196" i="1"/>
  <c r="CB330" i="1"/>
  <c r="CG64" i="1"/>
  <c r="CI86" i="1"/>
  <c r="CJ86" i="1" s="1"/>
  <c r="CK86" i="1" s="1"/>
  <c r="CI20" i="1"/>
  <c r="CJ20" i="1" s="1"/>
  <c r="CK20" i="1" s="1"/>
  <c r="CD578" i="1"/>
  <c r="CE578" i="1" s="1"/>
  <c r="CF578" i="1" s="1"/>
  <c r="CH578" i="1" s="1"/>
  <c r="CL645" i="1"/>
  <c r="CL776" i="1"/>
  <c r="CD354" i="1"/>
  <c r="CE354" i="1" s="1"/>
  <c r="CF354" i="1" s="1"/>
  <c r="CH354" i="1" s="1"/>
  <c r="CD314" i="1"/>
  <c r="CE314" i="1" s="1"/>
  <c r="CF314" i="1" s="1"/>
  <c r="CH314" i="1" s="1"/>
  <c r="BY748" i="1"/>
  <c r="CB748" i="1" s="1"/>
  <c r="CD189" i="1"/>
  <c r="CE189" i="1" s="1"/>
  <c r="CF189" i="1" s="1"/>
  <c r="CH189" i="1" s="1"/>
  <c r="BY324" i="1"/>
  <c r="CB324" i="1" s="1"/>
  <c r="CI43" i="1"/>
  <c r="CJ43" i="1" s="1"/>
  <c r="CK43" i="1" s="1"/>
  <c r="BY539" i="1"/>
  <c r="BZ539" i="1" s="1"/>
  <c r="CA539" i="1" s="1"/>
  <c r="CC539" i="1" s="1"/>
  <c r="CD654" i="1"/>
  <c r="CE654" i="1" s="1"/>
  <c r="CF654" i="1" s="1"/>
  <c r="CH654" i="1" s="1"/>
  <c r="CI453" i="1"/>
  <c r="CJ453" i="1" s="1"/>
  <c r="CK453" i="1" s="1"/>
  <c r="BT676" i="1"/>
  <c r="BU676" i="1" s="1"/>
  <c r="BV676" i="1" s="1"/>
  <c r="BX676" i="1" s="1"/>
  <c r="CD643" i="1"/>
  <c r="CE643" i="1" s="1"/>
  <c r="CF643" i="1" s="1"/>
  <c r="CH643" i="1" s="1"/>
  <c r="CI259" i="1"/>
  <c r="CJ259" i="1" s="1"/>
  <c r="CK259" i="1" s="1"/>
  <c r="CI40" i="1"/>
  <c r="CJ40" i="1" s="1"/>
  <c r="CK40" i="1" s="1"/>
  <c r="CI29" i="1"/>
  <c r="CJ29" i="1" s="1"/>
  <c r="CK29" i="1" s="1"/>
  <c r="CD725" i="1"/>
  <c r="CE725" i="1" s="1"/>
  <c r="CF725" i="1" s="1"/>
  <c r="CH725" i="1" s="1"/>
  <c r="BY424" i="1"/>
  <c r="CB424" i="1" s="1"/>
  <c r="CB595" i="1"/>
  <c r="CD181" i="1"/>
  <c r="CE181" i="1" s="1"/>
  <c r="CF181" i="1" s="1"/>
  <c r="CH181" i="1" s="1"/>
  <c r="CL749" i="1"/>
  <c r="CL681" i="1"/>
  <c r="CL310" i="1"/>
  <c r="CD704" i="1"/>
  <c r="CE704" i="1" s="1"/>
  <c r="CF704" i="1" s="1"/>
  <c r="CH704" i="1" s="1"/>
  <c r="CL222" i="1"/>
  <c r="CL841" i="1"/>
  <c r="CL162" i="1"/>
  <c r="CL27" i="1"/>
  <c r="CI73" i="1"/>
  <c r="CJ73" i="1" s="1"/>
  <c r="CK73" i="1" s="1"/>
  <c r="CL535" i="1"/>
  <c r="BW416" i="1"/>
  <c r="CL235" i="1"/>
  <c r="CB717" i="1"/>
  <c r="CL212" i="1"/>
  <c r="CL448" i="1"/>
  <c r="CI84" i="1"/>
  <c r="CJ84" i="1" s="1"/>
  <c r="CK84" i="1" s="1"/>
  <c r="CL442" i="1"/>
  <c r="CB720" i="1"/>
  <c r="CB385" i="1"/>
  <c r="CL343" i="1"/>
  <c r="CL747" i="1"/>
  <c r="CL202" i="1"/>
  <c r="CL469" i="1"/>
  <c r="CG86" i="1"/>
  <c r="CL135" i="1"/>
  <c r="CG20" i="1"/>
  <c r="CB578" i="1"/>
  <c r="CD598" i="1"/>
  <c r="CE598" i="1" s="1"/>
  <c r="CF598" i="1" s="1"/>
  <c r="CH598" i="1" s="1"/>
  <c r="CD372" i="1"/>
  <c r="CE372" i="1" s="1"/>
  <c r="CF372" i="1" s="1"/>
  <c r="CH372" i="1" s="1"/>
  <c r="CL54" i="1"/>
  <c r="BT8" i="1"/>
  <c r="BS3" i="1"/>
  <c r="BS4" i="1"/>
  <c r="CL735" i="1"/>
  <c r="CD320" i="1"/>
  <c r="CE320" i="1" s="1"/>
  <c r="CF320" i="1" s="1"/>
  <c r="CH320" i="1" s="1"/>
  <c r="CG267" i="1"/>
  <c r="CD399" i="1"/>
  <c r="CE399" i="1" s="1"/>
  <c r="CF399" i="1" s="1"/>
  <c r="CH399" i="1" s="1"/>
  <c r="CL530" i="1"/>
  <c r="CL670" i="1"/>
  <c r="CL751" i="1"/>
  <c r="CL147" i="1"/>
  <c r="CL446" i="1"/>
  <c r="CD639" i="1"/>
  <c r="CE639" i="1" s="1"/>
  <c r="CF639" i="1" s="1"/>
  <c r="CH639" i="1" s="1"/>
  <c r="CL465" i="1"/>
  <c r="CL437" i="1"/>
  <c r="CL785" i="1"/>
  <c r="CB192" i="1"/>
  <c r="BW324" i="1"/>
  <c r="CL298" i="1"/>
  <c r="CL494" i="1"/>
  <c r="BY784" i="1"/>
  <c r="CB784" i="1" s="1"/>
  <c r="CI197" i="1"/>
  <c r="CJ197" i="1" s="1"/>
  <c r="CK197" i="1" s="1"/>
  <c r="CL418" i="1"/>
  <c r="CD568" i="1"/>
  <c r="CE568" i="1" s="1"/>
  <c r="CF568" i="1" s="1"/>
  <c r="CH568" i="1" s="1"/>
  <c r="BY110" i="1"/>
  <c r="CB110" i="1" s="1"/>
  <c r="CI733" i="1"/>
  <c r="CJ733" i="1" s="1"/>
  <c r="CK733" i="1" s="1"/>
  <c r="CB100" i="1"/>
  <c r="CG692" i="1"/>
  <c r="CI642" i="1"/>
  <c r="CJ642" i="1" s="1"/>
  <c r="CK642" i="1" s="1"/>
  <c r="CL462" i="1"/>
  <c r="CG466" i="1"/>
  <c r="CB643" i="1"/>
  <c r="CG259" i="1"/>
  <c r="CG40" i="1"/>
  <c r="CG398" i="1"/>
  <c r="CL441" i="1"/>
  <c r="CL664" i="1"/>
  <c r="BY504" i="1"/>
  <c r="CB504" i="1" s="1"/>
  <c r="CG29" i="1"/>
  <c r="CD595" i="1"/>
  <c r="CE595" i="1" s="1"/>
  <c r="CF595" i="1" s="1"/>
  <c r="CH595" i="1" s="1"/>
  <c r="CI62" i="1"/>
  <c r="CJ62" i="1" s="1"/>
  <c r="CK62" i="1" s="1"/>
  <c r="CD721" i="1"/>
  <c r="CE721" i="1" s="1"/>
  <c r="CF721" i="1" s="1"/>
  <c r="CH721" i="1" s="1"/>
  <c r="CL503" i="1"/>
  <c r="CL602" i="1"/>
  <c r="CL114" i="1"/>
  <c r="CL637" i="1"/>
  <c r="CD313" i="1"/>
  <c r="CE313" i="1" s="1"/>
  <c r="CF313" i="1" s="1"/>
  <c r="CH313" i="1" s="1"/>
  <c r="CL279" i="1"/>
  <c r="CL533" i="1"/>
  <c r="CL737" i="1"/>
  <c r="CI252" i="1"/>
  <c r="CJ252" i="1" s="1"/>
  <c r="CK252" i="1" s="1"/>
  <c r="CL596" i="1"/>
  <c r="CL175" i="1"/>
  <c r="CL709" i="1"/>
  <c r="BY416" i="1"/>
  <c r="CB416" i="1" s="1"/>
  <c r="CD548" i="1"/>
  <c r="CE548" i="1" s="1"/>
  <c r="CF548" i="1" s="1"/>
  <c r="CH548" i="1" s="1"/>
  <c r="CI92" i="1"/>
  <c r="CJ92" i="1" s="1"/>
  <c r="CK92" i="1" s="1"/>
  <c r="CL381" i="1"/>
  <c r="CL516" i="1"/>
  <c r="CD385" i="1"/>
  <c r="CE385" i="1" s="1"/>
  <c r="CF385" i="1" s="1"/>
  <c r="CH385" i="1" s="1"/>
  <c r="CB296" i="1"/>
  <c r="BR4" i="1"/>
  <c r="BR3" i="1"/>
  <c r="CD198" i="1"/>
  <c r="CE198" i="1" s="1"/>
  <c r="CF198" i="1" s="1"/>
  <c r="CH198" i="1" s="1"/>
  <c r="CG74" i="1"/>
  <c r="CB346" i="1"/>
  <c r="CD586" i="1"/>
  <c r="CE586" i="1" s="1"/>
  <c r="CF586" i="1" s="1"/>
  <c r="CH586" i="1" s="1"/>
  <c r="CL522" i="1"/>
  <c r="CB407" i="1"/>
  <c r="CG807" i="1"/>
  <c r="CI267" i="1"/>
  <c r="CJ267" i="1" s="1"/>
  <c r="CK267" i="1" s="1"/>
  <c r="CD584" i="1"/>
  <c r="CE584" i="1" s="1"/>
  <c r="CF584" i="1" s="1"/>
  <c r="CH584" i="1" s="1"/>
  <c r="CB319" i="1"/>
  <c r="CB551" i="1"/>
  <c r="CL382" i="1"/>
  <c r="CL547" i="1"/>
  <c r="CL158" i="1"/>
  <c r="CD192" i="1"/>
  <c r="CE192" i="1" s="1"/>
  <c r="CF192" i="1" s="1"/>
  <c r="CH192" i="1" s="1"/>
  <c r="CL671" i="1"/>
  <c r="CL351" i="1"/>
  <c r="CB538" i="1"/>
  <c r="BY368" i="1"/>
  <c r="CB368" i="1" s="1"/>
  <c r="CL136" i="1"/>
  <c r="CD100" i="1"/>
  <c r="CE100" i="1" s="1"/>
  <c r="CF100" i="1" s="1"/>
  <c r="CH100" i="1" s="1"/>
  <c r="CI692" i="1"/>
  <c r="CJ692" i="1" s="1"/>
  <c r="CK692" i="1" s="1"/>
  <c r="CI466" i="1"/>
  <c r="CJ466" i="1" s="1"/>
  <c r="CK466" i="1" s="1"/>
  <c r="CG625" i="1"/>
  <c r="CB388" i="1"/>
  <c r="CG287" i="1"/>
  <c r="CL325" i="1"/>
  <c r="CI398" i="1"/>
  <c r="CJ398" i="1" s="1"/>
  <c r="CK398" i="1" s="1"/>
  <c r="CG660" i="1"/>
  <c r="BY512" i="1"/>
  <c r="CB512" i="1" s="1"/>
  <c r="CL777" i="1"/>
  <c r="CD299" i="1"/>
  <c r="CE299" i="1" s="1"/>
  <c r="CF299" i="1" s="1"/>
  <c r="CH299" i="1" s="1"/>
  <c r="CB722" i="1"/>
  <c r="BY229" i="1"/>
  <c r="CB229" i="1" s="1"/>
  <c r="BY148" i="1"/>
  <c r="CB148" i="1" s="1"/>
  <c r="CD656" i="1"/>
  <c r="CE656" i="1" s="1"/>
  <c r="CF656" i="1" s="1"/>
  <c r="CH656" i="1" s="1"/>
  <c r="CI74" i="1"/>
  <c r="CJ74" i="1" s="1"/>
  <c r="CK74" i="1" s="1"/>
  <c r="CL316" i="1"/>
  <c r="BW215" i="1"/>
  <c r="CL489" i="1"/>
  <c r="CB366" i="1"/>
  <c r="CI79" i="1"/>
  <c r="CJ79" i="1" s="1"/>
  <c r="CK79" i="1" s="1"/>
  <c r="CL779" i="1"/>
  <c r="CI97" i="1"/>
  <c r="CJ97" i="1" s="1"/>
  <c r="CK97" i="1" s="1"/>
  <c r="CB220" i="1"/>
  <c r="CL485" i="1"/>
  <c r="CI122" i="1"/>
  <c r="CJ122" i="1" s="1"/>
  <c r="CK122" i="1" s="1"/>
  <c r="BY516" i="1"/>
  <c r="CB516" i="1" s="1"/>
  <c r="CL610" i="1"/>
  <c r="CL461" i="1"/>
  <c r="CI51" i="1"/>
  <c r="CJ51" i="1" s="1"/>
  <c r="CK51" i="1" s="1"/>
  <c r="CL236" i="1"/>
  <c r="CL742" i="1"/>
  <c r="CL464" i="1"/>
  <c r="CL284" i="1"/>
  <c r="CB297" i="1"/>
  <c r="CI85" i="1"/>
  <c r="CJ85" i="1" s="1"/>
  <c r="CK85" i="1" s="1"/>
  <c r="CB633" i="1"/>
  <c r="CD340" i="1"/>
  <c r="CE340" i="1" s="1"/>
  <c r="CF340" i="1" s="1"/>
  <c r="CH340" i="1" s="1"/>
  <c r="CG8" i="1"/>
  <c r="CB285" i="1"/>
  <c r="CL473" i="1"/>
  <c r="CB723" i="1"/>
  <c r="CL229" i="1"/>
  <c r="CG12" i="1"/>
  <c r="CL743" i="1"/>
  <c r="CG94" i="1"/>
  <c r="CL592" i="1"/>
  <c r="CD182" i="1"/>
  <c r="CE182" i="1" s="1"/>
  <c r="CF182" i="1" s="1"/>
  <c r="CH182" i="1" s="1"/>
  <c r="CL30" i="1"/>
  <c r="CB219" i="1"/>
  <c r="BY415" i="1"/>
  <c r="CB415" i="1" s="1"/>
  <c r="CI17" i="1"/>
  <c r="CJ17" i="1" s="1"/>
  <c r="CK17" i="1" s="1"/>
  <c r="CD606" i="1"/>
  <c r="CE606" i="1" s="1"/>
  <c r="CF606" i="1" s="1"/>
  <c r="CH606" i="1" s="1"/>
  <c r="BY323" i="1"/>
  <c r="CB323" i="1" s="1"/>
  <c r="CG87" i="1"/>
  <c r="CL730" i="1"/>
  <c r="CB554" i="1"/>
  <c r="CL599" i="1"/>
  <c r="CB655" i="1"/>
  <c r="CL145" i="1"/>
  <c r="CG79" i="1"/>
  <c r="CB193" i="1"/>
  <c r="CL435" i="1"/>
  <c r="CL572" i="1"/>
  <c r="CL323" i="1"/>
  <c r="BW278" i="1"/>
  <c r="CG97" i="1"/>
  <c r="CL95" i="1"/>
  <c r="CL208" i="1"/>
  <c r="CI69" i="1"/>
  <c r="CJ69" i="1" s="1"/>
  <c r="CK69" i="1" s="1"/>
  <c r="CG18" i="1"/>
  <c r="CB329" i="1"/>
  <c r="CI500" i="1"/>
  <c r="CJ500" i="1" s="1"/>
  <c r="CK500" i="1" s="1"/>
  <c r="CI227" i="1"/>
  <c r="CJ227" i="1" s="1"/>
  <c r="CK227" i="1" s="1"/>
  <c r="CI380" i="1"/>
  <c r="CJ380" i="1" s="1"/>
  <c r="CK380" i="1" s="1"/>
  <c r="CD77" i="1"/>
  <c r="CE77" i="1" s="1"/>
  <c r="CF77" i="1" s="1"/>
  <c r="CH77" i="1" s="1"/>
  <c r="BW485" i="1"/>
  <c r="CL327" i="1"/>
  <c r="CB218" i="1"/>
  <c r="CL55" i="1"/>
  <c r="CI433" i="1"/>
  <c r="CJ433" i="1" s="1"/>
  <c r="CK433" i="1" s="1"/>
  <c r="CL33" i="1"/>
  <c r="CI257" i="1"/>
  <c r="CJ257" i="1" s="1"/>
  <c r="CK257" i="1" s="1"/>
  <c r="BY696" i="1"/>
  <c r="CB696" i="1" s="1"/>
  <c r="BY315" i="1"/>
  <c r="BZ315" i="1" s="1"/>
  <c r="CA315" i="1" s="1"/>
  <c r="CC315" i="1" s="1"/>
  <c r="BY197" i="1"/>
  <c r="CB197" i="1" s="1"/>
  <c r="CI150" i="1"/>
  <c r="CJ150" i="1" s="1"/>
  <c r="CK150" i="1" s="1"/>
  <c r="CD357" i="1"/>
  <c r="CE357" i="1" s="1"/>
  <c r="CF357" i="1" s="1"/>
  <c r="CH357" i="1" s="1"/>
  <c r="CD334" i="1"/>
  <c r="CE334" i="1" s="1"/>
  <c r="CF334" i="1" s="1"/>
  <c r="CH334" i="1" s="1"/>
  <c r="CI625" i="1"/>
  <c r="CJ625" i="1" s="1"/>
  <c r="CK625" i="1" s="1"/>
  <c r="CD723" i="1"/>
  <c r="CE723" i="1" s="1"/>
  <c r="CF723" i="1" s="1"/>
  <c r="CH723" i="1" s="1"/>
  <c r="CI12" i="1"/>
  <c r="CJ12" i="1" s="1"/>
  <c r="CK12" i="1" s="1"/>
  <c r="CB357" i="1"/>
  <c r="CG38" i="1"/>
  <c r="CL686" i="1"/>
  <c r="CG791" i="1"/>
  <c r="BY547" i="1"/>
  <c r="CB547" i="1" s="1"/>
  <c r="BY485" i="1"/>
  <c r="CB485" i="1" s="1"/>
  <c r="CL160" i="1"/>
  <c r="CD285" i="1"/>
  <c r="CE285" i="1" s="1"/>
  <c r="CF285" i="1" s="1"/>
  <c r="CH285" i="1" s="1"/>
  <c r="CD392" i="1"/>
  <c r="CE392" i="1" s="1"/>
  <c r="CF392" i="1" s="1"/>
  <c r="CH392" i="1" s="1"/>
  <c r="CD219" i="1"/>
  <c r="CE219" i="1" s="1"/>
  <c r="CF219" i="1" s="1"/>
  <c r="CH219" i="1" s="1"/>
  <c r="CL518" i="1"/>
  <c r="CI57" i="1"/>
  <c r="CJ57" i="1" s="1"/>
  <c r="CK57" i="1" s="1"/>
  <c r="CD558" i="1"/>
  <c r="CE558" i="1" s="1"/>
  <c r="CF558" i="1" s="1"/>
  <c r="CH558" i="1" s="1"/>
  <c r="CG69" i="1"/>
  <c r="CL531" i="1"/>
  <c r="CL161" i="1"/>
  <c r="CD651" i="1"/>
  <c r="CE651" i="1" s="1"/>
  <c r="CF651" i="1" s="1"/>
  <c r="CH651" i="1" s="1"/>
  <c r="CD587" i="1"/>
  <c r="CE587" i="1" s="1"/>
  <c r="CF587" i="1" s="1"/>
  <c r="CH587" i="1" s="1"/>
  <c r="CL705" i="1"/>
  <c r="BY782" i="1"/>
  <c r="CB782" i="1" s="1"/>
  <c r="BT615" i="1"/>
  <c r="BW615" i="1" s="1"/>
  <c r="CL404" i="1"/>
  <c r="CI507" i="1"/>
  <c r="CJ507" i="1" s="1"/>
  <c r="CK507" i="1" s="1"/>
  <c r="BY661" i="1"/>
  <c r="CB661" i="1" s="1"/>
  <c r="CG257" i="1"/>
  <c r="CL699" i="1"/>
  <c r="CL685" i="1"/>
  <c r="CL34" i="1"/>
  <c r="CI504" i="1"/>
  <c r="CJ504" i="1" s="1"/>
  <c r="CK504" i="1" s="1"/>
  <c r="BY215" i="1"/>
  <c r="CB215" i="1" s="1"/>
  <c r="CD296" i="1"/>
  <c r="CE296" i="1" s="1"/>
  <c r="CF296" i="1" s="1"/>
  <c r="CH296" i="1" s="1"/>
  <c r="CD407" i="1"/>
  <c r="CE407" i="1" s="1"/>
  <c r="CF407" i="1" s="1"/>
  <c r="CH407" i="1" s="1"/>
  <c r="CI807" i="1"/>
  <c r="CJ807" i="1" s="1"/>
  <c r="CK807" i="1" s="1"/>
  <c r="CD220" i="1"/>
  <c r="CE220" i="1" s="1"/>
  <c r="CF220" i="1" s="1"/>
  <c r="CH220" i="1" s="1"/>
  <c r="CB181" i="1"/>
  <c r="CL164" i="1"/>
  <c r="CD655" i="1"/>
  <c r="CE655" i="1" s="1"/>
  <c r="CF655" i="1" s="1"/>
  <c r="CH655" i="1" s="1"/>
  <c r="BY278" i="1"/>
  <c r="CB278" i="1" s="1"/>
  <c r="CI18" i="1"/>
  <c r="CJ18" i="1" s="1"/>
  <c r="CK18" i="1" s="1"/>
  <c r="CI60" i="1"/>
  <c r="CJ60" i="1" s="1"/>
  <c r="CK60" i="1" s="1"/>
  <c r="CL609" i="1"/>
  <c r="CD297" i="1"/>
  <c r="CE297" i="1" s="1"/>
  <c r="CF297" i="1" s="1"/>
  <c r="CH297" i="1" s="1"/>
  <c r="CD633" i="1"/>
  <c r="CE633" i="1" s="1"/>
  <c r="CF633" i="1" s="1"/>
  <c r="CH633" i="1" s="1"/>
  <c r="CI8" i="1"/>
  <c r="CJ8" i="1" s="1"/>
  <c r="CK8" i="1" s="1"/>
  <c r="CL788" i="1"/>
  <c r="CL425" i="1"/>
  <c r="CD569" i="1"/>
  <c r="CE569" i="1" s="1"/>
  <c r="CF569" i="1" s="1"/>
  <c r="CH569" i="1" s="1"/>
  <c r="CD652" i="1"/>
  <c r="CE652" i="1" s="1"/>
  <c r="CF652" i="1" s="1"/>
  <c r="CH652" i="1" s="1"/>
  <c r="CL562" i="1"/>
  <c r="CD179" i="1"/>
  <c r="CE179" i="1" s="1"/>
  <c r="CF179" i="1" s="1"/>
  <c r="CH179" i="1" s="1"/>
  <c r="CD307" i="1"/>
  <c r="CE307" i="1" s="1"/>
  <c r="CF307" i="1" s="1"/>
  <c r="CH307" i="1" s="1"/>
  <c r="CL183" i="1"/>
  <c r="CL467" i="1"/>
  <c r="CB707" i="1"/>
  <c r="CB242" i="1"/>
  <c r="CG15" i="1"/>
  <c r="CL451" i="1"/>
  <c r="CL430" i="1"/>
  <c r="CI108" i="1"/>
  <c r="CJ108" i="1" s="1"/>
  <c r="CK108" i="1" s="1"/>
  <c r="CD406" i="1"/>
  <c r="CE406" i="1" s="1"/>
  <c r="CF406" i="1" s="1"/>
  <c r="CH406" i="1" s="1"/>
  <c r="CB392" i="1"/>
  <c r="CI842" i="1"/>
  <c r="CJ842" i="1" s="1"/>
  <c r="CK842" i="1" s="1"/>
  <c r="CL801" i="1"/>
  <c r="CL744" i="1"/>
  <c r="CL618" i="1"/>
  <c r="CD190" i="1"/>
  <c r="CE190" i="1" s="1"/>
  <c r="CF190" i="1" s="1"/>
  <c r="CH190" i="1" s="1"/>
  <c r="CL444" i="1"/>
  <c r="CL490" i="1"/>
  <c r="CB312" i="1"/>
  <c r="CL24" i="1"/>
  <c r="CL169" i="1"/>
  <c r="CG49" i="1"/>
  <c r="CL710" i="1"/>
  <c r="CD770" i="1"/>
  <c r="CE770" i="1" s="1"/>
  <c r="CF770" i="1" s="1"/>
  <c r="CH770" i="1" s="1"/>
  <c r="CL449" i="1"/>
  <c r="CL663" i="1"/>
  <c r="CI65" i="1"/>
  <c r="CJ65" i="1" s="1"/>
  <c r="CK65" i="1" s="1"/>
  <c r="CL758" i="1"/>
  <c r="CL111" i="1"/>
  <c r="CD170" i="1"/>
  <c r="CE170" i="1" s="1"/>
  <c r="CF170" i="1" s="1"/>
  <c r="CH170" i="1" s="1"/>
  <c r="CB558" i="1"/>
  <c r="CL510" i="1"/>
  <c r="CL178" i="1"/>
  <c r="CD273" i="1"/>
  <c r="CE273" i="1" s="1"/>
  <c r="CF273" i="1" s="1"/>
  <c r="CH273" i="1" s="1"/>
  <c r="CL482" i="1"/>
  <c r="CB651" i="1"/>
  <c r="CL512" i="1"/>
  <c r="BY758" i="1"/>
  <c r="CB758" i="1" s="1"/>
  <c r="BY718" i="1"/>
  <c r="BZ718" i="1" s="1"/>
  <c r="CA718" i="1" s="1"/>
  <c r="CC718" i="1" s="1"/>
  <c r="BY221" i="1"/>
  <c r="CB221" i="1" s="1"/>
  <c r="CI479" i="1"/>
  <c r="CJ479" i="1" s="1"/>
  <c r="CK479" i="1" s="1"/>
  <c r="CI104" i="1"/>
  <c r="CJ104" i="1" s="1"/>
  <c r="CK104" i="1" s="1"/>
  <c r="CL228" i="1"/>
  <c r="CL532" i="1"/>
  <c r="CD303" i="1"/>
  <c r="CE303" i="1" s="1"/>
  <c r="CF303" i="1" s="1"/>
  <c r="CH303" i="1" s="1"/>
  <c r="CI207" i="1"/>
  <c r="CJ207" i="1" s="1"/>
  <c r="CK207" i="1" s="1"/>
  <c r="BY622" i="1"/>
  <c r="BZ622" i="1" s="1"/>
  <c r="CA622" i="1" s="1"/>
  <c r="CC622" i="1" s="1"/>
  <c r="CD557" i="1"/>
  <c r="CE557" i="1" s="1"/>
  <c r="CF557" i="1" s="1"/>
  <c r="CH557" i="1" s="1"/>
  <c r="BY211" i="1"/>
  <c r="CB211" i="1" s="1"/>
  <c r="BY337" i="1"/>
  <c r="CB337" i="1" s="1"/>
  <c r="CD366" i="1"/>
  <c r="CE366" i="1" s="1"/>
  <c r="CF366" i="1" s="1"/>
  <c r="CH366" i="1" s="1"/>
  <c r="CD346" i="1"/>
  <c r="CE346" i="1" s="1"/>
  <c r="CF346" i="1" s="1"/>
  <c r="CH346" i="1" s="1"/>
  <c r="CD319" i="1"/>
  <c r="CE319" i="1" s="1"/>
  <c r="CF319" i="1" s="1"/>
  <c r="CH319" i="1" s="1"/>
  <c r="CI791" i="1"/>
  <c r="CJ791" i="1" s="1"/>
  <c r="CK791" i="1" s="1"/>
  <c r="CD388" i="1"/>
  <c r="CE388" i="1" s="1"/>
  <c r="CF388" i="1" s="1"/>
  <c r="CH388" i="1" s="1"/>
  <c r="CL661" i="1"/>
  <c r="CD565" i="1"/>
  <c r="CE565" i="1" s="1"/>
  <c r="CF565" i="1" s="1"/>
  <c r="CH565" i="1" s="1"/>
  <c r="CL511" i="1"/>
  <c r="CI94" i="1"/>
  <c r="CJ94" i="1" s="1"/>
  <c r="CK94" i="1" s="1"/>
  <c r="CD342" i="1"/>
  <c r="CE342" i="1" s="1"/>
  <c r="CF342" i="1" s="1"/>
  <c r="CH342" i="1" s="1"/>
  <c r="CL188" i="1"/>
  <c r="CI87" i="1"/>
  <c r="CJ87" i="1" s="1"/>
  <c r="CK87" i="1" s="1"/>
  <c r="CD554" i="1"/>
  <c r="CE554" i="1" s="1"/>
  <c r="CF554" i="1" s="1"/>
  <c r="CH554" i="1" s="1"/>
  <c r="CD193" i="1"/>
  <c r="CE193" i="1" s="1"/>
  <c r="CF193" i="1" s="1"/>
  <c r="CH193" i="1" s="1"/>
  <c r="CL424" i="1"/>
  <c r="CB334" i="1"/>
  <c r="CD329" i="1"/>
  <c r="CE329" i="1" s="1"/>
  <c r="CF329" i="1" s="1"/>
  <c r="CH329" i="1" s="1"/>
  <c r="CL505" i="1"/>
  <c r="CD218" i="1"/>
  <c r="CE218" i="1" s="1"/>
  <c r="CF218" i="1" s="1"/>
  <c r="CH218" i="1" s="1"/>
  <c r="CL477" i="1"/>
  <c r="CD237" i="1"/>
  <c r="CE237" i="1" s="1"/>
  <c r="CF237" i="1" s="1"/>
  <c r="CH237" i="1" s="1"/>
  <c r="CL26" i="1"/>
  <c r="CL665" i="1"/>
  <c r="CD707" i="1"/>
  <c r="CE707" i="1" s="1"/>
  <c r="CF707" i="1" s="1"/>
  <c r="CH707" i="1" s="1"/>
  <c r="CD242" i="1"/>
  <c r="CE242" i="1" s="1"/>
  <c r="CF242" i="1" s="1"/>
  <c r="CH242" i="1" s="1"/>
  <c r="BY6" i="1"/>
  <c r="CL379" i="1"/>
  <c r="CL427" i="1"/>
  <c r="CI15" i="1"/>
  <c r="CJ15" i="1" s="1"/>
  <c r="CK15" i="1" s="1"/>
  <c r="CD597" i="1"/>
  <c r="CE597" i="1" s="1"/>
  <c r="CF597" i="1" s="1"/>
  <c r="CH597" i="1" s="1"/>
  <c r="CL350" i="1"/>
  <c r="CD339" i="1"/>
  <c r="CE339" i="1" s="1"/>
  <c r="CF339" i="1" s="1"/>
  <c r="CH339" i="1" s="1"/>
  <c r="CL780" i="1"/>
  <c r="CL324" i="1"/>
  <c r="CD312" i="1"/>
  <c r="CE312" i="1" s="1"/>
  <c r="CF312" i="1" s="1"/>
  <c r="CH312" i="1" s="1"/>
  <c r="CL537" i="1"/>
  <c r="CI49" i="1"/>
  <c r="CJ49" i="1" s="1"/>
  <c r="CK49" i="1" s="1"/>
  <c r="CG103" i="1"/>
  <c r="CI78" i="1"/>
  <c r="CJ78" i="1" s="1"/>
  <c r="CK78" i="1" s="1"/>
  <c r="CL204" i="1"/>
  <c r="CI76" i="1"/>
  <c r="CJ76" i="1" s="1"/>
  <c r="CK76" i="1" s="1"/>
  <c r="CD648" i="1"/>
  <c r="CE648" i="1" s="1"/>
  <c r="CF648" i="1" s="1"/>
  <c r="CH648" i="1" s="1"/>
  <c r="CD187" i="1"/>
  <c r="CE187" i="1" s="1"/>
  <c r="CF187" i="1" s="1"/>
  <c r="CH187" i="1" s="1"/>
  <c r="CB273" i="1"/>
  <c r="CL238" i="1"/>
  <c r="CL498" i="1"/>
  <c r="BY590" i="1"/>
  <c r="BZ590" i="1" s="1"/>
  <c r="CA590" i="1" s="1"/>
  <c r="CC590" i="1" s="1"/>
  <c r="BW758" i="1"/>
  <c r="CG405" i="1"/>
  <c r="BY724" i="1"/>
  <c r="BZ724" i="1" s="1"/>
  <c r="CA724" i="1" s="1"/>
  <c r="CC724" i="1" s="1"/>
  <c r="BY114" i="1"/>
  <c r="CB114" i="1" s="1"/>
  <c r="CL355" i="1"/>
  <c r="CG104" i="1"/>
  <c r="CI790" i="1"/>
  <c r="CJ790" i="1" s="1"/>
  <c r="CK790" i="1" s="1"/>
  <c r="CL843" i="1"/>
  <c r="BY409" i="1"/>
  <c r="BZ409" i="1" s="1"/>
  <c r="CA409" i="1" s="1"/>
  <c r="CC409" i="1" s="1"/>
  <c r="CL620" i="1"/>
  <c r="CI116" i="1"/>
  <c r="CJ116" i="1" s="1"/>
  <c r="CK116" i="1" s="1"/>
  <c r="CD200" i="1"/>
  <c r="CE200" i="1" s="1"/>
  <c r="CF200" i="1" s="1"/>
  <c r="CH200" i="1" s="1"/>
  <c r="BY400" i="1"/>
  <c r="CB400" i="1" s="1"/>
  <c r="CL782" i="1"/>
  <c r="CL21" i="1"/>
  <c r="CD607" i="1"/>
  <c r="CE607" i="1" s="1"/>
  <c r="CF607" i="1" s="1"/>
  <c r="CH607" i="1" s="1"/>
  <c r="CL149" i="1"/>
  <c r="CD722" i="1"/>
  <c r="CE722" i="1" s="1"/>
  <c r="CF722" i="1" s="1"/>
  <c r="CH722" i="1" s="1"/>
  <c r="CL526" i="1"/>
  <c r="CL75" i="1"/>
  <c r="CD583" i="1"/>
  <c r="CE583" i="1" s="1"/>
  <c r="CF583" i="1" s="1"/>
  <c r="CH583" i="1" s="1"/>
  <c r="CL317" i="1"/>
  <c r="CI71" i="1"/>
  <c r="CJ71" i="1" s="1"/>
  <c r="CK71" i="1" s="1"/>
  <c r="CD332" i="1"/>
  <c r="CE332" i="1" s="1"/>
  <c r="CF332" i="1" s="1"/>
  <c r="CH332" i="1" s="1"/>
  <c r="CL679" i="1"/>
  <c r="CI101" i="1"/>
  <c r="CJ101" i="1" s="1"/>
  <c r="CK101" i="1" s="1"/>
  <c r="CL403" i="1"/>
  <c r="CL608" i="1"/>
  <c r="CI23" i="1"/>
  <c r="CJ23" i="1" s="1"/>
  <c r="CK23" i="1" s="1"/>
  <c r="CI59" i="1"/>
  <c r="CJ59" i="1" s="1"/>
  <c r="CK59" i="1" s="1"/>
  <c r="BY486" i="1"/>
  <c r="CB486" i="1" s="1"/>
  <c r="CL194" i="1"/>
  <c r="CL761" i="1"/>
  <c r="CB603" i="1"/>
  <c r="CB601" i="1"/>
  <c r="CG56" i="1"/>
  <c r="CL426" i="1"/>
  <c r="CI103" i="1"/>
  <c r="CJ103" i="1" s="1"/>
  <c r="CK103" i="1" s="1"/>
  <c r="CL394" i="1"/>
  <c r="CB555" i="1"/>
  <c r="CG70" i="1"/>
  <c r="CL727" i="1"/>
  <c r="CI263" i="1"/>
  <c r="CJ263" i="1" s="1"/>
  <c r="CK263" i="1" s="1"/>
  <c r="CG88" i="1"/>
  <c r="CB282" i="1"/>
  <c r="CI405" i="1"/>
  <c r="CJ405" i="1" s="1"/>
  <c r="CK405" i="1" s="1"/>
  <c r="CL224" i="1"/>
  <c r="BW689" i="1"/>
  <c r="CD566" i="1"/>
  <c r="CE566" i="1" s="1"/>
  <c r="CF566" i="1" s="1"/>
  <c r="CH566" i="1" s="1"/>
  <c r="CG790" i="1"/>
  <c r="CG214" i="1"/>
  <c r="CL549" i="1"/>
  <c r="BY214" i="1"/>
  <c r="CB214" i="1" s="1"/>
  <c r="CL577" i="1"/>
  <c r="CL700" i="1"/>
  <c r="CD384" i="1"/>
  <c r="CE384" i="1" s="1"/>
  <c r="CF384" i="1" s="1"/>
  <c r="CH384" i="1" s="1"/>
  <c r="CL217" i="1"/>
  <c r="CI412" i="1"/>
  <c r="CJ412" i="1" s="1"/>
  <c r="CK412" i="1" s="1"/>
  <c r="CG173" i="1"/>
  <c r="BY298" i="1"/>
  <c r="CB298" i="1" s="1"/>
  <c r="CL474" i="1"/>
  <c r="CB607" i="1"/>
  <c r="CD581" i="1"/>
  <c r="CE581" i="1" s="1"/>
  <c r="CF581" i="1" s="1"/>
  <c r="CH581" i="1" s="1"/>
  <c r="CD302" i="1"/>
  <c r="CE302" i="1" s="1"/>
  <c r="CF302" i="1" s="1"/>
  <c r="CH302" i="1" s="1"/>
  <c r="CI45" i="1"/>
  <c r="CJ45" i="1" s="1"/>
  <c r="CK45" i="1" s="1"/>
  <c r="CL703" i="1"/>
  <c r="CB544" i="1"/>
  <c r="CD450" i="1"/>
  <c r="CE450" i="1" s="1"/>
  <c r="CF450" i="1" s="1"/>
  <c r="CH450" i="1" s="1"/>
  <c r="CB283" i="1"/>
  <c r="CL713" i="1"/>
  <c r="CL205" i="1"/>
  <c r="CB591" i="1"/>
  <c r="CG72" i="1"/>
  <c r="CD603" i="1"/>
  <c r="CE603" i="1" s="1"/>
  <c r="CF603" i="1" s="1"/>
  <c r="CH603" i="1" s="1"/>
  <c r="CL341" i="1"/>
  <c r="CD601" i="1"/>
  <c r="CE601" i="1" s="1"/>
  <c r="CF601" i="1" s="1"/>
  <c r="CH601" i="1" s="1"/>
  <c r="CI56" i="1"/>
  <c r="CJ56" i="1" s="1"/>
  <c r="CK56" i="1" s="1"/>
  <c r="CL683" i="1"/>
  <c r="CL376" i="1"/>
  <c r="CL286" i="1"/>
  <c r="CD289" i="1"/>
  <c r="CE289" i="1" s="1"/>
  <c r="CF289" i="1" s="1"/>
  <c r="CH289" i="1" s="1"/>
  <c r="CL66" i="1"/>
  <c r="CI52" i="1"/>
  <c r="CJ52" i="1" s="1"/>
  <c r="CK52" i="1" s="1"/>
  <c r="CL528" i="1"/>
  <c r="CD555" i="1"/>
  <c r="CE555" i="1" s="1"/>
  <c r="CF555" i="1" s="1"/>
  <c r="CH555" i="1" s="1"/>
  <c r="CI70" i="1"/>
  <c r="CJ70" i="1" s="1"/>
  <c r="CK70" i="1" s="1"/>
  <c r="CL163" i="1"/>
  <c r="CB635" i="1"/>
  <c r="CI88" i="1"/>
  <c r="CJ88" i="1" s="1"/>
  <c r="CK88" i="1" s="1"/>
  <c r="CB353" i="1"/>
  <c r="CL246" i="1"/>
  <c r="CD282" i="1"/>
  <c r="CE282" i="1" s="1"/>
  <c r="CF282" i="1" s="1"/>
  <c r="CH282" i="1" s="1"/>
  <c r="CL129" i="1"/>
  <c r="CD580" i="1"/>
  <c r="CE580" i="1" s="1"/>
  <c r="CF580" i="1" s="1"/>
  <c r="CH580" i="1" s="1"/>
  <c r="BY689" i="1"/>
  <c r="CB689" i="1" s="1"/>
  <c r="CL621" i="1"/>
  <c r="CI214" i="1"/>
  <c r="CJ214" i="1" s="1"/>
  <c r="CK214" i="1" s="1"/>
  <c r="CL613" i="1"/>
  <c r="CL694" i="1"/>
  <c r="BY768" i="1"/>
  <c r="CB768" i="1" s="1"/>
  <c r="CD364" i="1"/>
  <c r="CE364" i="1" s="1"/>
  <c r="CF364" i="1" s="1"/>
  <c r="CH364" i="1" s="1"/>
  <c r="CG672" i="1"/>
  <c r="CI173" i="1"/>
  <c r="CJ173" i="1" s="1"/>
  <c r="CK173" i="1" s="1"/>
  <c r="CL731" i="1"/>
  <c r="BY398" i="1"/>
  <c r="CB398" i="1" s="1"/>
  <c r="CB561" i="1"/>
  <c r="BW564" i="1"/>
  <c r="CL772" i="1"/>
  <c r="CB581" i="1"/>
  <c r="CD544" i="1"/>
  <c r="CE544" i="1" s="1"/>
  <c r="CF544" i="1" s="1"/>
  <c r="CH544" i="1" s="1"/>
  <c r="CB450" i="1"/>
  <c r="CD653" i="1"/>
  <c r="CE653" i="1" s="1"/>
  <c r="CF653" i="1" s="1"/>
  <c r="CH653" i="1" s="1"/>
  <c r="CB574" i="1"/>
  <c r="CG53" i="1"/>
  <c r="CB180" i="1"/>
  <c r="CD283" i="1"/>
  <c r="CE283" i="1" s="1"/>
  <c r="CF283" i="1" s="1"/>
  <c r="CH283" i="1" s="1"/>
  <c r="CL356" i="1"/>
  <c r="CL447" i="1"/>
  <c r="CL698" i="1"/>
  <c r="CB386" i="1"/>
  <c r="CD591" i="1"/>
  <c r="CE591" i="1" s="1"/>
  <c r="CF591" i="1" s="1"/>
  <c r="CH591" i="1" s="1"/>
  <c r="CD719" i="1"/>
  <c r="CE719" i="1" s="1"/>
  <c r="CF719" i="1" s="1"/>
  <c r="CH719" i="1" s="1"/>
  <c r="CL109" i="1"/>
  <c r="CI102" i="1"/>
  <c r="CJ102" i="1" s="1"/>
  <c r="CK102" i="1" s="1"/>
  <c r="CI72" i="1"/>
  <c r="CJ72" i="1" s="1"/>
  <c r="CK72" i="1" s="1"/>
  <c r="CL677" i="1"/>
  <c r="CL360" i="1"/>
  <c r="CL411" i="1"/>
  <c r="CG14" i="1"/>
  <c r="CL408" i="1"/>
  <c r="CL318" i="1"/>
  <c r="CL764" i="1"/>
  <c r="CL515" i="1"/>
  <c r="CD331" i="1"/>
  <c r="CE331" i="1" s="1"/>
  <c r="CF331" i="1" s="1"/>
  <c r="CH331" i="1" s="1"/>
  <c r="CB289" i="1"/>
  <c r="CG52" i="1"/>
  <c r="CL118" i="1"/>
  <c r="CL463" i="1"/>
  <c r="CL420" i="1"/>
  <c r="CL223" i="1"/>
  <c r="CL769" i="1"/>
  <c r="CI42" i="1"/>
  <c r="CJ42" i="1" s="1"/>
  <c r="CK42" i="1" s="1"/>
  <c r="CD635" i="1"/>
  <c r="CE635" i="1" s="1"/>
  <c r="CF635" i="1" s="1"/>
  <c r="CH635" i="1" s="1"/>
  <c r="CB650" i="1"/>
  <c r="CB624" i="1"/>
  <c r="CL794" i="1"/>
  <c r="CD353" i="1"/>
  <c r="CE353" i="1" s="1"/>
  <c r="CF353" i="1" s="1"/>
  <c r="CH353" i="1" s="1"/>
  <c r="CB295" i="1"/>
  <c r="BT230" i="1"/>
  <c r="BU230" i="1" s="1"/>
  <c r="BV230" i="1" s="1"/>
  <c r="BX230" i="1" s="1"/>
  <c r="BX4" i="1" s="1"/>
  <c r="CI68" i="1"/>
  <c r="CJ68" i="1" s="1"/>
  <c r="CK68" i="1" s="1"/>
  <c r="BW300" i="1"/>
  <c r="CG258" i="1"/>
  <c r="CB580" i="1"/>
  <c r="BW768" i="1"/>
  <c r="BY528" i="1"/>
  <c r="CB528" i="1" s="1"/>
  <c r="CB321" i="1"/>
  <c r="CB364" i="1"/>
  <c r="CI672" i="1"/>
  <c r="CJ672" i="1" s="1"/>
  <c r="CK672" i="1" s="1"/>
  <c r="CL365" i="1"/>
  <c r="CD561" i="1"/>
  <c r="CE561" i="1" s="1"/>
  <c r="CF561" i="1" s="1"/>
  <c r="CH561" i="1" s="1"/>
  <c r="BY564" i="1"/>
  <c r="BZ564" i="1" s="1"/>
  <c r="CA564" i="1" s="1"/>
  <c r="CC564" i="1" s="1"/>
  <c r="CG458" i="1"/>
  <c r="CL480" i="1"/>
  <c r="CD538" i="1"/>
  <c r="CE538" i="1" s="1"/>
  <c r="CF538" i="1" s="1"/>
  <c r="CH538" i="1" s="1"/>
  <c r="CI14" i="1"/>
  <c r="CJ14" i="1" s="1"/>
  <c r="CK14" i="1" s="1"/>
  <c r="CD650" i="1"/>
  <c r="CE650" i="1" s="1"/>
  <c r="CF650" i="1" s="1"/>
  <c r="CH650" i="1" s="1"/>
  <c r="CD593" i="1"/>
  <c r="CE593" i="1" s="1"/>
  <c r="CF593" i="1" s="1"/>
  <c r="CH593" i="1" s="1"/>
  <c r="CD624" i="1"/>
  <c r="CE624" i="1" s="1"/>
  <c r="CF624" i="1" s="1"/>
  <c r="CH624" i="1" s="1"/>
  <c r="CD295" i="1"/>
  <c r="CE295" i="1" s="1"/>
  <c r="CF295" i="1" s="1"/>
  <c r="CH295" i="1" s="1"/>
  <c r="BY300" i="1"/>
  <c r="BZ300" i="1" s="1"/>
  <c r="CA300" i="1" s="1"/>
  <c r="CC300" i="1" s="1"/>
  <c r="CI258" i="1"/>
  <c r="CJ258" i="1" s="1"/>
  <c r="CK258" i="1" s="1"/>
  <c r="BT712" i="1"/>
  <c r="BW712" i="1" s="1"/>
  <c r="CD589" i="1"/>
  <c r="CE589" i="1" s="1"/>
  <c r="CF589" i="1" s="1"/>
  <c r="CH589" i="1" s="1"/>
  <c r="CD321" i="1"/>
  <c r="CE321" i="1" s="1"/>
  <c r="CF321" i="1" s="1"/>
  <c r="CH321" i="1" s="1"/>
  <c r="BY526" i="1"/>
  <c r="CB526" i="1" s="1"/>
  <c r="BY509" i="1"/>
  <c r="CB509" i="1" s="1"/>
  <c r="CI458" i="1"/>
  <c r="CJ458" i="1" s="1"/>
  <c r="CK458" i="1" s="1"/>
  <c r="CI38" i="1"/>
  <c r="CJ38" i="1" s="1"/>
  <c r="CK38" i="1" s="1"/>
  <c r="CD551" i="1"/>
  <c r="CE551" i="1" s="1"/>
  <c r="CF551" i="1" s="1"/>
  <c r="CH551" i="1" s="1"/>
  <c r="CI287" i="1"/>
  <c r="CJ287" i="1" s="1"/>
  <c r="CK287" i="1" s="1"/>
  <c r="BY393" i="1"/>
  <c r="CB393" i="1" s="1"/>
  <c r="CI660" i="1"/>
  <c r="CJ660" i="1" s="1"/>
  <c r="CK660" i="1" s="1"/>
  <c r="CB656" i="1"/>
  <c r="CL662" i="1"/>
  <c r="CL667" i="1"/>
  <c r="CL209" i="1"/>
  <c r="CD322" i="1"/>
  <c r="CE322" i="1" s="1"/>
  <c r="CF322" i="1" s="1"/>
  <c r="CH322" i="1" s="1"/>
  <c r="CL123" i="1"/>
  <c r="CD649" i="1"/>
  <c r="CE649" i="1" s="1"/>
  <c r="CF649" i="1" s="1"/>
  <c r="CH649" i="1" s="1"/>
  <c r="CD280" i="1"/>
  <c r="CE280" i="1" s="1"/>
  <c r="CF280" i="1" s="1"/>
  <c r="CH280" i="1" s="1"/>
  <c r="CD186" i="1"/>
  <c r="CE186" i="1" s="1"/>
  <c r="CF186" i="1" s="1"/>
  <c r="CH186" i="1" s="1"/>
  <c r="CB653" i="1"/>
  <c r="CD574" i="1"/>
  <c r="CE574" i="1" s="1"/>
  <c r="CF574" i="1" s="1"/>
  <c r="CH574" i="1" s="1"/>
  <c r="CI53" i="1"/>
  <c r="CJ53" i="1" s="1"/>
  <c r="CK53" i="1" s="1"/>
  <c r="CD180" i="1"/>
  <c r="CE180" i="1" s="1"/>
  <c r="CF180" i="1" s="1"/>
  <c r="CH180" i="1" s="1"/>
  <c r="BY745" i="1"/>
  <c r="CB745" i="1" s="1"/>
  <c r="CD386" i="1"/>
  <c r="CE386" i="1" s="1"/>
  <c r="CF386" i="1" s="1"/>
  <c r="CH386" i="1" s="1"/>
  <c r="CL166" i="1"/>
  <c r="CD308" i="1"/>
  <c r="CE308" i="1" s="1"/>
  <c r="CF308" i="1" s="1"/>
  <c r="CH308" i="1" s="1"/>
  <c r="CL740" i="1"/>
  <c r="CB708" i="1"/>
  <c r="CI105" i="1"/>
  <c r="CJ105" i="1" s="1"/>
  <c r="CK105" i="1" s="1"/>
  <c r="CD553" i="1"/>
  <c r="CE553" i="1" s="1"/>
  <c r="CF553" i="1" s="1"/>
  <c r="CH553" i="1" s="1"/>
  <c r="CB280" i="1"/>
  <c r="CD647" i="1"/>
  <c r="CE647" i="1" s="1"/>
  <c r="CF647" i="1" s="1"/>
  <c r="CH647" i="1" s="1"/>
  <c r="CL90" i="1"/>
  <c r="CL657" i="1"/>
  <c r="CB186" i="1"/>
  <c r="CL171" i="1"/>
  <c r="CL244" i="1"/>
  <c r="CL729" i="1"/>
  <c r="BY279" i="1"/>
  <c r="CB279" i="1" s="1"/>
  <c r="CD716" i="1"/>
  <c r="CE716" i="1" s="1"/>
  <c r="CF716" i="1" s="1"/>
  <c r="CH716" i="1" s="1"/>
  <c r="CD559" i="1"/>
  <c r="CE559" i="1" s="1"/>
  <c r="CF559" i="1" s="1"/>
  <c r="CH559" i="1" s="1"/>
  <c r="BW745" i="1"/>
  <c r="CL177" i="1"/>
  <c r="CL452" i="1"/>
  <c r="CL470" i="1"/>
  <c r="CL210" i="1"/>
  <c r="CL636" i="1"/>
  <c r="CL762" i="1"/>
  <c r="CL491" i="1"/>
  <c r="CI106" i="1"/>
  <c r="CJ106" i="1" s="1"/>
  <c r="CK106" i="1" s="1"/>
  <c r="CL575" i="1"/>
  <c r="CI61" i="1"/>
  <c r="CJ61" i="1" s="1"/>
  <c r="CK61" i="1" s="1"/>
  <c r="CB702" i="1"/>
  <c r="CD359" i="1"/>
  <c r="CE359" i="1" s="1"/>
  <c r="CF359" i="1" s="1"/>
  <c r="CH359" i="1" s="1"/>
  <c r="CL293" i="1"/>
  <c r="CB225" i="1"/>
  <c r="CD333" i="1"/>
  <c r="CE333" i="1" s="1"/>
  <c r="CF333" i="1" s="1"/>
  <c r="CH333" i="1" s="1"/>
  <c r="CL689" i="1"/>
  <c r="CB550" i="1"/>
  <c r="CL157" i="1"/>
  <c r="CL668" i="1"/>
  <c r="CL401" i="1"/>
  <c r="CB593" i="1"/>
  <c r="CB374" i="1"/>
  <c r="CL774" i="1"/>
  <c r="CL275" i="1"/>
  <c r="CL215" i="1"/>
  <c r="CL460" i="1"/>
  <c r="CB373" i="1"/>
  <c r="CI754" i="1"/>
  <c r="CJ754" i="1" s="1"/>
  <c r="CK754" i="1" s="1"/>
  <c r="BW274" i="1"/>
  <c r="BY761" i="1"/>
  <c r="CB761" i="1" s="1"/>
  <c r="CL541" i="1"/>
  <c r="CB589" i="1"/>
  <c r="CI454" i="1"/>
  <c r="CJ454" i="1" s="1"/>
  <c r="CK454" i="1" s="1"/>
  <c r="CI234" i="1"/>
  <c r="CJ234" i="1" s="1"/>
  <c r="CK234" i="1" s="1"/>
  <c r="CI778" i="1"/>
  <c r="CJ778" i="1" s="1"/>
  <c r="CK778" i="1" s="1"/>
  <c r="CI478" i="1"/>
  <c r="CJ478" i="1" s="1"/>
  <c r="CK478" i="1" s="1"/>
  <c r="BY460" i="1"/>
  <c r="CB460" i="1" s="1"/>
  <c r="CL753" i="1"/>
  <c r="CL110" i="1"/>
  <c r="BY380" i="1"/>
  <c r="CB380" i="1" s="1"/>
  <c r="CI421" i="1"/>
  <c r="CJ421" i="1" s="1"/>
  <c r="CK421" i="1" s="1"/>
  <c r="BY760" i="1"/>
  <c r="CB760" i="1" s="1"/>
  <c r="CD292" i="1"/>
  <c r="CE292" i="1" s="1"/>
  <c r="CF292" i="1" s="1"/>
  <c r="CH292" i="1" s="1"/>
  <c r="CL172" i="1"/>
  <c r="CG11" i="1"/>
  <c r="CI96" i="1"/>
  <c r="CJ96" i="1" s="1"/>
  <c r="CK96" i="1" s="1"/>
  <c r="CL151" i="1"/>
  <c r="CL434" i="1"/>
  <c r="CD708" i="1"/>
  <c r="CE708" i="1" s="1"/>
  <c r="CF708" i="1" s="1"/>
  <c r="CH708" i="1" s="1"/>
  <c r="CL417" i="1"/>
  <c r="CD646" i="1"/>
  <c r="CE646" i="1" s="1"/>
  <c r="CF646" i="1" s="1"/>
  <c r="CH646" i="1" s="1"/>
  <c r="CB387" i="1"/>
  <c r="CB347" i="1"/>
  <c r="CG10" i="1"/>
  <c r="CB540" i="1"/>
  <c r="CI80" i="1"/>
  <c r="CJ80" i="1" s="1"/>
  <c r="CK80" i="1" s="1"/>
  <c r="CL605" i="1"/>
  <c r="CD702" i="1"/>
  <c r="CE702" i="1" s="1"/>
  <c r="CF702" i="1" s="1"/>
  <c r="CH702" i="1" s="1"/>
  <c r="CI9" i="1"/>
  <c r="CJ9" i="1" s="1"/>
  <c r="CK9" i="1" s="1"/>
  <c r="CB594" i="1"/>
  <c r="BY753" i="1"/>
  <c r="CB753" i="1" s="1"/>
  <c r="CD225" i="1"/>
  <c r="CE225" i="1" s="1"/>
  <c r="CF225" i="1" s="1"/>
  <c r="CH225" i="1" s="1"/>
  <c r="CL573" i="1"/>
  <c r="BW679" i="1"/>
  <c r="CL514" i="1"/>
  <c r="CD550" i="1"/>
  <c r="CE550" i="1" s="1"/>
  <c r="CF550" i="1" s="1"/>
  <c r="CH550" i="1" s="1"/>
  <c r="CD585" i="1"/>
  <c r="CE585" i="1" s="1"/>
  <c r="CF585" i="1" s="1"/>
  <c r="CH585" i="1" s="1"/>
  <c r="CD374" i="1"/>
  <c r="CE374" i="1" s="1"/>
  <c r="CF374" i="1" s="1"/>
  <c r="CH374" i="1" s="1"/>
  <c r="CD556" i="1"/>
  <c r="CE556" i="1" s="1"/>
  <c r="CF556" i="1" s="1"/>
  <c r="CH556" i="1" s="1"/>
  <c r="CL415" i="1"/>
  <c r="CD373" i="1"/>
  <c r="CE373" i="1" s="1"/>
  <c r="CF373" i="1" s="1"/>
  <c r="CH373" i="1" s="1"/>
  <c r="CL344" i="1"/>
  <c r="BY274" i="1"/>
  <c r="BZ274" i="1" s="1"/>
  <c r="CA274" i="1" s="1"/>
  <c r="CC274" i="1" s="1"/>
  <c r="CI265" i="1"/>
  <c r="CJ265" i="1" s="1"/>
  <c r="CK265" i="1" s="1"/>
  <c r="CD588" i="1"/>
  <c r="CE588" i="1" s="1"/>
  <c r="CF588" i="1" s="1"/>
  <c r="CH588" i="1" s="1"/>
  <c r="BY752" i="1"/>
  <c r="CB752" i="1" s="1"/>
  <c r="CL488" i="1"/>
  <c r="CB32" i="1"/>
  <c r="CL155" i="1"/>
  <c r="CG443" i="1"/>
  <c r="BW371" i="1"/>
  <c r="CB370" i="1"/>
  <c r="CG468" i="1"/>
  <c r="CL712" i="1"/>
  <c r="CL521" i="1"/>
  <c r="CL773" i="1"/>
  <c r="CI11" i="1"/>
  <c r="CJ11" i="1" s="1"/>
  <c r="CK11" i="1" s="1"/>
  <c r="CL125" i="1"/>
  <c r="BU3" i="1" l="1"/>
  <c r="CL173" i="1"/>
  <c r="CL150" i="1"/>
  <c r="CG180" i="1"/>
  <c r="BU4" i="1"/>
  <c r="CL116" i="1"/>
  <c r="CL60" i="1"/>
  <c r="CL43" i="1"/>
  <c r="CG299" i="1"/>
  <c r="CG574" i="1"/>
  <c r="CL52" i="1"/>
  <c r="CL842" i="1"/>
  <c r="CG321" i="1"/>
  <c r="CG387" i="1"/>
  <c r="CG302" i="1"/>
  <c r="CL83" i="1"/>
  <c r="CG322" i="1"/>
  <c r="CL42" i="1"/>
  <c r="CL790" i="1"/>
  <c r="CG723" i="1"/>
  <c r="CG581" i="1"/>
  <c r="CG593" i="1"/>
  <c r="CG313" i="1"/>
  <c r="CL59" i="1"/>
  <c r="CG32" i="1"/>
  <c r="CG650" i="1"/>
  <c r="CL23" i="1"/>
  <c r="CG588" i="1"/>
  <c r="CG307" i="1"/>
  <c r="CG655" i="1"/>
  <c r="CL79" i="1"/>
  <c r="CG550" i="1"/>
  <c r="CG561" i="1"/>
  <c r="CG312" i="1"/>
  <c r="CG556" i="1"/>
  <c r="CL258" i="1"/>
  <c r="CG283" i="1"/>
  <c r="CL791" i="1"/>
  <c r="CL807" i="1"/>
  <c r="CL70" i="1"/>
  <c r="CL108" i="1"/>
  <c r="CL12" i="1"/>
  <c r="CG182" i="1"/>
  <c r="CG584" i="1"/>
  <c r="CG359" i="1"/>
  <c r="CG585" i="1"/>
  <c r="CG551" i="1"/>
  <c r="CG597" i="1"/>
  <c r="CG346" i="1"/>
  <c r="CG374" i="1"/>
  <c r="CG708" i="1"/>
  <c r="CL478" i="1"/>
  <c r="CL458" i="1"/>
  <c r="CG557" i="1"/>
  <c r="CL227" i="1"/>
  <c r="CG320" i="1"/>
  <c r="CG591" i="1"/>
  <c r="BW230" i="1"/>
  <c r="CG331" i="1"/>
  <c r="CG282" i="1"/>
  <c r="CL49" i="1"/>
  <c r="CG707" i="1"/>
  <c r="CG189" i="1"/>
  <c r="CL454" i="1"/>
  <c r="CL287" i="1"/>
  <c r="CB315" i="1"/>
  <c r="CL40" i="1"/>
  <c r="BV3" i="1"/>
  <c r="CG595" i="1"/>
  <c r="CL105" i="1"/>
  <c r="CG388" i="1"/>
  <c r="CL207" i="1"/>
  <c r="CG273" i="1"/>
  <c r="CG651" i="1"/>
  <c r="CL69" i="1"/>
  <c r="CG370" i="1"/>
  <c r="CL53" i="1"/>
  <c r="CG702" i="1"/>
  <c r="CG186" i="1"/>
  <c r="CL76" i="1"/>
  <c r="CL15" i="1"/>
  <c r="CG329" i="1"/>
  <c r="CG340" i="1"/>
  <c r="CG354" i="1"/>
  <c r="CL72" i="1"/>
  <c r="CL405" i="1"/>
  <c r="CL97" i="1"/>
  <c r="BW676" i="1"/>
  <c r="CG319" i="1"/>
  <c r="CG558" i="1"/>
  <c r="CG192" i="1"/>
  <c r="CG578" i="1"/>
  <c r="CL754" i="1"/>
  <c r="CG386" i="1"/>
  <c r="CL14" i="1"/>
  <c r="CL102" i="1"/>
  <c r="CG603" i="1"/>
  <c r="CG554" i="1"/>
  <c r="CL479" i="1"/>
  <c r="CG594" i="1"/>
  <c r="CL11" i="1"/>
  <c r="CL265" i="1"/>
  <c r="BX3" i="1"/>
  <c r="CG719" i="1"/>
  <c r="CG544" i="1"/>
  <c r="CL214" i="1"/>
  <c r="CB718" i="1"/>
  <c r="CG219" i="1"/>
  <c r="CG181" i="1"/>
  <c r="CG225" i="1"/>
  <c r="CG200" i="1"/>
  <c r="CG185" i="1"/>
  <c r="CL660" i="1"/>
  <c r="CG237" i="1"/>
  <c r="CL692" i="1"/>
  <c r="CG373" i="1"/>
  <c r="CG580" i="1"/>
  <c r="CL103" i="1"/>
  <c r="CG187" i="1"/>
  <c r="CG565" i="1"/>
  <c r="CG407" i="1"/>
  <c r="CL267" i="1"/>
  <c r="CL62" i="1"/>
  <c r="CI332" i="1"/>
  <c r="CJ332" i="1" s="1"/>
  <c r="CK332" i="1" s="1"/>
  <c r="CI190" i="1"/>
  <c r="CJ190" i="1" s="1"/>
  <c r="CK190" i="1" s="1"/>
  <c r="CL20" i="1"/>
  <c r="CB274" i="1"/>
  <c r="CI585" i="1"/>
  <c r="CJ585" i="1" s="1"/>
  <c r="CK585" i="1" s="1"/>
  <c r="CI359" i="1"/>
  <c r="CJ359" i="1" s="1"/>
  <c r="CK359" i="1" s="1"/>
  <c r="CG559" i="1"/>
  <c r="CI553" i="1"/>
  <c r="CJ553" i="1" s="1"/>
  <c r="CK553" i="1" s="1"/>
  <c r="CI574" i="1"/>
  <c r="CJ574" i="1" s="1"/>
  <c r="CK574" i="1" s="1"/>
  <c r="CI321" i="1"/>
  <c r="CJ321" i="1" s="1"/>
  <c r="CK321" i="1" s="1"/>
  <c r="CI650" i="1"/>
  <c r="CJ650" i="1" s="1"/>
  <c r="CK650" i="1" s="1"/>
  <c r="CG555" i="1"/>
  <c r="CI603" i="1"/>
  <c r="CJ603" i="1" s="1"/>
  <c r="CK603" i="1" s="1"/>
  <c r="CG607" i="1"/>
  <c r="CI648" i="1"/>
  <c r="CJ648" i="1" s="1"/>
  <c r="CK648" i="1" s="1"/>
  <c r="CI346" i="1"/>
  <c r="CJ346" i="1" s="1"/>
  <c r="CK346" i="1" s="1"/>
  <c r="CG569" i="1"/>
  <c r="CI587" i="1"/>
  <c r="CJ587" i="1" s="1"/>
  <c r="CK587" i="1" s="1"/>
  <c r="CI285" i="1"/>
  <c r="CJ285" i="1" s="1"/>
  <c r="CK285" i="1" s="1"/>
  <c r="CI334" i="1"/>
  <c r="CJ334" i="1" s="1"/>
  <c r="CK334" i="1" s="1"/>
  <c r="CG548" i="1"/>
  <c r="CG399" i="1"/>
  <c r="CG654" i="1"/>
  <c r="CI538" i="1"/>
  <c r="CJ538" i="1" s="1"/>
  <c r="CK538" i="1" s="1"/>
  <c r="CG170" i="1"/>
  <c r="CI225" i="1"/>
  <c r="CJ225" i="1" s="1"/>
  <c r="CK225" i="1" s="1"/>
  <c r="CL80" i="1"/>
  <c r="CL96" i="1"/>
  <c r="CI559" i="1"/>
  <c r="CJ559" i="1" s="1"/>
  <c r="CK559" i="1" s="1"/>
  <c r="CI555" i="1"/>
  <c r="CJ555" i="1" s="1"/>
  <c r="CK555" i="1" s="1"/>
  <c r="CL101" i="1"/>
  <c r="CI607" i="1"/>
  <c r="CJ607" i="1" s="1"/>
  <c r="CK607" i="1" s="1"/>
  <c r="CI597" i="1"/>
  <c r="CJ597" i="1" s="1"/>
  <c r="CK597" i="1" s="1"/>
  <c r="CI237" i="1"/>
  <c r="CJ237" i="1" s="1"/>
  <c r="CK237" i="1" s="1"/>
  <c r="CI569" i="1"/>
  <c r="CJ569" i="1" s="1"/>
  <c r="CK569" i="1" s="1"/>
  <c r="CI655" i="1"/>
  <c r="CJ655" i="1" s="1"/>
  <c r="CK655" i="1" s="1"/>
  <c r="CI651" i="1"/>
  <c r="CJ651" i="1" s="1"/>
  <c r="CK651" i="1" s="1"/>
  <c r="CG334" i="1"/>
  <c r="CL398" i="1"/>
  <c r="CG586" i="1"/>
  <c r="CI548" i="1"/>
  <c r="CJ548" i="1" s="1"/>
  <c r="CK548" i="1" s="1"/>
  <c r="CI399" i="1"/>
  <c r="CJ399" i="1" s="1"/>
  <c r="CK399" i="1" s="1"/>
  <c r="CI654" i="1"/>
  <c r="CJ654" i="1" s="1"/>
  <c r="CK654" i="1" s="1"/>
  <c r="CI594" i="1"/>
  <c r="CJ594" i="1" s="1"/>
  <c r="CK594" i="1" s="1"/>
  <c r="CD724" i="1"/>
  <c r="CE724" i="1" s="1"/>
  <c r="CF724" i="1" s="1"/>
  <c r="CH724" i="1" s="1"/>
  <c r="CI540" i="1"/>
  <c r="CJ540" i="1" s="1"/>
  <c r="CK540" i="1" s="1"/>
  <c r="CI588" i="1"/>
  <c r="CJ588" i="1" s="1"/>
  <c r="CK588" i="1" s="1"/>
  <c r="CI550" i="1"/>
  <c r="CJ550" i="1" s="1"/>
  <c r="CK550" i="1" s="1"/>
  <c r="CI716" i="1"/>
  <c r="CJ716" i="1" s="1"/>
  <c r="CK716" i="1" s="1"/>
  <c r="CI589" i="1"/>
  <c r="CJ589" i="1" s="1"/>
  <c r="CK589" i="1" s="1"/>
  <c r="CI635" i="1"/>
  <c r="CJ635" i="1" s="1"/>
  <c r="CK635" i="1" s="1"/>
  <c r="CI566" i="1"/>
  <c r="CJ566" i="1" s="1"/>
  <c r="CK566" i="1" s="1"/>
  <c r="CI342" i="1"/>
  <c r="CJ342" i="1" s="1"/>
  <c r="CK342" i="1" s="1"/>
  <c r="CI366" i="1"/>
  <c r="CJ366" i="1" s="1"/>
  <c r="CK366" i="1" s="1"/>
  <c r="CI357" i="1"/>
  <c r="CJ357" i="1" s="1"/>
  <c r="CK357" i="1" s="1"/>
  <c r="CI606" i="1"/>
  <c r="CJ606" i="1" s="1"/>
  <c r="CK606" i="1" s="1"/>
  <c r="CI586" i="1"/>
  <c r="CJ586" i="1" s="1"/>
  <c r="CK586" i="1" s="1"/>
  <c r="CI721" i="1"/>
  <c r="CJ721" i="1" s="1"/>
  <c r="CK721" i="1" s="1"/>
  <c r="CI725" i="1"/>
  <c r="CJ725" i="1" s="1"/>
  <c r="CK725" i="1" s="1"/>
  <c r="CD539" i="1"/>
  <c r="CE539" i="1" s="1"/>
  <c r="CF539" i="1" s="1"/>
  <c r="CH539" i="1" s="1"/>
  <c r="CI717" i="1"/>
  <c r="CJ717" i="1" s="1"/>
  <c r="CK717" i="1" s="1"/>
  <c r="CL468" i="1"/>
  <c r="CL778" i="1"/>
  <c r="CL61" i="1"/>
  <c r="CG716" i="1"/>
  <c r="CI186" i="1"/>
  <c r="CJ186" i="1" s="1"/>
  <c r="CK186" i="1" s="1"/>
  <c r="CG589" i="1"/>
  <c r="CG635" i="1"/>
  <c r="CI580" i="1"/>
  <c r="CJ580" i="1" s="1"/>
  <c r="CK580" i="1" s="1"/>
  <c r="CG566" i="1"/>
  <c r="CG342" i="1"/>
  <c r="CG366" i="1"/>
  <c r="CL104" i="1"/>
  <c r="CG357" i="1"/>
  <c r="CG606" i="1"/>
  <c r="CL74" i="1"/>
  <c r="CI192" i="1"/>
  <c r="CJ192" i="1" s="1"/>
  <c r="CK192" i="1" s="1"/>
  <c r="CG721" i="1"/>
  <c r="CL642" i="1"/>
  <c r="CI320" i="1"/>
  <c r="CJ320" i="1" s="1"/>
  <c r="CK320" i="1" s="1"/>
  <c r="CL73" i="1"/>
  <c r="CG725" i="1"/>
  <c r="CB539" i="1"/>
  <c r="CI578" i="1"/>
  <c r="CJ578" i="1" s="1"/>
  <c r="CK578" i="1" s="1"/>
  <c r="CG717" i="1"/>
  <c r="CI370" i="1"/>
  <c r="CJ370" i="1" s="1"/>
  <c r="CK370" i="1" s="1"/>
  <c r="CL64" i="1"/>
  <c r="CI170" i="1"/>
  <c r="CJ170" i="1" s="1"/>
  <c r="CK170" i="1" s="1"/>
  <c r="CG190" i="1"/>
  <c r="CI282" i="1"/>
  <c r="CJ282" i="1" s="1"/>
  <c r="CK282" i="1" s="1"/>
  <c r="CG289" i="1"/>
  <c r="CI450" i="1"/>
  <c r="CJ450" i="1" s="1"/>
  <c r="CK450" i="1" s="1"/>
  <c r="CL412" i="1"/>
  <c r="CL71" i="1"/>
  <c r="CI200" i="1"/>
  <c r="CJ200" i="1" s="1"/>
  <c r="CK200" i="1" s="1"/>
  <c r="CI329" i="1"/>
  <c r="CJ329" i="1" s="1"/>
  <c r="CK329" i="1" s="1"/>
  <c r="CI565" i="1"/>
  <c r="CJ565" i="1" s="1"/>
  <c r="CK565" i="1" s="1"/>
  <c r="CG633" i="1"/>
  <c r="CL507" i="1"/>
  <c r="CI558" i="1"/>
  <c r="CJ558" i="1" s="1"/>
  <c r="CK558" i="1" s="1"/>
  <c r="CL380" i="1"/>
  <c r="CL466" i="1"/>
  <c r="CI595" i="1"/>
  <c r="CJ595" i="1" s="1"/>
  <c r="CK595" i="1" s="1"/>
  <c r="CL86" i="1"/>
  <c r="CD371" i="1"/>
  <c r="CE371" i="1" s="1"/>
  <c r="CF371" i="1" s="1"/>
  <c r="CH371" i="1" s="1"/>
  <c r="CG540" i="1"/>
  <c r="CI656" i="1"/>
  <c r="CJ656" i="1" s="1"/>
  <c r="CK656" i="1" s="1"/>
  <c r="CI297" i="1"/>
  <c r="CJ297" i="1" s="1"/>
  <c r="CK297" i="1" s="1"/>
  <c r="CL252" i="1"/>
  <c r="CL733" i="1"/>
  <c r="BT4" i="1"/>
  <c r="BT3" i="1"/>
  <c r="CI704" i="1"/>
  <c r="CJ704" i="1" s="1"/>
  <c r="CK704" i="1" s="1"/>
  <c r="CB371" i="1"/>
  <c r="CI330" i="1"/>
  <c r="CJ330" i="1" s="1"/>
  <c r="CK330" i="1" s="1"/>
  <c r="CI308" i="1"/>
  <c r="CJ308" i="1" s="1"/>
  <c r="CK308" i="1" s="1"/>
  <c r="CL78" i="1"/>
  <c r="CL94" i="1"/>
  <c r="CL8" i="1"/>
  <c r="CI77" i="1"/>
  <c r="CJ77" i="1" s="1"/>
  <c r="CK77" i="1" s="1"/>
  <c r="CG656" i="1"/>
  <c r="CD274" i="1"/>
  <c r="CE274" i="1" s="1"/>
  <c r="CF274" i="1" s="1"/>
  <c r="CH274" i="1" s="1"/>
  <c r="CL234" i="1"/>
  <c r="CG308" i="1"/>
  <c r="CG538" i="1"/>
  <c r="CG77" i="1"/>
  <c r="CL122" i="1"/>
  <c r="CG198" i="1"/>
  <c r="CI649" i="1"/>
  <c r="CJ649" i="1" s="1"/>
  <c r="CK649" i="1" s="1"/>
  <c r="CD300" i="1"/>
  <c r="CE300" i="1" s="1"/>
  <c r="CF300" i="1" s="1"/>
  <c r="CH300" i="1" s="1"/>
  <c r="CG450" i="1"/>
  <c r="CI373" i="1"/>
  <c r="CJ373" i="1" s="1"/>
  <c r="CK373" i="1" s="1"/>
  <c r="CL421" i="1"/>
  <c r="CI386" i="1"/>
  <c r="CJ386" i="1" s="1"/>
  <c r="CK386" i="1" s="1"/>
  <c r="CL38" i="1"/>
  <c r="CB300" i="1"/>
  <c r="CB564" i="1"/>
  <c r="CL68" i="1"/>
  <c r="CI653" i="1"/>
  <c r="CJ653" i="1" s="1"/>
  <c r="CK653" i="1" s="1"/>
  <c r="CG364" i="1"/>
  <c r="CI384" i="1"/>
  <c r="CJ384" i="1" s="1"/>
  <c r="CK384" i="1" s="1"/>
  <c r="CI583" i="1"/>
  <c r="CJ583" i="1" s="1"/>
  <c r="CK583" i="1" s="1"/>
  <c r="CB590" i="1"/>
  <c r="CI557" i="1"/>
  <c r="CJ557" i="1" s="1"/>
  <c r="CK557" i="1" s="1"/>
  <c r="CD718" i="1"/>
  <c r="CE718" i="1" s="1"/>
  <c r="CF718" i="1" s="1"/>
  <c r="CH718" i="1" s="1"/>
  <c r="CL65" i="1"/>
  <c r="CI307" i="1"/>
  <c r="CJ307" i="1" s="1"/>
  <c r="CK307" i="1" s="1"/>
  <c r="CG297" i="1"/>
  <c r="CI407" i="1"/>
  <c r="CJ407" i="1" s="1"/>
  <c r="CK407" i="1" s="1"/>
  <c r="CL57" i="1"/>
  <c r="CD315" i="1"/>
  <c r="CE315" i="1" s="1"/>
  <c r="CF315" i="1" s="1"/>
  <c r="CH315" i="1" s="1"/>
  <c r="CL85" i="1"/>
  <c r="CG639" i="1"/>
  <c r="BW8" i="1"/>
  <c r="CG704" i="1"/>
  <c r="CL259" i="1"/>
  <c r="CI189" i="1"/>
  <c r="CJ189" i="1" s="1"/>
  <c r="CK189" i="1" s="1"/>
  <c r="CI638" i="1"/>
  <c r="CJ638" i="1" s="1"/>
  <c r="CK638" i="1" s="1"/>
  <c r="CL10" i="1"/>
  <c r="CI198" i="1"/>
  <c r="CJ198" i="1" s="1"/>
  <c r="CK198" i="1" s="1"/>
  <c r="CI633" i="1"/>
  <c r="CJ633" i="1" s="1"/>
  <c r="CK633" i="1" s="1"/>
  <c r="CG646" i="1"/>
  <c r="CI322" i="1"/>
  <c r="CJ322" i="1" s="1"/>
  <c r="CK322" i="1" s="1"/>
  <c r="CG295" i="1"/>
  <c r="CD564" i="1"/>
  <c r="CE564" i="1" s="1"/>
  <c r="CF564" i="1" s="1"/>
  <c r="CH564" i="1" s="1"/>
  <c r="BY230" i="1"/>
  <c r="CG653" i="1"/>
  <c r="CL88" i="1"/>
  <c r="CG384" i="1"/>
  <c r="CL263" i="1"/>
  <c r="CG583" i="1"/>
  <c r="CI312" i="1"/>
  <c r="CJ312" i="1" s="1"/>
  <c r="CK312" i="1" s="1"/>
  <c r="BZ6" i="1"/>
  <c r="CI388" i="1"/>
  <c r="CJ388" i="1" s="1"/>
  <c r="CK388" i="1" s="1"/>
  <c r="CB622" i="1"/>
  <c r="CI182" i="1"/>
  <c r="CJ182" i="1" s="1"/>
  <c r="CK182" i="1" s="1"/>
  <c r="CI584" i="1"/>
  <c r="CJ584" i="1" s="1"/>
  <c r="CK584" i="1" s="1"/>
  <c r="CG385" i="1"/>
  <c r="CI639" i="1"/>
  <c r="CJ639" i="1" s="1"/>
  <c r="CK639" i="1" s="1"/>
  <c r="CL84" i="1"/>
  <c r="CG643" i="1"/>
  <c r="CG638" i="1"/>
  <c r="CL443" i="1"/>
  <c r="CG560" i="1"/>
  <c r="CG347" i="1"/>
  <c r="CI292" i="1"/>
  <c r="CJ292" i="1" s="1"/>
  <c r="CK292" i="1" s="1"/>
  <c r="CI551" i="1"/>
  <c r="CJ551" i="1" s="1"/>
  <c r="CK551" i="1" s="1"/>
  <c r="CD622" i="1"/>
  <c r="CE622" i="1" s="1"/>
  <c r="CF622" i="1" s="1"/>
  <c r="CH622" i="1" s="1"/>
  <c r="CI100" i="1"/>
  <c r="CJ100" i="1" s="1"/>
  <c r="CK100" i="1" s="1"/>
  <c r="CI385" i="1"/>
  <c r="CJ385" i="1" s="1"/>
  <c r="CK385" i="1" s="1"/>
  <c r="CI568" i="1"/>
  <c r="CJ568" i="1" s="1"/>
  <c r="CK568" i="1" s="1"/>
  <c r="CI372" i="1"/>
  <c r="CJ372" i="1" s="1"/>
  <c r="CK372" i="1" s="1"/>
  <c r="CI643" i="1"/>
  <c r="CJ643" i="1" s="1"/>
  <c r="CK643" i="1" s="1"/>
  <c r="CI347" i="1"/>
  <c r="CJ347" i="1" s="1"/>
  <c r="CK347" i="1" s="1"/>
  <c r="CI280" i="1"/>
  <c r="CJ280" i="1" s="1"/>
  <c r="CK280" i="1" s="1"/>
  <c r="CI283" i="1"/>
  <c r="CJ283" i="1" s="1"/>
  <c r="CK283" i="1" s="1"/>
  <c r="CB724" i="1"/>
  <c r="CG218" i="1"/>
  <c r="CI220" i="1"/>
  <c r="CJ220" i="1" s="1"/>
  <c r="CK220" i="1" s="1"/>
  <c r="CL220" i="1" s="1"/>
  <c r="CL17" i="1"/>
  <c r="CG330" i="1"/>
  <c r="CG280" i="1"/>
  <c r="CI289" i="1"/>
  <c r="CJ289" i="1" s="1"/>
  <c r="CK289" i="1" s="1"/>
  <c r="CG220" i="1"/>
  <c r="CI340" i="1"/>
  <c r="CJ340" i="1" s="1"/>
  <c r="CK340" i="1" s="1"/>
  <c r="CL106" i="1"/>
  <c r="CI364" i="1"/>
  <c r="CJ364" i="1" s="1"/>
  <c r="CK364" i="1" s="1"/>
  <c r="CD590" i="1"/>
  <c r="CE590" i="1" s="1"/>
  <c r="CF590" i="1" s="1"/>
  <c r="CH590" i="1" s="1"/>
  <c r="CI646" i="1"/>
  <c r="CJ646" i="1" s="1"/>
  <c r="CK646" i="1" s="1"/>
  <c r="CI295" i="1"/>
  <c r="CJ295" i="1" s="1"/>
  <c r="CK295" i="1" s="1"/>
  <c r="CD409" i="1"/>
  <c r="CE409" i="1" s="1"/>
  <c r="CF409" i="1" s="1"/>
  <c r="CH409" i="1" s="1"/>
  <c r="CI179" i="1"/>
  <c r="CJ179" i="1" s="1"/>
  <c r="CK179" i="1" s="1"/>
  <c r="CI296" i="1"/>
  <c r="CJ296" i="1" s="1"/>
  <c r="CK296" i="1" s="1"/>
  <c r="CI624" i="1"/>
  <c r="CJ624" i="1" s="1"/>
  <c r="CK624" i="1" s="1"/>
  <c r="CI561" i="1"/>
  <c r="CJ561" i="1" s="1"/>
  <c r="CK561" i="1" s="1"/>
  <c r="CI544" i="1"/>
  <c r="CJ544" i="1" s="1"/>
  <c r="CK544" i="1" s="1"/>
  <c r="CL56" i="1"/>
  <c r="CL45" i="1"/>
  <c r="BV4" i="1"/>
  <c r="CB409" i="1"/>
  <c r="CG242" i="1"/>
  <c r="CG193" i="1"/>
  <c r="CG770" i="1"/>
  <c r="CG179" i="1"/>
  <c r="CG296" i="1"/>
  <c r="CI219" i="1"/>
  <c r="CJ219" i="1" s="1"/>
  <c r="CK219" i="1" s="1"/>
  <c r="CI723" i="1"/>
  <c r="CJ723" i="1" s="1"/>
  <c r="CK723" i="1" s="1"/>
  <c r="CL257" i="1"/>
  <c r="CL500" i="1"/>
  <c r="CI299" i="1"/>
  <c r="CJ299" i="1" s="1"/>
  <c r="CK299" i="1" s="1"/>
  <c r="CG100" i="1"/>
  <c r="CI313" i="1"/>
  <c r="CJ313" i="1" s="1"/>
  <c r="CK313" i="1" s="1"/>
  <c r="CG568" i="1"/>
  <c r="CG372" i="1"/>
  <c r="BY676" i="1"/>
  <c r="CB676" i="1" s="1"/>
  <c r="CG314" i="1"/>
  <c r="CL811" i="1"/>
  <c r="CI387" i="1"/>
  <c r="CJ387" i="1" s="1"/>
  <c r="CK387" i="1" s="1"/>
  <c r="CL29" i="1"/>
  <c r="CG292" i="1"/>
  <c r="CI193" i="1"/>
  <c r="CJ193" i="1" s="1"/>
  <c r="CK193" i="1" s="1"/>
  <c r="CG624" i="1"/>
  <c r="CI722" i="1"/>
  <c r="CJ722" i="1" s="1"/>
  <c r="CK722" i="1" s="1"/>
  <c r="CI770" i="1"/>
  <c r="CJ770" i="1" s="1"/>
  <c r="CK770" i="1" s="1"/>
  <c r="CI406" i="1"/>
  <c r="CJ406" i="1" s="1"/>
  <c r="CK406" i="1" s="1"/>
  <c r="CI392" i="1"/>
  <c r="CJ392" i="1" s="1"/>
  <c r="CK392" i="1" s="1"/>
  <c r="CI598" i="1"/>
  <c r="CJ598" i="1" s="1"/>
  <c r="CK598" i="1" s="1"/>
  <c r="CI314" i="1"/>
  <c r="CJ314" i="1" s="1"/>
  <c r="CK314" i="1" s="1"/>
  <c r="CI720" i="1"/>
  <c r="CJ720" i="1" s="1"/>
  <c r="CK720" i="1" s="1"/>
  <c r="CI623" i="1"/>
  <c r="CJ623" i="1" s="1"/>
  <c r="CK623" i="1" s="1"/>
  <c r="CG332" i="1"/>
  <c r="CI560" i="1"/>
  <c r="CJ560" i="1" s="1"/>
  <c r="CK560" i="1" s="1"/>
  <c r="CI333" i="1"/>
  <c r="CJ333" i="1" s="1"/>
  <c r="CK333" i="1" s="1"/>
  <c r="CI647" i="1"/>
  <c r="CJ647" i="1" s="1"/>
  <c r="CK647" i="1" s="1"/>
  <c r="CI556" i="1"/>
  <c r="CJ556" i="1" s="1"/>
  <c r="CK556" i="1" s="1"/>
  <c r="CL9" i="1"/>
  <c r="CG333" i="1"/>
  <c r="CG647" i="1"/>
  <c r="CI180" i="1"/>
  <c r="CJ180" i="1" s="1"/>
  <c r="CK180" i="1" s="1"/>
  <c r="CI353" i="1"/>
  <c r="CJ353" i="1" s="1"/>
  <c r="CK353" i="1" s="1"/>
  <c r="CI719" i="1"/>
  <c r="CJ719" i="1" s="1"/>
  <c r="CK719" i="1" s="1"/>
  <c r="CI601" i="1"/>
  <c r="CJ601" i="1" s="1"/>
  <c r="CK601" i="1" s="1"/>
  <c r="CI374" i="1"/>
  <c r="CJ374" i="1" s="1"/>
  <c r="CK374" i="1" s="1"/>
  <c r="CI702" i="1"/>
  <c r="CJ702" i="1" s="1"/>
  <c r="CK702" i="1" s="1"/>
  <c r="CI708" i="1"/>
  <c r="CJ708" i="1" s="1"/>
  <c r="CK708" i="1" s="1"/>
  <c r="CI593" i="1"/>
  <c r="CJ593" i="1" s="1"/>
  <c r="CK593" i="1" s="1"/>
  <c r="CL672" i="1"/>
  <c r="CG353" i="1"/>
  <c r="CI331" i="1"/>
  <c r="CJ331" i="1" s="1"/>
  <c r="CK331" i="1" s="1"/>
  <c r="CI591" i="1"/>
  <c r="CJ591" i="1" s="1"/>
  <c r="CK591" i="1" s="1"/>
  <c r="CG601" i="1"/>
  <c r="CI302" i="1"/>
  <c r="CJ302" i="1" s="1"/>
  <c r="CK302" i="1" s="1"/>
  <c r="CG722" i="1"/>
  <c r="CI187" i="1"/>
  <c r="CJ187" i="1" s="1"/>
  <c r="CK187" i="1" s="1"/>
  <c r="CG339" i="1"/>
  <c r="CI707" i="1"/>
  <c r="CJ707" i="1" s="1"/>
  <c r="CK707" i="1" s="1"/>
  <c r="CI554" i="1"/>
  <c r="CJ554" i="1" s="1"/>
  <c r="CK554" i="1" s="1"/>
  <c r="CI319" i="1"/>
  <c r="CJ319" i="1" s="1"/>
  <c r="CK319" i="1" s="1"/>
  <c r="CG303" i="1"/>
  <c r="CG406" i="1"/>
  <c r="CG652" i="1"/>
  <c r="CL18" i="1"/>
  <c r="CG392" i="1"/>
  <c r="CL625" i="1"/>
  <c r="CL92" i="1"/>
  <c r="CL197" i="1"/>
  <c r="CG598" i="1"/>
  <c r="CI181" i="1"/>
  <c r="CJ181" i="1" s="1"/>
  <c r="CK181" i="1" s="1"/>
  <c r="CL453" i="1"/>
  <c r="CI354" i="1"/>
  <c r="CJ354" i="1" s="1"/>
  <c r="CK354" i="1" s="1"/>
  <c r="CG720" i="1"/>
  <c r="CI185" i="1"/>
  <c r="CJ185" i="1" s="1"/>
  <c r="CK185" i="1" s="1"/>
  <c r="CI32" i="1"/>
  <c r="CJ32" i="1" s="1"/>
  <c r="CK32" i="1" s="1"/>
  <c r="CG623" i="1"/>
  <c r="CG715" i="1"/>
  <c r="CI218" i="1"/>
  <c r="CJ218" i="1" s="1"/>
  <c r="CK218" i="1" s="1"/>
  <c r="CG649" i="1"/>
  <c r="CI242" i="1"/>
  <c r="CJ242" i="1" s="1"/>
  <c r="CK242" i="1" s="1"/>
  <c r="CG553" i="1"/>
  <c r="CI581" i="1"/>
  <c r="CJ581" i="1" s="1"/>
  <c r="CK581" i="1" s="1"/>
  <c r="CG648" i="1"/>
  <c r="CI339" i="1"/>
  <c r="CJ339" i="1" s="1"/>
  <c r="CK339" i="1" s="1"/>
  <c r="CL87" i="1"/>
  <c r="CI303" i="1"/>
  <c r="CJ303" i="1" s="1"/>
  <c r="CK303" i="1" s="1"/>
  <c r="CI273" i="1"/>
  <c r="CJ273" i="1" s="1"/>
  <c r="CK273" i="1" s="1"/>
  <c r="CI652" i="1"/>
  <c r="CJ652" i="1" s="1"/>
  <c r="CK652" i="1" s="1"/>
  <c r="CL504" i="1"/>
  <c r="CG587" i="1"/>
  <c r="CG285" i="1"/>
  <c r="CL433" i="1"/>
  <c r="CL51" i="1"/>
  <c r="CI715" i="1"/>
  <c r="CJ715" i="1" s="1"/>
  <c r="CK715" i="1" s="1"/>
  <c r="CL723" i="1" l="1"/>
  <c r="CL308" i="1"/>
  <c r="CL597" i="1"/>
  <c r="CL185" i="1"/>
  <c r="CL342" i="1"/>
  <c r="CL339" i="1"/>
  <c r="CL715" i="1"/>
  <c r="CG274" i="1"/>
  <c r="CL297" i="1"/>
  <c r="CL544" i="1"/>
  <c r="CL354" i="1"/>
  <c r="CL180" i="1"/>
  <c r="CL219" i="1"/>
  <c r="CG409" i="1"/>
  <c r="CL595" i="1"/>
  <c r="CL586" i="1"/>
  <c r="CG718" i="1"/>
  <c r="CL370" i="1"/>
  <c r="CL708" i="1"/>
  <c r="CL407" i="1"/>
  <c r="CL639" i="1"/>
  <c r="CL623" i="1"/>
  <c r="CL646" i="1"/>
  <c r="CG724" i="1"/>
  <c r="CL594" i="1"/>
  <c r="CL607" i="1"/>
  <c r="CL190" i="1"/>
  <c r="CL198" i="1"/>
  <c r="CL651" i="1"/>
  <c r="BY3" i="1"/>
  <c r="CL387" i="1"/>
  <c r="CL237" i="1"/>
  <c r="CG590" i="1"/>
  <c r="CL283" i="1"/>
  <c r="CL192" i="1"/>
  <c r="CL635" i="1"/>
  <c r="CL559" i="1"/>
  <c r="CL189" i="1"/>
  <c r="CL557" i="1"/>
  <c r="CL218" i="1"/>
  <c r="CL331" i="1"/>
  <c r="CL406" i="1"/>
  <c r="CL313" i="1"/>
  <c r="CL364" i="1"/>
  <c r="CL280" i="1"/>
  <c r="CG300" i="1"/>
  <c r="CL725" i="1"/>
  <c r="CL32" i="1"/>
  <c r="CL340" i="1"/>
  <c r="CG564" i="1"/>
  <c r="CL384" i="1"/>
  <c r="CL721" i="1"/>
  <c r="CL569" i="1"/>
  <c r="CL385" i="1"/>
  <c r="CL652" i="1"/>
  <c r="CL770" i="1"/>
  <c r="CL303" i="1"/>
  <c r="CL561" i="1"/>
  <c r="CL540" i="1"/>
  <c r="CL538" i="1"/>
  <c r="CL560" i="1"/>
  <c r="CL289" i="1"/>
  <c r="CL568" i="1"/>
  <c r="CL322" i="1"/>
  <c r="CL606" i="1"/>
  <c r="CL321" i="1"/>
  <c r="CL633" i="1"/>
  <c r="CL320" i="1"/>
  <c r="CL334" i="1"/>
  <c r="CL181" i="1"/>
  <c r="CL314" i="1"/>
  <c r="CL386" i="1"/>
  <c r="CL285" i="1"/>
  <c r="CL374" i="1"/>
  <c r="CL242" i="1"/>
  <c r="CL302" i="1"/>
  <c r="CL292" i="1"/>
  <c r="CL77" i="1"/>
  <c r="CL566" i="1"/>
  <c r="CL555" i="1"/>
  <c r="CL307" i="1"/>
  <c r="CL704" i="1"/>
  <c r="CL550" i="1"/>
  <c r="CL719" i="1"/>
  <c r="CL722" i="1"/>
  <c r="CL638" i="1"/>
  <c r="CL282" i="1"/>
  <c r="CL186" i="1"/>
  <c r="CL574" i="1"/>
  <c r="CL558" i="1"/>
  <c r="CL357" i="1"/>
  <c r="CL588" i="1"/>
  <c r="CL587" i="1"/>
  <c r="CL553" i="1"/>
  <c r="CI590" i="1"/>
  <c r="CJ590" i="1" s="1"/>
  <c r="CK590" i="1" s="1"/>
  <c r="CL554" i="1"/>
  <c r="CI724" i="1"/>
  <c r="CJ724" i="1" s="1"/>
  <c r="CK724" i="1" s="1"/>
  <c r="CL655" i="1"/>
  <c r="CL346" i="1"/>
  <c r="CL353" i="1"/>
  <c r="CI718" i="1"/>
  <c r="CJ718" i="1" s="1"/>
  <c r="CK718" i="1" s="1"/>
  <c r="BW4" i="1"/>
  <c r="BW3" i="1"/>
  <c r="CL373" i="1"/>
  <c r="CL225" i="1"/>
  <c r="CL359" i="1"/>
  <c r="CL299" i="1"/>
  <c r="CB230" i="1"/>
  <c r="CL593" i="1"/>
  <c r="CI564" i="1"/>
  <c r="CJ564" i="1" s="1"/>
  <c r="CK564" i="1" s="1"/>
  <c r="CL717" i="1"/>
  <c r="CI539" i="1"/>
  <c r="CJ539" i="1" s="1"/>
  <c r="CK539" i="1" s="1"/>
  <c r="CL648" i="1"/>
  <c r="CL100" i="1"/>
  <c r="CI622" i="1"/>
  <c r="CJ622" i="1" s="1"/>
  <c r="CK622" i="1" s="1"/>
  <c r="CG622" i="1"/>
  <c r="CL656" i="1"/>
  <c r="CL329" i="1"/>
  <c r="CG539" i="1"/>
  <c r="CL585" i="1"/>
  <c r="CL720" i="1"/>
  <c r="CL170" i="1"/>
  <c r="CL182" i="1"/>
  <c r="CL551" i="1"/>
  <c r="CL366" i="1"/>
  <c r="CL581" i="1"/>
  <c r="CL624" i="1"/>
  <c r="CL598" i="1"/>
  <c r="CL556" i="1"/>
  <c r="BY4" i="1"/>
  <c r="CG315" i="1"/>
  <c r="CI371" i="1"/>
  <c r="CJ371" i="1" s="1"/>
  <c r="CK371" i="1" s="1"/>
  <c r="CL200" i="1"/>
  <c r="CL654" i="1"/>
  <c r="CL647" i="1"/>
  <c r="CL179" i="1"/>
  <c r="CL372" i="1"/>
  <c r="CL649" i="1"/>
  <c r="CG371" i="1"/>
  <c r="CL580" i="1"/>
  <c r="CL589" i="1"/>
  <c r="CL399" i="1"/>
  <c r="CL591" i="1"/>
  <c r="CL565" i="1"/>
  <c r="CL193" i="1"/>
  <c r="CL584" i="1"/>
  <c r="CL707" i="1"/>
  <c r="CL347" i="1"/>
  <c r="CL388" i="1"/>
  <c r="CL583" i="1"/>
  <c r="CL296" i="1"/>
  <c r="CA6" i="1"/>
  <c r="BZ4" i="1"/>
  <c r="BZ3" i="1"/>
  <c r="CI315" i="1"/>
  <c r="CJ315" i="1" s="1"/>
  <c r="CK315" i="1" s="1"/>
  <c r="CI300" i="1"/>
  <c r="CJ300" i="1" s="1"/>
  <c r="CK300" i="1" s="1"/>
  <c r="CL187" i="1"/>
  <c r="CL702" i="1"/>
  <c r="CL392" i="1"/>
  <c r="CL643" i="1"/>
  <c r="CL578" i="1"/>
  <c r="CL603" i="1"/>
  <c r="CL273" i="1"/>
  <c r="CL601" i="1"/>
  <c r="CL333" i="1"/>
  <c r="CI409" i="1"/>
  <c r="CJ409" i="1" s="1"/>
  <c r="CK409" i="1" s="1"/>
  <c r="CL312" i="1"/>
  <c r="CL653" i="1"/>
  <c r="CL330" i="1"/>
  <c r="CL450" i="1"/>
  <c r="CL716" i="1"/>
  <c r="CL548" i="1"/>
  <c r="CL650" i="1"/>
  <c r="CL332" i="1"/>
  <c r="CL319" i="1"/>
  <c r="CI274" i="1"/>
  <c r="CJ274" i="1" s="1"/>
  <c r="CK274" i="1" s="1"/>
  <c r="CL295" i="1"/>
  <c r="CL564" i="1" l="1"/>
  <c r="CL622" i="1"/>
  <c r="CL590" i="1"/>
  <c r="CL724" i="1"/>
  <c r="CL300" i="1"/>
  <c r="CA3" i="1"/>
  <c r="CC6" i="1"/>
  <c r="CA4" i="1"/>
  <c r="CL274" i="1"/>
  <c r="CL371" i="1"/>
  <c r="CL718" i="1"/>
  <c r="CL539" i="1"/>
  <c r="CL315" i="1"/>
  <c r="CB6" i="1"/>
  <c r="CL409" i="1"/>
  <c r="CB3" i="1" l="1"/>
  <c r="CB4" i="1"/>
  <c r="CD6" i="1"/>
  <c r="CC3" i="1"/>
  <c r="CC4" i="1"/>
  <c r="CD3" i="1" l="1"/>
  <c r="CD4" i="1"/>
  <c r="CE6" i="1"/>
  <c r="CE3" i="1" l="1"/>
  <c r="CE4" i="1"/>
  <c r="CF6" i="1"/>
  <c r="CF4" i="1" l="1"/>
  <c r="CF3" i="1"/>
  <c r="CH6" i="1"/>
  <c r="CG6" i="1"/>
  <c r="CG4" i="1" l="1"/>
  <c r="CG3" i="1"/>
  <c r="CI6" i="1"/>
  <c r="CH4" i="1"/>
  <c r="CH3" i="1"/>
  <c r="CI4" i="1" l="1"/>
  <c r="CJ6" i="1"/>
  <c r="CI3" i="1"/>
  <c r="CK6" i="1" l="1"/>
  <c r="CJ3" i="1"/>
  <c r="CJ4" i="1"/>
  <c r="CK4" i="1" l="1"/>
  <c r="CK3" i="1"/>
  <c r="CL6" i="1"/>
  <c r="CL4" i="1" l="1"/>
  <c r="CL3" i="1"/>
</calcChain>
</file>

<file path=xl/comments1.xml><?xml version="1.0" encoding="utf-8"?>
<comments xmlns="http://schemas.openxmlformats.org/spreadsheetml/2006/main">
  <authors>
    <author>김진원</author>
    <author>노정래</author>
  </authors>
  <commentList>
    <comment ref="AA5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해당가능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장비
비전략물자이나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허가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장비
일반장비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비통제</t>
        </r>
        <r>
          <rPr>
            <sz val="9"/>
            <color indexed="81"/>
            <rFont val="Tahoma"/>
            <family val="2"/>
          </rPr>
          <t>)</t>
        </r>
      </text>
    </comment>
    <comment ref="AB5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제조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장비
검사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측정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시험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장비
제어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구동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장비
공정지원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장비
</t>
        </r>
      </text>
    </comment>
    <comment ref="AD5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위치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정밀도</t>
        </r>
        <r>
          <rPr>
            <sz val="9"/>
            <color indexed="81"/>
            <rFont val="Tahoma"/>
            <family val="2"/>
          </rPr>
          <t xml:space="preserve">(nm,um </t>
        </r>
        <r>
          <rPr>
            <sz val="9"/>
            <color indexed="81"/>
            <rFont val="돋움"/>
            <family val="3"/>
            <charset val="129"/>
          </rPr>
          <t>단위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 xml:space="preserve">반복정밀도
제어축수
동작속도
온도압력범위
진공도수준
자동제어여부
</t>
        </r>
        <r>
          <rPr>
            <sz val="9"/>
            <color indexed="81"/>
            <rFont val="Tahoma"/>
            <family val="2"/>
          </rPr>
          <t>SW</t>
        </r>
        <r>
          <rPr>
            <sz val="9"/>
            <color indexed="81"/>
            <rFont val="돋움"/>
            <family val="3"/>
            <charset val="129"/>
          </rPr>
          <t xml:space="preserve">포함여부
</t>
        </r>
      </text>
    </comment>
    <comment ref="AE5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대외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무역법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전략물자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고시
전략물자관리원판정기준
국제
원자력
미사일
생화학
</t>
        </r>
      </text>
    </comment>
    <comment ref="S113" authorId="1" shapeId="0">
      <text>
        <r>
          <rPr>
            <b/>
            <sz val="9"/>
            <color indexed="81"/>
            <rFont val="돋움"/>
            <family val="3"/>
            <charset val="129"/>
          </rPr>
          <t>????.??.?? -&gt; YT23 (31A)
2017/11/16 -&gt; AT27 (ND3)
2017/12/22 -&gt; YT23 (31A)
2018/06/14 -&gt; AT27 (ND3)</t>
        </r>
      </text>
    </comment>
    <comment ref="S119" authorId="1" shapeId="0">
      <text>
        <r>
          <rPr>
            <b/>
            <sz val="9"/>
            <color indexed="81"/>
            <rFont val="돋움"/>
            <family val="3"/>
            <charset val="129"/>
          </rPr>
          <t>13/07/23 AP52
17/08/03 Steco 임대
17/11/23 AP52</t>
        </r>
      </text>
    </comment>
    <comment ref="S125" authorId="1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2018.03.19
UF2000(F22010FB)에서 UF3000LX로 Prober 변경 </t>
        </r>
      </text>
    </comment>
    <comment ref="S126" authorId="1" shapeId="0">
      <text>
        <r>
          <rPr>
            <b/>
            <sz val="9"/>
            <color indexed="81"/>
            <rFont val="돋움"/>
            <family val="3"/>
            <charset val="129"/>
          </rPr>
          <t>18.06.29 Steco社 임대 반환 완료
18.07.19 YT23</t>
        </r>
      </text>
    </comment>
    <comment ref="S127" authorId="1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2018.03.20
UF2000(F22004CF)에서 UF3000LX로 Prober 변경 </t>
        </r>
      </text>
    </comment>
    <comment ref="P128" authorId="1" shapeId="0">
      <text>
        <r>
          <rPr>
            <b/>
            <sz val="9"/>
            <color indexed="81"/>
            <rFont val="돋움"/>
            <family val="3"/>
            <charset val="129"/>
          </rPr>
          <t>ND4C &lt;-&gt; ND4S로 개조 가능한
상판의 Prober</t>
        </r>
      </text>
    </comment>
    <comment ref="S128" authorId="1" shapeId="0">
      <text>
        <r>
          <rPr>
            <b/>
            <sz val="9"/>
            <color indexed="81"/>
            <rFont val="돋움"/>
            <family val="3"/>
            <charset val="129"/>
          </rPr>
          <t>16/10/21 : 상판+Holder Ring+Holder 430mm로 개조 진행</t>
        </r>
      </text>
    </comment>
    <comment ref="S129" authorId="1" shapeId="0">
      <text>
        <r>
          <rPr>
            <b/>
            <sz val="9"/>
            <color indexed="81"/>
            <rFont val="Tahoma"/>
            <family val="2"/>
          </rPr>
          <t xml:space="preserve">2017.08.25
ND4 Standard Prober Holder &amp; </t>
        </r>
        <r>
          <rPr>
            <b/>
            <sz val="9"/>
            <color indexed="81"/>
            <rFont val="돋움"/>
            <family val="3"/>
            <charset val="129"/>
          </rPr>
          <t xml:space="preserve">상판을
</t>
        </r>
        <r>
          <rPr>
            <b/>
            <sz val="9"/>
            <color indexed="81"/>
            <rFont val="Tahoma"/>
            <family val="2"/>
          </rPr>
          <t xml:space="preserve">ND3.1 Prober Holder &amp; </t>
        </r>
        <r>
          <rPr>
            <b/>
            <sz val="9"/>
            <color indexed="81"/>
            <rFont val="돋움"/>
            <family val="3"/>
            <charset val="129"/>
          </rPr>
          <t>상판으로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  <r>
          <rPr>
            <b/>
            <sz val="9"/>
            <color indexed="81"/>
            <rFont val="Tahoma"/>
            <family val="2"/>
          </rPr>
          <t>(550mm -&gt; 430mm)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Holder &amp; </t>
        </r>
        <r>
          <rPr>
            <b/>
            <sz val="9"/>
            <color indexed="81"/>
            <rFont val="돋움"/>
            <family val="3"/>
            <charset val="129"/>
          </rPr>
          <t>상판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P132" authorId="1" shapeId="0">
      <text>
        <r>
          <rPr>
            <b/>
            <sz val="9"/>
            <color indexed="81"/>
            <rFont val="돋움"/>
            <family val="3"/>
            <charset val="129"/>
          </rPr>
          <t>ND4C &lt;-&gt; ND4S로 개조 가능한
상판의 Prober</t>
        </r>
      </text>
    </comment>
    <comment ref="S132" authorId="1" shapeId="0">
      <text>
        <r>
          <rPr>
            <b/>
            <sz val="9"/>
            <color indexed="81"/>
            <rFont val="돋움"/>
            <family val="3"/>
            <charset val="129"/>
          </rPr>
          <t>16/10/21 : 상판+Holder Ring+Holder 430mm로 개조 진행</t>
        </r>
      </text>
    </comment>
    <comment ref="S137" authorId="1" shapeId="0">
      <text>
        <r>
          <rPr>
            <b/>
            <sz val="9"/>
            <color indexed="81"/>
            <rFont val="Tahoma"/>
            <family val="2"/>
          </rPr>
          <t>2015.03.25
ND4 Standard</t>
        </r>
        <r>
          <rPr>
            <b/>
            <sz val="9"/>
            <color indexed="81"/>
            <rFont val="돋움"/>
            <family val="3"/>
            <charset val="129"/>
          </rPr>
          <t>용</t>
        </r>
        <r>
          <rPr>
            <b/>
            <sz val="9"/>
            <color indexed="81"/>
            <rFont val="Tahoma"/>
            <family val="2"/>
          </rPr>
          <t xml:space="preserve"> UF3000LX (Standard Demo Prober)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입고
</t>
        </r>
        <r>
          <rPr>
            <b/>
            <sz val="9"/>
            <color indexed="81"/>
            <rFont val="Tahoma"/>
            <family val="2"/>
          </rPr>
          <t>2017.01.17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UF3000LX (Standard Demo Prober) Steco</t>
        </r>
        <r>
          <rPr>
            <b/>
            <sz val="9"/>
            <color indexed="81"/>
            <rFont val="돋움"/>
            <family val="3"/>
            <charset val="129"/>
          </rPr>
          <t>社로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반출</t>
        </r>
        <r>
          <rPr>
            <b/>
            <sz val="9"/>
            <color indexed="81"/>
            <rFont val="Tahoma"/>
            <family val="2"/>
          </rPr>
          <t xml:space="preserve">
2017.06.01
Steco</t>
        </r>
        <r>
          <rPr>
            <b/>
            <sz val="9"/>
            <color indexed="81"/>
            <rFont val="돋움"/>
            <family val="3"/>
            <charset val="129"/>
          </rPr>
          <t>社에서</t>
        </r>
        <r>
          <rPr>
            <b/>
            <sz val="9"/>
            <color indexed="81"/>
            <rFont val="Tahoma"/>
            <family val="2"/>
          </rPr>
          <t xml:space="preserve"> LBS</t>
        </r>
        <r>
          <rPr>
            <b/>
            <sz val="9"/>
            <color indexed="81"/>
            <rFont val="돋움"/>
            <family val="3"/>
            <charset val="129"/>
          </rPr>
          <t>社로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자사에서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구입</t>
        </r>
        <r>
          <rPr>
            <b/>
            <sz val="9"/>
            <color indexed="81"/>
            <rFont val="Tahoma"/>
            <family val="2"/>
          </rPr>
          <t>)
2017.06.13
ND4 Standard Prober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ND3.5 Narmal Prober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상판개조</t>
        </r>
      </text>
    </comment>
    <comment ref="O145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삼성향
</t>
        </r>
      </text>
    </comment>
    <comment ref="O146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 xml:space="preserve">삼성향
</t>
        </r>
      </text>
    </comment>
    <comment ref="O147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삼성향
</t>
        </r>
      </text>
    </comment>
    <comment ref="O148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삼성향
</t>
        </r>
      </text>
    </comment>
    <comment ref="S148" authorId="1" shapeId="0">
      <text>
        <r>
          <rPr>
            <b/>
            <sz val="9"/>
            <color indexed="81"/>
            <rFont val="돋움"/>
            <family val="3"/>
            <charset val="129"/>
          </rPr>
          <t>13/07/22 AT52
17/08/03 Steco 임대
17/11/23 AT52</t>
        </r>
      </text>
    </comment>
    <comment ref="O149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삼성향</t>
        </r>
      </text>
    </comment>
    <comment ref="S149" authorId="1" shapeId="0">
      <text>
        <r>
          <rPr>
            <b/>
            <sz val="9"/>
            <color indexed="81"/>
            <rFont val="돋움"/>
            <family val="3"/>
            <charset val="129"/>
          </rPr>
          <t>17.05.03~18.01.30까지 Steco社 임대</t>
        </r>
      </text>
    </comment>
    <comment ref="O150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삼성향
</t>
        </r>
      </text>
    </comment>
    <comment ref="O151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삼성향
</t>
        </r>
      </text>
    </comment>
    <comment ref="S151" authorId="1" shapeId="0">
      <text>
        <r>
          <rPr>
            <b/>
            <sz val="9"/>
            <color indexed="81"/>
            <rFont val="Tahoma"/>
            <family val="2"/>
          </rPr>
          <t>2017.03.10
RVS [DB</t>
        </r>
        <r>
          <rPr>
            <b/>
            <sz val="9"/>
            <color indexed="81"/>
            <rFont val="돋움"/>
            <family val="3"/>
            <charset val="129"/>
          </rPr>
          <t>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교환</t>
        </r>
        <r>
          <rPr>
            <b/>
            <sz val="9"/>
            <color indexed="81"/>
            <rFont val="Tahoma"/>
            <family val="2"/>
          </rPr>
          <t>)
LBS(100mA) &lt;-&gt; DB(30mA)</t>
        </r>
      </text>
    </comment>
    <comment ref="S153" authorId="1" shapeId="0">
      <text>
        <r>
          <rPr>
            <b/>
            <sz val="9"/>
            <color indexed="81"/>
            <rFont val="Tahoma"/>
            <family val="2"/>
          </rPr>
          <t>2017.05.29
ST6730A-&gt;ST6731A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Upgrade
2017.06.28
ST6731A-&gt;ST6730A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Downgrade
2017.06.30
ST6730A-&gt;ST6731A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Upgrade</t>
        </r>
      </text>
    </comment>
    <comment ref="Y251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Capa </t>
        </r>
        <r>
          <rPr>
            <sz val="9"/>
            <color indexed="81"/>
            <rFont val="돋움"/>
            <family val="3"/>
            <charset val="129"/>
          </rPr>
          <t>변경으로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Z251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Capa </t>
        </r>
        <r>
          <rPr>
            <sz val="9"/>
            <color indexed="81"/>
            <rFont val="돋움"/>
            <family val="3"/>
            <charset val="129"/>
          </rPr>
          <t>변경으로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AR539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40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42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44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45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46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47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48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50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51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52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53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54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55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56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57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58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59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60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61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62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64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65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66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67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68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69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70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571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786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787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  <comment ref="AR789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UF3000</t>
        </r>
      </text>
    </comment>
  </commentList>
</comments>
</file>

<file path=xl/comments2.xml><?xml version="1.0" encoding="utf-8"?>
<comments xmlns="http://schemas.openxmlformats.org/spreadsheetml/2006/main">
  <authors>
    <author>leesj</author>
  </authors>
  <commentList>
    <comment ref="F11" authorId="0" shapeId="0">
      <text>
        <r>
          <rPr>
            <b/>
            <sz val="9"/>
            <color indexed="81"/>
            <rFont val="Tahoma"/>
            <family val="2"/>
          </rPr>
          <t>'26.06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
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대수</t>
        </r>
      </text>
    </comment>
  </commentList>
</comments>
</file>

<file path=xl/comments3.xml><?xml version="1.0" encoding="utf-8"?>
<comments xmlns="http://schemas.openxmlformats.org/spreadsheetml/2006/main">
  <authors>
    <author>김진원</author>
  </authors>
  <commentList>
    <comment ref="Z33" authorId="0" shapeId="0">
      <text>
        <r>
          <rPr>
            <b/>
            <sz val="9"/>
            <color indexed="81"/>
            <rFont val="돋움"/>
            <family val="3"/>
            <charset val="129"/>
          </rPr>
          <t>김진원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Disco: 35,000,000
Dynatec:500,000
Nomura:1,500,000</t>
        </r>
      </text>
    </comment>
  </commentList>
</comments>
</file>

<file path=xl/comments4.xml><?xml version="1.0" encoding="utf-8"?>
<comments xmlns="http://schemas.openxmlformats.org/spreadsheetml/2006/main">
  <authors>
    <author>정영근</author>
    <author>정익수-PC</author>
  </authors>
  <commentList>
    <comment ref="E10" authorId="0" shapeId="0">
      <text>
        <r>
          <rPr>
            <b/>
            <sz val="9"/>
            <color indexed="81"/>
            <rFont val="돋움"/>
            <family val="3"/>
            <charset val="129"/>
          </rPr>
          <t>대형</t>
        </r>
        <r>
          <rPr>
            <b/>
            <sz val="9"/>
            <color indexed="81"/>
            <rFont val="Tahoma"/>
            <family val="2"/>
          </rPr>
          <t xml:space="preserve"> Size 1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: 405, 530 Reel </t>
        </r>
        <r>
          <rPr>
            <b/>
            <sz val="9"/>
            <color indexed="81"/>
            <rFont val="돋움"/>
            <family val="3"/>
            <charset val="129"/>
          </rPr>
          <t>투입
소형</t>
        </r>
        <r>
          <rPr>
            <b/>
            <sz val="9"/>
            <color indexed="81"/>
            <rFont val="Tahoma"/>
            <family val="2"/>
          </rPr>
          <t xml:space="preserve"> Size 1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 xml:space="preserve"> Sample </t>
        </r>
        <r>
          <rPr>
            <b/>
            <sz val="9"/>
            <color indexed="81"/>
            <rFont val="돋움"/>
            <family val="3"/>
            <charset val="129"/>
          </rPr>
          <t>투입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</rPr>
          <t>High Power 3</t>
        </r>
        <r>
          <rPr>
            <b/>
            <sz val="9"/>
            <color indexed="81"/>
            <rFont val="돋움"/>
            <family val="3"/>
            <charset val="129"/>
          </rPr>
          <t xml:space="preserve">대
</t>
        </r>
        <r>
          <rPr>
            <b/>
            <sz val="9"/>
            <color indexed="81"/>
            <rFont val="Tahoma"/>
            <family val="2"/>
          </rPr>
          <t>Low Power 1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D35" authorId="1" shapeId="0">
      <text>
        <r>
          <rPr>
            <b/>
            <sz val="9"/>
            <color indexed="81"/>
            <rFont val="Tahoma"/>
            <family val="2"/>
          </rPr>
          <t xml:space="preserve">Even Loading </t>
        </r>
        <r>
          <rPr>
            <b/>
            <sz val="9"/>
            <color indexed="81"/>
            <rFont val="돋움"/>
            <family val="3"/>
            <charset val="129"/>
          </rPr>
          <t xml:space="preserve">가정시
</t>
        </r>
        <r>
          <rPr>
            <b/>
            <sz val="9"/>
            <color indexed="81"/>
            <rFont val="Tahoma"/>
            <family val="2"/>
          </rPr>
          <t>Capa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참조만</t>
        </r>
        <r>
          <rPr>
            <b/>
            <sz val="9"/>
            <color indexed="81"/>
            <rFont val="Tahoma"/>
            <family val="2"/>
          </rPr>
          <t xml:space="preserve">…
</t>
        </r>
      </text>
    </comment>
  </commentList>
</comments>
</file>

<file path=xl/sharedStrings.xml><?xml version="1.0" encoding="utf-8"?>
<sst xmlns="http://schemas.openxmlformats.org/spreadsheetml/2006/main" count="27007" uniqueCount="2648">
  <si>
    <r>
      <rPr>
        <sz val="11"/>
        <color theme="1"/>
        <rFont val="맑은 고딕"/>
        <family val="3"/>
        <charset val="129"/>
      </rPr>
      <t>총갯수</t>
    </r>
    <phoneticPr fontId="4" type="noConversion"/>
  </si>
  <si>
    <r>
      <rPr>
        <sz val="11"/>
        <color theme="1"/>
        <rFont val="맑은 고딕"/>
        <family val="3"/>
        <charset val="129"/>
      </rPr>
      <t>전략물자</t>
    </r>
    <r>
      <rPr>
        <sz val="11"/>
        <color theme="1"/>
        <rFont val="Arial"/>
        <family val="2"/>
      </rPr>
      <t xml:space="preserve"> </t>
    </r>
    <phoneticPr fontId="4" type="noConversion"/>
  </si>
  <si>
    <r>
      <t>'25</t>
    </r>
    <r>
      <rPr>
        <sz val="11"/>
        <color theme="1"/>
        <rFont val="맑은 고딕"/>
        <family val="3"/>
        <charset val="129"/>
      </rPr>
      <t>년</t>
    </r>
    <r>
      <rPr>
        <sz val="11"/>
        <color theme="1"/>
        <rFont val="Arial"/>
        <family val="2"/>
      </rPr>
      <t>10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기준</t>
    </r>
    <phoneticPr fontId="4" type="noConversion"/>
  </si>
  <si>
    <t>TTL</t>
    <phoneticPr fontId="4" type="noConversion"/>
  </si>
  <si>
    <t>Total</t>
    <phoneticPr fontId="4" type="noConversion"/>
  </si>
  <si>
    <r>
      <rPr>
        <sz val="9"/>
        <color theme="1"/>
        <rFont val="맑은 고딕"/>
        <family val="3"/>
        <charset val="129"/>
      </rPr>
      <t>내용연수</t>
    </r>
    <phoneticPr fontId="4" type="noConversion"/>
  </si>
  <si>
    <r>
      <rPr>
        <sz val="9"/>
        <color theme="1"/>
        <rFont val="맑은 고딕"/>
        <family val="3"/>
        <charset val="129"/>
      </rPr>
      <t>감상비평가율</t>
    </r>
    <r>
      <rPr>
        <sz val="9"/>
        <color theme="1"/>
        <rFont val="Arial"/>
        <family val="2"/>
      </rPr>
      <t>(%)</t>
    </r>
    <phoneticPr fontId="4" type="noConversion"/>
  </si>
  <si>
    <t>¡</t>
    <phoneticPr fontId="4" type="noConversion"/>
  </si>
  <si>
    <r>
      <rPr>
        <sz val="11"/>
        <color theme="1"/>
        <rFont val="맑은 고딕"/>
        <family val="3"/>
        <charset val="129"/>
      </rPr>
      <t>부분갯수</t>
    </r>
    <phoneticPr fontId="4" type="noConversion"/>
  </si>
  <si>
    <t>Sub. TTL</t>
    <phoneticPr fontId="4" type="noConversion"/>
  </si>
  <si>
    <t>Sub. Total</t>
    <phoneticPr fontId="4" type="noConversion"/>
  </si>
  <si>
    <r>
      <rPr>
        <sz val="9"/>
        <color theme="1"/>
        <rFont val="맑은 고딕"/>
        <family val="3"/>
        <charset val="129"/>
      </rPr>
      <t>감상비할증율</t>
    </r>
    <phoneticPr fontId="4" type="noConversion"/>
  </si>
  <si>
    <r>
      <rPr>
        <sz val="11"/>
        <color theme="1"/>
        <rFont val="맑은 고딕"/>
        <family val="3"/>
        <charset val="129"/>
      </rPr>
      <t>취득가액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없는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항목</t>
    </r>
    <r>
      <rPr>
        <sz val="11"/>
        <color theme="1"/>
        <rFont val="Arial"/>
        <family val="2"/>
      </rPr>
      <t xml:space="preserve"> 5ea: </t>
    </r>
    <r>
      <rPr>
        <sz val="11"/>
        <color theme="1"/>
        <rFont val="맑은 고딕"/>
        <family val="3"/>
        <charset val="129"/>
      </rPr>
      <t>평가액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백만원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적용</t>
    </r>
    <phoneticPr fontId="4" type="noConversion"/>
  </si>
  <si>
    <r>
      <rPr>
        <sz val="9"/>
        <color rgb="FFFF0000"/>
        <rFont val="맑은 고딕"/>
        <family val="3"/>
        <charset val="129"/>
      </rPr>
      <t>기계장치에만</t>
    </r>
    <r>
      <rPr>
        <sz val="9"/>
        <color rgb="FFFF0000"/>
        <rFont val="Arial"/>
        <family val="2"/>
      </rPr>
      <t xml:space="preserve"> </t>
    </r>
    <r>
      <rPr>
        <sz val="9"/>
        <color rgb="FFFF0000"/>
        <rFont val="맑은 고딕"/>
        <family val="3"/>
        <charset val="129"/>
      </rPr>
      <t>할증율</t>
    </r>
    <r>
      <rPr>
        <sz val="9"/>
        <color rgb="FFFF0000"/>
        <rFont val="Arial"/>
        <family val="2"/>
      </rPr>
      <t xml:space="preserve"> </t>
    </r>
    <r>
      <rPr>
        <sz val="9"/>
        <color rgb="FFFF0000"/>
        <rFont val="맑은 고딕"/>
        <family val="3"/>
        <charset val="129"/>
      </rPr>
      <t>적용</t>
    </r>
    <phoneticPr fontId="4" type="noConversion"/>
  </si>
  <si>
    <r>
      <rPr>
        <b/>
        <sz val="10"/>
        <color theme="1"/>
        <rFont val="맑은 고딕"/>
        <family val="3"/>
        <charset val="129"/>
      </rPr>
      <t>자산번호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맑은 고딕"/>
        <family val="3"/>
        <charset val="129"/>
      </rPr>
      <t>구미</t>
    </r>
    <r>
      <rPr>
        <b/>
        <sz val="10"/>
        <color theme="1"/>
        <rFont val="Arial"/>
        <family val="2"/>
      </rPr>
      <t>)</t>
    </r>
    <phoneticPr fontId="4" type="noConversion"/>
  </si>
  <si>
    <r>
      <t>1</t>
    </r>
    <r>
      <rPr>
        <b/>
        <sz val="11"/>
        <color theme="1"/>
        <rFont val="맑은 고딕"/>
        <family val="3"/>
        <charset val="129"/>
      </rPr>
      <t>차</t>
    </r>
    <r>
      <rPr>
        <b/>
        <sz val="11"/>
        <color theme="1"/>
        <rFont val="Arial"/>
        <family val="2"/>
      </rPr>
      <t>, 2</t>
    </r>
    <r>
      <rPr>
        <b/>
        <sz val="11"/>
        <color theme="1"/>
        <rFont val="맑은 고딕"/>
        <family val="3"/>
        <charset val="129"/>
      </rPr>
      <t>차</t>
    </r>
    <r>
      <rPr>
        <b/>
        <sz val="11"/>
        <color theme="1"/>
        <rFont val="Arial"/>
        <family val="2"/>
      </rPr>
      <t>, 3</t>
    </r>
    <r>
      <rPr>
        <b/>
        <sz val="11"/>
        <color theme="1"/>
        <rFont val="맑은 고딕"/>
        <family val="3"/>
        <charset val="129"/>
      </rPr>
      <t>차</t>
    </r>
    <phoneticPr fontId="4" type="noConversion"/>
  </si>
  <si>
    <r>
      <rPr>
        <b/>
        <sz val="11"/>
        <color theme="1"/>
        <rFont val="맑은 고딕"/>
        <family val="3"/>
        <charset val="129"/>
      </rPr>
      <t>수출통제</t>
    </r>
    <phoneticPr fontId="4" type="noConversion"/>
  </si>
  <si>
    <r>
      <rPr>
        <b/>
        <sz val="11"/>
        <color theme="1"/>
        <rFont val="맑은 고딕"/>
        <family val="3"/>
        <charset val="129"/>
      </rPr>
      <t>관세</t>
    </r>
    <phoneticPr fontId="4" type="noConversion"/>
  </si>
  <si>
    <r>
      <t>'25</t>
    </r>
    <r>
      <rPr>
        <sz val="11"/>
        <color theme="1"/>
        <rFont val="맑은 고딕"/>
        <family val="3"/>
        <charset val="129"/>
      </rPr>
      <t>년</t>
    </r>
    <r>
      <rPr>
        <sz val="11"/>
        <color theme="1"/>
        <rFont val="Arial"/>
        <family val="2"/>
      </rPr>
      <t xml:space="preserve"> 6</t>
    </r>
    <r>
      <rPr>
        <sz val="11"/>
        <color theme="1"/>
        <rFont val="맑은 고딕"/>
        <family val="3"/>
        <charset val="129"/>
      </rPr>
      <t>월기준</t>
    </r>
    <phoneticPr fontId="4" type="noConversion"/>
  </si>
  <si>
    <r>
      <t>'25</t>
    </r>
    <r>
      <rPr>
        <sz val="11"/>
        <color theme="1"/>
        <rFont val="맑은 고딕"/>
        <family val="3"/>
        <charset val="129"/>
      </rPr>
      <t>년</t>
    </r>
    <r>
      <rPr>
        <sz val="11"/>
        <color theme="1"/>
        <rFont val="Arial"/>
        <family val="2"/>
      </rPr>
      <t>6</t>
    </r>
    <r>
      <rPr>
        <sz val="11"/>
        <color theme="1"/>
        <rFont val="맑은 고딕"/>
        <family val="3"/>
        <charset val="129"/>
      </rPr>
      <t>월기준</t>
    </r>
    <phoneticPr fontId="4" type="noConversion"/>
  </si>
  <si>
    <t>Subtotal</t>
    <phoneticPr fontId="4" type="noConversion"/>
  </si>
  <si>
    <t>No</t>
    <phoneticPr fontId="4" type="noConversion"/>
  </si>
  <si>
    <r>
      <rPr>
        <sz val="10"/>
        <color theme="1"/>
        <rFont val="맑은 고딕"/>
        <family val="3"/>
        <charset val="129"/>
      </rPr>
      <t>투자</t>
    </r>
    <phoneticPr fontId="4" type="noConversion"/>
  </si>
  <si>
    <r>
      <rPr>
        <sz val="10"/>
        <color theme="1"/>
        <rFont val="맑은 고딕"/>
        <family val="3"/>
        <charset val="129"/>
      </rPr>
      <t>체크</t>
    </r>
    <phoneticPr fontId="4" type="noConversion"/>
  </si>
  <si>
    <r>
      <rPr>
        <sz val="10"/>
        <color theme="1"/>
        <rFont val="맑은 고딕"/>
        <family val="3"/>
        <charset val="129"/>
      </rPr>
      <t>담당자</t>
    </r>
    <phoneticPr fontId="19" type="noConversion"/>
  </si>
  <si>
    <t>SITE</t>
    <phoneticPr fontId="19" type="noConversion"/>
  </si>
  <si>
    <r>
      <rPr>
        <b/>
        <sz val="10"/>
        <color theme="1"/>
        <rFont val="맑은 고딕"/>
        <family val="3"/>
        <charset val="129"/>
      </rPr>
      <t>부문</t>
    </r>
    <phoneticPr fontId="19" type="noConversion"/>
  </si>
  <si>
    <r>
      <t xml:space="preserve">8" </t>
    </r>
    <r>
      <rPr>
        <b/>
        <sz val="10"/>
        <color theme="1"/>
        <rFont val="맑은 고딕"/>
        <family val="3"/>
        <charset val="129"/>
      </rPr>
      <t>해당유무</t>
    </r>
    <phoneticPr fontId="19" type="noConversion"/>
  </si>
  <si>
    <t>WF Size</t>
    <phoneticPr fontId="19" type="noConversion"/>
  </si>
  <si>
    <t>Biz1</t>
    <phoneticPr fontId="19" type="noConversion"/>
  </si>
  <si>
    <t>Biz2</t>
    <phoneticPr fontId="19" type="noConversion"/>
  </si>
  <si>
    <r>
      <rPr>
        <b/>
        <sz val="10"/>
        <color theme="1"/>
        <rFont val="맑은 고딕"/>
        <family val="3"/>
        <charset val="129"/>
      </rPr>
      <t>공정</t>
    </r>
    <r>
      <rPr>
        <b/>
        <sz val="10"/>
        <color theme="1"/>
        <rFont val="Arial"/>
        <family val="2"/>
      </rPr>
      <t>1</t>
    </r>
    <phoneticPr fontId="19" type="noConversion"/>
  </si>
  <si>
    <r>
      <rPr>
        <b/>
        <sz val="10"/>
        <color theme="1"/>
        <rFont val="맑은 고딕"/>
        <family val="3"/>
        <charset val="129"/>
      </rPr>
      <t>공정</t>
    </r>
    <r>
      <rPr>
        <b/>
        <sz val="10"/>
        <color theme="1"/>
        <rFont val="Arial"/>
        <family val="2"/>
      </rPr>
      <t>2</t>
    </r>
    <phoneticPr fontId="19" type="noConversion"/>
  </si>
  <si>
    <t>SAP Code</t>
    <phoneticPr fontId="19" type="noConversion"/>
  </si>
  <si>
    <r>
      <rPr>
        <b/>
        <sz val="10"/>
        <color theme="1"/>
        <rFont val="맑은 고딕"/>
        <family val="3"/>
        <charset val="129"/>
      </rPr>
      <t>설비구분</t>
    </r>
    <phoneticPr fontId="19" type="noConversion"/>
  </si>
  <si>
    <r>
      <rPr>
        <b/>
        <sz val="10"/>
        <color theme="1"/>
        <rFont val="맑은 고딕"/>
        <family val="3"/>
        <charset val="129"/>
      </rPr>
      <t>자산명</t>
    </r>
    <phoneticPr fontId="19" type="noConversion"/>
  </si>
  <si>
    <r>
      <t>Model</t>
    </r>
    <r>
      <rPr>
        <b/>
        <sz val="10"/>
        <color theme="1"/>
        <rFont val="맑은 고딕"/>
        <family val="3"/>
        <charset val="129"/>
      </rPr>
      <t>명</t>
    </r>
    <phoneticPr fontId="19" type="noConversion"/>
  </si>
  <si>
    <r>
      <t>Model</t>
    </r>
    <r>
      <rPr>
        <b/>
        <sz val="10"/>
        <color theme="1"/>
        <rFont val="맑은 고딕"/>
        <family val="3"/>
        <charset val="129"/>
      </rPr>
      <t>명</t>
    </r>
    <r>
      <rPr>
        <b/>
        <sz val="10"/>
        <color theme="1"/>
        <rFont val="Arial"/>
        <family val="2"/>
      </rPr>
      <t>1</t>
    </r>
    <phoneticPr fontId="4" type="noConversion"/>
  </si>
  <si>
    <r>
      <t xml:space="preserve">Model </t>
    </r>
    <r>
      <rPr>
        <b/>
        <sz val="10"/>
        <color theme="1"/>
        <rFont val="맑은 고딕"/>
        <family val="3"/>
        <charset val="129"/>
      </rPr>
      <t>구분</t>
    </r>
    <phoneticPr fontId="4" type="noConversion"/>
  </si>
  <si>
    <t>S/N</t>
    <phoneticPr fontId="19" type="noConversion"/>
  </si>
  <si>
    <r>
      <rPr>
        <b/>
        <sz val="10"/>
        <color theme="1"/>
        <rFont val="맑은 고딕"/>
        <family val="3"/>
        <charset val="129"/>
      </rPr>
      <t>설비번호</t>
    </r>
    <phoneticPr fontId="19" type="noConversion"/>
  </si>
  <si>
    <r>
      <rPr>
        <b/>
        <sz val="10"/>
        <color theme="1"/>
        <rFont val="맑은 고딕"/>
        <family val="3"/>
        <charset val="129"/>
      </rPr>
      <t>가동유무</t>
    </r>
    <phoneticPr fontId="19" type="noConversion"/>
  </si>
  <si>
    <r>
      <rPr>
        <b/>
        <sz val="10"/>
        <color theme="1"/>
        <rFont val="맑은 고딕"/>
        <family val="3"/>
        <charset val="129"/>
      </rPr>
      <t>국적</t>
    </r>
    <phoneticPr fontId="4" type="noConversion"/>
  </si>
  <si>
    <r>
      <rPr>
        <b/>
        <sz val="10"/>
        <color theme="1"/>
        <rFont val="맑은 고딕"/>
        <family val="3"/>
        <charset val="129"/>
      </rPr>
      <t>업체명</t>
    </r>
    <phoneticPr fontId="19" type="noConversion"/>
  </si>
  <si>
    <r>
      <rPr>
        <b/>
        <sz val="10"/>
        <color theme="1"/>
        <rFont val="맑은 고딕"/>
        <family val="3"/>
        <charset val="129"/>
      </rPr>
      <t>설비이동</t>
    </r>
    <r>
      <rPr>
        <b/>
        <sz val="10"/>
        <color theme="1"/>
        <rFont val="Arial"/>
        <family val="2"/>
      </rPr>
      <t>(New)</t>
    </r>
    <phoneticPr fontId="4" type="noConversion"/>
  </si>
  <si>
    <r>
      <rPr>
        <b/>
        <sz val="10"/>
        <color theme="1"/>
        <rFont val="맑은 고딕"/>
        <family val="3"/>
        <charset val="129"/>
      </rPr>
      <t>설비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이동</t>
    </r>
    <r>
      <rPr>
        <b/>
        <sz val="10"/>
        <color theme="1"/>
        <rFont val="Arial"/>
        <family val="2"/>
      </rPr>
      <t xml:space="preserve"> </t>
    </r>
    <phoneticPr fontId="4" type="noConversion"/>
  </si>
  <si>
    <r>
      <rPr>
        <b/>
        <sz val="10"/>
        <color theme="1"/>
        <rFont val="맑은 고딕"/>
        <family val="3"/>
        <charset val="129"/>
      </rPr>
      <t>설비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이동(백업)</t>
    </r>
    <phoneticPr fontId="4" type="noConversion"/>
  </si>
  <si>
    <r>
      <rPr>
        <b/>
        <sz val="10"/>
        <color theme="1"/>
        <rFont val="맑은 고딕"/>
        <family val="3"/>
        <charset val="129"/>
      </rPr>
      <t>전략물자해당여부</t>
    </r>
    <phoneticPr fontId="4" type="noConversion"/>
  </si>
  <si>
    <r>
      <rPr>
        <b/>
        <sz val="10"/>
        <color theme="1"/>
        <rFont val="맑은 고딕"/>
        <family val="3"/>
        <charset val="129"/>
      </rPr>
      <t>사용용도</t>
    </r>
    <phoneticPr fontId="4" type="noConversion"/>
  </si>
  <si>
    <r>
      <rPr>
        <b/>
        <sz val="10"/>
        <color theme="1"/>
        <rFont val="맑은 고딕"/>
        <family val="3"/>
        <charset val="129"/>
      </rPr>
      <t>간략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기능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설명</t>
    </r>
    <r>
      <rPr>
        <b/>
        <sz val="10"/>
        <color theme="1"/>
        <rFont val="Arial"/>
        <family val="2"/>
      </rPr>
      <t xml:space="preserve"> </t>
    </r>
    <phoneticPr fontId="4" type="noConversion"/>
  </si>
  <si>
    <r>
      <rPr>
        <b/>
        <sz val="10"/>
        <color theme="1"/>
        <rFont val="맑은 고딕"/>
        <family val="3"/>
        <charset val="129"/>
      </rPr>
      <t>기술사양기준</t>
    </r>
    <phoneticPr fontId="4" type="noConversion"/>
  </si>
  <si>
    <r>
      <rPr>
        <b/>
        <sz val="10"/>
        <color theme="1"/>
        <rFont val="맑은 고딕"/>
        <family val="3"/>
        <charset val="129"/>
      </rPr>
      <t>국제통제리스트매칭</t>
    </r>
    <phoneticPr fontId="4" type="noConversion"/>
  </si>
  <si>
    <r>
      <t>ECCN/</t>
    </r>
    <r>
      <rPr>
        <b/>
        <sz val="10"/>
        <color theme="1"/>
        <rFont val="맑은 고딕"/>
        <family val="3"/>
        <charset val="129"/>
      </rPr>
      <t>통제번호</t>
    </r>
    <phoneticPr fontId="4" type="noConversion"/>
  </si>
  <si>
    <t>HS code</t>
    <phoneticPr fontId="4" type="noConversion"/>
  </si>
  <si>
    <r>
      <rPr>
        <b/>
        <sz val="10"/>
        <color theme="1"/>
        <rFont val="맑은 고딕"/>
        <family val="3"/>
        <charset val="129"/>
      </rPr>
      <t>통제사유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맑은 고딕"/>
        <family val="3"/>
        <charset val="129"/>
      </rPr>
      <t>성능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맑은 고딕"/>
        <family val="3"/>
        <charset val="129"/>
      </rPr>
      <t>용도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맑은 고딕"/>
        <family val="3"/>
        <charset val="129"/>
      </rPr>
      <t>기술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포함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여부</t>
    </r>
    <r>
      <rPr>
        <b/>
        <sz val="10"/>
        <color theme="1"/>
        <rFont val="Arial"/>
        <family val="2"/>
      </rPr>
      <t>)</t>
    </r>
    <phoneticPr fontId="4" type="noConversion"/>
  </si>
  <si>
    <r>
      <rPr>
        <b/>
        <sz val="10"/>
        <color theme="1"/>
        <rFont val="맑은 고딕"/>
        <family val="3"/>
        <charset val="129"/>
      </rPr>
      <t>부속요소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포함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여부</t>
    </r>
    <phoneticPr fontId="4" type="noConversion"/>
  </si>
  <si>
    <r>
      <rPr>
        <b/>
        <sz val="10"/>
        <color theme="1"/>
        <rFont val="맑은 고딕"/>
        <family val="3"/>
        <charset val="129"/>
      </rPr>
      <t>제작일</t>
    </r>
    <phoneticPr fontId="19" type="noConversion"/>
  </si>
  <si>
    <r>
      <rPr>
        <b/>
        <sz val="10"/>
        <color theme="1"/>
        <rFont val="맑은 고딕"/>
        <family val="3"/>
        <charset val="129"/>
      </rPr>
      <t>취득일</t>
    </r>
    <phoneticPr fontId="19" type="noConversion"/>
  </si>
  <si>
    <r>
      <rPr>
        <b/>
        <sz val="10"/>
        <color theme="1"/>
        <rFont val="맑은 고딕"/>
        <family val="3"/>
        <charset val="129"/>
      </rPr>
      <t>사용년수</t>
    </r>
    <phoneticPr fontId="19" type="noConversion"/>
  </si>
  <si>
    <r>
      <rPr>
        <b/>
        <sz val="10"/>
        <color theme="1"/>
        <rFont val="맑은 고딕"/>
        <family val="3"/>
        <charset val="129"/>
      </rPr>
      <t>내용년수</t>
    </r>
    <phoneticPr fontId="19" type="noConversion"/>
  </si>
  <si>
    <r>
      <rPr>
        <b/>
        <sz val="10"/>
        <color theme="1"/>
        <rFont val="맑은 고딕"/>
        <family val="3"/>
        <charset val="129"/>
      </rPr>
      <t>위치</t>
    </r>
    <phoneticPr fontId="19" type="noConversion"/>
  </si>
  <si>
    <r>
      <rPr>
        <b/>
        <sz val="10"/>
        <color theme="1"/>
        <rFont val="맑은 고딕"/>
        <family val="3"/>
        <charset val="129"/>
      </rPr>
      <t>자산구분</t>
    </r>
    <phoneticPr fontId="19" type="noConversion"/>
  </si>
  <si>
    <r>
      <rPr>
        <b/>
        <sz val="10"/>
        <color theme="1"/>
        <rFont val="맑은 고딕"/>
        <family val="3"/>
        <charset val="129"/>
      </rPr>
      <t>담보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유무</t>
    </r>
    <phoneticPr fontId="19" type="noConversion"/>
  </si>
  <si>
    <r>
      <rPr>
        <b/>
        <sz val="10"/>
        <color theme="1"/>
        <rFont val="맑은 고딕"/>
        <family val="3"/>
        <charset val="129"/>
      </rPr>
      <t>전력소모량</t>
    </r>
    <r>
      <rPr>
        <b/>
        <sz val="10"/>
        <color theme="1"/>
        <rFont val="Arial"/>
        <family val="2"/>
      </rPr>
      <t>(kwh)</t>
    </r>
    <phoneticPr fontId="19" type="noConversion"/>
  </si>
  <si>
    <r>
      <rPr>
        <b/>
        <sz val="10"/>
        <color theme="1"/>
        <rFont val="맑은 고딕"/>
        <family val="3"/>
        <charset val="129"/>
      </rPr>
      <t>가로</t>
    </r>
    <phoneticPr fontId="19" type="noConversion"/>
  </si>
  <si>
    <r>
      <rPr>
        <b/>
        <sz val="10"/>
        <color theme="1"/>
        <rFont val="맑은 고딕"/>
        <family val="3"/>
        <charset val="129"/>
      </rPr>
      <t>세로</t>
    </r>
    <phoneticPr fontId="19" type="noConversion"/>
  </si>
  <si>
    <r>
      <rPr>
        <b/>
        <sz val="10"/>
        <color theme="1"/>
        <rFont val="맑은 고딕"/>
        <family val="3"/>
        <charset val="129"/>
      </rPr>
      <t>높이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맑은 고딕"/>
        <family val="3"/>
        <charset val="129"/>
      </rPr>
      <t>장비</t>
    </r>
    <r>
      <rPr>
        <b/>
        <sz val="10"/>
        <color theme="1"/>
        <rFont val="Arial"/>
        <family val="2"/>
      </rPr>
      <t>Size)</t>
    </r>
    <phoneticPr fontId="19" type="noConversion"/>
  </si>
  <si>
    <r>
      <t>(</t>
    </r>
    <r>
      <rPr>
        <b/>
        <sz val="10"/>
        <color theme="1"/>
        <rFont val="맑은 고딕"/>
        <family val="3"/>
        <charset val="129"/>
      </rPr>
      <t>취득</t>
    </r>
    <r>
      <rPr>
        <b/>
        <sz val="10"/>
        <color theme="1"/>
        <rFont val="Arial"/>
        <family val="2"/>
      </rPr>
      <t>)</t>
    </r>
    <r>
      <rPr>
        <b/>
        <sz val="10"/>
        <color theme="1"/>
        <rFont val="맑은 고딕"/>
        <family val="3"/>
        <charset val="129"/>
      </rPr>
      <t>기초가액</t>
    </r>
    <phoneticPr fontId="19" type="noConversion"/>
  </si>
  <si>
    <r>
      <t>(</t>
    </r>
    <r>
      <rPr>
        <b/>
        <sz val="10"/>
        <color theme="1"/>
        <rFont val="맑은 고딕"/>
        <family val="3"/>
        <charset val="129"/>
      </rPr>
      <t>취득</t>
    </r>
    <r>
      <rPr>
        <b/>
        <sz val="10"/>
        <color theme="1"/>
        <rFont val="Arial"/>
        <family val="2"/>
      </rPr>
      <t xml:space="preserve">) </t>
    </r>
    <r>
      <rPr>
        <b/>
        <sz val="10"/>
        <color theme="1"/>
        <rFont val="맑은 고딕"/>
        <family val="3"/>
        <charset val="129"/>
      </rPr>
      <t>당기증가</t>
    </r>
    <phoneticPr fontId="19" type="noConversion"/>
  </si>
  <si>
    <r>
      <t>(</t>
    </r>
    <r>
      <rPr>
        <b/>
        <sz val="10"/>
        <color theme="1"/>
        <rFont val="맑은 고딕"/>
        <family val="3"/>
        <charset val="129"/>
      </rPr>
      <t>취득</t>
    </r>
    <r>
      <rPr>
        <b/>
        <sz val="10"/>
        <color theme="1"/>
        <rFont val="Arial"/>
        <family val="2"/>
      </rPr>
      <t xml:space="preserve">) </t>
    </r>
    <r>
      <rPr>
        <b/>
        <sz val="10"/>
        <color theme="1"/>
        <rFont val="맑은 고딕"/>
        <family val="3"/>
        <charset val="129"/>
      </rPr>
      <t>당기감소</t>
    </r>
    <phoneticPr fontId="19" type="noConversion"/>
  </si>
  <si>
    <r>
      <t>(</t>
    </r>
    <r>
      <rPr>
        <b/>
        <sz val="10"/>
        <color theme="1"/>
        <rFont val="맑은 고딕"/>
        <family val="3"/>
        <charset val="129"/>
      </rPr>
      <t>취득</t>
    </r>
    <r>
      <rPr>
        <b/>
        <sz val="10"/>
        <color theme="1"/>
        <rFont val="Arial"/>
        <family val="2"/>
      </rPr>
      <t xml:space="preserve">) </t>
    </r>
    <r>
      <rPr>
        <b/>
        <sz val="10"/>
        <color theme="1"/>
        <rFont val="맑은 고딕"/>
        <family val="3"/>
        <charset val="129"/>
      </rPr>
      <t>기말잔액</t>
    </r>
    <phoneticPr fontId="19" type="noConversion"/>
  </si>
  <si>
    <r>
      <rPr>
        <b/>
        <sz val="10"/>
        <color theme="1"/>
        <rFont val="맑은 고딕"/>
        <family val="3"/>
        <charset val="129"/>
      </rPr>
      <t>누적감상액</t>
    </r>
    <phoneticPr fontId="19" type="noConversion"/>
  </si>
  <si>
    <r>
      <rPr>
        <b/>
        <sz val="10"/>
        <color theme="1"/>
        <rFont val="맑은 고딕"/>
        <family val="3"/>
        <charset val="129"/>
      </rPr>
      <t>월상각액</t>
    </r>
    <phoneticPr fontId="19" type="noConversion"/>
  </si>
  <si>
    <r>
      <rPr>
        <b/>
        <sz val="10"/>
        <color theme="1"/>
        <rFont val="맑은 고딕"/>
        <family val="3"/>
        <charset val="129"/>
      </rPr>
      <t>장부잔액</t>
    </r>
    <r>
      <rPr>
        <b/>
        <sz val="10"/>
        <color theme="1"/>
        <rFont val="Arial"/>
        <family val="2"/>
      </rPr>
      <t>(10</t>
    </r>
    <r>
      <rPr>
        <b/>
        <sz val="10"/>
        <color theme="1"/>
        <rFont val="맑은 고딕"/>
        <family val="3"/>
        <charset val="129"/>
      </rPr>
      <t>월</t>
    </r>
    <r>
      <rPr>
        <b/>
        <sz val="10"/>
        <color theme="1"/>
        <rFont val="Arial"/>
        <family val="2"/>
      </rPr>
      <t>)</t>
    </r>
    <phoneticPr fontId="19" type="noConversion"/>
  </si>
  <si>
    <t>장부 잔액('26년3월)</t>
    <phoneticPr fontId="4" type="noConversion"/>
  </si>
  <si>
    <r>
      <rPr>
        <b/>
        <sz val="10"/>
        <color theme="1"/>
        <rFont val="맑은 고딕"/>
        <family val="3"/>
        <charset val="129"/>
      </rPr>
      <t>기준사용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맑은 고딕"/>
        <family val="3"/>
        <charset val="129"/>
      </rPr>
      <t>월</t>
    </r>
    <r>
      <rPr>
        <b/>
        <sz val="10"/>
        <color theme="1"/>
        <rFont val="Arial"/>
        <family val="2"/>
      </rPr>
      <t>)</t>
    </r>
    <phoneticPr fontId="19" type="noConversion"/>
  </si>
  <si>
    <r>
      <rPr>
        <b/>
        <sz val="10"/>
        <color theme="1"/>
        <rFont val="맑은 고딕"/>
        <family val="3"/>
        <charset val="129"/>
      </rPr>
      <t>삼각경과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맑은 고딕"/>
        <family val="3"/>
        <charset val="129"/>
      </rPr>
      <t>월</t>
    </r>
    <r>
      <rPr>
        <b/>
        <sz val="10"/>
        <color theme="1"/>
        <rFont val="Arial"/>
        <family val="2"/>
      </rPr>
      <t>)</t>
    </r>
    <phoneticPr fontId="19" type="noConversion"/>
  </si>
  <si>
    <r>
      <rPr>
        <b/>
        <sz val="10"/>
        <color theme="1"/>
        <rFont val="맑은 고딕"/>
        <family val="3"/>
        <charset val="129"/>
      </rPr>
      <t>상각완료예정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맑은 고딕"/>
        <family val="3"/>
        <charset val="129"/>
      </rPr>
      <t>월</t>
    </r>
    <r>
      <rPr>
        <b/>
        <sz val="10"/>
        <color theme="1"/>
        <rFont val="Arial"/>
        <family val="2"/>
      </rPr>
      <t>)</t>
    </r>
    <phoneticPr fontId="19" type="noConversion"/>
  </si>
  <si>
    <r>
      <rPr>
        <b/>
        <sz val="10"/>
        <color theme="1"/>
        <rFont val="맑은 고딕"/>
        <family val="3"/>
        <charset val="129"/>
      </rPr>
      <t>상각완료여부</t>
    </r>
    <phoneticPr fontId="19" type="noConversion"/>
  </si>
  <si>
    <r>
      <rPr>
        <sz val="10"/>
        <color theme="1"/>
        <rFont val="맑은 고딕"/>
        <family val="3"/>
        <charset val="129"/>
      </rPr>
      <t>귀속부서</t>
    </r>
    <phoneticPr fontId="19" type="noConversion"/>
  </si>
  <si>
    <r>
      <rPr>
        <sz val="10"/>
        <color theme="1"/>
        <rFont val="맑은 고딕"/>
        <family val="3"/>
        <charset val="129"/>
      </rPr>
      <t>감상비</t>
    </r>
    <r>
      <rPr>
        <sz val="10"/>
        <color theme="1"/>
        <rFont val="Arial"/>
        <family val="2"/>
      </rPr>
      <t>_</t>
    </r>
    <r>
      <rPr>
        <sz val="10"/>
        <color theme="1"/>
        <rFont val="맑은 고딕"/>
        <family val="3"/>
        <charset val="129"/>
      </rPr>
      <t>부문</t>
    </r>
    <phoneticPr fontId="4" type="noConversion"/>
  </si>
  <si>
    <r>
      <rPr>
        <sz val="10"/>
        <color theme="1"/>
        <rFont val="맑은 고딕"/>
        <family val="3"/>
        <charset val="129"/>
      </rPr>
      <t>참고</t>
    </r>
    <phoneticPr fontId="4" type="noConversion"/>
  </si>
  <si>
    <r>
      <rPr>
        <sz val="10"/>
        <color theme="1"/>
        <rFont val="맑은 고딕"/>
        <family val="3"/>
        <charset val="129"/>
      </rPr>
      <t>감상비분류</t>
    </r>
    <phoneticPr fontId="4" type="noConversion"/>
  </si>
  <si>
    <r>
      <t>New</t>
    </r>
    <r>
      <rPr>
        <b/>
        <sz val="9"/>
        <color theme="1"/>
        <rFont val="맑은 고딕"/>
        <family val="3"/>
        <charset val="129"/>
      </rPr>
      <t>평가액</t>
    </r>
    <phoneticPr fontId="4" type="noConversion"/>
  </si>
  <si>
    <r>
      <rPr>
        <b/>
        <sz val="9"/>
        <color theme="1"/>
        <rFont val="맑은 고딕"/>
        <family val="3"/>
        <charset val="129"/>
      </rPr>
      <t>분기상각비용</t>
    </r>
    <phoneticPr fontId="4" type="noConversion"/>
  </si>
  <si>
    <r>
      <rPr>
        <b/>
        <sz val="9"/>
        <color theme="1"/>
        <rFont val="맑은 고딕"/>
        <family val="3"/>
        <charset val="129"/>
      </rPr>
      <t>월상각비용</t>
    </r>
    <phoneticPr fontId="4" type="noConversion"/>
  </si>
  <si>
    <t>1Q-28</t>
    <phoneticPr fontId="4" type="noConversion"/>
  </si>
  <si>
    <t>2Q-28</t>
    <phoneticPr fontId="4" type="noConversion"/>
  </si>
  <si>
    <t>3Q-28</t>
    <phoneticPr fontId="4" type="noConversion"/>
  </si>
  <si>
    <t>4Q-28</t>
    <phoneticPr fontId="4" type="noConversion"/>
  </si>
  <si>
    <r>
      <rPr>
        <b/>
        <sz val="9"/>
        <rFont val="맑은 고딕"/>
        <family val="3"/>
        <charset val="129"/>
      </rPr>
      <t>합계</t>
    </r>
    <r>
      <rPr>
        <b/>
        <sz val="9"/>
        <rFont val="Arial"/>
        <family val="2"/>
      </rPr>
      <t>-28</t>
    </r>
    <phoneticPr fontId="4" type="noConversion"/>
  </si>
  <si>
    <t>1Q-29</t>
    <phoneticPr fontId="4" type="noConversion"/>
  </si>
  <si>
    <t>2Q-29</t>
    <phoneticPr fontId="4" type="noConversion"/>
  </si>
  <si>
    <t>3Q-29</t>
    <phoneticPr fontId="4" type="noConversion"/>
  </si>
  <si>
    <t>4Q-29</t>
    <phoneticPr fontId="4" type="noConversion"/>
  </si>
  <si>
    <r>
      <rPr>
        <b/>
        <sz val="9"/>
        <rFont val="맑은 고딕"/>
        <family val="3"/>
        <charset val="129"/>
      </rPr>
      <t>합계</t>
    </r>
    <r>
      <rPr>
        <b/>
        <sz val="9"/>
        <rFont val="Arial"/>
        <family val="2"/>
      </rPr>
      <t>-29</t>
    </r>
    <phoneticPr fontId="4" type="noConversion"/>
  </si>
  <si>
    <t>1Q-30</t>
    <phoneticPr fontId="4" type="noConversion"/>
  </si>
  <si>
    <t>2Q-30</t>
    <phoneticPr fontId="4" type="noConversion"/>
  </si>
  <si>
    <t>3Q-30</t>
    <phoneticPr fontId="4" type="noConversion"/>
  </si>
  <si>
    <t>4Q-30</t>
    <phoneticPr fontId="4" type="noConversion"/>
  </si>
  <si>
    <r>
      <rPr>
        <b/>
        <sz val="9"/>
        <rFont val="맑은 고딕"/>
        <family val="3"/>
        <charset val="129"/>
      </rPr>
      <t>합계</t>
    </r>
    <r>
      <rPr>
        <b/>
        <sz val="9"/>
        <rFont val="Arial"/>
        <family val="2"/>
      </rPr>
      <t>-30</t>
    </r>
    <phoneticPr fontId="4" type="noConversion"/>
  </si>
  <si>
    <t>1Q-31</t>
    <phoneticPr fontId="4" type="noConversion"/>
  </si>
  <si>
    <t>2Q-31</t>
    <phoneticPr fontId="4" type="noConversion"/>
  </si>
  <si>
    <t>3Q-31</t>
    <phoneticPr fontId="4" type="noConversion"/>
  </si>
  <si>
    <t>4Q-31</t>
    <phoneticPr fontId="4" type="noConversion"/>
  </si>
  <si>
    <t>1Q-32</t>
    <phoneticPr fontId="4" type="noConversion"/>
  </si>
  <si>
    <t>2Q-32</t>
    <phoneticPr fontId="4" type="noConversion"/>
  </si>
  <si>
    <t>3Q-32</t>
    <phoneticPr fontId="4" type="noConversion"/>
  </si>
  <si>
    <t>4Q-32</t>
    <phoneticPr fontId="4" type="noConversion"/>
  </si>
  <si>
    <r>
      <rPr>
        <b/>
        <sz val="9"/>
        <rFont val="맑은 고딕"/>
        <family val="3"/>
        <charset val="129"/>
      </rPr>
      <t>합계</t>
    </r>
    <r>
      <rPr>
        <b/>
        <sz val="9"/>
        <rFont val="Arial"/>
        <family val="2"/>
      </rPr>
      <t>-32</t>
    </r>
    <phoneticPr fontId="4" type="noConversion"/>
  </si>
  <si>
    <t>++</t>
    <phoneticPr fontId="4" type="noConversion"/>
  </si>
  <si>
    <t>비중</t>
    <phoneticPr fontId="4" type="noConversion"/>
  </si>
  <si>
    <t>증가액</t>
    <phoneticPr fontId="4" type="noConversion"/>
  </si>
  <si>
    <r>
      <t>New</t>
    </r>
    <r>
      <rPr>
        <b/>
        <sz val="9"/>
        <color theme="1"/>
        <rFont val="맑은 고딕"/>
        <family val="3"/>
        <charset val="129"/>
      </rPr>
      <t>평가액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Arial Unicode MS"/>
        <family val="2"/>
        <charset val="129"/>
      </rPr>
      <t>최종</t>
    </r>
    <phoneticPr fontId="4" type="noConversion"/>
  </si>
  <si>
    <r>
      <rPr>
        <sz val="10"/>
        <color theme="1"/>
        <rFont val="맑은 고딕"/>
        <family val="3"/>
        <charset val="129"/>
      </rPr>
      <t>최삼현</t>
    </r>
    <phoneticPr fontId="19" type="noConversion"/>
  </si>
  <si>
    <r>
      <rPr>
        <sz val="10"/>
        <color theme="1"/>
        <rFont val="맑은 고딕"/>
        <family val="3"/>
        <charset val="129"/>
      </rPr>
      <t>평택</t>
    </r>
    <phoneticPr fontId="19" type="noConversion"/>
  </si>
  <si>
    <t>TEST</t>
    <phoneticPr fontId="19" type="noConversion"/>
  </si>
  <si>
    <t>O</t>
    <phoneticPr fontId="19" type="noConversion"/>
  </si>
  <si>
    <t>8"</t>
  </si>
  <si>
    <t>DDI</t>
    <phoneticPr fontId="19" type="noConversion"/>
  </si>
  <si>
    <t>Wafer Test</t>
    <phoneticPr fontId="19" type="noConversion"/>
  </si>
  <si>
    <t>PT</t>
    <phoneticPr fontId="19" type="noConversion"/>
  </si>
  <si>
    <t>Wafer Test</t>
    <phoneticPr fontId="4" type="noConversion"/>
  </si>
  <si>
    <t>Part</t>
    <phoneticPr fontId="19" type="noConversion"/>
  </si>
  <si>
    <t>TESTER INSERT RING</t>
    <phoneticPr fontId="4" type="noConversion"/>
  </si>
  <si>
    <r>
      <rPr>
        <sz val="10"/>
        <color theme="1"/>
        <rFont val="맑은 고딕"/>
        <family val="3"/>
        <charset val="129"/>
      </rPr>
      <t>부속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장치</t>
    </r>
    <phoneticPr fontId="19" type="noConversion"/>
  </si>
  <si>
    <t>N/A</t>
    <phoneticPr fontId="19" type="noConversion"/>
  </si>
  <si>
    <r>
      <t>2</t>
    </r>
    <r>
      <rPr>
        <sz val="10"/>
        <color theme="1"/>
        <rFont val="맑은 고딕"/>
        <family val="3"/>
        <charset val="129"/>
      </rPr>
      <t>차</t>
    </r>
    <phoneticPr fontId="4" type="noConversion"/>
  </si>
  <si>
    <r>
      <t>2</t>
    </r>
    <r>
      <rPr>
        <sz val="10"/>
        <color theme="1"/>
        <rFont val="맑은 고딕"/>
        <family val="3"/>
        <charset val="129"/>
      </rPr>
      <t>차</t>
    </r>
  </si>
  <si>
    <r>
      <rPr>
        <sz val="10"/>
        <color theme="1"/>
        <rFont val="맑은 고딕"/>
        <family val="3"/>
        <charset val="129"/>
      </rPr>
      <t>일반장비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비통제</t>
    </r>
    <r>
      <rPr>
        <sz val="10"/>
        <color theme="1"/>
        <rFont val="Arial"/>
        <family val="2"/>
      </rPr>
      <t>)</t>
    </r>
    <phoneticPr fontId="4" type="noConversion"/>
  </si>
  <si>
    <t>공정지원부품</t>
    <phoneticPr fontId="4" type="noConversion"/>
  </si>
  <si>
    <t>EAR99</t>
    <phoneticPr fontId="4" type="noConversion"/>
  </si>
  <si>
    <r>
      <t>1</t>
    </r>
    <r>
      <rPr>
        <sz val="10"/>
        <color theme="1"/>
        <rFont val="맑은 고딕"/>
        <family val="3"/>
        <charset val="129"/>
      </rPr>
      <t>공장</t>
    </r>
  </si>
  <si>
    <r>
      <rPr>
        <sz val="10"/>
        <color theme="1"/>
        <rFont val="맑은 고딕"/>
        <family val="3"/>
        <charset val="129"/>
      </rPr>
      <t>자사</t>
    </r>
    <phoneticPr fontId="19" type="noConversion"/>
  </si>
  <si>
    <r>
      <rPr>
        <sz val="10"/>
        <color theme="1"/>
        <rFont val="맑은 고딕"/>
        <family val="3"/>
        <charset val="129"/>
      </rPr>
      <t>미설정</t>
    </r>
    <phoneticPr fontId="4" type="noConversion"/>
  </si>
  <si>
    <r>
      <t>W-TEST</t>
    </r>
    <r>
      <rPr>
        <sz val="10"/>
        <color theme="1"/>
        <rFont val="맑은 고딕"/>
        <family val="3"/>
        <charset val="129"/>
      </rPr>
      <t>장비기술팀</t>
    </r>
    <phoneticPr fontId="19" type="noConversion"/>
  </si>
  <si>
    <t>Test</t>
    <phoneticPr fontId="4" type="noConversion"/>
  </si>
  <si>
    <r>
      <rPr>
        <sz val="11"/>
        <color theme="1"/>
        <rFont val="맑은 고딕"/>
        <family val="3"/>
        <charset val="129"/>
      </rPr>
      <t>기계장치</t>
    </r>
    <phoneticPr fontId="4" type="noConversion"/>
  </si>
  <si>
    <t>MC</t>
    <phoneticPr fontId="19" type="noConversion"/>
  </si>
  <si>
    <t>TEST SYSTEM M/C T6372(A#5)</t>
  </si>
  <si>
    <t>T6372</t>
    <phoneticPr fontId="19" type="noConversion"/>
  </si>
  <si>
    <t>ND2</t>
    <phoneticPr fontId="4" type="noConversion"/>
  </si>
  <si>
    <t>Tester</t>
    <phoneticPr fontId="4" type="noConversion"/>
  </si>
  <si>
    <t>ND2T005</t>
    <phoneticPr fontId="19" type="noConversion"/>
  </si>
  <si>
    <r>
      <rPr>
        <sz val="10"/>
        <color theme="1"/>
        <rFont val="맑은 고딕"/>
        <family val="3"/>
        <charset val="129"/>
      </rPr>
      <t>가동</t>
    </r>
    <phoneticPr fontId="19" type="noConversion"/>
  </si>
  <si>
    <r>
      <rPr>
        <sz val="10"/>
        <color theme="1"/>
        <rFont val="맑은 고딕"/>
        <family val="3"/>
        <charset val="129"/>
      </rPr>
      <t>일본</t>
    </r>
    <phoneticPr fontId="4" type="noConversion"/>
  </si>
  <si>
    <t>ADVANTEST</t>
  </si>
  <si>
    <r>
      <t>1</t>
    </r>
    <r>
      <rPr>
        <sz val="10"/>
        <color theme="1"/>
        <rFont val="맑은 고딕"/>
        <family val="3"/>
        <charset val="129"/>
      </rPr>
      <t>차</t>
    </r>
    <phoneticPr fontId="4" type="noConversion"/>
  </si>
  <si>
    <r>
      <rPr>
        <sz val="10"/>
        <color theme="1"/>
        <rFont val="맑은 고딕"/>
        <family val="3"/>
        <charset val="129"/>
      </rPr>
      <t>해당</t>
    </r>
    <phoneticPr fontId="4" type="noConversion"/>
  </si>
  <si>
    <t>Wafer Tester</t>
    <phoneticPr fontId="4" type="noConversion"/>
  </si>
  <si>
    <t>Wafer Die Test</t>
    <phoneticPr fontId="4" type="noConversion"/>
  </si>
  <si>
    <t>3B992</t>
    <phoneticPr fontId="4" type="noConversion"/>
  </si>
  <si>
    <t>9030.82-0000</t>
    <phoneticPr fontId="4" type="noConversion"/>
  </si>
  <si>
    <r>
      <rPr>
        <sz val="10"/>
        <color theme="1"/>
        <rFont val="맑은 고딕"/>
        <family val="3"/>
        <charset val="129"/>
      </rPr>
      <t>반도체</t>
    </r>
    <r>
      <rPr>
        <sz val="10"/>
        <color theme="1"/>
        <rFont val="Arial"/>
        <family val="2"/>
      </rPr>
      <t xml:space="preserve"> Test </t>
    </r>
    <r>
      <rPr>
        <sz val="10"/>
        <color theme="1"/>
        <rFont val="맑은 고딕"/>
        <family val="3"/>
        <charset val="129"/>
      </rPr>
      <t>장비</t>
    </r>
    <phoneticPr fontId="4" type="noConversion"/>
  </si>
  <si>
    <r>
      <rPr>
        <sz val="10"/>
        <color theme="1"/>
        <rFont val="맑은 고딕"/>
        <family val="3"/>
        <charset val="129"/>
      </rPr>
      <t>스테코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임대</t>
    </r>
  </si>
  <si>
    <t>TEST SYSTEM M/C T6372(A#6)</t>
  </si>
  <si>
    <t>ND2T006</t>
    <phoneticPr fontId="19" type="noConversion"/>
  </si>
  <si>
    <r>
      <rPr>
        <sz val="10"/>
        <color theme="1"/>
        <rFont val="맑은 고딕"/>
        <family val="3"/>
        <charset val="129"/>
      </rPr>
      <t>안성</t>
    </r>
    <r>
      <rPr>
        <sz val="10"/>
        <color theme="1"/>
        <rFont val="Arial"/>
        <family val="2"/>
      </rPr>
      <t>1</t>
    </r>
    <r>
      <rPr>
        <sz val="10"/>
        <color theme="1"/>
        <rFont val="맑은 고딕"/>
        <family val="3"/>
        <charset val="129"/>
      </rPr>
      <t>공장</t>
    </r>
  </si>
  <si>
    <t>TEST SYSTEM M/C T6372(A#7)</t>
  </si>
  <si>
    <t>ND2T007</t>
    <phoneticPr fontId="19" type="noConversion"/>
  </si>
  <si>
    <t>TEST SYSTEM M/C T6372(A#8)</t>
  </si>
  <si>
    <t>ND2T008</t>
    <phoneticPr fontId="19" type="noConversion"/>
  </si>
  <si>
    <t>TEST SYSTEM M/C T6730(YT#12)</t>
  </si>
  <si>
    <t>ST6730A</t>
    <phoneticPr fontId="19" type="noConversion"/>
  </si>
  <si>
    <t>ST6730A</t>
    <phoneticPr fontId="4" type="noConversion"/>
  </si>
  <si>
    <t>326F07001M</t>
    <phoneticPr fontId="19" type="noConversion"/>
  </si>
  <si>
    <t>S673AT001</t>
    <phoneticPr fontId="19" type="noConversion"/>
  </si>
  <si>
    <t>YOKOGAWA</t>
  </si>
  <si>
    <t>375Mhz</t>
    <phoneticPr fontId="4" type="noConversion"/>
  </si>
  <si>
    <r>
      <rPr>
        <sz val="10"/>
        <color theme="1"/>
        <rFont val="맑은 고딕"/>
        <family val="3"/>
        <charset val="129"/>
      </rPr>
      <t>안성</t>
    </r>
    <r>
      <rPr>
        <sz val="10"/>
        <color theme="1"/>
        <rFont val="Arial"/>
        <family val="2"/>
      </rPr>
      <t>2</t>
    </r>
    <r>
      <rPr>
        <sz val="10"/>
        <color theme="1"/>
        <rFont val="맑은 고딕"/>
        <family val="3"/>
        <charset val="129"/>
      </rPr>
      <t>공장</t>
    </r>
    <phoneticPr fontId="19" type="noConversion"/>
  </si>
  <si>
    <t>AUTO WAFER PROBER M/C (AP#12)</t>
  </si>
  <si>
    <t>UF2000</t>
    <phoneticPr fontId="19" type="noConversion"/>
  </si>
  <si>
    <t>UF2000</t>
    <phoneticPr fontId="4" type="noConversion"/>
  </si>
  <si>
    <t>Prober</t>
    <phoneticPr fontId="4" type="noConversion"/>
  </si>
  <si>
    <t>F22004LA</t>
    <phoneticPr fontId="19" type="noConversion"/>
  </si>
  <si>
    <t>ND2P006</t>
    <phoneticPr fontId="19" type="noConversion"/>
  </si>
  <si>
    <t>TOKYO SEIMITSU</t>
  </si>
  <si>
    <t>Wafer Test Prober</t>
    <phoneticPr fontId="4" type="noConversion"/>
  </si>
  <si>
    <r>
      <rPr>
        <sz val="10"/>
        <color theme="1"/>
        <rFont val="맑은 고딕"/>
        <family val="3"/>
        <charset val="129"/>
      </rPr>
      <t>정밀도</t>
    </r>
    <r>
      <rPr>
        <sz val="10"/>
        <color theme="1"/>
        <rFont val="Arial"/>
        <family val="2"/>
      </rPr>
      <t xml:space="preserve"> +/-1.5um</t>
    </r>
    <phoneticPr fontId="4" type="noConversion"/>
  </si>
  <si>
    <t>3A992</t>
    <phoneticPr fontId="4" type="noConversion"/>
  </si>
  <si>
    <r>
      <rPr>
        <sz val="10"/>
        <color theme="1"/>
        <rFont val="맑은 고딕"/>
        <family val="3"/>
        <charset val="129"/>
      </rPr>
      <t>반도체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검사장비</t>
    </r>
    <phoneticPr fontId="4" type="noConversion"/>
  </si>
  <si>
    <t>TEST SYSTEM M/C T6372(A#13)</t>
    <phoneticPr fontId="4" type="noConversion"/>
  </si>
  <si>
    <t>ND2T013</t>
    <phoneticPr fontId="19" type="noConversion"/>
  </si>
  <si>
    <t>TEST SYSTEM M/C T6372(A#14)</t>
  </si>
  <si>
    <t>ND2T014</t>
    <phoneticPr fontId="19" type="noConversion"/>
  </si>
  <si>
    <t>TEST SYSTEM M/C T6372(A#15)</t>
  </si>
  <si>
    <t>ND2T015</t>
    <phoneticPr fontId="19" type="noConversion"/>
  </si>
  <si>
    <t>AUTO WAFER PROBER M/C (AP#13)</t>
    <phoneticPr fontId="19" type="noConversion"/>
  </si>
  <si>
    <t>F22003EB</t>
    <phoneticPr fontId="4" type="noConversion"/>
  </si>
  <si>
    <t>ND2P007</t>
    <phoneticPr fontId="19" type="noConversion"/>
  </si>
  <si>
    <t>AUTO WAFER PROBER M/C (AP#14)</t>
  </si>
  <si>
    <t>F22010EB</t>
    <phoneticPr fontId="19" type="noConversion"/>
  </si>
  <si>
    <t>ND2P008</t>
    <phoneticPr fontId="19" type="noConversion"/>
  </si>
  <si>
    <t>AUTO WAFER PROBER M/C (AP#16)</t>
  </si>
  <si>
    <t>F22005EB</t>
    <phoneticPr fontId="4" type="noConversion"/>
  </si>
  <si>
    <t>ND2P014</t>
    <phoneticPr fontId="19" type="noConversion"/>
  </si>
  <si>
    <t>AUTO WAFER PROBER M/C (AP#18)</t>
  </si>
  <si>
    <t>F22008EB</t>
    <phoneticPr fontId="4" type="noConversion"/>
  </si>
  <si>
    <t>ND2P013</t>
    <phoneticPr fontId="19" type="noConversion"/>
  </si>
  <si>
    <t>AUTO WAFER PROBER M/C (YP#14)</t>
  </si>
  <si>
    <t>F22013FB</t>
    <phoneticPr fontId="4" type="noConversion"/>
  </si>
  <si>
    <t>AP43</t>
    <phoneticPr fontId="19" type="noConversion"/>
  </si>
  <si>
    <t>AUTO WAFER PROBER M/C (AP#11)</t>
  </si>
  <si>
    <t>F22013DB</t>
    <phoneticPr fontId="4" type="noConversion"/>
  </si>
  <si>
    <t>ND2P015</t>
    <phoneticPr fontId="19" type="noConversion"/>
  </si>
  <si>
    <t>AUTO WAFER PROBER M/C (YP#17)</t>
  </si>
  <si>
    <t>F22006GB</t>
    <phoneticPr fontId="4" type="noConversion"/>
  </si>
  <si>
    <t>YP38</t>
    <phoneticPr fontId="19" type="noConversion"/>
  </si>
  <si>
    <t>TEST SYSTEM M/C ST6730(Y#21)</t>
  </si>
  <si>
    <t>ST6730A</t>
  </si>
  <si>
    <t>327G17001M</t>
    <phoneticPr fontId="4" type="noConversion"/>
  </si>
  <si>
    <t>S673AT005</t>
    <phoneticPr fontId="19" type="noConversion"/>
  </si>
  <si>
    <r>
      <rPr>
        <sz val="10"/>
        <color theme="1"/>
        <rFont val="맑은 고딕"/>
        <family val="3"/>
        <charset val="129"/>
      </rPr>
      <t>안성</t>
    </r>
    <r>
      <rPr>
        <sz val="10"/>
        <color theme="1"/>
        <rFont val="Arial"/>
        <family val="2"/>
      </rPr>
      <t>2</t>
    </r>
    <r>
      <rPr>
        <sz val="10"/>
        <color theme="1"/>
        <rFont val="맑은 고딕"/>
        <family val="3"/>
        <charset val="129"/>
      </rPr>
      <t>공장</t>
    </r>
  </si>
  <si>
    <t>AUTO WAFER PROBER M/C (YP#20)</t>
  </si>
  <si>
    <t>F22021HB</t>
    <phoneticPr fontId="4" type="noConversion"/>
  </si>
  <si>
    <t>S673AP901</t>
    <phoneticPr fontId="19" type="noConversion"/>
  </si>
  <si>
    <t>TEST SYSTEM M/C ST6730(Y#25)</t>
  </si>
  <si>
    <t>325M02001M</t>
    <phoneticPr fontId="4" type="noConversion"/>
  </si>
  <si>
    <t>YT24</t>
    <phoneticPr fontId="19" type="noConversion"/>
  </si>
  <si>
    <r>
      <rPr>
        <sz val="10"/>
        <color theme="1"/>
        <rFont val="맑은 고딕"/>
        <family val="3"/>
        <charset val="129"/>
      </rPr>
      <t>가동</t>
    </r>
    <phoneticPr fontId="4" type="noConversion"/>
  </si>
  <si>
    <r>
      <t>2</t>
    </r>
    <r>
      <rPr>
        <sz val="10"/>
        <color theme="1"/>
        <rFont val="맑은 고딕"/>
        <family val="3"/>
        <charset val="129"/>
      </rPr>
      <t>공장</t>
    </r>
  </si>
  <si>
    <t>AUTO WAFER PROBER M/C (YP#28)</t>
  </si>
  <si>
    <t>UF200SA</t>
    <phoneticPr fontId="4" type="noConversion"/>
  </si>
  <si>
    <t>F16007DA</t>
    <phoneticPr fontId="4" type="noConversion"/>
  </si>
  <si>
    <t>INK12</t>
    <phoneticPr fontId="19" type="noConversion"/>
  </si>
  <si>
    <t>TEST SYSTEM M/C ST6730(Y#29)</t>
  </si>
  <si>
    <t>ST6731A</t>
    <phoneticPr fontId="4" type="noConversion"/>
  </si>
  <si>
    <t>325H26002M</t>
    <phoneticPr fontId="4" type="noConversion"/>
  </si>
  <si>
    <t>S673AT012</t>
    <phoneticPr fontId="19" type="noConversion"/>
  </si>
  <si>
    <t>1.25Ghz</t>
    <phoneticPr fontId="4" type="noConversion"/>
  </si>
  <si>
    <t>TEST SYSTEM M/C T6373(A#20)</t>
  </si>
  <si>
    <t>T6373</t>
    <phoneticPr fontId="4" type="noConversion"/>
  </si>
  <si>
    <t>ND3</t>
    <phoneticPr fontId="4" type="noConversion"/>
  </si>
  <si>
    <t>ND3T001</t>
    <phoneticPr fontId="19" type="noConversion"/>
  </si>
  <si>
    <r>
      <t>2</t>
    </r>
    <r>
      <rPr>
        <sz val="10"/>
        <color theme="1"/>
        <rFont val="맑은 고딕"/>
        <family val="3"/>
        <charset val="129"/>
      </rPr>
      <t>공장</t>
    </r>
    <phoneticPr fontId="19" type="noConversion"/>
  </si>
  <si>
    <t>AUTO WAFER PROBER M/C (AP#20)</t>
  </si>
  <si>
    <t>F22001CE</t>
    <phoneticPr fontId="4" type="noConversion"/>
  </si>
  <si>
    <t>AP32</t>
    <phoneticPr fontId="19" type="noConversion"/>
  </si>
  <si>
    <t>TEST SYSTEM M/C T6373(A#21)</t>
  </si>
  <si>
    <t>ND3T002</t>
    <phoneticPr fontId="19" type="noConversion"/>
  </si>
  <si>
    <t>AUTO WAFER PROBER M/C (YP#32)</t>
  </si>
  <si>
    <t>F22006CE</t>
    <phoneticPr fontId="4" type="noConversion"/>
  </si>
  <si>
    <t>S673AP001</t>
    <phoneticPr fontId="19" type="noConversion"/>
  </si>
  <si>
    <t>TEST SYSTEM M/C ST6730A(Y#35)</t>
  </si>
  <si>
    <t>320C12001M</t>
    <phoneticPr fontId="4" type="noConversion"/>
  </si>
  <si>
    <t>YT34</t>
    <phoneticPr fontId="19" type="noConversion"/>
  </si>
  <si>
    <t>AUTO WAFER PROBER M/C (YP#35)</t>
  </si>
  <si>
    <t>F22012CE</t>
    <phoneticPr fontId="4" type="noConversion"/>
  </si>
  <si>
    <t>YP34</t>
    <phoneticPr fontId="19" type="noConversion"/>
  </si>
  <si>
    <r>
      <t>Wafer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전기적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테스트</t>
    </r>
    <phoneticPr fontId="4" type="noConversion"/>
  </si>
  <si>
    <r>
      <rPr>
        <sz val="10"/>
        <color theme="1"/>
        <rFont val="맑은 고딕"/>
        <family val="3"/>
        <charset val="129"/>
      </rPr>
      <t>기계장치</t>
    </r>
    <phoneticPr fontId="4" type="noConversion"/>
  </si>
  <si>
    <t>TEST SYSTEM M/C T6373(A#22)</t>
  </si>
  <si>
    <t>ND3T003</t>
    <phoneticPr fontId="19" type="noConversion"/>
  </si>
  <si>
    <t>TEST SYSTEM M/C T6373(A#23)</t>
  </si>
  <si>
    <t>AT23</t>
    <phoneticPr fontId="19" type="noConversion"/>
  </si>
  <si>
    <r>
      <rPr>
        <sz val="10"/>
        <color theme="1"/>
        <rFont val="맑은 고딕"/>
        <family val="3"/>
        <charset val="129"/>
      </rPr>
      <t>매각</t>
    </r>
    <r>
      <rPr>
        <sz val="10"/>
        <color theme="1"/>
        <rFont val="Arial"/>
        <family val="2"/>
      </rPr>
      <t>_2</t>
    </r>
    <r>
      <rPr>
        <sz val="10"/>
        <color theme="1"/>
        <rFont val="맑은 고딕"/>
        <family val="3"/>
        <charset val="129"/>
      </rPr>
      <t>차</t>
    </r>
    <r>
      <rPr>
        <sz val="10"/>
        <color theme="1"/>
        <rFont val="Arial"/>
        <family val="2"/>
      </rPr>
      <t>-</t>
    </r>
    <r>
      <rPr>
        <sz val="10"/>
        <color theme="1"/>
        <rFont val="맑은 고딕"/>
        <family val="3"/>
        <charset val="129"/>
      </rPr>
      <t>제외</t>
    </r>
    <phoneticPr fontId="4" type="noConversion"/>
  </si>
  <si>
    <t>TEST SYSTEM M/C T6373(A#24)</t>
  </si>
  <si>
    <t>AT24</t>
    <phoneticPr fontId="19" type="noConversion"/>
  </si>
  <si>
    <t>AUTO WAFER PROBER M/C (AP#23)</t>
  </si>
  <si>
    <t>F22004CE</t>
    <phoneticPr fontId="4" type="noConversion"/>
  </si>
  <si>
    <t>AP23</t>
    <phoneticPr fontId="19" type="noConversion"/>
  </si>
  <si>
    <t>AUTO WAFER PROBER M/C (AP#24)</t>
  </si>
  <si>
    <t>F22002CE</t>
    <phoneticPr fontId="4" type="noConversion"/>
  </si>
  <si>
    <t>AP24</t>
    <phoneticPr fontId="19" type="noConversion"/>
  </si>
  <si>
    <t>TEST SYSTEM M/C T6373(A#25)</t>
  </si>
  <si>
    <t>AT25</t>
    <phoneticPr fontId="19" type="noConversion"/>
  </si>
  <si>
    <t>TEST SYSTEM M/C T6373(A#26)</t>
  </si>
  <si>
    <t>ND3T007</t>
    <phoneticPr fontId="19" type="noConversion"/>
  </si>
  <si>
    <t>AUTO WAFER PROBER M/C (AP#25)</t>
  </si>
  <si>
    <t>F22009EE</t>
    <phoneticPr fontId="4" type="noConversion"/>
  </si>
  <si>
    <t>AP25</t>
    <phoneticPr fontId="19" type="noConversion"/>
  </si>
  <si>
    <t>AUTO WAFER PROBER M/C (AP#26)</t>
  </si>
  <si>
    <t>F22011EE</t>
    <phoneticPr fontId="4" type="noConversion"/>
  </si>
  <si>
    <t>AP37</t>
    <phoneticPr fontId="19" type="noConversion"/>
  </si>
  <si>
    <t>TEST SYSTEM M/C T6373(A#27)</t>
  </si>
  <si>
    <t>ND3T008</t>
    <phoneticPr fontId="19" type="noConversion"/>
  </si>
  <si>
    <t>TEST SYSTEM M/C T6373(A#28)</t>
  </si>
  <si>
    <t>AT28</t>
    <phoneticPr fontId="19" type="noConversion"/>
  </si>
  <si>
    <t>TEST SYSTEM M/C T6373(A#29)</t>
  </si>
  <si>
    <t>ND3T010</t>
    <phoneticPr fontId="19" type="noConversion"/>
  </si>
  <si>
    <t>AUTO WAFER PROBER M/C (AP#27)</t>
  </si>
  <si>
    <t>F22012EE</t>
    <phoneticPr fontId="4" type="noConversion"/>
  </si>
  <si>
    <t>AP28</t>
    <phoneticPr fontId="19" type="noConversion"/>
  </si>
  <si>
    <t>TEST SYSTEM M/C T6373(A#30)</t>
  </si>
  <si>
    <t>AT30</t>
    <phoneticPr fontId="19" type="noConversion"/>
  </si>
  <si>
    <t>TEST SYSTEM M/C T6373(A#31)</t>
  </si>
  <si>
    <t>AT31</t>
    <phoneticPr fontId="19" type="noConversion"/>
  </si>
  <si>
    <t>TEST SYSTEM M/C T6373(A#32)</t>
  </si>
  <si>
    <t>AT32</t>
    <phoneticPr fontId="19" type="noConversion"/>
  </si>
  <si>
    <t>AUTO WAFER PROBER M/C (AP#30)</t>
  </si>
  <si>
    <t>F22014CF</t>
    <phoneticPr fontId="4" type="noConversion"/>
  </si>
  <si>
    <t>AP30</t>
    <phoneticPr fontId="19" type="noConversion"/>
  </si>
  <si>
    <t>AUTO WAFER PROBER M/C (AP#31)</t>
  </si>
  <si>
    <t>F22015CF</t>
    <phoneticPr fontId="4" type="noConversion"/>
  </si>
  <si>
    <t>AP31</t>
    <phoneticPr fontId="19" type="noConversion"/>
  </si>
  <si>
    <t>AUTO WAFER PROBER M/C (AP#32)</t>
  </si>
  <si>
    <t>F22016CF</t>
    <phoneticPr fontId="4" type="noConversion"/>
  </si>
  <si>
    <t>ND3P019</t>
    <phoneticPr fontId="19" type="noConversion"/>
  </si>
  <si>
    <t>TEST SYSTEM M/C ST6730A(Y#37)</t>
  </si>
  <si>
    <t>321C01001M</t>
    <phoneticPr fontId="19" type="noConversion"/>
  </si>
  <si>
    <t>YT36</t>
    <phoneticPr fontId="19" type="noConversion"/>
  </si>
  <si>
    <t>TEST SYSTEM M/C ST6730A(Y#39)</t>
  </si>
  <si>
    <t>321C11001M</t>
    <phoneticPr fontId="4" type="noConversion"/>
  </si>
  <si>
    <t>YT38</t>
    <phoneticPr fontId="19" type="noConversion"/>
  </si>
  <si>
    <t>TEST SYSTEM M/C T6373(A#33)</t>
  </si>
  <si>
    <t>ND3T014</t>
    <phoneticPr fontId="19" type="noConversion"/>
  </si>
  <si>
    <t>TEST SYSTEM M/C T6373(A#34)</t>
  </si>
  <si>
    <t>ND3T015</t>
    <phoneticPr fontId="19" type="noConversion"/>
  </si>
  <si>
    <r>
      <rPr>
        <sz val="10"/>
        <color theme="1"/>
        <rFont val="맑은 고딕"/>
        <family val="3"/>
        <charset val="129"/>
      </rPr>
      <t>매각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검토</t>
    </r>
    <phoneticPr fontId="4" type="noConversion"/>
  </si>
  <si>
    <t>AUTO WAFER PROBER M/C (AP#33)</t>
  </si>
  <si>
    <t>F22012DF</t>
    <phoneticPr fontId="4" type="noConversion"/>
  </si>
  <si>
    <t>ND3P014</t>
    <phoneticPr fontId="19" type="noConversion"/>
  </si>
  <si>
    <t>AUTO WAFER PROBER M/C (AP#34)</t>
  </si>
  <si>
    <t>F22013DF</t>
    <phoneticPr fontId="4" type="noConversion"/>
  </si>
  <si>
    <t>ND3P015</t>
    <phoneticPr fontId="19" type="noConversion"/>
  </si>
  <si>
    <t>AUTO WAFER PROBER M/C (YP#40)</t>
  </si>
  <si>
    <t>F22004CF</t>
    <phoneticPr fontId="4" type="noConversion"/>
  </si>
  <si>
    <t>YP98</t>
    <phoneticPr fontId="19" type="noConversion"/>
  </si>
  <si>
    <t>TEST SYSTEM M/C T6373(A#35)</t>
  </si>
  <si>
    <t>ND3T016</t>
    <phoneticPr fontId="19" type="noConversion"/>
  </si>
  <si>
    <t>TEST SYSTEM M/C T6373(A#36)</t>
  </si>
  <si>
    <t>ND3T017</t>
    <phoneticPr fontId="19" type="noConversion"/>
  </si>
  <si>
    <t>AUTO WAFER PROBER M/C (AP#35)</t>
  </si>
  <si>
    <t>F22007HF</t>
    <phoneticPr fontId="4" type="noConversion"/>
  </si>
  <si>
    <t>ND3P016</t>
    <phoneticPr fontId="19" type="noConversion"/>
  </si>
  <si>
    <t>LCD TEST SYSTEM M/C(AT#38)</t>
  </si>
  <si>
    <t>ND3T019</t>
    <phoneticPr fontId="19" type="noConversion"/>
  </si>
  <si>
    <t>LCD TEST SYSTEM M/C(AT#42)</t>
  </si>
  <si>
    <t>ND3T023</t>
    <phoneticPr fontId="19" type="noConversion"/>
  </si>
  <si>
    <t>AUTO WAFER PROBER M/C(AP#38)</t>
  </si>
  <si>
    <t>F22001BG</t>
    <phoneticPr fontId="4" type="noConversion"/>
  </si>
  <si>
    <t>ND2P005</t>
    <phoneticPr fontId="19" type="noConversion"/>
  </si>
  <si>
    <t>AUTO WAFER PROBER M/C(AP#42)</t>
  </si>
  <si>
    <t>F22004BG</t>
    <phoneticPr fontId="4" type="noConversion"/>
  </si>
  <si>
    <t>ND3P023</t>
    <phoneticPr fontId="19" type="noConversion"/>
  </si>
  <si>
    <t>LCD TEST SYSTEM M/C(AT#37)</t>
  </si>
  <si>
    <t>AT37</t>
    <phoneticPr fontId="19" type="noConversion"/>
  </si>
  <si>
    <t>LCD TEST SYSTEM M/C(AT#39)</t>
  </si>
  <si>
    <t>ND3T020</t>
    <phoneticPr fontId="19" type="noConversion"/>
  </si>
  <si>
    <t>LCD TEST SYSTEM M/C(AT#40)</t>
  </si>
  <si>
    <t>ND3T021</t>
    <phoneticPr fontId="19" type="noConversion"/>
  </si>
  <si>
    <t>LCD TEST SYSTEM M/C(AT#41)</t>
  </si>
  <si>
    <t>ND3T022</t>
    <phoneticPr fontId="19" type="noConversion"/>
  </si>
  <si>
    <t>AUTO WAFER PROBER M/C(AP#40)</t>
  </si>
  <si>
    <t>F22002BG</t>
    <phoneticPr fontId="4" type="noConversion"/>
  </si>
  <si>
    <t>ND3P021</t>
    <phoneticPr fontId="19" type="noConversion"/>
  </si>
  <si>
    <t>AUTO WAFER PROBER M/C(AP#41)</t>
  </si>
  <si>
    <t>F22003BG</t>
    <phoneticPr fontId="4" type="noConversion"/>
  </si>
  <si>
    <t>ND3P022</t>
    <phoneticPr fontId="19" type="noConversion"/>
  </si>
  <si>
    <t>LCD TEST SYSTEM M/C(AT#43)</t>
  </si>
  <si>
    <t>AT43</t>
    <phoneticPr fontId="19" type="noConversion"/>
  </si>
  <si>
    <t>LCD TEST SYSTEM M/C(AT#44)</t>
  </si>
  <si>
    <t>AT44</t>
    <phoneticPr fontId="19" type="noConversion"/>
  </si>
  <si>
    <r>
      <t>2</t>
    </r>
    <r>
      <rPr>
        <sz val="11"/>
        <color theme="1"/>
        <rFont val="맑은 고딕"/>
        <family val="3"/>
        <charset val="129"/>
      </rPr>
      <t>차</t>
    </r>
    <phoneticPr fontId="4" type="noConversion"/>
  </si>
  <si>
    <t>LCD TEST SYSTEM M/C(AT#45)</t>
  </si>
  <si>
    <t>AT45</t>
    <phoneticPr fontId="19" type="noConversion"/>
  </si>
  <si>
    <t>LCD TEST SYSTEM M/C(AT#46)</t>
  </si>
  <si>
    <t>AT46</t>
    <phoneticPr fontId="19" type="noConversion"/>
  </si>
  <si>
    <t>AUTO WAFER PROBER M/C(AP#44)</t>
  </si>
  <si>
    <t>F22007CG</t>
    <phoneticPr fontId="4" type="noConversion"/>
  </si>
  <si>
    <t>AP44</t>
    <phoneticPr fontId="19" type="noConversion"/>
  </si>
  <si>
    <t>AUTO WAFER PROBER M/C(AP#45)</t>
  </si>
  <si>
    <t>F22008CG</t>
    <phoneticPr fontId="4" type="noConversion"/>
  </si>
  <si>
    <t>AP45</t>
    <phoneticPr fontId="19" type="noConversion"/>
  </si>
  <si>
    <t>AUTO WAFER PROBER M/C(AP#46)</t>
  </si>
  <si>
    <t>F22009CG</t>
    <phoneticPr fontId="4" type="noConversion"/>
  </si>
  <si>
    <t>AP46</t>
    <phoneticPr fontId="19" type="noConversion"/>
  </si>
  <si>
    <t>LCD TEST SYSTEM M/C(AT#47)</t>
  </si>
  <si>
    <t>ND3T028</t>
    <phoneticPr fontId="19" type="noConversion"/>
  </si>
  <si>
    <t>Upgrade</t>
    <phoneticPr fontId="19" type="noConversion"/>
  </si>
  <si>
    <t>TEST SYSTEM M/C ST6730 Upgrade kit(5set)</t>
  </si>
  <si>
    <t>N/A</t>
    <phoneticPr fontId="4" type="noConversion"/>
  </si>
  <si>
    <t>Upgrade option</t>
    <phoneticPr fontId="19" type="noConversion"/>
  </si>
  <si>
    <t>NO S/N</t>
  </si>
  <si>
    <r>
      <rPr>
        <sz val="10"/>
        <color theme="1"/>
        <rFont val="맑은 고딕"/>
        <family val="3"/>
        <charset val="129"/>
      </rPr>
      <t>상황허가</t>
    </r>
    <phoneticPr fontId="4" type="noConversion"/>
  </si>
  <si>
    <r>
      <rPr>
        <sz val="10"/>
        <color theme="1"/>
        <rFont val="맑은 고딕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측정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시험</t>
    </r>
    <phoneticPr fontId="4" type="noConversion"/>
  </si>
  <si>
    <t>9032.82-0000</t>
    <phoneticPr fontId="4" type="noConversion"/>
  </si>
  <si>
    <t>ST6731 Upgrade kit 10set</t>
  </si>
  <si>
    <t>T6372 HSIF Option (5SET)</t>
  </si>
  <si>
    <t>HSDR2 Option</t>
  </si>
  <si>
    <t>40V PPS BOARD</t>
  </si>
  <si>
    <t xml:space="preserve">ND2 RVS Board </t>
  </si>
  <si>
    <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에이티이</t>
    </r>
  </si>
  <si>
    <t>ND2 24RVS Board</t>
  </si>
  <si>
    <t>ND2 40V PPS BOARD(6set)</t>
  </si>
  <si>
    <t>8"</t>
    <phoneticPr fontId="19" type="noConversion"/>
  </si>
  <si>
    <t>ND2 IO PE Board</t>
  </si>
  <si>
    <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투비테스트</t>
    </r>
  </si>
  <si>
    <r>
      <t>ND2 RVS</t>
    </r>
    <r>
      <rPr>
        <sz val="10"/>
        <color theme="1"/>
        <rFont val="맑은 고딕"/>
        <family val="3"/>
        <charset val="129"/>
      </rPr>
      <t>개조</t>
    </r>
  </si>
  <si>
    <t>ND2 RVS 30mA*02 Upgrade</t>
  </si>
  <si>
    <t>MFHP Option(2set)</t>
  </si>
  <si>
    <t>UF200SA TOP PLATE MODIFY</t>
  </si>
  <si>
    <t>ACCRETECH</t>
    <phoneticPr fontId="4" type="noConversion"/>
  </si>
  <si>
    <r>
      <rPr>
        <sz val="10"/>
        <color theme="1"/>
        <rFont val="맑은 고딕"/>
        <family val="3"/>
        <charset val="129"/>
      </rPr>
      <t>공정지원장비</t>
    </r>
    <phoneticPr fontId="4" type="noConversion"/>
  </si>
  <si>
    <r>
      <t>TSP-332020(</t>
    </r>
    <r>
      <rPr>
        <sz val="10"/>
        <color theme="1"/>
        <rFont val="맑은 고딕"/>
        <family val="3"/>
        <charset val="129"/>
      </rPr>
      <t>순간정전보상장치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</si>
  <si>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순간정전보상장치</t>
    </r>
    <phoneticPr fontId="4" type="noConversion"/>
  </si>
  <si>
    <r>
      <rPr>
        <sz val="10"/>
        <color theme="1"/>
        <rFont val="맑은 고딕"/>
        <family val="3"/>
        <charset val="129"/>
      </rPr>
      <t>전압강하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검출</t>
    </r>
    <phoneticPr fontId="4" type="noConversion"/>
  </si>
  <si>
    <t>8504.40-0000</t>
    <phoneticPr fontId="4" type="noConversion"/>
  </si>
  <si>
    <t>T6373[TC7-B] upgrade</t>
  </si>
  <si>
    <t>ADVANTEST</t>
    <phoneticPr fontId="4" type="noConversion"/>
  </si>
  <si>
    <t>T6373(ND3) TC7B Upgrade</t>
  </si>
  <si>
    <r>
      <t>TEST</t>
    </r>
    <r>
      <rPr>
        <sz val="10"/>
        <color theme="1"/>
        <rFont val="맑은 고딕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순간정전보상장치</t>
    </r>
    <r>
      <rPr>
        <sz val="10"/>
        <color theme="1"/>
        <rFont val="Arial"/>
        <family val="2"/>
      </rPr>
      <t>(35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>)</t>
    </r>
    <phoneticPr fontId="19" type="noConversion"/>
  </si>
  <si>
    <t>NO S/N</t>
    <phoneticPr fontId="19" type="noConversion"/>
  </si>
  <si>
    <r>
      <rPr>
        <sz val="10"/>
        <color theme="1"/>
        <rFont val="맑은 고딕"/>
        <family val="3"/>
        <charset val="129"/>
      </rPr>
      <t>한국</t>
    </r>
    <phoneticPr fontId="4" type="noConversion"/>
  </si>
  <si>
    <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씨엔에이치시스템</t>
    </r>
  </si>
  <si>
    <r>
      <t>DDI TEST</t>
    </r>
    <r>
      <rPr>
        <sz val="10"/>
        <color theme="1"/>
        <rFont val="맑은 고딕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순간정전보상장치</t>
    </r>
    <r>
      <rPr>
        <sz val="10"/>
        <color theme="1"/>
        <rFont val="Arial"/>
        <family val="2"/>
      </rPr>
      <t>(80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>)</t>
    </r>
  </si>
  <si>
    <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웨스코</t>
    </r>
  </si>
  <si>
    <r>
      <t xml:space="preserve">DDI(ND4S) </t>
    </r>
    <r>
      <rPr>
        <sz val="10"/>
        <color theme="1"/>
        <rFont val="맑은 고딕"/>
        <family val="3"/>
        <charset val="129"/>
      </rPr>
      <t>순간정전보상장치</t>
    </r>
  </si>
  <si>
    <r>
      <rPr>
        <sz val="10"/>
        <color theme="1"/>
        <rFont val="맑은 고딕"/>
        <family val="3"/>
        <charset val="129"/>
      </rPr>
      <t>㈜웨스코</t>
    </r>
  </si>
  <si>
    <t>INK</t>
  </si>
  <si>
    <t>AOTOMATIC WAFER PROBER(YP#1)</t>
  </si>
  <si>
    <t>UF200</t>
    <phoneticPr fontId="4" type="noConversion"/>
  </si>
  <si>
    <t>Ink</t>
    <phoneticPr fontId="4" type="noConversion"/>
  </si>
  <si>
    <t>F02009AW</t>
    <phoneticPr fontId="4" type="noConversion"/>
  </si>
  <si>
    <t>INK06</t>
  </si>
  <si>
    <r>
      <rPr>
        <sz val="10"/>
        <color theme="1"/>
        <rFont val="맑은 고딕"/>
        <family val="3"/>
        <charset val="129"/>
      </rPr>
      <t>일본</t>
    </r>
    <phoneticPr fontId="19" type="noConversion"/>
  </si>
  <si>
    <r>
      <rPr>
        <sz val="10"/>
        <color theme="1"/>
        <rFont val="맑은 고딕"/>
        <family val="3"/>
        <charset val="129"/>
      </rPr>
      <t>잉크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마킹</t>
    </r>
    <phoneticPr fontId="4" type="noConversion"/>
  </si>
  <si>
    <r>
      <rPr>
        <sz val="10"/>
        <color theme="1"/>
        <rFont val="맑은 고딕"/>
        <family val="3"/>
        <charset val="129"/>
      </rPr>
      <t>평</t>
    </r>
    <r>
      <rPr>
        <sz val="10"/>
        <color theme="1"/>
        <rFont val="Arial"/>
        <family val="2"/>
      </rPr>
      <t>)INK</t>
    </r>
  </si>
  <si>
    <t>AUTOMATIC WAFER PROBER INKING M/C</t>
  </si>
  <si>
    <t>UF190A</t>
    <phoneticPr fontId="4" type="noConversion"/>
  </si>
  <si>
    <t>F020117HR</t>
  </si>
  <si>
    <t>INK01</t>
  </si>
  <si>
    <t>INK PROBER SYSTEM UF-200</t>
  </si>
  <si>
    <t>UF200</t>
  </si>
  <si>
    <t>F02020FV</t>
  </si>
  <si>
    <t>INK02</t>
  </si>
  <si>
    <t>TOKYO SEIMITSU</t>
    <phoneticPr fontId="4" type="noConversion"/>
  </si>
  <si>
    <t>UF190A</t>
  </si>
  <si>
    <t>F02003KV</t>
  </si>
  <si>
    <t>INK03</t>
  </si>
  <si>
    <t>F02012BN</t>
  </si>
  <si>
    <t>INK04</t>
  </si>
  <si>
    <r>
      <t>T-</t>
    </r>
    <r>
      <rPr>
        <sz val="10"/>
        <color theme="1"/>
        <rFont val="맑은 고딕"/>
        <family val="3"/>
        <charset val="129"/>
      </rPr>
      <t>공통</t>
    </r>
  </si>
  <si>
    <t>8"Wafer Sorter</t>
  </si>
  <si>
    <t>MS278</t>
    <phoneticPr fontId="4" type="noConversion"/>
  </si>
  <si>
    <t>MEC26111N</t>
    <phoneticPr fontId="4" type="noConversion"/>
  </si>
  <si>
    <t>WS-01</t>
  </si>
  <si>
    <r>
      <rPr>
        <sz val="10"/>
        <color theme="1"/>
        <rFont val="맑은 고딕"/>
        <family val="3"/>
        <charset val="129"/>
      </rPr>
      <t>한국</t>
    </r>
    <phoneticPr fontId="19" type="noConversion"/>
  </si>
  <si>
    <r>
      <rPr>
        <sz val="10"/>
        <color theme="1"/>
        <rFont val="맑은 고딕"/>
        <family val="3"/>
        <charset val="129"/>
      </rPr>
      <t>에이티이</t>
    </r>
  </si>
  <si>
    <r>
      <rPr>
        <sz val="10"/>
        <color theme="1"/>
        <rFont val="맑은 고딕"/>
        <family val="3"/>
        <charset val="129"/>
      </rPr>
      <t>웨이퍼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분류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3"/>
        <charset val="129"/>
      </rPr>
      <t>이송</t>
    </r>
    <phoneticPr fontId="4" type="noConversion"/>
  </si>
  <si>
    <t>8486.20-0000</t>
    <phoneticPr fontId="4" type="noConversion"/>
  </si>
  <si>
    <r>
      <rPr>
        <sz val="10"/>
        <color theme="1"/>
        <rFont val="맑은 고딕"/>
        <family val="3"/>
        <charset val="129"/>
      </rPr>
      <t>공통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안</t>
    </r>
    <r>
      <rPr>
        <sz val="10"/>
        <color theme="1"/>
        <rFont val="Arial"/>
        <family val="2"/>
      </rPr>
      <t>)TEST</t>
    </r>
  </si>
  <si>
    <r>
      <t xml:space="preserve">UPS </t>
    </r>
    <r>
      <rPr>
        <sz val="10"/>
        <color theme="1"/>
        <rFont val="맑은 고딕"/>
        <family val="3"/>
        <charset val="129"/>
      </rPr>
      <t>순간정전보상장치</t>
    </r>
  </si>
  <si>
    <t>D3P-20</t>
  </si>
  <si>
    <r>
      <rPr>
        <sz val="10"/>
        <color theme="1"/>
        <rFont val="맑은 고딕"/>
        <family val="3"/>
        <charset val="129"/>
      </rPr>
      <t>㈜오키</t>
    </r>
  </si>
  <si>
    <r>
      <t xml:space="preserve">TEST </t>
    </r>
    <r>
      <rPr>
        <sz val="10"/>
        <color theme="1"/>
        <rFont val="맑은 고딕"/>
        <family val="3"/>
        <charset val="129"/>
      </rPr>
      <t>순간정전보상장치</t>
    </r>
  </si>
  <si>
    <r>
      <rPr>
        <sz val="10"/>
        <color theme="1"/>
        <rFont val="맑은 고딕"/>
        <family val="3"/>
        <charset val="129"/>
      </rPr>
      <t>어드밴스드웨이브</t>
    </r>
  </si>
  <si>
    <r>
      <rPr>
        <sz val="11"/>
        <color theme="1"/>
        <rFont val="맑은 고딕"/>
        <family val="3"/>
        <charset val="129"/>
      </rPr>
      <t>최삼현</t>
    </r>
  </si>
  <si>
    <r>
      <rPr>
        <sz val="10"/>
        <color theme="1"/>
        <rFont val="맑은 고딕"/>
        <family val="3"/>
        <charset val="129"/>
      </rPr>
      <t>평택</t>
    </r>
  </si>
  <si>
    <t>TEST</t>
  </si>
  <si>
    <t>X</t>
  </si>
  <si>
    <t>PT</t>
  </si>
  <si>
    <t>AUTO WAFER PROBER M/C(AP#20)</t>
  </si>
  <si>
    <t>UF3000LX</t>
  </si>
  <si>
    <t>UF3000LX</t>
    <phoneticPr fontId="4" type="noConversion"/>
  </si>
  <si>
    <t>F25016CJ</t>
  </si>
  <si>
    <t>ACCRETECH</t>
  </si>
  <si>
    <r>
      <t>3</t>
    </r>
    <r>
      <rPr>
        <sz val="10"/>
        <color theme="1"/>
        <rFont val="맑은 고딕"/>
        <family val="3"/>
        <charset val="129"/>
      </rPr>
      <t>차</t>
    </r>
  </si>
  <si>
    <r>
      <rPr>
        <sz val="10"/>
        <color theme="1"/>
        <rFont val="맑은 고딕"/>
        <family val="3"/>
        <charset val="129"/>
      </rPr>
      <t>반도체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phoneticPr fontId="4" type="noConversion"/>
  </si>
  <si>
    <t>AUTO WAFER PROBER M/C(AP#21)</t>
  </si>
  <si>
    <t>F25015CJ</t>
  </si>
  <si>
    <t>AUTO WAFER PROBER M/C(AP#22)</t>
  </si>
  <si>
    <t>F25003BK</t>
  </si>
  <si>
    <t>AUTO WAFER PROBER M/C(AP#26)</t>
  </si>
  <si>
    <t>F25001DJ</t>
  </si>
  <si>
    <t>AUTO WAFER PROBER M/C(AP#27)</t>
  </si>
  <si>
    <t>F25017CJ</t>
  </si>
  <si>
    <r>
      <rPr>
        <sz val="10"/>
        <color theme="1"/>
        <rFont val="맑은 고딕"/>
        <family val="3"/>
        <charset val="129"/>
      </rPr>
      <t>최삼현</t>
    </r>
  </si>
  <si>
    <t>AUTO WAFER PROBER M/C(AP#29)</t>
  </si>
  <si>
    <t>F25004BK</t>
  </si>
  <si>
    <r>
      <t>wafer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전기적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테스트</t>
    </r>
    <phoneticPr fontId="4" type="noConversion"/>
  </si>
  <si>
    <t xml:space="preserve">+/-2um </t>
    <phoneticPr fontId="4" type="noConversion"/>
  </si>
  <si>
    <t>AUTO WAFER PROBER M/C(AP#39)</t>
  </si>
  <si>
    <t>OPUS3</t>
  </si>
  <si>
    <t>OPUS3</t>
    <phoneticPr fontId="4" type="noConversion"/>
  </si>
  <si>
    <t>S12A1I01</t>
  </si>
  <si>
    <t>Semic</t>
    <phoneticPr fontId="4" type="noConversion"/>
  </si>
  <si>
    <t>AUTO WAFER PROBER M/C(AP#49)</t>
  </si>
  <si>
    <t>F25010CH</t>
  </si>
  <si>
    <t>AUTO WAFER PROBER M/C(AP#50)</t>
  </si>
  <si>
    <t>F25011CH</t>
  </si>
  <si>
    <t>AUTO WAFER PROBER M/C(AP#51)</t>
  </si>
  <si>
    <t>F25012CH</t>
  </si>
  <si>
    <t>AUTO WAFER PROBER M/C(AP#52)</t>
  </si>
  <si>
    <t>F25013CH</t>
  </si>
  <si>
    <t>AUTO WAFER PROBER M/C(AP#54)</t>
  </si>
  <si>
    <t>F25015CH</t>
  </si>
  <si>
    <t>AUTO WAFER PROBER M/C(AP#53)</t>
  </si>
  <si>
    <t>F25014CH</t>
  </si>
  <si>
    <t>AUTO WAFER PROBER M/C(AP#55)</t>
  </si>
  <si>
    <t>F25016CH</t>
  </si>
  <si>
    <t>Framed Wafer Prober</t>
  </si>
  <si>
    <t>FD12</t>
  </si>
  <si>
    <t>FD12</t>
    <phoneticPr fontId="4" type="noConversion"/>
  </si>
  <si>
    <t>S15P0F04</t>
  </si>
  <si>
    <t xml:space="preserve">Flat Cold Prober[YP#36] </t>
  </si>
  <si>
    <t>S11B2E06</t>
  </si>
  <si>
    <t>Automatic Wafer Prober(6730A)(YP#21)</t>
  </si>
  <si>
    <t>F25013BN</t>
  </si>
  <si>
    <t>AUTOMATIC WAFER PROBER(YP#52)</t>
  </si>
  <si>
    <t>F25004BL</t>
  </si>
  <si>
    <t>Automatic Wafer Prober(6730A)(YP#28)</t>
  </si>
  <si>
    <t>F25001CN</t>
  </si>
  <si>
    <t>AUTOMATIC WAFER PROBER(AP#61)</t>
  </si>
  <si>
    <t>F25010BL</t>
  </si>
  <si>
    <t>AUTO WAFER PROBER M/C(AP#58)</t>
  </si>
  <si>
    <t>F25004CK</t>
  </si>
  <si>
    <t>Automatic Wafer Prober(ND4)(AP#124)</t>
  </si>
  <si>
    <t>F25014JM</t>
  </si>
  <si>
    <t>AUTO WAFER PROBER(AP#212)</t>
  </si>
  <si>
    <t>S15A9B09</t>
  </si>
  <si>
    <t>AUTOMATIC WAFER PROBER(AP#64)</t>
  </si>
  <si>
    <t>F25013BL</t>
  </si>
  <si>
    <t>UF3K Prober(AP#110)</t>
  </si>
  <si>
    <t>F25001DM</t>
  </si>
  <si>
    <t>UF3K Prober(AP#111)</t>
  </si>
  <si>
    <t>F25002DM</t>
  </si>
  <si>
    <t>UF3K Prober(AP#112)</t>
  </si>
  <si>
    <t>F25003DM</t>
  </si>
  <si>
    <t>UF3K Prober(AP#113)</t>
  </si>
  <si>
    <t>F25004DM</t>
  </si>
  <si>
    <t>AUTO WAFER PROBER M/C(AP#56)</t>
  </si>
  <si>
    <t>F25001AK</t>
  </si>
  <si>
    <t>중복 내용으로 삭제</t>
    <phoneticPr fontId="4" type="noConversion"/>
  </si>
  <si>
    <t>LCD TEST SYSTEM M/C(AT#49)</t>
  </si>
  <si>
    <t>LCD TEST SYSTEM M/C(AT#50)</t>
  </si>
  <si>
    <t>LCD TEST SYSTEM M/C(AT#51)</t>
  </si>
  <si>
    <t>LCD TEST SYSTEM M/C(AT#52)</t>
  </si>
  <si>
    <t>LCD TEST SYSTEM M/C(AT#53)</t>
  </si>
  <si>
    <t>LCD TEST SYSTEM M/C(AT#54)</t>
  </si>
  <si>
    <t>LCD TEST SYSTEM M/C(AT#55)</t>
  </si>
  <si>
    <t>TEST SYSTEM M/C ST6730(Y#24)</t>
  </si>
  <si>
    <t>327F14001M</t>
  </si>
  <si>
    <r>
      <rPr>
        <sz val="10"/>
        <color theme="1"/>
        <rFont val="맑은 고딕"/>
        <family val="3"/>
        <charset val="129"/>
      </rPr>
      <t>매각</t>
    </r>
    <phoneticPr fontId="4" type="noConversion"/>
  </si>
  <si>
    <r>
      <rPr>
        <sz val="10"/>
        <color theme="1"/>
        <rFont val="맑은 고딕"/>
        <family val="3"/>
        <charset val="129"/>
      </rPr>
      <t>매각</t>
    </r>
    <phoneticPr fontId="19" type="noConversion"/>
  </si>
  <si>
    <t>TEST SYSTEM T6391(AT#106)</t>
  </si>
  <si>
    <t>T6391</t>
    <phoneticPr fontId="4" type="noConversion"/>
  </si>
  <si>
    <t>ND4C</t>
    <phoneticPr fontId="4" type="noConversion"/>
  </si>
  <si>
    <r>
      <rPr>
        <sz val="10"/>
        <color theme="1"/>
        <rFont val="맑은 고딕"/>
        <family val="3"/>
        <charset val="129"/>
      </rPr>
      <t>반도체</t>
    </r>
    <r>
      <rPr>
        <sz val="10"/>
        <color theme="1"/>
        <rFont val="Arial"/>
        <family val="2"/>
      </rPr>
      <t xml:space="preserve"> Tester</t>
    </r>
    <phoneticPr fontId="4" type="noConversion"/>
  </si>
  <si>
    <t>LCD DRIVER TESTER T6391(ND4)(AT#116)</t>
  </si>
  <si>
    <t>LCD DRIVER TESTER T6391(ND4)(AT#124)</t>
  </si>
  <si>
    <t>TEST SYSTEM T6391(AT#57)</t>
  </si>
  <si>
    <t>TEST SYSTEM T6391(AT#58)</t>
  </si>
  <si>
    <t>TEST SYSTEM T6391(AT#109)</t>
  </si>
  <si>
    <t>ND4 TESTER (AT#110)</t>
  </si>
  <si>
    <t>ND4 TESTER (AT#111)</t>
  </si>
  <si>
    <t>ND4 TESTER (AT#112)</t>
  </si>
  <si>
    <t>ND4 TESTER (ND4CT013)</t>
  </si>
  <si>
    <t>X</t>
    <phoneticPr fontId="19" type="noConversion"/>
  </si>
  <si>
    <t>12"</t>
    <phoneticPr fontId="19" type="noConversion"/>
  </si>
  <si>
    <t>LCD DRIVER TESTER(T6391)(ND4)(USED)</t>
    <phoneticPr fontId="19" type="noConversion"/>
  </si>
  <si>
    <t>ND4CT015</t>
    <phoneticPr fontId="19" type="noConversion"/>
  </si>
  <si>
    <t>Automatic Wafer Prober UF-3000 LXAP#114</t>
  </si>
  <si>
    <r>
      <rPr>
        <sz val="10"/>
        <color theme="1"/>
        <rFont val="맑은 고딕"/>
        <family val="3"/>
        <charset val="129"/>
      </rPr>
      <t>오지민</t>
    </r>
    <phoneticPr fontId="19" type="noConversion"/>
  </si>
  <si>
    <r>
      <rPr>
        <sz val="10"/>
        <color theme="1"/>
        <rFont val="맑은 고딕"/>
        <family val="3"/>
        <charset val="129"/>
      </rPr>
      <t>품질</t>
    </r>
    <phoneticPr fontId="19" type="noConversion"/>
  </si>
  <si>
    <t>O</t>
  </si>
  <si>
    <t>Bump</t>
  </si>
  <si>
    <t>Au bump</t>
    <phoneticPr fontId="19" type="noConversion"/>
  </si>
  <si>
    <r>
      <t xml:space="preserve">8' </t>
    </r>
    <r>
      <rPr>
        <sz val="10"/>
        <color theme="1"/>
        <rFont val="맑은 고딕"/>
        <family val="3"/>
        <charset val="129"/>
      </rPr>
      <t>특성</t>
    </r>
    <r>
      <rPr>
        <sz val="10"/>
        <color theme="1"/>
        <rFont val="Arial"/>
        <family val="2"/>
      </rPr>
      <t>(Shear)</t>
    </r>
    <phoneticPr fontId="19" type="noConversion"/>
  </si>
  <si>
    <r>
      <rPr>
        <sz val="10"/>
        <color theme="1"/>
        <rFont val="맑은 고딕"/>
        <family val="3"/>
        <charset val="129"/>
      </rPr>
      <t>검사</t>
    </r>
    <phoneticPr fontId="19" type="noConversion"/>
  </si>
  <si>
    <t>MEASURINF ABOVE INSTRUMENTS OR APPARATUS LEADERS IN BOND</t>
    <phoneticPr fontId="19" type="noConversion"/>
  </si>
  <si>
    <t>Shear</t>
    <phoneticPr fontId="4" type="noConversion"/>
  </si>
  <si>
    <t>2077241-4000 PX-1</t>
  </si>
  <si>
    <t>BM-FOR10</t>
  </si>
  <si>
    <t>DAGE PLC</t>
  </si>
  <si>
    <r>
      <rPr>
        <sz val="10"/>
        <color theme="1"/>
        <rFont val="맑은 고딕"/>
        <family val="3"/>
        <charset val="129"/>
      </rPr>
      <t>접합강도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평가</t>
    </r>
    <phoneticPr fontId="4" type="noConversion"/>
  </si>
  <si>
    <r>
      <rPr>
        <sz val="10"/>
        <color theme="1"/>
        <rFont val="맑은 고딕"/>
        <family val="3"/>
        <charset val="129"/>
      </rPr>
      <t>범용</t>
    </r>
    <phoneticPr fontId="4" type="noConversion"/>
  </si>
  <si>
    <t>9024.90-0000</t>
    <phoneticPr fontId="4" type="noConversion"/>
  </si>
  <si>
    <r>
      <rPr>
        <sz val="10"/>
        <color theme="1"/>
        <rFont val="맑은 고딕"/>
        <family val="3"/>
        <charset val="129"/>
      </rPr>
      <t>공통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평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제조</t>
    </r>
  </si>
  <si>
    <t>Bump</t>
    <phoneticPr fontId="4" type="noConversion"/>
  </si>
  <si>
    <r>
      <rPr>
        <sz val="10"/>
        <color theme="1"/>
        <rFont val="맑은 고딕"/>
        <family val="3"/>
        <charset val="129"/>
      </rPr>
      <t>공통</t>
    </r>
  </si>
  <si>
    <r>
      <rPr>
        <sz val="10"/>
        <color theme="1"/>
        <rFont val="맑은 고딕"/>
        <family val="3"/>
        <charset val="129"/>
      </rPr>
      <t>마이크로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비커스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경도계</t>
    </r>
    <r>
      <rPr>
        <sz val="10"/>
        <color theme="1"/>
        <rFont val="Arial"/>
        <family val="2"/>
      </rPr>
      <t>(HM-220A)</t>
    </r>
    <phoneticPr fontId="19" type="noConversion"/>
  </si>
  <si>
    <t>HM-220A</t>
    <phoneticPr fontId="4" type="noConversion"/>
  </si>
  <si>
    <t>000011603</t>
  </si>
  <si>
    <t>BM-HAR03</t>
  </si>
  <si>
    <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진일퍼스텍</t>
    </r>
  </si>
  <si>
    <r>
      <t>1</t>
    </r>
    <r>
      <rPr>
        <sz val="10"/>
        <color theme="1"/>
        <rFont val="맑은 고딕"/>
        <family val="3"/>
        <charset val="129"/>
      </rPr>
      <t>차</t>
    </r>
  </si>
  <si>
    <r>
      <t>Hardness</t>
    </r>
    <r>
      <rPr>
        <sz val="10"/>
        <color theme="1"/>
        <rFont val="맑은 고딕"/>
        <family val="3"/>
        <charset val="129"/>
      </rPr>
      <t>측정</t>
    </r>
    <phoneticPr fontId="4" type="noConversion"/>
  </si>
  <si>
    <r>
      <rPr>
        <sz val="10"/>
        <color theme="1"/>
        <rFont val="맑은 고딕"/>
        <family val="3"/>
        <charset val="129"/>
      </rPr>
      <t>공통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평</t>
    </r>
    <r>
      <rPr>
        <sz val="10"/>
        <color theme="1"/>
        <rFont val="Arial"/>
        <family val="2"/>
      </rPr>
      <t>)BUMP</t>
    </r>
  </si>
  <si>
    <t>Wafer</t>
    <phoneticPr fontId="19" type="noConversion"/>
  </si>
  <si>
    <r>
      <rPr>
        <sz val="10"/>
        <color theme="1"/>
        <rFont val="맑은 고딕"/>
        <family val="3"/>
        <charset val="129"/>
      </rPr>
      <t>△</t>
    </r>
    <phoneticPr fontId="19" type="noConversion"/>
  </si>
  <si>
    <t>ANNEL</t>
  </si>
  <si>
    <t>MC</t>
  </si>
  <si>
    <t>8" BACK OVEN</t>
  </si>
  <si>
    <t>ANNEAL OVEN</t>
  </si>
  <si>
    <t>OVEN</t>
    <phoneticPr fontId="4" type="noConversion"/>
  </si>
  <si>
    <t>AJ-4C-6</t>
  </si>
  <si>
    <t>BE-ANN01</t>
  </si>
  <si>
    <r>
      <rPr>
        <sz val="10"/>
        <color theme="1"/>
        <rFont val="맑은 고딕"/>
        <family val="3"/>
        <charset val="129"/>
      </rPr>
      <t>가동</t>
    </r>
  </si>
  <si>
    <r>
      <rPr>
        <sz val="10"/>
        <color theme="1"/>
        <rFont val="맑은 고딕"/>
        <family val="3"/>
        <charset val="129"/>
      </rPr>
      <t>한국</t>
    </r>
  </si>
  <si>
    <r>
      <rPr>
        <sz val="10"/>
        <color theme="1"/>
        <rFont val="맑은 고딕"/>
        <family val="3"/>
        <charset val="129"/>
      </rPr>
      <t>나래기술</t>
    </r>
  </si>
  <si>
    <r>
      <rPr>
        <sz val="10"/>
        <color theme="1"/>
        <rFont val="맑은 고딕"/>
        <family val="3"/>
        <charset val="129"/>
      </rPr>
      <t>열처리장비</t>
    </r>
    <phoneticPr fontId="4" type="noConversion"/>
  </si>
  <si>
    <r>
      <t xml:space="preserve">Batch </t>
    </r>
    <r>
      <rPr>
        <sz val="10"/>
        <color theme="1"/>
        <rFont val="맑은 고딕"/>
        <family val="3"/>
        <charset val="129"/>
      </rPr>
      <t>방식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고속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초정밀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아님</t>
    </r>
    <phoneticPr fontId="4" type="noConversion"/>
  </si>
  <si>
    <t>3B991</t>
    <phoneticPr fontId="4" type="noConversion"/>
  </si>
  <si>
    <r>
      <rPr>
        <sz val="10"/>
        <color theme="1"/>
        <rFont val="맑은 고딕"/>
        <family val="3"/>
        <charset val="129"/>
      </rPr>
      <t>특성</t>
    </r>
    <r>
      <rPr>
        <sz val="10"/>
        <color theme="1"/>
        <rFont val="Arial"/>
        <family val="2"/>
      </rPr>
      <t>-8"_DDI</t>
    </r>
  </si>
  <si>
    <t>PLATING</t>
  </si>
  <si>
    <t>AU BUMP PLATING M/C</t>
  </si>
  <si>
    <t>BPE-2800K</t>
    <phoneticPr fontId="4" type="noConversion"/>
  </si>
  <si>
    <t>N/A</t>
  </si>
  <si>
    <t>BE-AUP01</t>
  </si>
  <si>
    <r>
      <rPr>
        <sz val="10"/>
        <color theme="1"/>
        <rFont val="맑은 고딕"/>
        <family val="3"/>
        <charset val="129"/>
      </rPr>
      <t>일본</t>
    </r>
  </si>
  <si>
    <t>SEMICON SCIENCE CORP</t>
  </si>
  <si>
    <r>
      <t>2</t>
    </r>
    <r>
      <rPr>
        <sz val="10"/>
        <color rgb="FFFF0000"/>
        <rFont val="맑은 고딕"/>
        <family val="3"/>
        <charset val="129"/>
      </rPr>
      <t>차</t>
    </r>
    <phoneticPr fontId="4" type="noConversion"/>
  </si>
  <si>
    <r>
      <t xml:space="preserve">bump </t>
    </r>
    <r>
      <rPr>
        <sz val="10"/>
        <color theme="1"/>
        <rFont val="맑은 고딕"/>
        <family val="3"/>
        <charset val="129"/>
      </rPr>
      <t>형성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phoneticPr fontId="4" type="noConversion"/>
  </si>
  <si>
    <t>3B001</t>
    <phoneticPr fontId="4" type="noConversion"/>
  </si>
  <si>
    <r>
      <rPr>
        <sz val="10"/>
        <color theme="1"/>
        <rFont val="맑은 고딕"/>
        <family val="3"/>
        <charset val="129"/>
      </rPr>
      <t>증착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도금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웨이퍼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전용이라는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점으로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되지만</t>
    </r>
    <r>
      <rPr>
        <sz val="10"/>
        <color theme="1"/>
        <rFont val="Arial"/>
        <family val="2"/>
      </rPr>
      <t xml:space="preserve"> 8" </t>
    </r>
    <r>
      <rPr>
        <sz val="10"/>
        <color theme="1"/>
        <rFont val="맑은 고딕"/>
        <family val="3"/>
        <charset val="129"/>
      </rPr>
      <t>용으로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범용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됨</t>
    </r>
    <phoneticPr fontId="4" type="noConversion"/>
  </si>
  <si>
    <r>
      <rPr>
        <sz val="10"/>
        <color theme="1"/>
        <rFont val="맑은 고딕"/>
        <family val="3"/>
        <charset val="129"/>
      </rPr>
      <t>산업은행</t>
    </r>
  </si>
  <si>
    <t>PLATING2-AUP8"</t>
  </si>
  <si>
    <t>PR STRIP</t>
  </si>
  <si>
    <t>ORGANIC STRIP STATION</t>
  </si>
  <si>
    <t>PR STRIPPER</t>
  </si>
  <si>
    <t>PR stripper</t>
    <phoneticPr fontId="4" type="noConversion"/>
  </si>
  <si>
    <t>WA1-01-01</t>
  </si>
  <si>
    <t>BE-PRS01</t>
  </si>
  <si>
    <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에이텍</t>
    </r>
  </si>
  <si>
    <r>
      <t xml:space="preserve">PR </t>
    </r>
    <r>
      <rPr>
        <sz val="10"/>
        <color theme="1"/>
        <rFont val="맑은 고딕"/>
        <family val="3"/>
        <charset val="129"/>
      </rPr>
      <t>제거</t>
    </r>
    <phoneticPr fontId="4" type="noConversion"/>
  </si>
  <si>
    <r>
      <rPr>
        <sz val="10"/>
        <color theme="1"/>
        <rFont val="맑은 고딕"/>
        <family val="3"/>
        <charset val="129"/>
      </rPr>
      <t>세정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스트립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반도체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phoneticPr fontId="4" type="noConversion"/>
  </si>
  <si>
    <t>ETCH2-AUP8"</t>
  </si>
  <si>
    <t>PR STRIPER STATION</t>
  </si>
  <si>
    <r>
      <rPr>
        <sz val="10"/>
        <color theme="1"/>
        <rFont val="맑은 고딕"/>
        <family val="3"/>
        <charset val="129"/>
      </rPr>
      <t>한주테크놀놀러지</t>
    </r>
  </si>
  <si>
    <t xml:space="preserve">14CUP PALTING </t>
  </si>
  <si>
    <t>BPE-2800K</t>
  </si>
  <si>
    <t>302010</t>
  </si>
  <si>
    <t>BE-AUP03</t>
  </si>
  <si>
    <t>Vacuum Oven</t>
  </si>
  <si>
    <r>
      <rPr>
        <sz val="10"/>
        <color theme="1"/>
        <rFont val="맑은 고딕"/>
        <family val="3"/>
        <charset val="129"/>
      </rPr>
      <t>애니이큅</t>
    </r>
  </si>
  <si>
    <t>Anneal8"_DDI</t>
  </si>
  <si>
    <t>ALIGN</t>
  </si>
  <si>
    <t>STEPPER ALIGNER AP-200</t>
  </si>
  <si>
    <t>AP200</t>
  </si>
  <si>
    <t>AP200</t>
    <phoneticPr fontId="4" type="noConversion"/>
  </si>
  <si>
    <t>5019</t>
  </si>
  <si>
    <t>BE-STP01</t>
  </si>
  <si>
    <r>
      <rPr>
        <sz val="10"/>
        <color theme="1"/>
        <rFont val="맑은 고딕"/>
        <family val="3"/>
        <charset val="129"/>
      </rPr>
      <t>미국</t>
    </r>
  </si>
  <si>
    <t>ULTRATECH</t>
  </si>
  <si>
    <r>
      <t xml:space="preserve">PR </t>
    </r>
    <r>
      <rPr>
        <sz val="10"/>
        <color theme="1"/>
        <rFont val="맑은 고딕"/>
        <family val="3"/>
        <charset val="129"/>
      </rPr>
      <t>패턴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노광</t>
    </r>
    <phoneticPr fontId="4" type="noConversion"/>
  </si>
  <si>
    <r>
      <t xml:space="preserve">3D001(a) </t>
    </r>
    <r>
      <rPr>
        <sz val="10"/>
        <color theme="1"/>
        <rFont val="맑은 고딕"/>
        <family val="3"/>
        <charset val="129"/>
      </rPr>
      <t>해당</t>
    </r>
    <r>
      <rPr>
        <sz val="10"/>
        <color theme="1"/>
        <rFont val="Arial"/>
        <family val="2"/>
      </rPr>
      <t>-</t>
    </r>
    <r>
      <rPr>
        <sz val="10"/>
        <color theme="1"/>
        <rFont val="맑은 고딕"/>
        <family val="3"/>
        <charset val="129"/>
      </rPr>
      <t>노광기능의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반도체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형성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phoneticPr fontId="4" type="noConversion"/>
  </si>
  <si>
    <t>PHOTO2-8"_EXPOSURE_DDI</t>
  </si>
  <si>
    <r>
      <t>PLATING 4</t>
    </r>
    <r>
      <rPr>
        <sz val="10"/>
        <color theme="1"/>
        <rFont val="맑은 고딕"/>
        <family val="3"/>
        <charset val="129"/>
      </rPr>
      <t>호기</t>
    </r>
  </si>
  <si>
    <t>306004</t>
  </si>
  <si>
    <t>BE-AUP04</t>
  </si>
  <si>
    <t>AVI</t>
  </si>
  <si>
    <r>
      <t>AVI FALCON-520 #2</t>
    </r>
    <r>
      <rPr>
        <sz val="10"/>
        <color theme="1"/>
        <rFont val="맑은 고딕"/>
        <family val="3"/>
        <charset val="129"/>
      </rPr>
      <t>호기</t>
    </r>
  </si>
  <si>
    <t>Falcon 520</t>
  </si>
  <si>
    <t>Falcon 520</t>
    <phoneticPr fontId="4" type="noConversion"/>
  </si>
  <si>
    <t>BE-AVI02</t>
  </si>
  <si>
    <r>
      <rPr>
        <sz val="10"/>
        <color theme="1"/>
        <rFont val="맑은 고딕"/>
        <family val="3"/>
        <charset val="129"/>
      </rPr>
      <t>이스라엘</t>
    </r>
  </si>
  <si>
    <t>CAMTEK HK</t>
  </si>
  <si>
    <r>
      <rPr>
        <sz val="10"/>
        <color theme="1"/>
        <rFont val="맑은 고딕"/>
        <family val="3"/>
        <charset val="129"/>
      </rPr>
      <t>반도체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패키지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외관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3D </t>
    </r>
    <r>
      <rPr>
        <sz val="10"/>
        <color theme="1"/>
        <rFont val="맑은 고딕"/>
        <family val="3"/>
        <charset val="129"/>
      </rPr>
      <t>형상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검사</t>
    </r>
    <phoneticPr fontId="4" type="noConversion"/>
  </si>
  <si>
    <t>9031.80-0000</t>
    <phoneticPr fontId="4" type="noConversion"/>
  </si>
  <si>
    <t>AVI-8"</t>
  </si>
  <si>
    <r>
      <t>PLATING 5</t>
    </r>
    <r>
      <rPr>
        <sz val="10"/>
        <color theme="1"/>
        <rFont val="맑은 고딕"/>
        <family val="3"/>
        <charset val="129"/>
      </rPr>
      <t>호기</t>
    </r>
  </si>
  <si>
    <t>306006</t>
  </si>
  <si>
    <t>BE-AUP05</t>
  </si>
  <si>
    <r>
      <rPr>
        <sz val="10"/>
        <color theme="1"/>
        <rFont val="맑은 고딕"/>
        <family val="3"/>
        <charset val="129"/>
      </rPr>
      <t>특성</t>
    </r>
  </si>
  <si>
    <r>
      <t>Shear Mode</t>
    </r>
    <r>
      <rPr>
        <sz val="10"/>
        <color theme="1"/>
        <rFont val="맑은 고딕"/>
        <family val="3"/>
        <charset val="129"/>
      </rPr>
      <t>계측기</t>
    </r>
    <r>
      <rPr>
        <sz val="10"/>
        <color theme="1"/>
        <rFont val="Arial"/>
        <family val="2"/>
      </rPr>
      <t xml:space="preserve"> Dage-4000</t>
    </r>
  </si>
  <si>
    <t>DAGE4000 PXY</t>
  </si>
  <si>
    <t>DAGE4000 PXY</t>
    <phoneticPr fontId="4" type="noConversion"/>
  </si>
  <si>
    <t>BM-FOR11</t>
  </si>
  <si>
    <r>
      <rPr>
        <sz val="10"/>
        <color theme="1"/>
        <rFont val="맑은 고딕"/>
        <family val="3"/>
        <charset val="129"/>
      </rPr>
      <t>영국</t>
    </r>
  </si>
  <si>
    <r>
      <rPr>
        <sz val="10"/>
        <color theme="1"/>
        <rFont val="맑은 고딕"/>
        <family val="3"/>
        <charset val="129"/>
      </rPr>
      <t>반도체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패키지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전자조립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결합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신뢰성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평가용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시험장비</t>
    </r>
    <phoneticPr fontId="4" type="noConversion"/>
  </si>
  <si>
    <t>9031.49-0000</t>
    <phoneticPr fontId="4" type="noConversion"/>
  </si>
  <si>
    <r>
      <t>AVI FALCON-520 #3</t>
    </r>
    <r>
      <rPr>
        <sz val="10"/>
        <color theme="1"/>
        <rFont val="맑은 고딕"/>
        <family val="3"/>
        <charset val="129"/>
      </rPr>
      <t>호기</t>
    </r>
  </si>
  <si>
    <t>BE-AVI03</t>
  </si>
  <si>
    <t>SRD</t>
    <phoneticPr fontId="4" type="noConversion"/>
  </si>
  <si>
    <t xml:space="preserve">8" spin rinse dryer </t>
  </si>
  <si>
    <t>DRYER</t>
    <phoneticPr fontId="4" type="noConversion"/>
  </si>
  <si>
    <t>BE-SRD05</t>
  </si>
  <si>
    <t>SEMITOOL</t>
  </si>
  <si>
    <r>
      <rPr>
        <sz val="10"/>
        <color theme="1"/>
        <rFont val="맑은 고딕"/>
        <family val="3"/>
        <charset val="129"/>
      </rPr>
      <t>웨이퍼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세정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건조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phoneticPr fontId="4" type="noConversion"/>
  </si>
  <si>
    <r>
      <t>STEPPER ALIGNER AP-200 #2</t>
    </r>
    <r>
      <rPr>
        <sz val="10"/>
        <color theme="1"/>
        <rFont val="맑은 고딕"/>
        <family val="3"/>
        <charset val="129"/>
      </rPr>
      <t>호기</t>
    </r>
  </si>
  <si>
    <t>5030</t>
  </si>
  <si>
    <t>BE-STP02</t>
  </si>
  <si>
    <t>SCRUBBER</t>
  </si>
  <si>
    <t>8" SCRUBBER VS-8000</t>
  </si>
  <si>
    <t>VS-8000</t>
  </si>
  <si>
    <t>VS-8000</t>
    <phoneticPr fontId="4" type="noConversion"/>
  </si>
  <si>
    <t>M-1438</t>
  </si>
  <si>
    <t>BE-SCR03</t>
  </si>
  <si>
    <t>M.SETEK</t>
  </si>
  <si>
    <r>
      <rPr>
        <sz val="10"/>
        <color theme="1"/>
        <rFont val="맑은 고딕"/>
        <family val="3"/>
        <charset val="129"/>
      </rPr>
      <t>비파괴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검사</t>
    </r>
    <phoneticPr fontId="4" type="noConversion"/>
  </si>
  <si>
    <t>UBM2-8"_DDI</t>
  </si>
  <si>
    <t>DEVELOP</t>
  </si>
  <si>
    <t>DEVELOPER VRD-8000(USED)</t>
  </si>
  <si>
    <t>VRD-8000</t>
  </si>
  <si>
    <t>VRD-8000</t>
    <phoneticPr fontId="4" type="noConversion"/>
  </si>
  <si>
    <t>M_1439</t>
  </si>
  <si>
    <t>BE-DEV05</t>
  </si>
  <si>
    <r>
      <rPr>
        <sz val="10"/>
        <color theme="1"/>
        <rFont val="맑은 고딕"/>
        <family val="3"/>
        <charset val="129"/>
      </rPr>
      <t>외관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검사</t>
    </r>
    <phoneticPr fontId="4" type="noConversion"/>
  </si>
  <si>
    <r>
      <rPr>
        <sz val="10"/>
        <color theme="1"/>
        <rFont val="맑은 고딕"/>
        <family val="3"/>
        <charset val="129"/>
      </rPr>
      <t>반도체용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웨이퍼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전용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리소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관련</t>
    </r>
    <phoneticPr fontId="4" type="noConversion"/>
  </si>
  <si>
    <t>PHOTO2-8"_DEVELOP_DDI</t>
  </si>
  <si>
    <r>
      <t>AVI FALCON-520 #4</t>
    </r>
    <r>
      <rPr>
        <sz val="10"/>
        <color theme="1"/>
        <rFont val="맑은 고딕"/>
        <family val="3"/>
        <charset val="129"/>
      </rPr>
      <t>호기</t>
    </r>
  </si>
  <si>
    <t>BE-AVI04</t>
  </si>
  <si>
    <t>SPUTTER</t>
  </si>
  <si>
    <t>SPUTTER ENDURA-5500</t>
  </si>
  <si>
    <t>ENDURA-5500</t>
  </si>
  <si>
    <t>ENDURA-5500</t>
    <phoneticPr fontId="4" type="noConversion"/>
  </si>
  <si>
    <t>300592</t>
  </si>
  <si>
    <t>BE-SPU04</t>
  </si>
  <si>
    <r>
      <rPr>
        <sz val="10"/>
        <color theme="1"/>
        <rFont val="맑은 고딕"/>
        <family val="3"/>
        <charset val="129"/>
      </rPr>
      <t>러셀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</si>
  <si>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금속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박막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형성</t>
    </r>
    <phoneticPr fontId="4" type="noConversion"/>
  </si>
  <si>
    <r>
      <rPr>
        <sz val="10"/>
        <color theme="1"/>
        <rFont val="맑은 고딕"/>
        <family val="3"/>
        <charset val="129"/>
      </rPr>
      <t>조건부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통제</t>
    </r>
    <r>
      <rPr>
        <sz val="10"/>
        <color theme="1"/>
        <rFont val="Arial"/>
        <family val="2"/>
      </rPr>
      <t xml:space="preserve">(PVD, suptter </t>
    </r>
    <r>
      <rPr>
        <sz val="10"/>
        <color theme="1"/>
        <rFont val="맑은 고딕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별표</t>
    </r>
    <r>
      <rPr>
        <sz val="10"/>
        <color theme="1"/>
        <rFont val="Arial"/>
        <family val="2"/>
      </rPr>
      <t xml:space="preserve"> 2-2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이중용도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반도체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당</t>
    </r>
    <phoneticPr fontId="4" type="noConversion"/>
  </si>
  <si>
    <t>DEVELOPER VRD-8000</t>
  </si>
  <si>
    <t>M_1441</t>
  </si>
  <si>
    <t>BE-DEV06</t>
  </si>
  <si>
    <r>
      <t>PLATING 6</t>
    </r>
    <r>
      <rPr>
        <sz val="10"/>
        <color theme="1"/>
        <rFont val="맑은 고딕"/>
        <family val="3"/>
        <charset val="129"/>
      </rPr>
      <t>호기</t>
    </r>
  </si>
  <si>
    <t>307004</t>
  </si>
  <si>
    <t>BE-AUP06</t>
  </si>
  <si>
    <r>
      <t>SPUTTER ENDURA-5500 #2</t>
    </r>
    <r>
      <rPr>
        <sz val="10"/>
        <color theme="1"/>
        <rFont val="맑은 고딕"/>
        <family val="3"/>
        <charset val="129"/>
      </rPr>
      <t>호기</t>
    </r>
  </si>
  <si>
    <t>P529</t>
  </si>
  <si>
    <t>BE-SPU05</t>
  </si>
  <si>
    <r>
      <rPr>
        <sz val="8.5"/>
        <color theme="1"/>
        <rFont val="맑은 고딕"/>
        <family val="3"/>
        <charset val="129"/>
      </rPr>
      <t>△</t>
    </r>
    <phoneticPr fontId="19" type="noConversion"/>
  </si>
  <si>
    <r>
      <t>PR STRIPER STATION #2</t>
    </r>
    <r>
      <rPr>
        <sz val="10"/>
        <color theme="1"/>
        <rFont val="맑은 고딕"/>
        <family val="3"/>
        <charset val="129"/>
      </rPr>
      <t>호기</t>
    </r>
  </si>
  <si>
    <t>Wet Station</t>
  </si>
  <si>
    <t>Wet station</t>
    <phoneticPr fontId="4" type="noConversion"/>
  </si>
  <si>
    <r>
      <rPr>
        <sz val="10"/>
        <color theme="1"/>
        <rFont val="맑은 고딕"/>
        <family val="3"/>
        <charset val="129"/>
      </rPr>
      <t>특주</t>
    </r>
    <phoneticPr fontId="19" type="noConversion"/>
  </si>
  <si>
    <t>BE-PRS03</t>
  </si>
  <si>
    <r>
      <rPr>
        <sz val="10"/>
        <color theme="1"/>
        <rFont val="맑은 고딕"/>
        <family val="3"/>
        <charset val="129"/>
      </rPr>
      <t>네오시스</t>
    </r>
  </si>
  <si>
    <r>
      <t>PLATING M/C #7</t>
    </r>
    <r>
      <rPr>
        <sz val="10"/>
        <color theme="1"/>
        <rFont val="맑은 고딕"/>
        <family val="3"/>
        <charset val="129"/>
      </rPr>
      <t>호기</t>
    </r>
  </si>
  <si>
    <t>5011</t>
  </si>
  <si>
    <t>BE-AUP07</t>
  </si>
  <si>
    <t>K-FIELD</t>
  </si>
  <si>
    <t>AU PLATING M/C #8</t>
    <phoneticPr fontId="19" type="noConversion"/>
  </si>
  <si>
    <t>BE-AUP08</t>
  </si>
  <si>
    <t>AVI FALCON520 #7</t>
  </si>
  <si>
    <t>BE-AVI07</t>
  </si>
  <si>
    <t>AU PLATING M/C #9</t>
  </si>
  <si>
    <t>BE-AUP09</t>
  </si>
  <si>
    <t>SRD(880S)</t>
  </si>
  <si>
    <t>880S</t>
    <phoneticPr fontId="4" type="noConversion"/>
  </si>
  <si>
    <t>BE-SRD10</t>
  </si>
  <si>
    <r>
      <rPr>
        <sz val="10"/>
        <color theme="1"/>
        <rFont val="맑은 고딕"/>
        <family val="3"/>
        <charset val="129"/>
      </rPr>
      <t>에이원스</t>
    </r>
  </si>
  <si>
    <r>
      <rPr>
        <sz val="10"/>
        <color theme="1"/>
        <rFont val="맑은 고딕"/>
        <family val="3"/>
        <charset val="129"/>
      </rPr>
      <t>반도체용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웨이퍼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전용</t>
    </r>
    <phoneticPr fontId="4" type="noConversion"/>
  </si>
  <si>
    <t>SPUTTER ENDURA 5500</t>
  </si>
  <si>
    <t>413047</t>
  </si>
  <si>
    <t>BE-SPU06</t>
  </si>
  <si>
    <t>SCRUBBER</t>
    <phoneticPr fontId="19" type="noConversion"/>
  </si>
  <si>
    <t>KS-W80A-A</t>
  </si>
  <si>
    <t>KS-W80A-A</t>
    <phoneticPr fontId="4" type="noConversion"/>
  </si>
  <si>
    <t>B511M08N-09</t>
  </si>
  <si>
    <t>BE-SCR05</t>
  </si>
  <si>
    <t>DNS</t>
  </si>
  <si>
    <r>
      <rPr>
        <sz val="10"/>
        <color theme="1"/>
        <rFont val="맑은 고딕"/>
        <family val="3"/>
        <charset val="129"/>
      </rPr>
      <t>웨이퍼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phoneticPr fontId="4" type="noConversion"/>
  </si>
  <si>
    <t>DESCUM</t>
  </si>
  <si>
    <t>DESCUM ECO LITE</t>
  </si>
  <si>
    <t>ECO Lite</t>
  </si>
  <si>
    <t>ECO-Lite</t>
    <phoneticPr fontId="4" type="noConversion"/>
  </si>
  <si>
    <t>PSK00001-1</t>
  </si>
  <si>
    <t>BE-GAS04</t>
  </si>
  <si>
    <r>
      <rPr>
        <sz val="10"/>
        <color theme="1"/>
        <rFont val="맑은 고딕"/>
        <family val="3"/>
        <charset val="129"/>
      </rPr>
      <t>피에스케이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</si>
  <si>
    <r>
      <t xml:space="preserve">PR </t>
    </r>
    <r>
      <rPr>
        <sz val="10"/>
        <color theme="1"/>
        <rFont val="맑은 고딕"/>
        <family val="3"/>
        <charset val="129"/>
      </rPr>
      <t>잔여물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제거하는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플라즈마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phoneticPr fontId="4" type="noConversion"/>
  </si>
  <si>
    <t>PHOTO2-8"_DESCUM_DDI</t>
  </si>
  <si>
    <t>AU PLATING M/C #10</t>
  </si>
  <si>
    <t>BE-AUP10</t>
  </si>
  <si>
    <t>AU PLATING M/C #11</t>
  </si>
  <si>
    <t>BE-AUP11</t>
  </si>
  <si>
    <t>PSK99003-5</t>
  </si>
  <si>
    <t>BE-GAS05</t>
  </si>
  <si>
    <t>DRY OVEN</t>
    <phoneticPr fontId="19" type="noConversion"/>
  </si>
  <si>
    <t>OSST-15101703102</t>
  </si>
  <si>
    <t>BE-ANN03</t>
  </si>
  <si>
    <r>
      <rPr>
        <sz val="10"/>
        <color theme="1"/>
        <rFont val="맑은 고딕"/>
        <family val="3"/>
        <charset val="129"/>
      </rPr>
      <t>오성엘에스티</t>
    </r>
  </si>
  <si>
    <t>BE-AVI_03</t>
  </si>
  <si>
    <r>
      <t>1</t>
    </r>
    <r>
      <rPr>
        <sz val="10"/>
        <color theme="1"/>
        <rFont val="맑은 고딕"/>
        <family val="3"/>
        <charset val="129"/>
      </rPr>
      <t>공장</t>
    </r>
    <phoneticPr fontId="19" type="noConversion"/>
  </si>
  <si>
    <t>COG</t>
  </si>
  <si>
    <t>COG</t>
    <phoneticPr fontId="19" type="noConversion"/>
  </si>
  <si>
    <t>SAW</t>
    <phoneticPr fontId="19" type="noConversion"/>
  </si>
  <si>
    <t>FULL AUTOMATIC DICIMG M/C(DISCO)#3</t>
  </si>
  <si>
    <t>DFD6340</t>
  </si>
  <si>
    <t>DFD6340</t>
    <phoneticPr fontId="4" type="noConversion"/>
  </si>
  <si>
    <t>JT2389</t>
  </si>
  <si>
    <t>CE-SAW03</t>
  </si>
  <si>
    <t>DISCO</t>
  </si>
  <si>
    <t>Wafer Sicing Saw</t>
    <phoneticPr fontId="4" type="noConversion"/>
  </si>
  <si>
    <t>8486.40-0000</t>
    <phoneticPr fontId="4" type="noConversion"/>
  </si>
  <si>
    <r>
      <rPr>
        <sz val="10"/>
        <color theme="1"/>
        <rFont val="맑은 고딕"/>
        <family val="3"/>
        <charset val="129"/>
      </rPr>
      <t>전략물자수출입고시</t>
    </r>
    <phoneticPr fontId="4" type="noConversion"/>
  </si>
  <si>
    <t>COG</t>
    <phoneticPr fontId="4" type="noConversion"/>
  </si>
  <si>
    <t>P&amp;P</t>
  </si>
  <si>
    <t>WAFER CHIP SORTING M/C #2(SOJIZ)</t>
  </si>
  <si>
    <t>WCS-821B</t>
  </si>
  <si>
    <t>WCS-821B</t>
    <phoneticPr fontId="4" type="noConversion"/>
  </si>
  <si>
    <t>CE-PNP02</t>
  </si>
  <si>
    <t>SOJIZ</t>
  </si>
  <si>
    <t>Chip PnP</t>
    <phoneticPr fontId="4" type="noConversion"/>
  </si>
  <si>
    <t>8479.50-0000</t>
    <phoneticPr fontId="4" type="noConversion"/>
  </si>
  <si>
    <t>FULL AUTOMATIC DICIMG M/C(DISCO)#5</t>
  </si>
  <si>
    <t>JT2808</t>
  </si>
  <si>
    <t>CE-SAW05</t>
  </si>
  <si>
    <t>FULL AUTOMATIC DICIMG M/C(DISCO)#6</t>
  </si>
  <si>
    <t>JT2818</t>
  </si>
  <si>
    <t>CE-SAW06</t>
  </si>
  <si>
    <t>WAFER CHIP SORTING M/C #6(DAITO)</t>
  </si>
  <si>
    <t>CE-PNP06</t>
  </si>
  <si>
    <t>DAITO</t>
  </si>
  <si>
    <t>C-AVI</t>
  </si>
  <si>
    <t>CHIP INSPECTION SYSTEM #6</t>
  </si>
  <si>
    <t>HT-1200</t>
  </si>
  <si>
    <t>HT-1200</t>
    <phoneticPr fontId="4" type="noConversion"/>
  </si>
  <si>
    <t>A7116</t>
  </si>
  <si>
    <t>CE-AVI05</t>
  </si>
  <si>
    <r>
      <rPr>
        <sz val="10"/>
        <color theme="1"/>
        <rFont val="맑은 고딕"/>
        <family val="3"/>
        <charset val="129"/>
      </rPr>
      <t>대만</t>
    </r>
  </si>
  <si>
    <t>HONTECH</t>
  </si>
  <si>
    <r>
      <t xml:space="preserve">Die </t>
    </r>
    <r>
      <rPr>
        <sz val="10"/>
        <color theme="1"/>
        <rFont val="맑은 고딕"/>
        <family val="3"/>
        <charset val="129"/>
      </rPr>
      <t>외관검사</t>
    </r>
    <phoneticPr fontId="4" type="noConversion"/>
  </si>
  <si>
    <t>FULL AUTOMATIC DICIMG M/C(DISCO)#7</t>
  </si>
  <si>
    <t>JT2947</t>
  </si>
  <si>
    <t>CE-SAW07</t>
  </si>
  <si>
    <t>FULL AUTOMATIC DICIMG M/C(DISCO)#8</t>
  </si>
  <si>
    <t>JT2966</t>
  </si>
  <si>
    <t>CE-SAW08</t>
  </si>
  <si>
    <t>FULL AUTOMATIC DICIMG M/C(DISCO)#9</t>
  </si>
  <si>
    <t>JT2965</t>
  </si>
  <si>
    <t>CE-SAW09</t>
  </si>
  <si>
    <t>FULL AUTOMATIC DICIMG M/C(DISCO)#10</t>
  </si>
  <si>
    <t>JT2964</t>
  </si>
  <si>
    <t>CE-SAW10</t>
  </si>
  <si>
    <t>CHIP INSPECTION SYSTEM #7</t>
  </si>
  <si>
    <t>A7117</t>
  </si>
  <si>
    <t>CE-AVI06</t>
  </si>
  <si>
    <t>CHIP INSPECTION SYSTEM #8</t>
  </si>
  <si>
    <t>BCC775</t>
  </si>
  <si>
    <t>CE-AVI07</t>
  </si>
  <si>
    <r>
      <t>WAFER CHIP SORTING M/C #7(</t>
    </r>
    <r>
      <rPr>
        <sz val="10"/>
        <color theme="1"/>
        <rFont val="맑은 고딕"/>
        <family val="3"/>
        <charset val="129"/>
      </rPr>
      <t>제이티</t>
    </r>
    <r>
      <rPr>
        <sz val="10"/>
        <color theme="1"/>
        <rFont val="Arial"/>
        <family val="2"/>
      </rPr>
      <t>)</t>
    </r>
  </si>
  <si>
    <t>JAP-3000</t>
  </si>
  <si>
    <t>JAP-3000</t>
    <phoneticPr fontId="4" type="noConversion"/>
  </si>
  <si>
    <t>J4343LBS1944</t>
  </si>
  <si>
    <t>CE-PNP07</t>
  </si>
  <si>
    <r>
      <rPr>
        <sz val="10"/>
        <color theme="1"/>
        <rFont val="맑은 고딕"/>
        <family val="3"/>
        <charset val="129"/>
      </rPr>
      <t>제이티</t>
    </r>
  </si>
  <si>
    <r>
      <t>WAFER CHIP SORTING M/C #8(</t>
    </r>
    <r>
      <rPr>
        <sz val="10"/>
        <color theme="1"/>
        <rFont val="맑은 고딕"/>
        <family val="3"/>
        <charset val="129"/>
      </rPr>
      <t>제이티</t>
    </r>
    <r>
      <rPr>
        <sz val="10"/>
        <color theme="1"/>
        <rFont val="Arial"/>
        <family val="2"/>
      </rPr>
      <t>)</t>
    </r>
  </si>
  <si>
    <t>J4343LBS1971</t>
  </si>
  <si>
    <t>CE-PNP08</t>
  </si>
  <si>
    <r>
      <t>WAFER CHIP SORTING M/C #9(</t>
    </r>
    <r>
      <rPr>
        <sz val="10"/>
        <color theme="1"/>
        <rFont val="맑은 고딕"/>
        <family val="3"/>
        <charset val="129"/>
      </rPr>
      <t>제이티</t>
    </r>
    <r>
      <rPr>
        <sz val="10"/>
        <color theme="1"/>
        <rFont val="Arial"/>
        <family val="2"/>
      </rPr>
      <t>)</t>
    </r>
  </si>
  <si>
    <t>J4343LBS1972</t>
  </si>
  <si>
    <t>CE-PNP09</t>
  </si>
  <si>
    <t>FULL AUTOMATIC DICIMG M/C(DISCO)#11</t>
  </si>
  <si>
    <t>JT4049</t>
  </si>
  <si>
    <t>CE-SAW11</t>
  </si>
  <si>
    <t>FULL AUTOMATIC DICIMG M/C(DISCO)#12</t>
  </si>
  <si>
    <t>JT4048</t>
  </si>
  <si>
    <t>CE-SAW12</t>
  </si>
  <si>
    <t>CHIP INSPECTION SYSTEM #9</t>
  </si>
  <si>
    <t>BCC776</t>
  </si>
  <si>
    <t>CE-AVI08</t>
  </si>
  <si>
    <t>CHIP INSPECTION SYSTEM #10</t>
  </si>
  <si>
    <t>BCC829</t>
  </si>
  <si>
    <t>CE-AVI09</t>
  </si>
  <si>
    <r>
      <t>WAFER CHIP SORTING M/C #10(</t>
    </r>
    <r>
      <rPr>
        <sz val="10"/>
        <color theme="1"/>
        <rFont val="맑은 고딕"/>
        <family val="3"/>
        <charset val="129"/>
      </rPr>
      <t>제이티</t>
    </r>
    <r>
      <rPr>
        <sz val="10"/>
        <color theme="1"/>
        <rFont val="Arial"/>
        <family val="2"/>
      </rPr>
      <t>)</t>
    </r>
  </si>
  <si>
    <t>J4343LBS2105</t>
  </si>
  <si>
    <t>CE-PNP10</t>
  </si>
  <si>
    <t>FULL AUTOMATIC DICIMG M/C(DISCO)#13</t>
  </si>
  <si>
    <t>JT4093</t>
  </si>
  <si>
    <t>CE-SAW13</t>
  </si>
  <si>
    <t>CHIP INSPECTION SYSTEM #11</t>
  </si>
  <si>
    <t>BCC884</t>
  </si>
  <si>
    <t>CE-AVI10</t>
  </si>
  <si>
    <t>CHIP INSPECTION SYSTEM #12</t>
  </si>
  <si>
    <t>A8070</t>
  </si>
  <si>
    <t>CE-AVI11</t>
  </si>
  <si>
    <t>COG SAW M/C #15</t>
  </si>
  <si>
    <t>JT4137</t>
  </si>
  <si>
    <t>CE-SAW15</t>
  </si>
  <si>
    <t>COG SAW M/C #16</t>
  </si>
  <si>
    <t>JT4138</t>
  </si>
  <si>
    <t>CE-SAW16</t>
  </si>
  <si>
    <t>12" PNP #1</t>
  </si>
  <si>
    <t>PNP</t>
    <phoneticPr fontId="4" type="noConversion"/>
  </si>
  <si>
    <t>LBS-HOC557-2012</t>
  </si>
  <si>
    <t>CE-PNP14</t>
  </si>
  <si>
    <r>
      <rPr>
        <sz val="10"/>
        <color theme="1"/>
        <rFont val="맑은 고딕"/>
        <family val="3"/>
        <charset val="129"/>
      </rPr>
      <t>한미반도체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</si>
  <si>
    <r>
      <t>Chip Pnp+</t>
    </r>
    <r>
      <rPr>
        <sz val="10"/>
        <color theme="1"/>
        <rFont val="맑은 고딕"/>
        <family val="3"/>
        <charset val="129"/>
      </rPr>
      <t>검사</t>
    </r>
    <phoneticPr fontId="4" type="noConversion"/>
  </si>
  <si>
    <t>12" PNP #4</t>
    <phoneticPr fontId="19" type="noConversion"/>
  </si>
  <si>
    <t>APP-L10</t>
    <phoneticPr fontId="4" type="noConversion"/>
  </si>
  <si>
    <t>AP-1601-008</t>
  </si>
  <si>
    <t>CE-PNP17</t>
  </si>
  <si>
    <r>
      <rPr>
        <sz val="10"/>
        <color theme="1"/>
        <rFont val="맑은 고딕"/>
        <family val="3"/>
        <charset val="129"/>
      </rPr>
      <t>에이피텍</t>
    </r>
  </si>
  <si>
    <t>12" PNP #5</t>
    <phoneticPr fontId="19" type="noConversion"/>
  </si>
  <si>
    <t>AP-1601-009</t>
  </si>
  <si>
    <t>CE-PNP18</t>
  </si>
  <si>
    <t>PICK &amp; PLACE(APP-L10)</t>
    <phoneticPr fontId="19" type="noConversion"/>
  </si>
  <si>
    <t>J4345LSM2483</t>
  </si>
  <si>
    <t>CE-PNP23</t>
  </si>
  <si>
    <t>AVI(HT-1200)</t>
    <phoneticPr fontId="19" type="noConversion"/>
  </si>
  <si>
    <t>CCC975</t>
  </si>
  <si>
    <t>CE-AVI14</t>
  </si>
  <si>
    <t>CCC829</t>
  </si>
  <si>
    <t>CE-AVI15</t>
  </si>
  <si>
    <t>BG</t>
    <phoneticPr fontId="19" type="noConversion"/>
  </si>
  <si>
    <t xml:space="preserve">BACK GRIND </t>
    <phoneticPr fontId="19" type="noConversion"/>
  </si>
  <si>
    <t>PG300RM</t>
  </si>
  <si>
    <t>PG300RM</t>
    <phoneticPr fontId="4" type="noConversion"/>
  </si>
  <si>
    <t>P04002MB</t>
  </si>
  <si>
    <t>CE-BGR01</t>
  </si>
  <si>
    <t>해당</t>
    <phoneticPr fontId="4" type="noConversion"/>
  </si>
  <si>
    <t>웨이퍼 그라인더</t>
    <phoneticPr fontId="4" type="noConversion"/>
  </si>
  <si>
    <r>
      <rPr>
        <sz val="10"/>
        <color theme="1"/>
        <rFont val="맑은 고딕"/>
        <family val="3"/>
        <charset val="129"/>
      </rPr>
      <t>핵심장비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아님</t>
    </r>
    <phoneticPr fontId="4" type="noConversion"/>
  </si>
  <si>
    <r>
      <rPr>
        <sz val="10"/>
        <color theme="1"/>
        <rFont val="맑은 고딕"/>
        <family val="3"/>
        <charset val="129"/>
      </rPr>
      <t>공통</t>
    </r>
    <r>
      <rPr>
        <sz val="10"/>
        <color theme="1"/>
        <rFont val="Arial"/>
        <family val="2"/>
      </rPr>
      <t>)B/G</t>
    </r>
  </si>
  <si>
    <t>BACK GRIND #2</t>
  </si>
  <si>
    <t>PG3000RM</t>
  </si>
  <si>
    <t>PG3000RM</t>
    <phoneticPr fontId="4" type="noConversion"/>
  </si>
  <si>
    <t>P05002BF</t>
  </si>
  <si>
    <t>CE-BGR02</t>
  </si>
  <si>
    <r>
      <rPr>
        <sz val="10"/>
        <color theme="1"/>
        <rFont val="맑은 고딕"/>
        <family val="3"/>
        <charset val="129"/>
      </rPr>
      <t>웨이퍼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그라인더</t>
    </r>
    <phoneticPr fontId="4" type="noConversion"/>
  </si>
  <si>
    <t>LMK</t>
    <phoneticPr fontId="4" type="noConversion"/>
  </si>
  <si>
    <t>LASER MARKING M/C</t>
  </si>
  <si>
    <t>CSM2000</t>
    <phoneticPr fontId="4" type="noConversion"/>
  </si>
  <si>
    <t>DW7006</t>
  </si>
  <si>
    <t>BE-CSM02</t>
  </si>
  <si>
    <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이오테크닉스</t>
    </r>
  </si>
  <si>
    <r>
      <rPr>
        <sz val="10"/>
        <color theme="1"/>
        <rFont val="맑은 고딕"/>
        <family val="3"/>
        <charset val="129"/>
      </rPr>
      <t>레이저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마킹</t>
    </r>
    <phoneticPr fontId="4" type="noConversion"/>
  </si>
  <si>
    <t>8456.10-0000</t>
    <phoneticPr fontId="4" type="noConversion"/>
  </si>
  <si>
    <r>
      <t>L/M Laser set (L/M 2</t>
    </r>
    <r>
      <rPr>
        <sz val="10"/>
        <color theme="1"/>
        <rFont val="맑은 고딕"/>
        <family val="3"/>
        <charset val="129"/>
      </rPr>
      <t>호기</t>
    </r>
    <r>
      <rPr>
        <sz val="10"/>
        <color theme="1"/>
        <rFont val="Arial"/>
        <family val="2"/>
      </rPr>
      <t>)</t>
    </r>
    <phoneticPr fontId="19" type="noConversion"/>
  </si>
  <si>
    <t>CSM2000</t>
  </si>
  <si>
    <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이오테크닉스</t>
    </r>
    <phoneticPr fontId="4" type="noConversion"/>
  </si>
  <si>
    <t>DDI</t>
  </si>
  <si>
    <t>Au Bump</t>
    <phoneticPr fontId="19" type="noConversion"/>
  </si>
  <si>
    <t>8' PLATING</t>
    <phoneticPr fontId="19" type="noConversion"/>
  </si>
  <si>
    <t>Au Plating M/C [#12]</t>
  </si>
  <si>
    <t>UIS-0814CUP-LB</t>
  </si>
  <si>
    <t>U1134</t>
  </si>
  <si>
    <t>BE-AUP12</t>
  </si>
  <si>
    <t>CURE</t>
    <phoneticPr fontId="19" type="noConversion"/>
  </si>
  <si>
    <t>Cure Oven[ANN#04]</t>
  </si>
  <si>
    <t>FTC-HTI-450</t>
  </si>
  <si>
    <t>48001</t>
  </si>
  <si>
    <t>BE-ANN04</t>
  </si>
  <si>
    <r>
      <rPr>
        <sz val="10"/>
        <color theme="1"/>
        <rFont val="맑은 고딕"/>
        <family val="3"/>
        <charset val="129"/>
      </rPr>
      <t>화인테크노</t>
    </r>
    <phoneticPr fontId="19" type="noConversion"/>
  </si>
  <si>
    <t>cure oven</t>
    <phoneticPr fontId="4" type="noConversion"/>
  </si>
  <si>
    <t>8"&amp;12"</t>
  </si>
  <si>
    <t>P&amp;P</t>
    <phoneticPr fontId="19" type="noConversion"/>
  </si>
  <si>
    <r>
      <t>P&amp;P</t>
    </r>
    <r>
      <rPr>
        <sz val="10"/>
        <color theme="1"/>
        <rFont val="맑은 고딕"/>
        <family val="3"/>
        <charset val="129"/>
      </rPr>
      <t>장비</t>
    </r>
    <r>
      <rPr>
        <sz val="10"/>
        <color theme="1"/>
        <rFont val="Arial"/>
        <family val="2"/>
      </rPr>
      <t>(APP-L10)_#24</t>
    </r>
  </si>
  <si>
    <t>APP-L10</t>
  </si>
  <si>
    <t>M-20-0108</t>
  </si>
  <si>
    <t>CE-PNP24</t>
  </si>
  <si>
    <r>
      <t>P&amp;P</t>
    </r>
    <r>
      <rPr>
        <sz val="10"/>
        <color theme="1"/>
        <rFont val="맑은 고딕"/>
        <family val="3"/>
        <charset val="129"/>
      </rPr>
      <t>장비</t>
    </r>
    <r>
      <rPr>
        <sz val="10"/>
        <color theme="1"/>
        <rFont val="Arial"/>
        <family val="2"/>
      </rPr>
      <t>(APP-L10)_#25</t>
    </r>
  </si>
  <si>
    <t>M-20-0109</t>
  </si>
  <si>
    <t>CE-PNP25</t>
  </si>
  <si>
    <t>SRD#15(Sd-2005S)</t>
  </si>
  <si>
    <t>SD-2205S2</t>
  </si>
  <si>
    <t>SD-2205S2</t>
    <phoneticPr fontId="4" type="noConversion"/>
  </si>
  <si>
    <t>S24-0061</t>
  </si>
  <si>
    <t>BE-SRD#15</t>
  </si>
  <si>
    <r>
      <rPr>
        <sz val="10"/>
        <color theme="1"/>
        <rFont val="맑은 고딕"/>
        <family val="3"/>
        <charset val="129"/>
      </rPr>
      <t>세미트로닉스</t>
    </r>
    <phoneticPr fontId="19" type="noConversion"/>
  </si>
  <si>
    <r>
      <t>P&amp;P</t>
    </r>
    <r>
      <rPr>
        <sz val="10"/>
        <color theme="1"/>
        <rFont val="맑은 고딕"/>
        <family val="3"/>
        <charset val="129"/>
      </rPr>
      <t>장비</t>
    </r>
    <r>
      <rPr>
        <sz val="10"/>
        <color theme="1"/>
        <rFont val="Arial"/>
        <family val="2"/>
      </rPr>
      <t>(APP-L10)_#26</t>
    </r>
  </si>
  <si>
    <t>M-20-0178</t>
  </si>
  <si>
    <t>CE-PNP26</t>
  </si>
  <si>
    <t>Spin Rinse Dry #16(SD-2005S2)</t>
  </si>
  <si>
    <t>S20-004A</t>
  </si>
  <si>
    <t>BE-SRD#16</t>
  </si>
  <si>
    <t>Full Auto Plasma</t>
  </si>
  <si>
    <t>JSPCS-700FA</t>
  </si>
  <si>
    <t>JSPCS-700FA</t>
    <phoneticPr fontId="4" type="noConversion"/>
  </si>
  <si>
    <t>Y2021-41-LBSemicon-01</t>
  </si>
  <si>
    <t>CE-PLS01</t>
    <phoneticPr fontId="19" type="noConversion"/>
  </si>
  <si>
    <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제</t>
    </r>
    <r>
      <rPr>
        <sz val="10"/>
        <color theme="1"/>
        <rFont val="Arial"/>
        <family val="2"/>
      </rPr>
      <t>4</t>
    </r>
    <r>
      <rPr>
        <sz val="10"/>
        <color theme="1"/>
        <rFont val="맑은 고딕"/>
        <family val="3"/>
        <charset val="129"/>
      </rPr>
      <t>기한국</t>
    </r>
  </si>
  <si>
    <t>플라즈마 Saw</t>
    <phoneticPr fontId="4" type="noConversion"/>
  </si>
  <si>
    <t>CITI/DBS</t>
  </si>
  <si>
    <t>DEVELOP</t>
    <phoneticPr fontId="4" type="noConversion"/>
  </si>
  <si>
    <r>
      <t>DEVELOPER MARK-7 (</t>
    </r>
    <r>
      <rPr>
        <sz val="10"/>
        <color rgb="FFFF0000"/>
        <rFont val="맑은 고딕"/>
        <family val="3"/>
        <charset val="129"/>
      </rPr>
      <t>이설</t>
    </r>
    <r>
      <rPr>
        <sz val="10"/>
        <color rgb="FFFF0000"/>
        <rFont val="Arial"/>
        <family val="2"/>
      </rPr>
      <t>)</t>
    </r>
    <phoneticPr fontId="4" type="noConversion"/>
  </si>
  <si>
    <t>Mark-7</t>
  </si>
  <si>
    <t>Mark-7</t>
    <phoneticPr fontId="4" type="noConversion"/>
  </si>
  <si>
    <t>7161021</t>
  </si>
  <si>
    <t>BE-DEV07</t>
    <phoneticPr fontId="4" type="noConversion"/>
  </si>
  <si>
    <r>
      <rPr>
        <sz val="10"/>
        <color theme="1"/>
        <rFont val="맑은 고딕"/>
        <family val="3"/>
        <charset val="129"/>
      </rPr>
      <t>엘케이테크놀러지</t>
    </r>
  </si>
  <si>
    <r>
      <t>PR</t>
    </r>
    <r>
      <rPr>
        <sz val="10"/>
        <color theme="1"/>
        <rFont val="맑은 고딕"/>
        <family val="3"/>
        <charset val="129"/>
      </rPr>
      <t>현상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리소그래피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관련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phoneticPr fontId="4" type="noConversion"/>
  </si>
  <si>
    <t>Yes</t>
    <phoneticPr fontId="4" type="noConversion"/>
  </si>
  <si>
    <t>COAT</t>
    <phoneticPr fontId="4" type="noConversion"/>
  </si>
  <si>
    <t>new1</t>
    <phoneticPr fontId="4" type="noConversion"/>
  </si>
  <si>
    <t>MC</t>
    <phoneticPr fontId="4" type="noConversion"/>
  </si>
  <si>
    <r>
      <t>PR Coating (</t>
    </r>
    <r>
      <rPr>
        <sz val="10"/>
        <color theme="1"/>
        <rFont val="맑은 고딕"/>
        <family val="3"/>
        <charset val="129"/>
      </rPr>
      <t>신규투자</t>
    </r>
    <r>
      <rPr>
        <sz val="10"/>
        <color theme="1"/>
        <rFont val="Arial"/>
        <family val="2"/>
      </rPr>
      <t>)</t>
    </r>
    <phoneticPr fontId="4" type="noConversion"/>
  </si>
  <si>
    <r>
      <t>PR</t>
    </r>
    <r>
      <rPr>
        <sz val="10"/>
        <color theme="1"/>
        <rFont val="맑은 고딕"/>
        <family val="3"/>
        <charset val="129"/>
      </rPr>
      <t>코팅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리소그래피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관련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phoneticPr fontId="4" type="noConversion"/>
  </si>
  <si>
    <r>
      <t>Stepper (</t>
    </r>
    <r>
      <rPr>
        <sz val="10"/>
        <color rgb="FFFF0000"/>
        <rFont val="맑은 고딕"/>
        <family val="3"/>
        <charset val="129"/>
      </rPr>
      <t>신규투자</t>
    </r>
    <r>
      <rPr>
        <sz val="10"/>
        <color rgb="FFFF0000"/>
        <rFont val="Arial"/>
        <family val="2"/>
      </rPr>
      <t xml:space="preserve">) - </t>
    </r>
    <r>
      <rPr>
        <sz val="10"/>
        <color rgb="FFFF0000"/>
        <rFont val="맑은 고딕"/>
        <family val="3"/>
        <charset val="129"/>
      </rPr>
      <t>또는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이설</t>
    </r>
    <r>
      <rPr>
        <sz val="10"/>
        <color rgb="FFFF0000"/>
        <rFont val="Arial"/>
        <family val="2"/>
      </rPr>
      <t xml:space="preserve">, </t>
    </r>
    <r>
      <rPr>
        <sz val="10"/>
        <color rgb="FFFF0000"/>
        <rFont val="맑은 고딕"/>
        <family val="3"/>
        <charset val="129"/>
      </rPr>
      <t>의사결정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필요</t>
    </r>
    <phoneticPr fontId="4" type="noConversion"/>
  </si>
  <si>
    <t>TBD</t>
    <phoneticPr fontId="4" type="noConversion"/>
  </si>
  <si>
    <t>Stepper</t>
    <phoneticPr fontId="4" type="noConversion"/>
  </si>
  <si>
    <t>ORC</t>
    <phoneticPr fontId="4" type="noConversion"/>
  </si>
  <si>
    <r>
      <rPr>
        <sz val="10"/>
        <color theme="1"/>
        <rFont val="맑은 고딕"/>
        <family val="3"/>
        <charset val="129"/>
      </rPr>
      <t>웨이퍼에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형성</t>
    </r>
    <phoneticPr fontId="4" type="noConversion"/>
  </si>
  <si>
    <t>Au Etch</t>
    <phoneticPr fontId="4" type="noConversion"/>
  </si>
  <si>
    <t>new4</t>
    <phoneticPr fontId="4" type="noConversion"/>
  </si>
  <si>
    <r>
      <t>Au Etch, OEM</t>
    </r>
    <r>
      <rPr>
        <b/>
        <sz val="9"/>
        <color theme="1"/>
        <rFont val="맑은 고딕"/>
        <family val="3"/>
        <charset val="129"/>
      </rPr>
      <t>특주</t>
    </r>
    <phoneticPr fontId="4" type="noConversion"/>
  </si>
  <si>
    <r>
      <rPr>
        <sz val="10"/>
        <color theme="1"/>
        <rFont val="맑은 고딕"/>
        <family val="3"/>
        <charset val="129"/>
      </rPr>
      <t>특주</t>
    </r>
    <phoneticPr fontId="4" type="noConversion"/>
  </si>
  <si>
    <t>Etch</t>
    <phoneticPr fontId="4" type="noConversion"/>
  </si>
  <si>
    <r>
      <rPr>
        <sz val="10"/>
        <color theme="1"/>
        <rFont val="맑은 고딕"/>
        <family val="3"/>
        <charset val="129"/>
      </rPr>
      <t>금속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박막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제거</t>
    </r>
    <phoneticPr fontId="4" type="noConversion"/>
  </si>
  <si>
    <t>new5</t>
    <phoneticPr fontId="4" type="noConversion"/>
  </si>
  <si>
    <r>
      <t>OLS (</t>
    </r>
    <r>
      <rPr>
        <sz val="10"/>
        <color theme="1"/>
        <rFont val="맑은 고딕"/>
        <family val="3"/>
        <charset val="129"/>
      </rPr>
      <t>신규투자</t>
    </r>
    <r>
      <rPr>
        <sz val="10"/>
        <color theme="1"/>
        <rFont val="Arial"/>
        <family val="2"/>
      </rPr>
      <t>)</t>
    </r>
    <phoneticPr fontId="4" type="noConversion"/>
  </si>
  <si>
    <t>OLS-5100</t>
  </si>
  <si>
    <t>OLS-5100</t>
    <phoneticPr fontId="4" type="noConversion"/>
  </si>
  <si>
    <r>
      <rPr>
        <sz val="10"/>
        <color theme="1"/>
        <rFont val="맑은 고딕"/>
        <family val="3"/>
        <charset val="129"/>
      </rPr>
      <t>올림푸스</t>
    </r>
    <phoneticPr fontId="19" type="noConversion"/>
  </si>
  <si>
    <r>
      <rPr>
        <sz val="10"/>
        <color theme="1"/>
        <rFont val="맑은 고딕"/>
        <family val="3"/>
        <charset val="129"/>
      </rPr>
      <t>표면형상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거칠기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높이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3"/>
        <charset val="129"/>
      </rPr>
      <t>단차</t>
    </r>
    <phoneticPr fontId="4" type="noConversion"/>
  </si>
  <si>
    <t>new6</t>
    <phoneticPr fontId="4" type="noConversion"/>
  </si>
  <si>
    <t>new8</t>
  </si>
  <si>
    <r>
      <t>Scope (</t>
    </r>
    <r>
      <rPr>
        <sz val="10"/>
        <color theme="1"/>
        <rFont val="맑은 고딕"/>
        <family val="3"/>
        <charset val="129"/>
      </rPr>
      <t>신규투자</t>
    </r>
    <r>
      <rPr>
        <sz val="10"/>
        <color theme="1"/>
        <rFont val="Arial"/>
        <family val="2"/>
      </rPr>
      <t>)</t>
    </r>
    <phoneticPr fontId="4" type="noConversion"/>
  </si>
  <si>
    <t>AL120-LMB86</t>
    <phoneticPr fontId="4" type="noConversion"/>
  </si>
  <si>
    <t>Scope</t>
    <phoneticPr fontId="4" type="noConversion"/>
  </si>
  <si>
    <t>new9</t>
  </si>
  <si>
    <t>new10</t>
  </si>
  <si>
    <t>new11</t>
  </si>
  <si>
    <t>new12</t>
  </si>
  <si>
    <t>new13</t>
  </si>
  <si>
    <t>new14</t>
  </si>
  <si>
    <t>new15</t>
  </si>
  <si>
    <r>
      <rPr>
        <sz val="10"/>
        <color theme="1"/>
        <rFont val="맑은 고딕"/>
        <family val="3"/>
        <charset val="129"/>
      </rPr>
      <t>계측기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면저항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신규투자</t>
    </r>
    <r>
      <rPr>
        <sz val="10"/>
        <color theme="1"/>
        <rFont val="Arial"/>
        <family val="2"/>
      </rPr>
      <t>)</t>
    </r>
    <phoneticPr fontId="4" type="noConversion"/>
  </si>
  <si>
    <t>TM-812</t>
    <phoneticPr fontId="4" type="noConversion"/>
  </si>
  <si>
    <t>면저항 측정</t>
    <phoneticPr fontId="4" type="noConversion"/>
  </si>
  <si>
    <t>new16</t>
  </si>
  <si>
    <r>
      <rPr>
        <sz val="10"/>
        <color theme="1"/>
        <rFont val="맑은 고딕"/>
        <family val="3"/>
        <charset val="129"/>
      </rPr>
      <t>계측기</t>
    </r>
    <r>
      <rPr>
        <sz val="10"/>
        <color theme="1"/>
        <rFont val="Arial"/>
        <family val="2"/>
      </rPr>
      <t xml:space="preserve"> Seed metal </t>
    </r>
    <r>
      <rPr>
        <sz val="10"/>
        <color theme="1"/>
        <rFont val="맑은 고딕"/>
        <family val="3"/>
        <charset val="129"/>
      </rPr>
      <t>두께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신규투자</t>
    </r>
    <r>
      <rPr>
        <sz val="10"/>
        <color theme="1"/>
        <rFont val="Arial"/>
        <family val="2"/>
      </rPr>
      <t>)</t>
    </r>
    <phoneticPr fontId="4" type="noConversion"/>
  </si>
  <si>
    <t>XDV-u_WAFER</t>
    <phoneticPr fontId="4" type="noConversion"/>
  </si>
  <si>
    <t>메탈 두께 측정</t>
    <phoneticPr fontId="4" type="noConversion"/>
  </si>
  <si>
    <t>new17</t>
  </si>
  <si>
    <r>
      <rPr>
        <sz val="10"/>
        <color theme="1"/>
        <rFont val="맑은 고딕"/>
        <family val="3"/>
        <charset val="129"/>
      </rPr>
      <t>계측기</t>
    </r>
    <r>
      <rPr>
        <sz val="10"/>
        <color theme="1"/>
        <rFont val="Arial"/>
        <family val="2"/>
      </rPr>
      <t xml:space="preserve"> Oxide, PR </t>
    </r>
    <r>
      <rPr>
        <sz val="10"/>
        <color theme="1"/>
        <rFont val="맑은 고딕"/>
        <family val="3"/>
        <charset val="129"/>
      </rPr>
      <t>두께</t>
    </r>
    <r>
      <rPr>
        <sz val="10"/>
        <color theme="1"/>
        <rFont val="Arial"/>
        <family val="2"/>
      </rPr>
      <t>, Aching (</t>
    </r>
    <r>
      <rPr>
        <sz val="10"/>
        <color theme="1"/>
        <rFont val="맑은 고딕"/>
        <family val="3"/>
        <charset val="129"/>
      </rPr>
      <t>신규투자</t>
    </r>
    <r>
      <rPr>
        <sz val="10"/>
        <color theme="1"/>
        <rFont val="Arial"/>
        <family val="2"/>
      </rPr>
      <t>)</t>
    </r>
    <phoneticPr fontId="4" type="noConversion"/>
  </si>
  <si>
    <t>TM-812 (Ashing)</t>
    <phoneticPr fontId="4" type="noConversion"/>
  </si>
  <si>
    <r>
      <rPr>
        <sz val="10"/>
        <color theme="1"/>
        <rFont val="Arial"/>
        <family val="3"/>
      </rPr>
      <t xml:space="preserve">PR </t>
    </r>
    <r>
      <rPr>
        <sz val="10"/>
        <color theme="1"/>
        <rFont val="맑은 고딕"/>
        <family val="3"/>
        <charset val="129"/>
      </rPr>
      <t>두께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측정</t>
    </r>
    <phoneticPr fontId="4" type="noConversion"/>
  </si>
  <si>
    <t>new18</t>
  </si>
  <si>
    <r>
      <t>Sorter (</t>
    </r>
    <r>
      <rPr>
        <sz val="10"/>
        <color theme="1"/>
        <rFont val="맑은 고딕"/>
        <family val="3"/>
        <charset val="129"/>
      </rPr>
      <t>신규투자</t>
    </r>
    <r>
      <rPr>
        <sz val="10"/>
        <color theme="1"/>
        <rFont val="Arial"/>
        <family val="2"/>
      </rPr>
      <t>)</t>
    </r>
    <phoneticPr fontId="4" type="noConversion"/>
  </si>
  <si>
    <t>KTWS-2XXXX</t>
    <phoneticPr fontId="4" type="noConversion"/>
  </si>
  <si>
    <t>Sorter</t>
    <phoneticPr fontId="4" type="noConversion"/>
  </si>
  <si>
    <r>
      <rPr>
        <sz val="10"/>
        <color theme="1"/>
        <rFont val="맑은 고딕"/>
        <family val="3"/>
        <charset val="129"/>
      </rPr>
      <t>웨이퍼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이송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보관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phoneticPr fontId="4" type="noConversion"/>
  </si>
  <si>
    <t>8428.90-0000</t>
    <phoneticPr fontId="4" type="noConversion"/>
  </si>
  <si>
    <t>new19</t>
  </si>
  <si>
    <r>
      <t xml:space="preserve">Cassette Cleaner, </t>
    </r>
    <r>
      <rPr>
        <sz val="10"/>
        <color theme="1"/>
        <rFont val="맑은 고딕"/>
        <family val="3"/>
        <charset val="129"/>
      </rPr>
      <t>특주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신규투자</t>
    </r>
    <r>
      <rPr>
        <sz val="10"/>
        <color theme="1"/>
        <rFont val="Arial"/>
        <family val="2"/>
      </rPr>
      <t>)</t>
    </r>
    <phoneticPr fontId="4" type="noConversion"/>
  </si>
  <si>
    <r>
      <rPr>
        <sz val="10"/>
        <color rgb="FFFF0000"/>
        <rFont val="맑은 고딕"/>
        <family val="3"/>
        <charset val="129"/>
      </rPr>
      <t>특주</t>
    </r>
    <phoneticPr fontId="4" type="noConversion"/>
  </si>
  <si>
    <t>?</t>
    <phoneticPr fontId="4" type="noConversion"/>
  </si>
  <si>
    <t>new20</t>
  </si>
  <si>
    <r>
      <t>Lami (</t>
    </r>
    <r>
      <rPr>
        <sz val="10"/>
        <color rgb="FFFF0000"/>
        <rFont val="맑은 고딕"/>
        <family val="3"/>
        <charset val="129"/>
      </rPr>
      <t>신규투자</t>
    </r>
    <r>
      <rPr>
        <sz val="10"/>
        <color rgb="FFFF0000"/>
        <rFont val="Arial"/>
        <family val="2"/>
      </rPr>
      <t>)</t>
    </r>
    <phoneticPr fontId="4" type="noConversion"/>
  </si>
  <si>
    <t>CUWLA-121</t>
    <phoneticPr fontId="4" type="noConversion"/>
  </si>
  <si>
    <t>필름 부착기</t>
    <phoneticPr fontId="4" type="noConversion"/>
  </si>
  <si>
    <t>new21</t>
  </si>
  <si>
    <r>
      <t>Packing (</t>
    </r>
    <r>
      <rPr>
        <sz val="10"/>
        <color rgb="FFFF0000"/>
        <rFont val="맑은 고딕"/>
        <family val="3"/>
        <charset val="129"/>
      </rPr>
      <t>신규투자</t>
    </r>
    <r>
      <rPr>
        <sz val="10"/>
        <color rgb="FFFF0000"/>
        <rFont val="Arial"/>
        <family val="2"/>
      </rPr>
      <t xml:space="preserve">) </t>
    </r>
    <r>
      <rPr>
        <sz val="10"/>
        <color rgb="FFFF0000"/>
        <rFont val="맑은 고딕"/>
        <family val="3"/>
        <charset val="129"/>
      </rPr>
      <t>가격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추후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한번더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확인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필요</t>
    </r>
    <phoneticPr fontId="4" type="noConversion"/>
  </si>
  <si>
    <r>
      <t xml:space="preserve">Packing :EV-60E
</t>
    </r>
    <r>
      <rPr>
        <sz val="10"/>
        <color theme="1"/>
        <rFont val="맑은 고딕"/>
        <family val="3"/>
        <charset val="129"/>
      </rPr>
      <t>밴딩</t>
    </r>
    <r>
      <rPr>
        <sz val="10"/>
        <color theme="1"/>
        <rFont val="Arial"/>
        <family val="2"/>
      </rPr>
      <t xml:space="preserve"> : Tapit-WS</t>
    </r>
    <phoneticPr fontId="4" type="noConversion"/>
  </si>
  <si>
    <t>EV-60E/Tapit-WS</t>
    <phoneticPr fontId="4" type="noConversion"/>
  </si>
  <si>
    <r>
      <t xml:space="preserve">Wafer </t>
    </r>
    <r>
      <rPr>
        <sz val="10"/>
        <color theme="1"/>
        <rFont val="Arial Unicode MS"/>
        <family val="2"/>
        <charset val="129"/>
      </rPr>
      <t>포장</t>
    </r>
    <phoneticPr fontId="4" type="noConversion"/>
  </si>
  <si>
    <t>new22</t>
  </si>
  <si>
    <r>
      <rPr>
        <sz val="10"/>
        <color theme="1"/>
        <rFont val="맑은 고딕"/>
        <family val="3"/>
        <charset val="129"/>
      </rPr>
      <t>계측기</t>
    </r>
    <r>
      <rPr>
        <sz val="10"/>
        <color theme="1"/>
        <rFont val="Arial"/>
        <family val="2"/>
      </rPr>
      <t>(Chip Thickness) (</t>
    </r>
    <r>
      <rPr>
        <sz val="10"/>
        <color theme="1"/>
        <rFont val="맑은 고딕"/>
        <family val="3"/>
        <charset val="129"/>
      </rPr>
      <t>신규투자</t>
    </r>
    <r>
      <rPr>
        <sz val="10"/>
        <color theme="1"/>
        <rFont val="Arial"/>
        <family val="2"/>
      </rPr>
      <t>)</t>
    </r>
    <phoneticPr fontId="4" type="noConversion"/>
  </si>
  <si>
    <t>SEMDEX301</t>
  </si>
  <si>
    <t>SEMDEX301</t>
    <phoneticPr fontId="4" type="noConversion"/>
  </si>
  <si>
    <t>두께 측정</t>
    <phoneticPr fontId="4" type="noConversion"/>
  </si>
  <si>
    <t>new23</t>
  </si>
  <si>
    <r>
      <t>Low Power Scope (</t>
    </r>
    <r>
      <rPr>
        <sz val="10"/>
        <color theme="1"/>
        <rFont val="맑은 고딕"/>
        <family val="3"/>
        <charset val="129"/>
      </rPr>
      <t>신규투자</t>
    </r>
    <r>
      <rPr>
        <sz val="10"/>
        <color theme="1"/>
        <rFont val="Arial"/>
        <family val="2"/>
      </rPr>
      <t>)</t>
    </r>
    <phoneticPr fontId="4" type="noConversion"/>
  </si>
  <si>
    <t>new24</t>
  </si>
  <si>
    <r>
      <t>Measuring Scope (</t>
    </r>
    <r>
      <rPr>
        <sz val="10"/>
        <color theme="1"/>
        <rFont val="맑은 고딕"/>
        <family val="3"/>
        <charset val="129"/>
      </rPr>
      <t>신규투자</t>
    </r>
    <r>
      <rPr>
        <sz val="10"/>
        <color theme="1"/>
        <rFont val="Arial"/>
        <family val="2"/>
      </rPr>
      <t>)</t>
    </r>
    <phoneticPr fontId="4" type="noConversion"/>
  </si>
  <si>
    <t>STM7</t>
  </si>
  <si>
    <t>STM7</t>
    <phoneticPr fontId="4" type="noConversion"/>
  </si>
  <si>
    <t>new25</t>
  </si>
  <si>
    <t>Part Out</t>
    <phoneticPr fontId="4" type="noConversion"/>
  </si>
  <si>
    <r>
      <rPr>
        <sz val="10"/>
        <color theme="1"/>
        <rFont val="맑은 고딕"/>
        <family val="3"/>
        <charset val="129"/>
      </rPr>
      <t>구용근</t>
    </r>
    <phoneticPr fontId="19" type="noConversion"/>
  </si>
  <si>
    <r>
      <rPr>
        <sz val="10"/>
        <color theme="1"/>
        <rFont val="맑은 고딕"/>
        <family val="3"/>
        <charset val="129"/>
      </rPr>
      <t>구미</t>
    </r>
  </si>
  <si>
    <t>PKG</t>
    <phoneticPr fontId="19" type="noConversion"/>
  </si>
  <si>
    <t>COF</t>
    <phoneticPr fontId="19" type="noConversion"/>
  </si>
  <si>
    <t>PSA-01 : DFD6340(DISCO)</t>
  </si>
  <si>
    <t>JT1443</t>
  </si>
  <si>
    <r>
      <rPr>
        <sz val="10"/>
        <color theme="1"/>
        <rFont val="맑은 고딕"/>
        <family val="3"/>
        <charset val="129"/>
      </rPr>
      <t>비가동</t>
    </r>
    <phoneticPr fontId="19" type="noConversion"/>
  </si>
  <si>
    <t>Disco</t>
  </si>
  <si>
    <r>
      <t>2</t>
    </r>
    <r>
      <rPr>
        <sz val="10"/>
        <color theme="1"/>
        <rFont val="맑은 고딕"/>
        <family val="3"/>
        <charset val="129"/>
      </rPr>
      <t>공장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운휴</t>
    </r>
    <r>
      <rPr>
        <sz val="10"/>
        <color theme="1"/>
        <rFont val="Arial"/>
        <family val="2"/>
      </rPr>
      <t xml:space="preserve"> Room</t>
    </r>
  </si>
  <si>
    <r>
      <rPr>
        <sz val="10"/>
        <color theme="1"/>
        <rFont val="맑은 고딕"/>
        <family val="3"/>
        <charset val="129"/>
      </rPr>
      <t>자사</t>
    </r>
  </si>
  <si>
    <r>
      <rPr>
        <sz val="10"/>
        <color theme="1"/>
        <rFont val="맑은 고딕"/>
        <family val="3"/>
        <charset val="129"/>
      </rPr>
      <t>미설정</t>
    </r>
  </si>
  <si>
    <r>
      <rPr>
        <sz val="10"/>
        <color theme="1"/>
        <rFont val="맑은 고딕"/>
        <family val="3"/>
        <charset val="129"/>
      </rPr>
      <t>완료</t>
    </r>
    <phoneticPr fontId="19" type="noConversion"/>
  </si>
  <si>
    <t>D-SAW</t>
  </si>
  <si>
    <t>COF(Assy_FT)</t>
    <phoneticPr fontId="4" type="noConversion"/>
  </si>
  <si>
    <t>PSA-02 : DFD6340(DISCO)</t>
  </si>
  <si>
    <t>JT1442</t>
  </si>
  <si>
    <r>
      <t>G1-1</t>
    </r>
    <r>
      <rPr>
        <sz val="10"/>
        <color theme="1"/>
        <rFont val="맑은 고딕"/>
        <family val="3"/>
        <charset val="129"/>
      </rPr>
      <t>층</t>
    </r>
  </si>
  <si>
    <t>8"&amp;12"</t>
    <phoneticPr fontId="19" type="noConversion"/>
  </si>
  <si>
    <r>
      <rPr>
        <sz val="10"/>
        <color theme="1"/>
        <rFont val="맑은 고딕"/>
        <family val="3"/>
        <charset val="129"/>
      </rPr>
      <t>공통</t>
    </r>
    <phoneticPr fontId="19" type="noConversion"/>
  </si>
  <si>
    <t>ML-004 : OLYMPUS STM6-LM-F31-2(4K14414)</t>
    <phoneticPr fontId="19" type="noConversion"/>
  </si>
  <si>
    <t>STM6-LM-F31-2</t>
    <phoneticPr fontId="19" type="noConversion"/>
  </si>
  <si>
    <t>STM6</t>
    <phoneticPr fontId="4" type="noConversion"/>
  </si>
  <si>
    <t>4K14414</t>
    <phoneticPr fontId="19" type="noConversion"/>
  </si>
  <si>
    <r>
      <rPr>
        <sz val="10"/>
        <color theme="1"/>
        <rFont val="맑은 고딕"/>
        <family val="3"/>
        <charset val="129"/>
      </rPr>
      <t>표면조도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3"/>
        <charset val="129"/>
      </rPr>
      <t>단차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측정</t>
    </r>
    <phoneticPr fontId="4" type="noConversion"/>
  </si>
  <si>
    <r>
      <t>G1-1</t>
    </r>
    <r>
      <rPr>
        <sz val="10"/>
        <color theme="1"/>
        <rFont val="맑은 고딕"/>
        <family val="3"/>
        <charset val="129"/>
      </rPr>
      <t>층</t>
    </r>
    <phoneticPr fontId="19" type="noConversion"/>
  </si>
  <si>
    <r>
      <t>ASSY</t>
    </r>
    <r>
      <rPr>
        <sz val="10"/>
        <color theme="1"/>
        <rFont val="맑은 고딕"/>
        <family val="3"/>
        <charset val="129"/>
      </rPr>
      <t>기술실</t>
    </r>
  </si>
  <si>
    <t>MT-006 : Thermo Meter(TESTO 925)</t>
  </si>
  <si>
    <t>TESTO925</t>
    <phoneticPr fontId="19" type="noConversion"/>
  </si>
  <si>
    <t>TESTO925</t>
    <phoneticPr fontId="4" type="noConversion"/>
  </si>
  <si>
    <r>
      <rPr>
        <sz val="10"/>
        <color theme="1"/>
        <rFont val="맑은 고딕"/>
        <family val="3"/>
        <charset val="129"/>
      </rPr>
      <t>계측기</t>
    </r>
    <phoneticPr fontId="19" type="noConversion"/>
  </si>
  <si>
    <t>TESTO</t>
    <phoneticPr fontId="19" type="noConversion"/>
  </si>
  <si>
    <r>
      <rPr>
        <sz val="10"/>
        <color theme="1"/>
        <rFont val="맑은 고딕"/>
        <family val="3"/>
        <charset val="129"/>
      </rPr>
      <t>접촉식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온도계</t>
    </r>
    <phoneticPr fontId="4" type="noConversion"/>
  </si>
  <si>
    <t>9025.19-0000</t>
    <phoneticPr fontId="4" type="noConversion"/>
  </si>
  <si>
    <t>D-ILB</t>
  </si>
  <si>
    <t>Wafer Mount</t>
    <phoneticPr fontId="19" type="noConversion"/>
  </si>
  <si>
    <r>
      <t>ML-010 : Digial Indicator(MITUTOYO 543-450B)(LAB</t>
    </r>
    <r>
      <rPr>
        <sz val="10"/>
        <color theme="1"/>
        <rFont val="맑은 고딕"/>
        <family val="3"/>
        <charset val="129"/>
      </rPr>
      <t>실</t>
    </r>
    <r>
      <rPr>
        <sz val="10"/>
        <color theme="1"/>
        <rFont val="Arial"/>
        <family val="2"/>
      </rPr>
      <t>)</t>
    </r>
    <phoneticPr fontId="4" type="noConversion"/>
  </si>
  <si>
    <t>Mitutoyo 543-450B</t>
    <phoneticPr fontId="4" type="noConversion"/>
  </si>
  <si>
    <r>
      <rPr>
        <sz val="10"/>
        <color theme="1"/>
        <rFont val="맑은 고딕"/>
        <family val="3"/>
        <charset val="129"/>
      </rPr>
      <t>미츠토요</t>
    </r>
    <phoneticPr fontId="19" type="noConversion"/>
  </si>
  <si>
    <r>
      <rPr>
        <sz val="10"/>
        <color theme="1"/>
        <rFont val="맑은 고딕"/>
        <family val="3"/>
        <charset val="129"/>
      </rPr>
      <t>치수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측정기</t>
    </r>
    <phoneticPr fontId="4" type="noConversion"/>
  </si>
  <si>
    <r>
      <t>PS</t>
    </r>
    <r>
      <rPr>
        <sz val="10"/>
        <color theme="1"/>
        <rFont val="맑은 고딕"/>
        <family val="3"/>
        <charset val="129"/>
      </rPr>
      <t>제품기술</t>
    </r>
    <r>
      <rPr>
        <sz val="10"/>
        <color theme="1"/>
        <rFont val="Arial"/>
        <family val="2"/>
      </rPr>
      <t>1</t>
    </r>
    <r>
      <rPr>
        <sz val="10"/>
        <color theme="1"/>
        <rFont val="맑은 고딕"/>
        <family val="3"/>
        <charset val="129"/>
      </rPr>
      <t>팀</t>
    </r>
  </si>
  <si>
    <r>
      <t xml:space="preserve">PWM-01 : DT-MWM1030A (WM </t>
    </r>
    <r>
      <rPr>
        <sz val="10"/>
        <color theme="1"/>
        <rFont val="맑은 고딕"/>
        <family val="3"/>
        <charset val="129"/>
      </rPr>
      <t>다이나테크</t>
    </r>
    <r>
      <rPr>
        <sz val="10"/>
        <color theme="1"/>
        <rFont val="Arial"/>
        <family val="2"/>
      </rPr>
      <t>)</t>
    </r>
  </si>
  <si>
    <t>DT-NWM-1030A</t>
  </si>
  <si>
    <t>DT-MWM1030A</t>
    <phoneticPr fontId="4" type="noConversion"/>
  </si>
  <si>
    <t>DT04078</t>
  </si>
  <si>
    <t>Manual Mount</t>
    <phoneticPr fontId="19" type="noConversion"/>
  </si>
  <si>
    <t>DYNATECH</t>
  </si>
  <si>
    <r>
      <rPr>
        <sz val="10"/>
        <color theme="1"/>
        <rFont val="맑은 고딕"/>
        <family val="3"/>
        <charset val="129"/>
      </rPr>
      <t>웨이퍼를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프레임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테이프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등에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고정</t>
    </r>
    <phoneticPr fontId="4" type="noConversion"/>
  </si>
  <si>
    <t>8479.89-0000</t>
    <phoneticPr fontId="4" type="noConversion"/>
  </si>
  <si>
    <t>UV</t>
    <phoneticPr fontId="19" type="noConversion"/>
  </si>
  <si>
    <r>
      <t xml:space="preserve">PUV-01 : ASUV-M2000 (UV  </t>
    </r>
    <r>
      <rPr>
        <sz val="10"/>
        <color theme="1"/>
        <rFont val="맑은 고딕"/>
        <family val="3"/>
        <charset val="129"/>
      </rPr>
      <t>아석산업</t>
    </r>
    <r>
      <rPr>
        <sz val="10"/>
        <color theme="1"/>
        <rFont val="Arial"/>
        <family val="2"/>
      </rPr>
      <t>)(=MPUV-01)</t>
    </r>
    <phoneticPr fontId="19" type="noConversion"/>
  </si>
  <si>
    <t>ASUV-M2000</t>
  </si>
  <si>
    <t>ASUV-M2000</t>
    <phoneticPr fontId="4" type="noConversion"/>
  </si>
  <si>
    <t>AS0411-01</t>
  </si>
  <si>
    <t>Manual UV</t>
  </si>
  <si>
    <r>
      <rPr>
        <sz val="10"/>
        <color theme="1"/>
        <rFont val="맑은 고딕"/>
        <family val="3"/>
        <charset val="129"/>
      </rPr>
      <t>아석산업</t>
    </r>
  </si>
  <si>
    <r>
      <t>UV</t>
    </r>
    <r>
      <rPr>
        <sz val="10"/>
        <color theme="1"/>
        <rFont val="맑은 고딕"/>
        <family val="3"/>
        <charset val="129"/>
      </rPr>
      <t>조사기</t>
    </r>
    <phoneticPr fontId="4" type="noConversion"/>
  </si>
  <si>
    <t>8419.40-0000</t>
    <phoneticPr fontId="4" type="noConversion"/>
  </si>
  <si>
    <t>PCB-01 : N4C-3.0-120</t>
  </si>
  <si>
    <t>NDB-4</t>
  </si>
  <si>
    <t>NDB-4</t>
    <phoneticPr fontId="4" type="noConversion"/>
  </si>
  <si>
    <t>4N103-12</t>
  </si>
  <si>
    <t>NOMURA</t>
  </si>
  <si>
    <t>MF-003 : Dage 4000</t>
  </si>
  <si>
    <t>Dage 4000</t>
    <phoneticPr fontId="19" type="noConversion"/>
  </si>
  <si>
    <r>
      <rPr>
        <sz val="10"/>
        <color theme="1"/>
        <rFont val="맑은 고딕"/>
        <family val="3"/>
        <charset val="129"/>
      </rPr>
      <t>미국</t>
    </r>
    <phoneticPr fontId="19" type="noConversion"/>
  </si>
  <si>
    <t>Nordson DAGE</t>
    <phoneticPr fontId="19" type="noConversion"/>
  </si>
  <si>
    <r>
      <t>Shear/Pull test(</t>
    </r>
    <r>
      <rPr>
        <sz val="10"/>
        <color theme="1"/>
        <rFont val="맑은 고딕"/>
        <family val="3"/>
        <charset val="129"/>
      </rPr>
      <t>접합강도</t>
    </r>
    <r>
      <rPr>
        <sz val="10"/>
        <color theme="1"/>
        <rFont val="Arial"/>
        <family val="2"/>
      </rPr>
      <t>)</t>
    </r>
    <phoneticPr fontId="4" type="noConversion"/>
  </si>
  <si>
    <r>
      <rPr>
        <sz val="10"/>
        <color theme="1"/>
        <rFont val="맑은 고딕"/>
        <family val="3"/>
        <charset val="129"/>
      </rPr>
      <t>공통</t>
    </r>
    <r>
      <rPr>
        <sz val="10"/>
        <color theme="1"/>
        <rFont val="Arial"/>
        <family val="2"/>
      </rPr>
      <t>(D)</t>
    </r>
  </si>
  <si>
    <t>Bake Oven</t>
    <phoneticPr fontId="19" type="noConversion"/>
  </si>
  <si>
    <r>
      <t>PCU-03 : OS-OVN11-BK02(</t>
    </r>
    <r>
      <rPr>
        <sz val="10"/>
        <color theme="1"/>
        <rFont val="맑은 고딕"/>
        <family val="3"/>
        <charset val="129"/>
      </rPr>
      <t>오성</t>
    </r>
    <r>
      <rPr>
        <sz val="10"/>
        <color theme="1"/>
        <rFont val="Arial"/>
        <family val="2"/>
      </rPr>
      <t>)</t>
    </r>
  </si>
  <si>
    <t>OS-OVN11-BK02</t>
  </si>
  <si>
    <t>050221070101-2</t>
  </si>
  <si>
    <r>
      <rPr>
        <sz val="10"/>
        <color theme="1"/>
        <rFont val="맑은 고딕"/>
        <family val="3"/>
        <charset val="129"/>
      </rPr>
      <t>오성에스티</t>
    </r>
    <phoneticPr fontId="19" type="noConversion"/>
  </si>
  <si>
    <r>
      <rPr>
        <sz val="10"/>
        <color theme="1"/>
        <rFont val="맑은 고딕"/>
        <family val="3"/>
        <charset val="129"/>
      </rPr>
      <t>접착제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경화</t>
    </r>
    <phoneticPr fontId="4" type="noConversion"/>
  </si>
  <si>
    <r>
      <rPr>
        <sz val="10"/>
        <color theme="1"/>
        <rFont val="맑은 고딕"/>
        <family val="3"/>
        <charset val="129"/>
      </rPr>
      <t>일반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phoneticPr fontId="4" type="noConversion"/>
  </si>
  <si>
    <r>
      <rPr>
        <sz val="10"/>
        <color theme="1"/>
        <rFont val="맑은 고딕"/>
        <family val="3"/>
        <charset val="129"/>
      </rPr>
      <t>후공정</t>
    </r>
    <r>
      <rPr>
        <sz val="10"/>
        <color theme="1"/>
        <rFont val="Arial"/>
        <family val="2"/>
      </rPr>
      <t>/Assembly oven</t>
    </r>
    <phoneticPr fontId="4" type="noConversion"/>
  </si>
  <si>
    <t>D-POT</t>
  </si>
  <si>
    <r>
      <t>PCU-04 : OS-OVN11-BK02(</t>
    </r>
    <r>
      <rPr>
        <sz val="10"/>
        <color theme="1"/>
        <rFont val="맑은 고딕"/>
        <family val="3"/>
        <charset val="129"/>
      </rPr>
      <t>오성</t>
    </r>
    <r>
      <rPr>
        <sz val="10"/>
        <color theme="1"/>
        <rFont val="Arial"/>
        <family val="2"/>
      </rPr>
      <t>)</t>
    </r>
  </si>
  <si>
    <t>050221070101-1</t>
    <phoneticPr fontId="19" type="noConversion"/>
  </si>
  <si>
    <t>POT</t>
    <phoneticPr fontId="19" type="noConversion"/>
  </si>
  <si>
    <t>PPT-07 : RV-4640A(SEC)</t>
    <phoneticPr fontId="19" type="noConversion"/>
  </si>
  <si>
    <t>RV-4640A</t>
  </si>
  <si>
    <t>RV-4640A</t>
    <phoneticPr fontId="4" type="noConversion"/>
  </si>
  <si>
    <t>RV4640A-2004030</t>
  </si>
  <si>
    <t>SEC</t>
    <phoneticPr fontId="19" type="noConversion"/>
  </si>
  <si>
    <t>에폭시 도포기</t>
    <phoneticPr fontId="4" type="noConversion"/>
  </si>
  <si>
    <t>PPT-08 : RV-4640A(SEC)</t>
  </si>
  <si>
    <t>RV4640A-2004031</t>
  </si>
  <si>
    <r>
      <rPr>
        <sz val="10"/>
        <color theme="1"/>
        <rFont val="맑은 고딕"/>
        <family val="3"/>
        <charset val="129"/>
      </rPr>
      <t>에폭시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도포기</t>
    </r>
    <phoneticPr fontId="4" type="noConversion"/>
  </si>
  <si>
    <t>ILB</t>
    <phoneticPr fontId="19" type="noConversion"/>
  </si>
  <si>
    <t>A.I(Align Inspector)</t>
  </si>
  <si>
    <r>
      <rPr>
        <sz val="10"/>
        <color theme="1"/>
        <rFont val="맑은 고딕"/>
        <family val="3"/>
        <charset val="129"/>
      </rPr>
      <t>제조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phoneticPr fontId="4" type="noConversion"/>
  </si>
  <si>
    <r>
      <t xml:space="preserve">Dual AI Soft (Stage Temp &amp; Lead Open </t>
    </r>
    <r>
      <rPr>
        <sz val="10"/>
        <color theme="1"/>
        <rFont val="맑은 고딕"/>
        <family val="3"/>
        <charset val="129"/>
      </rPr>
      <t>검사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</si>
  <si>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미완료</t>
    </r>
    <phoneticPr fontId="19" type="noConversion"/>
  </si>
  <si>
    <r>
      <t>DUSTER ROLLER(</t>
    </r>
    <r>
      <rPr>
        <sz val="10"/>
        <color theme="1"/>
        <rFont val="맑은 고딕"/>
        <family val="3"/>
        <charset val="129"/>
      </rPr>
      <t>루셈표준</t>
    </r>
    <r>
      <rPr>
        <sz val="10"/>
        <color theme="1"/>
        <rFont val="Arial"/>
        <family val="2"/>
      </rPr>
      <t>)(PIL-34)</t>
    </r>
  </si>
  <si>
    <t>PCB-02 : N4C-3.0-120</t>
  </si>
  <si>
    <r>
      <t xml:space="preserve">ILB </t>
    </r>
    <r>
      <rPr>
        <sz val="10"/>
        <color theme="1"/>
        <rFont val="맑은 고딕"/>
        <family val="3"/>
        <charset val="129"/>
      </rPr>
      <t>헤파필터</t>
    </r>
    <r>
      <rPr>
        <sz val="10"/>
        <color theme="1"/>
        <rFont val="Arial"/>
        <family val="2"/>
      </rPr>
      <t>(FFU 41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>)</t>
    </r>
  </si>
  <si>
    <r>
      <t>NIR A.I(TFC3600</t>
    </r>
    <r>
      <rPr>
        <sz val="10"/>
        <color theme="1"/>
        <rFont val="맑은 고딕"/>
        <family val="3"/>
        <charset val="129"/>
      </rPr>
      <t>용</t>
    </r>
    <r>
      <rPr>
        <sz val="10"/>
        <color theme="1"/>
        <rFont val="Arial"/>
        <family val="2"/>
      </rPr>
      <t>)(PIL-62)</t>
    </r>
  </si>
  <si>
    <t>PIL-10 : FLIP-COF-300</t>
  </si>
  <si>
    <t>COF-300</t>
    <phoneticPr fontId="19" type="noConversion"/>
  </si>
  <si>
    <t>COF-300</t>
    <phoneticPr fontId="4" type="noConversion"/>
  </si>
  <si>
    <r>
      <t>1</t>
    </r>
    <r>
      <rPr>
        <sz val="10"/>
        <color theme="1"/>
        <rFont val="Arial Unicode MS"/>
        <family val="2"/>
        <charset val="129"/>
      </rPr>
      <t>세대</t>
    </r>
    <phoneticPr fontId="4" type="noConversion"/>
  </si>
  <si>
    <t>A5-56141</t>
  </si>
  <si>
    <t>FCB1</t>
  </si>
  <si>
    <t>Shinkawa</t>
    <phoneticPr fontId="19" type="noConversion"/>
  </si>
  <si>
    <r>
      <t xml:space="preserve">COF </t>
    </r>
    <r>
      <rPr>
        <sz val="10"/>
        <color theme="1"/>
        <rFont val="맑은 고딕"/>
        <family val="3"/>
        <charset val="129"/>
      </rPr>
      <t>본딩</t>
    </r>
    <phoneticPr fontId="4" type="noConversion"/>
  </si>
  <si>
    <r>
      <rPr>
        <sz val="10"/>
        <color theme="1"/>
        <rFont val="맑은 고딕"/>
        <family val="3"/>
        <charset val="129"/>
      </rPr>
      <t>반도체제조장비</t>
    </r>
    <phoneticPr fontId="4" type="noConversion"/>
  </si>
  <si>
    <t>Rewinder</t>
    <phoneticPr fontId="19" type="noConversion"/>
  </si>
  <si>
    <t>PRW-01 : AUTO REWINDER - 01</t>
  </si>
  <si>
    <t>SWLU-RWA-100</t>
    <phoneticPr fontId="19" type="noConversion"/>
  </si>
  <si>
    <t>A7-01</t>
  </si>
  <si>
    <r>
      <rPr>
        <sz val="10"/>
        <color theme="1"/>
        <rFont val="맑은 고딕"/>
        <family val="3"/>
        <charset val="129"/>
      </rPr>
      <t>서우테크</t>
    </r>
  </si>
  <si>
    <r>
      <t xml:space="preserve">reel </t>
    </r>
    <r>
      <rPr>
        <sz val="11"/>
        <color theme="1"/>
        <rFont val="맑은 고딕"/>
        <family val="3"/>
        <charset val="129"/>
      </rPr>
      <t>자재를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자동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풀림→정렬→재권취</t>
    </r>
    <phoneticPr fontId="4" type="noConversion"/>
  </si>
  <si>
    <r>
      <t xml:space="preserve">eel </t>
    </r>
    <r>
      <rPr>
        <sz val="11"/>
        <color theme="1"/>
        <rFont val="맑은 고딕"/>
        <family val="3"/>
        <charset val="129"/>
      </rPr>
      <t>자재를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자동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풀림→정렬→재권취</t>
    </r>
  </si>
  <si>
    <r>
      <rPr>
        <sz val="10"/>
        <color theme="1"/>
        <rFont val="맑은 고딕"/>
        <family val="3"/>
        <charset val="129"/>
      </rPr>
      <t>공통</t>
    </r>
    <r>
      <rPr>
        <sz val="10"/>
        <color theme="1"/>
        <rFont val="Arial"/>
        <family val="2"/>
      </rPr>
      <t>(DA)</t>
    </r>
  </si>
  <si>
    <t>PRW-02 : AUTO REWINDER - 02</t>
  </si>
  <si>
    <t>A7-02</t>
    <phoneticPr fontId="19" type="noConversion"/>
  </si>
  <si>
    <t>PSA-03 : DFD6340(DISCO)</t>
  </si>
  <si>
    <t>JT1491</t>
  </si>
  <si>
    <t>PSA-04 : DFD6340(DISCO)</t>
  </si>
  <si>
    <t>JT1492</t>
  </si>
  <si>
    <t>PPT-09 : TIPS-435A(SEC)</t>
    <phoneticPr fontId="19" type="noConversion"/>
  </si>
  <si>
    <t>TIPS-435A</t>
  </si>
  <si>
    <t>TIPS-435A</t>
    <phoneticPr fontId="4" type="noConversion"/>
  </si>
  <si>
    <t>TIPS435A-05001</t>
  </si>
  <si>
    <t>PPT-10 : TIPS-435A(SEC)</t>
    <phoneticPr fontId="19" type="noConversion"/>
  </si>
  <si>
    <t>TIPS435A-05002</t>
  </si>
  <si>
    <t>PPT-11 : TIPS-435A(SEC)</t>
  </si>
  <si>
    <t>TIPS435A-05003</t>
    <phoneticPr fontId="19" type="noConversion"/>
  </si>
  <si>
    <t>PPT-12 : TIPS-435A(SEC)</t>
  </si>
  <si>
    <t>TIPS435A-05004</t>
    <phoneticPr fontId="19" type="noConversion"/>
  </si>
  <si>
    <t>PPT-13 : TIPS-435A(SEC)</t>
  </si>
  <si>
    <t>TIPS435A-05005</t>
    <phoneticPr fontId="19" type="noConversion"/>
  </si>
  <si>
    <r>
      <t>PCU-05 : OS-OVN11-BK02(</t>
    </r>
    <r>
      <rPr>
        <sz val="10"/>
        <color theme="1"/>
        <rFont val="맑은 고딕"/>
        <family val="3"/>
        <charset val="129"/>
      </rPr>
      <t>오성</t>
    </r>
    <r>
      <rPr>
        <sz val="10"/>
        <color theme="1"/>
        <rFont val="Arial"/>
        <family val="2"/>
      </rPr>
      <t>)</t>
    </r>
  </si>
  <si>
    <t>050421070101-1</t>
  </si>
  <si>
    <r>
      <t>PCU-06 : OS-OVN11-BK02(</t>
    </r>
    <r>
      <rPr>
        <sz val="10"/>
        <color theme="1"/>
        <rFont val="맑은 고딕"/>
        <family val="3"/>
        <charset val="129"/>
      </rPr>
      <t>오성</t>
    </r>
    <r>
      <rPr>
        <sz val="10"/>
        <color theme="1"/>
        <rFont val="Arial"/>
        <family val="2"/>
      </rPr>
      <t>)</t>
    </r>
  </si>
  <si>
    <t>050420070101-2</t>
  </si>
  <si>
    <t>PIL-99 : TFC-3600-300(SHIBAURA)</t>
  </si>
  <si>
    <t>TFC-3600</t>
    <phoneticPr fontId="19" type="noConversion"/>
  </si>
  <si>
    <t>TFC-3600</t>
    <phoneticPr fontId="4" type="noConversion"/>
  </si>
  <si>
    <r>
      <t>3</t>
    </r>
    <r>
      <rPr>
        <sz val="10"/>
        <color theme="1"/>
        <rFont val="Arial Unicode MS"/>
        <family val="2"/>
        <charset val="129"/>
      </rPr>
      <t>세대</t>
    </r>
    <phoneticPr fontId="4" type="noConversion"/>
  </si>
  <si>
    <t>E289</t>
    <phoneticPr fontId="19" type="noConversion"/>
  </si>
  <si>
    <t>FCB3</t>
  </si>
  <si>
    <t>Shibaura</t>
    <phoneticPr fontId="19" type="noConversion"/>
  </si>
  <si>
    <r>
      <rPr>
        <sz val="10"/>
        <color theme="1"/>
        <rFont val="맑은 고딕"/>
        <family val="3"/>
        <charset val="129"/>
      </rPr>
      <t>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본딩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phoneticPr fontId="4" type="noConversion"/>
  </si>
  <si>
    <r>
      <rPr>
        <sz val="10"/>
        <color theme="1"/>
        <rFont val="맑은 고딕"/>
        <family val="3"/>
        <charset val="129"/>
      </rPr>
      <t>반도체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공정용</t>
    </r>
    <phoneticPr fontId="4" type="noConversion"/>
  </si>
  <si>
    <r>
      <rPr>
        <sz val="10"/>
        <color theme="1"/>
        <rFont val="맑은 고딕"/>
        <family val="3"/>
        <charset val="129"/>
      </rPr>
      <t>설정</t>
    </r>
  </si>
  <si>
    <t>PPT-14 : TIPS-435A(SEC)</t>
  </si>
  <si>
    <t>TIPS-435A</t>
    <phoneticPr fontId="19" type="noConversion"/>
  </si>
  <si>
    <t>TIPS435A-05006</t>
    <phoneticPr fontId="19" type="noConversion"/>
  </si>
  <si>
    <t>PPT-15 : TIPS-435A(SEC)</t>
  </si>
  <si>
    <t>TIPS435A-05007</t>
    <phoneticPr fontId="19" type="noConversion"/>
  </si>
  <si>
    <r>
      <t>PCU-07 : OS-OVN11-BK02(</t>
    </r>
    <r>
      <rPr>
        <sz val="10"/>
        <color theme="1"/>
        <rFont val="맑은 고딕"/>
        <family val="3"/>
        <charset val="129"/>
      </rPr>
      <t>오성</t>
    </r>
    <r>
      <rPr>
        <sz val="10"/>
        <color theme="1"/>
        <rFont val="Arial"/>
        <family val="2"/>
      </rPr>
      <t>)</t>
    </r>
  </si>
  <si>
    <t>050420070101-3</t>
  </si>
  <si>
    <r>
      <t>PCU-08 : OS-OVN11-BK02(</t>
    </r>
    <r>
      <rPr>
        <sz val="10"/>
        <color theme="1"/>
        <rFont val="맑은 고딕"/>
        <family val="3"/>
        <charset val="129"/>
      </rPr>
      <t>오성</t>
    </r>
    <r>
      <rPr>
        <sz val="10"/>
        <color theme="1"/>
        <rFont val="Arial"/>
        <family val="2"/>
      </rPr>
      <t>)</t>
    </r>
  </si>
  <si>
    <t>050420070101-4</t>
  </si>
  <si>
    <t>PPT-16 : TIPS-435A(SEC)</t>
  </si>
  <si>
    <t>TIPS435A-05008</t>
    <phoneticPr fontId="19" type="noConversion"/>
  </si>
  <si>
    <t>PPT-17 : TIPS-435A(SEC)</t>
  </si>
  <si>
    <t>TIPS435A-05009</t>
    <phoneticPr fontId="19" type="noConversion"/>
  </si>
  <si>
    <t>일반장비(비통제)</t>
    <phoneticPr fontId="4" type="noConversion"/>
  </si>
  <si>
    <t>제조 가공 장비</t>
    <phoneticPr fontId="4" type="noConversion"/>
  </si>
  <si>
    <t>범용</t>
    <phoneticPr fontId="4" type="noConversion"/>
  </si>
  <si>
    <t>HSK 8486209310</t>
    <phoneticPr fontId="4" type="noConversion"/>
  </si>
  <si>
    <t>PPT-05 : RV-4640A(SEC)</t>
  </si>
  <si>
    <t>RV4640A-2004028</t>
  </si>
  <si>
    <t>PPT-06 : RV-4640A(SEC)</t>
  </si>
  <si>
    <t>RV4640A-2004029</t>
  </si>
  <si>
    <t>PCU-09 : OFI-SPECIAL(JEIO TECK)</t>
    <phoneticPr fontId="19" type="noConversion"/>
  </si>
  <si>
    <t>OFI-SPECIAL</t>
  </si>
  <si>
    <t>0622-01</t>
  </si>
  <si>
    <t>JEIO TECK</t>
    <phoneticPr fontId="19" type="noConversion"/>
  </si>
  <si>
    <t>PCU-10 : OFI-SPECIAL(JEIO TECK)</t>
    <phoneticPr fontId="19" type="noConversion"/>
  </si>
  <si>
    <t>0622-02</t>
    <phoneticPr fontId="19" type="noConversion"/>
  </si>
  <si>
    <r>
      <t xml:space="preserve">PUV-02 : ASUV-M2000 (UV  </t>
    </r>
    <r>
      <rPr>
        <sz val="10"/>
        <color theme="1"/>
        <rFont val="맑은 고딕"/>
        <family val="3"/>
        <charset val="129"/>
      </rPr>
      <t>아석산업</t>
    </r>
    <r>
      <rPr>
        <sz val="10"/>
        <color theme="1"/>
        <rFont val="Arial"/>
        <family val="2"/>
      </rPr>
      <t>)</t>
    </r>
  </si>
  <si>
    <t>ASUV-M2000</t>
    <phoneticPr fontId="19" type="noConversion"/>
  </si>
  <si>
    <t>ASUV-LS03</t>
  </si>
  <si>
    <t>PCB-03 : N4C-3.0-120</t>
  </si>
  <si>
    <t xml:space="preserve">               -</t>
  </si>
  <si>
    <t>PCB-04 : N4C-3.0-120</t>
  </si>
  <si>
    <t>PSA-07 : DFD6340(DISCO)</t>
  </si>
  <si>
    <t>JT1755</t>
  </si>
  <si>
    <t>PSA-06 : DFD6340(DISCO)</t>
  </si>
  <si>
    <t>JT1762</t>
  </si>
  <si>
    <t>PPT-19 : LDPS-4350D(TOP)</t>
    <phoneticPr fontId="19" type="noConversion"/>
  </si>
  <si>
    <t>LDPS-4350D</t>
  </si>
  <si>
    <t>LDPS-435D</t>
    <phoneticPr fontId="4" type="noConversion"/>
  </si>
  <si>
    <t>TOP ENG</t>
    <phoneticPr fontId="19" type="noConversion"/>
  </si>
  <si>
    <t>PPT-20 : LDPS-4350D(TOP)</t>
  </si>
  <si>
    <t>TOP ENG</t>
  </si>
  <si>
    <t>PPT-22 : LDPS-4350D(TOP)</t>
  </si>
  <si>
    <t>PPT-23 : LDPS-4350D(TOP)</t>
  </si>
  <si>
    <t>PIL-98 : TFC-3600-300(SHIBAURA)</t>
  </si>
  <si>
    <t>E288</t>
    <phoneticPr fontId="19" type="noConversion"/>
  </si>
  <si>
    <t>PIL-94 : TFC-3600-300(SHIBAURA)</t>
  </si>
  <si>
    <t>E213</t>
    <phoneticPr fontId="19" type="noConversion"/>
  </si>
  <si>
    <t>PIL-93 : TFC-3600-300(SHIBAURA)</t>
  </si>
  <si>
    <t>E212</t>
    <phoneticPr fontId="19" type="noConversion"/>
  </si>
  <si>
    <t>PIL-92 : TFC-3600-300(SHIBAURA)</t>
  </si>
  <si>
    <t>E211</t>
    <phoneticPr fontId="19" type="noConversion"/>
  </si>
  <si>
    <t>PCU-11 : OFI-SPECIAL(JEIO TECK)</t>
  </si>
  <si>
    <t>0697-01</t>
  </si>
  <si>
    <t>PCU-12 : OFI-SPECIAL(JEIO TECK)(2ea)</t>
  </si>
  <si>
    <t>0697-02</t>
    <phoneticPr fontId="19" type="noConversion"/>
  </si>
  <si>
    <t>Ink Mark</t>
    <phoneticPr fontId="19" type="noConversion"/>
  </si>
  <si>
    <r>
      <t>PMA-09 : LDMS-0670(</t>
    </r>
    <r>
      <rPr>
        <sz val="10"/>
        <color theme="1"/>
        <rFont val="맑은 고딕"/>
        <family val="3"/>
        <charset val="129"/>
      </rPr>
      <t>피오이</t>
    </r>
    <r>
      <rPr>
        <sz val="10"/>
        <color theme="1"/>
        <rFont val="Arial"/>
        <family val="2"/>
      </rPr>
      <t>)</t>
    </r>
    <phoneticPr fontId="19" type="noConversion"/>
  </si>
  <si>
    <t>FM-100</t>
  </si>
  <si>
    <t>P0605-001</t>
  </si>
  <si>
    <t>POE</t>
    <phoneticPr fontId="19" type="noConversion"/>
  </si>
  <si>
    <t>8443.99-0000</t>
    <phoneticPr fontId="4" type="noConversion"/>
  </si>
  <si>
    <t>D-IMARK</t>
  </si>
  <si>
    <t>PPT-24 : LDPS-4350D(TOP)</t>
  </si>
  <si>
    <t>PPT-25 : LDPS-4350D(TOP)</t>
  </si>
  <si>
    <t>PPT-26 : LDPS-4350D(TOP)</t>
  </si>
  <si>
    <t>SAW</t>
  </si>
  <si>
    <t>PSA-08 : DFD6340(DISCO)</t>
  </si>
  <si>
    <t>JT1810</t>
  </si>
  <si>
    <t>PSA-09 : DFD6340(DISCO)</t>
  </si>
  <si>
    <t>JT1809</t>
  </si>
  <si>
    <t>PIL-91 : TFC-3600-300(SHIBAURA)</t>
  </si>
  <si>
    <t>E203</t>
    <phoneticPr fontId="19" type="noConversion"/>
  </si>
  <si>
    <t>PIL-90 : TFC-3600-300(SHIBAURA)</t>
  </si>
  <si>
    <t>E202</t>
    <phoneticPr fontId="19" type="noConversion"/>
  </si>
  <si>
    <r>
      <t>PCU-13 : BAKE OVEN:OF-SPECIAL(</t>
    </r>
    <r>
      <rPr>
        <sz val="10"/>
        <color theme="1"/>
        <rFont val="맑은 고딕"/>
        <family val="3"/>
        <charset val="129"/>
      </rPr>
      <t>동경계측기</t>
    </r>
    <r>
      <rPr>
        <sz val="10"/>
        <color theme="1"/>
        <rFont val="Arial"/>
        <family val="2"/>
      </rPr>
      <t>)</t>
    </r>
  </si>
  <si>
    <t>0906-01</t>
    <phoneticPr fontId="19" type="noConversion"/>
  </si>
  <si>
    <r>
      <t>PCU-14 : BAKE OVEN:OF-SPECIAL(</t>
    </r>
    <r>
      <rPr>
        <sz val="10"/>
        <color theme="1"/>
        <rFont val="맑은 고딕"/>
        <family val="3"/>
        <charset val="129"/>
      </rPr>
      <t>동경계측기</t>
    </r>
    <r>
      <rPr>
        <sz val="10"/>
        <color theme="1"/>
        <rFont val="Arial"/>
        <family val="2"/>
      </rPr>
      <t>)</t>
    </r>
  </si>
  <si>
    <t>0906-02</t>
  </si>
  <si>
    <t>PIL-89 : TFC-3600-300(SHIBAURA)</t>
  </si>
  <si>
    <t>E201</t>
    <phoneticPr fontId="19" type="noConversion"/>
  </si>
  <si>
    <t>PRW-03 : AUTO REWINDER-03(SWT-RWIN100-000)</t>
  </si>
  <si>
    <t>SWLU-RWA-100</t>
  </si>
  <si>
    <t>SWLU-RWA-100</t>
    <phoneticPr fontId="4" type="noConversion"/>
  </si>
  <si>
    <t>A9-03</t>
  </si>
  <si>
    <r>
      <rPr>
        <sz val="10"/>
        <color theme="1"/>
        <rFont val="맑은 고딕"/>
        <family val="3"/>
        <charset val="129"/>
      </rPr>
      <t>서우테크</t>
    </r>
    <phoneticPr fontId="19" type="noConversion"/>
  </si>
  <si>
    <r>
      <t xml:space="preserve">reel </t>
    </r>
    <r>
      <rPr>
        <sz val="10"/>
        <color theme="1"/>
        <rFont val="맑은 고딕"/>
        <family val="3"/>
        <charset val="129"/>
      </rPr>
      <t>자재를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풀림→정렬→재권취</t>
    </r>
    <phoneticPr fontId="4" type="noConversion"/>
  </si>
  <si>
    <r>
      <t xml:space="preserve">eel </t>
    </r>
    <r>
      <rPr>
        <sz val="10"/>
        <color theme="1"/>
        <rFont val="맑은 고딕"/>
        <family val="3"/>
        <charset val="129"/>
      </rPr>
      <t>자재를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풀림→정렬→재권취</t>
    </r>
  </si>
  <si>
    <t>PIL-88 : TFC-3600-300(SHIBAURA)</t>
  </si>
  <si>
    <t>E200</t>
    <phoneticPr fontId="19" type="noConversion"/>
  </si>
  <si>
    <t>PIL-87 : TFC-3600-300(SHIBAURA)</t>
  </si>
  <si>
    <t>E199</t>
    <phoneticPr fontId="19" type="noConversion"/>
  </si>
  <si>
    <t>PIL-12 : FLIP-TFC-2100</t>
  </si>
  <si>
    <t>TFC-2100</t>
  </si>
  <si>
    <t>TFC-2100</t>
    <phoneticPr fontId="4" type="noConversion"/>
  </si>
  <si>
    <r>
      <t>1</t>
    </r>
    <r>
      <rPr>
        <sz val="10"/>
        <color theme="1"/>
        <rFont val="돋움"/>
        <family val="2"/>
        <charset val="129"/>
      </rPr>
      <t>세대</t>
    </r>
    <phoneticPr fontId="4" type="noConversion"/>
  </si>
  <si>
    <t>E077</t>
  </si>
  <si>
    <t>PIL-13 : FLIP-TFC-2100</t>
  </si>
  <si>
    <t>E078</t>
  </si>
  <si>
    <t>PSA-11 : DFD6340(DISCO)</t>
  </si>
  <si>
    <t>JT2546</t>
  </si>
  <si>
    <r>
      <t>PMA-11 : DIM-1011V(600DPI)(</t>
    </r>
    <r>
      <rPr>
        <sz val="10"/>
        <color theme="1"/>
        <rFont val="맑은 고딕"/>
        <family val="3"/>
        <charset val="129"/>
      </rPr>
      <t>동양</t>
    </r>
    <r>
      <rPr>
        <sz val="10"/>
        <color theme="1"/>
        <rFont val="Arial"/>
        <family val="2"/>
      </rPr>
      <t>)</t>
    </r>
    <phoneticPr fontId="19" type="noConversion"/>
  </si>
  <si>
    <t>DIM-1011V</t>
    <phoneticPr fontId="19" type="noConversion"/>
  </si>
  <si>
    <t>DIM-1011V</t>
    <phoneticPr fontId="4" type="noConversion"/>
  </si>
  <si>
    <r>
      <rPr>
        <sz val="10"/>
        <color theme="1"/>
        <rFont val="맑은 고딕"/>
        <family val="3"/>
        <charset val="129"/>
      </rPr>
      <t>동양반도체</t>
    </r>
    <phoneticPr fontId="19" type="noConversion"/>
  </si>
  <si>
    <t>PIL-19 : FLIP-COF-300</t>
  </si>
  <si>
    <t>E115</t>
  </si>
  <si>
    <t>PPT-31 : LDPS-6350D(TOP)</t>
  </si>
  <si>
    <t>LDPS-4350D</t>
    <phoneticPr fontId="19" type="noConversion"/>
  </si>
  <si>
    <t>PSA-10 : DFD6340_DISCO</t>
    <phoneticPr fontId="19" type="noConversion"/>
  </si>
  <si>
    <t>JT2671</t>
  </si>
  <si>
    <t>PWM-03 : AUTO WAFER MOUNT:DT-NWM1050DM</t>
  </si>
  <si>
    <t>DT-NWM-1050M</t>
  </si>
  <si>
    <t>DT10104</t>
  </si>
  <si>
    <r>
      <t>PCU-15 : BAKE OVEN_</t>
    </r>
    <r>
      <rPr>
        <sz val="10"/>
        <color theme="1"/>
        <rFont val="맑은 고딕"/>
        <family val="3"/>
        <charset val="129"/>
      </rPr>
      <t>제이오텍영남지사</t>
    </r>
  </si>
  <si>
    <t>20100712-14</t>
  </si>
  <si>
    <t>PUV-03 : AUTO UV IRRADIATION(DT-AUV1200SB)</t>
  </si>
  <si>
    <t>DTAUV-1200SB</t>
  </si>
  <si>
    <t>DTAUV-1200SB</t>
    <phoneticPr fontId="4" type="noConversion"/>
  </si>
  <si>
    <t>DT-10105</t>
  </si>
  <si>
    <t>UV</t>
  </si>
  <si>
    <r>
      <rPr>
        <sz val="10"/>
        <color theme="1"/>
        <rFont val="Arial Unicode MS"/>
        <family val="2"/>
        <charset val="129"/>
      </rPr>
      <t>일반장비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2"/>
        <charset val="129"/>
      </rPr>
      <t>비통제</t>
    </r>
    <r>
      <rPr>
        <sz val="10"/>
        <color theme="1"/>
        <rFont val="Arial"/>
        <family val="2"/>
      </rPr>
      <t>)</t>
    </r>
    <phoneticPr fontId="4" type="noConversion"/>
  </si>
  <si>
    <r>
      <t>UV</t>
    </r>
    <r>
      <rPr>
        <sz val="10"/>
        <color theme="1"/>
        <rFont val="맑은 고딕"/>
        <family val="2"/>
        <charset val="129"/>
      </rPr>
      <t>조사기</t>
    </r>
    <phoneticPr fontId="4" type="noConversion"/>
  </si>
  <si>
    <r>
      <t xml:space="preserve">uv </t>
    </r>
    <r>
      <rPr>
        <sz val="10"/>
        <color theme="1"/>
        <rFont val="Arial Unicode MS"/>
        <family val="2"/>
        <charset val="129"/>
      </rPr>
      <t>경화</t>
    </r>
    <phoneticPr fontId="4" type="noConversion"/>
  </si>
  <si>
    <r>
      <t>PCU-16 : BAKE OVEN_</t>
    </r>
    <r>
      <rPr>
        <sz val="10"/>
        <color theme="1"/>
        <rFont val="맑은 고딕"/>
        <family val="3"/>
        <charset val="129"/>
      </rPr>
      <t>제이오텍영남지사</t>
    </r>
  </si>
  <si>
    <t>20100712-15</t>
    <phoneticPr fontId="19" type="noConversion"/>
  </si>
  <si>
    <t>PSA-12 : DFD6340_DISCO</t>
  </si>
  <si>
    <t>JT2781</t>
  </si>
  <si>
    <r>
      <t>PMA-12 : KRM200(</t>
    </r>
    <r>
      <rPr>
        <sz val="10"/>
        <color theme="1"/>
        <rFont val="맑은 고딕"/>
        <family val="3"/>
        <charset val="129"/>
      </rPr>
      <t>고려반도체</t>
    </r>
    <r>
      <rPr>
        <sz val="10"/>
        <color theme="1"/>
        <rFont val="Arial"/>
        <family val="2"/>
      </rPr>
      <t>)</t>
    </r>
  </si>
  <si>
    <t>KRM200</t>
    <phoneticPr fontId="19" type="noConversion"/>
  </si>
  <si>
    <t>KRM200</t>
    <phoneticPr fontId="4" type="noConversion"/>
  </si>
  <si>
    <t>69-10-032-LS</t>
  </si>
  <si>
    <r>
      <rPr>
        <sz val="10"/>
        <color theme="1"/>
        <rFont val="맑은 고딕"/>
        <family val="3"/>
        <charset val="129"/>
      </rPr>
      <t>고려반도체</t>
    </r>
    <phoneticPr fontId="19" type="noConversion"/>
  </si>
  <si>
    <t>PIL-40 : FILP-COF-1000</t>
    <phoneticPr fontId="19" type="noConversion"/>
  </si>
  <si>
    <t>COF-1000</t>
  </si>
  <si>
    <t>COF-1000</t>
    <phoneticPr fontId="4" type="noConversion"/>
  </si>
  <si>
    <r>
      <t>2</t>
    </r>
    <r>
      <rPr>
        <sz val="10"/>
        <color theme="1"/>
        <rFont val="Arial Unicode MS"/>
        <family val="2"/>
        <charset val="129"/>
      </rPr>
      <t>세대</t>
    </r>
    <phoneticPr fontId="4" type="noConversion"/>
  </si>
  <si>
    <t>FCB2</t>
  </si>
  <si>
    <t>v</t>
    <phoneticPr fontId="4" type="noConversion"/>
  </si>
  <si>
    <r>
      <rPr>
        <sz val="10"/>
        <color rgb="FFFF0000"/>
        <rFont val="맑은 고딕"/>
        <family val="3"/>
        <charset val="129"/>
      </rPr>
      <t>구용근</t>
    </r>
    <phoneticPr fontId="19" type="noConversion"/>
  </si>
  <si>
    <r>
      <rPr>
        <sz val="10"/>
        <color rgb="FFFF0000"/>
        <rFont val="맑은 고딕"/>
        <family val="3"/>
        <charset val="129"/>
      </rPr>
      <t>구미</t>
    </r>
  </si>
  <si>
    <t>PSA-18 : DICING SAW(DFD6340)</t>
  </si>
  <si>
    <t>JT4003</t>
  </si>
  <si>
    <r>
      <rPr>
        <sz val="10"/>
        <color rgb="FFFF0000"/>
        <rFont val="맑은 고딕"/>
        <family val="3"/>
        <charset val="129"/>
      </rPr>
      <t>비가동</t>
    </r>
    <phoneticPr fontId="19" type="noConversion"/>
  </si>
  <si>
    <r>
      <rPr>
        <sz val="10"/>
        <color rgb="FFFF0000"/>
        <rFont val="맑은 고딕"/>
        <family val="3"/>
        <charset val="129"/>
      </rPr>
      <t>일본</t>
    </r>
    <phoneticPr fontId="19" type="noConversion"/>
  </si>
  <si>
    <r>
      <t>2</t>
    </r>
    <r>
      <rPr>
        <sz val="10"/>
        <color rgb="FFFF0000"/>
        <rFont val="맑은 고딕"/>
        <family val="3"/>
        <charset val="129"/>
      </rPr>
      <t>공장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운휴</t>
    </r>
    <r>
      <rPr>
        <sz val="10"/>
        <color rgb="FFFF0000"/>
        <rFont val="Arial"/>
        <family val="2"/>
      </rPr>
      <t xml:space="preserve"> Room</t>
    </r>
  </si>
  <si>
    <r>
      <rPr>
        <sz val="10"/>
        <color rgb="FFFF0000"/>
        <rFont val="맑은 고딕"/>
        <family val="3"/>
        <charset val="129"/>
      </rPr>
      <t>자사</t>
    </r>
  </si>
  <si>
    <r>
      <rPr>
        <sz val="10"/>
        <color rgb="FFFF0000"/>
        <rFont val="맑은 고딕"/>
        <family val="3"/>
        <charset val="129"/>
      </rPr>
      <t>미설정</t>
    </r>
  </si>
  <si>
    <t>LMK</t>
    <phoneticPr fontId="19" type="noConversion"/>
  </si>
  <si>
    <t>PLK-01 : LASER MARKING SYSTEM(CSM2000)</t>
  </si>
  <si>
    <t>CSM2000</t>
    <phoneticPr fontId="19" type="noConversion"/>
  </si>
  <si>
    <t>DW211004</t>
  </si>
  <si>
    <t>EO Technics</t>
    <phoneticPr fontId="19" type="noConversion"/>
  </si>
  <si>
    <t>D-LMARK</t>
  </si>
  <si>
    <t>PCB-09 : CO2 BUBBLER_NGK(ANTISTATIC SYSTEM)</t>
  </si>
  <si>
    <r>
      <t>PRC</t>
    </r>
    <r>
      <rPr>
        <sz val="10"/>
        <color rgb="FFFF0000"/>
        <rFont val="맑은 고딕"/>
        <family val="3"/>
        <charset val="129"/>
      </rPr>
      <t>Ⅱ</t>
    </r>
    <r>
      <rPr>
        <sz val="10"/>
        <color rgb="FFFF0000"/>
        <rFont val="Arial"/>
        <family val="2"/>
      </rPr>
      <t>-2000ACD</t>
    </r>
  </si>
  <si>
    <r>
      <t xml:space="preserve">NGK </t>
    </r>
    <r>
      <rPr>
        <sz val="10"/>
        <color rgb="FFFF0000"/>
        <rFont val="맑은 고딕"/>
        <family val="3"/>
        <charset val="129"/>
      </rPr>
      <t>엔지니어</t>
    </r>
  </si>
  <si>
    <r>
      <t xml:space="preserve">CO2 </t>
    </r>
    <r>
      <rPr>
        <sz val="10"/>
        <color theme="1"/>
        <rFont val="굴림"/>
        <family val="2"/>
        <charset val="129"/>
      </rPr>
      <t>주입기</t>
    </r>
    <phoneticPr fontId="4" type="noConversion"/>
  </si>
  <si>
    <t>8486.90-0000</t>
    <phoneticPr fontId="4" type="noConversion"/>
  </si>
  <si>
    <r>
      <t>G1-1</t>
    </r>
    <r>
      <rPr>
        <sz val="10"/>
        <color rgb="FFFF0000"/>
        <rFont val="맑은 고딕"/>
        <family val="3"/>
        <charset val="129"/>
      </rPr>
      <t>층</t>
    </r>
  </si>
  <si>
    <r>
      <t xml:space="preserve">LM </t>
    </r>
    <r>
      <rPr>
        <sz val="10"/>
        <color theme="1"/>
        <rFont val="맑은 고딕"/>
        <family val="3"/>
        <charset val="129"/>
      </rPr>
      <t>공진기</t>
    </r>
    <r>
      <rPr>
        <sz val="10"/>
        <color theme="1"/>
        <rFont val="Arial"/>
        <family val="2"/>
      </rPr>
      <t xml:space="preserve"> Parts(PLK-01)</t>
    </r>
  </si>
  <si>
    <t>PLK-01</t>
    <phoneticPr fontId="4" type="noConversion"/>
  </si>
  <si>
    <t>PLM-01 : LAMINATOR SYSTEM:DT-ECS2030B</t>
  </si>
  <si>
    <t>DT-ECS2030B</t>
  </si>
  <si>
    <t>DT-ECS2030B</t>
    <phoneticPr fontId="4" type="noConversion"/>
  </si>
  <si>
    <t>DT11089</t>
  </si>
  <si>
    <r>
      <rPr>
        <sz val="10"/>
        <color theme="1"/>
        <rFont val="맑은 고딕"/>
        <family val="3"/>
        <charset val="129"/>
      </rPr>
      <t>일반장비</t>
    </r>
    <r>
      <rPr>
        <sz val="10"/>
        <color theme="1"/>
        <rFont val="Arial"/>
        <family val="3"/>
      </rPr>
      <t>(</t>
    </r>
    <r>
      <rPr>
        <sz val="10"/>
        <color theme="1"/>
        <rFont val="맑은 고딕"/>
        <family val="3"/>
        <charset val="129"/>
      </rPr>
      <t>비통제</t>
    </r>
    <r>
      <rPr>
        <sz val="10"/>
        <color theme="1"/>
        <rFont val="Arial"/>
        <family val="3"/>
      </rPr>
      <t>)</t>
    </r>
    <phoneticPr fontId="4" type="noConversion"/>
  </si>
  <si>
    <r>
      <t xml:space="preserve">Tape </t>
    </r>
    <r>
      <rPr>
        <sz val="10"/>
        <color theme="1"/>
        <rFont val="Arial Unicode MS"/>
        <family val="2"/>
        <charset val="129"/>
      </rPr>
      <t>부착기</t>
    </r>
    <phoneticPr fontId="4" type="noConversion"/>
  </si>
  <si>
    <t>PIL-41 : LTB-4100(TOP)</t>
  </si>
  <si>
    <t>LTB-4100</t>
    <phoneticPr fontId="19" type="noConversion"/>
  </si>
  <si>
    <t>LTB-4100</t>
    <phoneticPr fontId="4" type="noConversion"/>
  </si>
  <si>
    <t>PIL-43 : LTB-4100(TOP)</t>
  </si>
  <si>
    <t>PIL-44 : COF-1000(SHINKAWA)</t>
  </si>
  <si>
    <t>PIL-45 : TFC-3200(SHIBAURA)</t>
  </si>
  <si>
    <t>TFC-3200</t>
    <phoneticPr fontId="19" type="noConversion"/>
  </si>
  <si>
    <t>TFC-3200</t>
    <phoneticPr fontId="4" type="noConversion"/>
  </si>
  <si>
    <t>D180</t>
    <phoneticPr fontId="19" type="noConversion"/>
  </si>
  <si>
    <t>Part Out</t>
  </si>
  <si>
    <t>PSA-13 : SAW DFD6560</t>
  </si>
  <si>
    <t>DFD6560</t>
  </si>
  <si>
    <t>PU1008</t>
  </si>
  <si>
    <t>PSA-17 : SAW DFD6340_DISCO</t>
  </si>
  <si>
    <t>JT4250</t>
  </si>
  <si>
    <t>PSA-19 : SAW DFD6340_DISCO</t>
  </si>
  <si>
    <t>JT4251</t>
  </si>
  <si>
    <t>PSA-20 : SAW DFD6340_DISCO</t>
  </si>
  <si>
    <t>JT4269</t>
  </si>
  <si>
    <t>PCB-10 : CO2 BUBBLER(PRCII-2000ACD-SS)_NGK</t>
  </si>
  <si>
    <r>
      <t>PRC</t>
    </r>
    <r>
      <rPr>
        <sz val="10"/>
        <color theme="1"/>
        <rFont val="맑은 고딕"/>
        <family val="3"/>
        <charset val="129"/>
      </rPr>
      <t>Ⅱ</t>
    </r>
    <r>
      <rPr>
        <sz val="10"/>
        <color theme="1"/>
        <rFont val="Arial"/>
        <family val="2"/>
      </rPr>
      <t>-2000ACD</t>
    </r>
  </si>
  <si>
    <r>
      <t xml:space="preserve">NGK </t>
    </r>
    <r>
      <rPr>
        <sz val="10"/>
        <color theme="1"/>
        <rFont val="맑은 고딕"/>
        <family val="3"/>
        <charset val="129"/>
      </rPr>
      <t>엔지니어</t>
    </r>
  </si>
  <si>
    <r>
      <t xml:space="preserve">CO2 </t>
    </r>
    <r>
      <rPr>
        <sz val="10"/>
        <color theme="1"/>
        <rFont val="Arial Unicode MS"/>
        <family val="2"/>
        <charset val="129"/>
      </rPr>
      <t>주입기</t>
    </r>
    <phoneticPr fontId="4" type="noConversion"/>
  </si>
  <si>
    <t>BPT-01 : Wafer plating machine(MP-1408K-LU)</t>
  </si>
  <si>
    <t>MP-1408K-LU</t>
  </si>
  <si>
    <t>MP-1408K-LU</t>
    <phoneticPr fontId="4" type="noConversion"/>
  </si>
  <si>
    <t>K908</t>
  </si>
  <si>
    <t>MITOMO SEMICON</t>
  </si>
  <si>
    <t>-</t>
  </si>
  <si>
    <r>
      <rPr>
        <sz val="10"/>
        <color theme="1"/>
        <rFont val="맑은 고딕"/>
        <family val="3"/>
        <charset val="129"/>
      </rPr>
      <t>완료</t>
    </r>
  </si>
  <si>
    <t>B-PLATING</t>
  </si>
  <si>
    <t>PSA-14 : FULLY AUTOMATIC DICING SAW (DFD6560)</t>
  </si>
  <si>
    <t>PU1036</t>
  </si>
  <si>
    <t>BPT-02 : Wafer Plating Machine(MP-1408K-LU)</t>
  </si>
  <si>
    <t>K909</t>
  </si>
  <si>
    <t>UV</t>
    <phoneticPr fontId="4" type="noConversion"/>
  </si>
  <si>
    <r>
      <t>PUV-04 : Auto UV</t>
    </r>
    <r>
      <rPr>
        <sz val="10"/>
        <color theme="1"/>
        <rFont val="맑은 고딕"/>
        <family val="3"/>
        <charset val="129"/>
      </rPr>
      <t>조사기</t>
    </r>
    <r>
      <rPr>
        <sz val="10"/>
        <color theme="1"/>
        <rFont val="Arial"/>
        <family val="2"/>
      </rPr>
      <t>(CUUVA-120)(=MPUV-04)</t>
    </r>
  </si>
  <si>
    <t>CUUVA-120</t>
  </si>
  <si>
    <t>CUUVA-120</t>
    <phoneticPr fontId="4" type="noConversion"/>
  </si>
  <si>
    <t>CU13143</t>
  </si>
  <si>
    <t>Cuon</t>
  </si>
  <si>
    <r>
      <rPr>
        <sz val="10"/>
        <color theme="1"/>
        <rFont val="Arial Unicode MS"/>
        <family val="2"/>
        <charset val="129"/>
      </rPr>
      <t>다이싱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29"/>
      </rPr>
      <t>테이프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29"/>
      </rPr>
      <t>보호막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29"/>
      </rPr>
      <t>제거</t>
    </r>
    <phoneticPr fontId="4" type="noConversion"/>
  </si>
  <si>
    <t>8419.90-0000</t>
    <phoneticPr fontId="4" type="noConversion"/>
  </si>
  <si>
    <t>PCB-05 : CO2 BUBBLER(PRCII-2000ACD-SS)_NGK</t>
  </si>
  <si>
    <t>DR14-3142</t>
  </si>
  <si>
    <t>PIL-46 : TFC-3200(SHIBAURA)</t>
  </si>
  <si>
    <t>D179</t>
    <phoneticPr fontId="19" type="noConversion"/>
  </si>
  <si>
    <t>PIL-47 : LTB-4100(TOP)</t>
  </si>
  <si>
    <t>PIL-48 : COF-1000(SHINKAWA)</t>
  </si>
  <si>
    <t>COF-1000</t>
    <phoneticPr fontId="19" type="noConversion"/>
  </si>
  <si>
    <t>PIL-49 : COF-1000(SHINKAWA)</t>
  </si>
  <si>
    <t>PIL-50 : LTB-4100(TOP)</t>
  </si>
  <si>
    <r>
      <t>PPT-36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</si>
  <si>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TCP-435A</t>
    <phoneticPr fontId="19" type="noConversion"/>
  </si>
  <si>
    <t>TCP-435A</t>
    <phoneticPr fontId="4" type="noConversion"/>
  </si>
  <si>
    <t>TCP-435A-2017001</t>
  </si>
  <si>
    <r>
      <t>PPT-37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</si>
  <si>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TCP-435A-2017002</t>
  </si>
  <si>
    <r>
      <t>PPT-38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</si>
  <si>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TCP-435A-2017003</t>
    <phoneticPr fontId="19" type="noConversion"/>
  </si>
  <si>
    <t>PIL-51 : LTB-4100(TOP)</t>
  </si>
  <si>
    <t>PSA-15 : DFD6560_Dicing SAW_DISCO</t>
  </si>
  <si>
    <t>PUA169</t>
  </si>
  <si>
    <r>
      <t>PCB-06 : PRC</t>
    </r>
    <r>
      <rPr>
        <sz val="10"/>
        <color theme="1"/>
        <rFont val="맑은 고딕"/>
        <family val="3"/>
        <charset val="129"/>
      </rPr>
      <t>Ⅱ</t>
    </r>
    <r>
      <rPr>
        <sz val="10"/>
        <color theme="1"/>
        <rFont val="Arial"/>
        <family val="2"/>
      </rPr>
      <t>-2000ACD-SS(CO2 Bubbler)_NGK</t>
    </r>
  </si>
  <si>
    <t>DR17-3002</t>
  </si>
  <si>
    <r>
      <rPr>
        <sz val="10"/>
        <color theme="1"/>
        <rFont val="Arial"/>
        <family val="3"/>
      </rPr>
      <t xml:space="preserve">CO2 </t>
    </r>
    <r>
      <rPr>
        <sz val="10"/>
        <color theme="1"/>
        <rFont val="Arial Unicode MS"/>
        <family val="3"/>
        <charset val="129"/>
      </rPr>
      <t>주입기</t>
    </r>
    <phoneticPr fontId="4" type="noConversion"/>
  </si>
  <si>
    <t>PSA-16 : DFD6560_Dicing SAW_DISCO</t>
  </si>
  <si>
    <t>PUA185</t>
  </si>
  <si>
    <r>
      <t>PPT-39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</si>
  <si>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TCP-435A-2017004</t>
    <phoneticPr fontId="19" type="noConversion"/>
  </si>
  <si>
    <r>
      <t>PPT-40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</si>
  <si>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TCP-435A-2017005</t>
    <phoneticPr fontId="19" type="noConversion"/>
  </si>
  <si>
    <r>
      <t>PPT-41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</si>
  <si>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TCP-435A-2017006</t>
    <phoneticPr fontId="19" type="noConversion"/>
  </si>
  <si>
    <t>PIL-52 : LTB-4100(TOP)</t>
  </si>
  <si>
    <t>PRW-04 : AUTO REWINDER-04(SWT-RWIN100-000)</t>
  </si>
  <si>
    <t>A17-04</t>
  </si>
  <si>
    <r>
      <t xml:space="preserve">POT </t>
    </r>
    <r>
      <rPr>
        <sz val="10"/>
        <color theme="1"/>
        <rFont val="맑은 고딕"/>
        <family val="3"/>
        <charset val="129"/>
      </rPr>
      <t>자동화</t>
    </r>
    <r>
      <rPr>
        <sz val="10"/>
        <color theme="1"/>
        <rFont val="Arial"/>
        <family val="2"/>
      </rPr>
      <t xml:space="preserve"> Parts(AOI)(PPT-05,06,07,08,17,38)</t>
    </r>
  </si>
  <si>
    <r>
      <rPr>
        <sz val="10"/>
        <color theme="1"/>
        <rFont val="맑은 고딕"/>
        <family val="3"/>
        <charset val="129"/>
      </rPr>
      <t>워프비전</t>
    </r>
    <phoneticPr fontId="19" type="noConversion"/>
  </si>
  <si>
    <r>
      <t>PPT-42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</si>
  <si>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TCP-435A-2017007</t>
    <phoneticPr fontId="19" type="noConversion"/>
  </si>
  <si>
    <r>
      <t>PPT-43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</si>
  <si>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TCP-435A-2017008</t>
    <phoneticPr fontId="19" type="noConversion"/>
  </si>
  <si>
    <r>
      <t>PPT-44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</si>
  <si>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TCP-435A-2017009</t>
    <phoneticPr fontId="19" type="noConversion"/>
  </si>
  <si>
    <r>
      <t>PCB-07 : PRC</t>
    </r>
    <r>
      <rPr>
        <sz val="10"/>
        <color theme="1"/>
        <rFont val="맑은 고딕"/>
        <family val="3"/>
        <charset val="129"/>
      </rPr>
      <t>Ⅱ</t>
    </r>
    <r>
      <rPr>
        <sz val="10"/>
        <color theme="1"/>
        <rFont val="Arial"/>
        <family val="2"/>
      </rPr>
      <t>-2000ACD-SS(CO2 Bubbler)_NGK</t>
    </r>
  </si>
  <si>
    <t>DR17-3058</t>
  </si>
  <si>
    <r>
      <t xml:space="preserve">CO2 </t>
    </r>
    <r>
      <rPr>
        <sz val="10"/>
        <color theme="1"/>
        <rFont val="맑은 고딕"/>
        <family val="2"/>
        <charset val="129"/>
      </rPr>
      <t>주입기</t>
    </r>
    <phoneticPr fontId="4" type="noConversion"/>
  </si>
  <si>
    <t>PIL-53 : LTB-4100(TOP)</t>
  </si>
  <si>
    <t>PIL-55 : LTB-4100(TOP)</t>
  </si>
  <si>
    <t>Buffer Cure(Mini Oven)</t>
  </si>
  <si>
    <r>
      <rPr>
        <sz val="10"/>
        <color theme="1"/>
        <rFont val="Arial Unicode MS"/>
        <family val="2"/>
        <charset val="129"/>
      </rPr>
      <t>에폭시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29"/>
      </rPr>
      <t>경화기</t>
    </r>
    <phoneticPr fontId="4" type="noConversion"/>
  </si>
  <si>
    <t>PIL-56 : LTB-4100(TOP)</t>
  </si>
  <si>
    <t>PIL-57 : INNER LEAD BONDER_COF-1000 (USED)</t>
  </si>
  <si>
    <t>PIL-58 : INNER LEAD BONDER_COF-1000 (USED)</t>
  </si>
  <si>
    <r>
      <t>PPT-45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</si>
  <si>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POTTING-010BJ01</t>
  </si>
  <si>
    <r>
      <t>PPT-46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</si>
  <si>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POTTING-011BJ02</t>
    <phoneticPr fontId="19" type="noConversion"/>
  </si>
  <si>
    <r>
      <t>PPT-47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</si>
  <si>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POTTING-012BJ03</t>
  </si>
  <si>
    <t>PIL-59 : COF Bonder (Used)</t>
  </si>
  <si>
    <t>A2-53628</t>
  </si>
  <si>
    <t>PIL-60 : COF Bonder (Used)</t>
  </si>
  <si>
    <t>A4-54694</t>
  </si>
  <si>
    <t>PIL-86 : TFC-3600-300(SHIBAURA)</t>
  </si>
  <si>
    <r>
      <t>3</t>
    </r>
    <r>
      <rPr>
        <sz val="10"/>
        <color theme="1"/>
        <rFont val="돋움"/>
        <family val="2"/>
        <charset val="129"/>
      </rPr>
      <t>세대</t>
    </r>
    <phoneticPr fontId="4" type="noConversion"/>
  </si>
  <si>
    <t>E184</t>
    <phoneticPr fontId="19" type="noConversion"/>
  </si>
  <si>
    <t>PIL-85 : TFC-3600-300(SHIBAURA)</t>
  </si>
  <si>
    <t>E183</t>
    <phoneticPr fontId="19" type="noConversion"/>
  </si>
  <si>
    <t>PIL-84 : TFC-3600-300(SHIBAURA)</t>
  </si>
  <si>
    <t>E182</t>
    <phoneticPr fontId="19" type="noConversion"/>
  </si>
  <si>
    <r>
      <t>PPT-48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</si>
  <si>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POTTING-013BJ04</t>
  </si>
  <si>
    <r>
      <t>PPT-49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</si>
  <si>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POTTING-014BJ05</t>
  </si>
  <si>
    <r>
      <t>PPT-50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</si>
  <si>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POTTING-015BJ06</t>
    <phoneticPr fontId="19" type="noConversion"/>
  </si>
  <si>
    <t>PIL-83 : TFC-3600-300(SHIBAURA)</t>
  </si>
  <si>
    <t>E181</t>
    <phoneticPr fontId="19" type="noConversion"/>
  </si>
  <si>
    <t>PIL-82 : TFC-3600-300(SHIBAURA)</t>
  </si>
  <si>
    <t>E180</t>
    <phoneticPr fontId="19" type="noConversion"/>
  </si>
  <si>
    <t>PIL-81 : TFC-3600-300(SHIBAURA)</t>
  </si>
  <si>
    <t>E118</t>
    <phoneticPr fontId="19" type="noConversion"/>
  </si>
  <si>
    <t>PIL-80 : TFC-3600-300(SHIBAURA)</t>
  </si>
  <si>
    <t>E117</t>
    <phoneticPr fontId="19" type="noConversion"/>
  </si>
  <si>
    <t>PIL-79 : TFC-3600-300(SHIBAURA)</t>
  </si>
  <si>
    <t>E116</t>
    <phoneticPr fontId="19" type="noConversion"/>
  </si>
  <si>
    <r>
      <t xml:space="preserve">TOP </t>
    </r>
    <r>
      <rPr>
        <sz val="10"/>
        <color theme="1"/>
        <rFont val="맑은 고딕"/>
        <family val="3"/>
        <charset val="129"/>
      </rPr>
      <t>설비</t>
    </r>
    <r>
      <rPr>
        <sz val="10"/>
        <color theme="1"/>
        <rFont val="Arial"/>
        <family val="2"/>
      </rPr>
      <t xml:space="preserve"> Resin Holder </t>
    </r>
    <r>
      <rPr>
        <sz val="10"/>
        <color theme="1"/>
        <rFont val="맑은 고딕"/>
        <family val="3"/>
        <charset val="129"/>
      </rPr>
      <t>비금속화</t>
    </r>
  </si>
  <si>
    <r>
      <rPr>
        <sz val="10"/>
        <color theme="1"/>
        <rFont val="맑은 고딕"/>
        <family val="3"/>
        <charset val="129"/>
      </rPr>
      <t>구형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설비</t>
    </r>
    <r>
      <rPr>
        <sz val="10"/>
        <color theme="1"/>
        <rFont val="Arial"/>
        <family val="2"/>
      </rPr>
      <t xml:space="preserve"> Reel Guide </t>
    </r>
    <r>
      <rPr>
        <sz val="10"/>
        <color theme="1"/>
        <rFont val="맑은 고딕"/>
        <family val="3"/>
        <charset val="129"/>
      </rPr>
      <t>구조개선</t>
    </r>
  </si>
  <si>
    <r>
      <t xml:space="preserve">TOP POT Z axis Cover </t>
    </r>
    <r>
      <rPr>
        <sz val="10"/>
        <color theme="1"/>
        <rFont val="맑은 고딕"/>
        <family val="3"/>
        <charset val="129"/>
      </rPr>
      <t>분리형</t>
    </r>
  </si>
  <si>
    <r>
      <rPr>
        <sz val="10"/>
        <color theme="1"/>
        <rFont val="맑은 고딕"/>
        <family val="3"/>
        <charset val="129"/>
      </rPr>
      <t>신형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설비</t>
    </r>
    <r>
      <rPr>
        <sz val="10"/>
        <color theme="1"/>
        <rFont val="Arial"/>
        <family val="2"/>
      </rPr>
      <t xml:space="preserve"> Reel Guide </t>
    </r>
    <r>
      <rPr>
        <sz val="10"/>
        <color theme="1"/>
        <rFont val="맑은 고딕"/>
        <family val="3"/>
        <charset val="129"/>
      </rPr>
      <t>구조개선</t>
    </r>
  </si>
  <si>
    <r>
      <t xml:space="preserve">SEC </t>
    </r>
    <r>
      <rPr>
        <sz val="10"/>
        <color theme="1"/>
        <rFont val="맑은 고딕"/>
        <family val="3"/>
        <charset val="129"/>
      </rPr>
      <t>설비</t>
    </r>
    <r>
      <rPr>
        <sz val="10"/>
        <color theme="1"/>
        <rFont val="Arial"/>
        <family val="2"/>
      </rPr>
      <t xml:space="preserve"> Resin Holder</t>
    </r>
  </si>
  <si>
    <t>Part</t>
    <phoneticPr fontId="4" type="noConversion"/>
  </si>
  <si>
    <t>에폭시 본딩기 부품</t>
    <phoneticPr fontId="4" type="noConversion"/>
  </si>
  <si>
    <r>
      <t>PCU-17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</si>
  <si>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OSST-18050903120-1</t>
  </si>
  <si>
    <r>
      <t>PCU-18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</si>
  <si>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OSST-18050903120-2</t>
  </si>
  <si>
    <r>
      <t>PCU-19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</si>
  <si>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OSST-18050903120-3</t>
  </si>
  <si>
    <r>
      <t>PCU-20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</si>
  <si>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OSST-18050903120-4</t>
  </si>
  <si>
    <r>
      <t>PCU-21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</si>
  <si>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OSST-18050903120-5</t>
  </si>
  <si>
    <t>PIL-78 : TFC-3600-300(SHIBAURA)</t>
  </si>
  <si>
    <t>E115</t>
    <phoneticPr fontId="19" type="noConversion"/>
  </si>
  <si>
    <t>PIL-77 : TFC-3600-300(SHIBAURA)</t>
  </si>
  <si>
    <t>E114</t>
    <phoneticPr fontId="19" type="noConversion"/>
  </si>
  <si>
    <r>
      <t>PPT-51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</si>
  <si>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POTTING-016BJ07</t>
  </si>
  <si>
    <r>
      <t>PPT-52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</si>
  <si>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POTTING-017BJ08</t>
  </si>
  <si>
    <r>
      <t>PPT-53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</si>
  <si>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POTTING-018BJ09</t>
  </si>
  <si>
    <r>
      <t>PCU-22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</si>
  <si>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OSST-18080103132-1</t>
  </si>
  <si>
    <r>
      <t>PCU-23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</si>
  <si>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OSST-18080103132-2</t>
    <phoneticPr fontId="19" type="noConversion"/>
  </si>
  <si>
    <r>
      <t>PCU-24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</si>
  <si>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OSST-18080103132-3</t>
    <phoneticPr fontId="19" type="noConversion"/>
  </si>
  <si>
    <r>
      <t>PCU-25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</si>
  <si>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OSST-18080103132-4</t>
    <phoneticPr fontId="19" type="noConversion"/>
  </si>
  <si>
    <t>PIL-76 : TFC-3600-300(SHIBAURA)</t>
  </si>
  <si>
    <t>E088</t>
    <phoneticPr fontId="19" type="noConversion"/>
  </si>
  <si>
    <t>PIL-75 : TFC-3600-300(SHIBAURA)</t>
  </si>
  <si>
    <t>E091</t>
    <phoneticPr fontId="19" type="noConversion"/>
  </si>
  <si>
    <t>PIL-74 : TFC-3600-300(SHIBAURA)</t>
  </si>
  <si>
    <t>E090</t>
    <phoneticPr fontId="19" type="noConversion"/>
  </si>
  <si>
    <t>R2R Mark</t>
    <phoneticPr fontId="19" type="noConversion"/>
  </si>
  <si>
    <t>PRK-01 : R to R Laser Marking</t>
  </si>
  <si>
    <t>Reelstar-800LM</t>
    <phoneticPr fontId="19" type="noConversion"/>
  </si>
  <si>
    <t>R2018089LK</t>
  </si>
  <si>
    <r>
      <rPr>
        <sz val="10"/>
        <color theme="1"/>
        <rFont val="맑은 고딕"/>
        <family val="3"/>
        <charset val="129"/>
      </rPr>
      <t>대만</t>
    </r>
    <phoneticPr fontId="19" type="noConversion"/>
  </si>
  <si>
    <t>E&amp;R</t>
    <phoneticPr fontId="19" type="noConversion"/>
  </si>
  <si>
    <r>
      <rPr>
        <sz val="10"/>
        <color theme="1"/>
        <rFont val="맑은 고딕"/>
        <family val="3"/>
        <charset val="129"/>
      </rPr>
      <t>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마킹</t>
    </r>
    <phoneticPr fontId="4" type="noConversion"/>
  </si>
  <si>
    <r>
      <t>PPT-54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</si>
  <si>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POTTING-024BJ11</t>
  </si>
  <si>
    <r>
      <t>PPT-55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</si>
  <si>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POTTING-025BJ12</t>
  </si>
  <si>
    <r>
      <t>PPT-56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</si>
  <si>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POTTING-026BJ13</t>
  </si>
  <si>
    <r>
      <t>PPT-57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</si>
  <si>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POTTING-027BJ14</t>
    <phoneticPr fontId="19" type="noConversion"/>
  </si>
  <si>
    <t>PRK-02 : R to R Laser Marking</t>
  </si>
  <si>
    <t>R2018149LK</t>
  </si>
  <si>
    <t>PRK-03 : R to R Laser Marking</t>
  </si>
  <si>
    <t>R2018150LK</t>
  </si>
  <si>
    <r>
      <t>PCU-26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</si>
  <si>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OSST-19010903101-1</t>
  </si>
  <si>
    <r>
      <t>PPT-58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</si>
  <si>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POTTING-032BK02</t>
  </si>
  <si>
    <r>
      <t>PPT-59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</si>
  <si>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POTTING-033BK03</t>
    <phoneticPr fontId="19" type="noConversion"/>
  </si>
  <si>
    <r>
      <t>PPT-60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</si>
  <si>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POTTING-034BK04</t>
    <phoneticPr fontId="19" type="noConversion"/>
  </si>
  <si>
    <r>
      <t>PPT-61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</si>
  <si>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POTTING-035BK05</t>
    <phoneticPr fontId="19" type="noConversion"/>
  </si>
  <si>
    <r>
      <t>PPT-62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</si>
  <si>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POTTING-036BK06</t>
  </si>
  <si>
    <r>
      <t>PCU-27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</si>
  <si>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OSST-19010903101-2</t>
    <phoneticPr fontId="19" type="noConversion"/>
  </si>
  <si>
    <t>PIL-73 : TFC-3600-300(SHIBAURA)</t>
  </si>
  <si>
    <t>E089</t>
    <phoneticPr fontId="19" type="noConversion"/>
  </si>
  <si>
    <t>PIL-72 : TFC-3600-300(SHIBAURA)</t>
  </si>
  <si>
    <t>E087</t>
    <phoneticPr fontId="19" type="noConversion"/>
  </si>
  <si>
    <t>PIL-71 : TFC-3600-300(SHIBAURA)</t>
  </si>
  <si>
    <t>E086</t>
    <phoneticPr fontId="19" type="noConversion"/>
  </si>
  <si>
    <t>PIL-70 : TFC-3600-300(SHIBAURA)</t>
  </si>
  <si>
    <t>E085</t>
    <phoneticPr fontId="19" type="noConversion"/>
  </si>
  <si>
    <t>PIL-69 : TFC-3600-300(SHIBAURA)</t>
  </si>
  <si>
    <t>E084</t>
    <phoneticPr fontId="19" type="noConversion"/>
  </si>
  <si>
    <t>PRW-05 : AUTO REWINDER-04(SWLU-RWA-100)</t>
  </si>
  <si>
    <t>A19-05</t>
  </si>
  <si>
    <r>
      <t>PPT-63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</si>
  <si>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POTTING-038BK08</t>
  </si>
  <si>
    <r>
      <t>PPT-64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</si>
  <si>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POTTING-039BK09</t>
  </si>
  <si>
    <r>
      <t>PPT-65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</si>
  <si>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POTTING-040BK10</t>
  </si>
  <si>
    <r>
      <t>PPT-66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</si>
  <si>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POTTING-041BK11</t>
  </si>
  <si>
    <r>
      <t>PPT-67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</si>
  <si>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POTTING-042BK12</t>
  </si>
  <si>
    <r>
      <t>PCU-28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</si>
  <si>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OSST-190202503111-1</t>
  </si>
  <si>
    <r>
      <t>PCU-29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</si>
  <si>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OSST-190202503111-2</t>
    <phoneticPr fontId="19" type="noConversion"/>
  </si>
  <si>
    <r>
      <t>PCU-30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</si>
  <si>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OSST-190202503111-3</t>
    <phoneticPr fontId="19" type="noConversion"/>
  </si>
  <si>
    <r>
      <t>PCU-31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</si>
  <si>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OSST-190202503111-4</t>
    <phoneticPr fontId="19" type="noConversion"/>
  </si>
  <si>
    <r>
      <t>PCU-32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</si>
  <si>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OSST-190202503111-5</t>
    <phoneticPr fontId="19" type="noConversion"/>
  </si>
  <si>
    <t>PIL-68 : TFC-3600-300(SHIBAURA)</t>
  </si>
  <si>
    <t>E078</t>
    <phoneticPr fontId="19" type="noConversion"/>
  </si>
  <si>
    <t>PIL-67 : TFC-3600-300(SHIBAURA)</t>
  </si>
  <si>
    <t>E077</t>
    <phoneticPr fontId="19" type="noConversion"/>
  </si>
  <si>
    <t>PIL-66 : TFC-3600-300(SHIBAURA)</t>
  </si>
  <si>
    <t>E061</t>
    <phoneticPr fontId="19" type="noConversion"/>
  </si>
  <si>
    <t>PIL-65 : TFC-3600-300(SHIBAURA)</t>
  </si>
  <si>
    <t>E060</t>
    <phoneticPr fontId="19" type="noConversion"/>
  </si>
  <si>
    <t>PIL-64 : TFC-3600-300(SHIBAURA)</t>
  </si>
  <si>
    <t>E039</t>
    <phoneticPr fontId="19" type="noConversion"/>
  </si>
  <si>
    <t>PIL-63 : TFC-3600-300(SHIBAURA)</t>
  </si>
  <si>
    <t>E035</t>
    <phoneticPr fontId="19" type="noConversion"/>
  </si>
  <si>
    <t>PIL-62 : COF Flip Chip Bonder(TFC-3600-300)(Shlbaura)</t>
  </si>
  <si>
    <t>E027</t>
    <phoneticPr fontId="19" type="noConversion"/>
  </si>
  <si>
    <t>PIL-109 : TFC-3600-300(SHIBAURA)</t>
  </si>
  <si>
    <t>E313</t>
    <phoneticPr fontId="19" type="noConversion"/>
  </si>
  <si>
    <r>
      <t xml:space="preserve">PRF-01 : Ring Frame </t>
    </r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세정기</t>
    </r>
  </si>
  <si>
    <t>DWD-RCL4000</t>
  </si>
  <si>
    <t>DWM-RCL4000</t>
    <phoneticPr fontId="4" type="noConversion"/>
  </si>
  <si>
    <r>
      <rPr>
        <sz val="10"/>
        <color theme="1"/>
        <rFont val="맑은 고딕"/>
        <family val="3"/>
        <charset val="129"/>
      </rPr>
      <t>다원엔지니어링</t>
    </r>
  </si>
  <si>
    <t>세정기</t>
    <phoneticPr fontId="4" type="noConversion"/>
  </si>
  <si>
    <t>8421.22-0000</t>
    <phoneticPr fontId="4" type="noConversion"/>
  </si>
  <si>
    <r>
      <t>PCU-33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</si>
  <si>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OSST-19052203132-1</t>
  </si>
  <si>
    <r>
      <t>PCU-34 : BAKE OVEN(</t>
    </r>
    <r>
      <rPr>
        <sz val="10"/>
        <color theme="1"/>
        <rFont val="맑은 고딕"/>
        <family val="3"/>
        <charset val="129"/>
      </rPr>
      <t>오성에스티</t>
    </r>
    <r>
      <rPr>
        <sz val="10"/>
        <color theme="1"/>
        <rFont val="Arial"/>
        <family val="2"/>
      </rPr>
      <t>)</t>
    </r>
  </si>
  <si>
    <t>OSST-19052203132-2</t>
    <phoneticPr fontId="19" type="noConversion"/>
  </si>
  <si>
    <t>PBG-02 : FULLY AUTOMATIC GRINDER(DGP8761)(=MPBG-02)</t>
  </si>
  <si>
    <t>DGP8761</t>
  </si>
  <si>
    <t>DGP8761</t>
    <phoneticPr fontId="4" type="noConversion"/>
  </si>
  <si>
    <t>NN2760</t>
  </si>
  <si>
    <r>
      <rPr>
        <sz val="10"/>
        <color theme="1"/>
        <rFont val="맑은 고딕"/>
        <family val="3"/>
        <charset val="129"/>
      </rPr>
      <t>웨이퍼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평탄화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그라인딩</t>
    </r>
    <phoneticPr fontId="4" type="noConversion"/>
  </si>
  <si>
    <t>웨이퍼 후처리 제조 장비</t>
    <phoneticPr fontId="4" type="noConversion"/>
  </si>
  <si>
    <t>M-GRIND</t>
  </si>
  <si>
    <t>PIL-108 : TFC-3600-300(SHIBAURA)</t>
  </si>
  <si>
    <t>E312</t>
    <phoneticPr fontId="19" type="noConversion"/>
  </si>
  <si>
    <r>
      <t xml:space="preserve">PCC-01 : Wafer Cassette </t>
    </r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세정기</t>
    </r>
  </si>
  <si>
    <t>DWD-CCL1000</t>
  </si>
  <si>
    <t>DWM-RCL-1000</t>
    <phoneticPr fontId="4" type="noConversion"/>
  </si>
  <si>
    <t>PRK-04 : R to R Laser Marking</t>
  </si>
  <si>
    <t>R2020020LK</t>
  </si>
  <si>
    <r>
      <t xml:space="preserve">Cure Tape </t>
    </r>
    <r>
      <rPr>
        <sz val="10"/>
        <color theme="1"/>
        <rFont val="맑은 고딕"/>
        <family val="3"/>
        <charset val="129"/>
      </rPr>
      <t>세정기</t>
    </r>
  </si>
  <si>
    <r>
      <rPr>
        <sz val="10"/>
        <color theme="1"/>
        <rFont val="맑은 고딕"/>
        <family val="3"/>
        <charset val="129"/>
      </rPr>
      <t>다원엔지니어링</t>
    </r>
    <phoneticPr fontId="19" type="noConversion"/>
  </si>
  <si>
    <t>Tape Attach</t>
    <phoneticPr fontId="19" type="noConversion"/>
  </si>
  <si>
    <r>
      <t>PTA-06 : Tape Attach Single head(</t>
    </r>
    <r>
      <rPr>
        <sz val="10"/>
        <color theme="1"/>
        <rFont val="맑은 고딕"/>
        <family val="3"/>
        <charset val="129"/>
      </rPr>
      <t>쿠온솔루션</t>
    </r>
    <r>
      <rPr>
        <sz val="10"/>
        <color theme="1"/>
        <rFont val="Arial"/>
        <family val="2"/>
      </rPr>
      <t>)</t>
    </r>
  </si>
  <si>
    <t>CUMAA-080S</t>
    <phoneticPr fontId="19" type="noConversion"/>
  </si>
  <si>
    <t>CUMAA-080S</t>
    <phoneticPr fontId="4" type="noConversion"/>
  </si>
  <si>
    <t>CU20385</t>
    <phoneticPr fontId="19" type="noConversion"/>
  </si>
  <si>
    <r>
      <rPr>
        <sz val="10"/>
        <color theme="1"/>
        <rFont val="맑은 고딕"/>
        <family val="3"/>
        <charset val="129"/>
      </rPr>
      <t>쿠온솔루션</t>
    </r>
    <phoneticPr fontId="19" type="noConversion"/>
  </si>
  <si>
    <r>
      <t>2</t>
    </r>
    <r>
      <rPr>
        <sz val="10"/>
        <color theme="1"/>
        <rFont val="Arial Unicode MS"/>
        <family val="2"/>
        <charset val="129"/>
      </rPr>
      <t>차</t>
    </r>
    <phoneticPr fontId="4" type="noConversion"/>
  </si>
  <si>
    <r>
      <rPr>
        <sz val="10"/>
        <color theme="1"/>
        <rFont val="맑은 고딕"/>
        <family val="3"/>
        <charset val="129"/>
      </rPr>
      <t>방열</t>
    </r>
    <r>
      <rPr>
        <sz val="10"/>
        <color theme="1"/>
        <rFont val="Arial"/>
        <family val="2"/>
      </rPr>
      <t xml:space="preserve"> tape </t>
    </r>
    <r>
      <rPr>
        <sz val="10"/>
        <color theme="1"/>
        <rFont val="맑은 고딕"/>
        <family val="3"/>
        <charset val="129"/>
      </rPr>
      <t>부착</t>
    </r>
    <phoneticPr fontId="4" type="noConversion"/>
  </si>
  <si>
    <t>D-ATTACH</t>
  </si>
  <si>
    <r>
      <t>PTA-07 : Tape Attach Dual head(</t>
    </r>
    <r>
      <rPr>
        <sz val="10"/>
        <color theme="1"/>
        <rFont val="맑은 고딕"/>
        <family val="3"/>
        <charset val="129"/>
      </rPr>
      <t>쿠온솔루션</t>
    </r>
    <r>
      <rPr>
        <sz val="10"/>
        <color theme="1"/>
        <rFont val="Arial"/>
        <family val="2"/>
      </rPr>
      <t>)</t>
    </r>
  </si>
  <si>
    <t>CUMAA-080R</t>
    <phoneticPr fontId="19" type="noConversion"/>
  </si>
  <si>
    <t>CUMAA-080R</t>
    <phoneticPr fontId="4" type="noConversion"/>
  </si>
  <si>
    <t>CU20723-1</t>
  </si>
  <si>
    <r>
      <t>PTA-08 : Tape Attach Dual head(</t>
    </r>
    <r>
      <rPr>
        <sz val="10"/>
        <color theme="1"/>
        <rFont val="맑은 고딕"/>
        <family val="3"/>
        <charset val="129"/>
      </rPr>
      <t>쿠온솔루션</t>
    </r>
    <r>
      <rPr>
        <sz val="10"/>
        <color theme="1"/>
        <rFont val="Arial"/>
        <family val="2"/>
      </rPr>
      <t>)</t>
    </r>
  </si>
  <si>
    <t>CU20723-2</t>
  </si>
  <si>
    <r>
      <t>1</t>
    </r>
    <r>
      <rPr>
        <sz val="10"/>
        <color rgb="FFFF0000"/>
        <rFont val="맑은 고딕"/>
        <family val="3"/>
        <charset val="129"/>
      </rPr>
      <t>차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제외</t>
    </r>
    <phoneticPr fontId="4" type="noConversion"/>
  </si>
  <si>
    <r>
      <t>PTA-09 : Tape Attach Dual head(</t>
    </r>
    <r>
      <rPr>
        <sz val="10"/>
        <color theme="1"/>
        <rFont val="맑은 고딕"/>
        <family val="3"/>
        <charset val="129"/>
      </rPr>
      <t>쿠온솔루션</t>
    </r>
    <r>
      <rPr>
        <sz val="10"/>
        <color theme="1"/>
        <rFont val="Arial"/>
        <family val="2"/>
      </rPr>
      <t>)</t>
    </r>
  </si>
  <si>
    <t>CU21020</t>
  </si>
  <si>
    <t>POT Pre-cure Support Roller(20ea)</t>
  </si>
  <si>
    <t>PRW-06 : AUTO REWINDER(AAR-2101)</t>
  </si>
  <si>
    <t>AAR2101</t>
    <phoneticPr fontId="19" type="noConversion"/>
  </si>
  <si>
    <t>AAR2101</t>
    <phoneticPr fontId="4" type="noConversion"/>
  </si>
  <si>
    <t>AR-001</t>
    <phoneticPr fontId="19" type="noConversion"/>
  </si>
  <si>
    <t>A-TEK</t>
    <phoneticPr fontId="19" type="noConversion"/>
  </si>
  <si>
    <r>
      <rPr>
        <sz val="10"/>
        <color theme="1"/>
        <rFont val="맑은 고딕"/>
        <family val="3"/>
        <charset val="129"/>
      </rPr>
      <t>릴</t>
    </r>
    <r>
      <rPr>
        <sz val="10"/>
        <color theme="1"/>
        <rFont val="Arial"/>
        <family val="3"/>
      </rPr>
      <t xml:space="preserve">(Reel) </t>
    </r>
    <r>
      <rPr>
        <sz val="10"/>
        <color theme="1"/>
        <rFont val="Arial Unicode MS"/>
        <family val="3"/>
        <charset val="129"/>
      </rPr>
      <t>자재를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Arial Unicode MS"/>
        <family val="3"/>
        <charset val="129"/>
      </rPr>
      <t>풀어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Arial Unicode MS"/>
        <family val="3"/>
        <charset val="129"/>
      </rPr>
      <t>검사</t>
    </r>
    <r>
      <rPr>
        <sz val="10"/>
        <color theme="1"/>
        <rFont val="Arial"/>
        <family val="3"/>
      </rPr>
      <t>·</t>
    </r>
    <r>
      <rPr>
        <sz val="10"/>
        <color theme="1"/>
        <rFont val="Arial Unicode MS"/>
        <family val="3"/>
        <charset val="129"/>
      </rPr>
      <t>재정렬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Arial Unicode MS"/>
        <family val="3"/>
        <charset val="129"/>
      </rPr>
      <t>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Arial Unicode MS"/>
        <family val="3"/>
        <charset val="129"/>
      </rPr>
      <t>다시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Arial Unicode MS"/>
        <family val="3"/>
        <charset val="129"/>
      </rPr>
      <t>권취</t>
    </r>
    <r>
      <rPr>
        <sz val="10"/>
        <color theme="1"/>
        <rFont val="Arial"/>
        <family val="3"/>
      </rPr>
      <t>(Rewinding)</t>
    </r>
    <phoneticPr fontId="4" type="noConversion"/>
  </si>
  <si>
    <t>PIL-107 : TFC-3600-300(SHIBAURA)</t>
  </si>
  <si>
    <t>E311</t>
    <phoneticPr fontId="19" type="noConversion"/>
  </si>
  <si>
    <t>PIL-106 : TFC-3600-300(SHIBAURA)</t>
  </si>
  <si>
    <t>E308</t>
    <phoneticPr fontId="19" type="noConversion"/>
  </si>
  <si>
    <t>PIL-105 : TFC-3600-300(SHIBAURA)</t>
  </si>
  <si>
    <t>E307</t>
    <phoneticPr fontId="19" type="noConversion"/>
  </si>
  <si>
    <t>PIL-104 : TFC-3600-300(SHIBAURA)</t>
  </si>
  <si>
    <t>E306</t>
    <phoneticPr fontId="19" type="noConversion"/>
  </si>
  <si>
    <t>PRK-05 : R to R Laser Marking</t>
  </si>
  <si>
    <t>R2020021LK</t>
  </si>
  <si>
    <r>
      <rPr>
        <sz val="10"/>
        <color theme="1"/>
        <rFont val="맑은 고딕"/>
        <family val="3"/>
        <charset val="129"/>
      </rPr>
      <t>교반기</t>
    </r>
    <r>
      <rPr>
        <sz val="10"/>
        <color theme="1"/>
        <rFont val="Arial"/>
        <family val="2"/>
      </rPr>
      <t>-02 : POT2 Resin(SY-8V)</t>
    </r>
  </si>
  <si>
    <r>
      <t>PPT-74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</si>
  <si>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POTTING-049CB01</t>
  </si>
  <si>
    <r>
      <t>PPT-73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</si>
  <si>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POTTING-050CB02</t>
  </si>
  <si>
    <r>
      <t>PPT-75 : Potting System 4Head(</t>
    </r>
    <r>
      <rPr>
        <sz val="10"/>
        <color theme="1"/>
        <rFont val="맑은 고딕"/>
        <family val="3"/>
        <charset val="129"/>
      </rPr>
      <t>쎄크</t>
    </r>
    <r>
      <rPr>
        <sz val="10"/>
        <color theme="1"/>
        <rFont val="Arial"/>
        <family val="2"/>
      </rPr>
      <t>)</t>
    </r>
  </si>
  <si>
    <t>POTTING-051CB03</t>
  </si>
  <si>
    <t>PIL-103 : TFC-3600-300(SHIBAURA)</t>
  </si>
  <si>
    <t>E301</t>
    <phoneticPr fontId="19" type="noConversion"/>
  </si>
  <si>
    <t>PRK-07 : R to R Laser Marking</t>
  </si>
  <si>
    <t>J2021M0149LKK</t>
    <phoneticPr fontId="19" type="noConversion"/>
  </si>
  <si>
    <t>PIL-102 : TFC-3600-300(SHIBAURA)</t>
  </si>
  <si>
    <t>E300</t>
    <phoneticPr fontId="19" type="noConversion"/>
  </si>
  <si>
    <t>PRK-06 : R to R Laser Marking</t>
  </si>
  <si>
    <t>J2021M0148LKK</t>
  </si>
  <si>
    <r>
      <t>PMA-20 : KRM200(</t>
    </r>
    <r>
      <rPr>
        <sz val="10"/>
        <color theme="1"/>
        <rFont val="맑은 고딕"/>
        <family val="3"/>
        <charset val="129"/>
      </rPr>
      <t>고려반도체</t>
    </r>
    <r>
      <rPr>
        <sz val="10"/>
        <color theme="1"/>
        <rFont val="Arial"/>
        <family val="2"/>
      </rPr>
      <t>)(USED)</t>
    </r>
  </si>
  <si>
    <t>69-05-125-MC</t>
  </si>
  <si>
    <r>
      <t>PMA-21 : KRM200(</t>
    </r>
    <r>
      <rPr>
        <sz val="10"/>
        <color theme="1"/>
        <rFont val="맑은 고딕"/>
        <family val="3"/>
        <charset val="129"/>
      </rPr>
      <t>고려반도체</t>
    </r>
    <r>
      <rPr>
        <sz val="10"/>
        <color theme="1"/>
        <rFont val="Arial"/>
        <family val="2"/>
      </rPr>
      <t>)(USED)</t>
    </r>
  </si>
  <si>
    <t>69-05-126-MC</t>
  </si>
  <si>
    <r>
      <t>PTA-10 : Tape Attach Single head(</t>
    </r>
    <r>
      <rPr>
        <sz val="10"/>
        <color theme="1"/>
        <rFont val="맑은 고딕"/>
        <family val="3"/>
        <charset val="129"/>
      </rPr>
      <t>쿠온솔루션</t>
    </r>
    <r>
      <rPr>
        <sz val="10"/>
        <color theme="1"/>
        <rFont val="Arial"/>
        <family val="2"/>
      </rPr>
      <t>)</t>
    </r>
  </si>
  <si>
    <t>CU22053</t>
  </si>
  <si>
    <t>PIL-101 : TFC-3600-300(SHIBAURA)</t>
  </si>
  <si>
    <t>E297</t>
    <phoneticPr fontId="19" type="noConversion"/>
  </si>
  <si>
    <t>PIL-100 : TFC-3600-300(SHIBAURA)</t>
  </si>
  <si>
    <t>E296</t>
    <phoneticPr fontId="19" type="noConversion"/>
  </si>
  <si>
    <r>
      <t xml:space="preserve">Rail Cover </t>
    </r>
    <r>
      <rPr>
        <sz val="10"/>
        <color theme="1"/>
        <rFont val="맑은 고딕"/>
        <family val="3"/>
        <charset val="129"/>
      </rPr>
      <t>변경</t>
    </r>
  </si>
  <si>
    <r>
      <t xml:space="preserve">Reel Guide </t>
    </r>
    <r>
      <rPr>
        <sz val="10"/>
        <color theme="1"/>
        <rFont val="맑은 고딕"/>
        <family val="3"/>
        <charset val="129"/>
      </rPr>
      <t>금속재질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개선</t>
    </r>
  </si>
  <si>
    <r>
      <t>PTA-12 : Tape Attach Dual head(</t>
    </r>
    <r>
      <rPr>
        <sz val="10"/>
        <color theme="1"/>
        <rFont val="맑은 고딕"/>
        <family val="3"/>
        <charset val="129"/>
      </rPr>
      <t>쿠온솔루션</t>
    </r>
    <r>
      <rPr>
        <sz val="10"/>
        <color theme="1"/>
        <rFont val="Arial"/>
        <family val="2"/>
      </rPr>
      <t>)</t>
    </r>
  </si>
  <si>
    <t>CU22214-4</t>
    <phoneticPr fontId="19" type="noConversion"/>
  </si>
  <si>
    <r>
      <t>PTA-14 : Tape Attach Dual head(</t>
    </r>
    <r>
      <rPr>
        <sz val="10"/>
        <color theme="1"/>
        <rFont val="맑은 고딕"/>
        <family val="3"/>
        <charset val="129"/>
      </rPr>
      <t>쿠온솔루션</t>
    </r>
    <r>
      <rPr>
        <sz val="10"/>
        <color theme="1"/>
        <rFont val="Arial"/>
        <family val="2"/>
      </rPr>
      <t>)</t>
    </r>
  </si>
  <si>
    <t>CU22214-3</t>
  </si>
  <si>
    <r>
      <t xml:space="preserve">Reel Guide(TFC-3600) </t>
    </r>
    <r>
      <rPr>
        <sz val="10"/>
        <color theme="1"/>
        <rFont val="맑은 고딕"/>
        <family val="3"/>
        <charset val="129"/>
      </rPr>
      <t>구조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변경</t>
    </r>
  </si>
  <si>
    <r>
      <t xml:space="preserve">TFC-3600 </t>
    </r>
    <r>
      <rPr>
        <sz val="10"/>
        <color theme="1"/>
        <rFont val="맑은 고딕"/>
        <family val="3"/>
        <charset val="129"/>
      </rPr>
      <t>설비</t>
    </r>
    <r>
      <rPr>
        <sz val="10"/>
        <color theme="1"/>
        <rFont val="Arial"/>
        <family val="2"/>
      </rPr>
      <t xml:space="preserve"> Software </t>
    </r>
    <r>
      <rPr>
        <sz val="10"/>
        <color theme="1"/>
        <rFont val="맑은 고딕"/>
        <family val="3"/>
        <charset val="129"/>
      </rPr>
      <t>개선</t>
    </r>
  </si>
  <si>
    <r>
      <t>PTA-11 : Tape Attach Dual head(</t>
    </r>
    <r>
      <rPr>
        <sz val="10"/>
        <color theme="1"/>
        <rFont val="맑은 고딕"/>
        <family val="3"/>
        <charset val="129"/>
      </rPr>
      <t>쿠온솔루션</t>
    </r>
    <r>
      <rPr>
        <sz val="10"/>
        <color theme="1"/>
        <rFont val="Arial"/>
        <family val="2"/>
      </rPr>
      <t>)</t>
    </r>
  </si>
  <si>
    <t>CU22214-1</t>
  </si>
  <si>
    <r>
      <t>PTA-13 : Tape Attach Dual head(</t>
    </r>
    <r>
      <rPr>
        <sz val="10"/>
        <color theme="1"/>
        <rFont val="맑은 고딕"/>
        <family val="3"/>
        <charset val="129"/>
      </rPr>
      <t>쿠온솔루션</t>
    </r>
    <r>
      <rPr>
        <sz val="10"/>
        <color theme="1"/>
        <rFont val="Arial"/>
        <family val="2"/>
      </rPr>
      <t>)</t>
    </r>
  </si>
  <si>
    <t>CU22214-2</t>
  </si>
  <si>
    <r>
      <t xml:space="preserve">PBC-01 : UV Tape </t>
    </r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포장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설비</t>
    </r>
  </si>
  <si>
    <t>DWD-SWE1000</t>
  </si>
  <si>
    <t>Tape 부착기</t>
    <phoneticPr fontId="4" type="noConversion"/>
  </si>
  <si>
    <t>8422.40-0000</t>
    <phoneticPr fontId="4" type="noConversion"/>
  </si>
  <si>
    <t>Auto AMI</t>
  </si>
  <si>
    <r>
      <t xml:space="preserve">Al Reel </t>
    </r>
    <r>
      <rPr>
        <sz val="10"/>
        <color theme="1"/>
        <rFont val="맑은 고딕"/>
        <family val="3"/>
        <charset val="129"/>
      </rPr>
      <t>내부폭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측정기</t>
    </r>
  </si>
  <si>
    <r>
      <t xml:space="preserve">POT-OVEN </t>
    </r>
    <r>
      <rPr>
        <sz val="10"/>
        <color theme="1"/>
        <rFont val="맑은 고딕"/>
        <family val="3"/>
        <charset val="129"/>
      </rPr>
      <t>공정</t>
    </r>
    <r>
      <rPr>
        <sz val="10"/>
        <color theme="1"/>
        <rFont val="Arial"/>
        <family val="2"/>
      </rPr>
      <t xml:space="preserve"> AMR</t>
    </r>
  </si>
  <si>
    <t>LX-90</t>
    <phoneticPr fontId="19" type="noConversion"/>
  </si>
  <si>
    <t>LX-90</t>
    <phoneticPr fontId="4" type="noConversion"/>
  </si>
  <si>
    <r>
      <rPr>
        <sz val="10"/>
        <color theme="1"/>
        <rFont val="맑은 고딕"/>
        <family val="3"/>
        <charset val="129"/>
      </rPr>
      <t>성준전기</t>
    </r>
    <phoneticPr fontId="19" type="noConversion"/>
  </si>
  <si>
    <r>
      <rPr>
        <sz val="10"/>
        <color theme="1"/>
        <rFont val="맑은 고딕"/>
        <family val="3"/>
        <charset val="129"/>
      </rPr>
      <t>물류이송로봇</t>
    </r>
    <phoneticPr fontId="4" type="noConversion"/>
  </si>
  <si>
    <r>
      <t xml:space="preserve">TFC-3600 </t>
    </r>
    <r>
      <rPr>
        <sz val="10"/>
        <color theme="1"/>
        <rFont val="맑은 고딕"/>
        <family val="3"/>
        <charset val="129"/>
      </rPr>
      <t>설비</t>
    </r>
    <r>
      <rPr>
        <sz val="10"/>
        <color theme="1"/>
        <rFont val="Arial"/>
        <family val="2"/>
      </rPr>
      <t xml:space="preserve"> Software </t>
    </r>
    <r>
      <rPr>
        <sz val="10"/>
        <color theme="1"/>
        <rFont val="맑은 고딕"/>
        <family val="3"/>
        <charset val="129"/>
      </rPr>
      <t>개선</t>
    </r>
    <r>
      <rPr>
        <sz val="10"/>
        <color theme="1"/>
        <rFont val="Arial"/>
        <family val="2"/>
      </rPr>
      <t>(7</t>
    </r>
    <r>
      <rPr>
        <sz val="10"/>
        <color theme="1"/>
        <rFont val="맑은 고딕"/>
        <family val="3"/>
        <charset val="129"/>
      </rPr>
      <t>건</t>
    </r>
    <r>
      <rPr>
        <sz val="10"/>
        <color theme="1"/>
        <rFont val="Arial"/>
        <family val="2"/>
      </rPr>
      <t>)</t>
    </r>
  </si>
  <si>
    <r>
      <t xml:space="preserve">U/L Space tape </t>
    </r>
    <r>
      <rPr>
        <sz val="10"/>
        <color theme="1"/>
        <rFont val="맑은 고딕"/>
        <family val="3"/>
        <charset val="129"/>
      </rPr>
      <t>자석바</t>
    </r>
  </si>
  <si>
    <t>PWM-04 : Tape Auto Mount(DT-NWM-1050DM)(Used)</t>
  </si>
  <si>
    <t>DT-09165</t>
  </si>
  <si>
    <t>Auto Mount</t>
    <phoneticPr fontId="19" type="noConversion"/>
  </si>
  <si>
    <t>8479.89-9099</t>
    <phoneticPr fontId="4" type="noConversion"/>
  </si>
  <si>
    <r>
      <t>PTA-15 : Tape Attach Dual Type(</t>
    </r>
    <r>
      <rPr>
        <sz val="10"/>
        <color theme="1"/>
        <rFont val="맑은 고딕"/>
        <family val="3"/>
        <charset val="129"/>
      </rPr>
      <t>쿠온솔루션</t>
    </r>
    <r>
      <rPr>
        <sz val="10"/>
        <color theme="1"/>
        <rFont val="Arial"/>
        <family val="2"/>
      </rPr>
      <t>)</t>
    </r>
  </si>
  <si>
    <t>CU24304</t>
  </si>
  <si>
    <t>Wafer gripper</t>
  </si>
  <si>
    <r>
      <rPr>
        <sz val="10"/>
        <color theme="1"/>
        <rFont val="맑은 고딕"/>
        <family val="3"/>
        <charset val="129"/>
      </rPr>
      <t>이종희</t>
    </r>
    <phoneticPr fontId="19" type="noConversion"/>
  </si>
  <si>
    <r>
      <rPr>
        <sz val="10"/>
        <rFont val="맑은 고딕"/>
        <family val="3"/>
        <charset val="129"/>
      </rPr>
      <t>구미</t>
    </r>
  </si>
  <si>
    <t>Bump</t>
    <phoneticPr fontId="19" type="noConversion"/>
  </si>
  <si>
    <t>Visual Inspection</t>
  </si>
  <si>
    <r>
      <rPr>
        <sz val="10"/>
        <rFont val="맑은 고딕"/>
        <family val="3"/>
        <charset val="129"/>
      </rPr>
      <t>검사</t>
    </r>
    <phoneticPr fontId="19" type="noConversion"/>
  </si>
  <si>
    <r>
      <t xml:space="preserve">COF Bump Paticle </t>
    </r>
    <r>
      <rPr>
        <sz val="10"/>
        <rFont val="맑은 고딕"/>
        <family val="3"/>
        <charset val="129"/>
      </rPr>
      <t>검사기</t>
    </r>
    <r>
      <rPr>
        <sz val="10"/>
        <rFont val="Arial"/>
        <family val="2"/>
      </rPr>
      <t>(TSI KOREA)</t>
    </r>
  </si>
  <si>
    <t>COF054</t>
  </si>
  <si>
    <t>COF054</t>
    <phoneticPr fontId="4" type="noConversion"/>
  </si>
  <si>
    <t>COF-2202790395-001</t>
  </si>
  <si>
    <r>
      <rPr>
        <sz val="10"/>
        <rFont val="맑은 고딕"/>
        <family val="3"/>
        <charset val="129"/>
      </rPr>
      <t>가동</t>
    </r>
  </si>
  <si>
    <t>TSI KOREA</t>
  </si>
  <si>
    <t>파티클 검사기</t>
    <phoneticPr fontId="4" type="noConversion"/>
  </si>
  <si>
    <r>
      <rPr>
        <sz val="10"/>
        <rFont val="맑은 고딕"/>
        <family val="3"/>
        <charset val="129"/>
      </rPr>
      <t>자사</t>
    </r>
  </si>
  <si>
    <r>
      <rPr>
        <sz val="10"/>
        <rFont val="맑은 고딕"/>
        <family val="3"/>
        <charset val="129"/>
      </rPr>
      <t>설정</t>
    </r>
  </si>
  <si>
    <r>
      <rPr>
        <sz val="10"/>
        <color theme="1"/>
        <rFont val="맑은 고딕"/>
        <family val="3"/>
        <charset val="129"/>
      </rPr>
      <t>미완료</t>
    </r>
    <phoneticPr fontId="4" type="noConversion"/>
  </si>
  <si>
    <t>D-VI</t>
  </si>
  <si>
    <t>Wafer Test</t>
  </si>
  <si>
    <t>DIK-02 : Automatic Wafer INK Prober</t>
  </si>
  <si>
    <t>F25017GH</t>
  </si>
  <si>
    <r>
      <t>1</t>
    </r>
    <r>
      <rPr>
        <sz val="10"/>
        <color rgb="FFFF0000"/>
        <rFont val="맑은 고딕"/>
        <family val="3"/>
        <charset val="129"/>
      </rPr>
      <t>차</t>
    </r>
    <phoneticPr fontId="4" type="noConversion"/>
  </si>
  <si>
    <r>
      <rPr>
        <sz val="10"/>
        <color theme="1"/>
        <rFont val="맑은 고딕"/>
        <family val="3"/>
        <charset val="129"/>
      </rPr>
      <t>완료</t>
    </r>
    <phoneticPr fontId="4" type="noConversion"/>
  </si>
  <si>
    <t>P-PT</t>
  </si>
  <si>
    <t>DIK-03 : Ink Wafer Prober Model_UF-3000LX_Tokyo Seimitsu</t>
  </si>
  <si>
    <t>F25001EJ</t>
  </si>
  <si>
    <t>DPP-02 : WAFER PROBER SYSTEM(UF-2000)(F22012EF)</t>
  </si>
  <si>
    <t>UF2000</t>
  </si>
  <si>
    <t>F22012EF</t>
  </si>
  <si>
    <t>ND3</t>
  </si>
  <si>
    <r>
      <rPr>
        <sz val="10"/>
        <color theme="1"/>
        <rFont val="맑은 고딕"/>
        <family val="3"/>
        <charset val="129"/>
      </rPr>
      <t>운휴</t>
    </r>
  </si>
  <si>
    <t>DPP-03 : UF3000LX : Automatic Wafer Prober Machine(F25008DH)</t>
  </si>
  <si>
    <t>F25008DH</t>
  </si>
  <si>
    <t>ND2</t>
  </si>
  <si>
    <r>
      <t>2</t>
    </r>
    <r>
      <rPr>
        <sz val="10"/>
        <rFont val="맑은 고딕"/>
        <family val="3"/>
        <charset val="129"/>
      </rPr>
      <t>차</t>
    </r>
    <phoneticPr fontId="4" type="noConversion"/>
  </si>
  <si>
    <t>DPP-05 : WAFER PROBER SYSTEM:UF-2000(FOR ST6730A)(F22013EF)</t>
  </si>
  <si>
    <t>F22013EF</t>
  </si>
  <si>
    <r>
      <rPr>
        <sz val="10"/>
        <color theme="1"/>
        <rFont val="맑은 고딕"/>
        <family val="3"/>
        <charset val="129"/>
      </rPr>
      <t>임대</t>
    </r>
  </si>
  <si>
    <r>
      <rPr>
        <sz val="10"/>
        <color theme="1"/>
        <rFont val="맑은 고딕"/>
        <family val="3"/>
        <charset val="129"/>
      </rPr>
      <t>공통</t>
    </r>
    <r>
      <rPr>
        <sz val="10"/>
        <color theme="1"/>
        <rFont val="Arial"/>
        <family val="2"/>
      </rPr>
      <t>(L)</t>
    </r>
  </si>
  <si>
    <t>DPP-08 : UF3000LX(Automatic Wafer Prober Machine)(F25008GH)</t>
  </si>
  <si>
    <t>F25008GH</t>
  </si>
  <si>
    <r>
      <t>1</t>
    </r>
    <r>
      <rPr>
        <sz val="10"/>
        <rFont val="맑은 고딕"/>
        <family val="3"/>
        <charset val="129"/>
      </rPr>
      <t>차</t>
    </r>
    <phoneticPr fontId="4" type="noConversion"/>
  </si>
  <si>
    <t>DPP-13 : Automatic Wafer Prober Machine(UF3000LX)(F25016GH)</t>
  </si>
  <si>
    <t>F25016GH</t>
  </si>
  <si>
    <t>DPP-14 : Automatic Wafer Prober Machine(UF3000LX)(F25018GH)</t>
  </si>
  <si>
    <t>F25018GH</t>
  </si>
  <si>
    <t>DPP-15 : UF3000LX(Automatic Wafer Prober Machine)(F25007GH)</t>
  </si>
  <si>
    <t>F25007GH</t>
  </si>
  <si>
    <t>ST6731A</t>
  </si>
  <si>
    <t>DPP-16 : PROBER_Tokyo Semitsu(UF3000LX)(F25005AK)</t>
  </si>
  <si>
    <t>F25005AK</t>
  </si>
  <si>
    <t>DPP-20 : Prober_UF2000_TOKYO Semiitsu(F22002LH)</t>
  </si>
  <si>
    <t>F22002LH</t>
  </si>
  <si>
    <t>DPP-21 : Prober_UF3000LX_TOKYO Semiitsu(F25001AJ)</t>
  </si>
  <si>
    <t>F25001AJ</t>
  </si>
  <si>
    <t>DPP-34 : PROBER_Tokyo Semitsu(UF3000LX)(F25008DJ)</t>
  </si>
  <si>
    <t>F25008DJ</t>
  </si>
  <si>
    <t>ND4</t>
  </si>
  <si>
    <t>DPP-37 : PROBER(UF3000LX)(ND4)_Tokyo Seimitsu(F25001HM)</t>
  </si>
  <si>
    <t>F25001HM</t>
  </si>
  <si>
    <t>DPP-38 : PROBER_Tokyo Semitsu(UF3000LX)(F25002AK)</t>
  </si>
  <si>
    <t>F25002AK</t>
  </si>
  <si>
    <t>DPP-39 : PROBER_Tokyo Semitsu (UF3000LX)(F25004CJ)</t>
  </si>
  <si>
    <t>F25004CJ</t>
  </si>
  <si>
    <t>DPP-41 : PROBER_Tokyo Semitsu(UF3000LX)(F25004AK)</t>
  </si>
  <si>
    <t>F25004AK</t>
  </si>
  <si>
    <t>DPP-42 : UF3000LX_Tokyo Seimitsu(F25006EV)</t>
  </si>
  <si>
    <t>F25006EV</t>
  </si>
  <si>
    <t>DPP-43 : PROBER_Tokyo Semitsu (UF3000LX)(F25004EV)</t>
  </si>
  <si>
    <t>F25004EV</t>
  </si>
  <si>
    <t>DPP-44 : PROBER_Tokyo Semitsu (UF3000LX)(F25002CJ)</t>
  </si>
  <si>
    <t>F25002CJ</t>
  </si>
  <si>
    <t>DPP-45 : PROBER_Tokyo Semitsu (UF3000LX)(F25003CJ)</t>
  </si>
  <si>
    <t>F25003CJ</t>
  </si>
  <si>
    <t>DPP-46 : UF3000LX(F25005EV)</t>
  </si>
  <si>
    <t>F25005EV</t>
  </si>
  <si>
    <t>DPP-47 : Prober(UF3000LX)(ND4)_Tokyo Semitsu(F25002MK)</t>
  </si>
  <si>
    <t>F25002MK</t>
  </si>
  <si>
    <t>DPP-48 : PROBER_Tokyo Semitsu(UF3000LX)(F25003AK)</t>
  </si>
  <si>
    <t>F25003AK</t>
  </si>
  <si>
    <t>DPP-49 : Prober_UF2000_TOKYO Semiitsu(F22001LH)</t>
  </si>
  <si>
    <t>F22001LH</t>
  </si>
  <si>
    <t>ND1</t>
  </si>
  <si>
    <t>DPP-50 : PROBER_Tokyo Semitsu(UF3000LX)(F25016DV)</t>
  </si>
  <si>
    <t>F25016DV</t>
  </si>
  <si>
    <t>DPP-51 : PROBER_Tokyo Semitsu(UF3000LX)(F25003EV)</t>
  </si>
  <si>
    <t>F25003EV</t>
  </si>
  <si>
    <t>DPP-52 : PROBER_Tokyo Semitsu(UF3000LX)(F25001EV)</t>
  </si>
  <si>
    <t>F25001EV</t>
  </si>
  <si>
    <t>DPP-53 : PROBER_Tokyo Semitsu(UF3000LX)(F25001CJ)</t>
  </si>
  <si>
    <t>F25001CJ</t>
  </si>
  <si>
    <t>DPP-54 : Automatic Wafer Prober(ND4)(AP#139)(F25004DN)(2100523)</t>
  </si>
  <si>
    <t>F25004DN</t>
  </si>
  <si>
    <t>DPP-55 : UF3000LX_Tokyo Seimitsu(F25007DJ)</t>
  </si>
  <si>
    <t>F25007DJ</t>
  </si>
  <si>
    <t>DPP-56 : AUTO WAFER PROBER M/C(AP#12)(F25013CJ)(2100373)</t>
  </si>
  <si>
    <t>F25013CJ</t>
  </si>
  <si>
    <t>DPP-57 : AUTO WAFER PROBER M/C(AP#14)(F25014CJ)(2100372)</t>
  </si>
  <si>
    <t>F25014CJ</t>
  </si>
  <si>
    <t>DPT-02 : TESTER_ND3(310597715)</t>
  </si>
  <si>
    <t>T6373</t>
  </si>
  <si>
    <t>DPT-03 : TESTER_ND2(310277436)</t>
  </si>
  <si>
    <t>T6372</t>
  </si>
  <si>
    <t>8"</t>
    <phoneticPr fontId="4" type="noConversion"/>
  </si>
  <si>
    <t>DPT-08 : TESTER_ST6730A(320B17001M)</t>
  </si>
  <si>
    <t>320B17001M</t>
  </si>
  <si>
    <t>DPT-13 : TESTER_ND3(310646162)</t>
  </si>
  <si>
    <t>DPT-14 : TESTER_ND3(310646163)</t>
  </si>
  <si>
    <t>DPT-15 : TESTER_ST6731A(322A27001M)</t>
  </si>
  <si>
    <t>322A27001M</t>
  </si>
  <si>
    <t>DPT-16 : TESTER_ND3(310703460)</t>
  </si>
  <si>
    <t>DPT-20 : TESTER_ND3(310653463)</t>
  </si>
  <si>
    <t>DPT-21 : TESTER_ND3(310602700)</t>
  </si>
  <si>
    <t>DPT-34 : TESTER_ND4(310745903)</t>
  </si>
  <si>
    <t>T6391</t>
  </si>
  <si>
    <r>
      <t>1</t>
    </r>
    <r>
      <rPr>
        <sz val="10"/>
        <rFont val="맑은 고딕"/>
        <family val="3"/>
        <charset val="129"/>
      </rPr>
      <t>차</t>
    </r>
  </si>
  <si>
    <r>
      <t xml:space="preserve">Enduser </t>
    </r>
    <r>
      <rPr>
        <sz val="10"/>
        <color theme="1"/>
        <rFont val="맑은 고딕"/>
        <family val="3"/>
        <charset val="129"/>
      </rPr>
      <t>중국</t>
    </r>
    <phoneticPr fontId="4" type="noConversion"/>
  </si>
  <si>
    <t>DPT-37 : TESTER_ND4(310843593)</t>
  </si>
  <si>
    <t>DPT-38 : TESTER_ND4(310940682)</t>
  </si>
  <si>
    <t>DPT-39 : TESTER_ND4(310953138)</t>
  </si>
  <si>
    <t>DPT-41 : TESTER_ND4(310953194)</t>
  </si>
  <si>
    <t>DPT-42 : TESTER_ND4(310953207)</t>
  </si>
  <si>
    <t>DPT-43 : TESTER_ND4(310959629)</t>
  </si>
  <si>
    <t>DPT-44 : TESTER_ND4(310973304)</t>
  </si>
  <si>
    <t>DPT-45 : TESTER_ND4(310973320)</t>
  </si>
  <si>
    <t>DPT-46 : TESTER_ND4(310911282)</t>
  </si>
  <si>
    <t>DPT-47 : TESTER_ND4(310990955)</t>
  </si>
  <si>
    <t>DPT-48 : TESTER_ND4(311002249)</t>
  </si>
  <si>
    <t>DPT-50 : TESTER_ND4(311278890)</t>
  </si>
  <si>
    <t>DPT-51 : TESTER_ND4(311278891)</t>
  </si>
  <si>
    <t>DPT-52 : TESTER_ND4(311273588)</t>
  </si>
  <si>
    <t>DPT-53 : TESTER_ND4(310993280)</t>
  </si>
  <si>
    <t>DPT-54 : LCD DRIVER TESTER T6391(ND4)(AT#139)(310919818)(2100511)</t>
  </si>
  <si>
    <t>DPT-55 : DDI TESTER T6391(ND4_C)#80(311253536)(2101134)</t>
  </si>
  <si>
    <t>DPT-56 : LCD DRIVER TESTER T6391(ND4)(AT#159)(311038548)(2100606)</t>
  </si>
  <si>
    <t>DPT-57 : LCD DRIVER TESTER T6391(ND4)(AT#165)(311044413)(2100612)</t>
  </si>
  <si>
    <t>DUV-03 : UV Eraser(AER812S)</t>
  </si>
  <si>
    <t>AER-812S</t>
  </si>
  <si>
    <t>AER812S</t>
  </si>
  <si>
    <t>CEI</t>
  </si>
  <si>
    <r>
      <rPr>
        <sz val="10"/>
        <color theme="1"/>
        <rFont val="맑은 고딕"/>
        <family val="3"/>
        <charset val="129"/>
      </rPr>
      <t>노광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식각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공정과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연계하여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포토레지스트를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제거하거나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특정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재료의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자외선으로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처리하는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phoneticPr fontId="4" type="noConversion"/>
  </si>
  <si>
    <r>
      <t>DVI-01 : P</t>
    </r>
    <r>
      <rPr>
        <sz val="10"/>
        <color theme="1"/>
        <rFont val="맑은 고딕"/>
        <family val="3"/>
        <charset val="129"/>
      </rPr>
      <t>검</t>
    </r>
    <r>
      <rPr>
        <sz val="10"/>
        <color theme="1"/>
        <rFont val="Arial"/>
        <family val="2"/>
      </rPr>
      <t xml:space="preserve"> Wafer Loader(8inch + 12inch(</t>
    </r>
    <r>
      <rPr>
        <sz val="10"/>
        <color theme="1"/>
        <rFont val="맑은 고딕"/>
        <family val="3"/>
        <charset val="129"/>
      </rPr>
      <t>겸용</t>
    </r>
    <r>
      <rPr>
        <sz val="10"/>
        <color theme="1"/>
        <rFont val="Arial"/>
        <family val="2"/>
      </rPr>
      <t>))</t>
    </r>
  </si>
  <si>
    <t>SFEM</t>
  </si>
  <si>
    <t>SFEM</t>
    <phoneticPr fontId="4" type="noConversion"/>
  </si>
  <si>
    <t>P204634</t>
  </si>
  <si>
    <t>G-ENG</t>
  </si>
  <si>
    <r>
      <rPr>
        <sz val="10"/>
        <color theme="1"/>
        <rFont val="맑은 고딕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웨이퍼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공급</t>
    </r>
    <phoneticPr fontId="4" type="noConversion"/>
  </si>
  <si>
    <t>P-VI</t>
  </si>
  <si>
    <t>PKG Test</t>
    <phoneticPr fontId="19" type="noConversion"/>
  </si>
  <si>
    <t>FT</t>
    <phoneticPr fontId="19" type="noConversion"/>
  </si>
  <si>
    <t>Final Test</t>
  </si>
  <si>
    <t>Handler(AH9610)(PFH-51) Modify</t>
  </si>
  <si>
    <t>AH9610</t>
    <phoneticPr fontId="4" type="noConversion"/>
  </si>
  <si>
    <t>Handler</t>
    <phoneticPr fontId="4" type="noConversion"/>
  </si>
  <si>
    <r>
      <rPr>
        <sz val="10"/>
        <color theme="1"/>
        <rFont val="맑은 고딕"/>
        <family val="3"/>
        <charset val="129"/>
      </rPr>
      <t>유어스</t>
    </r>
  </si>
  <si>
    <t>PGK(COF) Test Handler(FT)</t>
    <phoneticPr fontId="4" type="noConversion"/>
  </si>
  <si>
    <t>해당 가능성은 있으나 가능성 낮음</t>
    <phoneticPr fontId="4" type="noConversion"/>
  </si>
  <si>
    <t>D-FT</t>
  </si>
  <si>
    <t>MDPP-01 : PROBER_FP-2000_Tokyo Seimitsu(F26001EJ)</t>
  </si>
  <si>
    <t>FP2000</t>
  </si>
  <si>
    <t>FP2000</t>
    <phoneticPr fontId="4" type="noConversion"/>
  </si>
  <si>
    <t>F26001EJ</t>
  </si>
  <si>
    <t>M-PT</t>
  </si>
  <si>
    <t>MDPP-02 : PROBER_FP-2000_Tokyo Seimitsu(F26001CV)</t>
  </si>
  <si>
    <t>FP-2000</t>
  </si>
  <si>
    <t>F26001CV</t>
  </si>
  <si>
    <t>PAV-01</t>
  </si>
  <si>
    <t>LISA-60B</t>
  </si>
  <si>
    <t>AVI</t>
    <phoneticPr fontId="4" type="noConversion"/>
  </si>
  <si>
    <t>SW1105-01</t>
  </si>
  <si>
    <t>A-TEK</t>
  </si>
  <si>
    <t>PKG(COF)외관 검사 장비</t>
    <phoneticPr fontId="4" type="noConversion"/>
  </si>
  <si>
    <t>PAV-02</t>
  </si>
  <si>
    <t>SW1105-02</t>
  </si>
  <si>
    <t>PAV-03</t>
  </si>
  <si>
    <t>SW1105-03</t>
  </si>
  <si>
    <t>PAV-04</t>
  </si>
  <si>
    <t>SW1105-04</t>
  </si>
  <si>
    <t>PAV-05</t>
  </si>
  <si>
    <t>SW1105-05</t>
  </si>
  <si>
    <t>PAV-06</t>
  </si>
  <si>
    <t>SW1105-06</t>
  </si>
  <si>
    <t>PAV-07</t>
  </si>
  <si>
    <t>SW1105-07</t>
  </si>
  <si>
    <t>PAV-08</t>
  </si>
  <si>
    <t>SW1105-08</t>
  </si>
  <si>
    <t>PAV-09</t>
  </si>
  <si>
    <t>SW1105-09</t>
  </si>
  <si>
    <t>PAV-10</t>
  </si>
  <si>
    <t>SW1105-10</t>
  </si>
  <si>
    <t>PAV-11</t>
  </si>
  <si>
    <t>SW1105-11</t>
  </si>
  <si>
    <t>PAV-12</t>
  </si>
  <si>
    <t>SW1105-12</t>
  </si>
  <si>
    <t>PAV-13</t>
  </si>
  <si>
    <t>SW1105-13</t>
  </si>
  <si>
    <t>PAV-14</t>
  </si>
  <si>
    <t>SW1105-14</t>
    <phoneticPr fontId="4" type="noConversion"/>
  </si>
  <si>
    <t>PAV-15 (Used)</t>
  </si>
  <si>
    <t>SW1105-15</t>
    <phoneticPr fontId="4" type="noConversion"/>
  </si>
  <si>
    <t>PAV-16 (Used)</t>
  </si>
  <si>
    <t>SW1105-16</t>
    <phoneticPr fontId="4" type="noConversion"/>
  </si>
  <si>
    <r>
      <t>PAV-18(</t>
    </r>
    <r>
      <rPr>
        <sz val="10"/>
        <color theme="1"/>
        <rFont val="맑은 고딕"/>
        <family val="3"/>
        <charset val="129"/>
      </rPr>
      <t>아텍</t>
    </r>
    <r>
      <rPr>
        <sz val="10"/>
        <color theme="1"/>
        <rFont val="Arial"/>
        <family val="2"/>
      </rPr>
      <t>)</t>
    </r>
  </si>
  <si>
    <t>LISA-60C</t>
  </si>
  <si>
    <t>SW1105-18</t>
    <phoneticPr fontId="4" type="noConversion"/>
  </si>
  <si>
    <r>
      <t>PAV-19(</t>
    </r>
    <r>
      <rPr>
        <sz val="10"/>
        <color theme="1"/>
        <rFont val="맑은 고딕"/>
        <family val="3"/>
        <charset val="129"/>
      </rPr>
      <t>아텍</t>
    </r>
    <r>
      <rPr>
        <sz val="10"/>
        <color theme="1"/>
        <rFont val="Arial"/>
        <family val="2"/>
      </rPr>
      <t>)</t>
    </r>
  </si>
  <si>
    <t>SW1105-19</t>
    <phoneticPr fontId="4" type="noConversion"/>
  </si>
  <si>
    <r>
      <t>PAV-20(</t>
    </r>
    <r>
      <rPr>
        <sz val="10"/>
        <color theme="1"/>
        <rFont val="맑은 고딕"/>
        <family val="3"/>
        <charset val="129"/>
      </rPr>
      <t>아텍</t>
    </r>
    <r>
      <rPr>
        <sz val="10"/>
        <color theme="1"/>
        <rFont val="Arial"/>
        <family val="2"/>
      </rPr>
      <t>)</t>
    </r>
  </si>
  <si>
    <t>SW1105-20</t>
    <phoneticPr fontId="4" type="noConversion"/>
  </si>
  <si>
    <r>
      <t>PAV-21(</t>
    </r>
    <r>
      <rPr>
        <sz val="10"/>
        <color theme="1"/>
        <rFont val="맑은 고딕"/>
        <family val="3"/>
        <charset val="129"/>
      </rPr>
      <t>아텍</t>
    </r>
    <r>
      <rPr>
        <sz val="10"/>
        <color theme="1"/>
        <rFont val="Arial"/>
        <family val="2"/>
      </rPr>
      <t>)</t>
    </r>
  </si>
  <si>
    <t>SW1105-21</t>
    <phoneticPr fontId="4" type="noConversion"/>
  </si>
  <si>
    <r>
      <t>PAV-22(</t>
    </r>
    <r>
      <rPr>
        <sz val="10"/>
        <color theme="1"/>
        <rFont val="맑은 고딕"/>
        <family val="3"/>
        <charset val="129"/>
      </rPr>
      <t>아텍</t>
    </r>
    <r>
      <rPr>
        <sz val="10"/>
        <color theme="1"/>
        <rFont val="Arial"/>
        <family val="2"/>
      </rPr>
      <t>)</t>
    </r>
  </si>
  <si>
    <t>SW1105-22</t>
    <phoneticPr fontId="4" type="noConversion"/>
  </si>
  <si>
    <r>
      <t>PAV-23(</t>
    </r>
    <r>
      <rPr>
        <sz val="10"/>
        <color theme="1"/>
        <rFont val="맑은 고딕"/>
        <family val="3"/>
        <charset val="129"/>
      </rPr>
      <t>아텍</t>
    </r>
    <r>
      <rPr>
        <sz val="10"/>
        <color theme="1"/>
        <rFont val="Arial"/>
        <family val="2"/>
      </rPr>
      <t>)</t>
    </r>
  </si>
  <si>
    <t>SW1105-23</t>
    <phoneticPr fontId="4" type="noConversion"/>
  </si>
  <si>
    <r>
      <t>PAV-24(</t>
    </r>
    <r>
      <rPr>
        <sz val="10"/>
        <color theme="1"/>
        <rFont val="맑은 고딕"/>
        <family val="3"/>
        <charset val="129"/>
      </rPr>
      <t>아텍</t>
    </r>
    <r>
      <rPr>
        <sz val="10"/>
        <color theme="1"/>
        <rFont val="Arial"/>
        <family val="2"/>
      </rPr>
      <t>)</t>
    </r>
  </si>
  <si>
    <t>SW1105-24</t>
    <phoneticPr fontId="4" type="noConversion"/>
  </si>
  <si>
    <r>
      <t>PAV-25(</t>
    </r>
    <r>
      <rPr>
        <sz val="10"/>
        <color theme="1"/>
        <rFont val="맑은 고딕"/>
        <family val="3"/>
        <charset val="129"/>
      </rPr>
      <t>아텍</t>
    </r>
    <r>
      <rPr>
        <sz val="10"/>
        <color theme="1"/>
        <rFont val="Arial"/>
        <family val="2"/>
      </rPr>
      <t>)</t>
    </r>
  </si>
  <si>
    <t>SW1105-25</t>
    <phoneticPr fontId="4" type="noConversion"/>
  </si>
  <si>
    <r>
      <t>PAV-26(</t>
    </r>
    <r>
      <rPr>
        <sz val="10"/>
        <color theme="1"/>
        <rFont val="맑은 고딕"/>
        <family val="3"/>
        <charset val="129"/>
      </rPr>
      <t>아텍</t>
    </r>
    <r>
      <rPr>
        <sz val="10"/>
        <color theme="1"/>
        <rFont val="Arial"/>
        <family val="2"/>
      </rPr>
      <t>)</t>
    </r>
  </si>
  <si>
    <t>SW1105-26</t>
    <phoneticPr fontId="4" type="noConversion"/>
  </si>
  <si>
    <r>
      <t>PAV-27(</t>
    </r>
    <r>
      <rPr>
        <sz val="10"/>
        <color theme="1"/>
        <rFont val="맑은 고딕"/>
        <family val="3"/>
        <charset val="129"/>
      </rPr>
      <t>아텍</t>
    </r>
    <r>
      <rPr>
        <sz val="10"/>
        <color theme="1"/>
        <rFont val="Arial"/>
        <family val="2"/>
      </rPr>
      <t>)</t>
    </r>
  </si>
  <si>
    <t>SW1105-27</t>
    <phoneticPr fontId="4" type="noConversion"/>
  </si>
  <si>
    <r>
      <t>PAV-28(</t>
    </r>
    <r>
      <rPr>
        <sz val="10"/>
        <color theme="1"/>
        <rFont val="맑은 고딕"/>
        <family val="3"/>
        <charset val="129"/>
      </rPr>
      <t>아텍</t>
    </r>
    <r>
      <rPr>
        <sz val="10"/>
        <color theme="1"/>
        <rFont val="Arial"/>
        <family val="2"/>
      </rPr>
      <t>)</t>
    </r>
  </si>
  <si>
    <t>SW1105-28</t>
    <phoneticPr fontId="4" type="noConversion"/>
  </si>
  <si>
    <t>PFH-05 : HANDLER(T530)(TNP)</t>
  </si>
  <si>
    <t>T530</t>
  </si>
  <si>
    <t>T530</t>
    <phoneticPr fontId="4" type="noConversion"/>
  </si>
  <si>
    <t>TS670</t>
  </si>
  <si>
    <t>TNP Solution</t>
  </si>
  <si>
    <t>PKG(COF)Tester</t>
    <phoneticPr fontId="4" type="noConversion"/>
  </si>
  <si>
    <t>COF PKG Test</t>
    <phoneticPr fontId="4" type="noConversion"/>
  </si>
  <si>
    <r>
      <t>PFH-100 : ND4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</si>
  <si>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t>YM6401</t>
  </si>
  <si>
    <r>
      <t>PFH-101 :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</si>
  <si>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PFH-102 :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</si>
  <si>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PFH-103 :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</si>
  <si>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t>PFH-11 : ND3 Handler(YM630M)</t>
  </si>
  <si>
    <t>YM630M</t>
  </si>
  <si>
    <r>
      <t>PFH-21 : ND2 Handler(YM630)(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</si>
  <si>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t>YM630</t>
  </si>
  <si>
    <r>
      <t>PFH-24 : ND2 Handler(YM630)(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</si>
  <si>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t>YM631</t>
  </si>
  <si>
    <r>
      <t>PFH-27 : ND2 Handler(YM630)(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</si>
  <si>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t>YM632</t>
  </si>
  <si>
    <t>PFH-28 : ND2 Handler(YM630M)</t>
  </si>
  <si>
    <t>PFH-29 : YM630_TNP</t>
  </si>
  <si>
    <t>PFH-30 : HANDLER(YM630)(YOKOGAWA)</t>
  </si>
  <si>
    <t>PFH-33 : AH9610_YOKOGAWA</t>
  </si>
  <si>
    <t>AH9610</t>
  </si>
  <si>
    <r>
      <t>PFH-34 : HS800S_</t>
    </r>
    <r>
      <rPr>
        <sz val="10"/>
        <color theme="1"/>
        <rFont val="맑은 고딕"/>
        <family val="3"/>
        <charset val="129"/>
      </rPr>
      <t>사람과기술</t>
    </r>
  </si>
  <si>
    <t>HS800S</t>
  </si>
  <si>
    <t>PNT Solution</t>
  </si>
  <si>
    <r>
      <t>PFH-35 : YM630_</t>
    </r>
    <r>
      <rPr>
        <sz val="10"/>
        <color theme="1"/>
        <rFont val="맑은 고딕"/>
        <family val="3"/>
        <charset val="129"/>
      </rPr>
      <t>사람과기술</t>
    </r>
  </si>
  <si>
    <t>PFH-36 : YM630_TNP</t>
  </si>
  <si>
    <t>PFH-37 : YM630_TNP</t>
  </si>
  <si>
    <t>PFH-38 : YM630_TNP</t>
  </si>
  <si>
    <t>PFH-39 : YM630_TNP</t>
  </si>
  <si>
    <t>PFH-40 : YM630_TNP</t>
  </si>
  <si>
    <r>
      <t>PFH-41 : HS800S_</t>
    </r>
    <r>
      <rPr>
        <sz val="10"/>
        <color theme="1"/>
        <rFont val="맑은 고딕"/>
        <family val="3"/>
        <charset val="129"/>
      </rPr>
      <t>사람과기술</t>
    </r>
  </si>
  <si>
    <r>
      <t>PFH-42 : YM630_</t>
    </r>
    <r>
      <rPr>
        <sz val="10"/>
        <color theme="1"/>
        <rFont val="맑은 고딕"/>
        <family val="3"/>
        <charset val="129"/>
      </rPr>
      <t>사람과기술</t>
    </r>
  </si>
  <si>
    <t>PFH-43 : YM630_TNP</t>
  </si>
  <si>
    <t>PFH-44 : YM630_TNP(YM630)</t>
  </si>
  <si>
    <t>PFH-45 : YM630_TNP</t>
  </si>
  <si>
    <r>
      <t>PFH-54 : S230</t>
    </r>
    <r>
      <rPr>
        <sz val="10"/>
        <color theme="1"/>
        <rFont val="맑은 고딕"/>
        <family val="3"/>
        <charset val="129"/>
      </rPr>
      <t>用</t>
    </r>
    <r>
      <rPr>
        <sz val="10"/>
        <color theme="1"/>
        <rFont val="Arial"/>
        <family val="2"/>
      </rPr>
      <t xml:space="preserve"> Handler </t>
    </r>
    <r>
      <rPr>
        <sz val="10"/>
        <color theme="1"/>
        <rFont val="맑은 고딕"/>
        <family val="3"/>
        <charset val="129"/>
      </rPr>
      <t>개조</t>
    </r>
    <r>
      <rPr>
        <sz val="10"/>
        <color theme="1"/>
        <rFont val="Arial"/>
        <family val="2"/>
      </rPr>
      <t xml:space="preserve"> T6373(ND3)(HS800MS)</t>
    </r>
  </si>
  <si>
    <t>HS800M</t>
  </si>
  <si>
    <r>
      <t>PFH-55 : S230</t>
    </r>
    <r>
      <rPr>
        <sz val="10"/>
        <color theme="1"/>
        <rFont val="맑은 고딕"/>
        <family val="3"/>
        <charset val="129"/>
      </rPr>
      <t>用</t>
    </r>
    <r>
      <rPr>
        <sz val="10"/>
        <color theme="1"/>
        <rFont val="Arial"/>
        <family val="2"/>
      </rPr>
      <t xml:space="preserve"> Handler </t>
    </r>
    <r>
      <rPr>
        <sz val="10"/>
        <color theme="1"/>
        <rFont val="맑은 고딕"/>
        <family val="3"/>
        <charset val="129"/>
      </rPr>
      <t>개조</t>
    </r>
    <r>
      <rPr>
        <sz val="10"/>
        <color theme="1"/>
        <rFont val="Arial"/>
        <family val="2"/>
      </rPr>
      <t xml:space="preserve"> T6373(ND3)(HS800MS)</t>
    </r>
  </si>
  <si>
    <r>
      <t>PFH-56 : ND4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</si>
  <si>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t>PFH-57 : HANDLER(YM630)(TNP)</t>
  </si>
  <si>
    <t>PFH-58 : YM630_TNP</t>
  </si>
  <si>
    <r>
      <t>PFH-61 : HS800S_</t>
    </r>
    <r>
      <rPr>
        <sz val="10"/>
        <color theme="1"/>
        <rFont val="맑은 고딕"/>
        <family val="3"/>
        <charset val="129"/>
      </rPr>
      <t>사람과기술</t>
    </r>
  </si>
  <si>
    <r>
      <t>PFH-62 : HS800S_</t>
    </r>
    <r>
      <rPr>
        <sz val="10"/>
        <color theme="1"/>
        <rFont val="맑은 고딕"/>
        <family val="3"/>
        <charset val="129"/>
      </rPr>
      <t>사람과기술</t>
    </r>
  </si>
  <si>
    <r>
      <t>PFH-63 : ND3 Handler(YM630)(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)(Used)</t>
    </r>
  </si>
  <si>
    <r>
      <t>PFH-64 : HS800S_</t>
    </r>
    <r>
      <rPr>
        <sz val="10"/>
        <color theme="1"/>
        <rFont val="맑은 고딕"/>
        <family val="3"/>
        <charset val="129"/>
      </rPr>
      <t>사람과기술</t>
    </r>
  </si>
  <si>
    <r>
      <rPr>
        <sz val="10"/>
        <color theme="1"/>
        <rFont val="맑은 고딕"/>
        <family val="3"/>
        <charset val="129"/>
      </rPr>
      <t>사람과기술</t>
    </r>
  </si>
  <si>
    <r>
      <t>PFH-65 : ND4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</si>
  <si>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PFH-66 : ND4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</si>
  <si>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PFH-67 : Handler(YM630V)(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</si>
  <si>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t>YM630V</t>
  </si>
  <si>
    <r>
      <t>PFH-68 : ND4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</si>
  <si>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PFH-69 : ND4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</si>
  <si>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PFH-70 : ND4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</si>
  <si>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PFH-71 : ND4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</si>
  <si>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PFH-72 : ND4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</si>
  <si>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 xml:space="preserve">PFH-73 : ND3/ND4 </t>
    </r>
    <r>
      <rPr>
        <sz val="10"/>
        <color theme="1"/>
        <rFont val="맑은 고딕"/>
        <family val="3"/>
        <charset val="129"/>
      </rPr>
      <t>겸용</t>
    </r>
    <r>
      <rPr>
        <sz val="10"/>
        <color theme="1"/>
        <rFont val="Arial"/>
        <family val="2"/>
      </rPr>
      <t xml:space="preserve">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</si>
  <si>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PFH-74 : ND3 Handler(YM630)(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</si>
  <si>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PFH-75 : HS800S_</t>
    </r>
    <r>
      <rPr>
        <sz val="10"/>
        <color theme="1"/>
        <rFont val="맑은 고딕"/>
        <family val="3"/>
        <charset val="129"/>
      </rPr>
      <t>사람과기술</t>
    </r>
  </si>
  <si>
    <r>
      <t>PFH-76 : HS800S_</t>
    </r>
    <r>
      <rPr>
        <sz val="10"/>
        <color theme="1"/>
        <rFont val="맑은 고딕"/>
        <family val="3"/>
        <charset val="129"/>
      </rPr>
      <t>사람과기술</t>
    </r>
  </si>
  <si>
    <r>
      <t xml:space="preserve">PFH-77 : ND3/ND4 </t>
    </r>
    <r>
      <rPr>
        <sz val="10"/>
        <color theme="1"/>
        <rFont val="맑은 고딕"/>
        <family val="3"/>
        <charset val="129"/>
      </rPr>
      <t>겸용</t>
    </r>
    <r>
      <rPr>
        <sz val="10"/>
        <color theme="1"/>
        <rFont val="Arial"/>
        <family val="2"/>
      </rPr>
      <t xml:space="preserve">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</si>
  <si>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PFH-78 : Handler(YM630V)(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</si>
  <si>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PFH-79 : Handler(YM630V)(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</si>
  <si>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PFH-80 : ND3 Handler(YM630)(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</si>
  <si>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PFH-81 : Handler(YM630V)(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</si>
  <si>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PFH-82 :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</si>
  <si>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PFH-83 :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</si>
  <si>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PFH-84 :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</si>
  <si>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PFH-86 :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</si>
  <si>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 xml:space="preserve">PFH-87 : ND3/ND4 </t>
    </r>
    <r>
      <rPr>
        <sz val="10"/>
        <color theme="1"/>
        <rFont val="맑은 고딕"/>
        <family val="3"/>
        <charset val="129"/>
      </rPr>
      <t>겸용</t>
    </r>
    <r>
      <rPr>
        <sz val="10"/>
        <color theme="1"/>
        <rFont val="Arial"/>
        <family val="2"/>
      </rPr>
      <t>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</si>
  <si>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 xml:space="preserve">PFH-88 : ND3/ND4 </t>
    </r>
    <r>
      <rPr>
        <sz val="10"/>
        <color theme="1"/>
        <rFont val="맑은 고딕"/>
        <family val="3"/>
        <charset val="129"/>
      </rPr>
      <t>겸용</t>
    </r>
    <r>
      <rPr>
        <sz val="10"/>
        <color theme="1"/>
        <rFont val="Arial"/>
        <family val="2"/>
      </rPr>
      <t>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</si>
  <si>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PFH-89 :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</si>
  <si>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PFH-90 :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</si>
  <si>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PFH-91 :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</si>
  <si>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PFH-92 :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</si>
  <si>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PFH-93 :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</si>
  <si>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PFH-94 :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</si>
  <si>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 xml:space="preserve">PFH-95 : ND3/ND4 </t>
    </r>
    <r>
      <rPr>
        <sz val="10"/>
        <color theme="1"/>
        <rFont val="맑은 고딕"/>
        <family val="3"/>
        <charset val="129"/>
      </rPr>
      <t>겸용</t>
    </r>
    <r>
      <rPr>
        <sz val="10"/>
        <color theme="1"/>
        <rFont val="Arial"/>
        <family val="2"/>
      </rPr>
      <t xml:space="preserve">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</si>
  <si>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PFH-96 :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</si>
  <si>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>PFH-97 :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</si>
  <si>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 xml:space="preserve">PFH-98 : ND3/ND4 </t>
    </r>
    <r>
      <rPr>
        <sz val="10"/>
        <color theme="1"/>
        <rFont val="맑은 고딕"/>
        <family val="3"/>
        <charset val="129"/>
      </rPr>
      <t>겸용</t>
    </r>
    <r>
      <rPr>
        <sz val="10"/>
        <color theme="1"/>
        <rFont val="Arial"/>
        <family val="2"/>
      </rPr>
      <t xml:space="preserve">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</si>
  <si>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r>
      <t xml:space="preserve">PFH-99 : ND3/ND4 </t>
    </r>
    <r>
      <rPr>
        <sz val="10"/>
        <color theme="1"/>
        <rFont val="맑은 고딕"/>
        <family val="3"/>
        <charset val="129"/>
      </rPr>
      <t>겸용</t>
    </r>
    <r>
      <rPr>
        <sz val="10"/>
        <color theme="1"/>
        <rFont val="Arial"/>
        <family val="2"/>
      </rPr>
      <t xml:space="preserve"> Handler(YM6401)(</t>
    </r>
    <r>
      <rPr>
        <sz val="10"/>
        <color theme="1"/>
        <rFont val="맑은 고딕"/>
        <family val="3"/>
        <charset val="129"/>
      </rPr>
      <t>유어스</t>
    </r>
    <r>
      <rPr>
        <sz val="10"/>
        <color theme="1"/>
        <rFont val="Arial"/>
        <family val="2"/>
      </rPr>
      <t>)</t>
    </r>
  </si>
  <si>
    <t>PFT(H)-51 : ND2(310299620)_Advan Tester + Handler(YM630M)(USED)</t>
  </si>
  <si>
    <t>T6372 &amp; YM630M</t>
  </si>
  <si>
    <r>
      <t xml:space="preserve">ADVANTEST + </t>
    </r>
    <r>
      <rPr>
        <sz val="10"/>
        <color theme="1"/>
        <rFont val="맑은 고딕"/>
        <family val="3"/>
        <charset val="129"/>
      </rPr>
      <t>유어스</t>
    </r>
    <phoneticPr fontId="4" type="noConversion"/>
  </si>
  <si>
    <t>PFT-05 : TESTER_TS670(325B24001M)</t>
  </si>
  <si>
    <t>325B24001M</t>
  </si>
  <si>
    <t>PFT-100 : TESTER_ND4(311273590)</t>
  </si>
  <si>
    <t>ND4</t>
    <phoneticPr fontId="4" type="noConversion"/>
  </si>
  <si>
    <t>PFT-101 : TESTER_ND4(311273591)</t>
  </si>
  <si>
    <t>PFT-102 : TESTER_ND4(311279590)</t>
  </si>
  <si>
    <t>PFT-103 : TESTER_ND4(311250979)</t>
  </si>
  <si>
    <t>PFT-11 : TESTER_ND3(310718779)</t>
  </si>
  <si>
    <t>PFT-21 : TESTER_ND2(310277435)</t>
  </si>
  <si>
    <t>PFT-24 : TESTER_ND2(310275050)</t>
  </si>
  <si>
    <t>PFT-27 : TESTER_ND2(310286543)</t>
  </si>
  <si>
    <t>PFT-28 : TESTER_ND2(310286545)</t>
  </si>
  <si>
    <t>PFT-29 : TESTER_ND3(310602700)</t>
  </si>
  <si>
    <t>PFT-30 : TESTER_ST6730(327C27001M)</t>
  </si>
  <si>
    <t>ST6730</t>
  </si>
  <si>
    <t>327C27001M</t>
  </si>
  <si>
    <t>PFT-33 : TESTER_ST6730(327J19001M)(USED)</t>
  </si>
  <si>
    <t>327J19001M</t>
  </si>
  <si>
    <t>PFT-34 : TESTER_ND3(310632439)</t>
  </si>
  <si>
    <t>ADVANTEST</t>
    <phoneticPr fontId="19" type="noConversion"/>
  </si>
  <si>
    <t>PFT-35 : TESTER_ND3(310669848)</t>
  </si>
  <si>
    <t>PFT-36 : TESTER_ND3(310646161)</t>
  </si>
  <si>
    <t>PFT-37 : TESTER_ND3(310632438)</t>
  </si>
  <si>
    <t>PFT-38 : TESTER_ND3(310458735)</t>
  </si>
  <si>
    <t>PFT-39 : TESTER_ND3(310459634)</t>
  </si>
  <si>
    <t>PFT-40 : TESTER_ND3(310459636)</t>
  </si>
  <si>
    <t>PFT-41 : TESTER_ND3(310470052)</t>
  </si>
  <si>
    <t>PFT-42 : TESTER_ND3(310470048)</t>
  </si>
  <si>
    <t>PFT-43 : TESTER_ND3(310470046)</t>
  </si>
  <si>
    <t>PFT-44 : TESTER_ND3(310470053)</t>
  </si>
  <si>
    <t>PFT-45 : TESTER_ND3(310480866)</t>
  </si>
  <si>
    <r>
      <rPr>
        <sz val="10"/>
        <color theme="1"/>
        <rFont val="맑은 고딕"/>
        <family val="3"/>
        <charset val="129"/>
      </rPr>
      <t>운휴</t>
    </r>
    <phoneticPr fontId="4" type="noConversion"/>
  </si>
  <si>
    <t>PFT-54 : TESTER_ND3(310703464)</t>
  </si>
  <si>
    <t>PFT-55 : TESTER_ND3(310703474)</t>
  </si>
  <si>
    <t>PFT-56 : TESTER_ND4(310750563)</t>
  </si>
  <si>
    <t>PFT-57 : TESTER_ND3(310584981)</t>
  </si>
  <si>
    <t>PFT-58 : TESTER_ND3(310591264)</t>
  </si>
  <si>
    <t>PFT-61 : TESTER_ND3(310653486)</t>
  </si>
  <si>
    <t>PFT-62 : TESTER_ND3(310653469)</t>
  </si>
  <si>
    <t>PFT-63 : TESTER_ND3(310672328)</t>
  </si>
  <si>
    <t>PFT-64 : TESTER_ND3(310669329)</t>
  </si>
  <si>
    <t>PFT-65 : TESTER_ND4(310872873)</t>
  </si>
  <si>
    <t>PFT-66 : TESTER_ND4(310872897)</t>
  </si>
  <si>
    <t>PFT-67 : TESTER_ND3(310703484)</t>
  </si>
  <si>
    <t>PFT-68 : TESTER_ND4(310892876)</t>
  </si>
  <si>
    <t>PFT-69 : TESTER_ND4(310892877)</t>
  </si>
  <si>
    <t>PFT-70 : TESTER_ND4(310892894)</t>
  </si>
  <si>
    <t>PFT-71 : TESTER_ND4(310899004)</t>
  </si>
  <si>
    <t>PFT-72 : TESTER_ND4(310899034)</t>
  </si>
  <si>
    <t>PFT-73 : TESTER_ND3(310663974)</t>
  </si>
  <si>
    <t>PFT-74 : TESTER_ND3(310633975)</t>
  </si>
  <si>
    <t>PFT-75 : TESTER_ND3(310668816)</t>
  </si>
  <si>
    <t>PFT-76 : TESTER_ND3(310663976)</t>
  </si>
  <si>
    <t>PFT-77 : TESTER_ND3(310664636)</t>
  </si>
  <si>
    <r>
      <rPr>
        <sz val="10"/>
        <color theme="1"/>
        <rFont val="맑은 고딕"/>
        <family val="3"/>
        <charset val="129"/>
      </rPr>
      <t>비가동</t>
    </r>
    <phoneticPr fontId="4" type="noConversion"/>
  </si>
  <si>
    <r>
      <t>PFT-78 : TESTER_ND3(310633692)_</t>
    </r>
    <r>
      <rPr>
        <sz val="10"/>
        <color theme="1"/>
        <rFont val="맑은 고딕"/>
        <family val="3"/>
        <charset val="129"/>
      </rPr>
      <t>개조</t>
    </r>
    <phoneticPr fontId="19" type="noConversion"/>
  </si>
  <si>
    <t>PFT-79 : TESTER_ND3(310632437)</t>
  </si>
  <si>
    <t>PFT-80 : TESTER_ND3(310633691)</t>
  </si>
  <si>
    <t>PFT-81 : TESTER_ND3(310703487)</t>
  </si>
  <si>
    <t>PFT-82 : TESTER_ND4(310993228)</t>
  </si>
  <si>
    <t>PFT-83 : TESTER_ND4(310993247)</t>
  </si>
  <si>
    <t>PFT-84 : TESTER_ND4(310993265)</t>
  </si>
  <si>
    <t>PFT-86 : TESTER_ND4(310993295)</t>
  </si>
  <si>
    <t>PFT-87 : TESTER_ND3(310703469)</t>
  </si>
  <si>
    <t>PFT-88 : TESTER_ND3(310672320)</t>
  </si>
  <si>
    <t>PFT-89 : TESTER_ND4(311069897)</t>
  </si>
  <si>
    <t>PFT-90 : TESTER_ND4(311070257)</t>
  </si>
  <si>
    <t>PFT-91 : TESTER_ND4(311070215)</t>
  </si>
  <si>
    <t>PFT-92 : TESTER_ND4(311072929)</t>
  </si>
  <si>
    <t>PFT-93 : TESTER_ND4(311081435)</t>
  </si>
  <si>
    <t>PFT-94 : TESTER_ND4(311081454)</t>
  </si>
  <si>
    <t>PFT-95 : TESTER_ND4(310953164)</t>
  </si>
  <si>
    <t>PFT-96 : TESTER_ND4(311289922)</t>
  </si>
  <si>
    <t>PFT-97 : TESTER_ND4(311299028)</t>
  </si>
  <si>
    <t>PFT-98 : TESTER_ND4(311284963)</t>
  </si>
  <si>
    <t>PFT-99 : TESTER_ND4(311282450)</t>
  </si>
  <si>
    <t>PACK</t>
  </si>
  <si>
    <r>
      <t xml:space="preserve">PPK-01 : </t>
    </r>
    <r>
      <rPr>
        <sz val="10"/>
        <color theme="1"/>
        <rFont val="맑은 고딕"/>
        <family val="3"/>
        <charset val="129"/>
      </rPr>
      <t>진공포장기</t>
    </r>
    <r>
      <rPr>
        <sz val="10"/>
        <color theme="1"/>
        <rFont val="Arial"/>
        <family val="2"/>
      </rPr>
      <t>(AZ-800ES-DKM-BG)</t>
    </r>
  </si>
  <si>
    <t>AZH-800ES-DKM-BG</t>
  </si>
  <si>
    <t>PACK</t>
    <phoneticPr fontId="4" type="noConversion"/>
  </si>
  <si>
    <t>INTRISE</t>
  </si>
  <si>
    <r>
      <rPr>
        <sz val="10"/>
        <color theme="1"/>
        <rFont val="맑은 고딕"/>
        <family val="3"/>
        <charset val="129"/>
      </rPr>
      <t>진공포장기</t>
    </r>
    <phoneticPr fontId="4" type="noConversion"/>
  </si>
  <si>
    <r>
      <rPr>
        <sz val="10"/>
        <color theme="1"/>
        <rFont val="맑은 고딕"/>
        <family val="3"/>
        <charset val="129"/>
      </rPr>
      <t>일반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산업용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기계</t>
    </r>
    <phoneticPr fontId="4" type="noConversion"/>
  </si>
  <si>
    <t>8422.30-0000</t>
    <phoneticPr fontId="4" type="noConversion"/>
  </si>
  <si>
    <t>D-PACK</t>
  </si>
  <si>
    <r>
      <t xml:space="preserve">PPK-02 : </t>
    </r>
    <r>
      <rPr>
        <sz val="10"/>
        <color theme="1"/>
        <rFont val="맑은 고딕"/>
        <family val="3"/>
        <charset val="129"/>
      </rPr>
      <t>진공포장기</t>
    </r>
    <r>
      <rPr>
        <sz val="10"/>
        <color theme="1"/>
        <rFont val="Arial"/>
        <family val="2"/>
      </rPr>
      <t>(AZ-800ES-DKM-BG)</t>
    </r>
  </si>
  <si>
    <r>
      <t xml:space="preserve">PPK-03 : </t>
    </r>
    <r>
      <rPr>
        <sz val="10"/>
        <color theme="1"/>
        <rFont val="맑은 고딕"/>
        <family val="3"/>
        <charset val="129"/>
      </rPr>
      <t>진공포장기</t>
    </r>
    <r>
      <rPr>
        <sz val="10"/>
        <color theme="1"/>
        <rFont val="Arial"/>
        <family val="2"/>
      </rPr>
      <t>(AZ-800ES-DKM-BG)</t>
    </r>
  </si>
  <si>
    <r>
      <t xml:space="preserve">PPK-04 : </t>
    </r>
    <r>
      <rPr>
        <sz val="10"/>
        <color theme="1"/>
        <rFont val="맑은 고딕"/>
        <family val="3"/>
        <charset val="129"/>
      </rPr>
      <t>진공포장기</t>
    </r>
    <r>
      <rPr>
        <sz val="10"/>
        <color theme="1"/>
        <rFont val="Arial"/>
        <family val="2"/>
      </rPr>
      <t>(AZ-800ES-DKM-BG)</t>
    </r>
  </si>
  <si>
    <t>Manual Rewinder</t>
    <phoneticPr fontId="19" type="noConversion"/>
  </si>
  <si>
    <t>PTE-01 : MANUAL REWINDER</t>
  </si>
  <si>
    <t>WPI-4000</t>
  </si>
  <si>
    <t>Rewinder</t>
    <phoneticPr fontId="4" type="noConversion"/>
  </si>
  <si>
    <r>
      <rPr>
        <sz val="10"/>
        <color theme="1"/>
        <rFont val="맑은 고딕"/>
        <family val="3"/>
        <charset val="129"/>
      </rPr>
      <t>릴</t>
    </r>
    <r>
      <rPr>
        <sz val="10"/>
        <color theme="1"/>
        <rFont val="Arial"/>
        <family val="2"/>
      </rPr>
      <t xml:space="preserve">(Reel) </t>
    </r>
    <r>
      <rPr>
        <sz val="10"/>
        <color theme="1"/>
        <rFont val="맑은 고딕"/>
        <family val="3"/>
        <charset val="129"/>
      </rPr>
      <t>자재를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풀어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검사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>재정렬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권취</t>
    </r>
    <r>
      <rPr>
        <sz val="10"/>
        <color theme="1"/>
        <rFont val="Arial"/>
        <family val="2"/>
      </rPr>
      <t>(Rewinding)</t>
    </r>
    <phoneticPr fontId="4" type="noConversion"/>
  </si>
  <si>
    <t>PTE-02 : MANUAL REWINDER</t>
  </si>
  <si>
    <t>PTE-03 : MANUAL REWINDER(WPI-4000)</t>
  </si>
  <si>
    <t>PTE-04 : MANUAL REWINDER(WPI-4000)</t>
  </si>
  <si>
    <t>PTE-05 : MANUAL REWINDER</t>
  </si>
  <si>
    <t>PTE-06 : MANUAL REWINDER</t>
  </si>
  <si>
    <t>PTE-07 : MANUAL REWINDER</t>
  </si>
  <si>
    <t>PTE-08 : MANUAL REWINDER</t>
  </si>
  <si>
    <t>PTE-09 : MANUAL REWINDER</t>
  </si>
  <si>
    <t>PVI-01</t>
  </si>
  <si>
    <t>PVI</t>
    <phoneticPr fontId="4" type="noConversion"/>
  </si>
  <si>
    <t>SWT-LS001</t>
  </si>
  <si>
    <r>
      <rPr>
        <sz val="10"/>
        <rFont val="맑은 고딕"/>
        <family val="3"/>
        <charset val="129"/>
      </rPr>
      <t>서우테크</t>
    </r>
  </si>
  <si>
    <r>
      <rPr>
        <sz val="10"/>
        <color rgb="FF0070C0"/>
        <rFont val="맑은 고딕"/>
        <family val="3"/>
        <charset val="129"/>
      </rPr>
      <t>자사</t>
    </r>
  </si>
  <si>
    <r>
      <rPr>
        <sz val="10"/>
        <color rgb="FF0070C0"/>
        <rFont val="맑은 고딕"/>
        <family val="3"/>
        <charset val="129"/>
      </rPr>
      <t>미설정</t>
    </r>
  </si>
  <si>
    <t>PVI-03</t>
  </si>
  <si>
    <t>SWT-LS003</t>
  </si>
  <si>
    <t>PVI-07</t>
  </si>
  <si>
    <t>SWT-LS007</t>
  </si>
  <si>
    <r>
      <rPr>
        <sz val="10"/>
        <color theme="1"/>
        <rFont val="맑은 고딕"/>
        <family val="3"/>
        <charset val="129"/>
      </rPr>
      <t>성우테크론</t>
    </r>
  </si>
  <si>
    <r>
      <t>SDPP-02 : UF3000LX(Automatic Wafer Prober Machine)(ST6730A</t>
    </r>
    <r>
      <rPr>
        <sz val="10"/>
        <color theme="1"/>
        <rFont val="맑은 고딕"/>
        <family val="3"/>
        <charset val="129"/>
      </rPr>
      <t>용</t>
    </r>
    <r>
      <rPr>
        <sz val="10"/>
        <color theme="1"/>
        <rFont val="Arial"/>
        <family val="2"/>
      </rPr>
      <t>)</t>
    </r>
  </si>
  <si>
    <t>F25005GH</t>
  </si>
  <si>
    <t>S-P-PT</t>
  </si>
  <si>
    <t>SDPP-03 : PROBER_Tokyo Semitsu(UF3000LX)</t>
  </si>
  <si>
    <t>F25002EV</t>
  </si>
  <si>
    <r>
      <t>SDPP-05 : PROBER_OPUS3_</t>
    </r>
    <r>
      <rPr>
        <sz val="10"/>
        <rFont val="맑은 고딕"/>
        <family val="3"/>
        <charset val="129"/>
      </rPr>
      <t>쎄믹스</t>
    </r>
    <r>
      <rPr>
        <sz val="10"/>
        <rFont val="Arial"/>
        <family val="2"/>
      </rPr>
      <t xml:space="preserve"> (Used)(</t>
    </r>
    <r>
      <rPr>
        <sz val="10"/>
        <rFont val="맑은 고딕"/>
        <family val="3"/>
        <charset val="129"/>
      </rPr>
      <t>구</t>
    </r>
    <r>
      <rPr>
        <sz val="10"/>
        <rFont val="Arial"/>
        <family val="2"/>
      </rPr>
      <t>DPP-15)</t>
    </r>
  </si>
  <si>
    <r>
      <rPr>
        <sz val="10"/>
        <rFont val="맑은 고딕"/>
        <family val="3"/>
        <charset val="129"/>
      </rPr>
      <t>운휴</t>
    </r>
  </si>
  <si>
    <r>
      <rPr>
        <sz val="10"/>
        <rFont val="맑은 고딕"/>
        <family val="3"/>
        <charset val="129"/>
      </rPr>
      <t>한국</t>
    </r>
    <phoneticPr fontId="4" type="noConversion"/>
  </si>
  <si>
    <r>
      <rPr>
        <sz val="10"/>
        <rFont val="맑은 고딕"/>
        <family val="3"/>
        <charset val="129"/>
      </rPr>
      <t>미설정</t>
    </r>
  </si>
  <si>
    <t>SDPP-06 : PROBER_Tokyo Semitsu(UF3000LX)</t>
  </si>
  <si>
    <t>F25005EH</t>
  </si>
  <si>
    <t>Common</t>
    <phoneticPr fontId="4" type="noConversion"/>
  </si>
  <si>
    <r>
      <rPr>
        <sz val="9"/>
        <color theme="1"/>
        <rFont val="맑은 고딕"/>
        <family val="3"/>
        <charset val="129"/>
      </rPr>
      <t>인허가</t>
    </r>
    <r>
      <rPr>
        <sz val="9"/>
        <color theme="1"/>
        <rFont val="Arial"/>
        <family val="2"/>
      </rPr>
      <t xml:space="preserve"> </t>
    </r>
    <phoneticPr fontId="4" type="noConversion"/>
  </si>
  <si>
    <r>
      <t>1</t>
    </r>
    <r>
      <rPr>
        <sz val="11"/>
        <color theme="1"/>
        <rFont val="맑은 고딕"/>
        <family val="3"/>
        <charset val="129"/>
      </rPr>
      <t>차</t>
    </r>
    <phoneticPr fontId="4" type="noConversion"/>
  </si>
  <si>
    <r>
      <t>1</t>
    </r>
    <r>
      <rPr>
        <sz val="11"/>
        <color theme="1"/>
        <rFont val="맑은 고딕"/>
        <family val="3"/>
        <charset val="129"/>
      </rPr>
      <t>차</t>
    </r>
  </si>
  <si>
    <r>
      <rPr>
        <sz val="10"/>
        <color theme="1"/>
        <rFont val="맑은 고딕"/>
        <family val="3"/>
        <charset val="129"/>
      </rPr>
      <t>기타</t>
    </r>
    <phoneticPr fontId="4" type="noConversion"/>
  </si>
  <si>
    <r>
      <rPr>
        <sz val="11"/>
        <color theme="1"/>
        <rFont val="맑은 고딕"/>
        <family val="3"/>
        <charset val="129"/>
      </rPr>
      <t>건설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기타</t>
    </r>
    <phoneticPr fontId="4" type="noConversion"/>
  </si>
  <si>
    <r>
      <rPr>
        <sz val="9"/>
        <color theme="1"/>
        <rFont val="맑은 고딕"/>
        <family val="3"/>
        <charset val="129"/>
      </rPr>
      <t>근무환경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조성용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비품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에어컨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3"/>
        <charset val="129"/>
      </rPr>
      <t>책상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등</t>
    </r>
    <r>
      <rPr>
        <sz val="9"/>
        <color theme="1"/>
        <rFont val="Arial"/>
        <family val="2"/>
      </rPr>
      <t>) 1</t>
    </r>
    <r>
      <rPr>
        <sz val="9"/>
        <color theme="1"/>
        <rFont val="맑은 고딕"/>
        <family val="3"/>
        <charset val="129"/>
      </rPr>
      <t>차</t>
    </r>
    <phoneticPr fontId="4" type="noConversion"/>
  </si>
  <si>
    <r>
      <rPr>
        <sz val="9"/>
        <color theme="1"/>
        <rFont val="맑은 고딕"/>
        <family val="3"/>
        <charset val="129"/>
      </rPr>
      <t>근무환경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조성용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비품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에어컨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3"/>
        <charset val="129"/>
      </rPr>
      <t>책상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등</t>
    </r>
    <r>
      <rPr>
        <sz val="9"/>
        <color theme="1"/>
        <rFont val="Arial"/>
        <family val="2"/>
      </rPr>
      <t>) 2</t>
    </r>
    <r>
      <rPr>
        <sz val="9"/>
        <color theme="1"/>
        <rFont val="맑은 고딕"/>
        <family val="3"/>
        <charset val="129"/>
      </rPr>
      <t>차</t>
    </r>
    <phoneticPr fontId="4" type="noConversion"/>
  </si>
  <si>
    <r>
      <rPr>
        <sz val="9"/>
        <color theme="1"/>
        <rFont val="맑은 고딕"/>
        <family val="3"/>
        <charset val="129"/>
      </rPr>
      <t>층별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공용면적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회의실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3"/>
        <charset val="129"/>
      </rPr>
      <t>화장실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3"/>
        <charset val="129"/>
      </rPr>
      <t>휴게실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등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3"/>
        <charset val="129"/>
      </rPr>
      <t>보수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3"/>
        <charset val="129"/>
      </rPr>
      <t>사무공간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레이아웃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3"/>
        <charset val="129"/>
      </rPr>
      <t>물리보안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등</t>
    </r>
  </si>
  <si>
    <r>
      <rPr>
        <sz val="9"/>
        <color theme="1"/>
        <rFont val="맑은 고딕"/>
        <family val="3"/>
        <charset val="129"/>
      </rPr>
      <t>식당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리모델링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공사</t>
    </r>
    <r>
      <rPr>
        <sz val="9"/>
        <color theme="1"/>
        <rFont val="Arial"/>
        <family val="2"/>
      </rPr>
      <t xml:space="preserve"> (200</t>
    </r>
    <r>
      <rPr>
        <sz val="9"/>
        <color theme="1"/>
        <rFont val="맑은 고딕"/>
        <family val="3"/>
        <charset val="129"/>
      </rPr>
      <t>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규모</t>
    </r>
    <r>
      <rPr>
        <sz val="9"/>
        <color theme="1"/>
        <rFont val="Arial"/>
        <family val="2"/>
      </rPr>
      <t>, 280</t>
    </r>
    <r>
      <rPr>
        <sz val="9"/>
        <color theme="1"/>
        <rFont val="맑은 고딕"/>
        <family val="3"/>
        <charset val="129"/>
      </rPr>
      <t>평</t>
    </r>
    <r>
      <rPr>
        <sz val="9"/>
        <color theme="1"/>
        <rFont val="Arial"/>
        <family val="2"/>
      </rPr>
      <t>)</t>
    </r>
    <phoneticPr fontId="19" type="noConversion"/>
  </si>
  <si>
    <r>
      <rPr>
        <sz val="9"/>
        <color theme="1"/>
        <rFont val="맑은 고딕"/>
        <family val="3"/>
        <charset val="129"/>
      </rPr>
      <t>클린룸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공사</t>
    </r>
    <r>
      <rPr>
        <sz val="9"/>
        <color theme="1"/>
        <rFont val="Arial"/>
        <family val="2"/>
      </rPr>
      <t>_1,000class zone COG 150</t>
    </r>
    <r>
      <rPr>
        <sz val="9"/>
        <color theme="1"/>
        <rFont val="맑은 고딕"/>
        <family val="3"/>
        <charset val="129"/>
      </rPr>
      <t>평</t>
    </r>
    <r>
      <rPr>
        <sz val="9"/>
        <color theme="1"/>
        <rFont val="Arial"/>
        <family val="2"/>
      </rPr>
      <t xml:space="preserve"> (CR+UT)</t>
    </r>
    <phoneticPr fontId="4" type="noConversion"/>
  </si>
  <si>
    <t>CR</t>
    <phoneticPr fontId="4" type="noConversion"/>
  </si>
  <si>
    <r>
      <t>2</t>
    </r>
    <r>
      <rPr>
        <sz val="11"/>
        <color theme="1"/>
        <rFont val="Arial Unicode MS"/>
        <family val="2"/>
        <charset val="129"/>
      </rPr>
      <t>차</t>
    </r>
    <phoneticPr fontId="4" type="noConversion"/>
  </si>
  <si>
    <t>COF</t>
    <phoneticPr fontId="4" type="noConversion"/>
  </si>
  <si>
    <r>
      <rPr>
        <sz val="9"/>
        <color theme="1"/>
        <rFont val="맑은 고딕"/>
        <family val="3"/>
        <charset val="129"/>
      </rPr>
      <t>클린룸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공사</t>
    </r>
    <r>
      <rPr>
        <sz val="9"/>
        <color theme="1"/>
        <rFont val="Arial"/>
        <family val="2"/>
      </rPr>
      <t>_1,000class zone COF 450</t>
    </r>
    <r>
      <rPr>
        <sz val="9"/>
        <color theme="1"/>
        <rFont val="맑은 고딕"/>
        <family val="3"/>
        <charset val="129"/>
      </rPr>
      <t>평</t>
    </r>
    <r>
      <rPr>
        <sz val="9"/>
        <color theme="1"/>
        <rFont val="Arial"/>
        <family val="2"/>
      </rPr>
      <t xml:space="preserve"> (CR+UT)</t>
    </r>
    <phoneticPr fontId="4" type="noConversion"/>
  </si>
  <si>
    <r>
      <rPr>
        <sz val="9"/>
        <color theme="1"/>
        <rFont val="맑은 고딕"/>
        <family val="3"/>
        <charset val="129"/>
      </rPr>
      <t>클린룸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공사</t>
    </r>
    <r>
      <rPr>
        <sz val="9"/>
        <color theme="1"/>
        <rFont val="Arial"/>
        <family val="2"/>
      </rPr>
      <t>_1,000class zone COF 400</t>
    </r>
    <r>
      <rPr>
        <sz val="9"/>
        <color theme="1"/>
        <rFont val="맑은 고딕"/>
        <family val="3"/>
        <charset val="129"/>
      </rPr>
      <t>평</t>
    </r>
    <r>
      <rPr>
        <sz val="9"/>
        <color theme="1"/>
        <rFont val="Arial"/>
        <family val="2"/>
      </rPr>
      <t xml:space="preserve"> (CR+UT)</t>
    </r>
    <phoneticPr fontId="4" type="noConversion"/>
  </si>
  <si>
    <t>PT</t>
    <phoneticPr fontId="4" type="noConversion"/>
  </si>
  <si>
    <r>
      <rPr>
        <sz val="9"/>
        <color theme="1"/>
        <rFont val="맑은 고딕"/>
        <family val="3"/>
        <charset val="129"/>
      </rPr>
      <t>클린룸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공사</t>
    </r>
    <r>
      <rPr>
        <sz val="9"/>
        <color theme="1"/>
        <rFont val="Arial"/>
        <family val="2"/>
      </rPr>
      <t>_1,000class zone, Wafer Test 250</t>
    </r>
    <r>
      <rPr>
        <sz val="9"/>
        <color theme="1"/>
        <rFont val="맑은 고딕"/>
        <family val="3"/>
        <charset val="129"/>
      </rPr>
      <t>평</t>
    </r>
    <r>
      <rPr>
        <sz val="9"/>
        <color theme="1"/>
        <rFont val="Arial"/>
        <family val="2"/>
      </rPr>
      <t xml:space="preserve"> (CR+UT)</t>
    </r>
    <phoneticPr fontId="4" type="noConversion"/>
  </si>
  <si>
    <t>FT</t>
    <phoneticPr fontId="4" type="noConversion"/>
  </si>
  <si>
    <r>
      <rPr>
        <sz val="9"/>
        <color theme="1"/>
        <rFont val="맑은 고딕"/>
        <family val="3"/>
        <charset val="129"/>
      </rPr>
      <t>클린룸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공사</t>
    </r>
    <r>
      <rPr>
        <sz val="9"/>
        <color theme="1"/>
        <rFont val="Arial"/>
        <family val="2"/>
      </rPr>
      <t>_1,000class zone, PKG Test 150</t>
    </r>
    <r>
      <rPr>
        <sz val="9"/>
        <color theme="1"/>
        <rFont val="맑은 고딕"/>
        <family val="3"/>
        <charset val="129"/>
      </rPr>
      <t>평</t>
    </r>
    <r>
      <rPr>
        <sz val="9"/>
        <color theme="1"/>
        <rFont val="Arial"/>
        <family val="2"/>
      </rPr>
      <t xml:space="preserve"> (CR+UT)</t>
    </r>
    <phoneticPr fontId="4" type="noConversion"/>
  </si>
  <si>
    <r>
      <rPr>
        <sz val="9"/>
        <color theme="1"/>
        <rFont val="맑은 고딕"/>
        <family val="3"/>
        <charset val="129"/>
      </rPr>
      <t>클린룸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공사</t>
    </r>
    <r>
      <rPr>
        <sz val="9"/>
        <color theme="1"/>
        <rFont val="Arial"/>
        <family val="2"/>
      </rPr>
      <t>_1,000class zone, PKG Test 90</t>
    </r>
    <r>
      <rPr>
        <sz val="9"/>
        <color theme="1"/>
        <rFont val="맑은 고딕"/>
        <family val="3"/>
        <charset val="129"/>
      </rPr>
      <t>평</t>
    </r>
    <r>
      <rPr>
        <sz val="9"/>
        <color theme="1"/>
        <rFont val="Arial"/>
        <family val="2"/>
      </rPr>
      <t xml:space="preserve"> (CR+UT)</t>
    </r>
    <phoneticPr fontId="4" type="noConversion"/>
  </si>
  <si>
    <t>Au Bump</t>
    <phoneticPr fontId="4" type="noConversion"/>
  </si>
  <si>
    <r>
      <rPr>
        <sz val="9"/>
        <color theme="1"/>
        <rFont val="맑은 고딕"/>
        <family val="3"/>
        <charset val="129"/>
      </rPr>
      <t>클린룸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공사</t>
    </r>
    <r>
      <rPr>
        <sz val="9"/>
        <color theme="1"/>
        <rFont val="Arial"/>
        <family val="2"/>
      </rPr>
      <t>_100class zone, Bump 200</t>
    </r>
    <r>
      <rPr>
        <sz val="9"/>
        <color theme="1"/>
        <rFont val="맑은 고딕"/>
        <family val="3"/>
        <charset val="129"/>
      </rPr>
      <t>평</t>
    </r>
    <phoneticPr fontId="19" type="noConversion"/>
  </si>
  <si>
    <r>
      <rPr>
        <sz val="9"/>
        <color theme="1"/>
        <rFont val="맑은 고딕"/>
        <family val="3"/>
        <charset val="129"/>
      </rPr>
      <t>클린룸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공사</t>
    </r>
    <r>
      <rPr>
        <sz val="9"/>
        <color theme="1"/>
        <rFont val="Arial"/>
        <family val="2"/>
      </rPr>
      <t>_100class zone, Bump 150</t>
    </r>
    <r>
      <rPr>
        <sz val="9"/>
        <color theme="1"/>
        <rFont val="맑은 고딕"/>
        <family val="3"/>
        <charset val="129"/>
      </rPr>
      <t>평</t>
    </r>
    <phoneticPr fontId="19" type="noConversion"/>
  </si>
  <si>
    <r>
      <rPr>
        <sz val="9"/>
        <color theme="1"/>
        <rFont val="맑은 고딕"/>
        <family val="3"/>
        <charset val="129"/>
      </rPr>
      <t>클린룸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공사</t>
    </r>
    <r>
      <rPr>
        <sz val="9"/>
        <color theme="1"/>
        <rFont val="Arial"/>
        <family val="2"/>
      </rPr>
      <t>_100class zone, UT, Bump 200</t>
    </r>
    <r>
      <rPr>
        <sz val="9"/>
        <color theme="1"/>
        <rFont val="맑은 고딕"/>
        <family val="3"/>
        <charset val="129"/>
      </rPr>
      <t>평</t>
    </r>
    <phoneticPr fontId="19" type="noConversion"/>
  </si>
  <si>
    <r>
      <rPr>
        <sz val="9"/>
        <color theme="1"/>
        <rFont val="맑은 고딕"/>
        <family val="3"/>
        <charset val="129"/>
      </rPr>
      <t>클린룸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공사</t>
    </r>
    <r>
      <rPr>
        <sz val="9"/>
        <color theme="1"/>
        <rFont val="Arial"/>
        <family val="2"/>
      </rPr>
      <t>_100class zone, UT, Bump 150</t>
    </r>
    <r>
      <rPr>
        <sz val="9"/>
        <color theme="1"/>
        <rFont val="맑은 고딕"/>
        <family val="3"/>
        <charset val="129"/>
      </rPr>
      <t>평</t>
    </r>
    <phoneticPr fontId="19" type="noConversion"/>
  </si>
  <si>
    <r>
      <t xml:space="preserve">Infra </t>
    </r>
    <r>
      <rPr>
        <sz val="9"/>
        <color theme="1"/>
        <rFont val="맑은 고딕"/>
        <family val="3"/>
        <charset val="129"/>
      </rPr>
      <t>공사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폐수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처리</t>
    </r>
    <r>
      <rPr>
        <sz val="9"/>
        <color theme="1"/>
        <rFont val="Arial"/>
        <family val="2"/>
      </rPr>
      <t xml:space="preserve">, CCSS </t>
    </r>
    <r>
      <rPr>
        <sz val="9"/>
        <color theme="1"/>
        <rFont val="맑은 고딕"/>
        <family val="3"/>
        <charset val="129"/>
      </rPr>
      <t>등</t>
    </r>
    <r>
      <rPr>
        <sz val="9"/>
        <color theme="1"/>
        <rFont val="Arial"/>
        <family val="2"/>
      </rPr>
      <t>), Bump</t>
    </r>
    <phoneticPr fontId="19" type="noConversion"/>
  </si>
  <si>
    <r>
      <t>1</t>
    </r>
    <r>
      <rPr>
        <sz val="9"/>
        <color theme="1"/>
        <rFont val="맑은 고딕"/>
        <family val="3"/>
        <charset val="129"/>
      </rPr>
      <t>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클린룸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설계</t>
    </r>
    <phoneticPr fontId="4" type="noConversion"/>
  </si>
  <si>
    <r>
      <t>2</t>
    </r>
    <r>
      <rPr>
        <sz val="9"/>
        <color theme="1"/>
        <rFont val="맑은 고딕"/>
        <family val="3"/>
        <charset val="129"/>
      </rPr>
      <t>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클린룸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설계</t>
    </r>
    <phoneticPr fontId="4" type="noConversion"/>
  </si>
  <si>
    <r>
      <rPr>
        <sz val="9"/>
        <color theme="1"/>
        <rFont val="맑은 고딕"/>
        <family val="3"/>
        <charset val="129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건물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오피스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3"/>
        <charset val="129"/>
      </rPr>
      <t>경비실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3"/>
        <charset val="129"/>
      </rPr>
      <t>소방공사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3"/>
        <charset val="129"/>
      </rPr>
      <t>자재창고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등등</t>
    </r>
    <r>
      <rPr>
        <sz val="9"/>
        <color theme="1"/>
        <rFont val="Arial"/>
        <family val="2"/>
      </rPr>
      <t>..</t>
    </r>
    <phoneticPr fontId="4" type="noConversion"/>
  </si>
  <si>
    <r>
      <rPr>
        <sz val="9"/>
        <color theme="1"/>
        <rFont val="맑은 고딕"/>
        <family val="3"/>
        <charset val="129"/>
      </rPr>
      <t>생산비품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3"/>
        <charset val="129"/>
      </rPr>
      <t>차</t>
    </r>
    <phoneticPr fontId="4" type="noConversion"/>
  </si>
  <si>
    <r>
      <rPr>
        <sz val="9"/>
        <color theme="1"/>
        <rFont val="맑은 고딕"/>
        <family val="3"/>
        <charset val="129"/>
      </rPr>
      <t>생산부품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3"/>
        <charset val="129"/>
      </rPr>
      <t>차</t>
    </r>
    <phoneticPr fontId="4" type="noConversion"/>
  </si>
  <si>
    <r>
      <rPr>
        <sz val="9"/>
        <color theme="1"/>
        <rFont val="맑은 고딕"/>
        <family val="3"/>
        <charset val="129"/>
      </rPr>
      <t>전산실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설치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3"/>
        <charset val="129"/>
      </rPr>
      <t>네트워크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3"/>
        <charset val="129"/>
      </rPr>
      <t>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구매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등</t>
    </r>
    <r>
      <rPr>
        <sz val="9"/>
        <color theme="1"/>
        <rFont val="Arial"/>
        <family val="2"/>
      </rPr>
      <t xml:space="preserve"> </t>
    </r>
    <phoneticPr fontId="19" type="noConversion"/>
  </si>
  <si>
    <r>
      <t xml:space="preserve">RMS </t>
    </r>
    <r>
      <rPr>
        <sz val="9"/>
        <color theme="1"/>
        <rFont val="맑은 고딕"/>
        <family val="3"/>
        <charset val="129"/>
      </rPr>
      <t>단말기</t>
    </r>
  </si>
  <si>
    <r>
      <t xml:space="preserve">IT </t>
    </r>
    <r>
      <rPr>
        <sz val="9"/>
        <color theme="1"/>
        <rFont val="맑은 고딕"/>
        <family val="3"/>
        <charset val="129"/>
      </rPr>
      <t>시스템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구축</t>
    </r>
    <r>
      <rPr>
        <sz val="9"/>
        <color theme="1"/>
        <rFont val="Arial"/>
        <family val="2"/>
      </rPr>
      <t xml:space="preserve"> (GW, ERP, HR, RMS, MES)</t>
    </r>
    <phoneticPr fontId="19" type="noConversion"/>
  </si>
  <si>
    <r>
      <rPr>
        <sz val="10"/>
        <color theme="1"/>
        <rFont val="맑은 고딕"/>
        <family val="3"/>
        <charset val="129"/>
      </rPr>
      <t>최삼현</t>
    </r>
    <phoneticPr fontId="4" type="noConversion"/>
  </si>
  <si>
    <t>TEST</t>
    <phoneticPr fontId="4" type="noConversion"/>
  </si>
  <si>
    <t>z</t>
    <phoneticPr fontId="4" type="noConversion"/>
  </si>
  <si>
    <t>투자</t>
  </si>
  <si>
    <t>(비어 있음)</t>
  </si>
  <si>
    <t>총합계</t>
  </si>
  <si>
    <t>No</t>
  </si>
  <si>
    <t>COF</t>
  </si>
  <si>
    <t>공정2</t>
  </si>
  <si>
    <t>BG</t>
  </si>
  <si>
    <t>CURE</t>
  </si>
  <si>
    <t>LMK</t>
  </si>
  <si>
    <t>특성</t>
  </si>
  <si>
    <t>T-공통</t>
  </si>
  <si>
    <t>Bake Oven</t>
  </si>
  <si>
    <t>ILB</t>
  </si>
  <si>
    <t>Ink Mark</t>
  </si>
  <si>
    <t>Manual Rewinder</t>
  </si>
  <si>
    <t>POT</t>
  </si>
  <si>
    <t>R2R Mark</t>
  </si>
  <si>
    <t>Rewinder</t>
  </si>
  <si>
    <t>Tape Attach</t>
  </si>
  <si>
    <t>Wafer Mount</t>
  </si>
  <si>
    <t>공통</t>
  </si>
  <si>
    <t>설비이동(New)</t>
  </si>
  <si>
    <t>1차</t>
  </si>
  <si>
    <t>2차</t>
  </si>
  <si>
    <t>Model명1</t>
  </si>
  <si>
    <t>OVEN</t>
  </si>
  <si>
    <t>ECO-Lite</t>
  </si>
  <si>
    <t>PNP</t>
  </si>
  <si>
    <t>Wet station</t>
  </si>
  <si>
    <t>MS278</t>
  </si>
  <si>
    <t>ND4C</t>
  </si>
  <si>
    <t>UF200SA</t>
  </si>
  <si>
    <t>Upgrade option</t>
  </si>
  <si>
    <t>순간정전보상장치</t>
  </si>
  <si>
    <t>?</t>
  </si>
  <si>
    <t>COF-300</t>
  </si>
  <si>
    <t>LTB-4100</t>
  </si>
  <si>
    <t>TFC-3200</t>
  </si>
  <si>
    <t>TFC-3600</t>
  </si>
  <si>
    <t>DIM-1011V</t>
  </si>
  <si>
    <t>KRM200</t>
  </si>
  <si>
    <t>PLK-01</t>
  </si>
  <si>
    <t>LDPS-435D</t>
  </si>
  <si>
    <t>Part</t>
  </si>
  <si>
    <t>TCP-435A</t>
  </si>
  <si>
    <t>Reelstar-800LM</t>
  </si>
  <si>
    <t>PRCⅡ-2000ACD</t>
  </si>
  <si>
    <t>CUMAA-080R</t>
  </si>
  <si>
    <t>CUMAA-080S</t>
  </si>
  <si>
    <t>PVI</t>
  </si>
  <si>
    <t>DT-MWM1030A</t>
  </si>
  <si>
    <t>HM-220A</t>
  </si>
  <si>
    <t>설비번호</t>
  </si>
  <si>
    <t>CE-PLS01</t>
  </si>
  <si>
    <t>INK12</t>
  </si>
  <si>
    <t>Manual Mount</t>
  </si>
  <si>
    <t>Biz2</t>
  </si>
  <si>
    <t>Bump 요약</t>
  </si>
  <si>
    <t>COG 요약</t>
  </si>
  <si>
    <t>COF 요약</t>
  </si>
  <si>
    <t>PKG Test</t>
  </si>
  <si>
    <t>Stepper</t>
  </si>
  <si>
    <t>Au Etch</t>
  </si>
  <si>
    <t>Etch</t>
  </si>
  <si>
    <t>COAT</t>
  </si>
  <si>
    <t>AL120-LMB86</t>
  </si>
  <si>
    <t>CUWLA-121</t>
  </si>
  <si>
    <t>EV-60E/Tapit-WS</t>
  </si>
  <si>
    <t>Sorter</t>
  </si>
  <si>
    <t>TM-812</t>
  </si>
  <si>
    <t>TM-812 (Ashing)</t>
  </si>
  <si>
    <t>XDV-u_WAFER</t>
  </si>
  <si>
    <t>Lami</t>
  </si>
  <si>
    <t>Lami</t>
    <phoneticPr fontId="4" type="noConversion"/>
  </si>
  <si>
    <t>Packing</t>
  </si>
  <si>
    <t>Packing</t>
    <phoneticPr fontId="4" type="noConversion"/>
  </si>
  <si>
    <t>댓수</t>
  </si>
  <si>
    <t>Remarks</t>
    <phoneticPr fontId="4" type="noConversion"/>
  </si>
  <si>
    <t>Scrubber</t>
    <phoneticPr fontId="4" type="noConversion"/>
  </si>
  <si>
    <t>이설 대상 장비 : 4호기</t>
    <phoneticPr fontId="4" type="noConversion"/>
  </si>
  <si>
    <t>Sputter</t>
    <phoneticPr fontId="4" type="noConversion"/>
  </si>
  <si>
    <t>이설 대상 장비 : 4,5,6호기 중 2대</t>
    <phoneticPr fontId="4" type="noConversion"/>
  </si>
  <si>
    <t>PR Coating</t>
    <phoneticPr fontId="4" type="noConversion"/>
  </si>
  <si>
    <t>장비 중고 투자 : TEL</t>
    <phoneticPr fontId="4" type="noConversion"/>
  </si>
  <si>
    <t>장비 신규 투자 : ORC</t>
    <phoneticPr fontId="4" type="noConversion"/>
  </si>
  <si>
    <t>Develop</t>
    <phoneticPr fontId="4" type="noConversion"/>
  </si>
  <si>
    <t>Descum</t>
    <phoneticPr fontId="4" type="noConversion"/>
  </si>
  <si>
    <t>장비 신규 투자 : PSK</t>
    <phoneticPr fontId="4" type="noConversion"/>
  </si>
  <si>
    <t>Au Plating</t>
    <phoneticPr fontId="4" type="noConversion"/>
  </si>
  <si>
    <t>이설 대상 장비 (1차) : 3대, (2차) : 3대</t>
    <phoneticPr fontId="4" type="noConversion"/>
  </si>
  <si>
    <t>PR Strip</t>
    <phoneticPr fontId="4" type="noConversion"/>
  </si>
  <si>
    <t>이설 대상 장비 P3 보관 중, 2차 이설은 3호기 1대</t>
    <phoneticPr fontId="4" type="noConversion"/>
  </si>
  <si>
    <t>장비 신규 투자 : INNOMAX (Au TiW BP 1set)</t>
    <phoneticPr fontId="4" type="noConversion"/>
  </si>
  <si>
    <t>TiW Etch</t>
    <phoneticPr fontId="4" type="noConversion"/>
  </si>
  <si>
    <t>INNOMAX (Au TiW BP 1set) _ Au Etch 투자 가격 포함</t>
    <phoneticPr fontId="4" type="noConversion"/>
  </si>
  <si>
    <t>Anneal</t>
    <phoneticPr fontId="4" type="noConversion"/>
  </si>
  <si>
    <t>OLS</t>
    <phoneticPr fontId="4" type="noConversion"/>
  </si>
  <si>
    <t>계측기 신규 투자 : KOVIS 3D 측정기기</t>
    <phoneticPr fontId="4" type="noConversion"/>
  </si>
  <si>
    <t>계측기 신규 투자 : KOVIS _ Manual</t>
    <phoneticPr fontId="4" type="noConversion"/>
  </si>
  <si>
    <t>Hardness</t>
    <phoneticPr fontId="4" type="noConversion"/>
  </si>
  <si>
    <t>이설 대상에 Falcon(구형 모델) 우선 포함</t>
    <phoneticPr fontId="4" type="noConversion"/>
  </si>
  <si>
    <t>AJO</t>
    <phoneticPr fontId="4" type="noConversion"/>
  </si>
  <si>
    <t>계측기 면저항</t>
    <phoneticPr fontId="4" type="noConversion"/>
  </si>
  <si>
    <t>계측기 신규 투자</t>
    <phoneticPr fontId="19" type="noConversion"/>
  </si>
  <si>
    <t>계측기 Seed metal 두께</t>
    <phoneticPr fontId="4" type="noConversion"/>
  </si>
  <si>
    <t>계측기 Oxide, PR 두께, Aching</t>
    <phoneticPr fontId="4" type="noConversion"/>
  </si>
  <si>
    <t>BP(Bump Clean)</t>
    <phoneticPr fontId="4" type="noConversion"/>
  </si>
  <si>
    <t>Cassette Cleaner</t>
    <phoneticPr fontId="4" type="noConversion"/>
  </si>
  <si>
    <t>기타 신규 투자</t>
    <phoneticPr fontId="4" type="noConversion"/>
  </si>
  <si>
    <t>Wafer Mount(장)</t>
  </si>
  <si>
    <t>Manual Mount(장)</t>
  </si>
  <si>
    <t>Laser Grooving(장)</t>
  </si>
  <si>
    <t>CO2 Bubbler</t>
  </si>
  <si>
    <t>ILB_1세대</t>
  </si>
  <si>
    <t>ILB_2세대</t>
  </si>
  <si>
    <t>ILB_3세대</t>
  </si>
  <si>
    <t>POT(pcs)</t>
  </si>
  <si>
    <t>OVEN(pcs)</t>
  </si>
  <si>
    <t>Auto Rewinder(pcs)</t>
  </si>
  <si>
    <t>Manual Rewinder(pcs)</t>
  </si>
  <si>
    <t>Roll to Roll LMK(pcs)</t>
  </si>
  <si>
    <t>계측기(Chip Thickness)</t>
  </si>
  <si>
    <t>Measuring Scope</t>
  </si>
  <si>
    <t>전자저울</t>
  </si>
  <si>
    <t>접착력 측정기(Dage4000)</t>
  </si>
  <si>
    <t>Push &amp; Pull Tester</t>
  </si>
  <si>
    <t>3D 측정기(Debris, Ruffness)</t>
  </si>
  <si>
    <t>냉동고</t>
  </si>
  <si>
    <t>DIGIMATIC THICKNESS GAGE</t>
  </si>
  <si>
    <t>Force Calibration Jig</t>
  </si>
  <si>
    <t>BG</t>
    <phoneticPr fontId="4" type="noConversion"/>
  </si>
  <si>
    <t>LM</t>
  </si>
  <si>
    <t>Saw</t>
  </si>
  <si>
    <t>Low Power Scope</t>
  </si>
  <si>
    <t>장비 투자 _ DDI (2F), NDDI (5F) 층 구분 후 1대씩 운영 중, 여유 장비 없음</t>
  </si>
  <si>
    <t>구미공장 장비 활용</t>
  </si>
  <si>
    <t>Normal P&amp;P 총 13대 이설</t>
  </si>
  <si>
    <t>단수 장비 ※ 밴딩기 2대 포함(700만원/대)</t>
  </si>
  <si>
    <t>단수 장비</t>
  </si>
  <si>
    <t>이설 여유 없음</t>
  </si>
  <si>
    <t>평택</t>
    <phoneticPr fontId="4" type="noConversion"/>
  </si>
  <si>
    <t>구미</t>
    <phoneticPr fontId="4" type="noConversion"/>
  </si>
  <si>
    <t>안성</t>
    <phoneticPr fontId="4" type="noConversion"/>
  </si>
  <si>
    <t>Wafer test</t>
  </si>
  <si>
    <t>Wafer test</t>
    <phoneticPr fontId="4" type="noConversion"/>
  </si>
  <si>
    <t>T6391C</t>
  </si>
  <si>
    <t>T6391C</t>
    <phoneticPr fontId="4" type="noConversion"/>
  </si>
  <si>
    <t>T6391S</t>
  </si>
  <si>
    <t>T6391S</t>
    <phoneticPr fontId="4" type="noConversion"/>
  </si>
  <si>
    <t>ND4 제외 계획</t>
    <phoneticPr fontId="4" type="noConversion"/>
  </si>
  <si>
    <t>COF test</t>
  </si>
  <si>
    <t>COF test</t>
    <phoneticPr fontId="4" type="noConversion"/>
  </si>
  <si>
    <t>T6372</t>
    <phoneticPr fontId="4" type="noConversion"/>
  </si>
  <si>
    <t>AVI (1세대)</t>
  </si>
  <si>
    <t>AVI (1세대)</t>
    <phoneticPr fontId="4" type="noConversion"/>
  </si>
  <si>
    <t>AVI (2세대)</t>
  </si>
  <si>
    <t>AVI (2세대)</t>
    <phoneticPr fontId="4" type="noConversion"/>
  </si>
  <si>
    <t>세부공정</t>
  </si>
  <si>
    <t>세부공정</t>
    <phoneticPr fontId="4" type="noConversion"/>
  </si>
  <si>
    <t>공정 구분</t>
  </si>
  <si>
    <t>공정 구분</t>
    <phoneticPr fontId="4" type="noConversion"/>
  </si>
  <si>
    <t>Site</t>
    <phoneticPr fontId="4" type="noConversion"/>
  </si>
  <si>
    <t>보유 대수</t>
  </si>
  <si>
    <t>보유 대수</t>
    <phoneticPr fontId="4" type="noConversion"/>
  </si>
  <si>
    <t>평택 안성 합산 총 3대 필요</t>
    <phoneticPr fontId="4" type="noConversion"/>
  </si>
  <si>
    <t>평택 안성 합산 총 3대 필요- COF만 경우 1대</t>
    <phoneticPr fontId="4" type="noConversion"/>
  </si>
  <si>
    <t>Saw</t>
    <phoneticPr fontId="4" type="noConversion"/>
  </si>
  <si>
    <t>LM</t>
    <phoneticPr fontId="4" type="noConversion"/>
  </si>
  <si>
    <t xml:space="preserve">1대당 3대 연결 BG,SAW,LGV </t>
    <phoneticPr fontId="4" type="noConversion"/>
  </si>
  <si>
    <t>단일설비</t>
    <phoneticPr fontId="4" type="noConversion"/>
  </si>
  <si>
    <t>TA-NDK</t>
  </si>
  <si>
    <t>TA-NDK</t>
    <phoneticPr fontId="4" type="noConversion"/>
  </si>
  <si>
    <t>TA-CUON_Single</t>
  </si>
  <si>
    <t>TA-CUON_Single</t>
    <phoneticPr fontId="4" type="noConversion"/>
  </si>
  <si>
    <t>TA-CUON_Dual</t>
  </si>
  <si>
    <t>TA-CUON_Dual</t>
    <phoneticPr fontId="4" type="noConversion"/>
  </si>
  <si>
    <t>DI 1대, ILB 2대, PQC 2대</t>
    <phoneticPr fontId="4" type="noConversion"/>
  </si>
  <si>
    <t>A</t>
  </si>
  <si>
    <t>A</t>
    <phoneticPr fontId="4" type="noConversion"/>
  </si>
  <si>
    <t>B</t>
  </si>
  <si>
    <t>B</t>
    <phoneticPr fontId="4" type="noConversion"/>
  </si>
  <si>
    <t>C</t>
  </si>
  <si>
    <t>C</t>
    <phoneticPr fontId="4" type="noConversion"/>
  </si>
  <si>
    <t>D</t>
  </si>
  <si>
    <t>D</t>
    <phoneticPr fontId="4" type="noConversion"/>
  </si>
  <si>
    <t>E</t>
  </si>
  <si>
    <t>E</t>
    <phoneticPr fontId="4" type="noConversion"/>
  </si>
  <si>
    <t>사유</t>
    <phoneticPr fontId="4" type="noConversion"/>
  </si>
  <si>
    <t>Grade</t>
    <phoneticPr fontId="4" type="noConversion"/>
  </si>
  <si>
    <t>설비No.</t>
    <phoneticPr fontId="4" type="noConversion"/>
  </si>
  <si>
    <t>SCR #7</t>
    <phoneticPr fontId="4" type="noConversion"/>
  </si>
  <si>
    <t>O</t>
    <phoneticPr fontId="4" type="noConversion"/>
  </si>
  <si>
    <t>평가결과</t>
  </si>
  <si>
    <t>평가결과</t>
    <phoneticPr fontId="4" type="noConversion"/>
  </si>
  <si>
    <t>- 연식 30년된 장비로 공용 소모성 Parts 제외 대부분 Part 단종이나 국산화 대응
- 국내 Agency 업체 일부 대응 가능</t>
    <phoneticPr fontId="19" type="noConversion"/>
  </si>
  <si>
    <t>- 장비 외관 및 내부 상태 양호하나 Cluster Type 장비로 해체 후 조립 
시 동작 불량에 대한 Risk 는 존재함
- Global 판매 장비로 중국 Site 내 Trouble Shoot Surpplier Chain 검토 필요</t>
    <phoneticPr fontId="19" type="noConversion"/>
  </si>
  <si>
    <t>투자필요</t>
    <phoneticPr fontId="4" type="noConversion"/>
  </si>
  <si>
    <t>보완사항</t>
    <phoneticPr fontId="4" type="noConversion"/>
  </si>
  <si>
    <t>- 2001년 제작 장비로 장비 내/외부 부식 심각
  → Leak 심각 수준으로 폐기 처리 예정</t>
    <phoneticPr fontId="4" type="noConversion"/>
  </si>
  <si>
    <t>HAR #3</t>
    <phoneticPr fontId="4" type="noConversion"/>
  </si>
  <si>
    <t>- 장비 외관 상태 양호하며, 자체적으로 기본적인 Maintenance 가능
- 내부 Parts (압좌 및 Spring) Fail 시 국내 Agency 대응 필요</t>
    <phoneticPr fontId="19" type="noConversion"/>
  </si>
  <si>
    <t>- 장비 상태 양호하나 Maker Part's 단종에 따른 중요 Part 공급 불가
  → 검사 장비로 중요 Part 관리되지 않을경우 검출력 저하 등 문제 발생</t>
    <phoneticPr fontId="19" type="noConversion"/>
  </si>
  <si>
    <t>COG 공용 사용</t>
    <phoneticPr fontId="4" type="noConversion"/>
  </si>
  <si>
    <t>전력반도체 공용 중</t>
    <phoneticPr fontId="4" type="noConversion"/>
  </si>
  <si>
    <t>해당없음</t>
    <phoneticPr fontId="4" type="noConversion"/>
  </si>
  <si>
    <t>PIL-10,12,13,19,59,60</t>
  </si>
  <si>
    <t>장비 외관 및 내부 상태 양호 등</t>
  </si>
  <si>
    <t>MRW-01</t>
  </si>
  <si>
    <t>Laser time Over 교체 필요(26년 1월, 26년 9월, 약2.3억원/대)</t>
  </si>
  <si>
    <t>PSA-02,03,04,06,07,08,09,10,11,12,17,18</t>
    <phoneticPr fontId="4" type="noConversion"/>
  </si>
  <si>
    <t>PCB-01,02,03,4,5</t>
    <phoneticPr fontId="4" type="noConversion"/>
  </si>
  <si>
    <t>PIL-40,41,43,44,48,49,51,53,55,56,57,58,45,46,47,50,52</t>
    <phoneticPr fontId="4" type="noConversion"/>
  </si>
  <si>
    <t>PIL-64,65,66,73,76,79,80,81,62,63,68,69,70,71,72</t>
    <phoneticPr fontId="4" type="noConversion"/>
  </si>
  <si>
    <t>PPT-05.06,09,11,12,19,20,23,24,25,26,31,07,08,10,13,14,15,16</t>
    <phoneticPr fontId="4" type="noConversion"/>
  </si>
  <si>
    <t>PCU-03,04,05,07,08,09,10,11,12,13,14,15,16,17,18,19,20,21</t>
    <phoneticPr fontId="4" type="noConversion"/>
  </si>
  <si>
    <t>PRW-01, 02,03</t>
    <phoneticPr fontId="4" type="noConversion"/>
  </si>
  <si>
    <t>PRK-03</t>
    <phoneticPr fontId="4" type="noConversion"/>
  </si>
  <si>
    <t>PRK-01, 06</t>
    <phoneticPr fontId="4" type="noConversion"/>
  </si>
  <si>
    <t>PAV-01,02,03,06</t>
    <phoneticPr fontId="4" type="noConversion"/>
  </si>
  <si>
    <t>PAV-21,22,23,24,25,26,27,28,20</t>
    <phoneticPr fontId="4" type="noConversion"/>
  </si>
  <si>
    <t>PFT-44,42,41,40,39,38,37,36,35,34,29,11,74,45,54,55,57  (Handler 포함)</t>
    <phoneticPr fontId="4" type="noConversion"/>
  </si>
  <si>
    <t>PFT-51 (Handler 포함)</t>
  </si>
  <si>
    <t>SPU #6,04</t>
    <phoneticPr fontId="4" type="noConversion"/>
  </si>
  <si>
    <t>1대투자</t>
    <phoneticPr fontId="4" type="noConversion"/>
  </si>
  <si>
    <t>STP#01</t>
    <phoneticPr fontId="4" type="noConversion"/>
  </si>
  <si>
    <t>- 조명계통 노화로 Lens Overhaul 필요 상태이며,  다수 Part's 단종 및 제작품으로  중요 Part 공급 어려움
  → 검사 장비로 중요 Part 관리되지 않을경우 검출력 저하 등 문제 발생</t>
    <phoneticPr fontId="19" type="noConversion"/>
  </si>
  <si>
    <t>DEV#11</t>
    <phoneticPr fontId="4" type="noConversion"/>
  </si>
  <si>
    <t>OLS</t>
  </si>
  <si>
    <t>계측기 면저항</t>
  </si>
  <si>
    <t>계측기 Seed metal 두께</t>
  </si>
  <si>
    <t>- 장비 내/외부 부식
  → 장비 이설 전 Overhaul 필요
- Global 판매 장비로 중국 Site 내 Trouble Shoot Surpplier Chain 검토 필요</t>
    <phoneticPr fontId="4" type="noConversion"/>
  </si>
  <si>
    <t>AUP #5,7,11,3,4,12</t>
    <phoneticPr fontId="4" type="noConversion"/>
  </si>
  <si>
    <t>- 장비 외관 일정 수준 양호하나, 내/외부 부식 심함
   → Bath 주변 Frame 부식에 의한 파손 및 Leak 有
- 공압계통 Line 부식에 따른 전체 배관 교체 필요
- Aup3,4 2022년 Contol Tower 교체되어 해당 부분은 상급 Part 임</t>
    <phoneticPr fontId="4" type="noConversion"/>
  </si>
  <si>
    <t>-</t>
    <phoneticPr fontId="4" type="noConversion"/>
  </si>
  <si>
    <t>호기 없음</t>
    <phoneticPr fontId="4" type="noConversion"/>
  </si>
  <si>
    <t>ANN #5,6,4</t>
    <phoneticPr fontId="4" type="noConversion"/>
  </si>
  <si>
    <t>- 신규 장비이나 가공 Part's 에 대한 공급은 어려움
-ANN#4 장비 내/외관 부식, 서비스 없체 없음</t>
    <phoneticPr fontId="19" type="noConversion"/>
  </si>
  <si>
    <t>AVI #5,7,8,2,3</t>
    <phoneticPr fontId="4" type="noConversion"/>
  </si>
  <si>
    <t>평가 필요</t>
    <phoneticPr fontId="4" type="noConversion"/>
  </si>
  <si>
    <t>PnP #02, #06, #07, #08, #09, #10, #23,#17, #18, #19, #24, #25, #26</t>
    <phoneticPr fontId="4" type="noConversion"/>
  </si>
  <si>
    <t xml:space="preserve">#02, #06 Maker 대응 불가 &amp; Part 단종품 다수 &amp; 다수 Part 지속 Fail로 Repair 사용 중
이전 시, 특정 Device (SW80004) 대응 불가 / 내부 자재 대응 불가
#07~#23 Place 정밀도 떨어짐, 국내 Maker 존재하나 대응 속도 떨어짐 / 국내 시장 한정 장비
#17~#26 국내 Maker 존재하나 대응 속도 떨어짐 / 국내 시장 한정 장비 /  내부 자재 대응 불가
이전 시, 특정 Device (SW80004) 대응 불가 </t>
    <phoneticPr fontId="4" type="noConversion"/>
  </si>
  <si>
    <t>AVI #14, #15,#16, #18, #19,#08, #09, #10, #11, #12</t>
    <phoneticPr fontId="4" type="noConversion"/>
  </si>
  <si>
    <t>단종 장비이며, Maker 대응 불가, Pick &amp; Place 정밀도 저하, 일부 Part 수급 불가, 내부 자재 대응 불가</t>
    <phoneticPr fontId="4" type="noConversion"/>
  </si>
  <si>
    <t>안성 1공장 Close 진행 시 해체 후 해체 상태로 보관 중</t>
    <phoneticPr fontId="19" type="noConversion"/>
  </si>
  <si>
    <t>DPT-02,20,16,14 (Prober 포함)</t>
    <phoneticPr fontId="4" type="noConversion"/>
  </si>
  <si>
    <t>DPT-44,34_ND4C</t>
    <phoneticPr fontId="4" type="noConversion"/>
  </si>
  <si>
    <t>AT23,AT25,AT28,AT30,AT37 (Prober 포함)</t>
    <phoneticPr fontId="19" type="noConversion"/>
  </si>
  <si>
    <t>Anneal</t>
  </si>
  <si>
    <t>Au Plating</t>
  </si>
  <si>
    <t>BP(Bump Clean)</t>
  </si>
  <si>
    <t>Cassette Cleaner</t>
  </si>
  <si>
    <t>Descum</t>
  </si>
  <si>
    <t>Develop</t>
  </si>
  <si>
    <t>Hardness</t>
  </si>
  <si>
    <t>PR Coating</t>
  </si>
  <si>
    <t>PR Strip</t>
  </si>
  <si>
    <t>Scope</t>
  </si>
  <si>
    <t>Scrubber</t>
  </si>
  <si>
    <t>Shear</t>
  </si>
  <si>
    <t>Sputter</t>
  </si>
  <si>
    <t>TiW Etch</t>
  </si>
  <si>
    <t>계측기 Oxide, PR 두께, Aching</t>
  </si>
  <si>
    <t>Wafer test 요약</t>
  </si>
  <si>
    <t>COF test 요약</t>
  </si>
  <si>
    <t>필요대수</t>
  </si>
  <si>
    <t>이설 가능 대수</t>
  </si>
  <si>
    <t>기타</t>
    <phoneticPr fontId="4" type="noConversion"/>
  </si>
  <si>
    <t>투자</t>
    <phoneticPr fontId="4" type="noConversion"/>
  </si>
  <si>
    <t>TS670</t>
    <phoneticPr fontId="4" type="noConversion"/>
  </si>
  <si>
    <t>ST6730</t>
    <phoneticPr fontId="4" type="noConversion"/>
  </si>
  <si>
    <t>티져</t>
    <phoneticPr fontId="4" type="noConversion"/>
  </si>
  <si>
    <t>6월</t>
  </si>
  <si>
    <t>6월</t>
    <phoneticPr fontId="4" type="noConversion"/>
  </si>
  <si>
    <t>투자단가</t>
    <phoneticPr fontId="4" type="noConversion"/>
  </si>
  <si>
    <t>구분</t>
  </si>
  <si>
    <t>구분</t>
    <phoneticPr fontId="4" type="noConversion"/>
  </si>
  <si>
    <t>메인</t>
  </si>
  <si>
    <t>메인</t>
    <phoneticPr fontId="4" type="noConversion"/>
  </si>
  <si>
    <t>검사</t>
    <phoneticPr fontId="4" type="noConversion"/>
  </si>
  <si>
    <t>합계TS</t>
    <phoneticPr fontId="4" type="noConversion"/>
  </si>
  <si>
    <t>기타TS</t>
  </si>
  <si>
    <t>기타TS</t>
    <phoneticPr fontId="4" type="noConversion"/>
  </si>
  <si>
    <t>투자합계TS</t>
    <phoneticPr fontId="4" type="noConversion"/>
  </si>
  <si>
    <t>1차TS</t>
    <phoneticPr fontId="4" type="noConversion"/>
  </si>
  <si>
    <t>2차TS</t>
    <phoneticPr fontId="4" type="noConversion"/>
  </si>
  <si>
    <t>1차6월</t>
    <phoneticPr fontId="4" type="noConversion"/>
  </si>
  <si>
    <t>2차6월</t>
    <phoneticPr fontId="4" type="noConversion"/>
  </si>
  <si>
    <t>이설6월</t>
    <phoneticPr fontId="4" type="noConversion"/>
  </si>
  <si>
    <t>1차투자6월</t>
    <phoneticPr fontId="4" type="noConversion"/>
  </si>
  <si>
    <t>2차투자6월</t>
    <phoneticPr fontId="4" type="noConversion"/>
  </si>
  <si>
    <t>2차투자금액6월</t>
    <phoneticPr fontId="4" type="noConversion"/>
  </si>
  <si>
    <t>1차투자금액6월</t>
    <phoneticPr fontId="4" type="noConversion"/>
  </si>
  <si>
    <t>이설필요합6월</t>
    <phoneticPr fontId="4" type="noConversion"/>
  </si>
  <si>
    <t>이설가능합6월</t>
    <phoneticPr fontId="4" type="noConversion"/>
  </si>
  <si>
    <t>설비투자합6월</t>
    <phoneticPr fontId="4" type="noConversion"/>
  </si>
  <si>
    <t>잔여설비6월</t>
    <phoneticPr fontId="4" type="noConversion"/>
  </si>
  <si>
    <t>Teaser</t>
  </si>
  <si>
    <t>이관가능</t>
  </si>
  <si>
    <t>JV필요</t>
  </si>
  <si>
    <t>Bal.</t>
    <phoneticPr fontId="4" type="noConversion"/>
  </si>
  <si>
    <t>NDDI전환</t>
    <phoneticPr fontId="4" type="noConversion"/>
  </si>
  <si>
    <t>기존 투자계획 반영</t>
    <phoneticPr fontId="4" type="noConversion"/>
  </si>
  <si>
    <t>여유 설비 엇음</t>
    <phoneticPr fontId="4" type="noConversion"/>
  </si>
  <si>
    <t>전력반도체 공용 사용</t>
    <phoneticPr fontId="4" type="noConversion"/>
  </si>
  <si>
    <t>Device 변경에 따른 대수 변경</t>
    <phoneticPr fontId="4" type="noConversion"/>
  </si>
  <si>
    <t>기존 3대보유였으나 현재 1대</t>
    <phoneticPr fontId="4" type="noConversion"/>
  </si>
  <si>
    <t>ND4 제외</t>
    <phoneticPr fontId="4" type="noConversion"/>
  </si>
  <si>
    <t>DDI/NDDI 분리 운영으로 1대 운영중</t>
    <phoneticPr fontId="4" type="noConversion"/>
  </si>
  <si>
    <t>기존투자 계획 반영</t>
    <phoneticPr fontId="4" type="noConversion"/>
  </si>
  <si>
    <t>구미 ND4 반영, 제외 예정</t>
    <phoneticPr fontId="4" type="noConversion"/>
  </si>
  <si>
    <t>등급</t>
  </si>
  <si>
    <t>구분 내역</t>
  </si>
  <si>
    <t>Maker AS</t>
  </si>
  <si>
    <t>Local AS</t>
  </si>
  <si>
    <t>Part 구매 필요</t>
  </si>
  <si>
    <t>AS 불가</t>
  </si>
  <si>
    <t>Part 수급 불가</t>
  </si>
  <si>
    <t>상세 내역</t>
  </si>
  <si>
    <t>現 가동설비 / 제조사 AS 가능</t>
  </si>
  <si>
    <t>現 가동설비 / 현지 AS 업체 수배 필요</t>
  </si>
  <si>
    <t>現 운휴설비/Part 구매가능/ AS 대응 가능</t>
  </si>
  <si>
    <t>現 가동설비 / AS 불가</t>
  </si>
  <si>
    <t>現 가동 설비 / Part 수급 불가 / AS 불가</t>
  </si>
  <si>
    <t>가동 유.무</t>
  </si>
  <si>
    <t>△</t>
  </si>
  <si>
    <t>Part 수급</t>
  </si>
  <si>
    <t>AS 대응</t>
  </si>
  <si>
    <t>Remark</t>
  </si>
  <si>
    <t>가동 유무:   ○: 현 가동중,  △ : Part 구매 또는 수리후 가동,  X: 가동 불가</t>
  </si>
  <si>
    <t>Part 수급(운휴 장비로서 Part 수리후 가동 가능 장비):   ○: 수급 가능 ,   X: 수급 불가</t>
  </si>
  <si>
    <t xml:space="preserve">	AS 대응:   ○제조사 가능,  △ : 현지 업체 가능(수배 필요),  X: AS 불가 </t>
  </si>
  <si>
    <t>JV 투자 반영</t>
    <phoneticPr fontId="4" type="noConversion"/>
  </si>
  <si>
    <t>COG 장비 공용 사용 가정</t>
  </si>
  <si>
    <t>COG 장비 공용 사용 가정</t>
    <phoneticPr fontId="4" type="noConversion"/>
  </si>
  <si>
    <t>Laser Marking</t>
    <phoneticPr fontId="4" type="noConversion"/>
  </si>
  <si>
    <t>COG 이관 가능 1대 보유 (실제 이관 가능 여부는 확인 필요)</t>
    <phoneticPr fontId="4" type="noConversion"/>
  </si>
  <si>
    <t>Device Mix 변화에 따른 필요 장비 대수 1대 감소</t>
    <phoneticPr fontId="4" type="noConversion"/>
  </si>
  <si>
    <t>Manual Mount &amp; Wafer Mount 둘다 필요??</t>
    <phoneticPr fontId="4" type="noConversion"/>
  </si>
  <si>
    <t>P2 이관에 따른 현황은 재점검 필요</t>
    <phoneticPr fontId="4" type="noConversion"/>
  </si>
  <si>
    <t>기존 DB 작성 시점에 3대 → 보유 대수 감소 사유는 확인 필요</t>
    <phoneticPr fontId="4" type="noConversion"/>
  </si>
  <si>
    <t>중장기 물동 고려시 최대 이관 대수는 몇대?</t>
    <phoneticPr fontId="4" type="noConversion"/>
  </si>
  <si>
    <t>필요 없으면 보낸다고 해도 되는 거 아닌가?</t>
    <phoneticPr fontId="4" type="noConversion"/>
  </si>
  <si>
    <t>Device 변경에 따른 대수 변경 (현재 운휴 설비)</t>
    <phoneticPr fontId="4" type="noConversion"/>
  </si>
  <si>
    <t>T/A 설비는 Full Line-up 고려 1대는 보내야 하는거 아닌가?</t>
    <phoneticPr fontId="4" type="noConversion"/>
  </si>
  <si>
    <t>T6372 (ND2)</t>
    <phoneticPr fontId="4" type="noConversion"/>
  </si>
  <si>
    <t>T6373 (ND3)</t>
    <phoneticPr fontId="4" type="noConversion"/>
  </si>
  <si>
    <t>T6391C (ND4C)</t>
    <phoneticPr fontId="4" type="noConversion"/>
  </si>
  <si>
    <t>주요 내용</t>
    <phoneticPr fontId="4" type="noConversion"/>
  </si>
  <si>
    <t>ND2 이관 가능 여유 장비가 없는 건가? 안성에도 없나??</t>
    <phoneticPr fontId="4" type="noConversion"/>
  </si>
  <si>
    <t>이관 가능하면 이것도 보낼 수 있는거 아닌가??</t>
    <phoneticPr fontId="4" type="noConversion"/>
  </si>
  <si>
    <t>T6373 (ND3)_구미</t>
    <phoneticPr fontId="4" type="noConversion"/>
  </si>
  <si>
    <t>T6373 (ND3)_안성</t>
    <phoneticPr fontId="4" type="noConversion"/>
  </si>
  <si>
    <t>T6391C (ND4C)_구미</t>
    <phoneticPr fontId="4" type="noConversion"/>
  </si>
  <si>
    <t>T6391C (ND4C)_안성</t>
    <phoneticPr fontId="4" type="noConversion"/>
  </si>
  <si>
    <t>2대 보유로 추정 (확인 필요), But DDI, NDDI 분리 운영에 따른 여유 장비 없음 ▶ 통합 운영을 하면 1대 보낼 수 있는지 확인 필요</t>
    <phoneticPr fontId="4" type="noConversion"/>
  </si>
  <si>
    <t>평가 결과 Update 필요</t>
    <phoneticPr fontId="4" type="noConversion"/>
  </si>
  <si>
    <t>점검 누락</t>
    <phoneticPr fontId="4" type="noConversion"/>
  </si>
  <si>
    <t>JV 투자 필요 대수</t>
    <phoneticPr fontId="4" type="noConversion"/>
  </si>
  <si>
    <t>NDDI 전환이 Fact인지는 확인 필요, 이설 가능 대수는 추가 확인 필요 ▶ 신규 투자 필요 대수도 연동해서 변경됨</t>
    <phoneticPr fontId="4" type="noConversion"/>
  </si>
  <si>
    <t>점검 포인트</t>
    <phoneticPr fontId="4" type="noConversion"/>
  </si>
  <si>
    <t>추가설비투자금6월</t>
    <phoneticPr fontId="4" type="noConversion"/>
  </si>
  <si>
    <t>이설가능설비중고가</t>
    <phoneticPr fontId="4" type="noConversion"/>
  </si>
  <si>
    <t>■ 신뢰성 및 분석실 설비 검토</t>
    <phoneticPr fontId="19" type="noConversion"/>
  </si>
  <si>
    <t>● 신뢰성 : 양산 물동과는 무관하며, 개발 평가, ABN 및 RMA 발생 여부에 따라 사용량이 변동됨.</t>
    <phoneticPr fontId="19" type="noConversion"/>
  </si>
  <si>
    <t>● 분석실 : 양산 물동과는 무관하며, ABN, RMA 및 고객 Issue 발생에 따른 분석 의뢰 건수에 따라 사용량이 변동됨.</t>
    <phoneticPr fontId="19" type="noConversion"/>
  </si>
  <si>
    <t>◆ 분석실, 신뢰성 장비 중국 이관 필요 대수</t>
    <phoneticPr fontId="19" type="noConversion"/>
  </si>
  <si>
    <t>구분</t>
    <phoneticPr fontId="64" type="noConversion"/>
  </si>
  <si>
    <t>대당 CAPA</t>
    <phoneticPr fontId="19" type="noConversion"/>
  </si>
  <si>
    <t>현재 댓수</t>
    <phoneticPr fontId="19" type="noConversion"/>
  </si>
  <si>
    <t>보유 Capa</t>
    <phoneticPr fontId="19" type="noConversion"/>
  </si>
  <si>
    <t xml:space="preserve">30M 기준 필요 설비 댓수 </t>
    <phoneticPr fontId="19" type="noConversion"/>
  </si>
  <si>
    <t>사용 정보</t>
    <phoneticPr fontId="19" type="noConversion"/>
  </si>
  <si>
    <t>Maker 정보</t>
    <phoneticPr fontId="19" type="noConversion"/>
  </si>
  <si>
    <t>Total</t>
    <phoneticPr fontId="19" type="noConversion"/>
  </si>
  <si>
    <t>이관 설비 댓수</t>
    <phoneticPr fontId="19" type="noConversion"/>
  </si>
  <si>
    <t>중국 투자 필요</t>
    <phoneticPr fontId="19" type="noConversion"/>
  </si>
  <si>
    <t>투자 예상 비용
(억원)</t>
    <phoneticPr fontId="19" type="noConversion"/>
  </si>
  <si>
    <t>월평균물동(Kpcs)</t>
    <phoneticPr fontId="19" type="noConversion"/>
  </si>
  <si>
    <t>신뢰성</t>
    <phoneticPr fontId="19" type="noConversion"/>
  </si>
  <si>
    <t>HTS(High Temp. Storage)</t>
    <phoneticPr fontId="19" type="noConversion"/>
  </si>
  <si>
    <t>고온 Chamber</t>
    <phoneticPr fontId="19" type="noConversion"/>
  </si>
  <si>
    <t>Maker : ESPEC / Model : PH-202</t>
    <phoneticPr fontId="19" type="noConversion"/>
  </si>
  <si>
    <t>T/H(Temp. Humidity)</t>
    <phoneticPr fontId="19" type="noConversion"/>
  </si>
  <si>
    <t>항온항습 Chamber</t>
    <phoneticPr fontId="19" type="noConversion"/>
  </si>
  <si>
    <t>Maker : ESPEC / Model : PL-1J</t>
    <phoneticPr fontId="19" type="noConversion"/>
  </si>
  <si>
    <t>T/C(Temp. Cycle)</t>
    <phoneticPr fontId="19" type="noConversion"/>
  </si>
  <si>
    <t>열충격 Chamber(530 Al Reel 투입 가능 Size 1대)</t>
    <phoneticPr fontId="19" type="noConversion"/>
  </si>
  <si>
    <t>Maker : NDK / Model : GTPS-TS885</t>
    <phoneticPr fontId="19" type="noConversion"/>
  </si>
  <si>
    <t>HAST(PCT)</t>
    <phoneticPr fontId="19" type="noConversion"/>
  </si>
  <si>
    <t>고가속 고온고습 신뢰성 Chamber</t>
    <phoneticPr fontId="19" type="noConversion"/>
  </si>
  <si>
    <t>Maker : ESPEC / Model : EHS-222M</t>
    <phoneticPr fontId="19" type="noConversion"/>
  </si>
  <si>
    <t>LTS(Low Temp. Storage)</t>
    <phoneticPr fontId="19" type="noConversion"/>
  </si>
  <si>
    <t>저온 Chamber</t>
    <phoneticPr fontId="19" type="noConversion"/>
  </si>
  <si>
    <t>Maker : ESPEC / Model : PG-2J</t>
    <phoneticPr fontId="19" type="noConversion"/>
  </si>
  <si>
    <t>NDK</t>
    <phoneticPr fontId="19" type="noConversion"/>
  </si>
  <si>
    <t>CUON_Single</t>
    <phoneticPr fontId="19" type="noConversion"/>
  </si>
  <si>
    <t>CUON_Dual</t>
    <phoneticPr fontId="19" type="noConversion"/>
  </si>
  <si>
    <t>분석실</t>
    <phoneticPr fontId="19" type="noConversion"/>
  </si>
  <si>
    <t>SEM/EDX</t>
    <phoneticPr fontId="19" type="noConversion"/>
  </si>
  <si>
    <t>정밀 성분분석 장비</t>
    <phoneticPr fontId="19" type="noConversion"/>
  </si>
  <si>
    <t>Maker : SEM - HITACHI / Model : SU8100
Maker : OXFORD / Model : x-STREAM2 SDD, MICSF+</t>
    <phoneticPr fontId="19" type="noConversion"/>
  </si>
  <si>
    <t>Polisher</t>
    <phoneticPr fontId="19" type="noConversion"/>
  </si>
  <si>
    <t>ABN, RMA</t>
    <phoneticPr fontId="19" type="noConversion"/>
  </si>
  <si>
    <t>Maker : ALLIED / Model : 5-9500</t>
    <phoneticPr fontId="19" type="noConversion"/>
  </si>
  <si>
    <t>Wet Station</t>
    <phoneticPr fontId="19" type="noConversion"/>
  </si>
  <si>
    <t>Chemical 작업</t>
    <phoneticPr fontId="19" type="noConversion"/>
  </si>
  <si>
    <t>-</t>
    <phoneticPr fontId="19" type="noConversion"/>
  </si>
  <si>
    <t>초음파세척기</t>
    <phoneticPr fontId="19" type="noConversion"/>
  </si>
  <si>
    <t>Maker : SUNGDONG ULTRASONIC / Model : SD-D400H</t>
    <phoneticPr fontId="19" type="noConversion"/>
  </si>
  <si>
    <t>MicroScope</t>
    <phoneticPr fontId="19" type="noConversion"/>
  </si>
  <si>
    <t>시료 분석 (Highpower Scope)</t>
    <phoneticPr fontId="19" type="noConversion"/>
  </si>
  <si>
    <t>Maker : OLYPUS / Model : STM6-LM-F31-2</t>
    <phoneticPr fontId="19" type="noConversion"/>
  </si>
  <si>
    <t>3D 측정기(Debris, Ruffness)</t>
    <phoneticPr fontId="19" type="noConversion"/>
  </si>
  <si>
    <t>Hand Punch</t>
    <phoneticPr fontId="19" type="noConversion"/>
  </si>
  <si>
    <t>Al Reel</t>
    <phoneticPr fontId="19" type="noConversion"/>
  </si>
  <si>
    <t>Cure Tape</t>
    <phoneticPr fontId="19" type="noConversion"/>
  </si>
  <si>
    <t>Dummy Tape(Lead Tape)</t>
    <phoneticPr fontId="19" type="noConversion"/>
  </si>
  <si>
    <t>편집기</t>
    <phoneticPr fontId="19" type="noConversion"/>
  </si>
  <si>
    <t>편집 Tape</t>
    <phoneticPr fontId="19" type="noConversion"/>
  </si>
  <si>
    <t>Needle(26G)</t>
    <phoneticPr fontId="19" type="noConversion"/>
  </si>
  <si>
    <t>◆ IQC, QVI 중국 장비 이관 필요 대수</t>
    <phoneticPr fontId="19" type="noConversion"/>
  </si>
  <si>
    <t>COF IQC</t>
    <phoneticPr fontId="19" type="noConversion"/>
  </si>
  <si>
    <t>Wafer Auto Loader(8")</t>
    <phoneticPr fontId="19" type="noConversion"/>
  </si>
  <si>
    <t>8인치 Wafer 검사 장비</t>
    <phoneticPr fontId="19" type="noConversion"/>
  </si>
  <si>
    <t>Maker : Nikon / Model : L200N+NWL200</t>
    <phoneticPr fontId="19" type="noConversion"/>
  </si>
  <si>
    <t>Auto Winder</t>
    <phoneticPr fontId="19" type="noConversion"/>
  </si>
  <si>
    <t>Tape 검사 장비</t>
    <phoneticPr fontId="19" type="noConversion"/>
  </si>
  <si>
    <t>Maker : 서우테크(현재 업체 X) / 제작</t>
    <phoneticPr fontId="19" type="noConversion"/>
  </si>
  <si>
    <t>Tape 편집 장비</t>
    <phoneticPr fontId="19" type="noConversion"/>
  </si>
  <si>
    <t>Maker :  / 제작</t>
    <phoneticPr fontId="19" type="noConversion"/>
  </si>
  <si>
    <t>BUMP IQC</t>
    <phoneticPr fontId="19" type="noConversion"/>
  </si>
  <si>
    <t>COF QVI</t>
    <phoneticPr fontId="19" type="noConversion"/>
  </si>
  <si>
    <t>QVI Winder</t>
    <phoneticPr fontId="19" type="noConversion"/>
  </si>
  <si>
    <t>QVI 육안 검사 설비</t>
    <phoneticPr fontId="19" type="noConversion"/>
  </si>
  <si>
    <t>Maker : X / 제작</t>
    <phoneticPr fontId="19" type="noConversion"/>
  </si>
  <si>
    <t>QVI AMI</t>
    <phoneticPr fontId="19" type="noConversion"/>
  </si>
  <si>
    <t>Issue Lot 검출을 위한 Scope 검사 장비</t>
    <phoneticPr fontId="19" type="noConversion"/>
  </si>
  <si>
    <t>QVI Reel 이미지 취득기</t>
    <phoneticPr fontId="19" type="noConversion"/>
  </si>
  <si>
    <t>Reel 양면 이미지 촬영 용도</t>
    <phoneticPr fontId="19" type="noConversion"/>
  </si>
  <si>
    <t>Maker : 아텍 / 제작</t>
    <phoneticPr fontId="19" type="noConversion"/>
  </si>
  <si>
    <t>편집 및 Reel 교체 용도</t>
    <phoneticPr fontId="19" type="noConversion"/>
  </si>
  <si>
    <t>▶ 분석실, 신뢰성시험실, 품질 Gate 검사공정 Set up 비용 : 11.02억</t>
    <phoneticPr fontId="19" type="noConversion"/>
  </si>
  <si>
    <t>Site</t>
    <phoneticPr fontId="4" type="noConversion"/>
  </si>
  <si>
    <t>평택</t>
    <phoneticPr fontId="4" type="noConversion"/>
  </si>
  <si>
    <t>구미</t>
  </si>
  <si>
    <t>구미</t>
    <phoneticPr fontId="4" type="noConversion"/>
  </si>
  <si>
    <t>구미</t>
    <phoneticPr fontId="4" type="noConversion"/>
  </si>
  <si>
    <t>안성</t>
  </si>
  <si>
    <t>평택</t>
    <phoneticPr fontId="4" type="noConversion"/>
  </si>
  <si>
    <t>공정</t>
    <phoneticPr fontId="4" type="noConversion"/>
  </si>
  <si>
    <t>구미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</si>
</sst>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43" formatCode="_-* #,##0.00_-;\-* #,##0.00_-;_-* &quot;-&quot;??_-;_-@_-"/>
    <numFmt numFmtId="176" formatCode="[$-409]mmm&quot;-&quot;yy;@"/>
    <numFmt numFmtId="177" formatCode="_-* #,##0.0_-;\-* #,##0.0_-;_-* &quot;-&quot;_-;_-@_-"/>
    <numFmt numFmtId="178" formatCode="0.000%"/>
    <numFmt numFmtId="179" formatCode="mm&quot;월&quot;\ dd&quot;일&quot;"/>
    <numFmt numFmtId="180" formatCode="0_);[Red]\(0\)"/>
    <numFmt numFmtId="181" formatCode="yy&quot;/&quot;mm&quot;/&quot;dd"/>
    <numFmt numFmtId="182" formatCode="0E+00"/>
    <numFmt numFmtId="183" formatCode="yy&quot;년&quot;\ m&quot;월&quot;"/>
    <numFmt numFmtId="184" formatCode="_-* #,##0.00_-;\-* #,##0.00_-;_-* &quot;-&quot;_-;_-@_-"/>
    <numFmt numFmtId="185" formatCode="0.0,,&quot;M&quot;"/>
    <numFmt numFmtId="186" formatCode="#,##0_ "/>
  </numFmts>
  <fonts count="77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1"/>
      <name val="Arial"/>
      <family val="2"/>
    </font>
    <font>
      <sz val="8"/>
      <name val="맑은 고딕"/>
      <family val="2"/>
      <charset val="129"/>
    </font>
    <font>
      <sz val="11"/>
      <color theme="1"/>
      <name val="맑은 고딕"/>
      <family val="3"/>
      <charset val="129"/>
    </font>
    <font>
      <b/>
      <sz val="11"/>
      <color rgb="FFFF0000"/>
      <name val="Arial"/>
      <family val="2"/>
    </font>
    <font>
      <sz val="11"/>
      <color rgb="FF00B050"/>
      <name val="Arial"/>
      <family val="2"/>
    </font>
    <font>
      <b/>
      <sz val="11"/>
      <color theme="1"/>
      <name val="Arial"/>
      <family val="2"/>
    </font>
    <font>
      <b/>
      <sz val="11"/>
      <color rgb="FF00B050"/>
      <name val="Arial"/>
      <family val="2"/>
    </font>
    <font>
      <sz val="9"/>
      <color theme="1"/>
      <name val="Arial"/>
      <family val="2"/>
    </font>
    <font>
      <sz val="9"/>
      <color theme="1"/>
      <name val="맑은 고딕"/>
      <family val="3"/>
      <charset val="129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9"/>
      <color rgb="FFFF0000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Arial"/>
      <family val="3"/>
      <charset val="129"/>
    </font>
    <font>
      <b/>
      <sz val="10"/>
      <color theme="1"/>
      <name val="맑은 고딕"/>
      <family val="2"/>
      <charset val="129"/>
    </font>
    <font>
      <b/>
      <sz val="9"/>
      <color theme="1"/>
      <name val="Arial"/>
      <family val="2"/>
    </font>
    <font>
      <b/>
      <sz val="9"/>
      <color theme="1"/>
      <name val="맑은 고딕"/>
      <family val="3"/>
      <charset val="129"/>
    </font>
    <font>
      <b/>
      <sz val="10"/>
      <name val="Arial"/>
      <family val="2"/>
    </font>
    <font>
      <b/>
      <sz val="9"/>
      <name val="Arial"/>
      <family val="2"/>
    </font>
    <font>
      <b/>
      <sz val="9"/>
      <name val="맑은 고딕"/>
      <family val="3"/>
      <charset val="129"/>
    </font>
    <font>
      <sz val="11"/>
      <color theme="1"/>
      <name val="굴림"/>
      <family val="2"/>
      <charset val="129"/>
    </font>
    <font>
      <b/>
      <sz val="9"/>
      <color theme="1"/>
      <name val="Arial Unicode MS"/>
      <family val="2"/>
      <charset val="129"/>
    </font>
    <font>
      <sz val="11"/>
      <name val="돋움"/>
      <family val="3"/>
      <charset val="129"/>
    </font>
    <font>
      <sz val="10"/>
      <color theme="1"/>
      <name val="Arial"/>
      <family val="3"/>
    </font>
    <font>
      <sz val="10"/>
      <name val="Arial"/>
      <family val="2"/>
    </font>
    <font>
      <sz val="10"/>
      <color theme="1"/>
      <name val="Arial Unicode MS"/>
      <family val="2"/>
      <charset val="129"/>
    </font>
    <font>
      <sz val="10"/>
      <color rgb="FFFF0000"/>
      <name val="Arial"/>
      <family val="2"/>
    </font>
    <font>
      <sz val="10"/>
      <color rgb="FFFF0000"/>
      <name val="맑은 고딕"/>
      <family val="3"/>
      <charset val="129"/>
    </font>
    <font>
      <sz val="8.5"/>
      <color theme="1"/>
      <name val="Arial"/>
      <family val="2"/>
    </font>
    <font>
      <sz val="8.5"/>
      <color theme="1"/>
      <name val="맑은 고딕"/>
      <family val="3"/>
      <charset val="129"/>
    </font>
    <font>
      <sz val="10"/>
      <color theme="1"/>
      <name val="Arial"/>
      <family val="3"/>
      <charset val="129"/>
    </font>
    <font>
      <sz val="10"/>
      <color theme="1"/>
      <name val="맑은 고딕"/>
      <family val="2"/>
      <charset val="129"/>
    </font>
    <font>
      <sz val="11"/>
      <color rgb="FFFF0000"/>
      <name val="Arial"/>
      <family val="2"/>
    </font>
    <font>
      <sz val="10"/>
      <color theme="1"/>
      <name val="Arial"/>
      <family val="2"/>
      <charset val="129"/>
    </font>
    <font>
      <sz val="10"/>
      <color theme="1"/>
      <name val="돋움"/>
      <family val="2"/>
      <charset val="129"/>
    </font>
    <font>
      <sz val="10"/>
      <color theme="1"/>
      <name val="굴림"/>
      <family val="2"/>
      <charset val="129"/>
    </font>
    <font>
      <sz val="10"/>
      <color theme="1"/>
      <name val="Arial Unicode MS"/>
      <family val="3"/>
      <charset val="129"/>
    </font>
    <font>
      <sz val="10"/>
      <name val="맑은 고딕"/>
      <family val="3"/>
      <charset val="129"/>
    </font>
    <font>
      <sz val="10"/>
      <color rgb="FF0070C0"/>
      <name val="Arial"/>
      <family val="2"/>
    </font>
    <font>
      <sz val="10"/>
      <color rgb="FF0070C0"/>
      <name val="맑은 고딕"/>
      <family val="3"/>
      <charset val="129"/>
    </font>
    <font>
      <sz val="11"/>
      <color theme="1"/>
      <name val="Arial Unicode MS"/>
      <family val="2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4" tint="-0.249977111117893"/>
      <name val="맑은 고딕"/>
      <family val="2"/>
      <charset val="129"/>
    </font>
    <font>
      <b/>
      <sz val="10"/>
      <color theme="0"/>
      <name val="맑은 고딕"/>
      <family val="3"/>
      <charset val="129"/>
    </font>
    <font>
      <sz val="10"/>
      <color theme="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Arial"/>
      <family val="2"/>
      <charset val="129"/>
    </font>
    <font>
      <b/>
      <sz val="10"/>
      <color theme="2" tint="-0.74999237037263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4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0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thin">
        <color theme="4"/>
      </right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9" fillId="0" borderId="0"/>
  </cellStyleXfs>
  <cellXfs count="355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6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>
      <alignment vertical="center"/>
    </xf>
    <xf numFmtId="0" fontId="3" fillId="0" borderId="0" xfId="0" quotePrefix="1" applyFont="1">
      <alignment vertical="center"/>
    </xf>
    <xf numFmtId="14" fontId="7" fillId="0" borderId="0" xfId="0" applyNumberFormat="1" applyFont="1">
      <alignment vertical="center"/>
    </xf>
    <xf numFmtId="0" fontId="8" fillId="0" borderId="0" xfId="0" applyFont="1">
      <alignment vertical="center"/>
    </xf>
    <xf numFmtId="41" fontId="9" fillId="2" borderId="0" xfId="1" applyFont="1" applyFill="1">
      <alignment vertical="center"/>
    </xf>
    <xf numFmtId="41" fontId="6" fillId="2" borderId="0" xfId="1" applyFont="1" applyFill="1">
      <alignment vertical="center"/>
    </xf>
    <xf numFmtId="0" fontId="7" fillId="2" borderId="0" xfId="0" applyFont="1" applyFill="1">
      <alignment vertical="center"/>
    </xf>
    <xf numFmtId="0" fontId="7" fillId="0" borderId="0" xfId="0" applyFont="1">
      <alignment vertical="center"/>
    </xf>
    <xf numFmtId="41" fontId="10" fillId="3" borderId="1" xfId="1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10" fillId="0" borderId="0" xfId="0" applyFont="1">
      <alignment vertical="center"/>
    </xf>
    <xf numFmtId="0" fontId="10" fillId="3" borderId="1" xfId="0" applyFont="1" applyFill="1" applyBorder="1">
      <alignment vertical="center"/>
    </xf>
    <xf numFmtId="9" fontId="10" fillId="3" borderId="1" xfId="0" applyNumberFormat="1" applyFont="1" applyFill="1" applyBorder="1">
      <alignment vertical="center"/>
    </xf>
    <xf numFmtId="41" fontId="10" fillId="0" borderId="0" xfId="1" applyFont="1">
      <alignment vertical="center"/>
    </xf>
    <xf numFmtId="3" fontId="3" fillId="0" borderId="0" xfId="0" applyNumberFormat="1" applyFont="1">
      <alignment vertical="center"/>
    </xf>
    <xf numFmtId="0" fontId="12" fillId="0" borderId="0" xfId="0" applyFont="1">
      <alignment vertical="center"/>
    </xf>
    <xf numFmtId="1" fontId="3" fillId="0" borderId="0" xfId="0" applyNumberFormat="1" applyFont="1">
      <alignment vertical="center"/>
    </xf>
    <xf numFmtId="9" fontId="3" fillId="3" borderId="1" xfId="0" applyNumberFormat="1" applyFont="1" applyFill="1" applyBorder="1">
      <alignment vertical="center"/>
    </xf>
    <xf numFmtId="9" fontId="3" fillId="0" borderId="0" xfId="0" applyNumberFormat="1" applyFont="1">
      <alignment vertical="center"/>
    </xf>
    <xf numFmtId="43" fontId="10" fillId="0" borderId="0" xfId="0" applyNumberFormat="1" applyFont="1">
      <alignment vertical="center"/>
    </xf>
    <xf numFmtId="41" fontId="13" fillId="0" borderId="0" xfId="1" applyFont="1">
      <alignment vertical="center"/>
    </xf>
    <xf numFmtId="41" fontId="10" fillId="4" borderId="0" xfId="1" applyFont="1" applyFill="1">
      <alignment vertical="center"/>
    </xf>
    <xf numFmtId="0" fontId="15" fillId="0" borderId="0" xfId="0" applyFont="1">
      <alignment vertical="center"/>
    </xf>
    <xf numFmtId="0" fontId="8" fillId="2" borderId="0" xfId="0" applyFont="1" applyFill="1">
      <alignment vertical="center"/>
    </xf>
    <xf numFmtId="0" fontId="12" fillId="0" borderId="0" xfId="0" applyFont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41" fontId="15" fillId="5" borderId="1" xfId="1" applyFont="1" applyFill="1" applyBorder="1" applyAlignment="1">
      <alignment horizontal="left" vertical="center"/>
    </xf>
    <xf numFmtId="41" fontId="15" fillId="5" borderId="1" xfId="1" applyFont="1" applyFill="1" applyBorder="1" applyAlignment="1">
      <alignment vertical="center"/>
    </xf>
    <xf numFmtId="41" fontId="21" fillId="5" borderId="1" xfId="1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41" fontId="22" fillId="3" borderId="1" xfId="1" applyFont="1" applyFill="1" applyBorder="1" applyAlignment="1">
      <alignment horizontal="left" vertical="center"/>
    </xf>
    <xf numFmtId="176" fontId="24" fillId="6" borderId="1" xfId="0" applyNumberFormat="1" applyFont="1" applyFill="1" applyBorder="1" applyAlignment="1">
      <alignment horizontal="center" vertical="center"/>
    </xf>
    <xf numFmtId="176" fontId="25" fillId="4" borderId="1" xfId="0" applyNumberFormat="1" applyFont="1" applyFill="1" applyBorder="1" applyAlignment="1">
      <alignment horizontal="center" vertical="center"/>
    </xf>
    <xf numFmtId="176" fontId="25" fillId="6" borderId="1" xfId="0" applyNumberFormat="1" applyFont="1" applyFill="1" applyBorder="1" applyAlignment="1">
      <alignment horizontal="center" vertical="center"/>
    </xf>
    <xf numFmtId="41" fontId="25" fillId="4" borderId="1" xfId="1" applyFont="1" applyFill="1" applyBorder="1" applyAlignment="1">
      <alignment horizontal="center" vertical="center"/>
    </xf>
    <xf numFmtId="41" fontId="25" fillId="6" borderId="1" xfId="1" applyFont="1" applyFill="1" applyBorder="1" applyAlignment="1">
      <alignment horizontal="center" vertical="center"/>
    </xf>
    <xf numFmtId="0" fontId="27" fillId="7" borderId="0" xfId="0" applyFont="1" applyFill="1">
      <alignment vertical="center"/>
    </xf>
    <xf numFmtId="3" fontId="27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12" fillId="0" borderId="1" xfId="0" applyFont="1" applyBorder="1" applyAlignment="1">
      <alignment horizontal="left" vertical="center" shrinkToFit="1"/>
    </xf>
    <xf numFmtId="0" fontId="18" fillId="0" borderId="1" xfId="0" applyFont="1" applyBorder="1" applyAlignment="1">
      <alignment horizontal="left" vertical="center" shrinkToFit="1"/>
    </xf>
    <xf numFmtId="14" fontId="12" fillId="0" borderId="1" xfId="0" applyNumberFormat="1" applyFont="1" applyBorder="1" applyAlignment="1">
      <alignment horizontal="left" vertical="center"/>
    </xf>
    <xf numFmtId="177" fontId="12" fillId="0" borderId="1" xfId="1" applyNumberFormat="1" applyFont="1" applyFill="1" applyBorder="1" applyAlignment="1">
      <alignment horizontal="left" vertical="center"/>
    </xf>
    <xf numFmtId="38" fontId="12" fillId="0" borderId="1" xfId="0" applyNumberFormat="1" applyFont="1" applyBorder="1" applyAlignment="1">
      <alignment horizontal="left" vertical="center"/>
    </xf>
    <xf numFmtId="41" fontId="12" fillId="0" borderId="0" xfId="1" applyFont="1">
      <alignment vertical="center"/>
    </xf>
    <xf numFmtId="41" fontId="12" fillId="0" borderId="1" xfId="1" applyFont="1" applyFill="1" applyBorder="1" applyAlignment="1">
      <alignment vertical="center"/>
    </xf>
    <xf numFmtId="41" fontId="12" fillId="2" borderId="1" xfId="1" applyFont="1" applyFill="1" applyBorder="1" applyAlignment="1">
      <alignment vertical="center"/>
    </xf>
    <xf numFmtId="41" fontId="10" fillId="0" borderId="1" xfId="1" applyFont="1" applyFill="1" applyBorder="1">
      <alignment vertical="center"/>
    </xf>
    <xf numFmtId="43" fontId="10" fillId="0" borderId="1" xfId="1" applyNumberFormat="1" applyFont="1" applyFill="1" applyBorder="1">
      <alignment vertical="center"/>
    </xf>
    <xf numFmtId="41" fontId="10" fillId="0" borderId="0" xfId="1" applyFont="1" applyFill="1">
      <alignment vertical="center"/>
    </xf>
    <xf numFmtId="178" fontId="3" fillId="7" borderId="0" xfId="0" applyNumberFormat="1" applyFont="1" applyFill="1">
      <alignment vertical="center"/>
    </xf>
    <xf numFmtId="41" fontId="3" fillId="0" borderId="0" xfId="0" applyNumberFormat="1" applyFont="1">
      <alignment vertical="center"/>
    </xf>
    <xf numFmtId="0" fontId="12" fillId="0" borderId="1" xfId="2" applyFont="1" applyBorder="1" applyAlignment="1">
      <alignment horizontal="left" vertical="center" shrinkToFit="1"/>
    </xf>
    <xf numFmtId="179" fontId="12" fillId="0" borderId="1" xfId="0" applyNumberFormat="1" applyFont="1" applyBorder="1" applyAlignment="1">
      <alignment horizontal="left" vertical="center" shrinkToFit="1"/>
    </xf>
    <xf numFmtId="3" fontId="10" fillId="0" borderId="0" xfId="0" applyNumberFormat="1" applyFont="1">
      <alignment vertical="center"/>
    </xf>
    <xf numFmtId="3" fontId="3" fillId="8" borderId="0" xfId="0" applyNumberFormat="1" applyFont="1" applyFill="1">
      <alignment vertical="center"/>
    </xf>
    <xf numFmtId="0" fontId="12" fillId="2" borderId="1" xfId="0" applyFont="1" applyFill="1" applyBorder="1" applyAlignment="1">
      <alignment horizontal="left" vertical="center" shrinkToFit="1"/>
    </xf>
    <xf numFmtId="0" fontId="12" fillId="0" borderId="1" xfId="0" applyFont="1" applyBorder="1">
      <alignment vertical="center"/>
    </xf>
    <xf numFmtId="41" fontId="10" fillId="0" borderId="1" xfId="1" applyFont="1" applyBorder="1">
      <alignment vertical="center"/>
    </xf>
    <xf numFmtId="43" fontId="10" fillId="0" borderId="1" xfId="1" applyNumberFormat="1" applyFont="1" applyBorder="1">
      <alignment vertical="center"/>
    </xf>
    <xf numFmtId="38" fontId="10" fillId="0" borderId="0" xfId="0" applyNumberFormat="1" applyFont="1">
      <alignment vertical="center"/>
    </xf>
    <xf numFmtId="38" fontId="10" fillId="0" borderId="0" xfId="1" applyNumberFormat="1" applyFont="1">
      <alignment vertical="center"/>
    </xf>
    <xf numFmtId="38" fontId="3" fillId="0" borderId="0" xfId="0" applyNumberFormat="1" applyFont="1">
      <alignment vertical="center"/>
    </xf>
    <xf numFmtId="0" fontId="30" fillId="0" borderId="1" xfId="0" applyFont="1" applyBorder="1" applyAlignment="1">
      <alignment horizontal="left" vertical="center" shrinkToFit="1"/>
    </xf>
    <xf numFmtId="0" fontId="12" fillId="0" borderId="1" xfId="2" applyFont="1" applyBorder="1" applyAlignment="1">
      <alignment horizontal="left" vertical="center"/>
    </xf>
    <xf numFmtId="41" fontId="12" fillId="0" borderId="1" xfId="1" applyFont="1" applyFill="1" applyBorder="1" applyAlignment="1">
      <alignment horizontal="left" vertical="center"/>
    </xf>
    <xf numFmtId="41" fontId="12" fillId="2" borderId="1" xfId="1" applyFont="1" applyFill="1" applyBorder="1" applyAlignment="1">
      <alignment horizontal="left" vertical="center"/>
    </xf>
    <xf numFmtId="38" fontId="10" fillId="0" borderId="0" xfId="1" applyNumberFormat="1" applyFont="1" applyFill="1">
      <alignment vertical="center"/>
    </xf>
    <xf numFmtId="3" fontId="3" fillId="9" borderId="0" xfId="0" applyNumberFormat="1" applyFont="1" applyFill="1">
      <alignment vertical="center"/>
    </xf>
    <xf numFmtId="0" fontId="3" fillId="9" borderId="0" xfId="0" applyFont="1" applyFill="1">
      <alignment vertical="center"/>
    </xf>
    <xf numFmtId="180" fontId="12" fillId="0" borderId="1" xfId="0" applyNumberFormat="1" applyFont="1" applyBorder="1" applyAlignment="1">
      <alignment horizontal="left" vertical="center"/>
    </xf>
    <xf numFmtId="181" fontId="12" fillId="0" borderId="1" xfId="0" applyNumberFormat="1" applyFont="1" applyBorder="1" applyAlignment="1">
      <alignment horizontal="left" vertical="center"/>
    </xf>
    <xf numFmtId="0" fontId="12" fillId="0" borderId="1" xfId="1" applyNumberFormat="1" applyFont="1" applyFill="1" applyBorder="1" applyAlignment="1">
      <alignment horizontal="left" vertical="center"/>
    </xf>
    <xf numFmtId="0" fontId="31" fillId="0" borderId="1" xfId="0" applyFont="1" applyBorder="1" applyAlignment="1">
      <alignment horizontal="center" vertical="top"/>
    </xf>
    <xf numFmtId="41" fontId="3" fillId="0" borderId="1" xfId="1" applyFont="1" applyFill="1" applyBorder="1">
      <alignment vertical="center"/>
    </xf>
    <xf numFmtId="41" fontId="3" fillId="2" borderId="1" xfId="1" applyFont="1" applyFill="1" applyBorder="1">
      <alignment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top"/>
    </xf>
    <xf numFmtId="0" fontId="12" fillId="0" borderId="1" xfId="0" quotePrefix="1" applyFont="1" applyBorder="1" applyAlignment="1">
      <alignment horizontal="left" vertical="center" shrinkToFit="1"/>
    </xf>
    <xf numFmtId="0" fontId="31" fillId="0" borderId="1" xfId="0" applyFont="1" applyBorder="1" applyAlignment="1">
      <alignment vertical="top"/>
    </xf>
    <xf numFmtId="0" fontId="31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 wrapText="1"/>
    </xf>
    <xf numFmtId="0" fontId="31" fillId="0" borderId="1" xfId="0" applyFont="1" applyBorder="1">
      <alignment vertical="center"/>
    </xf>
    <xf numFmtId="0" fontId="32" fillId="0" borderId="1" xfId="0" applyFont="1" applyBorder="1" applyAlignment="1">
      <alignment horizontal="left" vertical="center"/>
    </xf>
    <xf numFmtId="0" fontId="27" fillId="0" borderId="1" xfId="0" applyFont="1" applyBorder="1">
      <alignment vertical="center"/>
    </xf>
    <xf numFmtId="0" fontId="3" fillId="9" borderId="1" xfId="0" applyFont="1" applyFill="1" applyBorder="1">
      <alignment vertical="center"/>
    </xf>
    <xf numFmtId="41" fontId="12" fillId="10" borderId="1" xfId="1" applyFont="1" applyFill="1" applyBorder="1" applyAlignment="1">
      <alignment vertical="center"/>
    </xf>
    <xf numFmtId="0" fontId="12" fillId="0" borderId="2" xfId="0" applyFont="1" applyBorder="1" applyAlignment="1">
      <alignment horizontal="left" vertical="center" shrinkToFit="1"/>
    </xf>
    <xf numFmtId="0" fontId="12" fillId="0" borderId="0" xfId="0" applyFont="1" applyAlignment="1">
      <alignment horizontal="left" vertical="center"/>
    </xf>
    <xf numFmtId="14" fontId="12" fillId="0" borderId="1" xfId="0" applyNumberFormat="1" applyFont="1" applyBorder="1" applyAlignment="1">
      <alignment horizontal="left" vertical="center" shrinkToFit="1"/>
    </xf>
    <xf numFmtId="0" fontId="12" fillId="11" borderId="1" xfId="0" applyFont="1" applyFill="1" applyBorder="1" applyAlignment="1">
      <alignment horizontal="left" vertical="center" shrinkToFit="1"/>
    </xf>
    <xf numFmtId="38" fontId="10" fillId="0" borderId="0" xfId="1" applyNumberFormat="1" applyFont="1" applyBorder="1">
      <alignment vertical="center"/>
    </xf>
    <xf numFmtId="41" fontId="10" fillId="0" borderId="0" xfId="1" applyFont="1" applyBorder="1">
      <alignment vertical="center"/>
    </xf>
    <xf numFmtId="0" fontId="31" fillId="0" borderId="1" xfId="2" applyFont="1" applyBorder="1" applyAlignment="1" applyProtection="1">
      <alignment horizontal="left" vertical="center"/>
      <protection locked="0"/>
    </xf>
    <xf numFmtId="0" fontId="33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vertical="center" shrinkToFit="1"/>
    </xf>
    <xf numFmtId="0" fontId="35" fillId="0" borderId="1" xfId="0" applyFont="1" applyBorder="1" applyAlignment="1">
      <alignment horizontal="left" vertical="center" shrinkToFit="1"/>
    </xf>
    <xf numFmtId="41" fontId="10" fillId="0" borderId="0" xfId="1" applyFont="1" applyFill="1" applyBorder="1">
      <alignment vertical="center"/>
    </xf>
    <xf numFmtId="38" fontId="10" fillId="0" borderId="0" xfId="1" applyNumberFormat="1" applyFont="1" applyFill="1" applyBorder="1">
      <alignment vertical="center"/>
    </xf>
    <xf numFmtId="0" fontId="37" fillId="0" borderId="1" xfId="0" applyFont="1" applyBorder="1" applyAlignment="1">
      <alignment horizontal="left" vertical="center" shrinkToFit="1"/>
    </xf>
    <xf numFmtId="38" fontId="3" fillId="9" borderId="0" xfId="0" applyNumberFormat="1" applyFont="1" applyFill="1">
      <alignment vertical="center"/>
    </xf>
    <xf numFmtId="41" fontId="31" fillId="0" borderId="1" xfId="1" applyFont="1" applyFill="1" applyBorder="1" applyAlignment="1">
      <alignment vertical="center"/>
    </xf>
    <xf numFmtId="0" fontId="12" fillId="0" borderId="0" xfId="0" applyFont="1" applyAlignment="1">
      <alignment horizontal="left" vertical="center" shrinkToFit="1"/>
    </xf>
    <xf numFmtId="0" fontId="38" fillId="0" borderId="1" xfId="0" applyFont="1" applyBorder="1" applyAlignment="1">
      <alignment horizontal="left" vertical="center" shrinkToFit="1"/>
    </xf>
    <xf numFmtId="0" fontId="39" fillId="0" borderId="0" xfId="0" applyFont="1">
      <alignment vertical="center"/>
    </xf>
    <xf numFmtId="178" fontId="39" fillId="7" borderId="0" xfId="0" applyNumberFormat="1" applyFont="1" applyFill="1">
      <alignment vertical="center"/>
    </xf>
    <xf numFmtId="3" fontId="39" fillId="8" borderId="0" xfId="0" applyNumberFormat="1" applyFont="1" applyFill="1">
      <alignment vertical="center"/>
    </xf>
    <xf numFmtId="41" fontId="12" fillId="9" borderId="1" xfId="1" applyFont="1" applyFill="1" applyBorder="1" applyAlignment="1">
      <alignment vertical="center"/>
    </xf>
    <xf numFmtId="41" fontId="31" fillId="9" borderId="1" xfId="1" applyFont="1" applyFill="1" applyBorder="1" applyAlignment="1">
      <alignment vertical="center"/>
    </xf>
    <xf numFmtId="0" fontId="3" fillId="12" borderId="1" xfId="0" applyFont="1" applyFill="1" applyBorder="1">
      <alignment vertical="center"/>
    </xf>
    <xf numFmtId="0" fontId="12" fillId="2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left" vertical="center" shrinkToFit="1"/>
    </xf>
    <xf numFmtId="41" fontId="31" fillId="0" borderId="1" xfId="1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 shrinkToFit="1"/>
    </xf>
    <xf numFmtId="14" fontId="12" fillId="13" borderId="1" xfId="0" applyNumberFormat="1" applyFont="1" applyFill="1" applyBorder="1" applyAlignment="1">
      <alignment horizontal="left" vertical="center" shrinkToFit="1"/>
    </xf>
    <xf numFmtId="0" fontId="32" fillId="0" borderId="1" xfId="0" applyFont="1" applyBorder="1" applyAlignment="1">
      <alignment horizontal="left" vertical="center" shrinkToFit="1"/>
    </xf>
    <xf numFmtId="0" fontId="12" fillId="9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1" fontId="12" fillId="0" borderId="1" xfId="0" applyNumberFormat="1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40" fillId="0" borderId="1" xfId="0" applyFont="1" applyBorder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0" fontId="42" fillId="0" borderId="1" xfId="0" applyFont="1" applyBorder="1" applyAlignment="1">
      <alignment horizontal="left" vertical="center"/>
    </xf>
    <xf numFmtId="14" fontId="33" fillId="0" borderId="1" xfId="0" applyNumberFormat="1" applyFont="1" applyBorder="1" applyAlignment="1">
      <alignment horizontal="left" vertical="center"/>
    </xf>
    <xf numFmtId="177" fontId="33" fillId="0" borderId="1" xfId="1" applyNumberFormat="1" applyFont="1" applyFill="1" applyBorder="1" applyAlignment="1">
      <alignment horizontal="left" vertical="center"/>
    </xf>
    <xf numFmtId="41" fontId="33" fillId="0" borderId="1" xfId="1" applyFont="1" applyFill="1" applyBorder="1" applyAlignment="1">
      <alignment horizontal="left" vertical="center"/>
    </xf>
    <xf numFmtId="38" fontId="39" fillId="0" borderId="0" xfId="0" applyNumberFormat="1" applyFont="1">
      <alignment vertical="center"/>
    </xf>
    <xf numFmtId="182" fontId="12" fillId="0" borderId="1" xfId="0" applyNumberFormat="1" applyFont="1" applyBorder="1" applyAlignment="1">
      <alignment horizontal="left" vertical="center"/>
    </xf>
    <xf numFmtId="0" fontId="40" fillId="0" borderId="1" xfId="0" applyFont="1" applyBorder="1" applyAlignment="1">
      <alignment horizontal="left" vertical="center" shrinkToFit="1"/>
    </xf>
    <xf numFmtId="0" fontId="39" fillId="0" borderId="1" xfId="0" applyFont="1" applyBorder="1">
      <alignment vertical="center"/>
    </xf>
    <xf numFmtId="41" fontId="33" fillId="0" borderId="1" xfId="1" applyFont="1" applyFill="1" applyBorder="1" applyAlignment="1">
      <alignment vertical="center"/>
    </xf>
    <xf numFmtId="3" fontId="39" fillId="0" borderId="0" xfId="0" applyNumberFormat="1" applyFont="1">
      <alignment vertical="center"/>
    </xf>
    <xf numFmtId="0" fontId="30" fillId="0" borderId="1" xfId="0" applyFont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14" fontId="45" fillId="0" borderId="1" xfId="0" applyNumberFormat="1" applyFont="1" applyBorder="1" applyAlignment="1">
      <alignment horizontal="left" vertical="center"/>
    </xf>
    <xf numFmtId="0" fontId="45" fillId="0" borderId="1" xfId="0" applyFont="1" applyBorder="1" applyAlignment="1">
      <alignment horizontal="left" vertical="center"/>
    </xf>
    <xf numFmtId="41" fontId="45" fillId="0" borderId="1" xfId="1" applyFont="1" applyFill="1" applyBorder="1" applyAlignment="1">
      <alignment vertical="center"/>
    </xf>
    <xf numFmtId="41" fontId="45" fillId="0" borderId="1" xfId="1" applyFont="1" applyFill="1" applyBorder="1" applyAlignment="1">
      <alignment horizontal="left" vertical="center"/>
    </xf>
    <xf numFmtId="0" fontId="3" fillId="14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10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center" vertical="center"/>
    </xf>
    <xf numFmtId="0" fontId="10" fillId="14" borderId="1" xfId="0" applyFont="1" applyFill="1" applyBorder="1">
      <alignment vertical="center"/>
    </xf>
    <xf numFmtId="41" fontId="10" fillId="14" borderId="1" xfId="1" applyFont="1" applyFill="1" applyBorder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41" fontId="10" fillId="2" borderId="1" xfId="1" applyFont="1" applyFill="1" applyBorder="1">
      <alignment vertical="center"/>
    </xf>
    <xf numFmtId="41" fontId="13" fillId="0" borderId="1" xfId="1" applyFont="1" applyFill="1" applyBorder="1">
      <alignment vertical="center"/>
    </xf>
    <xf numFmtId="0" fontId="12" fillId="2" borderId="0" xfId="0" applyFont="1" applyFill="1" applyAlignment="1">
      <alignment horizontal="left" vertical="center"/>
    </xf>
    <xf numFmtId="38" fontId="12" fillId="15" borderId="3" xfId="0" applyNumberFormat="1" applyFont="1" applyFill="1" applyBorder="1" applyAlignment="1">
      <alignment horizontal="left"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2" fillId="16" borderId="4" xfId="0" applyFont="1" applyFill="1" applyBorder="1">
      <alignment vertical="center"/>
    </xf>
    <xf numFmtId="0" fontId="2" fillId="0" borderId="4" xfId="0" applyFont="1" applyBorder="1">
      <alignment vertical="center"/>
    </xf>
    <xf numFmtId="0" fontId="52" fillId="0" borderId="4" xfId="0" applyFont="1" applyBorder="1">
      <alignment vertical="center"/>
    </xf>
    <xf numFmtId="0" fontId="52" fillId="0" borderId="5" xfId="0" applyFont="1" applyBorder="1">
      <alignment vertical="center"/>
    </xf>
    <xf numFmtId="0" fontId="2" fillId="16" borderId="6" xfId="0" applyFont="1" applyFill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18" fillId="0" borderId="0" xfId="0" applyFont="1">
      <alignment vertical="center"/>
    </xf>
    <xf numFmtId="0" fontId="18" fillId="0" borderId="1" xfId="0" applyFont="1" applyFill="1" applyBorder="1">
      <alignment vertical="center"/>
    </xf>
    <xf numFmtId="0" fontId="5" fillId="0" borderId="0" xfId="0" applyFont="1" applyFill="1">
      <alignment vertical="center"/>
    </xf>
    <xf numFmtId="0" fontId="18" fillId="0" borderId="1" xfId="0" applyFont="1" applyFill="1" applyBorder="1" applyAlignment="1">
      <alignment vertical="top"/>
    </xf>
    <xf numFmtId="41" fontId="18" fillId="0" borderId="1" xfId="1" applyFont="1" applyFill="1" applyBorder="1">
      <alignment vertical="center"/>
    </xf>
    <xf numFmtId="0" fontId="53" fillId="17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41" fontId="18" fillId="0" borderId="1" xfId="0" applyNumberFormat="1" applyFont="1" applyFill="1" applyBorder="1">
      <alignment vertical="center"/>
    </xf>
    <xf numFmtId="0" fontId="18" fillId="0" borderId="0" xfId="0" applyFont="1" applyFill="1">
      <alignment vertical="center"/>
    </xf>
    <xf numFmtId="0" fontId="54" fillId="17" borderId="11" xfId="0" applyFont="1" applyFill="1" applyBorder="1">
      <alignment vertical="center"/>
    </xf>
    <xf numFmtId="0" fontId="53" fillId="17" borderId="11" xfId="0" applyFont="1" applyFill="1" applyBorder="1" applyAlignment="1">
      <alignment vertical="center"/>
    </xf>
    <xf numFmtId="0" fontId="53" fillId="17" borderId="1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1" xfId="0" quotePrefix="1" applyFont="1" applyFill="1" applyBorder="1" applyAlignment="1">
      <alignment vertical="center"/>
    </xf>
    <xf numFmtId="0" fontId="18" fillId="0" borderId="1" xfId="0" applyFont="1" applyFill="1" applyBorder="1" applyAlignment="1">
      <alignment vertical="center"/>
    </xf>
    <xf numFmtId="41" fontId="18" fillId="0" borderId="1" xfId="0" applyNumberFormat="1" applyFont="1" applyFill="1" applyBorder="1" applyAlignment="1">
      <alignment horizontal="center" vertical="center"/>
    </xf>
    <xf numFmtId="0" fontId="52" fillId="0" borderId="4" xfId="0" applyNumberFormat="1" applyFont="1" applyBorder="1">
      <alignment vertical="center"/>
    </xf>
    <xf numFmtId="0" fontId="2" fillId="0" borderId="10" xfId="0" applyNumberFormat="1" applyFont="1" applyBorder="1">
      <alignment vertical="center"/>
    </xf>
    <xf numFmtId="41" fontId="38" fillId="0" borderId="0" xfId="1" applyFont="1">
      <alignment vertical="center"/>
    </xf>
    <xf numFmtId="0" fontId="18" fillId="2" borderId="1" xfId="0" applyFont="1" applyFill="1" applyBorder="1">
      <alignment vertical="center"/>
    </xf>
    <xf numFmtId="41" fontId="18" fillId="2" borderId="1" xfId="1" applyFont="1" applyFill="1" applyBorder="1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55" fillId="11" borderId="1" xfId="0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180" fontId="0" fillId="0" borderId="12" xfId="0" applyNumberForma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180" fontId="0" fillId="0" borderId="15" xfId="0" applyNumberForma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180" fontId="0" fillId="0" borderId="18" xfId="0" applyNumberFormat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180" fontId="0" fillId="0" borderId="21" xfId="0" applyNumberFormat="1" applyBorder="1" applyAlignment="1">
      <alignment horizontal="center" vertical="center"/>
    </xf>
    <xf numFmtId="0" fontId="0" fillId="0" borderId="22" xfId="0" applyBorder="1">
      <alignment vertical="center"/>
    </xf>
    <xf numFmtId="0" fontId="17" fillId="18" borderId="12" xfId="0" applyFont="1" applyFill="1" applyBorder="1" applyAlignment="1">
      <alignment horizontal="center" vertical="center"/>
    </xf>
    <xf numFmtId="0" fontId="17" fillId="18" borderId="1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9" borderId="18" xfId="0" applyFill="1" applyBorder="1">
      <alignment vertical="center"/>
    </xf>
    <xf numFmtId="0" fontId="0" fillId="9" borderId="18" xfId="0" applyFill="1" applyBorder="1" applyAlignment="1">
      <alignment horizontal="center" vertical="center"/>
    </xf>
    <xf numFmtId="180" fontId="0" fillId="9" borderId="18" xfId="0" applyNumberFormat="1" applyFill="1" applyBorder="1" applyAlignment="1">
      <alignment horizontal="center" vertical="center"/>
    </xf>
    <xf numFmtId="0" fontId="0" fillId="9" borderId="19" xfId="0" applyFill="1" applyBorder="1">
      <alignment vertical="center"/>
    </xf>
    <xf numFmtId="0" fontId="0" fillId="0" borderId="15" xfId="0" applyFill="1" applyBorder="1" applyAlignment="1">
      <alignment horizontal="center" vertical="center"/>
    </xf>
    <xf numFmtId="180" fontId="0" fillId="0" borderId="15" xfId="0" applyNumberFormat="1" applyFill="1" applyBorder="1" applyAlignment="1">
      <alignment horizontal="center" vertical="center"/>
    </xf>
    <xf numFmtId="0" fontId="0" fillId="0" borderId="16" xfId="0" applyFill="1" applyBorder="1">
      <alignment vertical="center"/>
    </xf>
    <xf numFmtId="0" fontId="0" fillId="0" borderId="18" xfId="0" applyFill="1" applyBorder="1" applyAlignment="1">
      <alignment horizontal="center" vertical="center"/>
    </xf>
    <xf numFmtId="180" fontId="0" fillId="0" borderId="18" xfId="0" applyNumberFormat="1" applyFill="1" applyBorder="1" applyAlignment="1">
      <alignment horizontal="center" vertical="center"/>
    </xf>
    <xf numFmtId="0" fontId="0" fillId="0" borderId="19" xfId="0" applyFill="1" applyBorder="1">
      <alignment vertical="center"/>
    </xf>
    <xf numFmtId="180" fontId="56" fillId="0" borderId="18" xfId="0" applyNumberFormat="1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180" fontId="0" fillId="0" borderId="21" xfId="0" applyNumberFormat="1" applyFill="1" applyBorder="1" applyAlignment="1">
      <alignment horizontal="center" vertical="center"/>
    </xf>
    <xf numFmtId="0" fontId="0" fillId="0" borderId="22" xfId="0" applyFill="1" applyBorder="1">
      <alignment vertical="center"/>
    </xf>
    <xf numFmtId="0" fontId="5" fillId="2" borderId="19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18" xfId="0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2" borderId="18" xfId="0" applyFill="1" applyBorder="1">
      <alignment vertical="center"/>
    </xf>
    <xf numFmtId="0" fontId="58" fillId="2" borderId="19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8" fillId="0" borderId="0" xfId="0" applyFont="1">
      <alignment vertical="center"/>
    </xf>
    <xf numFmtId="0" fontId="57" fillId="2" borderId="0" xfId="0" applyFont="1" applyFill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55" fillId="11" borderId="23" xfId="0" applyFont="1" applyFill="1" applyBorder="1" applyAlignment="1">
      <alignment horizontal="center" vertical="center"/>
    </xf>
    <xf numFmtId="0" fontId="55" fillId="11" borderId="24" xfId="0" applyFont="1" applyFill="1" applyBorder="1" applyAlignment="1">
      <alignment horizontal="center" vertical="center"/>
    </xf>
    <xf numFmtId="0" fontId="55" fillId="11" borderId="25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1" fontId="59" fillId="2" borderId="0" xfId="1" applyFont="1" applyFill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>
      <alignment vertical="center"/>
    </xf>
    <xf numFmtId="0" fontId="55" fillId="0" borderId="0" xfId="0" applyFont="1">
      <alignment vertical="center"/>
    </xf>
    <xf numFmtId="0" fontId="63" fillId="0" borderId="0" xfId="0" applyFont="1" applyAlignment="1">
      <alignment horizontal="center" vertical="center"/>
    </xf>
    <xf numFmtId="183" fontId="65" fillId="19" borderId="29" xfId="0" applyNumberFormat="1" applyFont="1" applyFill="1" applyBorder="1" applyAlignment="1">
      <alignment horizontal="center" vertical="center"/>
    </xf>
    <xf numFmtId="183" fontId="65" fillId="0" borderId="0" xfId="0" applyNumberFormat="1" applyFont="1" applyAlignment="1">
      <alignment horizontal="center" vertical="center"/>
    </xf>
    <xf numFmtId="183" fontId="65" fillId="19" borderId="32" xfId="0" applyNumberFormat="1" applyFont="1" applyFill="1" applyBorder="1" applyAlignment="1">
      <alignment horizontal="center" vertical="center"/>
    </xf>
    <xf numFmtId="41" fontId="63" fillId="20" borderId="33" xfId="1" applyFont="1" applyFill="1" applyBorder="1">
      <alignment vertical="center"/>
    </xf>
    <xf numFmtId="0" fontId="63" fillId="20" borderId="29" xfId="0" applyFont="1" applyFill="1" applyBorder="1">
      <alignment vertical="center"/>
    </xf>
    <xf numFmtId="0" fontId="63" fillId="20" borderId="29" xfId="0" applyFont="1" applyFill="1" applyBorder="1" applyAlignment="1">
      <alignment horizontal="center" vertical="center" wrapText="1"/>
    </xf>
    <xf numFmtId="0" fontId="66" fillId="20" borderId="29" xfId="0" applyFont="1" applyFill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8" fillId="0" borderId="29" xfId="0" applyFont="1" applyBorder="1" applyAlignment="1">
      <alignment horizontal="left" vertical="center"/>
    </xf>
    <xf numFmtId="41" fontId="69" fillId="0" borderId="29" xfId="1" applyFont="1" applyFill="1" applyBorder="1" applyAlignment="1">
      <alignment horizontal="left" vertical="center"/>
    </xf>
    <xf numFmtId="0" fontId="69" fillId="0" borderId="29" xfId="0" applyFont="1" applyBorder="1" applyAlignment="1">
      <alignment horizontal="center" vertical="center"/>
    </xf>
    <xf numFmtId="41" fontId="69" fillId="0" borderId="29" xfId="0" applyNumberFormat="1" applyFont="1" applyBorder="1">
      <alignment vertical="center"/>
    </xf>
    <xf numFmtId="41" fontId="69" fillId="0" borderId="0" xfId="0" applyNumberFormat="1" applyFont="1">
      <alignment vertical="center"/>
    </xf>
    <xf numFmtId="41" fontId="66" fillId="0" borderId="33" xfId="1" applyFont="1" applyBorder="1" applyAlignment="1">
      <alignment horizontal="center" vertical="center"/>
    </xf>
    <xf numFmtId="41" fontId="69" fillId="2" borderId="29" xfId="0" applyNumberFormat="1" applyFont="1" applyFill="1" applyBorder="1" applyAlignment="1">
      <alignment horizontal="center" vertical="center"/>
    </xf>
    <xf numFmtId="184" fontId="69" fillId="2" borderId="29" xfId="0" applyNumberFormat="1" applyFont="1" applyFill="1" applyBorder="1" applyAlignment="1">
      <alignment horizontal="center" vertical="center"/>
    </xf>
    <xf numFmtId="0" fontId="66" fillId="0" borderId="29" xfId="0" applyFont="1" applyBorder="1">
      <alignment vertical="center"/>
    </xf>
    <xf numFmtId="0" fontId="66" fillId="0" borderId="0" xfId="0" applyFont="1">
      <alignment vertical="center"/>
    </xf>
    <xf numFmtId="0" fontId="68" fillId="21" borderId="29" xfId="0" applyFont="1" applyFill="1" applyBorder="1" applyAlignment="1">
      <alignment horizontal="left" vertical="center"/>
    </xf>
    <xf numFmtId="0" fontId="61" fillId="0" borderId="0" xfId="0" applyFont="1" applyAlignment="1">
      <alignment horizontal="center" vertical="center"/>
    </xf>
    <xf numFmtId="0" fontId="70" fillId="22" borderId="29" xfId="0" applyFont="1" applyFill="1" applyBorder="1">
      <alignment vertical="center"/>
    </xf>
    <xf numFmtId="43" fontId="71" fillId="22" borderId="29" xfId="1" applyNumberFormat="1" applyFont="1" applyFill="1" applyBorder="1" applyAlignment="1">
      <alignment horizontal="left" vertical="center"/>
    </xf>
    <xf numFmtId="0" fontId="71" fillId="22" borderId="29" xfId="0" applyFont="1" applyFill="1" applyBorder="1" applyAlignment="1">
      <alignment horizontal="center" vertical="center"/>
    </xf>
    <xf numFmtId="185" fontId="71" fillId="22" borderId="29" xfId="1" applyNumberFormat="1" applyFont="1" applyFill="1" applyBorder="1" applyAlignment="1">
      <alignment horizontal="right" vertical="center"/>
    </xf>
    <xf numFmtId="185" fontId="71" fillId="0" borderId="0" xfId="1" applyNumberFormat="1" applyFont="1" applyFill="1" applyBorder="1" applyAlignment="1">
      <alignment horizontal="right" vertical="center"/>
    </xf>
    <xf numFmtId="41" fontId="71" fillId="22" borderId="33" xfId="1" applyFont="1" applyFill="1" applyBorder="1">
      <alignment vertical="center"/>
    </xf>
    <xf numFmtId="185" fontId="71" fillId="2" borderId="29" xfId="1" applyNumberFormat="1" applyFont="1" applyFill="1" applyBorder="1" applyAlignment="1">
      <alignment horizontal="right" vertical="center"/>
    </xf>
    <xf numFmtId="184" fontId="71" fillId="2" borderId="29" xfId="1" applyNumberFormat="1" applyFont="1" applyFill="1" applyBorder="1" applyAlignment="1">
      <alignment horizontal="right" vertical="center"/>
    </xf>
    <xf numFmtId="0" fontId="66" fillId="22" borderId="29" xfId="0" applyFont="1" applyFill="1" applyBorder="1">
      <alignment vertical="center"/>
    </xf>
    <xf numFmtId="0" fontId="71" fillId="22" borderId="0" xfId="0" applyFont="1" applyFill="1">
      <alignment vertical="center"/>
    </xf>
    <xf numFmtId="41" fontId="71" fillId="22" borderId="29" xfId="1" applyFont="1" applyFill="1" applyBorder="1" applyAlignment="1">
      <alignment horizontal="left" vertical="center"/>
    </xf>
    <xf numFmtId="41" fontId="69" fillId="0" borderId="29" xfId="0" applyNumberFormat="1" applyFont="1" applyBorder="1" applyAlignment="1">
      <alignment horizontal="left" vertical="center"/>
    </xf>
    <xf numFmtId="41" fontId="69" fillId="0" borderId="29" xfId="1" applyFont="1" applyFill="1" applyBorder="1">
      <alignment vertical="center"/>
    </xf>
    <xf numFmtId="41" fontId="69" fillId="0" borderId="0" xfId="1" applyFont="1" applyFill="1" applyBorder="1">
      <alignment vertical="center"/>
    </xf>
    <xf numFmtId="41" fontId="69" fillId="2" borderId="29" xfId="1" applyFont="1" applyFill="1" applyBorder="1">
      <alignment vertical="center"/>
    </xf>
    <xf numFmtId="184" fontId="69" fillId="2" borderId="29" xfId="1" applyNumberFormat="1" applyFont="1" applyFill="1" applyBorder="1">
      <alignment vertical="center"/>
    </xf>
    <xf numFmtId="0" fontId="66" fillId="0" borderId="29" xfId="0" applyFont="1" applyBorder="1" applyAlignment="1">
      <alignment vertical="center" wrapText="1"/>
    </xf>
    <xf numFmtId="41" fontId="69" fillId="0" borderId="29" xfId="0" applyNumberFormat="1" applyFont="1" applyBorder="1" applyAlignment="1">
      <alignment horizontal="center" vertical="center"/>
    </xf>
    <xf numFmtId="0" fontId="66" fillId="2" borderId="29" xfId="0" applyFont="1" applyFill="1" applyBorder="1">
      <alignment vertical="center"/>
    </xf>
    <xf numFmtId="41" fontId="66" fillId="0" borderId="29" xfId="1" applyFont="1" applyBorder="1" applyAlignment="1">
      <alignment horizontal="center" vertical="center"/>
    </xf>
    <xf numFmtId="0" fontId="72" fillId="0" borderId="29" xfId="0" applyFont="1" applyBorder="1">
      <alignment vertical="center"/>
    </xf>
    <xf numFmtId="0" fontId="66" fillId="0" borderId="33" xfId="0" applyFont="1" applyBorder="1">
      <alignment vertical="center"/>
    </xf>
    <xf numFmtId="0" fontId="69" fillId="0" borderId="29" xfId="0" applyFont="1" applyBorder="1">
      <alignment vertical="center"/>
    </xf>
    <xf numFmtId="0" fontId="73" fillId="0" borderId="34" xfId="0" applyFont="1" applyBorder="1">
      <alignment vertical="center"/>
    </xf>
    <xf numFmtId="41" fontId="69" fillId="0" borderId="34" xfId="0" applyNumberFormat="1" applyFont="1" applyBorder="1" applyAlignment="1">
      <alignment horizontal="left" vertical="center"/>
    </xf>
    <xf numFmtId="0" fontId="74" fillId="0" borderId="34" xfId="0" applyFont="1" applyBorder="1" applyAlignment="1">
      <alignment horizontal="center" vertical="center"/>
    </xf>
    <xf numFmtId="41" fontId="69" fillId="0" borderId="34" xfId="1" applyFont="1" applyFill="1" applyBorder="1">
      <alignment vertical="center"/>
    </xf>
    <xf numFmtId="0" fontId="62" fillId="0" borderId="0" xfId="0" applyFont="1" applyAlignment="1">
      <alignment horizontal="center" vertical="center"/>
    </xf>
    <xf numFmtId="41" fontId="62" fillId="23" borderId="1" xfId="0" applyNumberFormat="1" applyFont="1" applyFill="1" applyBorder="1">
      <alignment vertical="center"/>
    </xf>
    <xf numFmtId="184" fontId="62" fillId="23" borderId="1" xfId="0" applyNumberFormat="1" applyFont="1" applyFill="1" applyBorder="1">
      <alignment vertical="center"/>
    </xf>
    <xf numFmtId="41" fontId="66" fillId="0" borderId="33" xfId="1" applyFont="1" applyFill="1" applyBorder="1" applyAlignment="1">
      <alignment horizontal="center" vertical="center"/>
    </xf>
    <xf numFmtId="177" fontId="69" fillId="2" borderId="29" xfId="0" applyNumberFormat="1" applyFont="1" applyFill="1" applyBorder="1" applyAlignment="1">
      <alignment horizontal="center" vertical="center"/>
    </xf>
    <xf numFmtId="186" fontId="75" fillId="0" borderId="29" xfId="0" applyNumberFormat="1" applyFont="1" applyBorder="1" applyAlignment="1">
      <alignment horizontal="right" vertical="center"/>
    </xf>
    <xf numFmtId="0" fontId="63" fillId="0" borderId="29" xfId="0" applyFont="1" applyBorder="1" applyAlignment="1">
      <alignment horizontal="center" vertical="center"/>
    </xf>
    <xf numFmtId="185" fontId="69" fillId="0" borderId="29" xfId="1" applyNumberFormat="1" applyFont="1" applyFill="1" applyBorder="1" applyAlignment="1">
      <alignment horizontal="right" vertical="center"/>
    </xf>
    <xf numFmtId="185" fontId="69" fillId="0" borderId="0" xfId="1" applyNumberFormat="1" applyFont="1" applyFill="1" applyBorder="1" applyAlignment="1">
      <alignment horizontal="right" vertical="center"/>
    </xf>
    <xf numFmtId="43" fontId="61" fillId="0" borderId="0" xfId="0" applyNumberFormat="1" applyFont="1">
      <alignment vertical="center"/>
    </xf>
    <xf numFmtId="0" fontId="68" fillId="0" borderId="34" xfId="0" applyFont="1" applyBorder="1" applyAlignment="1">
      <alignment horizontal="left" vertical="center"/>
    </xf>
    <xf numFmtId="41" fontId="69" fillId="0" borderId="34" xfId="1" applyFont="1" applyFill="1" applyBorder="1" applyAlignment="1">
      <alignment horizontal="left" vertical="center"/>
    </xf>
    <xf numFmtId="0" fontId="69" fillId="0" borderId="34" xfId="0" applyFont="1" applyBorder="1" applyAlignment="1">
      <alignment horizontal="center" vertical="center"/>
    </xf>
    <xf numFmtId="185" fontId="69" fillId="0" borderId="34" xfId="1" applyNumberFormat="1" applyFont="1" applyFill="1" applyBorder="1" applyAlignment="1">
      <alignment horizontal="right" vertical="center"/>
    </xf>
    <xf numFmtId="41" fontId="69" fillId="2" borderId="34" xfId="0" applyNumberFormat="1" applyFont="1" applyFill="1" applyBorder="1" applyAlignment="1">
      <alignment horizontal="center" vertical="center"/>
    </xf>
    <xf numFmtId="177" fontId="69" fillId="2" borderId="34" xfId="0" applyNumberFormat="1" applyFont="1" applyFill="1" applyBorder="1" applyAlignment="1">
      <alignment horizontal="center" vertical="center"/>
    </xf>
    <xf numFmtId="0" fontId="76" fillId="0" borderId="0" xfId="0" applyFont="1">
      <alignment vertical="center"/>
    </xf>
    <xf numFmtId="0" fontId="0" fillId="0" borderId="35" xfId="0" applyBorder="1">
      <alignment vertical="center"/>
    </xf>
    <xf numFmtId="0" fontId="0" fillId="0" borderId="27" xfId="0" applyBorder="1">
      <alignment vertical="center"/>
    </xf>
    <xf numFmtId="0" fontId="0" fillId="0" borderId="24" xfId="0" applyBorder="1">
      <alignment vertical="center"/>
    </xf>
    <xf numFmtId="0" fontId="0" fillId="9" borderId="17" xfId="0" applyFill="1" applyBorder="1">
      <alignment vertical="center"/>
    </xf>
    <xf numFmtId="0" fontId="17" fillId="18" borderId="14" xfId="0" applyFont="1" applyFill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5" fillId="11" borderId="26" xfId="0" applyFont="1" applyFill="1" applyBorder="1" applyAlignment="1">
      <alignment horizontal="center" vertical="center"/>
    </xf>
    <xf numFmtId="0" fontId="55" fillId="11" borderId="27" xfId="0" applyFont="1" applyFill="1" applyBorder="1" applyAlignment="1">
      <alignment horizontal="center" vertical="center"/>
    </xf>
    <xf numFmtId="0" fontId="55" fillId="11" borderId="28" xfId="0" applyFont="1" applyFill="1" applyBorder="1" applyAlignment="1">
      <alignment horizontal="center" vertical="center"/>
    </xf>
    <xf numFmtId="0" fontId="63" fillId="0" borderId="29" xfId="0" applyFont="1" applyBorder="1" applyAlignment="1">
      <alignment horizontal="center" vertical="center"/>
    </xf>
    <xf numFmtId="0" fontId="63" fillId="19" borderId="29" xfId="0" applyFont="1" applyFill="1" applyBorder="1" applyAlignment="1">
      <alignment horizontal="center" vertical="center"/>
    </xf>
    <xf numFmtId="183" fontId="65" fillId="19" borderId="30" xfId="0" applyNumberFormat="1" applyFont="1" applyFill="1" applyBorder="1" applyAlignment="1">
      <alignment horizontal="center" vertical="center"/>
    </xf>
    <xf numFmtId="183" fontId="65" fillId="19" borderId="31" xfId="0" applyNumberFormat="1" applyFont="1" applyFill="1" applyBorder="1" applyAlignment="1">
      <alignment horizontal="center" vertical="center"/>
    </xf>
    <xf numFmtId="0" fontId="63" fillId="0" borderId="34" xfId="0" applyFont="1" applyBorder="1" applyAlignment="1">
      <alignment horizontal="center" vertical="center"/>
    </xf>
    <xf numFmtId="0" fontId="62" fillId="0" borderId="30" xfId="0" applyFont="1" applyBorder="1" applyAlignment="1">
      <alignment horizontal="center" vertical="center"/>
    </xf>
    <xf numFmtId="0" fontId="55" fillId="20" borderId="30" xfId="0" applyFont="1" applyFill="1" applyBorder="1" applyAlignment="1">
      <alignment horizontal="center" vertical="center"/>
    </xf>
    <xf numFmtId="0" fontId="63" fillId="0" borderId="29" xfId="0" applyFont="1" applyBorder="1" applyAlignment="1">
      <alignment horizontal="center" vertical="center" wrapText="1"/>
    </xf>
    <xf numFmtId="0" fontId="63" fillId="0" borderId="34" xfId="0" applyFont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2" xfId="2"/>
  </cellStyles>
  <dxfs count="5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04;&#47029;&#54785;&#49888;&#54016;/03_PJT/305_Thanos/02_Task/005_KPMG/Roadshow/&#49324;&#50629;&#44228;&#54925;%20F/Project%20Lithos_FM_Draft_v7_260410_&#53804;&#51088;&#48708;%20&#51312;&#51221;_bp24k_260414_2_1_&#51088;&#49328;DB&#50629;&#45936;&#51060;&#539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▶Phase II"/>
      <sheetName val="LDCF"/>
      <sheetName val="Waterfall"/>
      <sheetName val="DCF (Ph2_7Y)"/>
      <sheetName val="DCF (Ph2)"/>
      <sheetName val="NWC (Ph2)"/>
      <sheetName val="DCF"/>
      <sheetName val="NWC"/>
      <sheetName val="JV사계Summary (2)"/>
      <sheetName val="요약보고"/>
      <sheetName val="Assum2"/>
      <sheetName val="판가_수량_금액"/>
      <sheetName val="원재료비1"/>
      <sheetName val="Ph2 투자 Summary"/>
      <sheetName val="감상비 Test 수정"/>
      <sheetName val="비용_PV (Ph2)"/>
      <sheetName val="인건비(N)Ph2추가"/>
      <sheetName val="건물임차"/>
      <sheetName val="무형감상비"/>
      <sheetName val="감상비"/>
      <sheetName val="감상비 (2)"/>
      <sheetName val="COF 장비필요댓수"/>
      <sheetName val="Setup"/>
      <sheetName val="Template"/>
      <sheetName val="DCF (CNY)"/>
      <sheetName val="PBC&gt;&gt;"/>
      <sheetName val="History"/>
      <sheetName val="JV사계Summary"/>
      <sheetName val="Assumptions"/>
      <sheetName val="COF 재료비 조정"/>
      <sheetName val="JV사업계획"/>
      <sheetName val="가동율 검토"/>
      <sheetName val="판가조정"/>
      <sheetName val="JV사계 PV"/>
      <sheetName val="비용_PV"/>
      <sheetName val="비용계획_DB"/>
      <sheetName val="재료원가"/>
      <sheetName val="인건비 (2)"/>
      <sheetName val="인건비"/>
      <sheetName val="부지 및 건물"/>
      <sheetName val="자산DB"/>
      <sheetName val="Sheet1"/>
      <sheetName val="유형감상비"/>
      <sheetName val="전략물자"/>
      <sheetName val="설비검토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06">
          <cell r="D106">
            <v>0.05</v>
          </cell>
        </row>
        <row r="107">
          <cell r="D107">
            <v>0.02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E6">
            <v>1000043</v>
          </cell>
          <cell r="F6">
            <v>1000</v>
          </cell>
        </row>
        <row r="7">
          <cell r="E7">
            <v>1000044</v>
          </cell>
          <cell r="F7">
            <v>1000</v>
          </cell>
        </row>
        <row r="8">
          <cell r="E8">
            <v>1000150</v>
          </cell>
          <cell r="F8">
            <v>1000</v>
          </cell>
        </row>
        <row r="9">
          <cell r="E9">
            <v>1000160</v>
          </cell>
          <cell r="F9">
            <v>1000</v>
          </cell>
        </row>
        <row r="10">
          <cell r="E10">
            <v>1000161</v>
          </cell>
          <cell r="F10">
            <v>1000</v>
          </cell>
        </row>
        <row r="11">
          <cell r="E11">
            <v>1000172</v>
          </cell>
          <cell r="F11">
            <v>1000</v>
          </cell>
        </row>
        <row r="12">
          <cell r="E12">
            <v>1000173</v>
          </cell>
          <cell r="F12">
            <v>1000</v>
          </cell>
        </row>
        <row r="13">
          <cell r="E13">
            <v>1000174</v>
          </cell>
          <cell r="F13">
            <v>1000</v>
          </cell>
        </row>
        <row r="14">
          <cell r="E14">
            <v>1000186</v>
          </cell>
          <cell r="F14">
            <v>1000</v>
          </cell>
        </row>
        <row r="15">
          <cell r="E15">
            <v>1000235</v>
          </cell>
          <cell r="F15">
            <v>1000</v>
          </cell>
        </row>
        <row r="16">
          <cell r="E16">
            <v>1000236</v>
          </cell>
          <cell r="F16">
            <v>1000</v>
          </cell>
        </row>
        <row r="17">
          <cell r="E17">
            <v>1000250</v>
          </cell>
          <cell r="F17">
            <v>1000</v>
          </cell>
        </row>
        <row r="18">
          <cell r="E18">
            <v>1000251</v>
          </cell>
          <cell r="F18">
            <v>1000</v>
          </cell>
        </row>
        <row r="19">
          <cell r="E19">
            <v>1004790</v>
          </cell>
          <cell r="F19">
            <v>1000</v>
          </cell>
        </row>
        <row r="20">
          <cell r="E20">
            <v>1007664</v>
          </cell>
          <cell r="F20">
            <v>2437889</v>
          </cell>
        </row>
        <row r="21">
          <cell r="E21">
            <v>1000902</v>
          </cell>
          <cell r="F21">
            <v>1000</v>
          </cell>
        </row>
        <row r="22">
          <cell r="E22">
            <v>1000286</v>
          </cell>
          <cell r="F22">
            <v>1000</v>
          </cell>
        </row>
        <row r="23">
          <cell r="E23">
            <v>1006342</v>
          </cell>
          <cell r="F23">
            <v>1537407</v>
          </cell>
        </row>
        <row r="24">
          <cell r="E24">
            <v>1004789</v>
          </cell>
          <cell r="F24">
            <v>1000</v>
          </cell>
        </row>
        <row r="25">
          <cell r="E25">
            <v>1000582</v>
          </cell>
          <cell r="F25">
            <v>1000</v>
          </cell>
        </row>
        <row r="26">
          <cell r="E26">
            <v>1000290</v>
          </cell>
          <cell r="F26">
            <v>1000</v>
          </cell>
        </row>
        <row r="27">
          <cell r="E27">
            <v>1000291</v>
          </cell>
          <cell r="F27">
            <v>1000</v>
          </cell>
        </row>
        <row r="28">
          <cell r="E28">
            <v>1000301</v>
          </cell>
          <cell r="F28">
            <v>1000</v>
          </cell>
        </row>
        <row r="29">
          <cell r="E29">
            <v>1000302</v>
          </cell>
          <cell r="F29">
            <v>1000</v>
          </cell>
        </row>
        <row r="30">
          <cell r="E30">
            <v>1000307</v>
          </cell>
          <cell r="F30">
            <v>1000</v>
          </cell>
        </row>
        <row r="31">
          <cell r="E31">
            <v>1000308</v>
          </cell>
          <cell r="F31">
            <v>1000</v>
          </cell>
        </row>
        <row r="32">
          <cell r="E32">
            <v>1000309</v>
          </cell>
          <cell r="F32">
            <v>1000</v>
          </cell>
        </row>
        <row r="33">
          <cell r="E33">
            <v>1000319</v>
          </cell>
          <cell r="F33">
            <v>1000</v>
          </cell>
        </row>
        <row r="34">
          <cell r="E34">
            <v>1000320</v>
          </cell>
          <cell r="F34">
            <v>1000</v>
          </cell>
        </row>
        <row r="35">
          <cell r="E35">
            <v>1000323</v>
          </cell>
          <cell r="F35">
            <v>1000</v>
          </cell>
        </row>
        <row r="36">
          <cell r="E36">
            <v>1000324</v>
          </cell>
          <cell r="F36">
            <v>1000</v>
          </cell>
        </row>
        <row r="37">
          <cell r="E37">
            <v>1006731</v>
          </cell>
          <cell r="F37">
            <v>19440594</v>
          </cell>
        </row>
        <row r="38">
          <cell r="E38">
            <v>1000361</v>
          </cell>
          <cell r="F38">
            <v>1000</v>
          </cell>
        </row>
        <row r="39">
          <cell r="E39">
            <v>1000362</v>
          </cell>
          <cell r="F39">
            <v>1000</v>
          </cell>
        </row>
        <row r="40">
          <cell r="E40">
            <v>1000363</v>
          </cell>
          <cell r="F40">
            <v>1000</v>
          </cell>
        </row>
        <row r="41">
          <cell r="E41">
            <v>1000364</v>
          </cell>
          <cell r="F41">
            <v>1000</v>
          </cell>
        </row>
        <row r="42">
          <cell r="E42">
            <v>1000375</v>
          </cell>
          <cell r="F42">
            <v>1000</v>
          </cell>
        </row>
        <row r="43">
          <cell r="E43">
            <v>1000376</v>
          </cell>
          <cell r="F43">
            <v>1000</v>
          </cell>
        </row>
        <row r="44">
          <cell r="E44">
            <v>1000473</v>
          </cell>
          <cell r="F44">
            <v>1000</v>
          </cell>
        </row>
        <row r="45">
          <cell r="E45">
            <v>1000474</v>
          </cell>
          <cell r="F45">
            <v>1000</v>
          </cell>
        </row>
        <row r="46">
          <cell r="E46">
            <v>1000523</v>
          </cell>
          <cell r="F46">
            <v>1000</v>
          </cell>
        </row>
        <row r="47">
          <cell r="E47">
            <v>1000553</v>
          </cell>
          <cell r="F47">
            <v>1000</v>
          </cell>
        </row>
        <row r="48">
          <cell r="E48">
            <v>1000556</v>
          </cell>
          <cell r="F48">
            <v>1000</v>
          </cell>
        </row>
        <row r="49">
          <cell r="E49">
            <v>1000558</v>
          </cell>
          <cell r="F49">
            <v>1000</v>
          </cell>
        </row>
        <row r="50">
          <cell r="E50">
            <v>1000559</v>
          </cell>
          <cell r="F50">
            <v>1000</v>
          </cell>
        </row>
        <row r="51">
          <cell r="E51">
            <v>1000570</v>
          </cell>
          <cell r="F51">
            <v>1000</v>
          </cell>
        </row>
        <row r="52">
          <cell r="E52">
            <v>1000571</v>
          </cell>
          <cell r="F52">
            <v>1000</v>
          </cell>
        </row>
        <row r="53">
          <cell r="E53">
            <v>1000572</v>
          </cell>
          <cell r="F53">
            <v>1000</v>
          </cell>
        </row>
        <row r="54">
          <cell r="E54">
            <v>1000573</v>
          </cell>
          <cell r="F54">
            <v>1000</v>
          </cell>
        </row>
        <row r="55">
          <cell r="E55">
            <v>1000575</v>
          </cell>
          <cell r="F55">
            <v>1000</v>
          </cell>
        </row>
        <row r="56">
          <cell r="E56">
            <v>1000576</v>
          </cell>
          <cell r="F56">
            <v>1000</v>
          </cell>
        </row>
        <row r="57">
          <cell r="E57">
            <v>1006730</v>
          </cell>
          <cell r="F57">
            <v>19382251</v>
          </cell>
        </row>
        <row r="58">
          <cell r="E58">
            <v>1005981</v>
          </cell>
          <cell r="F58">
            <v>6723328</v>
          </cell>
        </row>
        <row r="59">
          <cell r="E59">
            <v>1005969</v>
          </cell>
          <cell r="F59">
            <v>6723328</v>
          </cell>
        </row>
        <row r="60">
          <cell r="E60">
            <v>1005980</v>
          </cell>
          <cell r="F60">
            <v>7908941</v>
          </cell>
        </row>
        <row r="61">
          <cell r="E61">
            <v>1000723</v>
          </cell>
          <cell r="F61">
            <v>1000</v>
          </cell>
        </row>
        <row r="62">
          <cell r="E62">
            <v>1000724</v>
          </cell>
          <cell r="F62">
            <v>1000</v>
          </cell>
        </row>
        <row r="63">
          <cell r="E63">
            <v>1000725</v>
          </cell>
          <cell r="F63">
            <v>1000</v>
          </cell>
        </row>
        <row r="64">
          <cell r="E64">
            <v>1000726</v>
          </cell>
          <cell r="F64">
            <v>1000</v>
          </cell>
        </row>
        <row r="65">
          <cell r="E65">
            <v>1000727</v>
          </cell>
          <cell r="F65">
            <v>1000</v>
          </cell>
        </row>
        <row r="66">
          <cell r="E66">
            <v>1000728</v>
          </cell>
          <cell r="F66">
            <v>1000</v>
          </cell>
        </row>
        <row r="67">
          <cell r="E67">
            <v>1000736</v>
          </cell>
          <cell r="F67">
            <v>1000</v>
          </cell>
        </row>
        <row r="68">
          <cell r="E68">
            <v>1000737</v>
          </cell>
          <cell r="F68">
            <v>1000</v>
          </cell>
        </row>
        <row r="69">
          <cell r="E69">
            <v>1005963</v>
          </cell>
          <cell r="F69">
            <v>7872252</v>
          </cell>
        </row>
        <row r="70">
          <cell r="E70">
            <v>1005962</v>
          </cell>
          <cell r="F70">
            <v>8290065</v>
          </cell>
        </row>
        <row r="71">
          <cell r="E71">
            <v>1001445</v>
          </cell>
          <cell r="F71">
            <v>1000</v>
          </cell>
        </row>
        <row r="72">
          <cell r="E72">
            <v>1001443</v>
          </cell>
          <cell r="F72">
            <v>1000</v>
          </cell>
        </row>
        <row r="73">
          <cell r="E73">
            <v>1005920</v>
          </cell>
          <cell r="F73">
            <v>7048422</v>
          </cell>
        </row>
        <row r="74">
          <cell r="E74">
            <v>1001447</v>
          </cell>
          <cell r="F74">
            <v>1000</v>
          </cell>
        </row>
        <row r="75">
          <cell r="E75">
            <v>1005919</v>
          </cell>
          <cell r="F75">
            <v>7460639</v>
          </cell>
        </row>
        <row r="76">
          <cell r="E76">
            <v>1005918</v>
          </cell>
          <cell r="F76">
            <v>7424235</v>
          </cell>
        </row>
        <row r="77">
          <cell r="E77">
            <v>1000284</v>
          </cell>
          <cell r="F77">
            <v>1000</v>
          </cell>
        </row>
        <row r="78">
          <cell r="E78">
            <v>1000285</v>
          </cell>
          <cell r="F78">
            <v>1000</v>
          </cell>
        </row>
        <row r="79">
          <cell r="E79">
            <v>1001545</v>
          </cell>
          <cell r="F79">
            <v>1000</v>
          </cell>
        </row>
        <row r="80">
          <cell r="E80">
            <v>1001547</v>
          </cell>
          <cell r="F80">
            <v>1000</v>
          </cell>
        </row>
        <row r="81">
          <cell r="E81">
            <v>1000334</v>
          </cell>
          <cell r="F81">
            <v>1000</v>
          </cell>
        </row>
        <row r="82">
          <cell r="E82">
            <v>1001905</v>
          </cell>
          <cell r="F82">
            <v>1000</v>
          </cell>
        </row>
        <row r="83">
          <cell r="E83">
            <v>1001987</v>
          </cell>
          <cell r="F83">
            <v>1000</v>
          </cell>
        </row>
        <row r="84">
          <cell r="E84">
            <v>1002348</v>
          </cell>
          <cell r="F84">
            <v>1000</v>
          </cell>
        </row>
        <row r="85">
          <cell r="E85">
            <v>1002349</v>
          </cell>
          <cell r="F85">
            <v>1000</v>
          </cell>
        </row>
        <row r="86">
          <cell r="E86">
            <v>1002381</v>
          </cell>
          <cell r="F86">
            <v>1000</v>
          </cell>
        </row>
        <row r="87">
          <cell r="E87">
            <v>1002382</v>
          </cell>
          <cell r="F87">
            <v>1000</v>
          </cell>
        </row>
        <row r="88">
          <cell r="E88">
            <v>1002393</v>
          </cell>
          <cell r="F88">
            <v>1000</v>
          </cell>
        </row>
        <row r="89">
          <cell r="E89">
            <v>1002440</v>
          </cell>
          <cell r="F89">
            <v>1000</v>
          </cell>
        </row>
        <row r="90">
          <cell r="E90">
            <v>1001406</v>
          </cell>
          <cell r="F90">
            <v>1000</v>
          </cell>
        </row>
        <row r="91">
          <cell r="E91">
            <v>1002884</v>
          </cell>
          <cell r="F91">
            <v>1000</v>
          </cell>
        </row>
        <row r="92">
          <cell r="E92">
            <v>1002888</v>
          </cell>
          <cell r="F92">
            <v>1000</v>
          </cell>
        </row>
        <row r="93">
          <cell r="E93">
            <v>1002886</v>
          </cell>
          <cell r="F93">
            <v>1000</v>
          </cell>
        </row>
        <row r="94">
          <cell r="E94">
            <v>1005268</v>
          </cell>
          <cell r="F94">
            <v>1000</v>
          </cell>
        </row>
        <row r="95">
          <cell r="E95">
            <v>1002889</v>
          </cell>
          <cell r="F95">
            <v>1000</v>
          </cell>
        </row>
        <row r="96">
          <cell r="E96">
            <v>1001903</v>
          </cell>
          <cell r="F96">
            <v>1000</v>
          </cell>
        </row>
        <row r="97">
          <cell r="E97">
            <v>1001459</v>
          </cell>
          <cell r="F97">
            <v>1000</v>
          </cell>
        </row>
        <row r="98">
          <cell r="E98">
            <v>1001446</v>
          </cell>
          <cell r="F98">
            <v>1000</v>
          </cell>
        </row>
        <row r="99">
          <cell r="E99">
            <v>1001451</v>
          </cell>
          <cell r="F99">
            <v>1000</v>
          </cell>
        </row>
        <row r="100">
          <cell r="E100">
            <v>1003485</v>
          </cell>
          <cell r="F100">
            <v>1000</v>
          </cell>
        </row>
        <row r="101">
          <cell r="E101">
            <v>1003562</v>
          </cell>
          <cell r="F101">
            <v>1000</v>
          </cell>
        </row>
        <row r="102">
          <cell r="E102">
            <v>1003563</v>
          </cell>
          <cell r="F102">
            <v>1000</v>
          </cell>
        </row>
        <row r="103">
          <cell r="E103">
            <v>1003564</v>
          </cell>
          <cell r="F103">
            <v>1000</v>
          </cell>
        </row>
        <row r="104">
          <cell r="E104">
            <v>1003565</v>
          </cell>
          <cell r="F104">
            <v>1000</v>
          </cell>
        </row>
        <row r="105">
          <cell r="E105">
            <v>1003719</v>
          </cell>
          <cell r="F105">
            <v>1000</v>
          </cell>
        </row>
        <row r="106">
          <cell r="E106">
            <v>1003843</v>
          </cell>
          <cell r="F106">
            <v>1000</v>
          </cell>
        </row>
        <row r="107">
          <cell r="E107">
            <v>1003902</v>
          </cell>
          <cell r="F107">
            <v>1000</v>
          </cell>
        </row>
        <row r="108">
          <cell r="E108">
            <v>1003908</v>
          </cell>
          <cell r="F108">
            <v>1000</v>
          </cell>
        </row>
        <row r="109">
          <cell r="E109">
            <v>1004567</v>
          </cell>
          <cell r="F109">
            <v>1000</v>
          </cell>
        </row>
        <row r="110">
          <cell r="E110">
            <v>1001453</v>
          </cell>
          <cell r="F110">
            <v>1000</v>
          </cell>
        </row>
        <row r="111">
          <cell r="E111">
            <v>1001496</v>
          </cell>
          <cell r="F111">
            <v>1000</v>
          </cell>
        </row>
        <row r="112">
          <cell r="E112">
            <v>1001542</v>
          </cell>
          <cell r="F112">
            <v>1000</v>
          </cell>
        </row>
        <row r="113">
          <cell r="E113">
            <v>1001543</v>
          </cell>
          <cell r="F113">
            <v>1000</v>
          </cell>
        </row>
        <row r="114">
          <cell r="E114">
            <v>1001902</v>
          </cell>
          <cell r="F114">
            <v>1000</v>
          </cell>
        </row>
        <row r="115">
          <cell r="E115">
            <v>1005102</v>
          </cell>
          <cell r="F115">
            <v>1000</v>
          </cell>
        </row>
        <row r="116">
          <cell r="E116">
            <v>1005103</v>
          </cell>
          <cell r="F116">
            <v>1000</v>
          </cell>
        </row>
        <row r="117">
          <cell r="E117">
            <v>1005104</v>
          </cell>
          <cell r="F117">
            <v>1000</v>
          </cell>
        </row>
        <row r="118">
          <cell r="E118">
            <v>1002187</v>
          </cell>
          <cell r="F118">
            <v>1000</v>
          </cell>
        </row>
        <row r="119">
          <cell r="E119">
            <v>1005111</v>
          </cell>
          <cell r="F119">
            <v>1000</v>
          </cell>
        </row>
        <row r="120">
          <cell r="E120">
            <v>1005112</v>
          </cell>
          <cell r="F120">
            <v>1000</v>
          </cell>
        </row>
        <row r="121">
          <cell r="E121">
            <v>1005165</v>
          </cell>
          <cell r="F121">
            <v>1000</v>
          </cell>
        </row>
        <row r="122">
          <cell r="E122">
            <v>1005166</v>
          </cell>
          <cell r="F122">
            <v>1000</v>
          </cell>
        </row>
        <row r="123">
          <cell r="E123">
            <v>1005168</v>
          </cell>
          <cell r="F123">
            <v>1000</v>
          </cell>
        </row>
        <row r="124">
          <cell r="E124">
            <v>1005169</v>
          </cell>
          <cell r="F124">
            <v>1000</v>
          </cell>
        </row>
        <row r="125">
          <cell r="E125">
            <v>1002188</v>
          </cell>
          <cell r="F125">
            <v>1000</v>
          </cell>
        </row>
        <row r="126">
          <cell r="E126">
            <v>1005243</v>
          </cell>
          <cell r="F126">
            <v>1000</v>
          </cell>
        </row>
        <row r="127">
          <cell r="E127">
            <v>1005267</v>
          </cell>
          <cell r="F127">
            <v>1000</v>
          </cell>
        </row>
        <row r="128">
          <cell r="E128">
            <v>1005282</v>
          </cell>
          <cell r="F128">
            <v>1000</v>
          </cell>
        </row>
        <row r="129">
          <cell r="E129">
            <v>1005283</v>
          </cell>
          <cell r="F129">
            <v>1000</v>
          </cell>
        </row>
        <row r="130">
          <cell r="E130">
            <v>1005284</v>
          </cell>
          <cell r="F130">
            <v>1000</v>
          </cell>
        </row>
        <row r="131">
          <cell r="E131">
            <v>1005362</v>
          </cell>
          <cell r="F131">
            <v>1000</v>
          </cell>
        </row>
        <row r="132">
          <cell r="E132">
            <v>1002437</v>
          </cell>
          <cell r="F132">
            <v>1000</v>
          </cell>
        </row>
        <row r="133">
          <cell r="E133">
            <v>1002438</v>
          </cell>
          <cell r="F133">
            <v>1000</v>
          </cell>
        </row>
        <row r="134">
          <cell r="E134">
            <v>1005382</v>
          </cell>
          <cell r="F134">
            <v>1000</v>
          </cell>
        </row>
        <row r="135">
          <cell r="E135">
            <v>1002504</v>
          </cell>
          <cell r="F135">
            <v>1000</v>
          </cell>
        </row>
        <row r="136">
          <cell r="E136">
            <v>1003042</v>
          </cell>
          <cell r="F136">
            <v>1000</v>
          </cell>
        </row>
        <row r="137">
          <cell r="E137">
            <v>1003043</v>
          </cell>
          <cell r="F137">
            <v>1000</v>
          </cell>
        </row>
        <row r="138">
          <cell r="E138">
            <v>1005422</v>
          </cell>
          <cell r="F138">
            <v>1000</v>
          </cell>
        </row>
        <row r="139">
          <cell r="E139">
            <v>1005423</v>
          </cell>
          <cell r="F139">
            <v>1000</v>
          </cell>
        </row>
        <row r="140">
          <cell r="E140">
            <v>1005424</v>
          </cell>
          <cell r="F140">
            <v>1000</v>
          </cell>
        </row>
        <row r="141">
          <cell r="E141">
            <v>1003444</v>
          </cell>
          <cell r="F141">
            <v>1000</v>
          </cell>
        </row>
        <row r="142">
          <cell r="E142">
            <v>1003443</v>
          </cell>
          <cell r="F142">
            <v>1000</v>
          </cell>
        </row>
        <row r="143">
          <cell r="E143">
            <v>1005866</v>
          </cell>
          <cell r="F143">
            <v>6173526</v>
          </cell>
        </row>
        <row r="144">
          <cell r="E144">
            <v>1005865</v>
          </cell>
          <cell r="F144">
            <v>6137681</v>
          </cell>
        </row>
        <row r="145">
          <cell r="E145">
            <v>1005864</v>
          </cell>
          <cell r="F145">
            <v>6919387</v>
          </cell>
        </row>
        <row r="146">
          <cell r="E146">
            <v>1005469</v>
          </cell>
          <cell r="F146">
            <v>443090</v>
          </cell>
        </row>
        <row r="147">
          <cell r="E147">
            <v>1005470</v>
          </cell>
          <cell r="F147">
            <v>723665</v>
          </cell>
        </row>
        <row r="148">
          <cell r="E148">
            <v>1005483</v>
          </cell>
          <cell r="F148">
            <v>966662</v>
          </cell>
        </row>
        <row r="149">
          <cell r="E149">
            <v>1005863</v>
          </cell>
          <cell r="F149">
            <v>5731806</v>
          </cell>
        </row>
        <row r="150">
          <cell r="E150">
            <v>1005862</v>
          </cell>
          <cell r="F150">
            <v>5731806</v>
          </cell>
        </row>
        <row r="151">
          <cell r="E151">
            <v>1005614</v>
          </cell>
          <cell r="F151">
            <v>3234576</v>
          </cell>
        </row>
        <row r="152">
          <cell r="E152">
            <v>1005613</v>
          </cell>
          <cell r="F152">
            <v>3382825</v>
          </cell>
        </row>
        <row r="153">
          <cell r="E153">
            <v>1005612</v>
          </cell>
          <cell r="F153">
            <v>2690621</v>
          </cell>
        </row>
        <row r="154">
          <cell r="E154">
            <v>1005506</v>
          </cell>
          <cell r="F154">
            <v>3366</v>
          </cell>
        </row>
        <row r="155">
          <cell r="E155">
            <v>1005507</v>
          </cell>
          <cell r="F155">
            <v>5870</v>
          </cell>
        </row>
        <row r="156">
          <cell r="E156">
            <v>1005508</v>
          </cell>
          <cell r="F156">
            <v>19050</v>
          </cell>
        </row>
        <row r="157">
          <cell r="E157">
            <v>1005509</v>
          </cell>
          <cell r="F157">
            <v>2972</v>
          </cell>
        </row>
        <row r="158">
          <cell r="E158">
            <v>1005510</v>
          </cell>
          <cell r="F158">
            <v>24320</v>
          </cell>
        </row>
        <row r="159">
          <cell r="E159">
            <v>1005540</v>
          </cell>
          <cell r="F159">
            <v>26565</v>
          </cell>
        </row>
        <row r="160">
          <cell r="E160">
            <v>1005541</v>
          </cell>
          <cell r="F160">
            <v>26565</v>
          </cell>
        </row>
        <row r="161">
          <cell r="E161">
            <v>1005542</v>
          </cell>
          <cell r="F161">
            <v>26565</v>
          </cell>
        </row>
        <row r="162">
          <cell r="E162">
            <v>1005543</v>
          </cell>
          <cell r="F162">
            <v>26565</v>
          </cell>
        </row>
        <row r="163">
          <cell r="E163">
            <v>1005544</v>
          </cell>
          <cell r="F163">
            <v>26565</v>
          </cell>
        </row>
        <row r="164">
          <cell r="E164">
            <v>1005556</v>
          </cell>
          <cell r="F164">
            <v>2634661</v>
          </cell>
        </row>
        <row r="165">
          <cell r="E165">
            <v>1005555</v>
          </cell>
          <cell r="F165">
            <v>2634661</v>
          </cell>
        </row>
        <row r="166">
          <cell r="E166">
            <v>1005598</v>
          </cell>
          <cell r="F166">
            <v>2098605</v>
          </cell>
        </row>
        <row r="167">
          <cell r="E167">
            <v>1005599</v>
          </cell>
          <cell r="F167">
            <v>1087681</v>
          </cell>
        </row>
        <row r="168">
          <cell r="E168">
            <v>1005600</v>
          </cell>
          <cell r="F168">
            <v>1087681</v>
          </cell>
        </row>
        <row r="169">
          <cell r="E169">
            <v>1005604</v>
          </cell>
          <cell r="F169">
            <v>43834</v>
          </cell>
        </row>
        <row r="170">
          <cell r="E170">
            <v>1005605</v>
          </cell>
          <cell r="F170">
            <v>43834</v>
          </cell>
        </row>
        <row r="171">
          <cell r="E171">
            <v>1005606</v>
          </cell>
          <cell r="F171">
            <v>43834</v>
          </cell>
        </row>
        <row r="172">
          <cell r="E172">
            <v>1005607</v>
          </cell>
          <cell r="F172">
            <v>43834</v>
          </cell>
        </row>
        <row r="173">
          <cell r="E173">
            <v>1005431</v>
          </cell>
          <cell r="F173">
            <v>822056</v>
          </cell>
        </row>
        <row r="174">
          <cell r="E174">
            <v>1005430</v>
          </cell>
          <cell r="F174">
            <v>822056</v>
          </cell>
        </row>
        <row r="175">
          <cell r="E175">
            <v>1005429</v>
          </cell>
          <cell r="F175">
            <v>822056</v>
          </cell>
        </row>
        <row r="176">
          <cell r="E176">
            <v>1005648</v>
          </cell>
          <cell r="F176">
            <v>20203853</v>
          </cell>
        </row>
        <row r="177">
          <cell r="E177">
            <v>1005651</v>
          </cell>
          <cell r="F177">
            <v>1359457</v>
          </cell>
        </row>
        <row r="178">
          <cell r="E178">
            <v>1005652</v>
          </cell>
          <cell r="F178">
            <v>1359457</v>
          </cell>
        </row>
        <row r="179">
          <cell r="E179">
            <v>1005653</v>
          </cell>
          <cell r="F179">
            <v>1359457</v>
          </cell>
        </row>
        <row r="180">
          <cell r="E180">
            <v>1005654</v>
          </cell>
          <cell r="F180">
            <v>1359457</v>
          </cell>
        </row>
        <row r="181">
          <cell r="E181">
            <v>1005722</v>
          </cell>
          <cell r="F181">
            <v>3364801</v>
          </cell>
        </row>
        <row r="182">
          <cell r="E182">
            <v>1005723</v>
          </cell>
          <cell r="F182">
            <v>3364801</v>
          </cell>
        </row>
        <row r="183">
          <cell r="E183">
            <v>1005822</v>
          </cell>
          <cell r="F183">
            <v>96965</v>
          </cell>
        </row>
        <row r="184">
          <cell r="E184">
            <v>1005823</v>
          </cell>
          <cell r="F184">
            <v>2911462</v>
          </cell>
        </row>
        <row r="185">
          <cell r="E185">
            <v>1005824</v>
          </cell>
          <cell r="F185">
            <v>2911462</v>
          </cell>
        </row>
        <row r="186">
          <cell r="E186">
            <v>1005825</v>
          </cell>
          <cell r="F186">
            <v>2911462</v>
          </cell>
        </row>
        <row r="187">
          <cell r="E187">
            <v>1005826</v>
          </cell>
          <cell r="F187">
            <v>2911462</v>
          </cell>
        </row>
        <row r="188">
          <cell r="E188">
            <v>1005827</v>
          </cell>
          <cell r="F188">
            <v>2928049</v>
          </cell>
        </row>
        <row r="189">
          <cell r="E189">
            <v>1005828</v>
          </cell>
          <cell r="F189">
            <v>96965</v>
          </cell>
        </row>
        <row r="190">
          <cell r="E190">
            <v>1005428</v>
          </cell>
          <cell r="F190">
            <v>948890</v>
          </cell>
        </row>
        <row r="191">
          <cell r="E191">
            <v>1005427</v>
          </cell>
          <cell r="F191">
            <v>822056</v>
          </cell>
        </row>
        <row r="192">
          <cell r="E192">
            <v>1005390</v>
          </cell>
          <cell r="F192">
            <v>1000</v>
          </cell>
        </row>
        <row r="193">
          <cell r="E193">
            <v>1005389</v>
          </cell>
          <cell r="F193">
            <v>1000</v>
          </cell>
        </row>
        <row r="194">
          <cell r="E194">
            <v>1005388</v>
          </cell>
          <cell r="F194">
            <v>1000</v>
          </cell>
        </row>
        <row r="195">
          <cell r="E195">
            <v>1005903</v>
          </cell>
          <cell r="F195">
            <v>330102</v>
          </cell>
        </row>
        <row r="196">
          <cell r="E196">
            <v>1005904</v>
          </cell>
          <cell r="F196">
            <v>3192587</v>
          </cell>
        </row>
        <row r="197">
          <cell r="E197">
            <v>1005905</v>
          </cell>
          <cell r="F197">
            <v>3192587</v>
          </cell>
        </row>
        <row r="198">
          <cell r="E198">
            <v>1005906</v>
          </cell>
          <cell r="F198">
            <v>3192587</v>
          </cell>
        </row>
        <row r="199">
          <cell r="E199">
            <v>1005907</v>
          </cell>
          <cell r="F199">
            <v>3192587</v>
          </cell>
        </row>
        <row r="200">
          <cell r="E200">
            <v>1005908</v>
          </cell>
          <cell r="F200">
            <v>3176158</v>
          </cell>
        </row>
        <row r="201">
          <cell r="E201">
            <v>1005913</v>
          </cell>
          <cell r="F201">
            <v>116122</v>
          </cell>
        </row>
        <row r="202">
          <cell r="E202">
            <v>1005914</v>
          </cell>
          <cell r="F202">
            <v>116122</v>
          </cell>
        </row>
        <row r="203">
          <cell r="E203">
            <v>1005915</v>
          </cell>
          <cell r="F203">
            <v>116122</v>
          </cell>
        </row>
        <row r="204">
          <cell r="E204">
            <v>1005916</v>
          </cell>
          <cell r="F204">
            <v>116122</v>
          </cell>
        </row>
        <row r="205">
          <cell r="E205">
            <v>1005917</v>
          </cell>
          <cell r="F205">
            <v>116122</v>
          </cell>
        </row>
        <row r="206">
          <cell r="E206">
            <v>1005366</v>
          </cell>
          <cell r="F206">
            <v>1000</v>
          </cell>
        </row>
        <row r="207">
          <cell r="E207">
            <v>1005365</v>
          </cell>
          <cell r="F207">
            <v>1000</v>
          </cell>
        </row>
        <row r="208">
          <cell r="E208">
            <v>1005202</v>
          </cell>
          <cell r="F208">
            <v>1000</v>
          </cell>
        </row>
        <row r="209">
          <cell r="E209">
            <v>1005106</v>
          </cell>
          <cell r="F209">
            <v>1000</v>
          </cell>
        </row>
        <row r="210">
          <cell r="E210">
            <v>1005023</v>
          </cell>
          <cell r="F210">
            <v>1000</v>
          </cell>
        </row>
        <row r="211">
          <cell r="E211">
            <v>1004825</v>
          </cell>
          <cell r="F211">
            <v>1000</v>
          </cell>
        </row>
        <row r="212">
          <cell r="E212">
            <v>1004587</v>
          </cell>
          <cell r="F212">
            <v>1000</v>
          </cell>
        </row>
        <row r="213">
          <cell r="E213">
            <v>1007024</v>
          </cell>
          <cell r="F213">
            <v>23269232</v>
          </cell>
        </row>
        <row r="214">
          <cell r="E214">
            <v>1006022</v>
          </cell>
          <cell r="F214">
            <v>2397623</v>
          </cell>
        </row>
        <row r="215">
          <cell r="E215">
            <v>1006032</v>
          </cell>
          <cell r="F215">
            <v>144955</v>
          </cell>
        </row>
        <row r="216">
          <cell r="E216">
            <v>1006023</v>
          </cell>
          <cell r="F216">
            <v>144955</v>
          </cell>
        </row>
        <row r="217">
          <cell r="E217">
            <v>1005322</v>
          </cell>
          <cell r="F217">
            <v>35952311</v>
          </cell>
        </row>
        <row r="218">
          <cell r="E218">
            <v>1007004</v>
          </cell>
          <cell r="F218">
            <v>23268098</v>
          </cell>
        </row>
        <row r="219">
          <cell r="E219">
            <v>1006352</v>
          </cell>
          <cell r="F219">
            <v>1855868</v>
          </cell>
        </row>
        <row r="220">
          <cell r="E220">
            <v>1006388</v>
          </cell>
          <cell r="F220">
            <v>11160634</v>
          </cell>
        </row>
        <row r="221">
          <cell r="E221">
            <v>1006465</v>
          </cell>
          <cell r="F221">
            <v>1872342</v>
          </cell>
        </row>
        <row r="222">
          <cell r="E222">
            <v>1006493</v>
          </cell>
          <cell r="F222">
            <v>11531184</v>
          </cell>
        </row>
        <row r="223">
          <cell r="E223">
            <v>1006584</v>
          </cell>
          <cell r="F223">
            <v>16142768</v>
          </cell>
        </row>
        <row r="224">
          <cell r="E224">
            <v>1006585</v>
          </cell>
          <cell r="F224">
            <v>16142768</v>
          </cell>
        </row>
        <row r="225">
          <cell r="E225">
            <v>1006645</v>
          </cell>
          <cell r="F225">
            <v>16603990</v>
          </cell>
        </row>
        <row r="226">
          <cell r="E226">
            <v>1006650</v>
          </cell>
          <cell r="F226">
            <v>1344133</v>
          </cell>
        </row>
        <row r="227">
          <cell r="E227">
            <v>1006703</v>
          </cell>
          <cell r="F227">
            <v>1418807</v>
          </cell>
        </row>
        <row r="228">
          <cell r="E228">
            <v>1006987</v>
          </cell>
          <cell r="F228">
            <v>22705176</v>
          </cell>
        </row>
        <row r="229">
          <cell r="E229">
            <v>1006973</v>
          </cell>
          <cell r="F229">
            <v>22273093</v>
          </cell>
        </row>
        <row r="230">
          <cell r="E230">
            <v>1006970</v>
          </cell>
          <cell r="F230">
            <v>23057822</v>
          </cell>
        </row>
        <row r="231">
          <cell r="E231">
            <v>1006964</v>
          </cell>
          <cell r="F231">
            <v>23057822</v>
          </cell>
        </row>
        <row r="232">
          <cell r="E232">
            <v>1006751</v>
          </cell>
          <cell r="F232">
            <v>15126841</v>
          </cell>
        </row>
        <row r="233">
          <cell r="E233">
            <v>1006752</v>
          </cell>
          <cell r="F233">
            <v>2471703</v>
          </cell>
        </row>
        <row r="234">
          <cell r="E234">
            <v>1006753</v>
          </cell>
          <cell r="F234">
            <v>11706253</v>
          </cell>
        </row>
        <row r="235">
          <cell r="E235">
            <v>1006759</v>
          </cell>
          <cell r="F235">
            <v>11706253</v>
          </cell>
        </row>
        <row r="236">
          <cell r="E236">
            <v>1006760</v>
          </cell>
          <cell r="F236">
            <v>11706253</v>
          </cell>
        </row>
        <row r="237">
          <cell r="E237">
            <v>1006768</v>
          </cell>
          <cell r="F237">
            <v>19822227</v>
          </cell>
        </row>
        <row r="238">
          <cell r="E238">
            <v>1006771</v>
          </cell>
          <cell r="F238">
            <v>15401577</v>
          </cell>
        </row>
        <row r="239">
          <cell r="E239">
            <v>1006772</v>
          </cell>
          <cell r="F239">
            <v>20632659</v>
          </cell>
        </row>
        <row r="240">
          <cell r="E240">
            <v>1006774</v>
          </cell>
          <cell r="F240">
            <v>15401577</v>
          </cell>
        </row>
        <row r="241">
          <cell r="E241">
            <v>1006842</v>
          </cell>
          <cell r="F241">
            <v>1449556</v>
          </cell>
        </row>
        <row r="242">
          <cell r="E242">
            <v>1006850</v>
          </cell>
          <cell r="F242">
            <v>1449556</v>
          </cell>
        </row>
        <row r="243">
          <cell r="E243">
            <v>1006962</v>
          </cell>
          <cell r="F243">
            <v>18833228</v>
          </cell>
        </row>
        <row r="244">
          <cell r="E244">
            <v>1006750</v>
          </cell>
          <cell r="F244">
            <v>20273758</v>
          </cell>
        </row>
        <row r="245">
          <cell r="E245">
            <v>1006748</v>
          </cell>
          <cell r="F245">
            <v>20273758</v>
          </cell>
        </row>
        <row r="246">
          <cell r="E246">
            <v>1005501</v>
          </cell>
          <cell r="F246">
            <v>49139</v>
          </cell>
        </row>
        <row r="247">
          <cell r="E247">
            <v>1005503</v>
          </cell>
          <cell r="F247">
            <v>10088</v>
          </cell>
        </row>
        <row r="248">
          <cell r="E248">
            <v>1007002</v>
          </cell>
          <cell r="F248">
            <v>24056632</v>
          </cell>
        </row>
        <row r="249">
          <cell r="E249">
            <v>1007003</v>
          </cell>
          <cell r="F249">
            <v>24056632</v>
          </cell>
        </row>
        <row r="250">
          <cell r="E250">
            <v>1005502</v>
          </cell>
          <cell r="F250">
            <v>23882</v>
          </cell>
        </row>
        <row r="251">
          <cell r="E251">
            <v>1007384</v>
          </cell>
          <cell r="F251">
            <v>3500015</v>
          </cell>
        </row>
        <row r="252">
          <cell r="E252">
            <v>1007025</v>
          </cell>
          <cell r="F252">
            <v>24056632</v>
          </cell>
        </row>
        <row r="253">
          <cell r="E253">
            <v>1007026</v>
          </cell>
          <cell r="F253">
            <v>24056632</v>
          </cell>
        </row>
        <row r="254">
          <cell r="E254">
            <v>1007055</v>
          </cell>
          <cell r="F254">
            <v>6566922</v>
          </cell>
        </row>
        <row r="255">
          <cell r="E255">
            <v>1007095</v>
          </cell>
          <cell r="F255">
            <v>17268149</v>
          </cell>
        </row>
        <row r="256">
          <cell r="E256">
            <v>1007684</v>
          </cell>
          <cell r="F256">
            <v>1692520</v>
          </cell>
        </row>
        <row r="257">
          <cell r="E257">
            <v>1007402</v>
          </cell>
          <cell r="F257">
            <v>1606042</v>
          </cell>
        </row>
        <row r="258">
          <cell r="E258">
            <v>1007423</v>
          </cell>
          <cell r="F258">
            <v>13243657</v>
          </cell>
        </row>
        <row r="259">
          <cell r="E259">
            <v>1007825</v>
          </cell>
          <cell r="F259">
            <v>7028143</v>
          </cell>
        </row>
        <row r="260">
          <cell r="E260">
            <v>1005505</v>
          </cell>
          <cell r="F260">
            <v>46898</v>
          </cell>
        </row>
        <row r="261">
          <cell r="E261">
            <v>1007704</v>
          </cell>
          <cell r="F261">
            <v>1801070</v>
          </cell>
        </row>
        <row r="262">
          <cell r="E262">
            <v>1007705</v>
          </cell>
          <cell r="F262">
            <v>51461606</v>
          </cell>
        </row>
        <row r="263">
          <cell r="E263">
            <v>1005504</v>
          </cell>
          <cell r="F263">
            <v>16729</v>
          </cell>
        </row>
        <row r="264">
          <cell r="E264">
            <v>1007171</v>
          </cell>
          <cell r="F264">
            <v>29240043</v>
          </cell>
        </row>
        <row r="265">
          <cell r="E265">
            <v>1003965</v>
          </cell>
          <cell r="F265">
            <v>1000</v>
          </cell>
        </row>
        <row r="266">
          <cell r="E266">
            <v>1004325</v>
          </cell>
          <cell r="F266">
            <v>1000</v>
          </cell>
        </row>
        <row r="267">
          <cell r="E267">
            <v>1002882</v>
          </cell>
          <cell r="F267">
            <v>1000</v>
          </cell>
        </row>
        <row r="268">
          <cell r="E268">
            <v>1003850</v>
          </cell>
          <cell r="F268">
            <v>1000</v>
          </cell>
        </row>
        <row r="269">
          <cell r="E269">
            <v>1002892</v>
          </cell>
          <cell r="F269">
            <v>1000</v>
          </cell>
        </row>
        <row r="270">
          <cell r="E270">
            <v>1003925</v>
          </cell>
          <cell r="F270">
            <v>1000</v>
          </cell>
        </row>
        <row r="271">
          <cell r="E271">
            <v>1003966</v>
          </cell>
          <cell r="F271">
            <v>1000</v>
          </cell>
        </row>
        <row r="272">
          <cell r="E272">
            <v>1003967</v>
          </cell>
          <cell r="F272">
            <v>1000</v>
          </cell>
        </row>
        <row r="273">
          <cell r="E273">
            <v>1003924</v>
          </cell>
          <cell r="F273">
            <v>1000</v>
          </cell>
        </row>
        <row r="274">
          <cell r="E274">
            <v>1004522</v>
          </cell>
          <cell r="F274">
            <v>1000</v>
          </cell>
        </row>
        <row r="275">
          <cell r="E275">
            <v>1004163</v>
          </cell>
          <cell r="F275">
            <v>1000</v>
          </cell>
        </row>
        <row r="276">
          <cell r="E276">
            <v>1004164</v>
          </cell>
          <cell r="F276">
            <v>1000</v>
          </cell>
        </row>
        <row r="277">
          <cell r="E277">
            <v>1006665</v>
          </cell>
          <cell r="F277">
            <v>16382328</v>
          </cell>
        </row>
        <row r="278">
          <cell r="E278">
            <v>1005162</v>
          </cell>
          <cell r="F278">
            <v>1000</v>
          </cell>
        </row>
        <row r="279">
          <cell r="E279">
            <v>1004523</v>
          </cell>
          <cell r="F279">
            <v>1000</v>
          </cell>
        </row>
        <row r="280">
          <cell r="E280">
            <v>1004236</v>
          </cell>
          <cell r="F280">
            <v>1000</v>
          </cell>
        </row>
        <row r="281">
          <cell r="E281">
            <v>1004524</v>
          </cell>
          <cell r="F281">
            <v>1000</v>
          </cell>
        </row>
        <row r="282">
          <cell r="E282">
            <v>1004282</v>
          </cell>
          <cell r="F282">
            <v>1000</v>
          </cell>
        </row>
        <row r="283">
          <cell r="E283">
            <v>1004232</v>
          </cell>
          <cell r="F283">
            <v>1000</v>
          </cell>
        </row>
        <row r="284">
          <cell r="E284">
            <v>1004237</v>
          </cell>
          <cell r="F284">
            <v>1000</v>
          </cell>
        </row>
        <row r="285">
          <cell r="E285">
            <v>1004231</v>
          </cell>
          <cell r="F285">
            <v>1000</v>
          </cell>
        </row>
        <row r="286">
          <cell r="E286">
            <v>1003884</v>
          </cell>
          <cell r="F286">
            <v>1000</v>
          </cell>
        </row>
        <row r="287">
          <cell r="E287">
            <v>1004746</v>
          </cell>
          <cell r="F287">
            <v>1000</v>
          </cell>
        </row>
        <row r="288">
          <cell r="E288">
            <v>1004525</v>
          </cell>
          <cell r="F288">
            <v>1000</v>
          </cell>
        </row>
        <row r="289">
          <cell r="E289">
            <v>1004162</v>
          </cell>
          <cell r="F289">
            <v>66261188</v>
          </cell>
        </row>
        <row r="290">
          <cell r="E290">
            <v>1006660</v>
          </cell>
          <cell r="F290">
            <v>16265122</v>
          </cell>
        </row>
        <row r="291">
          <cell r="E291">
            <v>1006662</v>
          </cell>
          <cell r="F291">
            <v>16380924</v>
          </cell>
        </row>
        <row r="292">
          <cell r="E292">
            <v>1006677</v>
          </cell>
          <cell r="F292">
            <v>16380924</v>
          </cell>
        </row>
        <row r="293">
          <cell r="E293">
            <v>1006679</v>
          </cell>
          <cell r="F293">
            <v>16428866</v>
          </cell>
        </row>
        <row r="294">
          <cell r="E294">
            <v>1007938</v>
          </cell>
          <cell r="F294">
            <v>1000</v>
          </cell>
        </row>
        <row r="295">
          <cell r="E295">
            <v>1004283</v>
          </cell>
          <cell r="F295">
            <v>1000</v>
          </cell>
        </row>
        <row r="296">
          <cell r="E296">
            <v>1007939</v>
          </cell>
          <cell r="F296">
            <v>1000</v>
          </cell>
        </row>
        <row r="297">
          <cell r="E297">
            <v>1007940</v>
          </cell>
          <cell r="F297">
            <v>1000</v>
          </cell>
        </row>
        <row r="298">
          <cell r="E298">
            <v>1003483</v>
          </cell>
          <cell r="F298">
            <v>1000</v>
          </cell>
        </row>
        <row r="299">
          <cell r="E299">
            <v>1000588</v>
          </cell>
          <cell r="F299">
            <v>1000</v>
          </cell>
        </row>
        <row r="300">
          <cell r="E300">
            <v>1001964</v>
          </cell>
          <cell r="F300">
            <v>1000</v>
          </cell>
        </row>
        <row r="301">
          <cell r="E301">
            <v>1003962</v>
          </cell>
          <cell r="F301">
            <v>1000</v>
          </cell>
        </row>
        <row r="302">
          <cell r="E302">
            <v>1003963</v>
          </cell>
          <cell r="F302">
            <v>1000</v>
          </cell>
        </row>
        <row r="303">
          <cell r="E303">
            <v>1002887</v>
          </cell>
          <cell r="F303">
            <v>1000</v>
          </cell>
        </row>
        <row r="304">
          <cell r="E304">
            <v>1004527</v>
          </cell>
          <cell r="F304">
            <v>1000</v>
          </cell>
        </row>
        <row r="305">
          <cell r="E305">
            <v>1004167</v>
          </cell>
          <cell r="F305">
            <v>1000</v>
          </cell>
        </row>
        <row r="306">
          <cell r="E306">
            <v>1003488</v>
          </cell>
          <cell r="F306">
            <v>1000</v>
          </cell>
        </row>
        <row r="307">
          <cell r="E307">
            <v>1004745</v>
          </cell>
          <cell r="F307">
            <v>1000</v>
          </cell>
        </row>
        <row r="308">
          <cell r="E308">
            <v>1005164</v>
          </cell>
          <cell r="F308">
            <v>1000</v>
          </cell>
        </row>
        <row r="309">
          <cell r="E309">
            <v>1005467</v>
          </cell>
          <cell r="F309">
            <v>4009678</v>
          </cell>
        </row>
        <row r="310">
          <cell r="E310">
            <v>1005522</v>
          </cell>
          <cell r="F310">
            <v>5105313</v>
          </cell>
        </row>
        <row r="311">
          <cell r="E311">
            <v>1005524</v>
          </cell>
          <cell r="F311">
            <v>5108860</v>
          </cell>
        </row>
        <row r="312">
          <cell r="E312">
            <v>1005525</v>
          </cell>
          <cell r="F312">
            <v>5108860</v>
          </cell>
        </row>
        <row r="313">
          <cell r="E313">
            <v>1005557</v>
          </cell>
          <cell r="F313">
            <v>5067657</v>
          </cell>
        </row>
        <row r="314">
          <cell r="E314">
            <v>1005558</v>
          </cell>
          <cell r="F314">
            <v>9507906</v>
          </cell>
        </row>
        <row r="315">
          <cell r="E315">
            <v>1005608</v>
          </cell>
          <cell r="F315">
            <v>7662571</v>
          </cell>
        </row>
        <row r="316">
          <cell r="E316">
            <v>1005619</v>
          </cell>
          <cell r="F316">
            <v>6813726</v>
          </cell>
        </row>
        <row r="317">
          <cell r="E317">
            <v>1005649</v>
          </cell>
          <cell r="F317">
            <v>10612373</v>
          </cell>
        </row>
        <row r="318">
          <cell r="E318">
            <v>1005697</v>
          </cell>
          <cell r="F318">
            <v>12429970</v>
          </cell>
        </row>
        <row r="319">
          <cell r="E319">
            <v>1006658</v>
          </cell>
          <cell r="F319">
            <v>90937609</v>
          </cell>
        </row>
        <row r="320">
          <cell r="E320">
            <v>1006659</v>
          </cell>
          <cell r="F320">
            <v>90937609</v>
          </cell>
        </row>
        <row r="321">
          <cell r="E321">
            <v>1006674</v>
          </cell>
          <cell r="F321">
            <v>90178014</v>
          </cell>
        </row>
        <row r="322">
          <cell r="E322">
            <v>1005699</v>
          </cell>
          <cell r="F322">
            <v>8658649</v>
          </cell>
        </row>
        <row r="323">
          <cell r="E323">
            <v>1007934</v>
          </cell>
          <cell r="F323">
            <v>1000</v>
          </cell>
        </row>
        <row r="324">
          <cell r="E324">
            <v>1007935</v>
          </cell>
          <cell r="F324">
            <v>71067491</v>
          </cell>
        </row>
        <row r="325">
          <cell r="E325">
            <v>1007936</v>
          </cell>
          <cell r="F325">
            <v>19354970</v>
          </cell>
        </row>
        <row r="326">
          <cell r="E326">
            <v>1007937</v>
          </cell>
          <cell r="F326">
            <v>19228484</v>
          </cell>
        </row>
        <row r="327">
          <cell r="E327">
            <v>1004785</v>
          </cell>
          <cell r="F327">
            <v>1000</v>
          </cell>
        </row>
        <row r="328">
          <cell r="E328">
            <v>1003342</v>
          </cell>
          <cell r="F328">
            <v>1000</v>
          </cell>
        </row>
        <row r="329">
          <cell r="E329">
            <v>1005026</v>
          </cell>
          <cell r="F329">
            <v>1000</v>
          </cell>
        </row>
        <row r="330">
          <cell r="E330">
            <v>1004331</v>
          </cell>
          <cell r="F330">
            <v>3233509</v>
          </cell>
        </row>
        <row r="331">
          <cell r="E331">
            <v>1006614</v>
          </cell>
          <cell r="F331">
            <v>68592886</v>
          </cell>
        </row>
        <row r="332">
          <cell r="E332">
            <v>1000329</v>
          </cell>
          <cell r="F332">
            <v>1000</v>
          </cell>
        </row>
        <row r="333">
          <cell r="E333">
            <v>1000184</v>
          </cell>
          <cell r="F333">
            <v>1000</v>
          </cell>
        </row>
        <row r="334">
          <cell r="E334">
            <v>1000185</v>
          </cell>
          <cell r="F334">
            <v>1000</v>
          </cell>
        </row>
        <row r="335">
          <cell r="E335">
            <v>1000785</v>
          </cell>
          <cell r="F335">
            <v>1000</v>
          </cell>
        </row>
        <row r="336">
          <cell r="E336">
            <v>1000182</v>
          </cell>
          <cell r="F336">
            <v>1000</v>
          </cell>
        </row>
        <row r="337">
          <cell r="E337">
            <v>1000328</v>
          </cell>
          <cell r="F337">
            <v>1000</v>
          </cell>
        </row>
        <row r="338">
          <cell r="E338">
            <v>1000183</v>
          </cell>
          <cell r="F338">
            <v>1000</v>
          </cell>
        </row>
        <row r="339">
          <cell r="E339">
            <v>1000237</v>
          </cell>
          <cell r="F339">
            <v>1000</v>
          </cell>
        </row>
        <row r="340">
          <cell r="E340">
            <v>1000326</v>
          </cell>
          <cell r="F340">
            <v>1000</v>
          </cell>
        </row>
        <row r="341">
          <cell r="E341">
            <v>1000180</v>
          </cell>
          <cell r="F341">
            <v>1000</v>
          </cell>
        </row>
        <row r="342">
          <cell r="E342">
            <v>1000327</v>
          </cell>
          <cell r="F342">
            <v>1000</v>
          </cell>
        </row>
        <row r="343">
          <cell r="E343">
            <v>1000181</v>
          </cell>
          <cell r="F343">
            <v>1000</v>
          </cell>
        </row>
        <row r="344">
          <cell r="E344">
            <v>1000175</v>
          </cell>
          <cell r="F344">
            <v>1000</v>
          </cell>
        </row>
        <row r="345">
          <cell r="E345">
            <v>1000176</v>
          </cell>
          <cell r="F345">
            <v>1000</v>
          </cell>
        </row>
        <row r="346">
          <cell r="E346">
            <v>1005044</v>
          </cell>
          <cell r="F346">
            <v>1000</v>
          </cell>
        </row>
        <row r="347">
          <cell r="E347">
            <v>1005045</v>
          </cell>
          <cell r="F347">
            <v>1000</v>
          </cell>
        </row>
        <row r="348">
          <cell r="E348">
            <v>1005601</v>
          </cell>
          <cell r="F348">
            <v>4105686</v>
          </cell>
        </row>
        <row r="349">
          <cell r="E349">
            <v>1005602</v>
          </cell>
          <cell r="F349">
            <v>2098138</v>
          </cell>
        </row>
        <row r="350">
          <cell r="E350">
            <v>1005603</v>
          </cell>
          <cell r="F350">
            <v>4105686</v>
          </cell>
        </row>
        <row r="351">
          <cell r="E351">
            <v>1005964</v>
          </cell>
          <cell r="F351">
            <v>4719008</v>
          </cell>
        </row>
        <row r="352">
          <cell r="E352">
            <v>1005965</v>
          </cell>
          <cell r="F352">
            <v>5058463</v>
          </cell>
        </row>
        <row r="353">
          <cell r="E353">
            <v>1005967</v>
          </cell>
          <cell r="F353">
            <v>5058463</v>
          </cell>
        </row>
        <row r="354">
          <cell r="E354">
            <v>1006002</v>
          </cell>
          <cell r="F354">
            <v>5397796</v>
          </cell>
        </row>
        <row r="355">
          <cell r="E355">
            <v>1005966</v>
          </cell>
          <cell r="F355">
            <v>4719008</v>
          </cell>
        </row>
        <row r="356">
          <cell r="E356">
            <v>1006702</v>
          </cell>
          <cell r="F356">
            <v>12730033</v>
          </cell>
        </row>
        <row r="357">
          <cell r="E357">
            <v>1006732</v>
          </cell>
          <cell r="F357">
            <v>13065033</v>
          </cell>
        </row>
        <row r="358">
          <cell r="E358">
            <v>1006802</v>
          </cell>
          <cell r="F358">
            <v>14946357</v>
          </cell>
        </row>
        <row r="359">
          <cell r="E359">
            <v>1000385</v>
          </cell>
          <cell r="F359">
            <v>1000</v>
          </cell>
        </row>
        <row r="360">
          <cell r="E360">
            <v>1006776</v>
          </cell>
          <cell r="F360">
            <v>7576907</v>
          </cell>
        </row>
        <row r="361">
          <cell r="E361">
            <v>1006775</v>
          </cell>
          <cell r="F361">
            <v>9499281</v>
          </cell>
        </row>
        <row r="362">
          <cell r="E362">
            <v>1006583</v>
          </cell>
          <cell r="F362">
            <v>7840773</v>
          </cell>
        </row>
        <row r="363">
          <cell r="E363">
            <v>1006582</v>
          </cell>
          <cell r="F363">
            <v>7840773</v>
          </cell>
        </row>
        <row r="364">
          <cell r="E364">
            <v>1000314</v>
          </cell>
          <cell r="F364">
            <v>1000</v>
          </cell>
        </row>
        <row r="365">
          <cell r="E365">
            <v>1000398</v>
          </cell>
          <cell r="F365">
            <v>1000</v>
          </cell>
        </row>
        <row r="366">
          <cell r="E366">
            <v>1001965</v>
          </cell>
          <cell r="F366">
            <v>1000</v>
          </cell>
        </row>
        <row r="367">
          <cell r="E367">
            <v>1002246</v>
          </cell>
          <cell r="F367">
            <v>1000</v>
          </cell>
        </row>
        <row r="368">
          <cell r="E368">
            <v>1000331</v>
          </cell>
          <cell r="F368">
            <v>1000</v>
          </cell>
        </row>
        <row r="369">
          <cell r="E369">
            <v>1001456</v>
          </cell>
          <cell r="F369">
            <v>1000</v>
          </cell>
        </row>
        <row r="370">
          <cell r="E370">
            <v>1000986</v>
          </cell>
          <cell r="F370">
            <v>1000</v>
          </cell>
        </row>
        <row r="371">
          <cell r="E371">
            <v>1000564</v>
          </cell>
          <cell r="F371">
            <v>1000</v>
          </cell>
        </row>
        <row r="372">
          <cell r="E372">
            <v>1001967</v>
          </cell>
          <cell r="F372">
            <v>1000</v>
          </cell>
        </row>
        <row r="373">
          <cell r="E373">
            <v>1001952</v>
          </cell>
          <cell r="F373">
            <v>1000</v>
          </cell>
        </row>
        <row r="374">
          <cell r="E374">
            <v>1000569</v>
          </cell>
          <cell r="F374">
            <v>1000</v>
          </cell>
        </row>
        <row r="375">
          <cell r="E375">
            <v>1000799</v>
          </cell>
          <cell r="F375">
            <v>1000</v>
          </cell>
        </row>
        <row r="376">
          <cell r="E376">
            <v>1000566</v>
          </cell>
          <cell r="F376">
            <v>1000</v>
          </cell>
        </row>
        <row r="377">
          <cell r="E377">
            <v>1000768</v>
          </cell>
          <cell r="F377">
            <v>1000</v>
          </cell>
        </row>
        <row r="378">
          <cell r="E378">
            <v>1000568</v>
          </cell>
          <cell r="F378">
            <v>1000</v>
          </cell>
        </row>
        <row r="379">
          <cell r="E379">
            <v>1002257</v>
          </cell>
          <cell r="F379">
            <v>1000</v>
          </cell>
        </row>
        <row r="380">
          <cell r="E380">
            <v>1002245</v>
          </cell>
          <cell r="F380">
            <v>1000</v>
          </cell>
        </row>
        <row r="381">
          <cell r="E381">
            <v>1000798</v>
          </cell>
          <cell r="F381">
            <v>1000</v>
          </cell>
        </row>
        <row r="382">
          <cell r="E382">
            <v>1000365</v>
          </cell>
          <cell r="F382">
            <v>1000</v>
          </cell>
        </row>
        <row r="383">
          <cell r="E383">
            <v>1001454</v>
          </cell>
          <cell r="F383">
            <v>1000</v>
          </cell>
        </row>
        <row r="384">
          <cell r="E384">
            <v>1000228</v>
          </cell>
          <cell r="F384">
            <v>1000</v>
          </cell>
        </row>
        <row r="385">
          <cell r="E385">
            <v>1000229</v>
          </cell>
          <cell r="F385">
            <v>1000</v>
          </cell>
        </row>
        <row r="386">
          <cell r="E386">
            <v>1004743</v>
          </cell>
          <cell r="F386">
            <v>1000</v>
          </cell>
        </row>
        <row r="387">
          <cell r="E387">
            <v>1000565</v>
          </cell>
          <cell r="F387">
            <v>1000</v>
          </cell>
        </row>
        <row r="388">
          <cell r="E388">
            <v>1000567</v>
          </cell>
          <cell r="F388">
            <v>1000</v>
          </cell>
        </row>
        <row r="389">
          <cell r="E389">
            <v>1001452</v>
          </cell>
          <cell r="F389">
            <v>1000</v>
          </cell>
        </row>
        <row r="390">
          <cell r="E390">
            <v>1000967</v>
          </cell>
          <cell r="F390">
            <v>1000</v>
          </cell>
        </row>
        <row r="391">
          <cell r="E391">
            <v>1005472</v>
          </cell>
          <cell r="F391">
            <v>111169</v>
          </cell>
        </row>
        <row r="392">
          <cell r="E392">
            <v>1000561</v>
          </cell>
          <cell r="F392">
            <v>1000</v>
          </cell>
        </row>
        <row r="393">
          <cell r="E393">
            <v>1005264</v>
          </cell>
          <cell r="F393">
            <v>1000</v>
          </cell>
        </row>
        <row r="394">
          <cell r="E394">
            <v>1005265</v>
          </cell>
          <cell r="F394">
            <v>1000</v>
          </cell>
        </row>
        <row r="395">
          <cell r="E395">
            <v>1005285</v>
          </cell>
          <cell r="F395">
            <v>1000</v>
          </cell>
        </row>
        <row r="396">
          <cell r="E396">
            <v>1005323</v>
          </cell>
          <cell r="F396">
            <v>1000</v>
          </cell>
        </row>
        <row r="397">
          <cell r="E397">
            <v>1005324</v>
          </cell>
          <cell r="F397">
            <v>1000</v>
          </cell>
        </row>
        <row r="398">
          <cell r="E398">
            <v>1005325</v>
          </cell>
          <cell r="F398">
            <v>1000</v>
          </cell>
        </row>
        <row r="399">
          <cell r="E399">
            <v>1005326</v>
          </cell>
          <cell r="F399">
            <v>1000</v>
          </cell>
        </row>
        <row r="400">
          <cell r="E400">
            <v>1005327</v>
          </cell>
          <cell r="F400">
            <v>1000</v>
          </cell>
        </row>
        <row r="401">
          <cell r="E401">
            <v>1005531</v>
          </cell>
          <cell r="F401">
            <v>1142521</v>
          </cell>
        </row>
        <row r="402">
          <cell r="E402">
            <v>1000440</v>
          </cell>
          <cell r="F402">
            <v>1000</v>
          </cell>
        </row>
        <row r="403">
          <cell r="E403">
            <v>1001954</v>
          </cell>
          <cell r="F403">
            <v>1000</v>
          </cell>
        </row>
        <row r="404">
          <cell r="E404">
            <v>1001953</v>
          </cell>
          <cell r="F404">
            <v>1000</v>
          </cell>
        </row>
        <row r="405">
          <cell r="E405">
            <v>1005530</v>
          </cell>
          <cell r="F405">
            <v>1324609</v>
          </cell>
        </row>
        <row r="406">
          <cell r="E406">
            <v>1005526</v>
          </cell>
          <cell r="F406">
            <v>703353</v>
          </cell>
        </row>
        <row r="407">
          <cell r="E407">
            <v>1005527</v>
          </cell>
          <cell r="F407">
            <v>703353</v>
          </cell>
        </row>
        <row r="408">
          <cell r="E408">
            <v>1005528</v>
          </cell>
          <cell r="F408">
            <v>794563</v>
          </cell>
        </row>
        <row r="409">
          <cell r="E409">
            <v>1005609</v>
          </cell>
          <cell r="F409">
            <v>1393309</v>
          </cell>
        </row>
        <row r="410">
          <cell r="E410">
            <v>1005642</v>
          </cell>
          <cell r="F410">
            <v>1496333</v>
          </cell>
        </row>
        <row r="411">
          <cell r="E411">
            <v>1005655</v>
          </cell>
          <cell r="F411">
            <v>1496333</v>
          </cell>
        </row>
        <row r="412">
          <cell r="E412">
            <v>1005656</v>
          </cell>
          <cell r="F412">
            <v>1496333</v>
          </cell>
        </row>
        <row r="413">
          <cell r="E413">
            <v>1005658</v>
          </cell>
          <cell r="F413">
            <v>1496333</v>
          </cell>
        </row>
        <row r="414">
          <cell r="E414">
            <v>1005610</v>
          </cell>
          <cell r="F414">
            <v>1499720</v>
          </cell>
        </row>
        <row r="415">
          <cell r="E415">
            <v>1005611</v>
          </cell>
          <cell r="F415">
            <v>1967677</v>
          </cell>
        </row>
        <row r="416">
          <cell r="E416">
            <v>1005909</v>
          </cell>
          <cell r="F416">
            <v>2909834</v>
          </cell>
        </row>
        <row r="417">
          <cell r="E417">
            <v>1005910</v>
          </cell>
          <cell r="F417">
            <v>2909834</v>
          </cell>
        </row>
        <row r="418">
          <cell r="E418">
            <v>1005911</v>
          </cell>
          <cell r="F418">
            <v>2782141</v>
          </cell>
        </row>
        <row r="419">
          <cell r="E419">
            <v>1005912</v>
          </cell>
          <cell r="F419">
            <v>3013986</v>
          </cell>
        </row>
        <row r="420">
          <cell r="E420">
            <v>1006027</v>
          </cell>
          <cell r="F420">
            <v>3843516</v>
          </cell>
        </row>
        <row r="421">
          <cell r="E421">
            <v>1006037</v>
          </cell>
          <cell r="F421">
            <v>3843516</v>
          </cell>
        </row>
        <row r="422">
          <cell r="E422">
            <v>1005529</v>
          </cell>
          <cell r="F422">
            <v>927771</v>
          </cell>
        </row>
        <row r="423">
          <cell r="E423">
            <v>1006724</v>
          </cell>
          <cell r="F423">
            <v>8993828</v>
          </cell>
        </row>
        <row r="424">
          <cell r="E424">
            <v>1006733</v>
          </cell>
          <cell r="F424">
            <v>8993828</v>
          </cell>
        </row>
        <row r="425">
          <cell r="E425">
            <v>1005473</v>
          </cell>
          <cell r="F425">
            <v>541372</v>
          </cell>
        </row>
        <row r="426">
          <cell r="E426">
            <v>1005532</v>
          </cell>
          <cell r="F426">
            <v>1233730</v>
          </cell>
        </row>
        <row r="427">
          <cell r="E427">
            <v>1003385</v>
          </cell>
          <cell r="F427">
            <v>1000</v>
          </cell>
        </row>
        <row r="428">
          <cell r="E428">
            <v>1000139</v>
          </cell>
          <cell r="F428">
            <v>1000</v>
          </cell>
        </row>
        <row r="429">
          <cell r="E429">
            <v>1006676</v>
          </cell>
          <cell r="F429">
            <v>42906514</v>
          </cell>
        </row>
        <row r="430">
          <cell r="E430">
            <v>1006678</v>
          </cell>
          <cell r="F430">
            <v>46587270</v>
          </cell>
        </row>
        <row r="431">
          <cell r="E431">
            <v>1006602</v>
          </cell>
          <cell r="F431">
            <v>37830221</v>
          </cell>
        </row>
        <row r="432">
          <cell r="E432">
            <v>1006611</v>
          </cell>
          <cell r="F432">
            <v>37803075</v>
          </cell>
        </row>
        <row r="433">
          <cell r="E433">
            <v>1004583</v>
          </cell>
          <cell r="F433">
            <v>1000</v>
          </cell>
        </row>
        <row r="434">
          <cell r="E434">
            <v>1000587</v>
          </cell>
          <cell r="F434">
            <v>1000</v>
          </cell>
        </row>
        <row r="435">
          <cell r="E435">
            <v>1000586</v>
          </cell>
          <cell r="F435">
            <v>1000</v>
          </cell>
        </row>
        <row r="436">
          <cell r="E436">
            <v>1000805</v>
          </cell>
          <cell r="F436">
            <v>1000</v>
          </cell>
        </row>
        <row r="437">
          <cell r="E437">
            <v>1000806</v>
          </cell>
          <cell r="F437">
            <v>1000</v>
          </cell>
        </row>
        <row r="438">
          <cell r="E438">
            <v>1004290</v>
          </cell>
          <cell r="F438">
            <v>1000</v>
          </cell>
        </row>
        <row r="439">
          <cell r="E439">
            <v>1001224</v>
          </cell>
          <cell r="F439">
            <v>1000</v>
          </cell>
        </row>
        <row r="440">
          <cell r="E440">
            <v>1001460</v>
          </cell>
          <cell r="F440">
            <v>1000</v>
          </cell>
        </row>
        <row r="441">
          <cell r="E441">
            <v>1003904</v>
          </cell>
          <cell r="F441">
            <v>1000</v>
          </cell>
        </row>
        <row r="442">
          <cell r="E442">
            <v>1004333</v>
          </cell>
          <cell r="F442">
            <v>1000</v>
          </cell>
        </row>
        <row r="443">
          <cell r="E443">
            <v>1003964</v>
          </cell>
          <cell r="F443">
            <v>1000</v>
          </cell>
        </row>
        <row r="444">
          <cell r="E444">
            <v>1003903</v>
          </cell>
          <cell r="F444">
            <v>1000</v>
          </cell>
        </row>
        <row r="445">
          <cell r="E445">
            <v>1002024</v>
          </cell>
          <cell r="F445">
            <v>1000</v>
          </cell>
        </row>
        <row r="446">
          <cell r="E446">
            <v>1001962</v>
          </cell>
          <cell r="F446">
            <v>1000</v>
          </cell>
        </row>
        <row r="447">
          <cell r="E447">
            <v>1001949</v>
          </cell>
          <cell r="F447">
            <v>1000</v>
          </cell>
        </row>
        <row r="448">
          <cell r="E448">
            <v>1002248</v>
          </cell>
          <cell r="F448">
            <v>1000</v>
          </cell>
        </row>
        <row r="449">
          <cell r="E449">
            <v>1002242</v>
          </cell>
          <cell r="F449">
            <v>1000</v>
          </cell>
        </row>
        <row r="450">
          <cell r="E450">
            <v>1002249</v>
          </cell>
          <cell r="F450">
            <v>1000</v>
          </cell>
        </row>
        <row r="451">
          <cell r="E451">
            <v>1002243</v>
          </cell>
          <cell r="F451">
            <v>1000</v>
          </cell>
        </row>
        <row r="452">
          <cell r="E452">
            <v>1002883</v>
          </cell>
          <cell r="F452">
            <v>1000</v>
          </cell>
        </row>
        <row r="453">
          <cell r="E453">
            <v>1004526</v>
          </cell>
          <cell r="F453">
            <v>1000</v>
          </cell>
        </row>
        <row r="454">
          <cell r="E454">
            <v>1004543</v>
          </cell>
          <cell r="F454">
            <v>1000</v>
          </cell>
        </row>
        <row r="455">
          <cell r="E455">
            <v>1004742</v>
          </cell>
          <cell r="F455">
            <v>1000</v>
          </cell>
        </row>
        <row r="456">
          <cell r="E456">
            <v>1004862</v>
          </cell>
          <cell r="F456">
            <v>1000</v>
          </cell>
        </row>
        <row r="457">
          <cell r="E457">
            <v>1004863</v>
          </cell>
          <cell r="F457">
            <v>1000</v>
          </cell>
        </row>
        <row r="458">
          <cell r="E458">
            <v>1004224</v>
          </cell>
          <cell r="F458">
            <v>1000</v>
          </cell>
        </row>
        <row r="459">
          <cell r="E459">
            <v>1004168</v>
          </cell>
          <cell r="F459">
            <v>1000</v>
          </cell>
        </row>
        <row r="460">
          <cell r="E460">
            <v>1004332</v>
          </cell>
          <cell r="F460">
            <v>1000</v>
          </cell>
        </row>
        <row r="461">
          <cell r="E461">
            <v>1004297</v>
          </cell>
          <cell r="F461">
            <v>1000</v>
          </cell>
        </row>
        <row r="462">
          <cell r="E462">
            <v>1005262</v>
          </cell>
          <cell r="F462">
            <v>0</v>
          </cell>
        </row>
        <row r="463">
          <cell r="E463">
            <v>1005263</v>
          </cell>
          <cell r="F463">
            <v>0</v>
          </cell>
        </row>
        <row r="464">
          <cell r="E464">
            <v>1004544</v>
          </cell>
          <cell r="F464">
            <v>1000</v>
          </cell>
        </row>
        <row r="465">
          <cell r="E465">
            <v>1005328</v>
          </cell>
          <cell r="F465">
            <v>1000</v>
          </cell>
        </row>
        <row r="466">
          <cell r="E466">
            <v>1005329</v>
          </cell>
          <cell r="F466">
            <v>1000</v>
          </cell>
        </row>
        <row r="467">
          <cell r="E467">
            <v>1005330</v>
          </cell>
          <cell r="F467">
            <v>1000</v>
          </cell>
        </row>
        <row r="468">
          <cell r="E468">
            <v>1005363</v>
          </cell>
          <cell r="F468">
            <v>1000</v>
          </cell>
        </row>
        <row r="469">
          <cell r="E469">
            <v>1005364</v>
          </cell>
          <cell r="F469">
            <v>1000</v>
          </cell>
        </row>
        <row r="470">
          <cell r="E470">
            <v>1004238</v>
          </cell>
          <cell r="F470">
            <v>1000</v>
          </cell>
        </row>
        <row r="471">
          <cell r="E471">
            <v>1004233</v>
          </cell>
          <cell r="F471">
            <v>1000</v>
          </cell>
        </row>
        <row r="472">
          <cell r="E472">
            <v>1004293</v>
          </cell>
          <cell r="F472">
            <v>1000</v>
          </cell>
        </row>
        <row r="473">
          <cell r="E473">
            <v>1004239</v>
          </cell>
          <cell r="F473">
            <v>1000</v>
          </cell>
        </row>
        <row r="474">
          <cell r="E474">
            <v>1004234</v>
          </cell>
          <cell r="F474">
            <v>1000</v>
          </cell>
        </row>
        <row r="475">
          <cell r="E475">
            <v>1003882</v>
          </cell>
          <cell r="F475">
            <v>1000</v>
          </cell>
        </row>
        <row r="476">
          <cell r="E476">
            <v>1003906</v>
          </cell>
          <cell r="F476">
            <v>1000</v>
          </cell>
        </row>
        <row r="477">
          <cell r="E477">
            <v>1003907</v>
          </cell>
          <cell r="F477">
            <v>1000</v>
          </cell>
        </row>
        <row r="478">
          <cell r="E478">
            <v>1004545</v>
          </cell>
          <cell r="F478">
            <v>1000</v>
          </cell>
        </row>
        <row r="479">
          <cell r="E479">
            <v>1005645</v>
          </cell>
          <cell r="F479">
            <v>5392807</v>
          </cell>
        </row>
        <row r="480">
          <cell r="E480">
            <v>1005646</v>
          </cell>
          <cell r="F480">
            <v>5392807</v>
          </cell>
        </row>
        <row r="481">
          <cell r="E481">
            <v>1005698</v>
          </cell>
          <cell r="F481">
            <v>5286848</v>
          </cell>
        </row>
        <row r="482">
          <cell r="E482">
            <v>1005700</v>
          </cell>
          <cell r="F482">
            <v>5534894</v>
          </cell>
        </row>
        <row r="483">
          <cell r="E483">
            <v>1004528</v>
          </cell>
          <cell r="F483">
            <v>1000</v>
          </cell>
        </row>
        <row r="484">
          <cell r="E484">
            <v>1004327</v>
          </cell>
          <cell r="F484">
            <v>1000</v>
          </cell>
        </row>
        <row r="485">
          <cell r="E485">
            <v>1005921</v>
          </cell>
          <cell r="F485">
            <v>14061406</v>
          </cell>
        </row>
        <row r="486">
          <cell r="E486">
            <v>1005922</v>
          </cell>
          <cell r="F486">
            <v>17110178</v>
          </cell>
        </row>
        <row r="487">
          <cell r="E487">
            <v>1005923</v>
          </cell>
          <cell r="F487">
            <v>14067336</v>
          </cell>
        </row>
        <row r="488">
          <cell r="E488">
            <v>1005902</v>
          </cell>
          <cell r="F488">
            <v>14119398</v>
          </cell>
        </row>
        <row r="489">
          <cell r="E489">
            <v>1006038</v>
          </cell>
          <cell r="F489">
            <v>15882970</v>
          </cell>
        </row>
        <row r="490">
          <cell r="E490">
            <v>1006033</v>
          </cell>
          <cell r="F490">
            <v>15890878</v>
          </cell>
        </row>
        <row r="491">
          <cell r="E491">
            <v>1005523</v>
          </cell>
          <cell r="F491">
            <v>2334940</v>
          </cell>
        </row>
        <row r="492">
          <cell r="E492">
            <v>1006729</v>
          </cell>
          <cell r="F492">
            <v>43585658</v>
          </cell>
        </row>
        <row r="493">
          <cell r="E493">
            <v>1006722</v>
          </cell>
          <cell r="F493">
            <v>43574669</v>
          </cell>
        </row>
        <row r="494">
          <cell r="E494">
            <v>1006681</v>
          </cell>
          <cell r="F494">
            <v>40735245</v>
          </cell>
        </row>
        <row r="495">
          <cell r="E495">
            <v>1006661</v>
          </cell>
          <cell r="F495">
            <v>41864174</v>
          </cell>
        </row>
        <row r="496">
          <cell r="E496">
            <v>1007745</v>
          </cell>
          <cell r="F496">
            <v>899381</v>
          </cell>
        </row>
        <row r="497">
          <cell r="E497">
            <v>1007746</v>
          </cell>
          <cell r="F497">
            <v>899381</v>
          </cell>
        </row>
        <row r="498">
          <cell r="E498">
            <v>1007747</v>
          </cell>
          <cell r="F498">
            <v>899381</v>
          </cell>
        </row>
        <row r="499">
          <cell r="E499">
            <v>1007748</v>
          </cell>
          <cell r="F499">
            <v>899381</v>
          </cell>
        </row>
        <row r="500">
          <cell r="E500">
            <v>1000454</v>
          </cell>
          <cell r="F500">
            <v>1000</v>
          </cell>
        </row>
        <row r="501">
          <cell r="E501">
            <v>1000455</v>
          </cell>
          <cell r="F501">
            <v>1000</v>
          </cell>
        </row>
        <row r="502">
          <cell r="E502">
            <v>1001548</v>
          </cell>
          <cell r="F502">
            <v>1000</v>
          </cell>
        </row>
        <row r="503">
          <cell r="E503">
            <v>1001550</v>
          </cell>
          <cell r="F503">
            <v>1000</v>
          </cell>
        </row>
        <row r="504">
          <cell r="E504">
            <v>1000358</v>
          </cell>
          <cell r="F504">
            <v>1000</v>
          </cell>
        </row>
        <row r="505">
          <cell r="E505">
            <v>1006416</v>
          </cell>
          <cell r="F505">
            <v>215237</v>
          </cell>
        </row>
        <row r="506">
          <cell r="E506">
            <v>1006402</v>
          </cell>
          <cell r="F506">
            <v>215237</v>
          </cell>
        </row>
        <row r="507">
          <cell r="E507">
            <v>1006612</v>
          </cell>
          <cell r="F507">
            <v>257514</v>
          </cell>
        </row>
        <row r="508">
          <cell r="E508">
            <v>1006622</v>
          </cell>
          <cell r="F508">
            <v>257514</v>
          </cell>
        </row>
        <row r="509">
          <cell r="E509">
            <v>1000783</v>
          </cell>
          <cell r="F509">
            <v>1000</v>
          </cell>
        </row>
        <row r="510">
          <cell r="E510">
            <v>1000784</v>
          </cell>
          <cell r="F510">
            <v>1000</v>
          </cell>
        </row>
        <row r="511">
          <cell r="E511">
            <v>1000359</v>
          </cell>
          <cell r="F511">
            <v>1000</v>
          </cell>
        </row>
        <row r="512">
          <cell r="E512">
            <v>1003923</v>
          </cell>
          <cell r="F512">
            <v>1000</v>
          </cell>
        </row>
        <row r="513">
          <cell r="E513">
            <v>1006663</v>
          </cell>
          <cell r="F513">
            <v>150000837</v>
          </cell>
        </row>
        <row r="514">
          <cell r="E514">
            <v>1004482</v>
          </cell>
          <cell r="F514">
            <v>1000</v>
          </cell>
        </row>
        <row r="515">
          <cell r="E515">
            <v>1006664</v>
          </cell>
          <cell r="F515">
            <v>95421327</v>
          </cell>
        </row>
      </sheetData>
      <sheetData sheetId="42"/>
      <sheetData sheetId="43"/>
      <sheetData sheetId="4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김진원" refreshedDate="46225.405933680559" createdVersion="8" refreshedVersion="8" minRefreshableVersion="3" recordCount="993">
  <cacheSource type="worksheet">
    <worksheetSource ref="A5:CP998" sheet="티져DB"/>
  </cacheSource>
  <cacheFields count="94">
    <cacheField name="No" numFmtId="0">
      <sharedItems containsSemiMixedTypes="0" containsString="0" containsNumber="1" containsInteger="1" minValue="1" maxValue="993"/>
    </cacheField>
    <cacheField name="투자" numFmtId="0">
      <sharedItems containsBlank="1" count="3">
        <s v="No"/>
        <s v="Yes"/>
        <m/>
      </sharedItems>
    </cacheField>
    <cacheField name="체크" numFmtId="0">
      <sharedItems containsBlank="1"/>
    </cacheField>
    <cacheField name="담당자" numFmtId="0">
      <sharedItems containsBlank="1"/>
    </cacheField>
    <cacheField name="SITE" numFmtId="0">
      <sharedItems containsBlank="1"/>
    </cacheField>
    <cacheField name="부문" numFmtId="0">
      <sharedItems containsBlank="1"/>
    </cacheField>
    <cacheField name="8&quot; 해당유무" numFmtId="0">
      <sharedItems containsBlank="1"/>
    </cacheField>
    <cacheField name="WF Size" numFmtId="0">
      <sharedItems containsBlank="1"/>
    </cacheField>
    <cacheField name="Biz1" numFmtId="0">
      <sharedItems containsBlank="1"/>
    </cacheField>
    <cacheField name="Biz2" numFmtId="0">
      <sharedItems containsBlank="1" count="6">
        <s v="Wafer Test"/>
        <m/>
        <s v="Bump"/>
        <s v="COG"/>
        <s v="COF"/>
        <s v="PKG Test"/>
      </sharedItems>
    </cacheField>
    <cacheField name="공정1" numFmtId="0">
      <sharedItems containsBlank="1"/>
    </cacheField>
    <cacheField name="공정2" numFmtId="0">
      <sharedItems containsBlank="1" count="41">
        <s v="Wafer Test"/>
        <s v="INK"/>
        <s v="T-공통"/>
        <m/>
        <s v="8' 특성(Shear)"/>
        <s v="공통"/>
        <s v="ANNEL"/>
        <s v="PLATING"/>
        <s v="PR STRIP"/>
        <s v="ALIGN"/>
        <s v="AVI"/>
        <s v="특성"/>
        <s v="SRD"/>
        <s v="SCRUBBER"/>
        <s v="DEVELOP"/>
        <s v="SPUTTER"/>
        <s v="DESCUM"/>
        <s v="SAW"/>
        <s v="P&amp;P"/>
        <s v="C-AVI"/>
        <s v="BG"/>
        <s v="LMK"/>
        <s v="8' PLATING"/>
        <s v="CURE"/>
        <s v="COAT"/>
        <s v="Au Etch"/>
        <s v="Lami"/>
        <s v="Packing"/>
        <s v="Wafer Mount"/>
        <s v="UV"/>
        <s v="Bake Oven"/>
        <s v="POT"/>
        <s v="ILB"/>
        <s v="Rewinder"/>
        <s v="Ink Mark"/>
        <s v="R2R Mark"/>
        <s v="Tape Attach"/>
        <s v="Visual Inspection"/>
        <s v="Final Test"/>
        <s v="PACK"/>
        <s v="Manual Rewinder"/>
      </sharedItems>
    </cacheField>
    <cacheField name="SAP Code" numFmtId="0">
      <sharedItems containsBlank="1" containsMixedTypes="1" containsNumber="1" containsInteger="1" minValue="1000043" maxValue="2101498"/>
    </cacheField>
    <cacheField name="설비구분" numFmtId="0">
      <sharedItems containsBlank="1"/>
    </cacheField>
    <cacheField name="자산명" numFmtId="0">
      <sharedItems containsBlank="1"/>
    </cacheField>
    <cacheField name="Model명" numFmtId="0">
      <sharedItems containsBlank="1"/>
    </cacheField>
    <cacheField name="Model명1" numFmtId="0">
      <sharedItems containsBlank="1" count="117">
        <m/>
        <s v="ND2"/>
        <s v="ST6730A"/>
        <s v="UF2000"/>
        <s v="UF200SA"/>
        <s v="ND3"/>
        <s v="Upgrade option"/>
        <s v="순간정전보상장치"/>
        <s v="UF200"/>
        <s v="UF190A"/>
        <s v="MS278"/>
        <s v="UF3000LX"/>
        <s v="OPUS3"/>
        <s v="FD12"/>
        <s v="ND4C"/>
        <s v="Shear"/>
        <s v="HM-220A"/>
        <s v="OVEN"/>
        <s v="BPE-2800K"/>
        <s v="PR stripper"/>
        <s v="AP200"/>
        <s v="Falcon 520"/>
        <s v="DAGE4000 PXY"/>
        <s v="DRYER"/>
        <s v="VS-8000"/>
        <s v="VRD-8000"/>
        <s v="ENDURA-5500"/>
        <s v="Wet station"/>
        <s v="880S"/>
        <s v="KS-W80A-A"/>
        <s v="ECO-Lite"/>
        <s v="DFD6340"/>
        <s v="WCS-821B"/>
        <s v="HT-1200"/>
        <s v="JAP-3000"/>
        <s v="PNP"/>
        <s v="APP-L10"/>
        <s v="PG300RM"/>
        <s v="PG3000RM"/>
        <s v="CSM2000"/>
        <s v="UIS-0814CUP-LB"/>
        <s v="SD-2205S2"/>
        <s v="JSPCS-700FA"/>
        <s v="Mark-7"/>
        <s v="Stepper"/>
        <s v="Etch"/>
        <s v="OLS-5100"/>
        <s v="AL120-LMB86"/>
        <s v="TM-812"/>
        <s v="XDV-u_WAFER"/>
        <s v="TM-812 (Ashing)"/>
        <s v="Sorter"/>
        <s v="?"/>
        <s v="CUWLA-121"/>
        <s v="EV-60E/Tapit-WS"/>
        <s v="SEMDEX301"/>
        <s v="STM7"/>
        <s v="STM6"/>
        <s v="TESTO925"/>
        <s v="Mitutoyo 543-450B"/>
        <s v="DT-MWM1030A"/>
        <s v="ASUV-M2000"/>
        <s v="NDB-4"/>
        <s v="RV-4640A"/>
        <s v="COF-300"/>
        <s v="SWLU-RWA-100"/>
        <s v="TIPS-435A"/>
        <s v="TFC-3600"/>
        <s v="LDPS-435D"/>
        <s v="FM-100"/>
        <s v="TFC-2100"/>
        <s v="DIM-1011V"/>
        <s v="DTAUV-1200SB"/>
        <s v="KRM200"/>
        <s v="COF-1000"/>
        <s v="PRCⅡ-2000ACD"/>
        <s v="PLK-01"/>
        <s v="DT-ECS2030B"/>
        <s v="LTB-4100"/>
        <s v="TFC-3200"/>
        <s v="MP-1408K-LU"/>
        <s v="CUUVA-120"/>
        <s v="TCP-435A"/>
        <s v="Part"/>
        <s v="Reelstar-800LM"/>
        <s v="DWM-RCL4000"/>
        <s v="DGP8761"/>
        <s v="DWM-RCL-1000"/>
        <s v="CUMAA-080S"/>
        <s v="CUMAA-080R"/>
        <s v="AAR2101"/>
        <s v="DWD-SWE1000"/>
        <s v="LX-90"/>
        <s v="DT-NWM-1050M"/>
        <s v="COF054"/>
        <s v="ST6731A"/>
        <s v="AER-812S"/>
        <s v="SFEM"/>
        <s v="AH9610"/>
        <s v="FP2000"/>
        <s v="LISA-60B"/>
        <s v="LISA-60C"/>
        <s v="T530"/>
        <s v="YM6401"/>
        <s v="YM630M"/>
        <s v="YM630"/>
        <s v="YM631"/>
        <s v="YM632"/>
        <s v="HS800S"/>
        <s v="HS800M"/>
        <s v="YM630V"/>
        <s v="TS670"/>
        <s v="ND4"/>
        <s v="ST6730"/>
        <s v="AZH-800ES-DKM-BG"/>
        <s v="WPI-4000"/>
        <s v="PVI"/>
      </sharedItems>
    </cacheField>
    <cacheField name="Model 구분" numFmtId="0">
      <sharedItems containsBlank="1"/>
    </cacheField>
    <cacheField name="S/N" numFmtId="0">
      <sharedItems containsBlank="1" containsMixedTypes="1" containsNumber="1" minValue="0" maxValue="35020070001"/>
    </cacheField>
    <cacheField name="설비번호" numFmtId="0">
      <sharedItems containsBlank="1" count="177">
        <m/>
        <s v="ND2T005"/>
        <s v="ND2T006"/>
        <s v="ND2T007"/>
        <s v="ND2T008"/>
        <s v="S673AT001"/>
        <s v="ND2P006"/>
        <s v="ND2T013"/>
        <s v="ND2T014"/>
        <s v="ND2T015"/>
        <s v="ND2P007"/>
        <s v="ND2P008"/>
        <s v="ND2P014"/>
        <s v="ND2P013"/>
        <s v="AP43"/>
        <s v="ND2P015"/>
        <s v="YP38"/>
        <s v="S673AT005"/>
        <s v="S673AP901"/>
        <s v="YT24"/>
        <s v="INK12"/>
        <s v="S673AT012"/>
        <s v="ND3T001"/>
        <s v="AP32"/>
        <s v="ND3T002"/>
        <s v="S673AP001"/>
        <s v="YT34"/>
        <s v="YP34"/>
        <s v="ND3T003"/>
        <s v="AT23"/>
        <s v="AT24"/>
        <s v="AP23"/>
        <s v="AP24"/>
        <s v="AT25"/>
        <s v="ND3T007"/>
        <s v="AP25"/>
        <s v="AP37"/>
        <s v="ND3T008"/>
        <s v="AT28"/>
        <s v="ND3T010"/>
        <s v="AP28"/>
        <s v="AT30"/>
        <s v="AT31"/>
        <s v="AT32"/>
        <s v="AP30"/>
        <s v="AP31"/>
        <s v="ND3P019"/>
        <s v="YT36"/>
        <s v="YT38"/>
        <s v="ND3T014"/>
        <s v="ND3T015"/>
        <s v="ND3P014"/>
        <s v="ND3P015"/>
        <s v="YP98"/>
        <s v="ND3T016"/>
        <s v="ND3T017"/>
        <s v="ND3P016"/>
        <s v="ND3T019"/>
        <s v="ND3T023"/>
        <s v="ND2P005"/>
        <s v="ND3P023"/>
        <s v="AT37"/>
        <s v="ND3T020"/>
        <s v="ND3T021"/>
        <s v="ND3T022"/>
        <s v="ND3P021"/>
        <s v="ND3P022"/>
        <s v="AT43"/>
        <s v="AT44"/>
        <s v="AT45"/>
        <s v="AT46"/>
        <s v="AP44"/>
        <s v="AP45"/>
        <s v="AP46"/>
        <s v="ND3T028"/>
        <s v="INK06"/>
        <s v="INK01"/>
        <s v="INK02"/>
        <s v="INK03"/>
        <s v="INK04"/>
        <s v="WS-01"/>
        <s v="D3P-20"/>
        <s v="ND4CT015"/>
        <s v="BM-FOR10"/>
        <s v="BM-HAR03"/>
        <s v="BE-ANN01"/>
        <s v="BE-AUP01"/>
        <s v="BE-PRS01"/>
        <s v="BE-AUP03"/>
        <s v="BE-STP01"/>
        <s v="BE-AUP04"/>
        <s v="BE-AVI02"/>
        <s v="BE-AUP05"/>
        <s v="BM-FOR11"/>
        <s v="BE-AVI03"/>
        <s v="BE-SRD05"/>
        <s v="BE-STP02"/>
        <s v="BE-SCR03"/>
        <s v="BE-DEV05"/>
        <s v="BE-AVI04"/>
        <s v="BE-SPU04"/>
        <s v="BE-DEV06"/>
        <s v="BE-AUP06"/>
        <s v="BE-SPU05"/>
        <s v="BE-PRS03"/>
        <s v="BE-AUP07"/>
        <s v="BE-AUP08"/>
        <s v="BE-AVI07"/>
        <s v="BE-AUP09"/>
        <s v="BE-SRD10"/>
        <s v="BE-SPU06"/>
        <s v="BE-SCR05"/>
        <s v="BE-GAS04"/>
        <s v="BE-AUP10"/>
        <s v="BE-AUP11"/>
        <s v="BE-GAS05"/>
        <s v="BE-ANN03"/>
        <s v="BE-AVI_03"/>
        <s v="CE-SAW03"/>
        <s v="CE-PNP02"/>
        <s v="CE-SAW05"/>
        <s v="CE-SAW06"/>
        <s v="CE-PNP06"/>
        <s v="CE-AVI05"/>
        <s v="CE-SAW07"/>
        <s v="CE-SAW08"/>
        <s v="CE-SAW09"/>
        <s v="CE-SAW10"/>
        <s v="CE-AVI06"/>
        <s v="CE-AVI07"/>
        <s v="CE-PNP07"/>
        <s v="CE-PNP08"/>
        <s v="CE-PNP09"/>
        <s v="CE-SAW11"/>
        <s v="CE-SAW12"/>
        <s v="CE-AVI08"/>
        <s v="CE-AVI09"/>
        <s v="CE-PNP10"/>
        <s v="CE-SAW13"/>
        <s v="CE-AVI10"/>
        <s v="CE-AVI11"/>
        <s v="CE-SAW15"/>
        <s v="CE-SAW16"/>
        <s v="CE-PNP14"/>
        <s v="CE-PNP17"/>
        <s v="CE-PNP18"/>
        <s v="CE-PNP23"/>
        <s v="CE-AVI14"/>
        <s v="CE-AVI15"/>
        <s v="CE-BGR01"/>
        <s v="CE-BGR02"/>
        <s v="BE-CSM02"/>
        <s v="BE-AUP12"/>
        <s v="BE-ANN04"/>
        <s v="CE-PNP24"/>
        <s v="CE-PNP25"/>
        <s v="BE-SRD#15"/>
        <s v="CE-PNP26"/>
        <s v="BE-SRD#16"/>
        <s v="CE-PLS01"/>
        <s v="BE-DEV07"/>
        <s v="계측기"/>
        <s v="Manual Mount"/>
        <s v="Manual UV"/>
        <s v="FCB1"/>
        <s v="FCB3"/>
        <s v="UV"/>
        <s v="FCB2"/>
        <s v="Auto Mount"/>
        <s v="ND3"/>
        <s v="ND2"/>
        <s v="ST6730A"/>
        <s v="ST6731A"/>
        <s v="ND4"/>
        <s v="ND1"/>
        <s v="TS670"/>
        <s v="ST6730"/>
      </sharedItems>
    </cacheField>
    <cacheField name="가동유무" numFmtId="0">
      <sharedItems containsBlank="1"/>
    </cacheField>
    <cacheField name="국적" numFmtId="0">
      <sharedItems containsBlank="1"/>
    </cacheField>
    <cacheField name="업체명" numFmtId="0">
      <sharedItems containsBlank="1"/>
    </cacheField>
    <cacheField name="설비이동(New)" numFmtId="0">
      <sharedItems containsBlank="1" count="6">
        <s v="2차"/>
        <s v="1차"/>
        <m/>
        <s v="매각_2차-제외"/>
        <s v="매각 검토"/>
        <s v="1차 제외"/>
      </sharedItems>
    </cacheField>
    <cacheField name="설비 이동 " numFmtId="0">
      <sharedItems containsBlank="1"/>
    </cacheField>
    <cacheField name="설비 이동(백업)" numFmtId="0">
      <sharedItems containsBlank="1"/>
    </cacheField>
    <cacheField name="전략물자해당여부" numFmtId="0">
      <sharedItems containsBlank="1"/>
    </cacheField>
    <cacheField name="사용용도" numFmtId="0">
      <sharedItems containsBlank="1"/>
    </cacheField>
    <cacheField name="간략 기능 설명 " numFmtId="0">
      <sharedItems containsBlank="1"/>
    </cacheField>
    <cacheField name="기술사양기준" numFmtId="0">
      <sharedItems containsBlank="1"/>
    </cacheField>
    <cacheField name="국제통제리스트매칭" numFmtId="0">
      <sharedItems containsNonDate="0" containsString="0" containsBlank="1"/>
    </cacheField>
    <cacheField name="ECCN/통제번호" numFmtId="0">
      <sharedItems containsBlank="1"/>
    </cacheField>
    <cacheField name="HS code" numFmtId="0">
      <sharedItems containsBlank="1"/>
    </cacheField>
    <cacheField name="통제사유(성능,용도,기술 포함 여부)" numFmtId="0">
      <sharedItems containsBlank="1"/>
    </cacheField>
    <cacheField name="부속요소 포함 여부" numFmtId="0">
      <sharedItems containsNonDate="0" containsString="0" containsBlank="1"/>
    </cacheField>
    <cacheField name="제작일" numFmtId="0">
      <sharedItems containsNonDate="0" containsDate="1" containsString="0" containsBlank="1" minDate="2001-03-16T00:00:00" maxDate="2024-12-28T00:00:00"/>
    </cacheField>
    <cacheField name="취득일" numFmtId="0">
      <sharedItems containsNonDate="0" containsDate="1" containsString="0" containsBlank="1" minDate="2001-06-30T00:00:00" maxDate="2024-12-28T00:00:00"/>
    </cacheField>
    <cacheField name="사용년수" numFmtId="0">
      <sharedItems containsString="0" containsBlank="1" containsNumber="1" minValue="-109.82465753424657" maxValue="24.353424657534248"/>
    </cacheField>
    <cacheField name="내용년수" numFmtId="0">
      <sharedItems containsString="0" containsBlank="1" containsNumber="1" containsInteger="1" minValue="5" maxValue="12"/>
    </cacheField>
    <cacheField name="위치" numFmtId="0">
      <sharedItems containsBlank="1"/>
    </cacheField>
    <cacheField name="자산구분" numFmtId="0">
      <sharedItems containsBlank="1"/>
    </cacheField>
    <cacheField name="담보 유무" numFmtId="0">
      <sharedItems containsBlank="1"/>
    </cacheField>
    <cacheField name="전력소모량(kwh)" numFmtId="0">
      <sharedItems containsString="0" containsBlank="1" containsNumber="1" minValue="0" maxValue="148.4"/>
    </cacheField>
    <cacheField name="가로" numFmtId="0">
      <sharedItems containsString="0" containsBlank="1" containsNumber="1" containsInteger="1" minValue="430" maxValue="7160"/>
    </cacheField>
    <cacheField name="세로" numFmtId="0">
      <sharedItems containsString="0" containsBlank="1" containsNumber="1" containsInteger="1" minValue="120" maxValue="4155"/>
    </cacheField>
    <cacheField name="높이(장비Size)" numFmtId="0">
      <sharedItems containsBlank="1" containsMixedTypes="1" containsNumber="1" containsInteger="1" minValue="500" maxValue="2489"/>
    </cacheField>
    <cacheField name="(취득)기초가액" numFmtId="0">
      <sharedItems containsString="0" containsBlank="1" containsNumber="1" minValue="0" maxValue="15000000000"/>
    </cacheField>
    <cacheField name="(취득) 당기증가" numFmtId="0">
      <sharedItems containsNonDate="0" containsString="0" containsBlank="1"/>
    </cacheField>
    <cacheField name="(취득) 당기감소" numFmtId="0">
      <sharedItems containsNonDate="0" containsString="0" containsBlank="1"/>
    </cacheField>
    <cacheField name="(취득) 기말잔액" numFmtId="0">
      <sharedItems containsString="0" containsBlank="1" containsNumber="1" containsInteger="1" minValue="9500000" maxValue="4407229396"/>
    </cacheField>
    <cacheField name="누적감상액" numFmtId="0">
      <sharedItems containsString="0" containsBlank="1" containsNumber="1" containsInteger="1" minValue="359000" maxValue="1416364902"/>
    </cacheField>
    <cacheField name="월상각액" numFmtId="0">
      <sharedItems containsBlank="1" containsMixedTypes="1" containsNumber="1" containsInteger="1" minValue="0" maxValue="16503605"/>
    </cacheField>
    <cacheField name="장부잔액(10월)" numFmtId="0">
      <sharedItems containsString="0" containsBlank="1" containsNumber="1" minValue="0" maxValue="15000000000"/>
    </cacheField>
    <cacheField name="장부 잔액('26년3월)" numFmtId="0">
      <sharedItems containsString="0" containsBlank="1" containsNumber="1" containsInteger="1" minValue="0" maxValue="150000837"/>
    </cacheField>
    <cacheField name="기준사용(월)" numFmtId="0">
      <sharedItems containsString="0" containsBlank="1" containsNumber="1" containsInteger="1" minValue="60" maxValue="144"/>
    </cacheField>
    <cacheField name="삼각경과(월)" numFmtId="0">
      <sharedItems containsString="0" containsBlank="1" containsNumber="1" containsInteger="1" minValue="43" maxValue="294"/>
    </cacheField>
    <cacheField name="상각완료예정(월)" numFmtId="0">
      <sharedItems containsBlank="1" containsMixedTypes="1" containsNumber="1" minValue="0" maxValue="88.000038400015356"/>
    </cacheField>
    <cacheField name="상각완료여부" numFmtId="0">
      <sharedItems containsBlank="1"/>
    </cacheField>
    <cacheField name="귀속부서" numFmtId="0">
      <sharedItems containsBlank="1"/>
    </cacheField>
    <cacheField name="감상비_부문" numFmtId="0">
      <sharedItems containsBlank="1"/>
    </cacheField>
    <cacheField name="참고" numFmtId="0">
      <sharedItems containsBlank="1"/>
    </cacheField>
    <cacheField name="감상비분류" numFmtId="0">
      <sharedItems containsBlank="1"/>
    </cacheField>
    <cacheField name="New평가액" numFmtId="41">
      <sharedItems containsBlank="1" containsMixedTypes="1" containsNumber="1" minValue="7200" maxValue="15000000000"/>
    </cacheField>
    <cacheField name="분기상각비용" numFmtId="0">
      <sharedItems containsString="0" containsBlank="1" containsNumber="1" minValue="0" maxValue="468750000"/>
    </cacheField>
    <cacheField name="월상각비용" numFmtId="0">
      <sharedItems containsString="0" containsBlank="1" containsNumber="1" minValue="0" maxValue="156250000"/>
    </cacheField>
    <cacheField name="1Q-28" numFmtId="0">
      <sharedItems containsNonDate="0" containsString="0" containsBlank="1"/>
    </cacheField>
    <cacheField name="2Q-28" numFmtId="0">
      <sharedItems containsNonDate="0" containsString="0" containsBlank="1"/>
    </cacheField>
    <cacheField name="3Q-28" numFmtId="0">
      <sharedItems containsString="0" containsBlank="1" containsNumber="1" minValue="13727.335371923487" maxValue="468750000"/>
    </cacheField>
    <cacheField name="4Q-28" numFmtId="0">
      <sharedItems containsString="0" containsBlank="1" containsNumber="1" minValue="0" maxValue="468750000"/>
    </cacheField>
    <cacheField name="합계-28" numFmtId="0">
      <sharedItems containsString="0" containsBlank="1" containsNumber="1" minValue="0" maxValue="937500000"/>
    </cacheField>
    <cacheField name="1Q-29" numFmtId="0">
      <sharedItems containsString="0" containsBlank="1" containsNumber="1" minValue="13727.335371923487" maxValue="468750000"/>
    </cacheField>
    <cacheField name="2Q-29" numFmtId="0">
      <sharedItems containsString="0" containsBlank="1" containsNumber="1" minValue="13727.335371923487" maxValue="468750000"/>
    </cacheField>
    <cacheField name="3Q-29" numFmtId="0">
      <sharedItems containsString="0" containsBlank="1" containsNumber="1" minValue="0" maxValue="468750000"/>
    </cacheField>
    <cacheField name="4Q-29" numFmtId="0">
      <sharedItems containsString="0" containsBlank="1" containsNumber="1" minValue="0" maxValue="468750000"/>
    </cacheField>
    <cacheField name="합계-29" numFmtId="0">
      <sharedItems containsString="0" containsBlank="1" containsNumber="1" minValue="0" maxValue="1875000000"/>
    </cacheField>
    <cacheField name="1Q-30" numFmtId="41">
      <sharedItems containsString="0" containsBlank="1" containsNumber="1" minValue="0" maxValue="468750000"/>
    </cacheField>
    <cacheField name="2Q-30" numFmtId="41">
      <sharedItems containsString="0" containsBlank="1" containsNumber="1" minValue="0" maxValue="468750000"/>
    </cacheField>
    <cacheField name="3Q-30" numFmtId="41">
      <sharedItems containsString="0" containsBlank="1" containsNumber="1" minValue="0" maxValue="468750000"/>
    </cacheField>
    <cacheField name="4Q-30" numFmtId="41">
      <sharedItems containsString="0" containsBlank="1" containsNumber="1" minValue="0" maxValue="468750000"/>
    </cacheField>
    <cacheField name="합계-30" numFmtId="0">
      <sharedItems containsString="0" containsBlank="1" containsNumber="1" minValue="0" maxValue="1875000000"/>
    </cacheField>
    <cacheField name="1Q-31" numFmtId="41">
      <sharedItems containsString="0" containsBlank="1" containsNumber="1" minValue="0" maxValue="468750000"/>
    </cacheField>
    <cacheField name="2Q-31" numFmtId="41">
      <sharedItems containsString="0" containsBlank="1" containsNumber="1" minValue="0" maxValue="468750000"/>
    </cacheField>
    <cacheField name="3Q-31" numFmtId="41">
      <sharedItems containsString="0" containsBlank="1" containsNumber="1" minValue="0" maxValue="468750000"/>
    </cacheField>
    <cacheField name="4Q-31" numFmtId="41">
      <sharedItems containsString="0" containsBlank="1" containsNumber="1" minValue="0" maxValue="468750000"/>
    </cacheField>
    <cacheField name="합계-302" numFmtId="0">
      <sharedItems containsString="0" containsBlank="1" containsNumber="1" minValue="0" maxValue="1875000000"/>
    </cacheField>
    <cacheField name="1Q-32" numFmtId="41">
      <sharedItems containsString="0" containsBlank="1" containsNumber="1" minValue="0" maxValue="468750000"/>
    </cacheField>
    <cacheField name="2Q-32" numFmtId="41">
      <sharedItems containsString="0" containsBlank="1" containsNumber="1" minValue="0" maxValue="468750000"/>
    </cacheField>
    <cacheField name="3Q-32" numFmtId="41">
      <sharedItems containsString="0" containsBlank="1" containsNumber="1" minValue="0" maxValue="468750000"/>
    </cacheField>
    <cacheField name="4Q-32" numFmtId="41">
      <sharedItems containsString="0" containsBlank="1" containsNumber="1" minValue="0" maxValue="468750000"/>
    </cacheField>
    <cacheField name="합계-32" numFmtId="0">
      <sharedItems containsString="0" containsBlank="1" containsNumber="1" minValue="0" maxValue="1875000000"/>
    </cacheField>
    <cacheField name="++" numFmtId="0">
      <sharedItems containsNonDate="0" containsString="0" containsBlank="1"/>
    </cacheField>
    <cacheField name="비중" numFmtId="0">
      <sharedItems containsString="0" containsBlank="1" containsNumber="1" minValue="0" maxValue="5.071613963356305E-2"/>
    </cacheField>
    <cacheField name="증가액" numFmtId="3">
      <sharedItems containsString="0" containsBlank="1" containsNumber="1" minValue="57414.531203079474" maxValue="1065038932.304824"/>
    </cacheField>
    <cacheField name="New평가액 최종" numFmtId="0">
      <sharedItems containsString="0" containsBlank="1" containsNumber="1" minValue="0" maxValue="3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김진원" refreshedDate="46225.57365648148" createdVersion="8" refreshedVersion="8" minRefreshableVersion="3" recordCount="74">
  <cacheSource type="worksheet">
    <worksheetSource ref="I4:AJ81" sheet="6월DB"/>
  </cacheSource>
  <cacheFields count="26">
    <cacheField name="Site" numFmtId="0">
      <sharedItems/>
    </cacheField>
    <cacheField name="공정 구분" numFmtId="0">
      <sharedItems count="5">
        <s v="Bump"/>
        <s v="COF"/>
        <s v="COG"/>
        <s v="Wafer test"/>
        <s v="COF test"/>
      </sharedItems>
    </cacheField>
    <cacheField name="세부공정" numFmtId="0">
      <sharedItems count="61">
        <s v="Scrubber"/>
        <s v="Sputter"/>
        <s v="PR Coating"/>
        <s v="Stepper"/>
        <s v="Develop"/>
        <s v="Descum"/>
        <s v="Au Plating"/>
        <s v="PR Strip"/>
        <s v="Au Etch"/>
        <s v="TiW Etch"/>
        <s v="Anneal"/>
        <s v="OLS"/>
        <s v="Shear"/>
        <s v="Hardness"/>
        <s v="AVI"/>
        <s v="Scope"/>
        <s v="계측기 면저항"/>
        <s v="계측기 Seed metal 두께"/>
        <s v="계측기 Oxide, PR 두께, Aching"/>
        <s v="Sorter"/>
        <s v="BP(Bump Clean)"/>
        <s v="Cassette Cleaner"/>
        <s v="Lami"/>
        <s v="BG"/>
        <s v="LM"/>
        <s v="Wafer Mount(장)"/>
        <s v="Manual Mount(장)"/>
        <s v="Laser Grooving(장)"/>
        <s v="Saw"/>
        <s v="CO2 Bubbler"/>
        <s v="UV"/>
        <s v="ILB_1세대"/>
        <s v="ILB_2세대"/>
        <s v="ILB_3세대"/>
        <s v="POT(pcs)"/>
        <s v="OVEN(pcs)"/>
        <s v="Auto Rewinder(pcs)"/>
        <s v="Manual Rewinder(pcs)"/>
        <s v="Ink Mark"/>
        <s v="Roll to Roll LMK(pcs)"/>
        <s v="TA-NDK"/>
        <s v="TA-CUON_Single"/>
        <s v="TA-CUON_Dual"/>
        <s v="계측기(Chip Thickness)"/>
        <s v="Measuring Scope"/>
        <s v="전자저울"/>
        <s v="접착력 측정기(Dage4000)"/>
        <s v="Push &amp; Pull Tester"/>
        <s v="3D 측정기(Debris, Ruffness)"/>
        <s v="냉동고"/>
        <s v="DIGIMATIC THICKNESS GAGE"/>
        <s v="Force Calibration Jig"/>
        <s v="P&amp;P"/>
        <s v="Packing"/>
        <s v="Low Power Scope"/>
        <s v="T6373"/>
        <s v="T6391C"/>
        <s v="T6391S"/>
        <s v="T6372"/>
        <s v="AVI (1세대)"/>
        <s v="AVI (2세대)"/>
      </sharedItems>
    </cacheField>
    <cacheField name="보유 대수" numFmtId="0">
      <sharedItems containsString="0" containsBlank="1" containsNumber="1" containsInteger="1" minValue="1" maxValue="56"/>
    </cacheField>
    <cacheField name="필요대수" numFmtId="0">
      <sharedItems containsString="0" containsBlank="1" containsNumber="1" containsInteger="1" minValue="1" maxValue="19" count="12">
        <n v="1"/>
        <n v="3"/>
        <n v="4"/>
        <m/>
        <n v="8"/>
        <n v="5"/>
        <n v="6"/>
        <n v="13"/>
        <n v="19"/>
        <n v="11"/>
        <n v="2"/>
        <n v="7"/>
      </sharedItems>
    </cacheField>
    <cacheField name="이설 가능 대수" numFmtId="0">
      <sharedItems containsString="0" containsBlank="1" containsNumber="1" containsInteger="1" minValue="0" maxValue="13" count="13">
        <n v="1"/>
        <n v="0"/>
        <n v="3"/>
        <n v="2"/>
        <m/>
        <n v="8"/>
        <n v="6"/>
        <n v="13"/>
        <n v="12"/>
        <n v="11"/>
        <n v="4"/>
        <n v="5"/>
        <n v="7"/>
      </sharedItems>
    </cacheField>
    <cacheField name="투자 대수" numFmtId="0">
      <sharedItems containsString="0" containsBlank="1" containsNumber="1" containsInteger="1" minValue="0" maxValue="4"/>
    </cacheField>
    <cacheField name="총 투자액" numFmtId="41">
      <sharedItems containsString="0" containsBlank="1" containsNumber="1" containsInteger="1" minValue="0" maxValue="3500000000"/>
    </cacheField>
    <cacheField name="추가 필요 대수" numFmtId="0">
      <sharedItems containsString="0" containsBlank="1" containsNumber="1" containsInteger="1" minValue="0" maxValue="7"/>
    </cacheField>
    <cacheField name="이설 가능 대수2" numFmtId="0">
      <sharedItems containsString="0" containsBlank="1" containsNumber="1" containsInteger="1" minValue="0" maxValue="7"/>
    </cacheField>
    <cacheField name="투자 대수2" numFmtId="0">
      <sharedItems containsString="0" containsBlank="1" containsNumber="1" containsInteger="1" minValue="0" maxValue="2"/>
    </cacheField>
    <cacheField name="총 투자액2" numFmtId="41">
      <sharedItems containsString="0" containsBlank="1" containsNumber="1" containsInteger="1" minValue="0" maxValue="500000000"/>
    </cacheField>
    <cacheField name="Remarks" numFmtId="0">
      <sharedItems containsBlank="1"/>
    </cacheField>
    <cacheField name="이설필요" numFmtId="41">
      <sharedItems containsSemiMixedTypes="0" containsString="0" containsNumber="1" containsInteger="1" minValue="0" maxValue="26"/>
    </cacheField>
    <cacheField name="이설가능" numFmtId="41">
      <sharedItems containsSemiMixedTypes="0" containsString="0" containsNumber="1" containsInteger="1" minValue="0" maxValue="19"/>
    </cacheField>
    <cacheField name="설비 부족" numFmtId="41">
      <sharedItems containsSemiMixedTypes="0" containsString="0" containsNumber="1" containsInteger="1" minValue="0" maxValue="6"/>
    </cacheField>
    <cacheField name="잔여설비" numFmtId="41">
      <sharedItems containsSemiMixedTypes="0" containsString="0" containsNumber="1" containsInteger="1" minValue="-5" maxValue="37"/>
    </cacheField>
    <cacheField name="보완사항" numFmtId="0">
      <sharedItems containsBlank="1"/>
    </cacheField>
    <cacheField name="설비No." numFmtId="0">
      <sharedItems containsBlank="1"/>
    </cacheField>
    <cacheField name="평가결과" numFmtId="0">
      <sharedItems containsBlank="1" count="6">
        <s v="D"/>
        <m/>
        <s v="E"/>
        <s v="C"/>
        <s v="A"/>
        <s v="B"/>
      </sharedItems>
    </cacheField>
    <cacheField name="A" numFmtId="0">
      <sharedItems containsNonDate="0" containsString="0" containsBlank="1"/>
    </cacheField>
    <cacheField name="B" numFmtId="0">
      <sharedItems containsNonDate="0" containsString="0" containsBlank="1"/>
    </cacheField>
    <cacheField name="C" numFmtId="0">
      <sharedItems containsNonDate="0" containsString="0" containsBlank="1"/>
    </cacheField>
    <cacheField name="D" numFmtId="0">
      <sharedItems containsBlank="1"/>
    </cacheField>
    <cacheField name="E" numFmtId="0">
      <sharedItems containsNonDate="0" containsString="0" containsBlank="1"/>
    </cacheField>
    <cacheField name="사유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김진원" refreshedDate="46225.765265972223" createdVersion="8" refreshedVersion="8" minRefreshableVersion="3" recordCount="77">
  <cacheSource type="worksheet">
    <worksheetSource ref="B4:AJ81" sheet="6월DB"/>
  </cacheSource>
  <cacheFields count="35">
    <cacheField name="구분" numFmtId="0">
      <sharedItems count="4">
        <s v="메인"/>
        <s v="검사"/>
        <s v="기타"/>
        <s v="해당없음"/>
      </sharedItems>
    </cacheField>
    <cacheField name="1차TS" numFmtId="0">
      <sharedItems containsString="0" containsBlank="1" containsNumber="1" containsInteger="1" minValue="1" maxValue="16"/>
    </cacheField>
    <cacheField name="2차TS" numFmtId="0">
      <sharedItems containsString="0" containsBlank="1" containsNumber="1" containsInteger="1" minValue="1" maxValue="22"/>
    </cacheField>
    <cacheField name="합계TS" numFmtId="0">
      <sharedItems containsSemiMixedTypes="0" containsString="0" containsNumber="1" containsInteger="1" minValue="0" maxValue="33" count="16">
        <n v="1"/>
        <n v="2"/>
        <n v="6"/>
        <n v="0"/>
        <n v="4"/>
        <n v="5"/>
        <n v="18"/>
        <n v="17"/>
        <n v="33"/>
        <n v="20"/>
        <n v="3"/>
        <n v="13"/>
        <n v="9"/>
        <n v="25"/>
        <n v="15"/>
        <n v="8"/>
      </sharedItems>
    </cacheField>
    <cacheField name="기타TS" numFmtId="0">
      <sharedItems containsBlank="1" count="2">
        <m/>
        <s v="투자"/>
      </sharedItems>
    </cacheField>
    <cacheField name="투자단가" numFmtId="41">
      <sharedItems containsString="0" containsBlank="1" containsNumber="1" containsInteger="1" minValue="7000000" maxValue="3000000000"/>
    </cacheField>
    <cacheField name="투자합계TS" numFmtId="41">
      <sharedItems containsString="0" containsBlank="1" containsNumber="1" containsInteger="1" minValue="0" maxValue="3000000000"/>
    </cacheField>
    <cacheField name="Site" numFmtId="0">
      <sharedItems/>
    </cacheField>
    <cacheField name="공정 구분" numFmtId="0">
      <sharedItems count="5">
        <s v="Bump"/>
        <s v="COF"/>
        <s v="COG"/>
        <s v="Wafer test"/>
        <s v="COF test"/>
      </sharedItems>
    </cacheField>
    <cacheField name="세부공정" numFmtId="0">
      <sharedItems count="64">
        <s v="Scrubber"/>
        <s v="Sputter"/>
        <s v="PR Coating"/>
        <s v="Stepper"/>
        <s v="Develop"/>
        <s v="Descum"/>
        <s v="Au Plating"/>
        <s v="PR Strip"/>
        <s v="Au Etch"/>
        <s v="TiW Etch"/>
        <s v="Anneal"/>
        <s v="OLS"/>
        <s v="Shear"/>
        <s v="Hardness"/>
        <s v="AVI"/>
        <s v="Scope"/>
        <s v="계측기 면저항"/>
        <s v="계측기 Seed metal 두께"/>
        <s v="계측기 Oxide, PR 두께, Aching"/>
        <s v="Sorter"/>
        <s v="BP(Bump Clean)"/>
        <s v="Cassette Cleaner"/>
        <s v="Lami"/>
        <s v="BG"/>
        <s v="LM"/>
        <s v="Wafer Mount(장)"/>
        <s v="Manual Mount(장)"/>
        <s v="Laser Grooving(장)"/>
        <s v="Saw"/>
        <s v="CO2 Bubbler"/>
        <s v="UV"/>
        <s v="ILB_1세대"/>
        <s v="ILB_2세대"/>
        <s v="ILB_3세대"/>
        <s v="POT(pcs)"/>
        <s v="OVEN(pcs)"/>
        <s v="Auto Rewinder(pcs)"/>
        <s v="Manual Rewinder(pcs)"/>
        <s v="Ink Mark"/>
        <s v="Roll to Roll LMK(pcs)"/>
        <s v="TA-NDK"/>
        <s v="TA-CUON_Single"/>
        <s v="TA-CUON_Dual"/>
        <s v="계측기(Chip Thickness)"/>
        <s v="Measuring Scope"/>
        <s v="전자저울"/>
        <s v="접착력 측정기(Dage4000)"/>
        <s v="Push &amp; Pull Tester"/>
        <s v="3D 측정기(Debris, Ruffness)"/>
        <s v="냉동고"/>
        <s v="DIGIMATIC THICKNESS GAGE"/>
        <s v="Force Calibration Jig"/>
        <s v="P&amp;P"/>
        <s v="Packing"/>
        <s v="Low Power Scope"/>
        <s v="T6373"/>
        <s v="T6391C"/>
        <s v="T6391S"/>
        <s v="T6372"/>
        <s v="TS670"/>
        <s v="ST6730"/>
        <s v="AVI (1세대)"/>
        <s v="AVI (2세대)"/>
        <s v="T530" u="1"/>
      </sharedItems>
    </cacheField>
    <cacheField name="보유 대수" numFmtId="0">
      <sharedItems containsString="0" containsBlank="1" containsNumber="1" containsInteger="1" minValue="1" maxValue="76" count="24">
        <n v="4"/>
        <n v="3"/>
        <n v="2"/>
        <n v="11"/>
        <n v="1"/>
        <n v="9"/>
        <n v="28"/>
        <n v="6"/>
        <n v="17"/>
        <n v="45"/>
        <n v="56"/>
        <n v="32"/>
        <n v="5"/>
        <n v="10"/>
        <n v="19"/>
        <n v="25"/>
        <n v="23"/>
        <n v="13"/>
        <n v="35"/>
        <n v="76"/>
        <n v="46"/>
        <n v="18"/>
        <n v="14"/>
        <m/>
      </sharedItems>
    </cacheField>
    <cacheField name="1차6월" numFmtId="0">
      <sharedItems containsString="0" containsBlank="1" containsNumber="1" containsInteger="1" minValue="1" maxValue="19"/>
    </cacheField>
    <cacheField name="이설6월" numFmtId="0">
      <sharedItems containsString="0" containsBlank="1" containsNumber="1" containsInteger="1" minValue="0" maxValue="13"/>
    </cacheField>
    <cacheField name="1차투자6월" numFmtId="0">
      <sharedItems containsString="0" containsBlank="1" containsNumber="1" containsInteger="1" minValue="0" maxValue="4"/>
    </cacheField>
    <cacheField name="1차투자금액6월" numFmtId="41">
      <sharedItems containsString="0" containsBlank="1" containsNumber="1" containsInteger="1" minValue="0" maxValue="3500000000"/>
    </cacheField>
    <cacheField name="2차6월" numFmtId="0">
      <sharedItems containsString="0" containsBlank="1" containsNumber="1" containsInteger="1" minValue="0" maxValue="7"/>
    </cacheField>
    <cacheField name="이설6월2" numFmtId="0">
      <sharedItems containsString="0" containsBlank="1" containsNumber="1" containsInteger="1" minValue="0" maxValue="7"/>
    </cacheField>
    <cacheField name="2차투자6월" numFmtId="0">
      <sharedItems containsString="0" containsBlank="1" containsNumber="1" containsInteger="1" minValue="0" maxValue="2"/>
    </cacheField>
    <cacheField name="2차투자금액6월" numFmtId="41">
      <sharedItems containsString="0" containsBlank="1" containsNumber="1" containsInteger="1" minValue="0" maxValue="500000000"/>
    </cacheField>
    <cacheField name="Remarks" numFmtId="0">
      <sharedItems containsBlank="1"/>
    </cacheField>
    <cacheField name="이설필요합6월" numFmtId="41">
      <sharedItems containsString="0" containsBlank="1" containsNumber="1" containsInteger="1" minValue="0" maxValue="26" count="18">
        <n v="1"/>
        <n v="2"/>
        <n v="6"/>
        <n v="4"/>
        <n v="5"/>
        <n v="0"/>
        <n v="12"/>
        <n v="7"/>
        <n v="15"/>
        <n v="13"/>
        <n v="26"/>
        <n v="18"/>
        <n v="3"/>
        <n v="14"/>
        <n v="10"/>
        <n v="17"/>
        <m/>
        <n v="9"/>
      </sharedItems>
    </cacheField>
    <cacheField name="이설가능합6월" numFmtId="41">
      <sharedItems containsString="0" containsBlank="1" containsNumber="1" containsInteger="1" minValue="0" maxValue="19" count="16">
        <n v="1"/>
        <n v="2"/>
        <n v="0"/>
        <n v="6"/>
        <n v="3"/>
        <n v="5"/>
        <n v="12"/>
        <n v="15"/>
        <n v="13"/>
        <n v="19"/>
        <n v="18"/>
        <n v="4"/>
        <n v="10"/>
        <n v="17"/>
        <m/>
        <n v="9"/>
      </sharedItems>
    </cacheField>
    <cacheField name="설비투자합6월" numFmtId="41">
      <sharedItems containsString="0" containsBlank="1" containsNumber="1" containsInteger="1" minValue="0" maxValue="6"/>
    </cacheField>
    <cacheField name="추가설비투자금6월" numFmtId="41">
      <sharedItems containsSemiMixedTypes="0" containsString="0" containsNumber="1" containsInteger="1" minValue="0" maxValue="3500000000"/>
    </cacheField>
    <cacheField name="이설가능설비중가가" numFmtId="41">
      <sharedItems containsSemiMixedTypes="0" containsString="0" containsNumber="1" containsInteger="1" minValue="0" maxValue="3500000000"/>
    </cacheField>
    <cacheField name="잔여설비6월" numFmtId="41">
      <sharedItems containsString="0" containsBlank="1" containsNumber="1" containsInteger="1" minValue="0" maxValue="76"/>
    </cacheField>
    <cacheField name="보완사항" numFmtId="0">
      <sharedItems containsBlank="1"/>
    </cacheField>
    <cacheField name="설비No." numFmtId="0">
      <sharedItems containsBlank="1"/>
    </cacheField>
    <cacheField name="평가결과" numFmtId="0">
      <sharedItems containsBlank="1" count="6">
        <s v="D"/>
        <m/>
        <s v="E"/>
        <s v="C"/>
        <s v="A"/>
        <s v="B"/>
      </sharedItems>
    </cacheField>
    <cacheField name="A" numFmtId="0">
      <sharedItems containsNonDate="0" containsString="0" containsBlank="1"/>
    </cacheField>
    <cacheField name="B" numFmtId="0">
      <sharedItems containsNonDate="0" containsString="0" containsBlank="1"/>
    </cacheField>
    <cacheField name="C" numFmtId="0">
      <sharedItems containsNonDate="0" containsString="0" containsBlank="1"/>
    </cacheField>
    <cacheField name="D" numFmtId="0">
      <sharedItems containsBlank="1"/>
    </cacheField>
    <cacheField name="E" numFmtId="0">
      <sharedItems containsNonDate="0" containsString="0" containsBlank="1"/>
    </cacheField>
    <cacheField name="사유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3">
  <r>
    <n v="1"/>
    <x v="0"/>
    <m/>
    <s v="최삼현"/>
    <s v="평택"/>
    <s v="TEST"/>
    <s v="O"/>
    <s v="8&quot;"/>
    <s v="DDI"/>
    <x v="0"/>
    <s v="PT"/>
    <x v="0"/>
    <n v="2100164"/>
    <s v="Part"/>
    <s v="TESTER INSERT RING"/>
    <s v="부속 장치"/>
    <x v="0"/>
    <m/>
    <s v="N/A"/>
    <x v="0"/>
    <m/>
    <m/>
    <m/>
    <x v="0"/>
    <s v="2차"/>
    <s v="2차"/>
    <s v="일반장비(비통제)"/>
    <s v="공정지원부품"/>
    <m/>
    <m/>
    <m/>
    <s v="EAR99"/>
    <m/>
    <m/>
    <m/>
    <d v="2001-09-17T00:00:00"/>
    <d v="2001-09-17T00:00:00"/>
    <n v="24.136986301369863"/>
    <n v="8"/>
    <s v="1공장"/>
    <s v="자사"/>
    <s v="미설정"/>
    <m/>
    <m/>
    <m/>
    <e v="#N/A"/>
    <n v="43650000"/>
    <m/>
    <m/>
    <n v="43650000"/>
    <m/>
    <m/>
    <n v="1000"/>
    <n v="1000"/>
    <n v="96"/>
    <n v="291"/>
    <n v="0"/>
    <m/>
    <s v="W-TEST장비기술팀"/>
    <s v="Test"/>
    <s v="Test"/>
    <s v="기계장치"/>
    <n v="873000"/>
    <n v="83221.970692286137"/>
    <n v="27740.656897428711"/>
    <m/>
    <m/>
    <m/>
    <m/>
    <m/>
    <m/>
    <m/>
    <n v="83221.970692286137"/>
    <n v="83221.970692286137"/>
    <n v="166443.94138457227"/>
    <n v="83221.970692286137"/>
    <n v="83221.970692286137"/>
    <n v="83221.970692286137"/>
    <n v="83221.970692286137"/>
    <n v="332887.88276914455"/>
    <n v="83221.970692286137"/>
    <n v="83221.970692286137"/>
    <n v="83221.970692286137"/>
    <n v="83221.970692286137"/>
    <n v="332887.88276914455"/>
    <n v="83221.970692286137"/>
    <n v="83221.970692286137"/>
    <n v="83221.970692286137"/>
    <n v="83221.970692286137"/>
    <n v="332887.88276914455"/>
    <m/>
    <n v="8.5243002959674115E-5"/>
    <n v="1790103.0621531564"/>
    <n v="2663103.0621531564"/>
  </r>
  <r>
    <n v="2"/>
    <x v="0"/>
    <m/>
    <s v="최삼현"/>
    <s v="평택"/>
    <s v="TEST"/>
    <s v="O"/>
    <s v="8&quot;"/>
    <s v="DDI"/>
    <x v="0"/>
    <s v="PT"/>
    <x v="0"/>
    <n v="2100179"/>
    <s v="MC"/>
    <s v="TEST SYSTEM M/C T6372(A#5)"/>
    <s v="T6372"/>
    <x v="1"/>
    <s v="Tester"/>
    <n v="310284573"/>
    <x v="1"/>
    <s v="가동"/>
    <s v="일본"/>
    <s v="ADVANTEST"/>
    <x v="1"/>
    <s v="2차"/>
    <s v="2차"/>
    <s v="해당"/>
    <s v="Wafer Tester"/>
    <s v="Wafer Die Test"/>
    <m/>
    <m/>
    <s v="3B992"/>
    <s v="9030.82-0000"/>
    <s v="반도체 Test 장비"/>
    <m/>
    <d v="2006-07-30T00:00:00"/>
    <d v="2006-07-30T00:00:00"/>
    <n v="19.268493150684932"/>
    <n v="8"/>
    <s v="스테코 임대"/>
    <s v="자사"/>
    <s v="미설정"/>
    <n v="9.9451440000000009"/>
    <n v="950"/>
    <n v="1250"/>
    <n v="1800"/>
    <n v="552752151"/>
    <m/>
    <m/>
    <n v="552752151"/>
    <m/>
    <m/>
    <n v="1000"/>
    <n v="1000"/>
    <n v="96"/>
    <n v="233"/>
    <n v="0"/>
    <m/>
    <s v="W-TEST장비기술팀"/>
    <s v="Test"/>
    <s v="Test"/>
    <s v="기계장치"/>
    <n v="11055043.02"/>
    <n v="1053863.0769901515"/>
    <n v="351287.69233005052"/>
    <m/>
    <m/>
    <n v="1053863.0769901515"/>
    <n v="1053863.0769901515"/>
    <n v="2107726.1539803031"/>
    <n v="1053863.0769901515"/>
    <n v="1053863.0769901515"/>
    <n v="1053863.0769901515"/>
    <n v="1053863.0769901515"/>
    <n v="4215452.3079606062"/>
    <n v="1053863.0769901515"/>
    <n v="1053863.0769901515"/>
    <n v="1053863.0769901515"/>
    <n v="1053863.0769901515"/>
    <n v="4215452.3079606062"/>
    <n v="1053863.0769901515"/>
    <n v="1053863.0769901515"/>
    <n v="1053863.0769901515"/>
    <n v="1053863.0769901515"/>
    <n v="4215452.3079606062"/>
    <n v="1053863.0769901515"/>
    <n v="1053863.0769901515"/>
    <n v="1053863.0769901515"/>
    <n v="1053863.0769901515"/>
    <n v="4215452.3079606062"/>
    <m/>
    <n v="1.0794559735088024E-3"/>
    <n v="22668575.44368485"/>
    <n v="33723618.463684849"/>
  </r>
  <r>
    <n v="3"/>
    <x v="0"/>
    <m/>
    <s v="최삼현"/>
    <s v="평택"/>
    <s v="TEST"/>
    <s v="O"/>
    <s v="8&quot;"/>
    <s v="DDI"/>
    <x v="0"/>
    <s v="PT"/>
    <x v="0"/>
    <n v="2100180"/>
    <s v="MC"/>
    <s v="TEST SYSTEM M/C T6372(A#6)"/>
    <s v="T6372"/>
    <x v="1"/>
    <s v="Tester"/>
    <n v="310345388"/>
    <x v="2"/>
    <s v="가동"/>
    <s v="일본"/>
    <s v="ADVANTEST"/>
    <x v="1"/>
    <s v="2차"/>
    <s v="2차"/>
    <s v="해당"/>
    <s v="Wafer Tester"/>
    <s v="Wafer Die Test"/>
    <m/>
    <m/>
    <s v="3B992"/>
    <s v="9030.82-0000"/>
    <s v="반도체 Test 장비"/>
    <m/>
    <d v="2006-07-30T00:00:00"/>
    <d v="2006-07-30T00:00:00"/>
    <n v="19.268493150684932"/>
    <n v="8"/>
    <s v="안성1공장"/>
    <s v="자사"/>
    <s v="미설정"/>
    <n v="9.9451440000000009"/>
    <n v="950"/>
    <n v="1250"/>
    <n v="1800"/>
    <n v="552752150"/>
    <m/>
    <m/>
    <n v="552752150"/>
    <m/>
    <m/>
    <n v="0"/>
    <n v="0"/>
    <n v="96"/>
    <n v="233"/>
    <n v="0"/>
    <m/>
    <s v="W-TEST장비기술팀"/>
    <s v="Test"/>
    <s v="Test"/>
    <s v="기계장치"/>
    <n v="11055043"/>
    <n v="1053863.0750835773"/>
    <n v="351287.69169452577"/>
    <m/>
    <m/>
    <n v="1053863.0750835773"/>
    <n v="1053863.0750835773"/>
    <n v="2107726.1501671546"/>
    <n v="1053863.0750835773"/>
    <n v="1053863.0750835773"/>
    <n v="1053863.0750835773"/>
    <n v="1053863.0750835773"/>
    <n v="4215452.3003343092"/>
    <n v="1053863.0750835773"/>
    <n v="1053863.0750835773"/>
    <n v="1053863.0750835773"/>
    <n v="1053863.0750835773"/>
    <n v="4215452.3003343092"/>
    <n v="1053863.0750835773"/>
    <n v="1053863.0750835773"/>
    <n v="1053863.0750835773"/>
    <n v="1053863.0750835773"/>
    <n v="4215452.3003343092"/>
    <n v="1053863.0750835773"/>
    <n v="1053863.0750835773"/>
    <n v="1053863.0750835773"/>
    <n v="1053863.0750835773"/>
    <n v="4215452.3003343092"/>
    <m/>
    <n v="1.0794559715559273E-3"/>
    <n v="22668575.402674474"/>
    <n v="33723618.402674474"/>
  </r>
  <r>
    <n v="4"/>
    <x v="0"/>
    <m/>
    <s v="최삼현"/>
    <s v="평택"/>
    <s v="TEST"/>
    <s v="O"/>
    <s v="8&quot;"/>
    <s v="DDI"/>
    <x v="0"/>
    <s v="PT"/>
    <x v="0"/>
    <n v="2100181"/>
    <s v="MC"/>
    <s v="TEST SYSTEM M/C T6372(A#7)"/>
    <s v="T6372"/>
    <x v="1"/>
    <s v="Tester"/>
    <n v="310357697"/>
    <x v="3"/>
    <s v="가동"/>
    <s v="일본"/>
    <s v="ADVANTEST"/>
    <x v="1"/>
    <s v="2차"/>
    <s v="2차"/>
    <s v="해당"/>
    <s v="Wafer Tester"/>
    <s v="Wafer Die Test"/>
    <m/>
    <m/>
    <s v="3B992"/>
    <s v="9030.82-0000"/>
    <s v="반도체 Test 장비"/>
    <m/>
    <d v="2006-07-30T00:00:00"/>
    <d v="2006-07-30T00:00:00"/>
    <n v="19.268493150684932"/>
    <n v="8"/>
    <s v="스테코 임대"/>
    <s v="자사"/>
    <s v="미설정"/>
    <n v="9.9451440000000009"/>
    <n v="950"/>
    <n v="1250"/>
    <n v="1800"/>
    <n v="552752150"/>
    <m/>
    <m/>
    <n v="552752150"/>
    <m/>
    <m/>
    <n v="0"/>
    <n v="0"/>
    <n v="96"/>
    <n v="233"/>
    <n v="0"/>
    <m/>
    <s v="W-TEST장비기술팀"/>
    <s v="Test"/>
    <s v="Test"/>
    <s v="기계장치"/>
    <n v="11055043"/>
    <n v="1053863.0750835773"/>
    <n v="351287.69169452577"/>
    <m/>
    <m/>
    <n v="1053863.0750835773"/>
    <n v="1053863.0750835773"/>
    <n v="2107726.1501671546"/>
    <n v="1053863.0750835773"/>
    <n v="1053863.0750835773"/>
    <n v="1053863.0750835773"/>
    <n v="1053863.0750835773"/>
    <n v="4215452.3003343092"/>
    <n v="1053863.0750835773"/>
    <n v="1053863.0750835773"/>
    <n v="1053863.0750835773"/>
    <n v="1053863.0750835773"/>
    <n v="4215452.3003343092"/>
    <n v="1053863.0750835773"/>
    <n v="1053863.0750835773"/>
    <n v="1053863.0750835773"/>
    <n v="1053863.0750835773"/>
    <n v="4215452.3003343092"/>
    <n v="1053863.0750835773"/>
    <n v="1053863.0750835773"/>
    <n v="1053863.0750835773"/>
    <n v="1053863.0750835773"/>
    <n v="4215452.3003343092"/>
    <m/>
    <n v="1.0794559715559273E-3"/>
    <n v="22668575.402674474"/>
    <n v="33723618.402674474"/>
  </r>
  <r>
    <n v="5"/>
    <x v="0"/>
    <m/>
    <s v="최삼현"/>
    <s v="평택"/>
    <s v="TEST"/>
    <s v="O"/>
    <s v="8&quot;"/>
    <s v="DDI"/>
    <x v="0"/>
    <s v="PT"/>
    <x v="0"/>
    <n v="2100182"/>
    <s v="MC"/>
    <s v="TEST SYSTEM M/C T6372(A#8)"/>
    <s v="T6372"/>
    <x v="1"/>
    <s v="Tester"/>
    <n v="310357910"/>
    <x v="4"/>
    <s v="가동"/>
    <s v="일본"/>
    <s v="ADVANTEST"/>
    <x v="1"/>
    <s v="2차"/>
    <s v="2차"/>
    <s v="해당"/>
    <s v="Wafer Tester"/>
    <s v="Wafer Die Test"/>
    <m/>
    <m/>
    <s v="3B992"/>
    <s v="9030.82-0000"/>
    <s v="반도체 Test 장비"/>
    <m/>
    <d v="2006-07-30T00:00:00"/>
    <d v="2006-07-30T00:00:00"/>
    <n v="19.268493150684932"/>
    <n v="8"/>
    <s v="안성1공장"/>
    <s v="자사"/>
    <s v="미설정"/>
    <n v="9.9451440000000009"/>
    <n v="950"/>
    <n v="1250"/>
    <n v="1800"/>
    <n v="552752150"/>
    <m/>
    <m/>
    <n v="552752150"/>
    <m/>
    <m/>
    <n v="0"/>
    <n v="0"/>
    <n v="96"/>
    <n v="233"/>
    <n v="0"/>
    <m/>
    <s v="W-TEST장비기술팀"/>
    <s v="Test"/>
    <s v="Test"/>
    <s v="기계장치"/>
    <n v="11055043"/>
    <n v="1053863.0750835773"/>
    <n v="351287.69169452577"/>
    <m/>
    <m/>
    <n v="1053863.0750835773"/>
    <n v="1053863.0750835773"/>
    <n v="2107726.1501671546"/>
    <n v="1053863.0750835773"/>
    <n v="1053863.0750835773"/>
    <n v="1053863.0750835773"/>
    <n v="1053863.0750835773"/>
    <n v="4215452.3003343092"/>
    <n v="1053863.0750835773"/>
    <n v="1053863.0750835773"/>
    <n v="1053863.0750835773"/>
    <n v="1053863.0750835773"/>
    <n v="4215452.3003343092"/>
    <n v="1053863.0750835773"/>
    <n v="1053863.0750835773"/>
    <n v="1053863.0750835773"/>
    <n v="1053863.0750835773"/>
    <n v="4215452.3003343092"/>
    <n v="1053863.0750835773"/>
    <n v="1053863.0750835773"/>
    <n v="1053863.0750835773"/>
    <n v="1053863.0750835773"/>
    <n v="4215452.3003343092"/>
    <m/>
    <n v="1.0794559715559273E-3"/>
    <n v="22668575.402674474"/>
    <n v="33723618.402674474"/>
  </r>
  <r>
    <n v="6"/>
    <x v="0"/>
    <m/>
    <s v="최삼현"/>
    <s v="평택"/>
    <s v="TEST"/>
    <s v="O"/>
    <s v="8&quot;"/>
    <s v="DDI"/>
    <x v="0"/>
    <s v="PT"/>
    <x v="0"/>
    <n v="2100189"/>
    <s v="MC"/>
    <s v="TEST SYSTEM M/C T6730(YT#12)"/>
    <s v="ST6730A"/>
    <x v="2"/>
    <s v="Tester"/>
    <s v="326F07001M"/>
    <x v="5"/>
    <s v="가동"/>
    <s v="일본"/>
    <s v="YOKOGAWA"/>
    <x v="1"/>
    <s v="2차"/>
    <s v="2차"/>
    <s v="해당"/>
    <s v="Wafer Tester"/>
    <s v="Wafer Die Test"/>
    <s v="375Mhz"/>
    <m/>
    <s v="3B992"/>
    <s v="9030.82-0000"/>
    <s v="반도체 Test 장비"/>
    <m/>
    <d v="2006-11-30T00:00:00"/>
    <d v="2006-11-30T00:00:00"/>
    <n v="18.931506849315067"/>
    <n v="8"/>
    <s v="안성2공장"/>
    <s v="자사"/>
    <s v="미설정"/>
    <n v="6.1347440000000004"/>
    <n v="960"/>
    <n v="840"/>
    <n v="1860"/>
    <n v="571666837"/>
    <m/>
    <m/>
    <n v="571666837"/>
    <m/>
    <m/>
    <n v="1000"/>
    <n v="1000"/>
    <n v="96"/>
    <n v="229"/>
    <n v="0"/>
    <m/>
    <s v="W-TEST장비기술팀"/>
    <s v="Test"/>
    <s v="Test"/>
    <s v="기계장치"/>
    <n v="11433336.74"/>
    <n v="1089925.3322924608"/>
    <n v="363308.44409748696"/>
    <m/>
    <m/>
    <n v="1089925.3322924608"/>
    <n v="1089925.3322924608"/>
    <n v="2179850.6645849217"/>
    <n v="1089925.3322924608"/>
    <n v="1089925.3322924608"/>
    <n v="1089925.3322924608"/>
    <n v="1089925.3322924608"/>
    <n v="4359701.3291698433"/>
    <n v="1089925.3322924608"/>
    <n v="1089925.3322924608"/>
    <n v="1089925.3322924608"/>
    <n v="1089925.3322924608"/>
    <n v="4359701.3291698433"/>
    <n v="1089925.3322924608"/>
    <n v="1089925.3322924608"/>
    <n v="1089925.3322924608"/>
    <n v="1089925.3322924608"/>
    <n v="4359701.3291698433"/>
    <n v="1089925.3322924608"/>
    <n v="1089925.3322924608"/>
    <n v="1089925.3322924608"/>
    <n v="1089925.3322924608"/>
    <n v="4359701.3291698433"/>
    <m/>
    <n v="1.116393994921845E-3"/>
    <n v="23444273.893358745"/>
    <n v="34877610.633358747"/>
  </r>
  <r>
    <n v="7"/>
    <x v="0"/>
    <m/>
    <s v="최삼현"/>
    <s v="평택"/>
    <s v="TEST"/>
    <s v="O"/>
    <s v="8&quot;"/>
    <s v="DDI"/>
    <x v="0"/>
    <s v="PT"/>
    <x v="0"/>
    <n v="2100197"/>
    <s v="MC"/>
    <s v="AUTO WAFER PROBER M/C (AP#12)"/>
    <s v="UF2000"/>
    <x v="3"/>
    <s v="Prober"/>
    <s v="F22004LA"/>
    <x v="6"/>
    <s v="가동"/>
    <s v="일본"/>
    <s v="TOKYO SEIMITSU"/>
    <x v="0"/>
    <s v="2차"/>
    <s v="2차"/>
    <s v="해당"/>
    <s v="Wafer Test Prober"/>
    <s v="Wafer Die Test"/>
    <s v="정밀도 +/-1.5um"/>
    <m/>
    <s v="3A992"/>
    <s v="9030.82-0000"/>
    <s v="반도체 제조 및 검사장비"/>
    <m/>
    <d v="2007-06-30T00:00:00"/>
    <d v="2007-06-30T00:00:00"/>
    <n v="18.350684931506848"/>
    <n v="8"/>
    <s v="안성1공장"/>
    <s v="자사"/>
    <s v="미설정"/>
    <n v="9.9451440000000009"/>
    <n v="950"/>
    <n v="1250"/>
    <n v="1800"/>
    <n v="121160551"/>
    <m/>
    <m/>
    <n v="121160551"/>
    <m/>
    <m/>
    <n v="1000"/>
    <n v="1000"/>
    <n v="96"/>
    <n v="222"/>
    <n v="0"/>
    <m/>
    <s v="W-TEST장비기술팀"/>
    <s v="Test"/>
    <s v="Test"/>
    <s v="기계장치"/>
    <n v="2423211.02"/>
    <n v="231001.59964222769"/>
    <n v="77000.533214075898"/>
    <m/>
    <m/>
    <m/>
    <m/>
    <m/>
    <m/>
    <m/>
    <n v="231001.59964222769"/>
    <n v="231001.59964222769"/>
    <n v="462003.19928445539"/>
    <n v="231001.59964222769"/>
    <n v="231001.59964222769"/>
    <n v="231001.59964222769"/>
    <n v="231001.59964222769"/>
    <n v="924006.39856891078"/>
    <n v="231001.59964222769"/>
    <n v="231001.59964222769"/>
    <n v="231001.59964222769"/>
    <n v="231001.59964222769"/>
    <n v="924006.39856891078"/>
    <n v="231001.59964222769"/>
    <n v="231001.59964222769"/>
    <n v="231001.59964222769"/>
    <n v="231001.59964222769"/>
    <n v="924006.39856891078"/>
    <m/>
    <n v="2.3661143659768033E-4"/>
    <n v="4968840.1685512867"/>
    <n v="7392051.1885512862"/>
  </r>
  <r>
    <n v="8"/>
    <x v="0"/>
    <m/>
    <s v="최삼현"/>
    <s v="평택"/>
    <s v="TEST"/>
    <s v="O"/>
    <s v="8&quot;"/>
    <s v="DDI"/>
    <x v="0"/>
    <s v="PT"/>
    <x v="0"/>
    <n v="2100198"/>
    <s v="MC"/>
    <s v="TEST SYSTEM M/C T6372(A#13)"/>
    <s v="T6372"/>
    <x v="1"/>
    <s v="Tester"/>
    <n v="310345703"/>
    <x v="7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07-06-30T00:00:00"/>
    <d v="2007-06-30T00:00:00"/>
    <n v="18.350684931506848"/>
    <n v="8"/>
    <s v="스테코 임대"/>
    <s v="자사"/>
    <s v="미설정"/>
    <n v="9.9451440000000009"/>
    <n v="950"/>
    <n v="1250"/>
    <n v="1800"/>
    <n v="561322583"/>
    <m/>
    <m/>
    <n v="561322583"/>
    <m/>
    <m/>
    <n v="1000"/>
    <n v="1000"/>
    <n v="96"/>
    <n v="222"/>
    <n v="0"/>
    <m/>
    <s v="W-TEST장비기술팀"/>
    <s v="Test"/>
    <s v="Test"/>
    <s v="기계장치"/>
    <n v="11226451.66"/>
    <n v="1070203.2428715774"/>
    <n v="356734.41429052578"/>
    <m/>
    <m/>
    <m/>
    <m/>
    <m/>
    <m/>
    <m/>
    <n v="1070203.2428715774"/>
    <n v="1070203.2428715774"/>
    <n v="2140406.4857431548"/>
    <n v="1070203.2428715774"/>
    <n v="1070203.2428715774"/>
    <n v="1070203.2428715774"/>
    <n v="1070203.2428715774"/>
    <n v="4280812.9714863095"/>
    <n v="1070203.2428715774"/>
    <n v="1070203.2428715774"/>
    <n v="1070203.2428715774"/>
    <n v="1070203.2428715774"/>
    <n v="4280812.9714863095"/>
    <n v="1070203.2428715774"/>
    <n v="1070203.2428715774"/>
    <n v="1070203.2428715774"/>
    <n v="1070203.2428715774"/>
    <n v="4280812.9714863095"/>
    <m/>
    <n v="1.0961929577090702E-3"/>
    <n v="23020052.111890476"/>
    <n v="34246503.771890476"/>
  </r>
  <r>
    <n v="9"/>
    <x v="0"/>
    <m/>
    <s v="최삼현"/>
    <s v="평택"/>
    <s v="TEST"/>
    <s v="O"/>
    <s v="8&quot;"/>
    <s v="DDI"/>
    <x v="0"/>
    <s v="PT"/>
    <x v="0"/>
    <n v="2100199"/>
    <s v="MC"/>
    <s v="TEST SYSTEM M/C T6372(A#14)"/>
    <s v="T6372"/>
    <x v="1"/>
    <s v="Tester"/>
    <n v="310345838"/>
    <x v="8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07-06-30T00:00:00"/>
    <d v="2007-06-30T00:00:00"/>
    <n v="18.350684931506848"/>
    <n v="8"/>
    <s v="스테코 임대"/>
    <s v="자사"/>
    <s v="미설정"/>
    <n v="9.9451440000000009"/>
    <n v="950"/>
    <n v="1250"/>
    <n v="1800"/>
    <n v="561322583"/>
    <m/>
    <m/>
    <n v="561322583"/>
    <m/>
    <m/>
    <n v="0"/>
    <n v="0"/>
    <n v="96"/>
    <n v="222"/>
    <n v="0"/>
    <m/>
    <s v="W-TEST장비기술팀"/>
    <s v="Test"/>
    <s v="Test"/>
    <s v="기계장치"/>
    <n v="11226451.66"/>
    <n v="1070203.2428715774"/>
    <n v="356734.41429052578"/>
    <m/>
    <m/>
    <m/>
    <m/>
    <m/>
    <m/>
    <m/>
    <n v="1070203.2428715774"/>
    <n v="1070203.2428715774"/>
    <n v="2140406.4857431548"/>
    <n v="1070203.2428715774"/>
    <n v="1070203.2428715774"/>
    <n v="1070203.2428715774"/>
    <n v="1070203.2428715774"/>
    <n v="4280812.9714863095"/>
    <n v="1070203.2428715774"/>
    <n v="1070203.2428715774"/>
    <n v="1070203.2428715774"/>
    <n v="1070203.2428715774"/>
    <n v="4280812.9714863095"/>
    <n v="1070203.2428715774"/>
    <n v="1070203.2428715774"/>
    <n v="1070203.2428715774"/>
    <n v="1070203.2428715774"/>
    <n v="4280812.9714863095"/>
    <m/>
    <n v="1.0961929577090702E-3"/>
    <n v="23020052.111890476"/>
    <n v="34246503.771890476"/>
  </r>
  <r>
    <n v="10"/>
    <x v="0"/>
    <m/>
    <s v="최삼현"/>
    <s v="평택"/>
    <s v="TEST"/>
    <s v="O"/>
    <s v="8&quot;"/>
    <s v="DDI"/>
    <x v="0"/>
    <s v="PT"/>
    <x v="0"/>
    <n v="2100200"/>
    <s v="MC"/>
    <s v="TEST SYSTEM M/C T6372(A#15)"/>
    <s v="T6372"/>
    <x v="1"/>
    <s v="Tester"/>
    <n v="310286839"/>
    <x v="9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07-06-30T00:00:00"/>
    <d v="2007-06-30T00:00:00"/>
    <n v="18.350684931506848"/>
    <n v="8"/>
    <s v="스테코 임대"/>
    <s v="자사"/>
    <s v="미설정"/>
    <n v="9.9451440000000009"/>
    <n v="950"/>
    <n v="1250"/>
    <n v="1800"/>
    <n v="561322583"/>
    <m/>
    <m/>
    <n v="561322583"/>
    <m/>
    <m/>
    <n v="0"/>
    <n v="0"/>
    <n v="96"/>
    <n v="222"/>
    <n v="0"/>
    <m/>
    <s v="W-TEST장비기술팀"/>
    <s v="Test"/>
    <s v="Test"/>
    <s v="기계장치"/>
    <n v="11226451.66"/>
    <n v="1070203.2428715774"/>
    <n v="356734.41429052578"/>
    <m/>
    <m/>
    <m/>
    <m/>
    <m/>
    <m/>
    <m/>
    <n v="1070203.2428715774"/>
    <n v="1070203.2428715774"/>
    <n v="2140406.4857431548"/>
    <n v="1070203.2428715774"/>
    <n v="1070203.2428715774"/>
    <n v="1070203.2428715774"/>
    <n v="1070203.2428715774"/>
    <n v="4280812.9714863095"/>
    <n v="1070203.2428715774"/>
    <n v="1070203.2428715774"/>
    <n v="1070203.2428715774"/>
    <n v="1070203.2428715774"/>
    <n v="4280812.9714863095"/>
    <n v="1070203.2428715774"/>
    <n v="1070203.2428715774"/>
    <n v="1070203.2428715774"/>
    <n v="1070203.2428715774"/>
    <n v="4280812.9714863095"/>
    <m/>
    <n v="1.0961929577090702E-3"/>
    <n v="23020052.111890476"/>
    <n v="34246503.771890476"/>
  </r>
  <r>
    <n v="11"/>
    <x v="0"/>
    <m/>
    <s v="최삼현"/>
    <s v="평택"/>
    <s v="TEST"/>
    <s v="O"/>
    <s v="8&quot;"/>
    <s v="DDI"/>
    <x v="0"/>
    <s v="PT"/>
    <x v="0"/>
    <n v="2100201"/>
    <s v="MC"/>
    <s v="AUTO WAFER PROBER M/C (AP#13)"/>
    <s v="UF2000"/>
    <x v="3"/>
    <s v="Prober"/>
    <s v="F22003EB"/>
    <x v="10"/>
    <s v="가동"/>
    <s v="일본"/>
    <s v="TOKYO SEIMITSU"/>
    <x v="0"/>
    <s v="2차"/>
    <s v="2차"/>
    <s v="해당"/>
    <s v="Wafer Test Prober"/>
    <s v="Wafer Die Test"/>
    <s v="정밀도 +/-1.5um"/>
    <m/>
    <s v="3A992"/>
    <s v="9030.82-0000"/>
    <s v="반도체 제조 및 검사장비"/>
    <m/>
    <d v="2007-06-30T00:00:00"/>
    <d v="2007-06-30T00:00:00"/>
    <n v="18.350684931506848"/>
    <n v="8"/>
    <s v="스테코 임대"/>
    <s v="자사"/>
    <s v="미설정"/>
    <n v="0.56320000000000003"/>
    <n v="1229"/>
    <n v="1142"/>
    <n v="933"/>
    <n v="118460887"/>
    <m/>
    <m/>
    <n v="118460887"/>
    <m/>
    <m/>
    <n v="1000"/>
    <n v="1000"/>
    <n v="96"/>
    <n v="222"/>
    <n v="0"/>
    <m/>
    <s v="W-TEST장비기술팀"/>
    <s v="Test"/>
    <s v="Test"/>
    <s v="기계장치"/>
    <n v="2369217.7400000002"/>
    <n v="225854.48948674047"/>
    <n v="75284.829828913484"/>
    <m/>
    <m/>
    <m/>
    <m/>
    <m/>
    <m/>
    <m/>
    <n v="225854.48948674044"/>
    <n v="225854.48948674044"/>
    <n v="451708.97897348087"/>
    <n v="225854.48948674044"/>
    <n v="225854.48948674044"/>
    <n v="225854.48948674044"/>
    <n v="225854.48948674044"/>
    <n v="903417.95794696175"/>
    <n v="225854.48948674044"/>
    <n v="225854.48948674044"/>
    <n v="225854.48948674044"/>
    <n v="225854.48948674044"/>
    <n v="903417.95794696175"/>
    <n v="225854.48948674044"/>
    <n v="225854.48948674044"/>
    <n v="225854.48948674044"/>
    <n v="225854.48948674044"/>
    <n v="903417.95794696175"/>
    <m/>
    <n v="2.3133932969408069E-4"/>
    <n v="4858125.9235756947"/>
    <n v="7227343.6635756949"/>
  </r>
  <r>
    <n v="12"/>
    <x v="0"/>
    <m/>
    <s v="최삼현"/>
    <s v="평택"/>
    <s v="TEST"/>
    <s v="O"/>
    <s v="8&quot;"/>
    <s v="DDI"/>
    <x v="0"/>
    <s v="PT"/>
    <x v="0"/>
    <n v="2100202"/>
    <s v="MC"/>
    <s v="AUTO WAFER PROBER M/C (AP#14)"/>
    <s v="UF2000"/>
    <x v="3"/>
    <s v="Prober"/>
    <s v="F22010EB"/>
    <x v="11"/>
    <s v="가동"/>
    <s v="일본"/>
    <s v="TOKYO SEIMITSU"/>
    <x v="0"/>
    <s v="2차"/>
    <s v="2차"/>
    <s v="해당"/>
    <s v="Wafer Test Prober"/>
    <s v="Wafer Die Test"/>
    <s v="정밀도 +/-1.5um"/>
    <m/>
    <s v="3A992"/>
    <s v="9030.82-0000"/>
    <s v="반도체 제조 및 검사장비"/>
    <m/>
    <d v="2007-06-30T00:00:00"/>
    <d v="2007-06-30T00:00:00"/>
    <n v="18.350684931506848"/>
    <n v="8"/>
    <s v="안성1공장"/>
    <s v="자사"/>
    <s v="미설정"/>
    <n v="0.56320000000000003"/>
    <n v="1229"/>
    <n v="1142"/>
    <n v="933"/>
    <n v="118460887"/>
    <m/>
    <m/>
    <n v="118460887"/>
    <m/>
    <m/>
    <n v="0"/>
    <n v="0"/>
    <n v="96"/>
    <n v="222"/>
    <n v="0"/>
    <m/>
    <s v="W-TEST장비기술팀"/>
    <s v="Test"/>
    <s v="Test"/>
    <s v="기계장치"/>
    <n v="2369217.7400000002"/>
    <n v="225854.48948674047"/>
    <n v="75284.829828913484"/>
    <m/>
    <m/>
    <m/>
    <m/>
    <m/>
    <m/>
    <m/>
    <n v="225854.48948674044"/>
    <n v="225854.48948674044"/>
    <n v="451708.97897348087"/>
    <n v="225854.48948674044"/>
    <n v="225854.48948674044"/>
    <n v="225854.48948674044"/>
    <n v="225854.48948674044"/>
    <n v="903417.95794696175"/>
    <n v="225854.48948674044"/>
    <n v="225854.48948674044"/>
    <n v="225854.48948674044"/>
    <n v="225854.48948674044"/>
    <n v="903417.95794696175"/>
    <n v="225854.48948674044"/>
    <n v="225854.48948674044"/>
    <n v="225854.48948674044"/>
    <n v="225854.48948674044"/>
    <n v="903417.95794696175"/>
    <m/>
    <n v="2.3133932969408069E-4"/>
    <n v="4858125.9235756947"/>
    <n v="7227343.6635756949"/>
  </r>
  <r>
    <n v="13"/>
    <x v="0"/>
    <m/>
    <s v="최삼현"/>
    <s v="평택"/>
    <s v="TEST"/>
    <s v="O"/>
    <s v="8&quot;"/>
    <s v="DDI"/>
    <x v="0"/>
    <s v="PT"/>
    <x v="0"/>
    <n v="2100207"/>
    <s v="MC"/>
    <s v="AUTO WAFER PROBER M/C (AP#16)"/>
    <s v="UF2000"/>
    <x v="3"/>
    <s v="Prober"/>
    <s v="F22005EB"/>
    <x v="12"/>
    <s v="가동"/>
    <s v="일본"/>
    <s v="TOKYO SEIMITSU"/>
    <x v="0"/>
    <s v="2차"/>
    <s v="2차"/>
    <s v="해당"/>
    <s v="Wafer Test Prober"/>
    <s v="Wafer Die Test"/>
    <s v="정밀도 +/-1.5um"/>
    <m/>
    <s v="3A992"/>
    <s v="9030.82-0000"/>
    <s v="반도체 제조 및 검사장비"/>
    <m/>
    <d v="2007-06-30T00:00:00"/>
    <d v="2007-06-30T00:00:00"/>
    <n v="18.350684931506848"/>
    <n v="8"/>
    <s v="스테코 임대"/>
    <s v="자사"/>
    <s v="미설정"/>
    <n v="0.56320000000000003"/>
    <n v="1229"/>
    <n v="1142"/>
    <n v="933"/>
    <n v="118441872"/>
    <m/>
    <m/>
    <n v="118441872"/>
    <m/>
    <m/>
    <n v="1000"/>
    <n v="1000"/>
    <n v="96"/>
    <n v="222"/>
    <n v="0"/>
    <m/>
    <s v="W-TEST장비기술팀"/>
    <s v="Test"/>
    <s v="Test"/>
    <s v="기계장치"/>
    <n v="2368837.44"/>
    <n v="225818.23597533803"/>
    <n v="75272.745325112672"/>
    <m/>
    <m/>
    <m/>
    <m/>
    <m/>
    <m/>
    <m/>
    <n v="225818.23597533803"/>
    <n v="225818.23597533803"/>
    <n v="451636.47195067606"/>
    <n v="225818.23597533803"/>
    <n v="225818.23597533803"/>
    <n v="225818.23597533803"/>
    <n v="225818.23597533803"/>
    <n v="903272.94390135212"/>
    <n v="225818.23597533803"/>
    <n v="225818.23597533803"/>
    <n v="225818.23597533803"/>
    <n v="225818.23597533803"/>
    <n v="903272.94390135212"/>
    <n v="225818.23597533803"/>
    <n v="225818.23597533803"/>
    <n v="225818.23597533803"/>
    <n v="225818.23597533803"/>
    <n v="903272.94390135212"/>
    <m/>
    <n v="2.313021957719437E-4"/>
    <n v="4857346.1112108175"/>
    <n v="7226183.5512108169"/>
  </r>
  <r>
    <n v="14"/>
    <x v="0"/>
    <m/>
    <s v="최삼현"/>
    <s v="평택"/>
    <s v="TEST"/>
    <s v="O"/>
    <s v="8&quot;"/>
    <s v="DDI"/>
    <x v="0"/>
    <s v="PT"/>
    <x v="0"/>
    <n v="2100209"/>
    <s v="MC"/>
    <s v="AUTO WAFER PROBER M/C (AP#18)"/>
    <s v="UF2000"/>
    <x v="3"/>
    <s v="Prober"/>
    <s v="F22008EB"/>
    <x v="13"/>
    <s v="가동"/>
    <s v="일본"/>
    <s v="TOKYO SEIMITSU"/>
    <x v="0"/>
    <s v="2차"/>
    <s v="2차"/>
    <s v="해당"/>
    <s v="Wafer Test Prober"/>
    <s v="Wafer Die Test"/>
    <s v="정밀도 +/-1.5um"/>
    <m/>
    <s v="3A992"/>
    <s v="9030.82-0000"/>
    <s v="반도체 제조 및 검사장비"/>
    <m/>
    <d v="2007-06-30T00:00:00"/>
    <d v="2007-06-30T00:00:00"/>
    <n v="18.350684931506848"/>
    <n v="8"/>
    <s v="스테코 임대"/>
    <s v="자사"/>
    <s v="미설정"/>
    <n v="0.56320000000000003"/>
    <n v="1229"/>
    <n v="1142"/>
    <n v="933"/>
    <n v="118441871"/>
    <m/>
    <m/>
    <n v="118441871"/>
    <m/>
    <m/>
    <n v="0"/>
    <n v="0"/>
    <n v="96"/>
    <n v="222"/>
    <n v="0"/>
    <m/>
    <s v="W-TEST장비기술팀"/>
    <s v="Test"/>
    <s v="Test"/>
    <s v="기계장치"/>
    <n v="2368837.42"/>
    <n v="225818.23406876368"/>
    <n v="75272.744689587897"/>
    <m/>
    <m/>
    <m/>
    <m/>
    <m/>
    <m/>
    <m/>
    <n v="225818.23406876368"/>
    <n v="225818.23406876368"/>
    <n v="451636.46813752735"/>
    <n v="225818.23406876368"/>
    <n v="225818.23406876368"/>
    <n v="225818.23406876368"/>
    <n v="225818.23406876368"/>
    <n v="903272.9362750547"/>
    <n v="225818.23406876368"/>
    <n v="225818.23406876368"/>
    <n v="225818.23406876368"/>
    <n v="225818.23406876368"/>
    <n v="903272.9362750547"/>
    <n v="225818.23406876368"/>
    <n v="225818.23406876368"/>
    <n v="225818.23406876368"/>
    <n v="225818.23406876368"/>
    <n v="903272.9362750547"/>
    <m/>
    <n v="2.3130219381906848E-4"/>
    <n v="4857346.0702004377"/>
    <n v="7226183.4902004376"/>
  </r>
  <r>
    <n v="15"/>
    <x v="0"/>
    <m/>
    <s v="최삼현"/>
    <s v="평택"/>
    <s v="TEST"/>
    <s v="O"/>
    <s v="8&quot;"/>
    <s v="DDI"/>
    <x v="0"/>
    <s v="PT"/>
    <x v="0"/>
    <n v="2100212"/>
    <s v="MC"/>
    <s v="AUTO WAFER PROBER M/C (YP#14)"/>
    <s v="UF2000"/>
    <x v="3"/>
    <s v="Prober"/>
    <s v="F22013FB"/>
    <x v="14"/>
    <s v="가동"/>
    <s v="일본"/>
    <s v="TOKYO SEIMITSU"/>
    <x v="0"/>
    <s v="2차"/>
    <s v="2차"/>
    <s v="해당"/>
    <s v="Wafer Test Prober"/>
    <s v="Wafer Die Test"/>
    <s v="정밀도 +/-1.5um"/>
    <m/>
    <s v="3A992"/>
    <s v="9030.82-0000"/>
    <s v="반도체 제조 및 검사장비"/>
    <m/>
    <d v="2007-07-31T00:00:00"/>
    <d v="2007-07-31T00:00:00"/>
    <n v="18.265753424657536"/>
    <n v="8"/>
    <s v="안성1공장"/>
    <s v="자사"/>
    <s v="미설정"/>
    <n v="0.56320000000000003"/>
    <n v="1229"/>
    <n v="1142"/>
    <n v="933"/>
    <n v="118568774"/>
    <m/>
    <m/>
    <n v="118568774"/>
    <m/>
    <m/>
    <n v="1000"/>
    <n v="1000"/>
    <n v="96"/>
    <n v="221"/>
    <n v="0"/>
    <m/>
    <s v="W-TEST장비기술팀"/>
    <s v="Test"/>
    <s v="Test"/>
    <s v="기계장치"/>
    <n v="2371375.48"/>
    <n v="226060.18407441693"/>
    <n v="75353.394691472306"/>
    <m/>
    <m/>
    <m/>
    <m/>
    <m/>
    <m/>
    <m/>
    <n v="226060.18407441693"/>
    <n v="226060.18407441693"/>
    <n v="452120.36814883386"/>
    <n v="226060.18407441693"/>
    <n v="226060.18407441693"/>
    <n v="226060.18407441693"/>
    <n v="226060.18407441693"/>
    <n v="904240.73629766773"/>
    <n v="226060.18407441693"/>
    <n v="226060.18407441693"/>
    <n v="226060.18407441693"/>
    <n v="226060.18407441693"/>
    <n v="904240.73629766773"/>
    <n v="226060.18407441693"/>
    <n v="226060.18407441693"/>
    <n v="226060.18407441693"/>
    <n v="226060.18407441693"/>
    <n v="904240.73629766773"/>
    <m/>
    <n v="2.3155001954196862E-4"/>
    <n v="4862550.4103813414"/>
    <n v="7233925.8903813418"/>
  </r>
  <r>
    <n v="16"/>
    <x v="0"/>
    <m/>
    <s v="최삼현"/>
    <s v="평택"/>
    <s v="TEST"/>
    <s v="O"/>
    <s v="8&quot;"/>
    <s v="DDI"/>
    <x v="0"/>
    <s v="PT"/>
    <x v="0"/>
    <n v="2100215"/>
    <s v="MC"/>
    <s v="AUTO WAFER PROBER M/C (AP#11)"/>
    <s v="UF2000"/>
    <x v="3"/>
    <s v="Prober"/>
    <s v="F22013DB"/>
    <x v="15"/>
    <s v="가동"/>
    <s v="일본"/>
    <s v="TOKYO SEIMITSU"/>
    <x v="0"/>
    <s v="2차"/>
    <s v="2차"/>
    <s v="해당"/>
    <s v="Wafer Test Prober"/>
    <s v="Wafer Die Test"/>
    <s v="정밀도 +/-1.5um"/>
    <m/>
    <s v="3A992"/>
    <s v="9030.82-0000"/>
    <s v="반도체 제조 및 검사장비"/>
    <m/>
    <d v="2007-09-28T00:00:00"/>
    <d v="2007-09-28T00:00:00"/>
    <n v="18.104109589041094"/>
    <n v="8"/>
    <s v="스테코 임대"/>
    <s v="자사"/>
    <s v="미설정"/>
    <n v="0.56320000000000003"/>
    <n v="1229"/>
    <n v="1142"/>
    <n v="933"/>
    <n v="127033600"/>
    <m/>
    <m/>
    <n v="127033600"/>
    <m/>
    <m/>
    <n v="1000"/>
    <n v="1000"/>
    <n v="96"/>
    <n v="219"/>
    <n v="0"/>
    <m/>
    <s v="W-TEST장비기술팀"/>
    <s v="Test"/>
    <s v="Test"/>
    <s v="기계장치"/>
    <n v="2540672"/>
    <n v="242199.0042642749"/>
    <n v="80733.001421424968"/>
    <m/>
    <m/>
    <m/>
    <m/>
    <m/>
    <m/>
    <m/>
    <n v="242199.0042642749"/>
    <n v="242199.0042642749"/>
    <n v="484398.00852854981"/>
    <n v="242199.0042642749"/>
    <n v="242199.0042642749"/>
    <n v="242199.0042642749"/>
    <n v="242199.0042642749"/>
    <n v="968796.01705709961"/>
    <n v="242199.0042642749"/>
    <n v="242199.0042642749"/>
    <n v="242199.0042642749"/>
    <n v="242199.0042642749"/>
    <n v="968796.01705709961"/>
    <n v="242199.0042642749"/>
    <n v="242199.0042642749"/>
    <n v="242199.0042642749"/>
    <n v="242199.0042642749"/>
    <n v="968796.01705709961"/>
    <m/>
    <n v="2.4808076840270461E-4"/>
    <n v="5209696.1364567969"/>
    <n v="7750368.1364567969"/>
  </r>
  <r>
    <n v="17"/>
    <x v="0"/>
    <m/>
    <s v="최삼현"/>
    <s v="평택"/>
    <s v="TEST"/>
    <s v="O"/>
    <s v="8&quot;"/>
    <s v="DDI"/>
    <x v="0"/>
    <s v="PT"/>
    <x v="0"/>
    <n v="2100216"/>
    <s v="MC"/>
    <s v="AUTO WAFER PROBER M/C (YP#17)"/>
    <s v="UF2000"/>
    <x v="3"/>
    <s v="Prober"/>
    <s v="F22006GB"/>
    <x v="16"/>
    <s v="가동"/>
    <s v="일본"/>
    <s v="TOKYO SEIMITSU"/>
    <x v="0"/>
    <s v="2차"/>
    <s v="2차"/>
    <s v="해당"/>
    <s v="Wafer Test Prober"/>
    <s v="Wafer Die Test"/>
    <s v="정밀도 +/-1.5um"/>
    <m/>
    <s v="3A992"/>
    <s v="9030.82-0000"/>
    <s v="반도체 제조 및 검사장비"/>
    <m/>
    <d v="2008-04-30T00:00:00"/>
    <d v="2008-04-30T00:00:00"/>
    <n v="17.515068493150686"/>
    <n v="8"/>
    <s v="안성1공장"/>
    <s v="자사"/>
    <s v="미설정"/>
    <n v="0.56320000000000003"/>
    <n v="1229"/>
    <n v="1142"/>
    <n v="933"/>
    <n v="140001398"/>
    <m/>
    <m/>
    <n v="140001398"/>
    <m/>
    <m/>
    <n v="1000"/>
    <n v="1000"/>
    <n v="96"/>
    <n v="212"/>
    <n v="0"/>
    <m/>
    <s v="W-TEST장비기술팀"/>
    <s v="Test"/>
    <s v="Test"/>
    <s v="기계장치"/>
    <n v="2800027.96"/>
    <n v="266923.07540057471"/>
    <n v="88974.358466858233"/>
    <m/>
    <m/>
    <m/>
    <m/>
    <m/>
    <m/>
    <m/>
    <n v="266923.07540057471"/>
    <n v="266923.07540057471"/>
    <n v="533846.15080114943"/>
    <n v="266923.07540057471"/>
    <n v="266923.07540057471"/>
    <n v="266923.07540057471"/>
    <n v="266923.07540057471"/>
    <n v="1067692.3016022989"/>
    <n v="266923.07540057471"/>
    <n v="266923.07540057471"/>
    <n v="266923.07540057471"/>
    <n v="266923.07540057471"/>
    <n v="1067692.3016022989"/>
    <n v="266923.07540057471"/>
    <n v="266923.07540057471"/>
    <n v="266923.07540057471"/>
    <n v="266923.07540057471"/>
    <n v="1067692.3016022989"/>
    <m/>
    <n v="2.7340525965801861E-4"/>
    <n v="5741510.4528183909"/>
    <n v="8541538.4128183909"/>
  </r>
  <r>
    <n v="18"/>
    <x v="0"/>
    <m/>
    <s v="최삼현"/>
    <s v="평택"/>
    <s v="TEST"/>
    <s v="O"/>
    <s v="8&quot;"/>
    <s v="DDI"/>
    <x v="0"/>
    <s v="PT"/>
    <x v="0"/>
    <n v="2100218"/>
    <s v="MC"/>
    <s v="TEST SYSTEM M/C ST6730(Y#21)"/>
    <s v="ST6730A"/>
    <x v="2"/>
    <s v="Tester"/>
    <s v="327G17001M"/>
    <x v="17"/>
    <s v="가동"/>
    <s v="일본"/>
    <s v="YOKOGAWA"/>
    <x v="0"/>
    <s v="2차"/>
    <s v="2차"/>
    <s v="해당"/>
    <s v="Wafer Tester"/>
    <s v="Wafer Die Test"/>
    <s v="375Mhz"/>
    <m/>
    <s v="3B992"/>
    <s v="9030.82-0000"/>
    <s v="반도체 Test 장비"/>
    <m/>
    <d v="2008-06-30T00:00:00"/>
    <d v="2008-06-30T00:00:00"/>
    <n v="17.347945205479451"/>
    <n v="8"/>
    <s v="안성2공장"/>
    <s v="자사"/>
    <s v="미설정"/>
    <n v="6.1347440000000004"/>
    <n v="960"/>
    <n v="840"/>
    <n v="1860"/>
    <n v="550743226"/>
    <m/>
    <m/>
    <n v="550743226"/>
    <m/>
    <m/>
    <n v="1000"/>
    <n v="1000"/>
    <n v="96"/>
    <n v="210"/>
    <n v="0"/>
    <m/>
    <s v="W-TEST장비기술팀"/>
    <s v="Test"/>
    <s v="Test"/>
    <s v="기계장치"/>
    <n v="11014864.52"/>
    <n v="1050032.9120995903"/>
    <n v="350010.97069986345"/>
    <m/>
    <m/>
    <m/>
    <m/>
    <m/>
    <m/>
    <m/>
    <n v="1050032.9120995903"/>
    <n v="1050032.9120995903"/>
    <n v="2100065.8241991806"/>
    <n v="1050032.9120995903"/>
    <n v="1050032.9120995903"/>
    <n v="1050032.9120995903"/>
    <n v="1050032.9120995903"/>
    <n v="4200131.6483983612"/>
    <n v="1050032.9120995903"/>
    <n v="1050032.9120995903"/>
    <n v="1050032.9120995903"/>
    <n v="1050032.9120995903"/>
    <n v="4200131.6483983612"/>
    <n v="1050032.9120995903"/>
    <n v="1050032.9120995903"/>
    <n v="1050032.9120995903"/>
    <n v="1050032.9120995903"/>
    <n v="4200131.6483983612"/>
    <m/>
    <n v="1.0755327936755662E-3"/>
    <n v="22586188.66718689"/>
    <n v="33601053.187186889"/>
  </r>
  <r>
    <n v="19"/>
    <x v="0"/>
    <m/>
    <s v="최삼현"/>
    <s v="평택"/>
    <s v="TEST"/>
    <s v="O"/>
    <s v="8&quot;"/>
    <s v="DDI"/>
    <x v="0"/>
    <s v="PT"/>
    <x v="0"/>
    <n v="2100221"/>
    <s v="MC"/>
    <s v="AUTO WAFER PROBER M/C (YP#20)"/>
    <s v="UF2000"/>
    <x v="3"/>
    <s v="Prober"/>
    <s v="F22021HB"/>
    <x v="18"/>
    <s v="가동"/>
    <s v="일본"/>
    <s v="TOKYO SEIMITSU"/>
    <x v="0"/>
    <s v="2차"/>
    <s v="2차"/>
    <s v="해당"/>
    <s v="Wafer Test Prober"/>
    <s v="Wafer Die Test"/>
    <s v="정밀도 +/-1.5um"/>
    <m/>
    <s v="3A992"/>
    <s v="9030.82-0000"/>
    <s v="반도체 제조 및 검사장비"/>
    <m/>
    <d v="2008-06-30T00:00:00"/>
    <d v="2008-06-30T00:00:00"/>
    <n v="17.347945205479451"/>
    <n v="8"/>
    <s v="안성2공장"/>
    <s v="자사"/>
    <s v="미설정"/>
    <n v="0.56320000000000003"/>
    <n v="1229"/>
    <n v="1142"/>
    <n v="933"/>
    <n v="129980562"/>
    <m/>
    <m/>
    <n v="129980562"/>
    <m/>
    <m/>
    <n v="0"/>
    <n v="0"/>
    <n v="96"/>
    <n v="210"/>
    <n v="0"/>
    <m/>
    <s v="W-TEST장비기술팀"/>
    <s v="Test"/>
    <s v="Test"/>
    <s v="기계장치"/>
    <n v="2599611.2400000002"/>
    <n v="247817.60644515193"/>
    <n v="82605.86881505065"/>
    <m/>
    <m/>
    <m/>
    <m/>
    <m/>
    <m/>
    <m/>
    <n v="247817.60644515196"/>
    <n v="247817.60644515196"/>
    <n v="495635.21289030393"/>
    <n v="247817.60644515196"/>
    <n v="247817.60644515196"/>
    <n v="247817.60644515196"/>
    <n v="247817.60644515196"/>
    <n v="991270.42578060785"/>
    <n v="247817.60644515196"/>
    <n v="247817.60644515196"/>
    <n v="247817.60644515196"/>
    <n v="247817.60644515196"/>
    <n v="991270.42578060785"/>
    <n v="247817.60644515196"/>
    <n v="247817.60644515196"/>
    <n v="247817.60644515196"/>
    <n v="247817.60644515196"/>
    <n v="991270.42578060785"/>
    <m/>
    <n v="2.538358174402315E-4"/>
    <n v="5330552.1662448617"/>
    <n v="7930163.4062448619"/>
  </r>
  <r>
    <n v="20"/>
    <x v="0"/>
    <m/>
    <s v="최삼현"/>
    <s v="평택"/>
    <s v="TEST"/>
    <s v="O"/>
    <s v="8&quot;"/>
    <s v="DDI"/>
    <x v="0"/>
    <s v="PT"/>
    <x v="0"/>
    <n v="2100228"/>
    <s v="MC"/>
    <s v="TEST SYSTEM M/C ST6730(Y#25)"/>
    <s v="ST6730A"/>
    <x v="2"/>
    <s v="Tester"/>
    <s v="325M02001M"/>
    <x v="19"/>
    <s v="가동"/>
    <s v="일본"/>
    <s v="YOKOGAWA"/>
    <x v="0"/>
    <s v="2차"/>
    <s v="2차"/>
    <s v="해당"/>
    <s v="Wafer Tester"/>
    <s v="Wafer Die Test"/>
    <s v="375Mhz"/>
    <m/>
    <s v="3B992"/>
    <s v="9030.82-0000"/>
    <s v="반도체 Test 장비"/>
    <m/>
    <d v="2009-10-31T00:00:00"/>
    <d v="2009-10-31T00:00:00"/>
    <n v="16.010958904109589"/>
    <n v="8"/>
    <s v="2공장"/>
    <s v="자사"/>
    <s v="미설정"/>
    <n v="6.1347440000000004"/>
    <n v="960"/>
    <n v="840"/>
    <n v="1860"/>
    <n v="573123581"/>
    <m/>
    <m/>
    <n v="573123581"/>
    <m/>
    <m/>
    <n v="1000"/>
    <n v="1000"/>
    <n v="96"/>
    <n v="194"/>
    <n v="0"/>
    <m/>
    <s v="W-TEST장비기술팀"/>
    <s v="Test"/>
    <s v="Test"/>
    <s v="기계장치"/>
    <n v="11462471.620000001"/>
    <n v="1092702.7230478828"/>
    <n v="364234.24101596093"/>
    <m/>
    <m/>
    <m/>
    <m/>
    <m/>
    <m/>
    <m/>
    <n v="1092702.7230478828"/>
    <n v="1092702.7230478828"/>
    <n v="2185405.4460957656"/>
    <n v="1092702.7230478828"/>
    <n v="1092702.7230478828"/>
    <n v="1092702.7230478828"/>
    <n v="1092702.7230478828"/>
    <n v="4370810.8921915311"/>
    <n v="1092702.7230478828"/>
    <n v="1092702.7230478828"/>
    <n v="1092702.7230478828"/>
    <n v="1092702.7230478828"/>
    <n v="4370810.8921915311"/>
    <n v="1092702.7230478828"/>
    <n v="1092702.7230478828"/>
    <n v="1092702.7230478828"/>
    <n v="1092702.7230478828"/>
    <n v="4370810.8921915311"/>
    <m/>
    <n v="1.1192388341682022E-3"/>
    <n v="23504015.517532248"/>
    <n v="34966487.137532249"/>
  </r>
  <r>
    <n v="21"/>
    <x v="0"/>
    <m/>
    <s v="최삼현"/>
    <s v="평택"/>
    <s v="TEST"/>
    <s v="O"/>
    <s v="8&quot;"/>
    <s v="DDI"/>
    <x v="0"/>
    <s v="PT"/>
    <x v="0"/>
    <n v="2100234"/>
    <s v="MC"/>
    <s v="AUTO WAFER PROBER M/C (YP#28)"/>
    <s v="UF200SA"/>
    <x v="4"/>
    <s v="Prober"/>
    <s v="F16007DA"/>
    <x v="20"/>
    <s v="가동"/>
    <s v="일본"/>
    <s v="TOKYO SEIMITSU"/>
    <x v="0"/>
    <s v="2차"/>
    <s v="2차"/>
    <s v="해당"/>
    <s v="Wafer Test Prober"/>
    <s v="Wafer Die Test"/>
    <s v="정밀도 +/-1.5um"/>
    <m/>
    <s v="3A992"/>
    <s v="9030.82-0000"/>
    <s v="반도체 제조 및 검사장비"/>
    <m/>
    <d v="2009-10-31T00:00:00"/>
    <d v="2009-10-31T00:00:00"/>
    <n v="16.010958904109589"/>
    <n v="8"/>
    <s v="1공장"/>
    <s v="자사"/>
    <s v="미설정"/>
    <n v="0.57200000000000006"/>
    <n v="1229"/>
    <n v="1127"/>
    <n v="933"/>
    <n v="63250000"/>
    <m/>
    <m/>
    <n v="63250000"/>
    <m/>
    <m/>
    <n v="1000"/>
    <n v="1000"/>
    <n v="96"/>
    <n v="194"/>
    <n v="0"/>
    <m/>
    <s v="W-TEST장비기술팀"/>
    <s v="Test"/>
    <s v="Test"/>
    <s v="기계장치"/>
    <n v="1265000"/>
    <n v="120590.82809363342"/>
    <n v="40196.942697877806"/>
    <m/>
    <m/>
    <m/>
    <m/>
    <m/>
    <m/>
    <m/>
    <n v="120590.82809363342"/>
    <n v="120590.82809363342"/>
    <n v="241181.65618726684"/>
    <n v="120590.82809363342"/>
    <n v="120590.82809363342"/>
    <n v="120590.82809363342"/>
    <n v="120590.82809363342"/>
    <n v="482363.31237453368"/>
    <n v="120590.82809363342"/>
    <n v="120590.82809363342"/>
    <n v="120590.82809363342"/>
    <n v="120590.82809363342"/>
    <n v="482363.31237453368"/>
    <n v="120590.82809363342"/>
    <n v="120590.82809363342"/>
    <n v="120590.82809363342"/>
    <n v="120590.82809363342"/>
    <n v="482363.31237453368"/>
    <m/>
    <n v="1.2351935709506044E-4"/>
    <n v="2593906.4989962694"/>
    <n v="3858906.4989962694"/>
  </r>
  <r>
    <n v="22"/>
    <x v="0"/>
    <m/>
    <s v="최삼현"/>
    <s v="평택"/>
    <s v="TEST"/>
    <s v="O"/>
    <s v="8&quot;"/>
    <s v="DDI"/>
    <x v="0"/>
    <s v="PT"/>
    <x v="0"/>
    <n v="2100235"/>
    <s v="MC"/>
    <s v="TEST SYSTEM M/C ST6730(Y#29)"/>
    <s v="ST6731A"/>
    <x v="2"/>
    <s v="Tester"/>
    <s v="325H26002M"/>
    <x v="21"/>
    <s v="가동"/>
    <s v="일본"/>
    <s v="YOKOGAWA"/>
    <x v="0"/>
    <s v="2차"/>
    <s v="2차"/>
    <s v="해당"/>
    <s v="Wafer Tester"/>
    <s v="Wafer Die Test"/>
    <s v="1.25Ghz"/>
    <m/>
    <s v="3B992"/>
    <s v="9030.82-0000"/>
    <s v="반도체 Test 장비"/>
    <m/>
    <d v="2009-10-31T00:00:00"/>
    <d v="2009-10-31T00:00:00"/>
    <n v="16.010958904109589"/>
    <n v="8"/>
    <s v="안성2공장"/>
    <s v="자사"/>
    <s v="미설정"/>
    <n v="7.3159679999999998"/>
    <n v="960"/>
    <n v="840"/>
    <n v="1860"/>
    <n v="207900000"/>
    <m/>
    <m/>
    <n v="207900000"/>
    <m/>
    <m/>
    <n v="1000"/>
    <n v="1000"/>
    <n v="96"/>
    <n v="194"/>
    <n v="0"/>
    <m/>
    <s v="W-TEST장비기술팀"/>
    <s v="Test"/>
    <s v="Test"/>
    <s v="기계장치"/>
    <n v="4158000"/>
    <n v="396376.80886429065"/>
    <n v="132125.60295476354"/>
    <m/>
    <m/>
    <m/>
    <m/>
    <m/>
    <m/>
    <m/>
    <n v="396376.80886429059"/>
    <n v="396376.80886429059"/>
    <n v="792753.61772858119"/>
    <n v="396376.80886429059"/>
    <n v="396376.80886429059"/>
    <n v="396376.80886429059"/>
    <n v="396376.80886429059"/>
    <n v="1585507.2354571624"/>
    <n v="396376.80886429059"/>
    <n v="396376.80886429059"/>
    <n v="396376.80886429059"/>
    <n v="396376.80886429059"/>
    <n v="1585507.2354571624"/>
    <n v="396376.80886429059"/>
    <n v="396376.80886429059"/>
    <n v="396376.80886429059"/>
    <n v="396376.80886429059"/>
    <n v="1585507.2354571624"/>
    <m/>
    <n v="4.0600275636463339E-4"/>
    <n v="8526057.8836573008"/>
    <n v="12684057.883657301"/>
  </r>
  <r>
    <n v="23"/>
    <x v="0"/>
    <m/>
    <s v="최삼현"/>
    <s v="평택"/>
    <s v="TEST"/>
    <s v="O"/>
    <s v="8&quot;"/>
    <s v="DDI"/>
    <x v="0"/>
    <s v="PT"/>
    <x v="0"/>
    <n v="2100237"/>
    <s v="MC"/>
    <s v="TEST SYSTEM M/C T6373(A#20)"/>
    <s v="T6373"/>
    <x v="5"/>
    <s v="Tester"/>
    <n v="310457965"/>
    <x v="22"/>
    <s v="가동"/>
    <s v="일본"/>
    <s v="ADVANTEST"/>
    <x v="1"/>
    <s v="2차"/>
    <s v="2차"/>
    <s v="해당"/>
    <s v="Wafer Tester"/>
    <s v="Wafer Die Test"/>
    <m/>
    <m/>
    <s v="3B992"/>
    <s v="9030.82-0000"/>
    <s v="반도체 Test 장비"/>
    <m/>
    <d v="2010-03-31T00:00:00"/>
    <d v="2010-03-31T00:00:00"/>
    <n v="15.597260273972603"/>
    <n v="8"/>
    <s v="2공장"/>
    <s v="자사"/>
    <s v="미설정"/>
    <n v="9.8308320000000009"/>
    <n v="950"/>
    <n v="1250"/>
    <n v="1800"/>
    <n v="942794223"/>
    <m/>
    <m/>
    <n v="942794223"/>
    <m/>
    <m/>
    <n v="1000"/>
    <n v="1000"/>
    <n v="96"/>
    <n v="189"/>
    <n v="0"/>
    <m/>
    <s v="W-TEST장비기술팀"/>
    <s v="Test"/>
    <s v="Test"/>
    <s v="기계장치"/>
    <n v="18855884.460000001"/>
    <n v="1797507.2896990306"/>
    <n v="599169.09656634356"/>
    <m/>
    <m/>
    <n v="1797507.2896990306"/>
    <n v="1797507.2896990306"/>
    <n v="3595014.5793980611"/>
    <n v="1797507.2896990306"/>
    <n v="1797507.2896990306"/>
    <n v="1797507.2896990306"/>
    <n v="1797507.2896990306"/>
    <n v="7190029.1587961223"/>
    <n v="1797507.2896990306"/>
    <n v="1797507.2896990306"/>
    <n v="1797507.2896990306"/>
    <n v="1797507.2896990306"/>
    <n v="7190029.1587961223"/>
    <n v="1797507.2896990306"/>
    <n v="1797507.2896990306"/>
    <n v="1797507.2896990306"/>
    <n v="1797507.2896990306"/>
    <n v="7190029.1587961223"/>
    <n v="1797507.2896990306"/>
    <n v="1797507.2896990306"/>
    <n v="1797507.2896990306"/>
    <n v="1797507.2896990306"/>
    <n v="7190029.1587961223"/>
    <m/>
    <n v="1.8411594671604275E-3"/>
    <n v="38664348.810368977"/>
    <n v="57520233.270368978"/>
  </r>
  <r>
    <n v="24"/>
    <x v="0"/>
    <m/>
    <s v="최삼현"/>
    <s v="평택"/>
    <s v="TEST"/>
    <s v="O"/>
    <s v="8&quot;"/>
    <s v="DDI"/>
    <x v="0"/>
    <s v="PT"/>
    <x v="0"/>
    <n v="2100238"/>
    <s v="MC"/>
    <s v="AUTO WAFER PROBER M/C (AP#20)"/>
    <s v="UF2000"/>
    <x v="3"/>
    <s v="Prober"/>
    <s v="F22001CE"/>
    <x v="23"/>
    <s v="가동"/>
    <s v="일본"/>
    <s v="TOKYO SEIMITSU"/>
    <x v="0"/>
    <s v="2차"/>
    <s v="2차"/>
    <s v="해당"/>
    <s v="Wafer Test Prober"/>
    <s v="Wafer Die Test"/>
    <s v="정밀도 +/-1.5um"/>
    <m/>
    <s v="3A992"/>
    <s v="9030.82-0000"/>
    <s v="반도체 제조 및 검사장비"/>
    <m/>
    <d v="2010-03-31T00:00:00"/>
    <d v="2010-03-31T00:00:00"/>
    <n v="15.597260273972603"/>
    <n v="8"/>
    <s v="안성1공장"/>
    <s v="자사"/>
    <s v="미설정"/>
    <n v="0.56320000000000003"/>
    <n v="1229"/>
    <n v="1142"/>
    <n v="933"/>
    <n v="176181360"/>
    <m/>
    <m/>
    <n v="176181360"/>
    <m/>
    <m/>
    <n v="1000"/>
    <n v="1000"/>
    <n v="96"/>
    <n v="189"/>
    <n v="0"/>
    <m/>
    <s v="W-TEST장비기술팀"/>
    <s v="Test"/>
    <s v="Test"/>
    <s v="기계장치"/>
    <n v="3523627.2"/>
    <n v="335902.86319466471"/>
    <n v="111967.62106488824"/>
    <m/>
    <m/>
    <m/>
    <m/>
    <m/>
    <m/>
    <m/>
    <n v="335902.86319466471"/>
    <n v="335902.86319466471"/>
    <n v="671805.72638932941"/>
    <n v="335902.86319466471"/>
    <n v="335902.86319466471"/>
    <n v="335902.86319466471"/>
    <n v="335902.86319466471"/>
    <n v="1343611.4527786588"/>
    <n v="335902.86319466471"/>
    <n v="335902.86319466471"/>
    <n v="335902.86319466471"/>
    <n v="335902.86319466471"/>
    <n v="1343611.4527786588"/>
    <n v="335902.86319466471"/>
    <n v="335902.86319466471"/>
    <n v="335902.86319466471"/>
    <n v="335902.86319466471"/>
    <n v="1343611.4527786588"/>
    <m/>
    <n v="3.4406021058234619E-4"/>
    <n v="7225264.4222292705"/>
    <n v="10748891.622229271"/>
  </r>
  <r>
    <n v="25"/>
    <x v="0"/>
    <m/>
    <s v="최삼현"/>
    <s v="평택"/>
    <s v="TEST"/>
    <s v="O"/>
    <s v="8&quot;"/>
    <s v="DDI"/>
    <x v="0"/>
    <s v="PT"/>
    <x v="0"/>
    <n v="2100239"/>
    <s v="MC"/>
    <s v="TEST SYSTEM M/C T6373(A#21)"/>
    <s v="T6373"/>
    <x v="5"/>
    <s v="Tester"/>
    <n v="310460761"/>
    <x v="24"/>
    <s v="가동"/>
    <s v="일본"/>
    <s v="ADVANTEST"/>
    <x v="1"/>
    <s v="2차"/>
    <s v="2차"/>
    <s v="해당"/>
    <s v="Wafer Tester"/>
    <s v="Wafer Die Test"/>
    <m/>
    <m/>
    <s v="3B992"/>
    <s v="9030.82-0000"/>
    <s v="반도체 Test 장비"/>
    <m/>
    <d v="2010-03-31T00:00:00"/>
    <d v="2010-03-31T00:00:00"/>
    <n v="15.597260273972603"/>
    <n v="8"/>
    <s v="2공장"/>
    <s v="자사"/>
    <s v="미설정"/>
    <n v="9.8308320000000009"/>
    <n v="950"/>
    <n v="1250"/>
    <n v="1800"/>
    <n v="913831710"/>
    <m/>
    <m/>
    <n v="913831710"/>
    <m/>
    <m/>
    <n v="1000"/>
    <n v="1000"/>
    <n v="96"/>
    <n v="189"/>
    <n v="0"/>
    <m/>
    <s v="W-TEST장비기술팀"/>
    <s v="Test"/>
    <s v="Test"/>
    <s v="기계장치"/>
    <n v="18276634.199999999"/>
    <n v="1742288.105092823"/>
    <n v="580762.70169760764"/>
    <m/>
    <m/>
    <n v="1742288.105092823"/>
    <n v="1742288.105092823"/>
    <n v="3484576.2101856461"/>
    <n v="1742288.105092823"/>
    <n v="1742288.105092823"/>
    <n v="1742288.105092823"/>
    <n v="1742288.105092823"/>
    <n v="6969152.4203712922"/>
    <n v="1742288.105092823"/>
    <n v="1742288.105092823"/>
    <n v="1742288.105092823"/>
    <n v="1742288.105092823"/>
    <n v="6969152.4203712922"/>
    <n v="1742288.105092823"/>
    <n v="1742288.105092823"/>
    <n v="1742288.105092823"/>
    <n v="1742288.105092823"/>
    <n v="6969152.4203712922"/>
    <n v="1742288.105092823"/>
    <n v="1742288.105092823"/>
    <n v="1742288.105092823"/>
    <n v="1742288.105092823"/>
    <n v="6969152.4203712922"/>
    <m/>
    <n v="1.7845992934747779E-3"/>
    <n v="37476585.162970334"/>
    <n v="55753219.362970337"/>
  </r>
  <r>
    <n v="26"/>
    <x v="0"/>
    <m/>
    <s v="최삼현"/>
    <s v="평택"/>
    <s v="TEST"/>
    <s v="O"/>
    <s v="8&quot;"/>
    <s v="DDI"/>
    <x v="0"/>
    <s v="PT"/>
    <x v="0"/>
    <n v="2100247"/>
    <s v="MC"/>
    <s v="AUTO WAFER PROBER M/C (YP#32)"/>
    <s v="UF2000"/>
    <x v="3"/>
    <s v="Prober"/>
    <s v="F22006CE"/>
    <x v="25"/>
    <s v="가동"/>
    <s v="일본"/>
    <s v="TOKYO SEIMITSU"/>
    <x v="1"/>
    <s v="2차"/>
    <s v="2차"/>
    <s v="해당"/>
    <s v="Wafer Test Prober"/>
    <s v="Wafer Die Test"/>
    <s v="정밀도 +/-1.5um"/>
    <m/>
    <s v="3A992"/>
    <s v="9030.82-0000"/>
    <s v="반도체 제조 및 검사장비"/>
    <m/>
    <d v="2010-03-31T00:00:00"/>
    <d v="2010-03-31T00:00:00"/>
    <n v="15.597260273972603"/>
    <n v="8"/>
    <s v="안성2공장"/>
    <s v="자사"/>
    <s v="미설정"/>
    <n v="0.56320000000000003"/>
    <n v="1229"/>
    <n v="1142"/>
    <n v="933"/>
    <n v="159875822"/>
    <m/>
    <m/>
    <n v="159875822"/>
    <m/>
    <m/>
    <n v="0"/>
    <n v="0"/>
    <n v="96"/>
    <n v="189"/>
    <n v="0"/>
    <m/>
    <s v="W-TEST장비기술팀"/>
    <s v="Test"/>
    <s v="Test"/>
    <s v="기계장치"/>
    <n v="3197516.44"/>
    <n v="304815.14256332541"/>
    <n v="101605.04752110847"/>
    <m/>
    <m/>
    <n v="304815.14256332541"/>
    <n v="304815.14256332541"/>
    <n v="609630.28512665082"/>
    <n v="304815.14256332541"/>
    <n v="304815.14256332541"/>
    <n v="304815.14256332541"/>
    <n v="304815.14256332541"/>
    <n v="1219260.5702533016"/>
    <n v="304815.14256332541"/>
    <n v="304815.14256332541"/>
    <n v="304815.14256332541"/>
    <n v="304815.14256332541"/>
    <n v="1219260.5702533016"/>
    <n v="304815.14256332541"/>
    <n v="304815.14256332541"/>
    <n v="304815.14256332541"/>
    <n v="304815.14256332541"/>
    <n v="1219260.5702533016"/>
    <n v="304815.14256332541"/>
    <n v="304815.14256332541"/>
    <n v="304815.14256332541"/>
    <n v="304815.14256332541"/>
    <n v="1219260.5702533016"/>
    <m/>
    <n v="3.122175296203054E-4"/>
    <n v="6556568.1220264137"/>
    <n v="9754084.5620264132"/>
  </r>
  <r>
    <n v="27"/>
    <x v="0"/>
    <m/>
    <s v="최삼현"/>
    <s v="평택"/>
    <s v="TEST"/>
    <s v="O"/>
    <s v="8&quot;"/>
    <s v="DDI"/>
    <x v="0"/>
    <s v="PT"/>
    <x v="0"/>
    <n v="2100250"/>
    <s v="MC"/>
    <s v="TEST SYSTEM M/C ST6730A(Y#35)"/>
    <s v="ST6730A"/>
    <x v="2"/>
    <s v="Tester"/>
    <s v="320C12001M"/>
    <x v="26"/>
    <s v="가동"/>
    <s v="일본"/>
    <s v="YOKOGAWA"/>
    <x v="0"/>
    <s v="2차"/>
    <s v="2차"/>
    <s v="해당"/>
    <s v="Wafer Tester"/>
    <s v="Wafer Die Test"/>
    <s v="375Mhz"/>
    <m/>
    <s v="3B992"/>
    <s v="9030.82-0000"/>
    <s v="반도체 Test 장비"/>
    <m/>
    <d v="2010-04-30T00:00:00"/>
    <d v="2010-04-30T00:00:00"/>
    <n v="15.515068493150684"/>
    <n v="8"/>
    <s v="안성1공장"/>
    <s v="자사"/>
    <s v="미설정"/>
    <n v="6.1347440000000004"/>
    <n v="960"/>
    <n v="840"/>
    <n v="1860"/>
    <n v="588670135"/>
    <m/>
    <m/>
    <n v="588670135"/>
    <m/>
    <m/>
    <n v="0"/>
    <n v="0"/>
    <n v="96"/>
    <n v="188"/>
    <n v="0"/>
    <m/>
    <s v="W-TEST장비기술팀"/>
    <s v="Test"/>
    <s v="Test"/>
    <s v="기계장치"/>
    <n v="11773402.700000001"/>
    <n v="1122343.3842472881"/>
    <n v="374114.46141576272"/>
    <m/>
    <m/>
    <m/>
    <m/>
    <m/>
    <m/>
    <m/>
    <n v="1122343.3842472881"/>
    <n v="1122343.3842472881"/>
    <n v="2244686.7684945762"/>
    <n v="1122343.3842472881"/>
    <n v="1122343.3842472881"/>
    <n v="1122343.3842472881"/>
    <n v="1122343.3842472881"/>
    <n v="4489373.5369891524"/>
    <n v="1122343.3842472881"/>
    <n v="1122343.3842472881"/>
    <n v="1122343.3842472881"/>
    <n v="1122343.3842472881"/>
    <n v="4489373.5369891524"/>
    <n v="1122343.3842472881"/>
    <n v="1122343.3842472881"/>
    <n v="1122343.3842472881"/>
    <n v="1122343.3842472881"/>
    <n v="4489373.5369891524"/>
    <m/>
    <n v="1.1495993140911056E-3"/>
    <n v="24141585.595913216"/>
    <n v="35914988.295913219"/>
  </r>
  <r>
    <n v="28"/>
    <x v="0"/>
    <m/>
    <s v="최삼현"/>
    <s v="평택"/>
    <s v="TEST"/>
    <s v="O"/>
    <s v="8&quot;"/>
    <s v="DDI"/>
    <x v="0"/>
    <s v="PT"/>
    <x v="0"/>
    <n v="2100253"/>
    <s v="MC"/>
    <s v="AUTO WAFER PROBER M/C (YP#35)"/>
    <s v="UF2000"/>
    <x v="3"/>
    <s v="Prober"/>
    <s v="F22012CE"/>
    <x v="27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0-04-30T00:00:00"/>
    <d v="2010-04-30T00:00:00"/>
    <n v="15.515068493150684"/>
    <n v="8"/>
    <s v="안성1공장"/>
    <s v="자사"/>
    <s v="미설정"/>
    <n v="0.56320000000000003"/>
    <n v="1229"/>
    <n v="1142"/>
    <n v="933"/>
    <n v="157871458"/>
    <m/>
    <m/>
    <n v="157871458"/>
    <m/>
    <m/>
    <n v="0"/>
    <n v="0"/>
    <n v="96"/>
    <n v="188"/>
    <n v="0"/>
    <m/>
    <s v="W-TEST장비기술팀"/>
    <s v="Test"/>
    <s v="Test"/>
    <s v="기계장치"/>
    <n v="3157429.16"/>
    <n v="98669.661250000005"/>
    <n v="32889.887083333335"/>
    <m/>
    <m/>
    <m/>
    <m/>
    <m/>
    <m/>
    <m/>
    <n v="98669.661250000005"/>
    <n v="98669.661250000005"/>
    <n v="197339.32250000001"/>
    <n v="98669.661250000005"/>
    <n v="98669.661250000005"/>
    <n v="98669.661250000005"/>
    <n v="98669.661250000005"/>
    <n v="394678.64500000002"/>
    <n v="98669.661250000005"/>
    <n v="98669.661250000005"/>
    <n v="98669.661250000005"/>
    <n v="98669.661250000005"/>
    <n v="394678.64500000002"/>
    <n v="98669.661250000005"/>
    <n v="98669.661250000005"/>
    <n v="98669.661250000005"/>
    <n v="98669.661250000005"/>
    <n v="394678.64500000002"/>
    <m/>
    <m/>
    <m/>
    <n v="3157429.16"/>
  </r>
  <r>
    <n v="29"/>
    <x v="0"/>
    <m/>
    <s v="최삼현"/>
    <s v="평택"/>
    <s v="TEST"/>
    <s v="O"/>
    <s v="8&quot;"/>
    <s v="DDI"/>
    <x v="0"/>
    <s v="PT"/>
    <x v="0"/>
    <n v="2100255"/>
    <s v="MC"/>
    <s v="TEST SYSTEM M/C T6373(A#22)"/>
    <s v="T6373"/>
    <x v="5"/>
    <s v="Tester"/>
    <n v="310452088"/>
    <x v="28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10-04-30T00:00:00"/>
    <d v="2010-04-30T00:00:00"/>
    <n v="15.515068493150684"/>
    <n v="8"/>
    <s v="안성2공장"/>
    <s v="자사"/>
    <s v="미설정"/>
    <n v="9.8308320000000009"/>
    <n v="950"/>
    <n v="1250"/>
    <n v="1800"/>
    <n v="799809732"/>
    <m/>
    <m/>
    <n v="799809732"/>
    <m/>
    <m/>
    <n v="1000"/>
    <n v="1000"/>
    <n v="96"/>
    <n v="188"/>
    <n v="0"/>
    <m/>
    <s v="W-TEST장비기술팀"/>
    <s v="Test"/>
    <s v="Test"/>
    <s v="기계장치"/>
    <n v="15996194.640000001"/>
    <n v="1524896.7256794784"/>
    <n v="508298.90855982614"/>
    <m/>
    <m/>
    <m/>
    <m/>
    <m/>
    <m/>
    <m/>
    <n v="1524896.7256794784"/>
    <n v="1524896.7256794784"/>
    <n v="3049793.4513589568"/>
    <n v="1524896.7256794784"/>
    <n v="1524896.7256794784"/>
    <n v="1524896.7256794784"/>
    <n v="1524896.7256794784"/>
    <n v="6099586.9027179135"/>
    <n v="1524896.7256794784"/>
    <n v="1524896.7256794784"/>
    <n v="1524896.7256794784"/>
    <n v="1524896.7256794784"/>
    <n v="6099586.9027179135"/>
    <n v="1524896.7256794784"/>
    <n v="1524896.7256794784"/>
    <n v="1524896.7256794784"/>
    <n v="1524896.7256794784"/>
    <n v="6099586.9027179135"/>
    <m/>
    <n v="1.5619285991306337E-3"/>
    <n v="32800500.581743307"/>
    <n v="48796695.221743308"/>
  </r>
  <r>
    <n v="30"/>
    <x v="0"/>
    <m/>
    <s v="최삼현"/>
    <s v="평택"/>
    <s v="TEST"/>
    <s v="O"/>
    <s v="8&quot;"/>
    <s v="DDI"/>
    <x v="0"/>
    <s v="PT"/>
    <x v="0"/>
    <n v="2100256"/>
    <s v="MC"/>
    <s v="TEST SYSTEM M/C T6373(A#23)"/>
    <s v="T6373"/>
    <x v="5"/>
    <s v="Tester"/>
    <n v="310466803"/>
    <x v="29"/>
    <s v="가동"/>
    <s v="일본"/>
    <s v="ADVANTEST"/>
    <x v="3"/>
    <s v="2차"/>
    <s v="2차"/>
    <s v="해당"/>
    <s v="Wafer Tester"/>
    <s v="Wafer Die Test"/>
    <m/>
    <m/>
    <s v="3B992"/>
    <s v="9030.82-0000"/>
    <s v="반도체 Test 장비"/>
    <m/>
    <d v="2010-04-30T00:00:00"/>
    <d v="2010-04-30T00:00:00"/>
    <n v="15.515068493150684"/>
    <n v="8"/>
    <s v="안성1공장"/>
    <s v="자사"/>
    <s v="미설정"/>
    <n v="9.8308320000000009"/>
    <n v="950"/>
    <n v="1250"/>
    <n v="1800"/>
    <n v="799809731"/>
    <m/>
    <m/>
    <n v="799809731"/>
    <m/>
    <m/>
    <n v="0"/>
    <n v="0"/>
    <n v="96"/>
    <n v="188"/>
    <n v="0"/>
    <m/>
    <s v="W-TEST장비기술팀"/>
    <s v="Test"/>
    <s v="Test"/>
    <s v="기계장치"/>
    <n v="15996194.620000001"/>
    <n v="499881.08187500003"/>
    <n v="166627.02729166669"/>
    <m/>
    <m/>
    <m/>
    <m/>
    <m/>
    <m/>
    <m/>
    <n v="499881.08187500003"/>
    <n v="499881.08187500003"/>
    <n v="999762.16375000007"/>
    <n v="499881.08187500003"/>
    <n v="499881.08187500003"/>
    <n v="499881.08187500003"/>
    <n v="499881.08187500003"/>
    <n v="1999524.3275000001"/>
    <n v="499881.08187500003"/>
    <n v="499881.08187500003"/>
    <n v="499881.08187500003"/>
    <n v="499881.08187500003"/>
    <n v="1999524.3275000001"/>
    <n v="499881.08187500003"/>
    <n v="499881.08187500003"/>
    <n v="499881.08187500003"/>
    <n v="499881.08187500003"/>
    <n v="1999524.3275000001"/>
    <m/>
    <m/>
    <m/>
    <n v="15996194.620000001"/>
  </r>
  <r>
    <n v="31"/>
    <x v="0"/>
    <m/>
    <s v="최삼현"/>
    <s v="평택"/>
    <s v="TEST"/>
    <s v="O"/>
    <s v="8&quot;"/>
    <s v="DDI"/>
    <x v="0"/>
    <s v="PT"/>
    <x v="0"/>
    <n v="2100257"/>
    <s v="MC"/>
    <s v="TEST SYSTEM M/C T6373(A#24)"/>
    <s v="T6373"/>
    <x v="5"/>
    <s v="Tester"/>
    <n v="310466804"/>
    <x v="30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10-04-30T00:00:00"/>
    <d v="2010-04-30T00:00:00"/>
    <n v="15.515068493150684"/>
    <n v="8"/>
    <s v="안성1공장"/>
    <s v="자사"/>
    <s v="미설정"/>
    <n v="9.8308320000000009"/>
    <n v="950"/>
    <n v="1250"/>
    <n v="1800"/>
    <n v="799809731"/>
    <m/>
    <m/>
    <n v="799809731"/>
    <m/>
    <m/>
    <n v="0"/>
    <n v="0"/>
    <n v="96"/>
    <n v="188"/>
    <n v="0"/>
    <m/>
    <s v="W-TEST장비기술팀"/>
    <s v="Test"/>
    <s v="Test"/>
    <s v="기계장치"/>
    <n v="15996194.620000001"/>
    <n v="1524896.7237729041"/>
    <n v="508298.9079243014"/>
    <m/>
    <m/>
    <m/>
    <m/>
    <m/>
    <m/>
    <m/>
    <n v="1524896.7237729041"/>
    <n v="1524896.7237729041"/>
    <n v="3049793.4475458083"/>
    <n v="1524896.7237729041"/>
    <n v="1524896.7237729041"/>
    <n v="1524896.7237729041"/>
    <n v="1524896.7237729041"/>
    <n v="6099586.8950916165"/>
    <n v="1524896.7237729041"/>
    <n v="1524896.7237729041"/>
    <n v="1524896.7237729041"/>
    <n v="1524896.7237729041"/>
    <n v="6099586.8950916165"/>
    <n v="1524896.7237729041"/>
    <n v="1524896.7237729041"/>
    <n v="1524896.7237729041"/>
    <n v="1524896.7237729041"/>
    <n v="6099586.8950916165"/>
    <m/>
    <n v="1.5619285971777586E-3"/>
    <n v="32800500.540732931"/>
    <n v="48796695.160732932"/>
  </r>
  <r>
    <n v="32"/>
    <x v="0"/>
    <m/>
    <s v="최삼현"/>
    <s v="평택"/>
    <s v="TEST"/>
    <s v="O"/>
    <s v="8&quot;"/>
    <s v="DDI"/>
    <x v="0"/>
    <s v="PT"/>
    <x v="0"/>
    <n v="2100259"/>
    <s v="MC"/>
    <s v="AUTO WAFER PROBER M/C (AP#23)"/>
    <s v="UF2000"/>
    <x v="3"/>
    <s v="Prober"/>
    <s v="F22004CE"/>
    <x v="31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0-04-30T00:00:00"/>
    <d v="2010-04-30T00:00:00"/>
    <n v="15.515068493150684"/>
    <n v="8"/>
    <s v="안성1공장"/>
    <s v="자사"/>
    <s v="미설정"/>
    <n v="0.56320000000000003"/>
    <n v="1229"/>
    <n v="1142"/>
    <n v="933"/>
    <n v="165318994"/>
    <m/>
    <m/>
    <n v="165318994"/>
    <m/>
    <m/>
    <n v="1000"/>
    <n v="1000"/>
    <n v="96"/>
    <n v="188"/>
    <n v="0"/>
    <m/>
    <s v="W-TEST장비기술팀"/>
    <s v="Test"/>
    <s v="Test"/>
    <s v="기계장치"/>
    <n v="3306379.88"/>
    <n v="103324.37125"/>
    <n v="34441.457083333335"/>
    <m/>
    <m/>
    <m/>
    <m/>
    <m/>
    <m/>
    <m/>
    <n v="103324.37125"/>
    <n v="103324.37125"/>
    <n v="206648.74249999999"/>
    <n v="103324.37125"/>
    <n v="103324.37125"/>
    <n v="103324.37125"/>
    <n v="103324.37125"/>
    <n v="413297.48499999999"/>
    <n v="103324.37125"/>
    <n v="103324.37125"/>
    <n v="103324.37125"/>
    <n v="103324.37125"/>
    <n v="413297.48499999999"/>
    <n v="103324.37125"/>
    <n v="103324.37125"/>
    <n v="103324.37125"/>
    <n v="103324.37125"/>
    <n v="413297.48499999999"/>
    <m/>
    <m/>
    <m/>
    <n v="3306379.88"/>
  </r>
  <r>
    <n v="33"/>
    <x v="0"/>
    <m/>
    <s v="최삼현"/>
    <s v="평택"/>
    <s v="TEST"/>
    <s v="O"/>
    <s v="8&quot;"/>
    <s v="DDI"/>
    <x v="0"/>
    <s v="PT"/>
    <x v="0"/>
    <n v="2100260"/>
    <s v="MC"/>
    <s v="AUTO WAFER PROBER M/C (AP#24)"/>
    <s v="UF2000"/>
    <x v="3"/>
    <s v="Prober"/>
    <s v="F22002CE"/>
    <x v="32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0-04-30T00:00:00"/>
    <d v="2010-04-30T00:00:00"/>
    <n v="15.515068493150684"/>
    <n v="8"/>
    <s v="안성1공장"/>
    <s v="자사"/>
    <s v="미설정"/>
    <n v="0.56320000000000003"/>
    <n v="1229"/>
    <n v="1142"/>
    <n v="933"/>
    <n v="165318994"/>
    <m/>
    <m/>
    <n v="165318994"/>
    <m/>
    <m/>
    <n v="0"/>
    <n v="0"/>
    <n v="96"/>
    <n v="188"/>
    <n v="0"/>
    <m/>
    <s v="W-TEST장비기술팀"/>
    <s v="Test"/>
    <s v="Test"/>
    <s v="기계장치"/>
    <n v="3306379.88"/>
    <n v="103324.37125"/>
    <n v="34441.457083333335"/>
    <m/>
    <m/>
    <m/>
    <m/>
    <m/>
    <m/>
    <m/>
    <n v="103324.37125"/>
    <n v="103324.37125"/>
    <n v="206648.74249999999"/>
    <n v="103324.37125"/>
    <n v="103324.37125"/>
    <n v="103324.37125"/>
    <n v="103324.37125"/>
    <n v="413297.48499999999"/>
    <n v="103324.37125"/>
    <n v="103324.37125"/>
    <n v="103324.37125"/>
    <n v="103324.37125"/>
    <n v="413297.48499999999"/>
    <n v="103324.37125"/>
    <n v="103324.37125"/>
    <n v="103324.37125"/>
    <n v="103324.37125"/>
    <n v="413297.48499999999"/>
    <m/>
    <m/>
    <m/>
    <n v="3306379.88"/>
  </r>
  <r>
    <n v="34"/>
    <x v="0"/>
    <m/>
    <s v="최삼현"/>
    <s v="평택"/>
    <s v="TEST"/>
    <s v="O"/>
    <s v="8&quot;"/>
    <s v="DDI"/>
    <x v="0"/>
    <s v="PT"/>
    <x v="0"/>
    <n v="2100261"/>
    <s v="MC"/>
    <s v="TEST SYSTEM M/C T6373(A#25)"/>
    <s v="T6373"/>
    <x v="5"/>
    <s v="Tester"/>
    <n v="310467051"/>
    <x v="33"/>
    <s v="가동"/>
    <s v="일본"/>
    <s v="ADVANTEST"/>
    <x v="3"/>
    <s v="2차"/>
    <s v="2차"/>
    <s v="해당"/>
    <s v="Wafer Tester"/>
    <s v="Wafer Die Test"/>
    <m/>
    <m/>
    <s v="3B992"/>
    <s v="9030.82-0000"/>
    <s v="반도체 Test 장비"/>
    <m/>
    <d v="2010-05-31T00:00:00"/>
    <d v="2010-05-31T00:00:00"/>
    <n v="15.43013698630137"/>
    <n v="8"/>
    <s v="안성1공장"/>
    <s v="자사"/>
    <s v="미설정"/>
    <n v="9.8308320000000009"/>
    <n v="950"/>
    <n v="1250"/>
    <n v="1800"/>
    <n v="862466654"/>
    <m/>
    <m/>
    <n v="862466654"/>
    <m/>
    <m/>
    <n v="1000"/>
    <n v="1000"/>
    <n v="96"/>
    <n v="187"/>
    <n v="0"/>
    <m/>
    <s v="W-TEST장비기술팀"/>
    <s v="Test"/>
    <s v="Test"/>
    <s v="기계장치"/>
    <n v="17249333.080000002"/>
    <n v="539041.65875000006"/>
    <n v="179680.5529166667"/>
    <m/>
    <m/>
    <m/>
    <m/>
    <m/>
    <m/>
    <m/>
    <n v="539041.65875000006"/>
    <n v="539041.65875000006"/>
    <n v="1078083.3175000001"/>
    <n v="539041.65875000006"/>
    <n v="539041.65875000006"/>
    <n v="539041.65875000006"/>
    <n v="539041.65875000006"/>
    <n v="2156166.6350000002"/>
    <n v="539041.65875000006"/>
    <n v="539041.65875000006"/>
    <n v="539041.65875000006"/>
    <n v="539041.65875000006"/>
    <n v="2156166.6350000002"/>
    <n v="539041.65875000006"/>
    <n v="539041.65875000006"/>
    <n v="539041.65875000006"/>
    <n v="539041.65875000006"/>
    <n v="2156166.6350000002"/>
    <m/>
    <m/>
    <m/>
    <n v="17249333.080000002"/>
  </r>
  <r>
    <n v="35"/>
    <x v="0"/>
    <m/>
    <s v="최삼현"/>
    <s v="평택"/>
    <s v="TEST"/>
    <s v="O"/>
    <s v="8&quot;"/>
    <s v="DDI"/>
    <x v="0"/>
    <s v="PT"/>
    <x v="0"/>
    <n v="2100262"/>
    <s v="MC"/>
    <s v="TEST SYSTEM M/C T6373(A#26)"/>
    <s v="T6373"/>
    <x v="5"/>
    <s v="Tester"/>
    <n v="310466002"/>
    <x v="34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10-05-31T00:00:00"/>
    <d v="2010-05-31T00:00:00"/>
    <n v="15.43013698630137"/>
    <n v="8"/>
    <s v="안성2공장"/>
    <s v="자사"/>
    <s v="미설정"/>
    <n v="9.8308320000000009"/>
    <n v="950"/>
    <n v="1250"/>
    <n v="1800"/>
    <n v="862466653"/>
    <m/>
    <m/>
    <n v="862466653"/>
    <m/>
    <m/>
    <n v="0"/>
    <n v="0"/>
    <n v="96"/>
    <n v="187"/>
    <n v="0"/>
    <m/>
    <s v="W-TEST장비기술팀"/>
    <s v="Test"/>
    <s v="Test"/>
    <s v="기계장치"/>
    <n v="17249333.059999999"/>
    <n v="1644356.8045599107"/>
    <n v="548118.9348533036"/>
    <m/>
    <m/>
    <m/>
    <m/>
    <m/>
    <m/>
    <m/>
    <n v="1644356.8045599107"/>
    <n v="1644356.8045599107"/>
    <n v="3288713.6091198213"/>
    <n v="1644356.8045599107"/>
    <n v="1644356.8045599107"/>
    <n v="1644356.8045599107"/>
    <n v="1644356.8045599107"/>
    <n v="6577427.2182396427"/>
    <n v="1644356.8045599107"/>
    <n v="1644356.8045599107"/>
    <n v="1644356.8045599107"/>
    <n v="1644356.8045599107"/>
    <n v="6577427.2182396427"/>
    <n v="1644356.8045599107"/>
    <n v="1644356.8045599107"/>
    <n v="1644356.8045599107"/>
    <n v="1644356.8045599107"/>
    <n v="6577427.2182396427"/>
    <m/>
    <n v="1.6842897469484357E-3"/>
    <n v="35370084.685917147"/>
    <n v="52619417.745917141"/>
  </r>
  <r>
    <n v="36"/>
    <x v="0"/>
    <m/>
    <s v="최삼현"/>
    <s v="평택"/>
    <s v="TEST"/>
    <s v="O"/>
    <s v="8&quot;"/>
    <s v="DDI"/>
    <x v="0"/>
    <s v="PT"/>
    <x v="0"/>
    <n v="2100263"/>
    <s v="MC"/>
    <s v="AUTO WAFER PROBER M/C (AP#25)"/>
    <s v="UF2000"/>
    <x v="3"/>
    <s v="Prober"/>
    <s v="F22009EE"/>
    <x v="35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0-05-31T00:00:00"/>
    <d v="2010-05-31T00:00:00"/>
    <n v="15.43013698630137"/>
    <n v="8"/>
    <s v="안성1공장"/>
    <s v="자사"/>
    <s v="미설정"/>
    <n v="0.56320000000000003"/>
    <n v="1229"/>
    <n v="1142"/>
    <n v="933"/>
    <n v="174172069"/>
    <m/>
    <m/>
    <n v="174172069"/>
    <m/>
    <m/>
    <n v="1000"/>
    <n v="1000"/>
    <n v="96"/>
    <n v="187"/>
    <n v="0"/>
    <m/>
    <s v="W-TEST장비기술팀"/>
    <s v="Test"/>
    <s v="Test"/>
    <s v="기계장치"/>
    <n v="3483441.38"/>
    <n v="108857.543125"/>
    <n v="36285.847708333335"/>
    <m/>
    <m/>
    <m/>
    <m/>
    <m/>
    <m/>
    <m/>
    <n v="108857.543125"/>
    <n v="108857.543125"/>
    <n v="217715.08624999999"/>
    <n v="108857.543125"/>
    <n v="108857.543125"/>
    <n v="108857.543125"/>
    <n v="108857.543125"/>
    <n v="435430.17249999999"/>
    <n v="108857.543125"/>
    <n v="108857.543125"/>
    <n v="108857.543125"/>
    <n v="108857.543125"/>
    <n v="435430.17249999999"/>
    <n v="108857.543125"/>
    <n v="108857.543125"/>
    <n v="108857.543125"/>
    <n v="108857.543125"/>
    <n v="435430.17249999999"/>
    <m/>
    <m/>
    <m/>
    <n v="3483441.38"/>
  </r>
  <r>
    <n v="37"/>
    <x v="0"/>
    <m/>
    <s v="최삼현"/>
    <s v="평택"/>
    <s v="TEST"/>
    <s v="O"/>
    <s v="8&quot;"/>
    <s v="DDI"/>
    <x v="0"/>
    <s v="PT"/>
    <x v="0"/>
    <n v="2100264"/>
    <s v="MC"/>
    <s v="AUTO WAFER PROBER M/C (AP#26)"/>
    <s v="UF2000"/>
    <x v="3"/>
    <s v="Prober"/>
    <s v="F22011EE"/>
    <x v="36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0-05-31T00:00:00"/>
    <d v="2010-05-31T00:00:00"/>
    <n v="15.43013698630137"/>
    <n v="8"/>
    <s v="안성1공장"/>
    <s v="자사"/>
    <s v="미설정"/>
    <n v="0.56320000000000003"/>
    <n v="1229"/>
    <n v="1142"/>
    <n v="933"/>
    <n v="174172069"/>
    <m/>
    <m/>
    <n v="174172069"/>
    <m/>
    <m/>
    <n v="0"/>
    <n v="0"/>
    <n v="96"/>
    <n v="187"/>
    <n v="0"/>
    <m/>
    <s v="W-TEST장비기술팀"/>
    <s v="Test"/>
    <s v="Test"/>
    <s v="기계장치"/>
    <n v="3483441.38"/>
    <n v="108857.543125"/>
    <n v="36285.847708333335"/>
    <m/>
    <m/>
    <m/>
    <m/>
    <m/>
    <m/>
    <m/>
    <n v="108857.543125"/>
    <n v="108857.543125"/>
    <n v="217715.08624999999"/>
    <n v="108857.543125"/>
    <n v="108857.543125"/>
    <n v="108857.543125"/>
    <n v="108857.543125"/>
    <n v="435430.17249999999"/>
    <n v="108857.543125"/>
    <n v="108857.543125"/>
    <n v="108857.543125"/>
    <n v="108857.543125"/>
    <n v="435430.17249999999"/>
    <n v="108857.543125"/>
    <n v="108857.543125"/>
    <n v="108857.543125"/>
    <n v="108857.543125"/>
    <n v="435430.17249999999"/>
    <m/>
    <m/>
    <m/>
    <n v="3483441.38"/>
  </r>
  <r>
    <n v="38"/>
    <x v="0"/>
    <m/>
    <s v="최삼현"/>
    <s v="평택"/>
    <s v="TEST"/>
    <s v="O"/>
    <s v="8&quot;"/>
    <s v="DDI"/>
    <x v="0"/>
    <s v="PT"/>
    <x v="0"/>
    <n v="2100265"/>
    <s v="MC"/>
    <s v="TEST SYSTEM M/C T6373(A#27)"/>
    <s v="T6373"/>
    <x v="5"/>
    <s v="Tester"/>
    <n v="310467055"/>
    <x v="37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10-06-30T00:00:00"/>
    <d v="2010-06-30T00:00:00"/>
    <n v="15.347945205479451"/>
    <n v="8"/>
    <s v="2공장"/>
    <s v="자사"/>
    <s v="미설정"/>
    <n v="9.8308320000000009"/>
    <n v="950"/>
    <n v="1250"/>
    <n v="1800"/>
    <n v="859370372"/>
    <m/>
    <m/>
    <n v="859370372"/>
    <m/>
    <m/>
    <n v="1000"/>
    <n v="1000"/>
    <n v="96"/>
    <n v="186"/>
    <n v="0"/>
    <m/>
    <s v="W-TEST장비기술팀"/>
    <s v="Test"/>
    <s v="Test"/>
    <s v="기계장치"/>
    <n v="17187407.440000001"/>
    <n v="1638453.5146025899"/>
    <n v="546151.17153419659"/>
    <m/>
    <m/>
    <m/>
    <m/>
    <m/>
    <m/>
    <m/>
    <n v="1638453.5146025899"/>
    <n v="1638453.5146025899"/>
    <n v="3276907.0292051798"/>
    <n v="1638453.5146025899"/>
    <n v="1638453.5146025899"/>
    <n v="1638453.5146025899"/>
    <n v="1638453.5146025899"/>
    <n v="6553814.0584103595"/>
    <n v="1638453.5146025899"/>
    <n v="1638453.5146025899"/>
    <n v="1638453.5146025899"/>
    <n v="1638453.5146025899"/>
    <n v="6553814.0584103595"/>
    <n v="1638453.5146025899"/>
    <n v="1638453.5146025899"/>
    <n v="1638453.5146025899"/>
    <n v="1638453.5146025899"/>
    <n v="6553814.0584103595"/>
    <m/>
    <n v="1.6782430965372795E-3"/>
    <n v="35243105.027282871"/>
    <n v="52430512.467282876"/>
  </r>
  <r>
    <n v="39"/>
    <x v="0"/>
    <m/>
    <s v="최삼현"/>
    <s v="평택"/>
    <s v="TEST"/>
    <s v="O"/>
    <s v="8&quot;"/>
    <s v="DDI"/>
    <x v="0"/>
    <s v="PT"/>
    <x v="0"/>
    <n v="2100266"/>
    <s v="MC"/>
    <s v="TEST SYSTEM M/C T6373(A#28)"/>
    <s v="T6373"/>
    <x v="5"/>
    <s v="Tester"/>
    <n v="310468050"/>
    <x v="38"/>
    <s v="가동"/>
    <s v="일본"/>
    <s v="ADVANTEST"/>
    <x v="3"/>
    <s v="2차"/>
    <s v="2차"/>
    <s v="해당"/>
    <s v="Wafer Tester"/>
    <s v="Wafer Die Test"/>
    <m/>
    <m/>
    <s v="3B992"/>
    <s v="9030.82-0000"/>
    <s v="반도체 Test 장비"/>
    <m/>
    <d v="2010-06-30T00:00:00"/>
    <d v="2010-06-30T00:00:00"/>
    <n v="15.347945205479451"/>
    <n v="8"/>
    <s v="안성1공장"/>
    <s v="자사"/>
    <s v="미설정"/>
    <n v="9.8308320000000009"/>
    <n v="950"/>
    <n v="1250"/>
    <n v="1800"/>
    <n v="859370372"/>
    <m/>
    <m/>
    <n v="859370372"/>
    <m/>
    <m/>
    <n v="1000"/>
    <n v="1000"/>
    <n v="96"/>
    <n v="186"/>
    <n v="0"/>
    <m/>
    <s v="W-TEST장비기술팀"/>
    <s v="Test"/>
    <s v="Test"/>
    <s v="기계장치"/>
    <n v="17187407.440000001"/>
    <n v="537106.48250000004"/>
    <n v="179035.49416666667"/>
    <m/>
    <m/>
    <m/>
    <m/>
    <m/>
    <m/>
    <m/>
    <n v="537106.48250000004"/>
    <n v="537106.48250000004"/>
    <n v="1074212.9650000001"/>
    <n v="537106.48250000004"/>
    <n v="537106.48250000004"/>
    <n v="537106.48250000004"/>
    <n v="537106.48250000004"/>
    <n v="2148425.9300000002"/>
    <n v="537106.48250000004"/>
    <n v="537106.48250000004"/>
    <n v="537106.48250000004"/>
    <n v="537106.48250000004"/>
    <n v="2148425.9300000002"/>
    <n v="537106.48250000004"/>
    <n v="537106.48250000004"/>
    <n v="537106.48250000004"/>
    <n v="537106.48250000004"/>
    <n v="2148425.9300000002"/>
    <m/>
    <m/>
    <m/>
    <n v="17187407.440000001"/>
  </r>
  <r>
    <n v="40"/>
    <x v="0"/>
    <m/>
    <s v="최삼현"/>
    <s v="평택"/>
    <s v="TEST"/>
    <s v="O"/>
    <s v="8&quot;"/>
    <s v="DDI"/>
    <x v="0"/>
    <s v="PT"/>
    <x v="0"/>
    <n v="2100267"/>
    <s v="MC"/>
    <s v="TEST SYSTEM M/C T6373(A#29)"/>
    <s v="T6373"/>
    <x v="5"/>
    <s v="Tester"/>
    <n v="310468051"/>
    <x v="39"/>
    <s v="가동"/>
    <s v="일본"/>
    <s v="ADVANTEST"/>
    <x v="3"/>
    <s v="2차"/>
    <s v="2차"/>
    <s v="해당"/>
    <s v="Wafer Tester"/>
    <s v="Wafer Die Test"/>
    <m/>
    <m/>
    <s v="3B992"/>
    <s v="9030.82-0000"/>
    <s v="반도체 Test 장비"/>
    <m/>
    <d v="2010-06-30T00:00:00"/>
    <d v="2010-06-30T00:00:00"/>
    <n v="15.347945205479451"/>
    <n v="8"/>
    <s v="안성2공장"/>
    <s v="자사"/>
    <s v="미설정"/>
    <n v="9.8308320000000009"/>
    <n v="950"/>
    <n v="120"/>
    <n v="1800"/>
    <n v="859370372"/>
    <m/>
    <m/>
    <n v="859370372"/>
    <m/>
    <m/>
    <n v="1000"/>
    <n v="1000"/>
    <n v="96"/>
    <n v="186"/>
    <n v="0"/>
    <m/>
    <s v="W-TEST장비기술팀"/>
    <s v="Test"/>
    <s v="Test"/>
    <s v="기계장치"/>
    <n v="17187407.440000001"/>
    <n v="537106.48250000004"/>
    <n v="179035.49416666667"/>
    <m/>
    <m/>
    <m/>
    <m/>
    <m/>
    <m/>
    <m/>
    <n v="537106.48250000004"/>
    <n v="537106.48250000004"/>
    <n v="1074212.9650000001"/>
    <n v="537106.48250000004"/>
    <n v="537106.48250000004"/>
    <n v="537106.48250000004"/>
    <n v="537106.48250000004"/>
    <n v="2148425.9300000002"/>
    <n v="537106.48250000004"/>
    <n v="537106.48250000004"/>
    <n v="537106.48250000004"/>
    <n v="537106.48250000004"/>
    <n v="2148425.9300000002"/>
    <n v="537106.48250000004"/>
    <n v="537106.48250000004"/>
    <n v="537106.48250000004"/>
    <n v="537106.48250000004"/>
    <n v="2148425.9300000002"/>
    <m/>
    <m/>
    <m/>
    <n v="17187407.440000001"/>
  </r>
  <r>
    <n v="41"/>
    <x v="0"/>
    <m/>
    <s v="최삼현"/>
    <s v="평택"/>
    <s v="TEST"/>
    <s v="O"/>
    <s v="8&quot;"/>
    <s v="DDI"/>
    <x v="0"/>
    <s v="PT"/>
    <x v="0"/>
    <n v="2100269"/>
    <s v="MC"/>
    <s v="AUTO WAFER PROBER M/C (AP#27)"/>
    <s v="UF2000"/>
    <x v="3"/>
    <s v="Prober"/>
    <s v="F22012EE"/>
    <x v="40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0-06-30T00:00:00"/>
    <d v="2010-06-30T00:00:00"/>
    <n v="15.347945205479451"/>
    <n v="8"/>
    <s v="안성1공장"/>
    <s v="자사"/>
    <s v="미설정"/>
    <n v="0.56320000000000003"/>
    <n v="1229"/>
    <n v="1142"/>
    <n v="933"/>
    <n v="184734298"/>
    <m/>
    <m/>
    <n v="184734298"/>
    <m/>
    <m/>
    <n v="1000"/>
    <n v="1000"/>
    <n v="96"/>
    <n v="186"/>
    <n v="0"/>
    <m/>
    <s v="W-TEST장비기술팀"/>
    <s v="Test"/>
    <s v="Test"/>
    <s v="기계장치"/>
    <n v="3694685.96"/>
    <n v="115458.93625"/>
    <n v="38486.312083333331"/>
    <m/>
    <m/>
    <m/>
    <m/>
    <m/>
    <m/>
    <m/>
    <n v="115458.93625"/>
    <n v="115458.93625"/>
    <n v="230917.8725"/>
    <n v="115458.93625"/>
    <n v="115458.93625"/>
    <n v="115458.93625"/>
    <n v="115458.93625"/>
    <n v="461835.745"/>
    <n v="115458.93625"/>
    <n v="115458.93625"/>
    <n v="115458.93625"/>
    <n v="115458.93625"/>
    <n v="461835.745"/>
    <n v="115458.93625"/>
    <n v="115458.93625"/>
    <n v="115458.93625"/>
    <n v="115458.93625"/>
    <n v="461835.745"/>
    <m/>
    <m/>
    <m/>
    <n v="3694685.96"/>
  </r>
  <r>
    <n v="42"/>
    <x v="0"/>
    <m/>
    <s v="최삼현"/>
    <s v="평택"/>
    <s v="TEST"/>
    <s v="O"/>
    <s v="8&quot;"/>
    <s v="DDI"/>
    <x v="0"/>
    <s v="PT"/>
    <x v="0"/>
    <n v="2100271"/>
    <s v="MC"/>
    <s v="TEST SYSTEM M/C T6373(A#30)"/>
    <s v="T6373"/>
    <x v="5"/>
    <s v="Tester"/>
    <n v="310476268"/>
    <x v="41"/>
    <s v="가동"/>
    <s v="일본"/>
    <s v="ADVANTEST"/>
    <x v="3"/>
    <s v="2차"/>
    <s v="2차"/>
    <s v="해당"/>
    <s v="Wafer Tester"/>
    <s v="Wafer Die Test"/>
    <m/>
    <m/>
    <s v="3B992"/>
    <s v="9030.82-0000"/>
    <s v="반도체 Test 장비"/>
    <m/>
    <d v="2011-04-30T00:00:00"/>
    <d v="2011-04-30T00:00:00"/>
    <n v="14.515068493150684"/>
    <n v="8"/>
    <s v="안성1공장"/>
    <s v="자사"/>
    <s v="미설정"/>
    <n v="9.8308320000000009"/>
    <n v="950"/>
    <n v="1250"/>
    <n v="1800"/>
    <n v="836381827"/>
    <m/>
    <m/>
    <n v="836381827"/>
    <m/>
    <m/>
    <n v="1000"/>
    <n v="1000"/>
    <n v="96"/>
    <n v="176"/>
    <n v="0"/>
    <m/>
    <s v="W-TEST장비기술팀"/>
    <s v="Test"/>
    <s v="Test"/>
    <s v="기계장치"/>
    <n v="16727636.540000001"/>
    <n v="522738.64187500003"/>
    <n v="174246.21395833333"/>
    <m/>
    <m/>
    <m/>
    <m/>
    <m/>
    <m/>
    <m/>
    <n v="522738.64187499997"/>
    <n v="522738.64187499997"/>
    <n v="1045477.2837499999"/>
    <n v="522738.64187499997"/>
    <n v="522738.64187499997"/>
    <n v="522738.64187499997"/>
    <n v="522738.64187499997"/>
    <n v="2090954.5674999999"/>
    <n v="522738.64187499997"/>
    <n v="522738.64187499997"/>
    <n v="522738.64187499997"/>
    <n v="522738.64187499997"/>
    <n v="2090954.5674999999"/>
    <n v="522738.64187499997"/>
    <n v="522738.64187499997"/>
    <n v="522738.64187499997"/>
    <n v="522738.64187499997"/>
    <n v="2090954.5674999999"/>
    <m/>
    <m/>
    <m/>
    <n v="16727636.540000001"/>
  </r>
  <r>
    <n v="43"/>
    <x v="0"/>
    <m/>
    <s v="최삼현"/>
    <s v="평택"/>
    <s v="TEST"/>
    <s v="O"/>
    <s v="8&quot;"/>
    <s v="DDI"/>
    <x v="0"/>
    <s v="PT"/>
    <x v="0"/>
    <n v="2100272"/>
    <s v="MC"/>
    <s v="TEST SYSTEM M/C T6373(A#31)"/>
    <s v="T6373"/>
    <x v="5"/>
    <s v="Tester"/>
    <n v="310476269"/>
    <x v="42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11-04-30T00:00:00"/>
    <d v="2011-04-30T00:00:00"/>
    <n v="14.515068493150684"/>
    <n v="8"/>
    <s v="안성1공장"/>
    <s v="자사"/>
    <s v="미설정"/>
    <n v="9.8308320000000009"/>
    <n v="950"/>
    <n v="1250"/>
    <n v="1800"/>
    <n v="836381827"/>
    <m/>
    <m/>
    <n v="836381827"/>
    <m/>
    <m/>
    <n v="1000"/>
    <n v="1000"/>
    <n v="96"/>
    <n v="176"/>
    <n v="0"/>
    <m/>
    <s v="W-TEST장비기술팀"/>
    <s v="Test"/>
    <s v="Test"/>
    <s v="기계장치"/>
    <n v="16727636.540000001"/>
    <n v="1594624.1441959848"/>
    <n v="531541.38139866164"/>
    <m/>
    <m/>
    <m/>
    <m/>
    <m/>
    <m/>
    <m/>
    <n v="1594624.144195985"/>
    <n v="1594624.144195985"/>
    <n v="3189248.2883919701"/>
    <n v="1594624.144195985"/>
    <n v="1594624.144195985"/>
    <n v="1594624.144195985"/>
    <n v="1594624.144195985"/>
    <n v="6378496.5767839402"/>
    <n v="1594624.144195985"/>
    <n v="1594624.144195985"/>
    <n v="1594624.144195985"/>
    <n v="1594624.144195985"/>
    <n v="6378496.5767839402"/>
    <n v="1594624.144195985"/>
    <n v="1594624.144195985"/>
    <n v="1594624.144195985"/>
    <n v="1594624.144195985"/>
    <n v="6378496.5767839402"/>
    <m/>
    <n v="1.6333493368700721E-3"/>
    <n v="34300336.074271515"/>
    <n v="51027972.614271514"/>
  </r>
  <r>
    <n v="44"/>
    <x v="0"/>
    <m/>
    <s v="최삼현"/>
    <s v="평택"/>
    <s v="TEST"/>
    <s v="O"/>
    <s v="8&quot;"/>
    <s v="DDI"/>
    <x v="0"/>
    <s v="PT"/>
    <x v="0"/>
    <n v="2100273"/>
    <s v="MC"/>
    <s v="TEST SYSTEM M/C T6373(A#32)"/>
    <s v="T6373"/>
    <x v="5"/>
    <s v="Tester"/>
    <n v="310480861"/>
    <x v="43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11-04-30T00:00:00"/>
    <d v="2011-04-30T00:00:00"/>
    <n v="14.515068493150684"/>
    <n v="8"/>
    <s v="안성1공장"/>
    <s v="자사"/>
    <s v="미설정"/>
    <n v="9.8308320000000009"/>
    <n v="950"/>
    <n v="1250"/>
    <n v="1800"/>
    <n v="836381827"/>
    <m/>
    <m/>
    <n v="836381827"/>
    <m/>
    <m/>
    <n v="1000"/>
    <n v="1000"/>
    <n v="96"/>
    <n v="176"/>
    <n v="0"/>
    <m/>
    <s v="W-TEST장비기술팀"/>
    <s v="Test"/>
    <s v="Test"/>
    <s v="기계장치"/>
    <n v="16727636.540000001"/>
    <n v="1594624.1441959848"/>
    <n v="531541.38139866164"/>
    <m/>
    <m/>
    <m/>
    <m/>
    <m/>
    <m/>
    <m/>
    <n v="1594624.144195985"/>
    <n v="1594624.144195985"/>
    <n v="3189248.2883919701"/>
    <n v="1594624.144195985"/>
    <n v="1594624.144195985"/>
    <n v="1594624.144195985"/>
    <n v="1594624.144195985"/>
    <n v="6378496.5767839402"/>
    <n v="1594624.144195985"/>
    <n v="1594624.144195985"/>
    <n v="1594624.144195985"/>
    <n v="1594624.144195985"/>
    <n v="6378496.5767839402"/>
    <n v="1594624.144195985"/>
    <n v="1594624.144195985"/>
    <n v="1594624.144195985"/>
    <n v="1594624.144195985"/>
    <n v="6378496.5767839402"/>
    <m/>
    <n v="1.6333493368700721E-3"/>
    <n v="34300336.074271515"/>
    <n v="51027972.614271514"/>
  </r>
  <r>
    <n v="45"/>
    <x v="0"/>
    <m/>
    <s v="최삼현"/>
    <s v="평택"/>
    <s v="TEST"/>
    <s v="O"/>
    <s v="8&quot;"/>
    <s v="DDI"/>
    <x v="0"/>
    <s v="PT"/>
    <x v="0"/>
    <n v="2100274"/>
    <s v="MC"/>
    <s v="AUTO WAFER PROBER M/C (AP#30)"/>
    <s v="UF2000"/>
    <x v="3"/>
    <s v="Prober"/>
    <s v="F22014CF"/>
    <x v="44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1-04-30T00:00:00"/>
    <d v="2011-04-30T00:00:00"/>
    <n v="14.515068493150684"/>
    <n v="8"/>
    <s v="안성1공장"/>
    <s v="자사"/>
    <s v="미설정"/>
    <n v="0.56320000000000003"/>
    <n v="1229"/>
    <n v="1142"/>
    <n v="933"/>
    <n v="181006870"/>
    <m/>
    <m/>
    <n v="181006870"/>
    <m/>
    <m/>
    <n v="1000"/>
    <n v="1000"/>
    <n v="96"/>
    <n v="176"/>
    <n v="0"/>
    <m/>
    <s v="W-TEST장비기술팀"/>
    <s v="Test"/>
    <s v="Test"/>
    <s v="기계장치"/>
    <n v="3620137.4"/>
    <n v="113129.29375"/>
    <n v="37709.76458333333"/>
    <m/>
    <m/>
    <m/>
    <m/>
    <m/>
    <m/>
    <m/>
    <n v="113129.29374999998"/>
    <n v="113129.29374999998"/>
    <n v="226258.58749999997"/>
    <n v="113129.29374999998"/>
    <n v="113129.29374999998"/>
    <n v="113129.29374999998"/>
    <n v="113129.29374999998"/>
    <n v="452517.17499999993"/>
    <n v="113129.29374999998"/>
    <n v="113129.29374999998"/>
    <n v="113129.29374999998"/>
    <n v="113129.29374999998"/>
    <n v="452517.17499999993"/>
    <n v="113129.29374999998"/>
    <n v="113129.29374999998"/>
    <n v="113129.29374999998"/>
    <n v="113129.29374999998"/>
    <n v="452517.17499999993"/>
    <m/>
    <m/>
    <m/>
    <n v="3620137.4"/>
  </r>
  <r>
    <n v="46"/>
    <x v="0"/>
    <m/>
    <s v="최삼현"/>
    <s v="평택"/>
    <s v="TEST"/>
    <s v="O"/>
    <s v="8&quot;"/>
    <s v="DDI"/>
    <x v="0"/>
    <s v="PT"/>
    <x v="0"/>
    <n v="2100275"/>
    <s v="MC"/>
    <s v="AUTO WAFER PROBER M/C (AP#31)"/>
    <s v="UF2000"/>
    <x v="3"/>
    <s v="Prober"/>
    <s v="F22015CF"/>
    <x v="45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1-04-30T00:00:00"/>
    <d v="2011-04-30T00:00:00"/>
    <n v="14.515068493150684"/>
    <n v="8"/>
    <s v="안성1공장"/>
    <s v="자사"/>
    <s v="미설정"/>
    <n v="0.56320000000000003"/>
    <n v="1229"/>
    <n v="1142"/>
    <n v="933"/>
    <n v="181006870"/>
    <m/>
    <m/>
    <n v="181006870"/>
    <m/>
    <m/>
    <n v="1000"/>
    <n v="1000"/>
    <n v="96"/>
    <n v="176"/>
    <n v="0"/>
    <m/>
    <s v="W-TEST장비기술팀"/>
    <s v="Test"/>
    <s v="Test"/>
    <s v="기계장치"/>
    <n v="3620137.4"/>
    <n v="113129.29375"/>
    <n v="37709.76458333333"/>
    <m/>
    <m/>
    <m/>
    <m/>
    <m/>
    <m/>
    <m/>
    <n v="113129.29374999998"/>
    <n v="113129.29374999998"/>
    <n v="226258.58749999997"/>
    <n v="113129.29374999998"/>
    <n v="113129.29374999998"/>
    <n v="113129.29374999998"/>
    <n v="113129.29374999998"/>
    <n v="452517.17499999993"/>
    <n v="113129.29374999998"/>
    <n v="113129.29374999998"/>
    <n v="113129.29374999998"/>
    <n v="113129.29374999998"/>
    <n v="452517.17499999993"/>
    <n v="113129.29374999998"/>
    <n v="113129.29374999998"/>
    <n v="113129.29374999998"/>
    <n v="113129.29374999998"/>
    <n v="452517.17499999993"/>
    <m/>
    <m/>
    <m/>
    <n v="3620137.4"/>
  </r>
  <r>
    <n v="47"/>
    <x v="0"/>
    <m/>
    <s v="최삼현"/>
    <s v="평택"/>
    <s v="TEST"/>
    <s v="O"/>
    <s v="8&quot;"/>
    <s v="DDI"/>
    <x v="0"/>
    <s v="PT"/>
    <x v="0"/>
    <n v="2100276"/>
    <s v="MC"/>
    <s v="AUTO WAFER PROBER M/C (AP#32)"/>
    <s v="UF2000"/>
    <x v="3"/>
    <s v="Prober"/>
    <s v="F22016CF"/>
    <x v="46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1-04-30T00:00:00"/>
    <d v="2011-04-30T00:00:00"/>
    <n v="14.515068493150684"/>
    <n v="8"/>
    <s v="안성2공장"/>
    <s v="자사"/>
    <s v="미설정"/>
    <n v="0.56320000000000003"/>
    <n v="1229"/>
    <n v="1142"/>
    <n v="933"/>
    <n v="181006870"/>
    <m/>
    <m/>
    <n v="181006870"/>
    <m/>
    <m/>
    <n v="1000"/>
    <n v="1000"/>
    <n v="96"/>
    <n v="176"/>
    <n v="0"/>
    <m/>
    <s v="W-TEST장비기술팀"/>
    <s v="Test"/>
    <s v="Test"/>
    <s v="기계장치"/>
    <n v="3620137.4"/>
    <n v="113129.29375"/>
    <n v="37709.76458333333"/>
    <m/>
    <m/>
    <m/>
    <m/>
    <m/>
    <m/>
    <m/>
    <n v="113129.29374999998"/>
    <n v="113129.29374999998"/>
    <n v="226258.58749999997"/>
    <n v="113129.29374999998"/>
    <n v="113129.29374999998"/>
    <n v="113129.29374999998"/>
    <n v="113129.29374999998"/>
    <n v="452517.17499999993"/>
    <n v="113129.29374999998"/>
    <n v="113129.29374999998"/>
    <n v="113129.29374999998"/>
    <n v="113129.29374999998"/>
    <n v="452517.17499999993"/>
    <n v="113129.29374999998"/>
    <n v="113129.29374999998"/>
    <n v="113129.29374999998"/>
    <n v="113129.29374999998"/>
    <n v="452517.17499999993"/>
    <m/>
    <m/>
    <m/>
    <n v="3620137.4"/>
  </r>
  <r>
    <n v="48"/>
    <x v="0"/>
    <m/>
    <s v="최삼현"/>
    <s v="평택"/>
    <s v="TEST"/>
    <s v="O"/>
    <s v="8&quot;"/>
    <s v="DDI"/>
    <x v="0"/>
    <s v="PT"/>
    <x v="0"/>
    <n v="2100277"/>
    <s v="MC"/>
    <s v="TEST SYSTEM M/C ST6730A(Y#37)"/>
    <s v="ST6730A"/>
    <x v="2"/>
    <s v="Tester"/>
    <s v="321C01001M"/>
    <x v="47"/>
    <s v="가동"/>
    <s v="일본"/>
    <s v="YOKOGAWA"/>
    <x v="0"/>
    <s v="2차"/>
    <s v="2차"/>
    <s v="해당"/>
    <s v="Wafer Tester"/>
    <s v="Wafer Die Test"/>
    <s v="375Mhz"/>
    <m/>
    <s v="3B992"/>
    <s v="9030.82-0000"/>
    <s v="반도체 Test 장비"/>
    <m/>
    <d v="2011-04-30T00:00:00"/>
    <d v="2011-04-30T00:00:00"/>
    <n v="14.515068493150684"/>
    <n v="8"/>
    <s v="2공장"/>
    <s v="자사"/>
    <s v="미설정"/>
    <n v="6.1347440000000004"/>
    <n v="960"/>
    <n v="840"/>
    <n v="1860"/>
    <n v="682607536"/>
    <m/>
    <m/>
    <n v="682607536"/>
    <m/>
    <m/>
    <n v="1000"/>
    <n v="1000"/>
    <n v="96"/>
    <n v="176"/>
    <n v="0"/>
    <m/>
    <s v="W-TEST장비기술팀"/>
    <s v="Test"/>
    <s v="Test"/>
    <s v="기계장치"/>
    <n v="13652150.720000001"/>
    <n v="1301442.0241769911"/>
    <n v="433814.00805899705"/>
    <m/>
    <m/>
    <m/>
    <m/>
    <m/>
    <m/>
    <m/>
    <n v="1301442.0241769911"/>
    <n v="1301442.0241769911"/>
    <n v="2602884.0483539822"/>
    <n v="1301442.0241769911"/>
    <n v="1301442.0241769911"/>
    <n v="1301442.0241769911"/>
    <n v="1301442.0241769911"/>
    <n v="5205768.0967079643"/>
    <n v="1301442.0241769911"/>
    <n v="1301442.0241769911"/>
    <n v="1301442.0241769911"/>
    <n v="1301442.0241769911"/>
    <n v="5205768.0967079643"/>
    <n v="1301442.0241769911"/>
    <n v="1301442.0241769911"/>
    <n v="1301442.0241769911"/>
    <n v="1301442.0241769911"/>
    <n v="5205768.0967079643"/>
    <m/>
    <n v="1.3330473358887482E-3"/>
    <n v="27993994.053663712"/>
    <n v="41646144.773663715"/>
  </r>
  <r>
    <n v="49"/>
    <x v="0"/>
    <m/>
    <s v="최삼현"/>
    <s v="평택"/>
    <s v="TEST"/>
    <s v="O"/>
    <s v="8&quot;"/>
    <s v="DDI"/>
    <x v="0"/>
    <s v="PT"/>
    <x v="0"/>
    <n v="2100279"/>
    <s v="MC"/>
    <s v="TEST SYSTEM M/C ST6730A(Y#39)"/>
    <s v="ST6730A"/>
    <x v="2"/>
    <s v="Tester"/>
    <s v="321C11001M"/>
    <x v="48"/>
    <s v="가동"/>
    <s v="일본"/>
    <s v="YOKOGAWA"/>
    <x v="0"/>
    <s v="2차"/>
    <s v="2차"/>
    <s v="해당"/>
    <s v="Wafer Tester"/>
    <s v="Wafer Die Test"/>
    <s v="375Mhz"/>
    <m/>
    <s v="3B992"/>
    <s v="9030.82-0000"/>
    <s v="반도체 Test 장비"/>
    <m/>
    <d v="2011-04-30T00:00:00"/>
    <d v="2011-04-30T00:00:00"/>
    <n v="14.515068493150684"/>
    <n v="8"/>
    <s v="안성1공장"/>
    <s v="자사"/>
    <s v="미설정"/>
    <n v="6.1347440000000004"/>
    <n v="960"/>
    <n v="840"/>
    <n v="1860"/>
    <n v="682607535"/>
    <m/>
    <m/>
    <n v="682607535"/>
    <m/>
    <m/>
    <n v="1000"/>
    <n v="1000"/>
    <n v="96"/>
    <n v="176"/>
    <n v="0"/>
    <m/>
    <s v="W-TEST장비기술팀"/>
    <s v="Test"/>
    <s v="Test"/>
    <s v="기계장치"/>
    <n v="13652150.700000001"/>
    <n v="1301442.0222704168"/>
    <n v="433814.0074234723"/>
    <m/>
    <m/>
    <m/>
    <m/>
    <m/>
    <m/>
    <m/>
    <n v="1301442.0222704168"/>
    <n v="1301442.0222704168"/>
    <n v="2602884.0445408337"/>
    <n v="1301442.0222704168"/>
    <n v="1301442.0222704168"/>
    <n v="1301442.0222704168"/>
    <n v="1301442.0222704168"/>
    <n v="5205768.0890816674"/>
    <n v="1301442.0222704168"/>
    <n v="1301442.0222704168"/>
    <n v="1301442.0222704168"/>
    <n v="1301442.0222704168"/>
    <n v="5205768.0890816674"/>
    <n v="1301442.0222704168"/>
    <n v="1301442.0222704168"/>
    <n v="1301442.0222704168"/>
    <n v="1301442.0222704168"/>
    <n v="5205768.0890816674"/>
    <m/>
    <n v="1.3330473339358731E-3"/>
    <n v="27993994.012653336"/>
    <n v="41646144.712653339"/>
  </r>
  <r>
    <n v="50"/>
    <x v="0"/>
    <m/>
    <s v="최삼현"/>
    <s v="평택"/>
    <s v="TEST"/>
    <s v="O"/>
    <s v="8&quot;"/>
    <s v="DDI"/>
    <x v="0"/>
    <s v="PT"/>
    <x v="0"/>
    <n v="2100282"/>
    <s v="MC"/>
    <s v="TEST SYSTEM M/C T6373(A#33)"/>
    <s v="T6373"/>
    <x v="5"/>
    <s v="Tester"/>
    <n v="310480867"/>
    <x v="49"/>
    <s v="가동"/>
    <s v="일본"/>
    <s v="ADVANTEST"/>
    <x v="1"/>
    <s v="2차"/>
    <s v="2차"/>
    <s v="해당"/>
    <s v="Wafer Tester"/>
    <s v="Wafer Die Test"/>
    <m/>
    <m/>
    <s v="3B992"/>
    <s v="9030.82-0000"/>
    <s v="반도체 Test 장비"/>
    <m/>
    <d v="2011-06-30T00:00:00"/>
    <d v="2011-06-30T00:00:00"/>
    <n v="14.347945205479451"/>
    <n v="8"/>
    <s v="안성2공장"/>
    <s v="자사"/>
    <s v="미설정"/>
    <n v="9.8308320000000009"/>
    <n v="950"/>
    <n v="1250"/>
    <n v="1800"/>
    <n v="804003924"/>
    <m/>
    <m/>
    <n v="804003924"/>
    <m/>
    <m/>
    <n v="1000"/>
    <n v="1000"/>
    <n v="96"/>
    <n v="174"/>
    <n v="0"/>
    <m/>
    <s v="W-TEST장비기술팀"/>
    <s v="Test"/>
    <s v="Test"/>
    <s v="기계장치"/>
    <n v="16080078.48"/>
    <n v="1532893.2645959004"/>
    <n v="510964.42153196683"/>
    <m/>
    <m/>
    <n v="1532893.2645959004"/>
    <n v="1532893.2645959004"/>
    <n v="3065786.5291918009"/>
    <n v="1532893.2645959004"/>
    <n v="1532893.2645959004"/>
    <n v="1532893.2645959004"/>
    <n v="1532893.2645959004"/>
    <n v="6131573.0583836017"/>
    <n v="1532893.2645959004"/>
    <n v="1532893.2645959004"/>
    <n v="1532893.2645959004"/>
    <n v="1532893.2645959004"/>
    <n v="6131573.0583836017"/>
    <n v="1532893.2645959004"/>
    <n v="1532893.2645959004"/>
    <n v="1532893.2645959004"/>
    <n v="1532893.2645959004"/>
    <n v="6131573.0583836017"/>
    <n v="1532893.2645959004"/>
    <n v="1532893.2645959004"/>
    <n v="1532893.2645959004"/>
    <n v="1532893.2645959004"/>
    <n v="6131573.0583836017"/>
    <m/>
    <n v="1.5701193327175625E-3"/>
    <n v="32972505.987068813"/>
    <n v="49052584.467068814"/>
  </r>
  <r>
    <n v="51"/>
    <x v="0"/>
    <m/>
    <s v="최삼현"/>
    <s v="평택"/>
    <s v="TEST"/>
    <s v="O"/>
    <s v="8&quot;"/>
    <s v="DDI"/>
    <x v="0"/>
    <s v="PT"/>
    <x v="0"/>
    <n v="2100283"/>
    <s v="MC"/>
    <s v="TEST SYSTEM M/C T6373(A#34)"/>
    <s v="T6373"/>
    <x v="5"/>
    <s v="Tester"/>
    <n v="310511529"/>
    <x v="50"/>
    <s v="가동"/>
    <s v="일본"/>
    <s v="ADVANTEST"/>
    <x v="4"/>
    <s v="2차"/>
    <s v="2차"/>
    <s v="해당"/>
    <s v="Wafer Tester"/>
    <s v="Wafer Die Test"/>
    <m/>
    <m/>
    <s v="3B992"/>
    <s v="9030.82-0000"/>
    <s v="반도체 Test 장비"/>
    <m/>
    <d v="2011-06-30T00:00:00"/>
    <d v="2011-06-30T00:00:00"/>
    <n v="14.347945205479451"/>
    <n v="8"/>
    <s v="안성2공장"/>
    <s v="자사"/>
    <s v="미설정"/>
    <n v="9.8308320000000009"/>
    <n v="950"/>
    <n v="1250"/>
    <n v="1800"/>
    <n v="804003924"/>
    <m/>
    <m/>
    <n v="804003924"/>
    <m/>
    <m/>
    <n v="1000"/>
    <n v="1000"/>
    <n v="96"/>
    <n v="174"/>
    <n v="0"/>
    <m/>
    <s v="W-TEST장비기술팀"/>
    <s v="Test"/>
    <s v="Test"/>
    <s v="기계장치"/>
    <n v="16080078.48"/>
    <n v="502502.45250000001"/>
    <n v="167500.8175"/>
    <m/>
    <m/>
    <m/>
    <m/>
    <m/>
    <m/>
    <m/>
    <n v="502502.45250000001"/>
    <n v="502502.45250000001"/>
    <n v="1005004.905"/>
    <n v="502502.45250000001"/>
    <n v="502502.45250000001"/>
    <n v="502502.45250000001"/>
    <n v="502502.45250000001"/>
    <n v="2010009.81"/>
    <n v="502502.45250000001"/>
    <n v="502502.45250000001"/>
    <n v="502502.45250000001"/>
    <n v="502502.45250000001"/>
    <n v="2010009.81"/>
    <n v="502502.45250000001"/>
    <n v="502502.45250000001"/>
    <n v="502502.45250000001"/>
    <n v="502502.45250000001"/>
    <n v="2010009.81"/>
    <m/>
    <m/>
    <m/>
    <n v="16080078.48"/>
  </r>
  <r>
    <n v="52"/>
    <x v="0"/>
    <m/>
    <s v="최삼현"/>
    <s v="평택"/>
    <s v="TEST"/>
    <s v="O"/>
    <s v="8&quot;"/>
    <s v="DDI"/>
    <x v="0"/>
    <s v="PT"/>
    <x v="0"/>
    <n v="2100284"/>
    <s v="MC"/>
    <s v="AUTO WAFER PROBER M/C (AP#33)"/>
    <s v="UF2000"/>
    <x v="3"/>
    <s v="Prober"/>
    <s v="F22012DF"/>
    <x v="51"/>
    <s v="가동"/>
    <s v="일본"/>
    <s v="TOKYO SEIMITSU"/>
    <x v="1"/>
    <s v="2차"/>
    <s v="2차"/>
    <s v="해당"/>
    <s v="Wafer Test Prober"/>
    <s v="Wafer Die Test"/>
    <s v="정밀도 +/-1.5um"/>
    <m/>
    <s v="3A992"/>
    <s v="9030.82-0000"/>
    <s v="반도체 제조 및 검사장비"/>
    <m/>
    <d v="2011-06-30T00:00:00"/>
    <d v="2011-06-30T00:00:00"/>
    <n v="14.347945205479451"/>
    <n v="8"/>
    <s v="안성2공장"/>
    <s v="자사"/>
    <s v="미설정"/>
    <n v="0.56320000000000003"/>
    <n v="1229"/>
    <n v="1142"/>
    <n v="933"/>
    <n v="177702087"/>
    <m/>
    <m/>
    <n v="177702087"/>
    <m/>
    <m/>
    <n v="1000"/>
    <n v="1000"/>
    <n v="96"/>
    <n v="174"/>
    <n v="0"/>
    <m/>
    <s v="W-TEST장비기술팀"/>
    <s v="Test"/>
    <s v="Test"/>
    <s v="기계장치"/>
    <n v="3554041.74"/>
    <n v="338802.24229718401"/>
    <n v="112934.08076572801"/>
    <m/>
    <m/>
    <n v="338802.24229718401"/>
    <n v="338802.24229718401"/>
    <n v="677604.48459436803"/>
    <n v="338802.24229718401"/>
    <n v="338802.24229718401"/>
    <n v="338802.24229718401"/>
    <n v="338802.24229718401"/>
    <n v="1355208.9691887361"/>
    <n v="338802.24229718401"/>
    <n v="338802.24229718401"/>
    <n v="338802.24229718401"/>
    <n v="338802.24229718401"/>
    <n v="1355208.9691887361"/>
    <n v="338802.24229718401"/>
    <n v="338802.24229718401"/>
    <n v="338802.24229718401"/>
    <n v="338802.24229718401"/>
    <n v="1355208.9691887361"/>
    <n v="338802.24229718401"/>
    <n v="338802.24229718401"/>
    <n v="338802.24229718401"/>
    <n v="338802.24229718401"/>
    <n v="1355208.9691887361"/>
    <m/>
    <n v="3.4703000064332802E-4"/>
    <n v="7287630.0135098882"/>
    <n v="10841671.753509888"/>
  </r>
  <r>
    <n v="53"/>
    <x v="0"/>
    <m/>
    <s v="최삼현"/>
    <s v="평택"/>
    <s v="TEST"/>
    <s v="O"/>
    <s v="8&quot;"/>
    <s v="DDI"/>
    <x v="0"/>
    <s v="PT"/>
    <x v="0"/>
    <n v="2100285"/>
    <s v="MC"/>
    <s v="AUTO WAFER PROBER M/C (AP#34)"/>
    <s v="UF2000"/>
    <x v="3"/>
    <s v="Prober"/>
    <s v="F22013DF"/>
    <x v="52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1-06-30T00:00:00"/>
    <d v="2011-06-30T00:00:00"/>
    <n v="14.347945205479451"/>
    <n v="8"/>
    <s v="안성2공장"/>
    <s v="자사"/>
    <s v="미설정"/>
    <n v="0.56320000000000003"/>
    <n v="1229"/>
    <n v="1142"/>
    <n v="933"/>
    <n v="177702087"/>
    <m/>
    <m/>
    <n v="177702087"/>
    <m/>
    <m/>
    <n v="1000"/>
    <n v="1000"/>
    <n v="96"/>
    <n v="174"/>
    <n v="0"/>
    <m/>
    <s v="W-TEST장비기술팀"/>
    <s v="Test"/>
    <s v="Test"/>
    <s v="기계장치"/>
    <n v="3554041.74"/>
    <n v="111063.80437500001"/>
    <n v="37021.268125000002"/>
    <m/>
    <m/>
    <m/>
    <m/>
    <m/>
    <m/>
    <m/>
    <n v="111063.80437500001"/>
    <n v="111063.80437500001"/>
    <n v="222127.60875000001"/>
    <n v="111063.80437500001"/>
    <n v="111063.80437500001"/>
    <n v="111063.80437500001"/>
    <n v="111063.80437500001"/>
    <n v="444255.21750000003"/>
    <n v="111063.80437500001"/>
    <n v="111063.80437500001"/>
    <n v="111063.80437500001"/>
    <n v="111063.80437500001"/>
    <n v="444255.21750000003"/>
    <n v="111063.80437500001"/>
    <n v="111063.80437500001"/>
    <n v="111063.80437500001"/>
    <n v="111063.80437500001"/>
    <n v="444255.21750000003"/>
    <m/>
    <m/>
    <m/>
    <n v="3554041.74"/>
  </r>
  <r>
    <n v="54"/>
    <x v="0"/>
    <m/>
    <s v="최삼현"/>
    <s v="평택"/>
    <s v="TEST"/>
    <s v="O"/>
    <s v="8&quot;"/>
    <s v="DDI"/>
    <x v="0"/>
    <s v="PT"/>
    <x v="0"/>
    <n v="2100288"/>
    <s v="MC"/>
    <s v="AUTO WAFER PROBER M/C (YP#40)"/>
    <s v="UF2000"/>
    <x v="3"/>
    <s v="Prober"/>
    <s v="F22004CF"/>
    <x v="53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1-06-30T00:00:00"/>
    <d v="2011-06-30T00:00:00"/>
    <n v="14.347945205479451"/>
    <n v="8"/>
    <s v="안성1공장"/>
    <s v="자사"/>
    <s v="미설정"/>
    <n v="0.56320000000000003"/>
    <n v="1229"/>
    <n v="1142"/>
    <n v="933"/>
    <n v="172827730"/>
    <m/>
    <m/>
    <n v="172827730"/>
    <m/>
    <m/>
    <n v="1000"/>
    <n v="1000"/>
    <n v="96"/>
    <n v="174"/>
    <n v="0"/>
    <m/>
    <s v="W-TEST장비기술팀"/>
    <s v="Test"/>
    <s v="Test"/>
    <s v="기계장치"/>
    <n v="3456554.6"/>
    <n v="108017.33125"/>
    <n v="36005.777083333334"/>
    <m/>
    <m/>
    <m/>
    <m/>
    <m/>
    <m/>
    <m/>
    <n v="108017.33125"/>
    <n v="108017.33125"/>
    <n v="216034.66250000001"/>
    <n v="108017.33125"/>
    <n v="108017.33125"/>
    <n v="108017.33125"/>
    <n v="108017.33125"/>
    <n v="432069.32500000001"/>
    <n v="108017.33125"/>
    <n v="108017.33125"/>
    <n v="108017.33125"/>
    <n v="108017.33125"/>
    <n v="432069.32500000001"/>
    <n v="108017.33125"/>
    <n v="108017.33125"/>
    <n v="108017.33125"/>
    <n v="108017.33125"/>
    <n v="432069.32500000001"/>
    <m/>
    <m/>
    <m/>
    <n v="3456554.6"/>
  </r>
  <r>
    <n v="55"/>
    <x v="0"/>
    <m/>
    <s v="최삼현"/>
    <s v="평택"/>
    <s v="TEST"/>
    <s v="O"/>
    <s v="8&quot;"/>
    <s v="DDI"/>
    <x v="0"/>
    <s v="PT"/>
    <x v="0"/>
    <n v="2100293"/>
    <s v="MC"/>
    <s v="TEST SYSTEM M/C T6373(A#35)"/>
    <s v="T6373"/>
    <x v="5"/>
    <s v="Tester"/>
    <n v="310511424"/>
    <x v="54"/>
    <s v="가동"/>
    <s v="일본"/>
    <s v="ADVANTEST"/>
    <x v="4"/>
    <s v="2차"/>
    <s v="2차"/>
    <s v="해당"/>
    <s v="Wafer Tester"/>
    <s v="Wafer Die Test"/>
    <m/>
    <m/>
    <s v="3B992"/>
    <s v="9030.82-0000"/>
    <s v="반도체 Test 장비"/>
    <m/>
    <d v="2011-09-30T00:00:00"/>
    <d v="2011-09-30T00:00:00"/>
    <n v="14.095890410958905"/>
    <n v="8"/>
    <s v="안성1공장"/>
    <s v="자사"/>
    <s v="미설정"/>
    <n v="9.8308320000000009"/>
    <n v="950"/>
    <n v="1250"/>
    <n v="1800"/>
    <n v="843541971"/>
    <m/>
    <m/>
    <n v="843541971"/>
    <m/>
    <m/>
    <n v="1000"/>
    <n v="1000"/>
    <n v="96"/>
    <n v="171"/>
    <n v="0"/>
    <m/>
    <s v="W-TEST장비기술팀"/>
    <s v="Test"/>
    <s v="Test"/>
    <s v="기계장치"/>
    <n v="16870839.420000002"/>
    <n v="527213.73187500006"/>
    <n v="175737.91062500002"/>
    <m/>
    <m/>
    <m/>
    <m/>
    <m/>
    <m/>
    <m/>
    <n v="527213.73187500006"/>
    <n v="527213.73187500006"/>
    <n v="1054427.4637500001"/>
    <n v="527213.73187500006"/>
    <n v="527213.73187500006"/>
    <n v="527213.73187500006"/>
    <n v="527213.73187500006"/>
    <n v="2108854.9275000002"/>
    <n v="527213.73187500006"/>
    <n v="527213.73187500006"/>
    <n v="527213.73187500006"/>
    <n v="527213.73187500006"/>
    <n v="2108854.9275000002"/>
    <n v="527213.73187500006"/>
    <n v="527213.73187500006"/>
    <n v="527213.73187500006"/>
    <n v="527213.73187500006"/>
    <n v="2108854.9275000002"/>
    <m/>
    <m/>
    <m/>
    <n v="16870839.420000002"/>
  </r>
  <r>
    <n v="56"/>
    <x v="0"/>
    <m/>
    <s v="최삼현"/>
    <s v="평택"/>
    <s v="TEST"/>
    <s v="O"/>
    <s v="8&quot;"/>
    <s v="DDI"/>
    <x v="0"/>
    <s v="PT"/>
    <x v="0"/>
    <n v="2100294"/>
    <s v="MC"/>
    <s v="TEST SYSTEM M/C T6373(A#36)"/>
    <s v="T6373"/>
    <x v="5"/>
    <s v="Tester"/>
    <n v="310528681"/>
    <x v="55"/>
    <s v="가동"/>
    <s v="일본"/>
    <s v="ADVANTEST"/>
    <x v="4"/>
    <s v="2차"/>
    <s v="2차"/>
    <s v="해당"/>
    <s v="Wafer Tester"/>
    <s v="Wafer Die Test"/>
    <m/>
    <m/>
    <s v="3B992"/>
    <s v="9030.82-0000"/>
    <s v="반도체 Test 장비"/>
    <m/>
    <d v="2011-09-30T00:00:00"/>
    <d v="2011-09-30T00:00:00"/>
    <n v="14.095890410958905"/>
    <n v="8"/>
    <s v="안성2공장"/>
    <s v="자사"/>
    <s v="미설정"/>
    <n v="9.8308320000000009"/>
    <n v="950"/>
    <n v="1250"/>
    <n v="1800"/>
    <n v="843541970"/>
    <m/>
    <m/>
    <n v="843541970"/>
    <m/>
    <m/>
    <n v="1000"/>
    <n v="1000"/>
    <n v="96"/>
    <n v="171"/>
    <n v="0"/>
    <m/>
    <s v="W-TEST장비기술팀"/>
    <s v="Test"/>
    <s v="Test"/>
    <s v="기계장치"/>
    <n v="16870839.399999999"/>
    <n v="527213.73124999995"/>
    <n v="175737.91041666665"/>
    <m/>
    <m/>
    <m/>
    <m/>
    <m/>
    <m/>
    <m/>
    <n v="527213.73124999995"/>
    <n v="527213.73124999995"/>
    <n v="1054427.4624999999"/>
    <n v="527213.73124999995"/>
    <n v="527213.73124999995"/>
    <n v="527213.73124999995"/>
    <n v="527213.73124999995"/>
    <n v="2108854.9249999998"/>
    <n v="527213.73124999995"/>
    <n v="527213.73124999995"/>
    <n v="527213.73124999995"/>
    <n v="527213.73124999995"/>
    <n v="2108854.9249999998"/>
    <n v="527213.73124999995"/>
    <n v="527213.73124999995"/>
    <n v="527213.73124999995"/>
    <n v="527213.73124999995"/>
    <n v="2108854.9249999998"/>
    <m/>
    <m/>
    <m/>
    <n v="16870839.399999999"/>
  </r>
  <r>
    <n v="57"/>
    <x v="0"/>
    <m/>
    <s v="최삼현"/>
    <s v="평택"/>
    <s v="TEST"/>
    <s v="O"/>
    <s v="8&quot;"/>
    <s v="DDI"/>
    <x v="0"/>
    <s v="PT"/>
    <x v="0"/>
    <n v="2100295"/>
    <s v="MC"/>
    <s v="AUTO WAFER PROBER M/C (AP#35)"/>
    <s v="UF2000"/>
    <x v="3"/>
    <s v="Prober"/>
    <s v="F22007HF"/>
    <x v="56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1-09-30T00:00:00"/>
    <d v="2011-09-30T00:00:00"/>
    <n v="14.095890410958905"/>
    <n v="8"/>
    <s v="안성1공장"/>
    <s v="자사"/>
    <s v="미설정"/>
    <n v="0.56320000000000003"/>
    <n v="1229"/>
    <n v="1142"/>
    <n v="933"/>
    <n v="187985321"/>
    <m/>
    <m/>
    <n v="187985321"/>
    <m/>
    <m/>
    <n v="1000"/>
    <n v="1000"/>
    <n v="96"/>
    <n v="171"/>
    <n v="0"/>
    <m/>
    <s v="W-TEST장비기술팀"/>
    <s v="Test"/>
    <s v="Test"/>
    <s v="기계장치"/>
    <n v="3759706.42"/>
    <n v="117490.825625"/>
    <n v="39163.608541666668"/>
    <m/>
    <m/>
    <m/>
    <m/>
    <m/>
    <m/>
    <m/>
    <n v="117490.825625"/>
    <n v="117490.825625"/>
    <n v="234981.65125"/>
    <n v="117490.825625"/>
    <n v="117490.825625"/>
    <n v="117490.825625"/>
    <n v="117490.825625"/>
    <n v="469963.30249999999"/>
    <n v="117490.825625"/>
    <n v="117490.825625"/>
    <n v="117490.825625"/>
    <n v="117490.825625"/>
    <n v="469963.30249999999"/>
    <n v="117490.825625"/>
    <n v="117490.825625"/>
    <n v="117490.825625"/>
    <n v="117490.825625"/>
    <n v="469963.30249999999"/>
    <m/>
    <m/>
    <m/>
    <n v="3759706.42"/>
  </r>
  <r>
    <n v="58"/>
    <x v="0"/>
    <m/>
    <s v="최삼현"/>
    <s v="평택"/>
    <s v="TEST"/>
    <s v="O"/>
    <s v="8&quot;"/>
    <s v="DDI"/>
    <x v="0"/>
    <s v="PT"/>
    <x v="0"/>
    <n v="2100306"/>
    <s v="MC"/>
    <s v="LCD TEST SYSTEM M/C(AT#38)"/>
    <s v="T6373"/>
    <x v="5"/>
    <s v="Tester"/>
    <n v="310576191"/>
    <x v="57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12-02-29T00:00:00"/>
    <d v="2012-02-29T00:00:00"/>
    <n v="13.67945205479452"/>
    <n v="8"/>
    <s v="안성2공장"/>
    <s v="자사"/>
    <s v="미설정"/>
    <n v="9.8308320000000009"/>
    <n v="950"/>
    <n v="1250"/>
    <n v="1800"/>
    <n v="895656777"/>
    <m/>
    <m/>
    <n v="895656777"/>
    <m/>
    <m/>
    <n v="1000"/>
    <n v="1000"/>
    <n v="96"/>
    <n v="166"/>
    <n v="0"/>
    <m/>
    <s v="W-TEST장비기술팀"/>
    <s v="Test"/>
    <s v="Test"/>
    <s v="기계장치"/>
    <n v="17913135.539999999"/>
    <n v="1707636.2438909842"/>
    <n v="569212.0812969947"/>
    <m/>
    <m/>
    <m/>
    <m/>
    <m/>
    <m/>
    <m/>
    <n v="1707636.243890984"/>
    <n v="1707636.243890984"/>
    <n v="3415272.487781968"/>
    <n v="1707636.243890984"/>
    <n v="1707636.243890984"/>
    <n v="1707636.243890984"/>
    <n v="1707636.243890984"/>
    <n v="6830544.9755639359"/>
    <n v="1707636.243890984"/>
    <n v="1707636.243890984"/>
    <n v="1707636.243890984"/>
    <n v="1707636.243890984"/>
    <n v="6830544.9755639359"/>
    <n v="1707636.243890984"/>
    <n v="1707636.243890984"/>
    <n v="1707636.243890984"/>
    <n v="1707636.243890984"/>
    <n v="6830544.9755639359"/>
    <m/>
    <n v="1.7491059173576902E-3"/>
    <n v="36731224.264511496"/>
    <n v="54644359.804511495"/>
  </r>
  <r>
    <n v="59"/>
    <x v="0"/>
    <m/>
    <s v="최삼현"/>
    <s v="평택"/>
    <s v="TEST"/>
    <s v="O"/>
    <s v="8&quot;"/>
    <s v="DDI"/>
    <x v="0"/>
    <s v="PT"/>
    <x v="0"/>
    <n v="2100307"/>
    <s v="MC"/>
    <s v="LCD TEST SYSTEM M/C(AT#42)"/>
    <s v="T6373"/>
    <x v="5"/>
    <s v="Tester"/>
    <n v="310576396"/>
    <x v="58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12-02-29T00:00:00"/>
    <d v="2012-02-29T00:00:00"/>
    <n v="13.67945205479452"/>
    <n v="8"/>
    <s v="안성2공장"/>
    <s v="자사"/>
    <s v="미설정"/>
    <n v="9.8308320000000009"/>
    <n v="950"/>
    <n v="1250"/>
    <n v="1800"/>
    <n v="895656776"/>
    <m/>
    <m/>
    <n v="895656776"/>
    <m/>
    <m/>
    <n v="1000"/>
    <n v="1000"/>
    <n v="96"/>
    <n v="166"/>
    <n v="0"/>
    <m/>
    <s v="W-TEST장비기술팀"/>
    <s v="Test"/>
    <s v="Test"/>
    <s v="기계장치"/>
    <n v="17913135.52"/>
    <n v="1707636.2419844097"/>
    <n v="569212.08066146995"/>
    <m/>
    <m/>
    <m/>
    <m/>
    <m/>
    <m/>
    <m/>
    <n v="1707636.2419844097"/>
    <n v="1707636.2419844097"/>
    <n v="3415272.4839688195"/>
    <n v="1707636.2419844097"/>
    <n v="1707636.2419844097"/>
    <n v="1707636.2419844097"/>
    <n v="1707636.2419844097"/>
    <n v="6830544.967937639"/>
    <n v="1707636.2419844097"/>
    <n v="1707636.2419844097"/>
    <n v="1707636.2419844097"/>
    <n v="1707636.2419844097"/>
    <n v="6830544.967937639"/>
    <n v="1707636.2419844097"/>
    <n v="1707636.2419844097"/>
    <n v="1707636.2419844097"/>
    <n v="1707636.2419844097"/>
    <n v="6830544.967937639"/>
    <m/>
    <n v="1.7491059154048148E-3"/>
    <n v="36731224.223501109"/>
    <n v="54644359.743501112"/>
  </r>
  <r>
    <n v="60"/>
    <x v="0"/>
    <m/>
    <s v="최삼현"/>
    <s v="평택"/>
    <s v="TEST"/>
    <s v="O"/>
    <s v="8&quot;"/>
    <s v="DDI"/>
    <x v="0"/>
    <s v="PT"/>
    <x v="0"/>
    <n v="2100308"/>
    <s v="MC"/>
    <s v="AUTO WAFER PROBER M/C(AP#38)"/>
    <s v="UF2000"/>
    <x v="3"/>
    <s v="Prober"/>
    <s v="F22001BG"/>
    <x v="59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2-02-29T00:00:00"/>
    <d v="2012-02-29T00:00:00"/>
    <n v="13.67945205479452"/>
    <n v="8"/>
    <s v="스테코 임대"/>
    <s v="자사"/>
    <s v="미설정"/>
    <n v="0.56320000000000003"/>
    <n v="1229"/>
    <n v="1142"/>
    <n v="933"/>
    <n v="189468533"/>
    <m/>
    <m/>
    <n v="189468533"/>
    <m/>
    <m/>
    <n v="1000"/>
    <n v="1000"/>
    <n v="96"/>
    <n v="166"/>
    <n v="0"/>
    <m/>
    <s v="W-TEST장비기술팀"/>
    <s v="Test"/>
    <s v="Test"/>
    <s v="기계장치"/>
    <n v="3789370.66"/>
    <n v="118417.833125"/>
    <n v="39472.611041666671"/>
    <m/>
    <m/>
    <m/>
    <m/>
    <m/>
    <m/>
    <m/>
    <n v="118417.833125"/>
    <n v="118417.833125"/>
    <n v="236835.66625000001"/>
    <n v="118417.833125"/>
    <n v="118417.833125"/>
    <n v="118417.833125"/>
    <n v="118417.833125"/>
    <n v="473671.33250000002"/>
    <n v="118417.833125"/>
    <n v="118417.833125"/>
    <n v="118417.833125"/>
    <n v="118417.833125"/>
    <n v="473671.33250000002"/>
    <n v="118417.833125"/>
    <n v="118417.833125"/>
    <n v="118417.833125"/>
    <n v="118417.833125"/>
    <n v="473671.33250000002"/>
    <m/>
    <m/>
    <m/>
    <n v="3789370.66"/>
  </r>
  <r>
    <n v="61"/>
    <x v="0"/>
    <m/>
    <s v="최삼현"/>
    <s v="평택"/>
    <s v="TEST"/>
    <s v="O"/>
    <s v="8&quot;"/>
    <s v="DDI"/>
    <x v="0"/>
    <s v="PT"/>
    <x v="0"/>
    <n v="2100309"/>
    <s v="MC"/>
    <s v="AUTO WAFER PROBER M/C(AP#42)"/>
    <s v="UF2000"/>
    <x v="3"/>
    <s v="Prober"/>
    <s v="F22004BG"/>
    <x v="60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2-02-29T00:00:00"/>
    <d v="2012-02-29T00:00:00"/>
    <n v="13.67945205479452"/>
    <n v="8"/>
    <s v="안성2공장"/>
    <s v="자사"/>
    <s v="미설정"/>
    <n v="0.56320000000000003"/>
    <n v="1229"/>
    <n v="1142"/>
    <n v="933"/>
    <n v="189468532"/>
    <m/>
    <m/>
    <n v="189468532"/>
    <m/>
    <m/>
    <n v="1000"/>
    <n v="1000"/>
    <n v="96"/>
    <n v="166"/>
    <n v="0"/>
    <m/>
    <s v="W-TEST장비기술팀"/>
    <s v="Test"/>
    <s v="Test"/>
    <s v="기계장치"/>
    <n v="3789370.64"/>
    <n v="118417.8325"/>
    <n v="39472.610833333332"/>
    <m/>
    <m/>
    <m/>
    <m/>
    <m/>
    <m/>
    <m/>
    <n v="118417.83249999999"/>
    <n v="118417.83249999999"/>
    <n v="236835.66499999998"/>
    <n v="118417.83249999999"/>
    <n v="118417.83249999999"/>
    <n v="118417.83249999999"/>
    <n v="118417.83249999999"/>
    <n v="473671.32999999996"/>
    <n v="118417.83249999999"/>
    <n v="118417.83249999999"/>
    <n v="118417.83249999999"/>
    <n v="118417.83249999999"/>
    <n v="473671.32999999996"/>
    <n v="118417.83249999999"/>
    <n v="118417.83249999999"/>
    <n v="118417.83249999999"/>
    <n v="118417.83249999999"/>
    <n v="473671.32999999996"/>
    <m/>
    <m/>
    <m/>
    <n v="3789370.64"/>
  </r>
  <r>
    <n v="62"/>
    <x v="0"/>
    <m/>
    <s v="최삼현"/>
    <s v="평택"/>
    <s v="TEST"/>
    <s v="O"/>
    <s v="8&quot;"/>
    <s v="DDI"/>
    <x v="0"/>
    <s v="PT"/>
    <x v="0"/>
    <n v="2100310"/>
    <s v="MC"/>
    <s v="LCD TEST SYSTEM M/C(AT#37)"/>
    <s v="T6373"/>
    <x v="5"/>
    <s v="Tester"/>
    <n v="310575756"/>
    <x v="61"/>
    <s v="가동"/>
    <s v="일본"/>
    <s v="ADVANTEST"/>
    <x v="4"/>
    <s v="2차"/>
    <s v="2차"/>
    <s v="해당"/>
    <s v="Wafer Tester"/>
    <s v="Wafer Die Test"/>
    <m/>
    <m/>
    <s v="3B992"/>
    <s v="9030.82-0000"/>
    <s v="반도체 Test 장비"/>
    <m/>
    <d v="2012-02-29T00:00:00"/>
    <d v="2012-02-29T00:00:00"/>
    <n v="13.67945205479452"/>
    <n v="8"/>
    <s v="안성1공장"/>
    <s v="자사"/>
    <s v="미설정"/>
    <n v="9.8308320000000009"/>
    <n v="950"/>
    <n v="1250"/>
    <n v="1800"/>
    <n v="849910786"/>
    <m/>
    <m/>
    <n v="849910786"/>
    <m/>
    <m/>
    <n v="1000"/>
    <n v="1000"/>
    <n v="96"/>
    <n v="166"/>
    <n v="0"/>
    <m/>
    <s v="W-TEST장비기술팀"/>
    <s v="Test"/>
    <s v="Test"/>
    <s v="기계장치"/>
    <n v="16998215.719999999"/>
    <n v="531194.24124999996"/>
    <n v="177064.74708333332"/>
    <m/>
    <m/>
    <m/>
    <m/>
    <m/>
    <m/>
    <m/>
    <n v="531194.24124999996"/>
    <n v="531194.24124999996"/>
    <n v="1062388.4824999999"/>
    <n v="531194.24124999996"/>
    <n v="531194.24124999996"/>
    <n v="531194.24124999996"/>
    <n v="531194.24124999996"/>
    <n v="2124776.9649999999"/>
    <n v="531194.24124999996"/>
    <n v="531194.24124999996"/>
    <n v="531194.24124999996"/>
    <n v="531194.24124999996"/>
    <n v="2124776.9649999999"/>
    <n v="531194.24124999996"/>
    <n v="531194.24124999996"/>
    <n v="531194.24124999996"/>
    <n v="531194.24124999996"/>
    <n v="2124776.9649999999"/>
    <m/>
    <m/>
    <m/>
    <n v="16998215.719999999"/>
  </r>
  <r>
    <n v="63"/>
    <x v="0"/>
    <m/>
    <s v="최삼현"/>
    <s v="평택"/>
    <s v="TEST"/>
    <s v="O"/>
    <s v="8&quot;"/>
    <s v="DDI"/>
    <x v="0"/>
    <s v="PT"/>
    <x v="0"/>
    <n v="2100311"/>
    <s v="MC"/>
    <s v="LCD TEST SYSTEM M/C(AT#39)"/>
    <s v="T6373"/>
    <x v="5"/>
    <s v="Tester"/>
    <n v="310576365"/>
    <x v="62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12-02-29T00:00:00"/>
    <d v="2012-02-29T00:00:00"/>
    <n v="13.67945205479452"/>
    <n v="8"/>
    <s v="안성1공장"/>
    <s v="자사"/>
    <s v="미설정"/>
    <n v="9.8308320000000009"/>
    <n v="950"/>
    <n v="1250"/>
    <n v="1800"/>
    <n v="849910785"/>
    <m/>
    <m/>
    <n v="849910785"/>
    <m/>
    <m/>
    <n v="1000"/>
    <n v="1000"/>
    <n v="96"/>
    <n v="166"/>
    <n v="0"/>
    <m/>
    <s v="W-TEST장비기술팀"/>
    <s v="Test"/>
    <s v="Test"/>
    <s v="기계장치"/>
    <n v="16998215.699999999"/>
    <n v="1620418.1085985773"/>
    <n v="540139.36953285907"/>
    <m/>
    <m/>
    <m/>
    <m/>
    <m/>
    <m/>
    <m/>
    <n v="1620418.1085985773"/>
    <n v="1620418.1085985773"/>
    <n v="3240836.2171971546"/>
    <n v="1620418.1085985773"/>
    <n v="1620418.1085985773"/>
    <n v="1620418.1085985773"/>
    <n v="1620418.1085985773"/>
    <n v="6481672.4343943093"/>
    <n v="1620418.1085985773"/>
    <n v="1620418.1085985773"/>
    <n v="1620418.1085985773"/>
    <n v="1620418.1085985773"/>
    <n v="6481672.4343943093"/>
    <n v="1620418.1085985773"/>
    <n v="1620418.1085985773"/>
    <n v="1620418.1085985773"/>
    <n v="1620418.1085985773"/>
    <n v="6481672.4343943093"/>
    <m/>
    <n v="1.6597697035787846E-3"/>
    <n v="34855163.775154479"/>
    <n v="51853379.475154474"/>
  </r>
  <r>
    <n v="64"/>
    <x v="0"/>
    <m/>
    <s v="최삼현"/>
    <s v="평택"/>
    <s v="TEST"/>
    <s v="O"/>
    <s v="8&quot;"/>
    <s v="DDI"/>
    <x v="0"/>
    <s v="PT"/>
    <x v="0"/>
    <n v="2100312"/>
    <s v="MC"/>
    <s v="LCD TEST SYSTEM M/C(AT#40)"/>
    <s v="T6373"/>
    <x v="5"/>
    <s v="Tester"/>
    <n v="310576394"/>
    <x v="63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12-02-29T00:00:00"/>
    <d v="2012-02-29T00:00:00"/>
    <n v="13.67945205479452"/>
    <n v="8"/>
    <s v="안성2공장"/>
    <s v="자사"/>
    <s v="미설정"/>
    <n v="9.8308320000000009"/>
    <n v="950"/>
    <n v="1250"/>
    <n v="1800"/>
    <n v="843363964"/>
    <m/>
    <m/>
    <n v="843363964"/>
    <m/>
    <m/>
    <n v="1000"/>
    <n v="1000"/>
    <n v="96"/>
    <n v="166"/>
    <n v="0"/>
    <m/>
    <s v="W-TEST장비기술팀"/>
    <s v="Test"/>
    <s v="Test"/>
    <s v="기계장치"/>
    <n v="16867279.280000001"/>
    <n v="1607936.1075587231"/>
    <n v="535978.70251957432"/>
    <m/>
    <m/>
    <m/>
    <m/>
    <m/>
    <m/>
    <m/>
    <n v="1607936.1075587231"/>
    <n v="1607936.1075587231"/>
    <n v="3215872.2151174461"/>
    <n v="1607936.1075587231"/>
    <n v="1607936.1075587231"/>
    <n v="1607936.1075587231"/>
    <n v="1607936.1075587231"/>
    <n v="6431744.4302348923"/>
    <n v="1607936.1075587231"/>
    <n v="1607936.1075587231"/>
    <n v="1607936.1075587231"/>
    <n v="1607936.1075587231"/>
    <n v="6431744.4302348923"/>
    <n v="1607936.1075587231"/>
    <n v="1607936.1075587231"/>
    <n v="1607936.1075587231"/>
    <n v="1607936.1075587231"/>
    <n v="6431744.4302348923"/>
    <m/>
    <n v="1.6469845791371018E-3"/>
    <n v="34586676.161879137"/>
    <n v="51453955.441879138"/>
  </r>
  <r>
    <n v="65"/>
    <x v="0"/>
    <m/>
    <s v="최삼현"/>
    <s v="평택"/>
    <s v="TEST"/>
    <s v="O"/>
    <s v="8&quot;"/>
    <s v="DDI"/>
    <x v="0"/>
    <s v="PT"/>
    <x v="0"/>
    <n v="2100313"/>
    <s v="MC"/>
    <s v="LCD TEST SYSTEM M/C(AT#41)"/>
    <s v="T6373"/>
    <x v="5"/>
    <s v="Tester"/>
    <n v="310576395"/>
    <x v="64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12-02-29T00:00:00"/>
    <d v="2012-02-29T00:00:00"/>
    <n v="13.67945205479452"/>
    <n v="8"/>
    <s v="안성1공장"/>
    <s v="자사"/>
    <s v="미설정"/>
    <n v="9.8308320000000009"/>
    <n v="950"/>
    <n v="1250"/>
    <n v="1800"/>
    <n v="843363963"/>
    <m/>
    <m/>
    <n v="843363963"/>
    <m/>
    <m/>
    <n v="1000"/>
    <n v="1000"/>
    <n v="96"/>
    <n v="166"/>
    <n v="0"/>
    <m/>
    <s v="W-TEST장비기술팀"/>
    <s v="Test"/>
    <s v="Test"/>
    <s v="기계장치"/>
    <n v="16867279.260000002"/>
    <n v="1607936.1056521488"/>
    <n v="535978.70188404957"/>
    <m/>
    <m/>
    <m/>
    <m/>
    <m/>
    <m/>
    <m/>
    <n v="1607936.1056521488"/>
    <n v="1607936.1056521488"/>
    <n v="3215872.2113042977"/>
    <n v="1607936.1056521488"/>
    <n v="1607936.1056521488"/>
    <n v="1607936.1056521488"/>
    <n v="1607936.1056521488"/>
    <n v="6431744.4226085953"/>
    <n v="1607936.1056521488"/>
    <n v="1607936.1056521488"/>
    <n v="1607936.1056521488"/>
    <n v="1607936.1056521488"/>
    <n v="6431744.4226085953"/>
    <n v="1607936.1056521488"/>
    <n v="1607936.1056521488"/>
    <n v="1607936.1056521488"/>
    <n v="1607936.1056521488"/>
    <n v="6431744.4226085953"/>
    <m/>
    <n v="1.6469845771842266E-3"/>
    <n v="34586676.120868757"/>
    <n v="51453955.380868763"/>
  </r>
  <r>
    <n v="66"/>
    <x v="0"/>
    <m/>
    <s v="최삼현"/>
    <s v="평택"/>
    <s v="TEST"/>
    <s v="O"/>
    <s v="8&quot;"/>
    <s v="DDI"/>
    <x v="0"/>
    <s v="PT"/>
    <x v="0"/>
    <n v="2100314"/>
    <s v="MC"/>
    <s v="AUTO WAFER PROBER M/C(AP#40)"/>
    <s v="UF2000"/>
    <x v="3"/>
    <s v="Prober"/>
    <s v="F22002BG"/>
    <x v="65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2-02-29T00:00:00"/>
    <d v="2012-02-29T00:00:00"/>
    <n v="13.67945205479452"/>
    <n v="8"/>
    <s v="안성2공장"/>
    <s v="자사"/>
    <s v="미설정"/>
    <n v="0.56320000000000003"/>
    <n v="1229"/>
    <n v="1142"/>
    <n v="933"/>
    <n v="191091777"/>
    <m/>
    <m/>
    <n v="191091777"/>
    <m/>
    <m/>
    <n v="1000"/>
    <n v="1000"/>
    <n v="96"/>
    <n v="166"/>
    <n v="0"/>
    <m/>
    <s v="W-TEST장비기술팀"/>
    <s v="Test"/>
    <s v="Test"/>
    <s v="기계장치"/>
    <n v="3821835.54"/>
    <n v="119432.360625"/>
    <n v="39810.786874999998"/>
    <m/>
    <m/>
    <m/>
    <m/>
    <m/>
    <m/>
    <m/>
    <n v="119432.360625"/>
    <n v="119432.360625"/>
    <n v="238864.72125"/>
    <n v="119432.360625"/>
    <n v="119432.360625"/>
    <n v="119432.360625"/>
    <n v="119432.360625"/>
    <n v="477729.4425"/>
    <n v="119432.360625"/>
    <n v="119432.360625"/>
    <n v="119432.360625"/>
    <n v="119432.360625"/>
    <n v="477729.4425"/>
    <n v="119432.360625"/>
    <n v="119432.360625"/>
    <n v="119432.360625"/>
    <n v="119432.360625"/>
    <n v="477729.4425"/>
    <m/>
    <m/>
    <m/>
    <n v="3821835.54"/>
  </r>
  <r>
    <n v="67"/>
    <x v="0"/>
    <m/>
    <s v="최삼현"/>
    <s v="평택"/>
    <s v="TEST"/>
    <s v="O"/>
    <s v="8&quot;"/>
    <s v="DDI"/>
    <x v="0"/>
    <s v="PT"/>
    <x v="0"/>
    <n v="2100315"/>
    <s v="MC"/>
    <s v="AUTO WAFER PROBER M/C(AP#41)"/>
    <s v="UF2000"/>
    <x v="3"/>
    <s v="Prober"/>
    <s v="F22003BG"/>
    <x v="66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2-02-29T00:00:00"/>
    <d v="2012-02-29T00:00:00"/>
    <n v="13.67945205479452"/>
    <n v="8"/>
    <s v="안성1공장"/>
    <s v="자사"/>
    <s v="미설정"/>
    <n v="0.56320000000000003"/>
    <n v="1229"/>
    <n v="1142"/>
    <n v="933"/>
    <n v="191091777"/>
    <m/>
    <m/>
    <n v="191091777"/>
    <m/>
    <m/>
    <n v="1000"/>
    <n v="1000"/>
    <n v="96"/>
    <n v="166"/>
    <n v="0"/>
    <m/>
    <s v="W-TEST장비기술팀"/>
    <s v="Test"/>
    <s v="Test"/>
    <s v="기계장치"/>
    <n v="3821835.54"/>
    <n v="119432.360625"/>
    <n v="39810.786874999998"/>
    <m/>
    <m/>
    <m/>
    <m/>
    <m/>
    <m/>
    <m/>
    <n v="119432.360625"/>
    <n v="119432.360625"/>
    <n v="238864.72125"/>
    <n v="119432.360625"/>
    <n v="119432.360625"/>
    <n v="119432.360625"/>
    <n v="119432.360625"/>
    <n v="477729.4425"/>
    <n v="119432.360625"/>
    <n v="119432.360625"/>
    <n v="119432.360625"/>
    <n v="119432.360625"/>
    <n v="477729.4425"/>
    <n v="119432.360625"/>
    <n v="119432.360625"/>
    <n v="119432.360625"/>
    <n v="119432.360625"/>
    <n v="477729.4425"/>
    <m/>
    <m/>
    <m/>
    <n v="3821835.54"/>
  </r>
  <r>
    <n v="68"/>
    <x v="0"/>
    <m/>
    <s v="최삼현"/>
    <s v="평택"/>
    <s v="TEST"/>
    <s v="O"/>
    <s v="8&quot;"/>
    <s v="DDI"/>
    <x v="0"/>
    <s v="PT"/>
    <x v="0"/>
    <n v="2100318"/>
    <s v="MC"/>
    <s v="LCD TEST SYSTEM M/C(AT#43)"/>
    <s v="T6373"/>
    <x v="5"/>
    <s v="Tester"/>
    <n v="310579723"/>
    <x v="67"/>
    <s v="가동"/>
    <s v="일본"/>
    <s v="ADVANTEST"/>
    <x v="4"/>
    <s v="2차"/>
    <s v="2차"/>
    <s v="해당"/>
    <s v="Wafer Tester"/>
    <s v="Wafer Die Test"/>
    <m/>
    <m/>
    <s v="3B992"/>
    <s v="9030.82-0000"/>
    <s v="반도체 Test 장비"/>
    <m/>
    <d v="2012-04-30T00:00:00"/>
    <d v="2012-04-30T00:00:00"/>
    <n v="13.512328767123288"/>
    <n v="8"/>
    <s v="안성1공장"/>
    <s v="자사"/>
    <s v="미설정"/>
    <n v="9.8308320000000009"/>
    <n v="950"/>
    <n v="1250"/>
    <n v="1800"/>
    <n v="822357295"/>
    <m/>
    <m/>
    <n v="822357295"/>
    <m/>
    <m/>
    <n v="1000"/>
    <n v="1000"/>
    <n v="96"/>
    <n v="164"/>
    <n v="0"/>
    <m/>
    <s v="W-TEST장비기술팀"/>
    <s v="Test"/>
    <s v="Test"/>
    <s v="기계장치"/>
    <n v="16447145.9"/>
    <n v="513973.30937500001"/>
    <n v="171324.43645833334"/>
    <m/>
    <m/>
    <m/>
    <m/>
    <m/>
    <m/>
    <m/>
    <n v="513973.30937500001"/>
    <n v="513973.30937500001"/>
    <n v="1027946.61875"/>
    <n v="513973.30937500001"/>
    <n v="513973.30937500001"/>
    <n v="513973.30937500001"/>
    <n v="513973.30937500001"/>
    <n v="2055893.2375"/>
    <n v="513973.30937500001"/>
    <n v="513973.30937500001"/>
    <n v="513973.30937500001"/>
    <n v="513973.30937500001"/>
    <n v="2055893.2375"/>
    <n v="513973.30937500001"/>
    <n v="513973.30937500001"/>
    <n v="513973.30937500001"/>
    <n v="513973.30937500001"/>
    <n v="2055893.2375"/>
    <m/>
    <m/>
    <m/>
    <n v="16447145.9"/>
  </r>
  <r>
    <n v="69"/>
    <x v="0"/>
    <m/>
    <s v="최삼현"/>
    <s v="평택"/>
    <s v="TEST"/>
    <s v="O"/>
    <s v="8&quot;"/>
    <s v="DDI"/>
    <x v="0"/>
    <s v="PT"/>
    <x v="0"/>
    <n v="2100319"/>
    <s v="MC"/>
    <s v="LCD TEST SYSTEM M/C(AT#44)"/>
    <s v="T6373"/>
    <x v="5"/>
    <s v="Tester"/>
    <n v="310579724"/>
    <x v="68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12-04-30T00:00:00"/>
    <d v="2012-04-30T00:00:00"/>
    <n v="13.512328767123288"/>
    <n v="8"/>
    <s v="안성1공장"/>
    <s v="자사"/>
    <s v="미설정"/>
    <n v="9.8308320000000009"/>
    <n v="950"/>
    <n v="1250"/>
    <n v="1800"/>
    <n v="822357294"/>
    <m/>
    <m/>
    <n v="822357294"/>
    <m/>
    <m/>
    <n v="1000"/>
    <n v="1000"/>
    <n v="96"/>
    <n v="164"/>
    <n v="0"/>
    <m/>
    <s v="W-TEST장비기술팀"/>
    <s v="Test"/>
    <s v="Test"/>
    <s v="기계장치"/>
    <n v="16447145.880000001"/>
    <n v="1567885.3292063172"/>
    <n v="522628.44306877238"/>
    <m/>
    <m/>
    <m/>
    <m/>
    <m/>
    <m/>
    <m/>
    <n v="1567885.3292063172"/>
    <n v="1567885.3292063172"/>
    <n v="3135770.6584126344"/>
    <n v="1567885.3292063172"/>
    <n v="1567885.3292063172"/>
    <n v="1567885.3292063172"/>
    <n v="1567885.3292063172"/>
    <n v="6271541.3168252688"/>
    <n v="1567885.3292063172"/>
    <n v="1567885.3292063172"/>
    <n v="1567885.3292063172"/>
    <n v="1567885.3292063172"/>
    <n v="6271541.3168252688"/>
    <n v="1567885.3292063172"/>
    <n v="1567885.3292063172"/>
    <n v="1567885.3292063172"/>
    <n v="1567885.3292063172"/>
    <n v="6271541.3168252688"/>
    <m/>
    <n v="1.6059611740286736E-3"/>
    <n v="33725184.654602148"/>
    <n v="50172330.53460215"/>
  </r>
  <r>
    <n v="70"/>
    <x v="0"/>
    <m/>
    <s v="최삼현"/>
    <s v="평택"/>
    <s v="TEST"/>
    <s v="O"/>
    <s v="8&quot;"/>
    <s v="DDI"/>
    <x v="0"/>
    <s v="PT"/>
    <x v="0"/>
    <n v="2100320"/>
    <s v="MC"/>
    <s v="LCD TEST SYSTEM M/C(AT#45)"/>
    <s v="T6373"/>
    <x v="5"/>
    <s v="Tester"/>
    <n v="310580596"/>
    <x v="69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12-04-30T00:00:00"/>
    <d v="2012-04-30T00:00:00"/>
    <n v="13.512328767123288"/>
    <n v="8"/>
    <s v="안성1공장"/>
    <s v="자사"/>
    <s v="미설정"/>
    <n v="9.8308320000000009"/>
    <n v="950"/>
    <n v="1250"/>
    <n v="1800"/>
    <n v="822357294"/>
    <m/>
    <m/>
    <n v="822357294"/>
    <m/>
    <m/>
    <n v="1000"/>
    <n v="1000"/>
    <n v="96"/>
    <n v="164"/>
    <n v="0"/>
    <m/>
    <s v="W-TEST장비기술팀"/>
    <s v="Test"/>
    <s v="Test"/>
    <s v="기계장치"/>
    <n v="16447145.880000001"/>
    <n v="1567885.3292063172"/>
    <n v="522628.44306877238"/>
    <m/>
    <m/>
    <m/>
    <m/>
    <m/>
    <m/>
    <m/>
    <n v="1567885.3292063172"/>
    <n v="1567885.3292063172"/>
    <n v="3135770.6584126344"/>
    <n v="1567885.3292063172"/>
    <n v="1567885.3292063172"/>
    <n v="1567885.3292063172"/>
    <n v="1567885.3292063172"/>
    <n v="6271541.3168252688"/>
    <n v="1567885.3292063172"/>
    <n v="1567885.3292063172"/>
    <n v="1567885.3292063172"/>
    <n v="1567885.3292063172"/>
    <n v="6271541.3168252688"/>
    <n v="1567885.3292063172"/>
    <n v="1567885.3292063172"/>
    <n v="1567885.3292063172"/>
    <n v="1567885.3292063172"/>
    <n v="6271541.3168252688"/>
    <m/>
    <n v="1.6059611740286736E-3"/>
    <n v="33725184.654602148"/>
    <n v="50172330.53460215"/>
  </r>
  <r>
    <n v="71"/>
    <x v="0"/>
    <m/>
    <s v="최삼현"/>
    <s v="평택"/>
    <s v="TEST"/>
    <s v="O"/>
    <s v="8&quot;"/>
    <s v="DDI"/>
    <x v="0"/>
    <s v="PT"/>
    <x v="0"/>
    <n v="2100321"/>
    <s v="MC"/>
    <s v="LCD TEST SYSTEM M/C(AT#46)"/>
    <s v="T6373"/>
    <x v="5"/>
    <s v="Tester"/>
    <n v="310582827"/>
    <x v="70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12-04-30T00:00:00"/>
    <d v="2012-04-30T00:00:00"/>
    <n v="13.512328767123288"/>
    <n v="8"/>
    <s v="안성1공장"/>
    <s v="자사"/>
    <s v="미설정"/>
    <n v="9.8308320000000009"/>
    <n v="950"/>
    <n v="1250"/>
    <n v="1800"/>
    <n v="822357294"/>
    <m/>
    <m/>
    <n v="822357294"/>
    <m/>
    <m/>
    <n v="1000"/>
    <n v="1000"/>
    <n v="96"/>
    <n v="164"/>
    <n v="0"/>
    <m/>
    <s v="W-TEST장비기술팀"/>
    <s v="Test"/>
    <s v="Test"/>
    <s v="기계장치"/>
    <n v="16447145.880000001"/>
    <n v="1567885.3292063172"/>
    <n v="522628.44306877238"/>
    <m/>
    <m/>
    <m/>
    <m/>
    <m/>
    <m/>
    <m/>
    <n v="1567885.3292063172"/>
    <n v="1567885.3292063172"/>
    <n v="3135770.6584126344"/>
    <n v="1567885.3292063172"/>
    <n v="1567885.3292063172"/>
    <n v="1567885.3292063172"/>
    <n v="1567885.3292063172"/>
    <n v="6271541.3168252688"/>
    <n v="1567885.3292063172"/>
    <n v="1567885.3292063172"/>
    <n v="1567885.3292063172"/>
    <n v="1567885.3292063172"/>
    <n v="6271541.3168252688"/>
    <n v="1567885.3292063172"/>
    <n v="1567885.3292063172"/>
    <n v="1567885.3292063172"/>
    <n v="1567885.3292063172"/>
    <n v="6271541.3168252688"/>
    <m/>
    <n v="1.6059611740286736E-3"/>
    <n v="33725184.654602148"/>
    <n v="50172330.53460215"/>
  </r>
  <r>
    <n v="72"/>
    <x v="0"/>
    <m/>
    <s v="최삼현"/>
    <s v="평택"/>
    <s v="TEST"/>
    <s v="O"/>
    <s v="8&quot;"/>
    <s v="DDI"/>
    <x v="0"/>
    <s v="PT"/>
    <x v="0"/>
    <n v="2100323"/>
    <s v="MC"/>
    <s v="AUTO WAFER PROBER M/C(AP#44)"/>
    <s v="UF2000"/>
    <x v="3"/>
    <s v="Prober"/>
    <s v="F22007CG"/>
    <x v="71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2-04-30T00:00:00"/>
    <d v="2012-04-30T00:00:00"/>
    <n v="13.512328767123288"/>
    <n v="8"/>
    <s v="안성1공장"/>
    <s v="자사"/>
    <s v="미설정"/>
    <n v="0.56320000000000003"/>
    <n v="1229"/>
    <n v="1142"/>
    <n v="933"/>
    <n v="183879160"/>
    <m/>
    <m/>
    <n v="183879160"/>
    <m/>
    <m/>
    <n v="1000"/>
    <n v="1000"/>
    <n v="96"/>
    <n v="164"/>
    <n v="0"/>
    <m/>
    <s v="W-TEST장비기술팀"/>
    <s v="Test"/>
    <s v="Test"/>
    <s v="기계장치"/>
    <n v="3677583.2"/>
    <n v="114924.47500000001"/>
    <n v="38308.158333333333"/>
    <m/>
    <m/>
    <m/>
    <m/>
    <m/>
    <m/>
    <m/>
    <n v="114924.47500000001"/>
    <n v="114924.47500000001"/>
    <n v="229848.95"/>
    <n v="114924.47500000001"/>
    <n v="114924.47500000001"/>
    <n v="114924.47500000001"/>
    <n v="114924.47500000001"/>
    <n v="459697.9"/>
    <n v="114924.47500000001"/>
    <n v="114924.47500000001"/>
    <n v="114924.47500000001"/>
    <n v="114924.47500000001"/>
    <n v="459697.9"/>
    <n v="114924.47500000001"/>
    <n v="114924.47500000001"/>
    <n v="114924.47500000001"/>
    <n v="114924.47500000001"/>
    <n v="459697.9"/>
    <m/>
    <m/>
    <m/>
    <n v="3677583.2"/>
  </r>
  <r>
    <n v="73"/>
    <x v="0"/>
    <m/>
    <s v="최삼현"/>
    <s v="평택"/>
    <s v="TEST"/>
    <s v="O"/>
    <s v="8&quot;"/>
    <s v="DDI"/>
    <x v="0"/>
    <s v="PT"/>
    <x v="0"/>
    <n v="2100324"/>
    <s v="MC"/>
    <s v="AUTO WAFER PROBER M/C(AP#45)"/>
    <s v="UF2000"/>
    <x v="3"/>
    <s v="Prober"/>
    <s v="F22008CG"/>
    <x v="72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2-04-30T00:00:00"/>
    <d v="2012-04-30T00:00:00"/>
    <n v="13.512328767123288"/>
    <n v="8"/>
    <s v="안성1공장"/>
    <s v="자사"/>
    <s v="미설정"/>
    <n v="0.56320000000000003"/>
    <n v="1229"/>
    <n v="1142"/>
    <n v="933"/>
    <n v="183879159"/>
    <m/>
    <m/>
    <n v="183879159"/>
    <m/>
    <m/>
    <n v="1000"/>
    <n v="1000"/>
    <n v="96"/>
    <n v="164"/>
    <n v="0"/>
    <m/>
    <s v="W-TEST장비기술팀"/>
    <s v="Test"/>
    <s v="Test"/>
    <s v="기계장치"/>
    <n v="3677583.18"/>
    <n v="114924.47437500001"/>
    <n v="38308.158125000002"/>
    <m/>
    <m/>
    <m/>
    <m/>
    <m/>
    <m/>
    <m/>
    <n v="114924.47437500001"/>
    <n v="114924.47437500001"/>
    <n v="229848.94875000001"/>
    <n v="114924.47437500001"/>
    <n v="114924.47437500001"/>
    <n v="114924.47437500001"/>
    <n v="114924.47437500001"/>
    <n v="459697.89750000002"/>
    <n v="114924.47437500001"/>
    <n v="114924.47437500001"/>
    <n v="114924.47437500001"/>
    <n v="114924.47437500001"/>
    <n v="459697.89750000002"/>
    <n v="114924.47437500001"/>
    <n v="114924.47437500001"/>
    <n v="114924.47437500001"/>
    <n v="114924.47437500001"/>
    <n v="459697.89750000002"/>
    <m/>
    <m/>
    <m/>
    <n v="3677583.18"/>
  </r>
  <r>
    <n v="74"/>
    <x v="0"/>
    <m/>
    <s v="최삼현"/>
    <s v="평택"/>
    <s v="TEST"/>
    <s v="O"/>
    <s v="8&quot;"/>
    <s v="DDI"/>
    <x v="0"/>
    <s v="PT"/>
    <x v="0"/>
    <n v="2100325"/>
    <s v="MC"/>
    <s v="AUTO WAFER PROBER M/C(AP#46)"/>
    <s v="UF2000"/>
    <x v="3"/>
    <s v="Prober"/>
    <s v="F22009CG"/>
    <x v="73"/>
    <s v="가동"/>
    <s v="일본"/>
    <s v="TOKYO SEIMITSU"/>
    <x v="2"/>
    <s v="2차"/>
    <s v="2차"/>
    <s v="해당"/>
    <s v="Wafer Test Prober"/>
    <s v="Wafer의 전기적 테스트"/>
    <s v="정밀도 +/-1.5um"/>
    <m/>
    <s v="3A992"/>
    <s v="9030.82-0000"/>
    <s v="반도체 제조 및 검사장비"/>
    <m/>
    <d v="2012-04-30T00:00:00"/>
    <d v="2012-04-30T00:00:00"/>
    <n v="13.512328767123288"/>
    <n v="8"/>
    <s v="안성1공장"/>
    <s v="자사"/>
    <s v="미설정"/>
    <n v="0.56320000000000003"/>
    <n v="1229"/>
    <n v="1142"/>
    <n v="933"/>
    <n v="183879159"/>
    <m/>
    <m/>
    <n v="183879159"/>
    <m/>
    <m/>
    <n v="1000"/>
    <n v="1000"/>
    <n v="96"/>
    <n v="164"/>
    <n v="0"/>
    <m/>
    <s v="W-TEST장비기술팀"/>
    <s v="Test"/>
    <s v="Test"/>
    <s v="기계장치"/>
    <n v="3677583.18"/>
    <n v="114924.47437500001"/>
    <n v="38308.158125000002"/>
    <m/>
    <m/>
    <m/>
    <m/>
    <m/>
    <m/>
    <m/>
    <n v="114924.47437500001"/>
    <n v="114924.47437500001"/>
    <n v="229848.94875000001"/>
    <n v="114924.47437500001"/>
    <n v="114924.47437500001"/>
    <n v="114924.47437500001"/>
    <n v="114924.47437500001"/>
    <n v="459697.89750000002"/>
    <n v="114924.47437500001"/>
    <n v="114924.47437500001"/>
    <n v="114924.47437500001"/>
    <n v="114924.47437500001"/>
    <n v="459697.89750000002"/>
    <n v="114924.47437500001"/>
    <n v="114924.47437500001"/>
    <n v="114924.47437500001"/>
    <n v="114924.47437500001"/>
    <n v="459697.89750000002"/>
    <m/>
    <m/>
    <m/>
    <n v="3677583.18"/>
  </r>
  <r>
    <n v="75"/>
    <x v="0"/>
    <m/>
    <s v="최삼현"/>
    <s v="평택"/>
    <s v="TEST"/>
    <s v="O"/>
    <s v="8&quot;"/>
    <s v="DDI"/>
    <x v="0"/>
    <s v="PT"/>
    <x v="0"/>
    <n v="2100326"/>
    <s v="MC"/>
    <s v="LCD TEST SYSTEM M/C(AT#47)"/>
    <s v="T6373"/>
    <x v="5"/>
    <s v="Tester"/>
    <n v="310582828"/>
    <x v="74"/>
    <s v="가동"/>
    <s v="일본"/>
    <s v="ADVANTEST"/>
    <x v="0"/>
    <s v="2차"/>
    <s v="2차"/>
    <s v="해당"/>
    <s v="Wafer Tester"/>
    <s v="Wafer Die Test"/>
    <m/>
    <m/>
    <s v="3B992"/>
    <s v="9030.82-0000"/>
    <s v="반도체 Test 장비"/>
    <m/>
    <d v="2012-04-30T00:00:00"/>
    <d v="2012-04-30T00:00:00"/>
    <n v="13.512328767123288"/>
    <n v="8"/>
    <s v="안성2공장"/>
    <s v="자사"/>
    <s v="미설정"/>
    <n v="9.8308320000000009"/>
    <n v="950"/>
    <n v="1250"/>
    <n v="1800"/>
    <n v="808481507"/>
    <m/>
    <m/>
    <n v="808481507"/>
    <m/>
    <m/>
    <n v="1000"/>
    <n v="1000"/>
    <n v="96"/>
    <n v="164"/>
    <n v="0"/>
    <m/>
    <s v="W-TEST장비기술팀"/>
    <s v="Test"/>
    <s v="Test"/>
    <s v="기계장치"/>
    <n v="16169630.140000001"/>
    <n v="1541430.1095259869"/>
    <n v="513810.03650866234"/>
    <m/>
    <m/>
    <m/>
    <m/>
    <m/>
    <m/>
    <m/>
    <n v="1541430.1095259869"/>
    <n v="1541430.1095259869"/>
    <n v="3082860.2190519739"/>
    <n v="1541430.1095259869"/>
    <n v="1541430.1095259869"/>
    <n v="1541430.1095259869"/>
    <n v="1541430.1095259869"/>
    <n v="6165720.4381039478"/>
    <n v="1541430.1095259869"/>
    <n v="1541430.1095259869"/>
    <n v="1541430.1095259869"/>
    <n v="1541430.1095259869"/>
    <n v="6165720.4381039478"/>
    <n v="1541430.1095259869"/>
    <n v="1541430.1095259869"/>
    <n v="1541430.1095259869"/>
    <n v="1541430.1095259869"/>
    <n v="6165720.4381039478"/>
    <m/>
    <n v="1.5788634935634087E-3"/>
    <n v="33156133.364831582"/>
    <n v="49325763.504831582"/>
  </r>
  <r>
    <n v="76"/>
    <x v="0"/>
    <m/>
    <s v="최삼현"/>
    <s v="평택"/>
    <s v="TEST"/>
    <s v="O"/>
    <s v="8&quot;"/>
    <s v="DDI"/>
    <x v="0"/>
    <s v="PT"/>
    <x v="0"/>
    <n v="2100369"/>
    <s v="Upgrade"/>
    <s v="TEST SYSTEM M/C ST6730 Upgrade kit(5set)"/>
    <s v="N/A"/>
    <x v="6"/>
    <m/>
    <s v="NO S/N"/>
    <x v="0"/>
    <m/>
    <s v="일본"/>
    <s v="YOKOGAWA"/>
    <x v="0"/>
    <s v="2차"/>
    <s v="2차"/>
    <s v="상황허가"/>
    <s v="검사 측정 시험"/>
    <s v="Wafer Die Test"/>
    <m/>
    <m/>
    <s v="3B992"/>
    <s v="9032.82-0000"/>
    <m/>
    <m/>
    <d v="2014-03-31T00:00:00"/>
    <d v="2014-03-31T00:00:00"/>
    <n v="11.594520547945205"/>
    <n v="8"/>
    <s v="1공장"/>
    <s v="자사"/>
    <s v="미설정"/>
    <m/>
    <m/>
    <m/>
    <e v="#N/A"/>
    <n v="501249250"/>
    <m/>
    <m/>
    <n v="501249250"/>
    <m/>
    <m/>
    <n v="1000"/>
    <n v="1000"/>
    <n v="96"/>
    <n v="141"/>
    <n v="0"/>
    <m/>
    <s v="W-TEST장비기술팀"/>
    <s v="Test"/>
    <s v="Test"/>
    <s v="기계장치"/>
    <n v="10024985"/>
    <n v="955668.96662154433"/>
    <n v="318556.32220718142"/>
    <m/>
    <m/>
    <m/>
    <m/>
    <m/>
    <m/>
    <m/>
    <n v="955668.96662154421"/>
    <n v="955668.96662154421"/>
    <n v="1911337.9332430884"/>
    <n v="955668.96662154421"/>
    <n v="955668.96662154421"/>
    <n v="955668.96662154421"/>
    <n v="955668.96662154421"/>
    <n v="3822675.8664861768"/>
    <n v="955668.96662154421"/>
    <n v="955668.96662154421"/>
    <n v="955668.96662154421"/>
    <n v="955668.96662154421"/>
    <n v="3822675.8664861768"/>
    <n v="955668.96662154421"/>
    <n v="955668.96662154421"/>
    <n v="955668.96662154421"/>
    <n v="955668.96662154421"/>
    <n v="3822675.8664861768"/>
    <m/>
    <n v="9.7887723485187705E-4"/>
    <n v="20556421.931889419"/>
    <n v="30581406.931889419"/>
  </r>
  <r>
    <n v="77"/>
    <x v="0"/>
    <m/>
    <s v="최삼현"/>
    <s v="평택"/>
    <s v="TEST"/>
    <s v="O"/>
    <s v="8&quot;"/>
    <s v="DDI"/>
    <x v="0"/>
    <s v="PT"/>
    <x v="0"/>
    <n v="2100387"/>
    <s v="Upgrade"/>
    <s v="ST6731 Upgrade kit 10set"/>
    <s v="N/A"/>
    <x v="6"/>
    <m/>
    <s v="NO S/N"/>
    <x v="0"/>
    <m/>
    <s v="일본"/>
    <s v="YOKOGAWA"/>
    <x v="0"/>
    <s v="2차"/>
    <s v="2차"/>
    <s v="상황허가"/>
    <s v="검사 측정 시험"/>
    <s v="Wafer Die Test"/>
    <m/>
    <m/>
    <s v="3B992"/>
    <s v="9032.82-0000"/>
    <m/>
    <m/>
    <d v="2014-09-30T00:00:00"/>
    <d v="2014-09-30T00:00:00"/>
    <n v="11.093150684931507"/>
    <n v="8"/>
    <s v="1공장"/>
    <s v="자사"/>
    <s v="미설정"/>
    <m/>
    <m/>
    <m/>
    <e v="#N/A"/>
    <n v="860357846"/>
    <m/>
    <m/>
    <n v="860357846"/>
    <m/>
    <m/>
    <n v="1000"/>
    <n v="1000"/>
    <n v="96"/>
    <n v="135"/>
    <n v="0"/>
    <m/>
    <s v="W-TEST장비기술팀"/>
    <s v="Test"/>
    <s v="Test"/>
    <s v="기계장치"/>
    <n v="17207156.920000002"/>
    <n v="1640336.2072094029"/>
    <n v="546778.73573646764"/>
    <m/>
    <m/>
    <m/>
    <m/>
    <m/>
    <m/>
    <m/>
    <n v="1640336.2072094029"/>
    <n v="1640336.2072094029"/>
    <n v="3280672.4144188059"/>
    <n v="1640336.2072094029"/>
    <n v="1640336.2072094029"/>
    <n v="1640336.2072094029"/>
    <n v="1640336.2072094029"/>
    <n v="6561344.8288376117"/>
    <n v="1640336.2072094029"/>
    <n v="1640336.2072094029"/>
    <n v="1640336.2072094029"/>
    <n v="1640336.2072094029"/>
    <n v="6561344.8288376117"/>
    <n v="1640336.2072094029"/>
    <n v="1640336.2072094029"/>
    <n v="1640336.2072094029"/>
    <n v="1640336.2072094029"/>
    <n v="6561344.8288376117"/>
    <m/>
    <n v="1.6801715100333758E-3"/>
    <n v="35283601.710700892"/>
    <n v="52490758.630700894"/>
  </r>
  <r>
    <n v="78"/>
    <x v="0"/>
    <m/>
    <s v="최삼현"/>
    <s v="평택"/>
    <s v="TEST"/>
    <s v="O"/>
    <s v="8&quot;"/>
    <s v="DDI"/>
    <x v="0"/>
    <s v="PT"/>
    <x v="0"/>
    <n v="2100388"/>
    <s v="Upgrade"/>
    <s v="T6372 HSIF Option (5SET)"/>
    <s v="N/A"/>
    <x v="6"/>
    <m/>
    <s v="NO S/N"/>
    <x v="0"/>
    <m/>
    <s v="일본"/>
    <s v="ADVANTEST"/>
    <x v="0"/>
    <s v="2차"/>
    <s v="2차"/>
    <s v="상황허가"/>
    <s v="검사 측정 시험"/>
    <s v="Wafer Die Test"/>
    <m/>
    <m/>
    <s v="3B992"/>
    <s v="9032.82-0000"/>
    <m/>
    <m/>
    <d v="2014-10-31T00:00:00"/>
    <d v="2014-10-31T00:00:00"/>
    <n v="11.008219178082191"/>
    <n v="8"/>
    <s v="2공장"/>
    <s v="자사"/>
    <s v="미설정"/>
    <m/>
    <m/>
    <m/>
    <e v="#N/A"/>
    <n v="1516888750"/>
    <m/>
    <m/>
    <n v="1516888750"/>
    <m/>
    <m/>
    <n v="1000"/>
    <n v="1000"/>
    <n v="96"/>
    <n v="134"/>
    <n v="0"/>
    <m/>
    <s v="W-TEST장비기술팀"/>
    <s v="Test"/>
    <s v="Test"/>
    <s v="기계장치"/>
    <n v="30337775"/>
    <n v="2892061.1934927506"/>
    <n v="964020.39783091692"/>
    <m/>
    <m/>
    <m/>
    <m/>
    <m/>
    <m/>
    <m/>
    <n v="2892061.1934927506"/>
    <n v="2892061.1934927506"/>
    <n v="5784122.3869855013"/>
    <n v="2892061.1934927506"/>
    <n v="2892061.1934927506"/>
    <n v="2892061.1934927506"/>
    <n v="2892061.1934927506"/>
    <n v="11568244.773971003"/>
    <n v="2892061.1934927506"/>
    <n v="2892061.1934927506"/>
    <n v="2892061.1934927506"/>
    <n v="2892061.1934927506"/>
    <n v="11568244.773971003"/>
    <n v="2892061.1934927506"/>
    <n v="2892061.1934927506"/>
    <n v="2892061.1934927506"/>
    <n v="2892061.1934927506"/>
    <n v="11568244.773971003"/>
    <m/>
    <n v="2.9622944377032385E-3"/>
    <n v="62208183.191768013"/>
    <n v="92545958.19176802"/>
  </r>
  <r>
    <n v="79"/>
    <x v="0"/>
    <m/>
    <s v="최삼현"/>
    <s v="평택"/>
    <s v="TEST"/>
    <s v="O"/>
    <s v="8&quot;"/>
    <s v="DDI"/>
    <x v="0"/>
    <s v="PT"/>
    <x v="0"/>
    <n v="2100435"/>
    <s v="Upgrade"/>
    <s v="HSDR2 Option"/>
    <s v="N/A"/>
    <x v="6"/>
    <m/>
    <s v="NO S/N"/>
    <x v="0"/>
    <m/>
    <s v="일본"/>
    <s v="ADVANTEST"/>
    <x v="0"/>
    <s v="2차"/>
    <s v="2차"/>
    <s v="상황허가"/>
    <s v="검사 측정 시험"/>
    <s v="Wafer Die Test"/>
    <m/>
    <m/>
    <s v="3B992"/>
    <s v="9032.82-0000"/>
    <m/>
    <m/>
    <d v="2016-01-31T00:00:00"/>
    <d v="2016-01-31T00:00:00"/>
    <n v="9.7561643835616429"/>
    <n v="8"/>
    <s v="2공장"/>
    <s v="자사"/>
    <s v="미설정"/>
    <m/>
    <m/>
    <m/>
    <e v="#N/A"/>
    <n v="63492292"/>
    <m/>
    <m/>
    <n v="63492292"/>
    <m/>
    <m/>
    <n v="1000"/>
    <n v="1000"/>
    <n v="96"/>
    <n v="119"/>
    <n v="0"/>
    <m/>
    <s v="W-TEST장비기술팀"/>
    <s v="Test"/>
    <s v="Test"/>
    <s v="기계장치"/>
    <n v="1269845.8400000001"/>
    <n v="121052.77580779092"/>
    <n v="40350.925269263644"/>
    <m/>
    <m/>
    <m/>
    <m/>
    <m/>
    <m/>
    <m/>
    <n v="121052.77580779092"/>
    <n v="121052.77580779092"/>
    <n v="242105.55161558185"/>
    <n v="121052.77580779092"/>
    <n v="121052.77580779092"/>
    <n v="121052.77580779092"/>
    <n v="121052.77580779092"/>
    <n v="484211.1032311637"/>
    <n v="121052.77580779092"/>
    <n v="121052.77580779092"/>
    <n v="121052.77580779092"/>
    <n v="121052.77580779092"/>
    <n v="484211.1032311637"/>
    <n v="121052.77580779092"/>
    <n v="121052.77580779092"/>
    <n v="121052.77580779092"/>
    <n v="121052.77580779092"/>
    <n v="484211.1032311637"/>
    <m/>
    <n v="1.2399252313568141E-4"/>
    <n v="2603842.9858493097"/>
    <n v="3873688.8258493096"/>
  </r>
  <r>
    <n v="80"/>
    <x v="0"/>
    <m/>
    <s v="최삼현"/>
    <s v="평택"/>
    <s v="TEST"/>
    <s v="O"/>
    <s v="8&quot;"/>
    <s v="DDI"/>
    <x v="0"/>
    <s v="PT"/>
    <x v="0"/>
    <n v="2100443"/>
    <s v="Upgrade"/>
    <s v="40V PPS BOARD"/>
    <s v="N/A"/>
    <x v="6"/>
    <m/>
    <s v="NO S/N"/>
    <x v="0"/>
    <m/>
    <s v="일본"/>
    <s v="ADVANTEST"/>
    <x v="0"/>
    <s v="2차"/>
    <s v="2차"/>
    <s v="일반장비(비통제)"/>
    <s v="검사 측정 시험"/>
    <s v="Wafer Die Test"/>
    <m/>
    <m/>
    <s v="3B992"/>
    <s v="9032.82-0000"/>
    <m/>
    <m/>
    <d v="2016-06-30T00:00:00"/>
    <d v="2016-06-30T00:00:00"/>
    <n v="9.3424657534246567"/>
    <n v="8"/>
    <s v="2공장"/>
    <s v="자사"/>
    <s v="미설정"/>
    <m/>
    <m/>
    <m/>
    <e v="#N/A"/>
    <n v="53860034"/>
    <m/>
    <m/>
    <n v="53860034"/>
    <m/>
    <m/>
    <n v="1000"/>
    <n v="1000"/>
    <n v="96"/>
    <n v="114"/>
    <n v="0"/>
    <m/>
    <s v="W-TEST장비기술팀"/>
    <s v="Test"/>
    <s v="Test"/>
    <s v="기계장치"/>
    <n v="1077200.68"/>
    <n v="102688.15970294466"/>
    <n v="34229.386567648216"/>
    <m/>
    <m/>
    <m/>
    <m/>
    <m/>
    <m/>
    <m/>
    <n v="102688.15970294466"/>
    <n v="102688.15970294466"/>
    <n v="205376.31940588931"/>
    <n v="102688.15970294466"/>
    <n v="102688.15970294466"/>
    <n v="102688.15970294466"/>
    <n v="102688.15970294466"/>
    <n v="410752.63881177863"/>
    <n v="102688.15970294466"/>
    <n v="102688.15970294466"/>
    <n v="102688.15970294466"/>
    <n v="102688.15970294466"/>
    <n v="410752.63881177863"/>
    <n v="102688.15970294466"/>
    <n v="102688.15970294466"/>
    <n v="102688.15970294466"/>
    <n v="102688.15970294466"/>
    <n v="410752.63881177863"/>
    <m/>
    <n v="1.0518192526162996E-4"/>
    <n v="2208820.4304942293"/>
    <n v="3286021.110494229"/>
  </r>
  <r>
    <n v="81"/>
    <x v="0"/>
    <m/>
    <s v="최삼현"/>
    <s v="평택"/>
    <s v="TEST"/>
    <s v="O"/>
    <s v="8&quot;"/>
    <s v="DDI"/>
    <x v="0"/>
    <s v="PT"/>
    <x v="0"/>
    <n v="2100446"/>
    <s v="Upgrade"/>
    <s v="ND2 RVS Board "/>
    <s v="N/A"/>
    <x v="6"/>
    <m/>
    <s v="NO S/N"/>
    <x v="0"/>
    <m/>
    <m/>
    <s v="(주)에이티이"/>
    <x v="0"/>
    <s v="2차"/>
    <s v="2차"/>
    <s v="일반장비(비통제)"/>
    <s v="검사 측정 시험"/>
    <s v="Wafer Die Test"/>
    <m/>
    <m/>
    <s v="3B992"/>
    <s v="9032.82-0000"/>
    <m/>
    <m/>
    <d v="2017-02-28T00:00:00"/>
    <d v="2017-02-28T00:00:00"/>
    <n v="8.6767123287671239"/>
    <n v="8"/>
    <s v="1공장"/>
    <s v="자사"/>
    <s v="미설정"/>
    <m/>
    <m/>
    <m/>
    <e v="#N/A"/>
    <n v="71440000"/>
    <m/>
    <m/>
    <n v="71440000"/>
    <m/>
    <m/>
    <n v="1000"/>
    <n v="1000"/>
    <n v="96"/>
    <n v="106"/>
    <n v="0"/>
    <m/>
    <s v="W-TEST장비기술팀"/>
    <s v="Test"/>
    <s v="Test"/>
    <s v="기계장치"/>
    <n v="1428800"/>
    <n v="136205.67207919637"/>
    <n v="45401.890693065456"/>
    <m/>
    <m/>
    <m/>
    <m/>
    <m/>
    <m/>
    <m/>
    <n v="136205.67207919637"/>
    <n v="136205.67207919637"/>
    <n v="272411.34415839275"/>
    <n v="136205.67207919637"/>
    <n v="136205.67207919637"/>
    <n v="136205.67207919637"/>
    <n v="136205.67207919637"/>
    <n v="544822.6883167855"/>
    <n v="136205.67207919637"/>
    <n v="136205.67207919637"/>
    <n v="136205.67207919637"/>
    <n v="136205.67207919637"/>
    <n v="544822.6883167855"/>
    <n v="136205.67207919637"/>
    <n v="136205.67207919637"/>
    <n v="136205.67207919637"/>
    <n v="136205.67207919637"/>
    <n v="544822.6883167855"/>
    <m/>
    <n v="1.3951340507306113E-4"/>
    <n v="2929781.5065342835"/>
    <n v="4358581.506534284"/>
  </r>
  <r>
    <n v="82"/>
    <x v="0"/>
    <m/>
    <s v="최삼현"/>
    <s v="평택"/>
    <s v="TEST"/>
    <s v="O"/>
    <s v="8&quot;"/>
    <s v="DDI"/>
    <x v="0"/>
    <s v="PT"/>
    <x v="0"/>
    <n v="2100447"/>
    <s v="Upgrade"/>
    <s v="ND2 24RVS Board"/>
    <s v="N/A"/>
    <x v="6"/>
    <m/>
    <s v="NO S/N"/>
    <x v="0"/>
    <m/>
    <m/>
    <s v="(주)에이티이"/>
    <x v="0"/>
    <s v="2차"/>
    <s v="2차"/>
    <s v="일반장비(비통제)"/>
    <s v="검사 측정 시험"/>
    <s v="Wafer Die Test"/>
    <m/>
    <m/>
    <s v="3B992"/>
    <s v="9032.82-0000"/>
    <m/>
    <m/>
    <d v="2017-02-28T00:00:00"/>
    <d v="2017-02-28T00:00:00"/>
    <n v="8.6767123287671239"/>
    <n v="8"/>
    <s v="1공장"/>
    <s v="자사"/>
    <s v="미설정"/>
    <m/>
    <m/>
    <m/>
    <e v="#N/A"/>
    <n v="36000000"/>
    <m/>
    <m/>
    <n v="36000000"/>
    <m/>
    <m/>
    <n v="1000"/>
    <n v="1000"/>
    <n v="96"/>
    <n v="106"/>
    <n v="0"/>
    <m/>
    <s v="W-TEST장비기술팀"/>
    <s v="Test"/>
    <s v="Test"/>
    <s v="기계장치"/>
    <n v="720000"/>
    <n v="68636.676859617437"/>
    <n v="22878.892286539147"/>
    <m/>
    <m/>
    <m/>
    <m/>
    <m/>
    <m/>
    <m/>
    <n v="68636.676859617437"/>
    <n v="68636.676859617437"/>
    <n v="137273.35371923487"/>
    <n v="68636.676859617437"/>
    <n v="68636.676859617437"/>
    <n v="68636.676859617437"/>
    <n v="68636.676859617437"/>
    <n v="274546.70743846975"/>
    <n v="68636.676859617437"/>
    <n v="68636.676859617437"/>
    <n v="68636.676859617437"/>
    <n v="68636.676859617437"/>
    <n v="274546.70743846975"/>
    <n v="68636.676859617437"/>
    <n v="68636.676859617437"/>
    <n v="68636.676859617437"/>
    <n v="68636.676859617437"/>
    <n v="274546.70743846975"/>
    <m/>
    <n v="7.0303507595607508E-5"/>
    <n v="1476373.6595077578"/>
    <n v="2196373.659507758"/>
  </r>
  <r>
    <n v="83"/>
    <x v="0"/>
    <m/>
    <s v="최삼현"/>
    <s v="평택"/>
    <s v="TEST"/>
    <s v="O"/>
    <s v="8&quot;"/>
    <s v="DDI"/>
    <x v="0"/>
    <s v="PT"/>
    <x v="0"/>
    <n v="2100449"/>
    <s v="Upgrade"/>
    <s v="ND2 40V PPS BOARD(6set)"/>
    <s v="N/A"/>
    <x v="6"/>
    <m/>
    <s v="NO S/N"/>
    <x v="0"/>
    <m/>
    <s v="일본"/>
    <s v="ADVANTEST"/>
    <x v="0"/>
    <s v="2차"/>
    <s v="2차"/>
    <s v="일반장비(비통제)"/>
    <s v="검사 측정 시험"/>
    <s v="Wafer Die Test"/>
    <m/>
    <m/>
    <s v="3B992"/>
    <s v="9032.82-0000"/>
    <m/>
    <m/>
    <d v="2017-02-28T00:00:00"/>
    <d v="2017-02-28T00:00:00"/>
    <n v="8.6767123287671239"/>
    <n v="8"/>
    <s v="1공장"/>
    <s v="자사"/>
    <s v="미설정"/>
    <m/>
    <m/>
    <m/>
    <e v="#N/A"/>
    <n v="93561914"/>
    <m/>
    <m/>
    <n v="93561914"/>
    <m/>
    <m/>
    <n v="1000"/>
    <n v="1000"/>
    <n v="96"/>
    <n v="106"/>
    <n v="0"/>
    <m/>
    <s v="W-TEST장비기술팀"/>
    <s v="Test"/>
    <s v="Test"/>
    <s v="기계장치"/>
    <n v="1871238.28"/>
    <n v="178382.74604403655"/>
    <n v="59460.915348012182"/>
    <m/>
    <m/>
    <m/>
    <m/>
    <m/>
    <m/>
    <m/>
    <n v="178382.74604403655"/>
    <n v="178382.74604403655"/>
    <n v="356765.49208807311"/>
    <n v="178382.74604403655"/>
    <n v="178382.74604403655"/>
    <n v="178382.74604403655"/>
    <n v="178382.74604403655"/>
    <n v="713530.98417614622"/>
    <n v="178382.74604403655"/>
    <n v="178382.74604403655"/>
    <n v="178382.74604403655"/>
    <n v="178382.74604403655"/>
    <n v="713530.98417614622"/>
    <n v="178382.74604403655"/>
    <n v="178382.74604403655"/>
    <n v="178382.74604403655"/>
    <n v="178382.74604403655"/>
    <n v="713530.98417614622"/>
    <m/>
    <n v="1.8271474254329381E-4"/>
    <n v="3837009.5934091699"/>
    <n v="5708247.8734091697"/>
  </r>
  <r>
    <n v="84"/>
    <x v="0"/>
    <m/>
    <s v="최삼현"/>
    <s v="평택"/>
    <s v="TEST"/>
    <s v="O"/>
    <s v="8&quot;"/>
    <s v="DDI"/>
    <x v="0"/>
    <s v="PT"/>
    <x v="0"/>
    <n v="2100490"/>
    <s v="Upgrade"/>
    <s v="ND2 IO PE Board"/>
    <s v="N/A"/>
    <x v="6"/>
    <m/>
    <s v="NO S/N"/>
    <x v="0"/>
    <m/>
    <m/>
    <s v="(주)투비테스트"/>
    <x v="0"/>
    <s v="2차"/>
    <s v="2차"/>
    <s v="일반장비(비통제)"/>
    <s v="검사 측정 시험"/>
    <s v="Wafer Die Test"/>
    <m/>
    <m/>
    <s v="3B992"/>
    <s v="9032.82-0000"/>
    <m/>
    <m/>
    <d v="2018-01-30T00:00:00"/>
    <d v="2018-01-30T00:00:00"/>
    <n v="7.7561643835616438"/>
    <n v="8"/>
    <s v="2공장"/>
    <s v="자사"/>
    <s v="미설정"/>
    <m/>
    <m/>
    <m/>
    <e v="#N/A"/>
    <n v="30000000"/>
    <m/>
    <m/>
    <n v="30000000"/>
    <m/>
    <m/>
    <n v="625000"/>
    <n v="1000"/>
    <n v="96"/>
    <n v="95"/>
    <n v="0"/>
    <m/>
    <s v="W-TEST장비기술팀"/>
    <s v="Test"/>
    <s v="Test"/>
    <s v="기계장치"/>
    <n v="656250"/>
    <n v="62559.471096005473"/>
    <n v="20853.157032001825"/>
    <m/>
    <m/>
    <m/>
    <m/>
    <m/>
    <m/>
    <m/>
    <n v="62559.47109600548"/>
    <n v="62559.47109600548"/>
    <n v="125118.94219201096"/>
    <n v="62559.47109600548"/>
    <n v="62559.47109600548"/>
    <n v="62559.47109600548"/>
    <n v="62559.47109600548"/>
    <n v="250237.88438402192"/>
    <n v="62559.47109600548"/>
    <n v="62559.47109600548"/>
    <n v="62559.47109600548"/>
    <n v="62559.47109600548"/>
    <n v="250237.88438402192"/>
    <n v="62559.47109600548"/>
    <n v="62559.47109600548"/>
    <n v="62559.47109600548"/>
    <n v="62559.47109600548"/>
    <n v="250237.88438402192"/>
    <m/>
    <n v="6.4078717860579769E-5"/>
    <n v="1345653.0750721751"/>
    <n v="2001903.0750721751"/>
  </r>
  <r>
    <n v="85"/>
    <x v="0"/>
    <m/>
    <s v="최삼현"/>
    <s v="평택"/>
    <s v="TEST"/>
    <s v="O"/>
    <s v="8&quot;"/>
    <s v="DDI"/>
    <x v="0"/>
    <s v="PT"/>
    <x v="0"/>
    <n v="2100500"/>
    <s v="Upgrade"/>
    <s v="ND2 RVS개조"/>
    <s v="N/A"/>
    <x v="6"/>
    <m/>
    <s v="NO S/N"/>
    <x v="0"/>
    <m/>
    <m/>
    <s v="(주)에이티이"/>
    <x v="0"/>
    <s v="2차"/>
    <s v="2차"/>
    <s v="일반장비(비통제)"/>
    <s v="검사 측정 시험"/>
    <s v="Wafer Die Test"/>
    <m/>
    <m/>
    <s v="3B992"/>
    <s v="9032.82-0000"/>
    <m/>
    <m/>
    <d v="2018-04-30T00:00:00"/>
    <d v="2018-04-30T00:00:00"/>
    <n v="7.5095890410958903"/>
    <n v="8"/>
    <s v="2공장"/>
    <s v="자사"/>
    <s v="미설정"/>
    <m/>
    <m/>
    <m/>
    <e v="#N/A"/>
    <n v="38000000"/>
    <m/>
    <m/>
    <n v="38000000"/>
    <m/>
    <m/>
    <n v="1900000"/>
    <n v="1000"/>
    <n v="96"/>
    <n v="92"/>
    <n v="3"/>
    <m/>
    <s v="W-TEST장비기술팀"/>
    <s v="Test"/>
    <s v="Test"/>
    <s v="기계장치"/>
    <n v="1995000"/>
    <n v="190180.79213185664"/>
    <n v="63393.597377285543"/>
    <m/>
    <m/>
    <m/>
    <m/>
    <m/>
    <m/>
    <m/>
    <n v="190180.79213185664"/>
    <n v="190180.79213185664"/>
    <n v="380361.58426371327"/>
    <n v="190180.79213185664"/>
    <n v="190180.79213185664"/>
    <n v="190180.79213185664"/>
    <n v="190180.79213185664"/>
    <n v="760723.16852742655"/>
    <n v="190180.79213185664"/>
    <n v="190180.79213185664"/>
    <n v="190180.79213185664"/>
    <n v="190180.79213185664"/>
    <n v="760723.16852742655"/>
    <n v="190180.79213185664"/>
    <n v="190180.79213185664"/>
    <n v="190180.79213185664"/>
    <n v="190180.79213185664"/>
    <n v="760723.16852742655"/>
    <m/>
    <n v="1.947993022961625E-4"/>
    <n v="4090785.3482194124"/>
    <n v="6085785.3482194124"/>
  </r>
  <r>
    <n v="86"/>
    <x v="0"/>
    <m/>
    <s v="최삼현"/>
    <s v="평택"/>
    <s v="TEST"/>
    <s v="O"/>
    <s v="8&quot;"/>
    <s v="DDI"/>
    <x v="0"/>
    <s v="PT"/>
    <x v="0"/>
    <n v="2100552"/>
    <s v="Upgrade"/>
    <s v="ND2 RVS 30mA*02 Upgrade"/>
    <s v="N/A"/>
    <x v="6"/>
    <m/>
    <s v="NO S/N"/>
    <x v="0"/>
    <m/>
    <m/>
    <s v="(주)에이티이"/>
    <x v="0"/>
    <s v="2차"/>
    <s v="2차"/>
    <s v="일반장비(비통제)"/>
    <s v="검사 측정 시험"/>
    <s v="Wafer Die Test"/>
    <m/>
    <m/>
    <s v="3B992"/>
    <s v="9032.82-0000"/>
    <m/>
    <m/>
    <d v="2018-06-29T00:00:00"/>
    <d v="2018-06-29T00:00:00"/>
    <n v="7.3452054794520549"/>
    <n v="8"/>
    <s v="2공장"/>
    <s v="자사"/>
    <s v="미설정"/>
    <m/>
    <m/>
    <m/>
    <e v="#N/A"/>
    <n v="9500000"/>
    <m/>
    <m/>
    <n v="9500000"/>
    <m/>
    <m/>
    <n v="647727"/>
    <n v="40825"/>
    <n v="96"/>
    <n v="90"/>
    <n v="5"/>
    <m/>
    <s v="W-TEST장비기술팀"/>
    <s v="Test"/>
    <s v="Test"/>
    <s v="기계장치"/>
    <n v="680113.35"/>
    <n v="64834.333655363735"/>
    <n v="21611.44455178791"/>
    <m/>
    <m/>
    <m/>
    <m/>
    <m/>
    <m/>
    <m/>
    <n v="64834.333655363735"/>
    <n v="64834.333655363735"/>
    <n v="129668.66731072747"/>
    <n v="64834.333655363735"/>
    <n v="64834.333655363735"/>
    <n v="64834.333655363735"/>
    <n v="64834.333655363735"/>
    <n v="259337.33462145494"/>
    <n v="64834.333655363735"/>
    <n v="64834.333655363735"/>
    <n v="64834.333655363735"/>
    <n v="64834.333655363735"/>
    <n v="259337.33462145494"/>
    <n v="64834.333655363735"/>
    <n v="64834.333655363735"/>
    <n v="64834.333655363735"/>
    <n v="64834.333655363735"/>
    <n v="259337.33462145494"/>
    <m/>
    <n v="6.64088250938876E-5"/>
    <n v="1394585.3269716396"/>
    <n v="2074698.6769716395"/>
  </r>
  <r>
    <n v="87"/>
    <x v="0"/>
    <m/>
    <s v="최삼현"/>
    <s v="평택"/>
    <s v="TEST"/>
    <s v="O"/>
    <s v="8&quot;"/>
    <s v="DDI"/>
    <x v="0"/>
    <s v="PT"/>
    <x v="0"/>
    <n v="2100557"/>
    <s v="Upgrade"/>
    <s v="ND2 RVS 30mA*02 Upgrade"/>
    <s v="N/A"/>
    <x v="6"/>
    <m/>
    <s v="NO S/N"/>
    <x v="0"/>
    <m/>
    <m/>
    <s v="(주)에이티이"/>
    <x v="0"/>
    <s v="2차"/>
    <s v="2차"/>
    <s v="일반장비(비통제)"/>
    <s v="검사 측정 시험"/>
    <s v="Wafer Die Test"/>
    <m/>
    <m/>
    <s v="3B992"/>
    <s v="9032.82-0000"/>
    <m/>
    <m/>
    <d v="2018-07-31T00:00:00"/>
    <d v="2018-07-31T00:00:00"/>
    <n v="7.2575342465753421"/>
    <n v="8"/>
    <s v="2공장"/>
    <s v="자사"/>
    <s v="미설정"/>
    <m/>
    <m/>
    <m/>
    <e v="#N/A"/>
    <n v="28500000"/>
    <m/>
    <m/>
    <n v="28500000"/>
    <m/>
    <m/>
    <n v="2192308"/>
    <n v="179189"/>
    <n v="96"/>
    <n v="89"/>
    <n v="6"/>
    <m/>
    <s v="W-TEST장비기술팀"/>
    <s v="Test"/>
    <s v="Test"/>
    <s v="기계장치"/>
    <n v="2301923.4"/>
    <n v="219439.40633526648"/>
    <n v="73146.468778422161"/>
    <m/>
    <m/>
    <m/>
    <m/>
    <m/>
    <m/>
    <m/>
    <n v="219439.40633526648"/>
    <n v="219439.40633526648"/>
    <n v="438878.81267053296"/>
    <n v="219439.40633526648"/>
    <n v="219439.40633526648"/>
    <n v="219439.40633526648"/>
    <n v="219439.40633526648"/>
    <n v="877757.62534106593"/>
    <n v="219439.40633526648"/>
    <n v="219439.40633526648"/>
    <n v="219439.40633526648"/>
    <n v="219439.40633526648"/>
    <n v="877757.62534106593"/>
    <n v="219439.40633526648"/>
    <n v="219439.40633526648"/>
    <n v="219439.40633526648"/>
    <n v="219439.40633526648"/>
    <n v="877757.62534106593"/>
    <m/>
    <n v="2.2476845727278705E-4"/>
    <n v="4720137.602728528"/>
    <n v="7022061.0027285274"/>
  </r>
  <r>
    <n v="88"/>
    <x v="0"/>
    <m/>
    <s v="최삼현"/>
    <s v="평택"/>
    <s v="TEST"/>
    <s v="O"/>
    <s v="8&quot;"/>
    <s v="DDI"/>
    <x v="0"/>
    <s v="PT"/>
    <x v="0"/>
    <n v="2100561"/>
    <s v="Upgrade"/>
    <s v="MFHP Option(2set)"/>
    <s v="N/A"/>
    <x v="6"/>
    <m/>
    <s v="NO S/N"/>
    <x v="0"/>
    <m/>
    <s v="일본"/>
    <s v="ADVANTEST"/>
    <x v="0"/>
    <s v="2차"/>
    <s v="2차"/>
    <s v="상황허가"/>
    <s v="검사 측정 시험"/>
    <s v="Wafer Die Test"/>
    <m/>
    <m/>
    <s v="3B992"/>
    <s v="9032.82-0000"/>
    <m/>
    <m/>
    <d v="2018-07-31T00:00:00"/>
    <d v="2018-07-31T00:00:00"/>
    <n v="7.2575342465753421"/>
    <n v="8"/>
    <s v="2공장"/>
    <s v="자사"/>
    <s v="미설정"/>
    <m/>
    <m/>
    <m/>
    <e v="#N/A"/>
    <n v="179022740"/>
    <m/>
    <m/>
    <n v="179022740"/>
    <m/>
    <m/>
    <n v="13770980"/>
    <n v="1122940"/>
    <n v="96"/>
    <n v="89"/>
    <n v="6"/>
    <m/>
    <s v="W-TEST장비기술팀"/>
    <s v="Test"/>
    <s v="Test"/>
    <s v="기계장치"/>
    <n v="14459529"/>
    <n v="1378408.360437871"/>
    <n v="459469.4534792903"/>
    <m/>
    <m/>
    <m/>
    <m/>
    <m/>
    <m/>
    <m/>
    <n v="1378408.360437871"/>
    <n v="1378408.360437871"/>
    <n v="2756816.7208757419"/>
    <n v="1378408.360437871"/>
    <n v="1378408.360437871"/>
    <n v="1378408.360437871"/>
    <n v="1378408.360437871"/>
    <n v="5513633.4417514838"/>
    <n v="1378408.360437871"/>
    <n v="1378408.360437871"/>
    <n v="1378408.360437871"/>
    <n v="1378408.360437871"/>
    <n v="5513633.4417514838"/>
    <n v="1378408.360437871"/>
    <n v="1378408.360437871"/>
    <n v="1378408.360437871"/>
    <n v="1378408.360437871"/>
    <n v="5513633.4417514838"/>
    <m/>
    <n v="1.4118827873338988E-3"/>
    <n v="29649538.534011874"/>
    <n v="44109067.534011871"/>
  </r>
  <r>
    <n v="89"/>
    <x v="0"/>
    <m/>
    <s v="최삼현"/>
    <s v="평택"/>
    <s v="TEST"/>
    <s v="O"/>
    <s v="8&quot;"/>
    <s v="DDI"/>
    <x v="0"/>
    <s v="PT"/>
    <x v="0"/>
    <n v="2100652"/>
    <s v="Upgrade"/>
    <s v="UF200SA TOP PLATE MODIFY"/>
    <s v="N/A"/>
    <x v="6"/>
    <m/>
    <s v="NO S/N"/>
    <x v="0"/>
    <m/>
    <s v="일본"/>
    <s v="ACCRETECH"/>
    <x v="0"/>
    <s v="2차"/>
    <s v="2차"/>
    <s v="일반장비(비통제)"/>
    <s v="공정지원장비"/>
    <s v="Wafer Die Test"/>
    <m/>
    <m/>
    <s v="3B992"/>
    <s v="9032.82-0000"/>
    <m/>
    <m/>
    <d v="2019-01-01T00:00:00"/>
    <d v="2019-01-01T00:00:00"/>
    <n v="6.8356164383561646"/>
    <n v="8"/>
    <s v="2공장"/>
    <s v="자사"/>
    <s v="미설정"/>
    <m/>
    <m/>
    <m/>
    <e v="#N/A"/>
    <n v="10700000"/>
    <m/>
    <m/>
    <n v="10700000"/>
    <m/>
    <m/>
    <n v="1560417"/>
    <n v="218282"/>
    <n v="96"/>
    <n v="84"/>
    <n v="12"/>
    <m/>
    <s v="W-TEST장비기술팀"/>
    <s v="Test"/>
    <s v="Test"/>
    <s v="기계장치"/>
    <n v="1638437.85"/>
    <n v="156190.17953474494"/>
    <n v="52063.393178248312"/>
    <m/>
    <m/>
    <m/>
    <m/>
    <m/>
    <m/>
    <m/>
    <n v="156190.17953474494"/>
    <n v="156190.17953474494"/>
    <n v="312380.35906948987"/>
    <n v="156190.17953474494"/>
    <n v="156190.17953474494"/>
    <n v="156190.17953474494"/>
    <n v="156190.17953474494"/>
    <n v="624760.71813897975"/>
    <n v="156190.17953474494"/>
    <n v="156190.17953474494"/>
    <n v="156190.17953474494"/>
    <n v="156190.17953474494"/>
    <n v="624760.71813897975"/>
    <n v="156190.17953474494"/>
    <n v="156190.17953474494"/>
    <n v="156190.17953474494"/>
    <n v="156190.17953474494"/>
    <n v="624760.71813897975"/>
    <m/>
    <n v="1.5998323310056369E-4"/>
    <n v="3359647.8951118374"/>
    <n v="4998085.745111838"/>
  </r>
  <r>
    <n v="90"/>
    <x v="0"/>
    <m/>
    <s v="최삼현"/>
    <s v="평택"/>
    <s v="TEST"/>
    <s v="O"/>
    <s v="8&quot;"/>
    <s v="DDI"/>
    <x v="0"/>
    <s v="PT"/>
    <x v="0"/>
    <n v="2100655"/>
    <s v="MC"/>
    <s v="TSP-332020(순간정전보상장치)"/>
    <s v="N/A"/>
    <x v="7"/>
    <m/>
    <s v="NO S/N"/>
    <x v="0"/>
    <m/>
    <m/>
    <m/>
    <x v="2"/>
    <s v="2차"/>
    <s v="2차"/>
    <s v="일반장비(비통제)"/>
    <s v="전압강하/순간 정전 검출"/>
    <s v="전압강하/순간 정전 검출"/>
    <m/>
    <m/>
    <s v="EAR99"/>
    <s v="8504.40-0000"/>
    <m/>
    <m/>
    <d v="2019-07-24T00:00:00"/>
    <d v="2019-07-24T00:00:00"/>
    <n v="6.2767123287671236"/>
    <n v="8"/>
    <s v="2공장"/>
    <s v="자사"/>
    <s v="미설정"/>
    <m/>
    <m/>
    <m/>
    <e v="#N/A"/>
    <n v="443800000"/>
    <m/>
    <m/>
    <n v="443800000"/>
    <m/>
    <m/>
    <n v="92458333"/>
    <n v="15072122"/>
    <n v="96"/>
    <n v="77"/>
    <n v="18"/>
    <m/>
    <s v="W-TEST장비기술팀"/>
    <s v="Test"/>
    <s v="Test"/>
    <s v="기계장치"/>
    <n v="97081249.650000006"/>
    <n v="3033789.0515625002"/>
    <n v="1011263.0171875"/>
    <m/>
    <m/>
    <m/>
    <m/>
    <m/>
    <m/>
    <m/>
    <n v="3033789.0515625002"/>
    <n v="3033789.0515625002"/>
    <n v="6067578.1031250004"/>
    <n v="3033789.0515625002"/>
    <n v="3033789.0515625002"/>
    <n v="3033789.0515625002"/>
    <n v="3033789.0515625002"/>
    <n v="12135156.206250001"/>
    <n v="3033789.0515625002"/>
    <n v="3033789.0515625002"/>
    <n v="3033789.0515625002"/>
    <n v="3033789.0515625002"/>
    <n v="12135156.206250001"/>
    <n v="3033789.0515625002"/>
    <n v="3033789.0515625002"/>
    <n v="3033789.0515625002"/>
    <n v="3033789.0515625002"/>
    <n v="12135156.206250001"/>
    <m/>
    <m/>
    <m/>
    <n v="97081249.650000006"/>
  </r>
  <r>
    <n v="91"/>
    <x v="0"/>
    <m/>
    <s v="최삼현"/>
    <s v="평택"/>
    <s v="TEST"/>
    <s v="O"/>
    <s v="8&quot;"/>
    <s v="DDI"/>
    <x v="0"/>
    <s v="PT"/>
    <x v="0"/>
    <n v="2100962"/>
    <s v="Upgrade"/>
    <s v="T6373[TC7-B] upgrade"/>
    <s v="N/A"/>
    <x v="6"/>
    <m/>
    <s v="NO S/N"/>
    <x v="0"/>
    <m/>
    <s v="일본"/>
    <s v="ADVANTEST"/>
    <x v="0"/>
    <s v="2차"/>
    <s v="2차"/>
    <s v="상황허가"/>
    <s v="검사 측정 시험"/>
    <s v="Wafer Die Test"/>
    <m/>
    <m/>
    <s v="3B992"/>
    <s v="9032.82-0000"/>
    <m/>
    <m/>
    <d v="2020-02-27T00:00:00"/>
    <d v="2020-02-27T00:00:00"/>
    <n v="5.6794520547945204"/>
    <n v="8"/>
    <s v="2공장"/>
    <s v="자사"/>
    <s v="미설정"/>
    <m/>
    <m/>
    <m/>
    <e v="#N/A"/>
    <n v="12000000"/>
    <m/>
    <m/>
    <n v="12000000"/>
    <m/>
    <m/>
    <n v="3335294"/>
    <n v="587335"/>
    <n v="96"/>
    <n v="70"/>
    <n v="25"/>
    <m/>
    <s v="W-TEST장비기술팀"/>
    <s v="Test"/>
    <s v="Test"/>
    <s v="기계장치"/>
    <n v="3502058.7"/>
    <n v="333846.7657434888"/>
    <n v="111282.2552478296"/>
    <m/>
    <m/>
    <m/>
    <m/>
    <m/>
    <m/>
    <m/>
    <n v="333846.7657434888"/>
    <n v="333846.7657434888"/>
    <n v="667693.53148697759"/>
    <n v="333846.7657434888"/>
    <n v="333846.7657434888"/>
    <n v="333846.7657434888"/>
    <n v="333846.7657434888"/>
    <n v="1335387.0629739552"/>
    <n v="333846.7657434888"/>
    <n v="333846.7657434888"/>
    <n v="333846.7657434888"/>
    <n v="333846.7657434888"/>
    <n v="1335387.0629739552"/>
    <n v="333846.7657434888"/>
    <n v="333846.7657434888"/>
    <n v="333846.7657434888"/>
    <n v="333846.7657434888"/>
    <n v="1335387.0629739552"/>
    <m/>
    <n v="3.4195418113293526E-4"/>
    <n v="7181037.8037916403"/>
    <n v="10683096.503791641"/>
  </r>
  <r>
    <n v="92"/>
    <x v="0"/>
    <m/>
    <s v="최삼현"/>
    <s v="평택"/>
    <s v="TEST"/>
    <s v="O"/>
    <s v="8&quot;"/>
    <s v="DDI"/>
    <x v="0"/>
    <s v="PT"/>
    <x v="0"/>
    <n v="2101017"/>
    <s v="Upgrade"/>
    <s v="T6373(ND3) TC7B Upgrade"/>
    <s v="N/A"/>
    <x v="6"/>
    <m/>
    <s v="NO S/N"/>
    <x v="0"/>
    <m/>
    <s v="일본"/>
    <s v="ADVANTEST"/>
    <x v="0"/>
    <s v="2차"/>
    <s v="2차"/>
    <s v="상황허가"/>
    <s v="검사 측정 시험"/>
    <s v="Wafer Die Test"/>
    <m/>
    <m/>
    <s v="3B992"/>
    <s v="9032.82-0000"/>
    <m/>
    <m/>
    <d v="2020-10-21T00:00:00"/>
    <d v="2020-10-21T00:00:00"/>
    <n v="5.0301369863013701"/>
    <n v="8"/>
    <s v="2공장"/>
    <s v="자사"/>
    <s v="미설정"/>
    <m/>
    <m/>
    <m/>
    <e v="#N/A"/>
    <n v="20900000"/>
    <m/>
    <m/>
    <n v="20900000"/>
    <m/>
    <m/>
    <n v="6882393"/>
    <n v="1234129"/>
    <n v="96"/>
    <n v="62"/>
    <n v="33"/>
    <m/>
    <s v="W-TEST장비기술팀"/>
    <s v="Test"/>
    <s v="Test"/>
    <s v="기계장치"/>
    <n v="7226512.6500000004"/>
    <n v="688894.18552776065"/>
    <n v="229631.39517592022"/>
    <m/>
    <m/>
    <m/>
    <m/>
    <m/>
    <m/>
    <m/>
    <n v="688894.18552776065"/>
    <n v="688894.18552776065"/>
    <n v="1377788.3710555213"/>
    <n v="688894.18552776065"/>
    <n v="688894.18552776065"/>
    <n v="688894.18552776065"/>
    <n v="688894.18552776065"/>
    <n v="2755576.7421110426"/>
    <n v="688894.18552776065"/>
    <n v="688894.18552776065"/>
    <n v="688894.18552776065"/>
    <n v="688894.18552776065"/>
    <n v="2755576.7421110426"/>
    <n v="688894.18552776065"/>
    <n v="688894.18552776065"/>
    <n v="688894.18552776065"/>
    <n v="688894.18552776065"/>
    <n v="2755576.7421110426"/>
    <m/>
    <n v="7.0562387080420669E-4"/>
    <n v="14818101.28688834"/>
    <n v="22044613.936888341"/>
  </r>
  <r>
    <n v="93"/>
    <x v="0"/>
    <m/>
    <s v="최삼현"/>
    <s v="평택"/>
    <s v="TEST"/>
    <s v="O"/>
    <s v="8&quot;"/>
    <s v="DDI"/>
    <x v="0"/>
    <s v="PT"/>
    <x v="0"/>
    <n v="2101214"/>
    <s v="MC"/>
    <s v="TEST장비 순간정전보상장치(35대)"/>
    <s v="N/A"/>
    <x v="7"/>
    <m/>
    <s v="NO S/N"/>
    <x v="0"/>
    <m/>
    <s v="한국"/>
    <s v="(주)씨엔에이치시스템"/>
    <x v="1"/>
    <s v="2차"/>
    <s v="2차"/>
    <s v="일반장비(비통제)"/>
    <s v="전압강하/순간 정전 검출"/>
    <s v="전압강하/순간 정전 검출"/>
    <m/>
    <m/>
    <s v="EAR99"/>
    <s v="8504.40-0000"/>
    <m/>
    <m/>
    <d v="2021-10-26T00:00:00"/>
    <d v="2021-10-26T00:00:00"/>
    <n v="4.0164383561643833"/>
    <n v="8"/>
    <s v="안성2공장"/>
    <s v="자사"/>
    <s v="미설정"/>
    <m/>
    <m/>
    <m/>
    <e v="#N/A"/>
    <n v="196000000"/>
    <m/>
    <m/>
    <n v="196000000"/>
    <m/>
    <m/>
    <n v="86672044"/>
    <n v="16533781"/>
    <n v="96"/>
    <n v="50"/>
    <n v="45"/>
    <m/>
    <s v="W-TEST장비기술팀"/>
    <s v="Test"/>
    <s v="Test"/>
    <s v="기계장치"/>
    <n v="91005646.200000003"/>
    <n v="8675451.5703195427"/>
    <n v="2891817.1901065144"/>
    <m/>
    <m/>
    <n v="8675451.5703195427"/>
    <n v="8675451.5703195427"/>
    <n v="17350903.140639085"/>
    <n v="8675451.5703195427"/>
    <n v="8675451.5703195427"/>
    <n v="8675451.5703195427"/>
    <n v="8675451.5703195427"/>
    <n v="34701806.281278171"/>
    <n v="8675451.5703195427"/>
    <n v="8675451.5703195427"/>
    <n v="8675451.5703195427"/>
    <n v="8675451.5703195427"/>
    <n v="34701806.281278171"/>
    <n v="8675451.5703195427"/>
    <n v="8675451.5703195427"/>
    <n v="8675451.5703195427"/>
    <n v="8675451.5703195427"/>
    <n v="34701806.281278171"/>
    <n v="8675451.5703195427"/>
    <n v="8675451.5703195427"/>
    <n v="8675451.5703195427"/>
    <n v="8675451.5703195427"/>
    <n v="34701806.281278171"/>
    <m/>
    <n v="8.8861335262012085E-3"/>
    <n v="186608804.05022538"/>
    <n v="277614450.25022537"/>
  </r>
  <r>
    <n v="94"/>
    <x v="0"/>
    <m/>
    <s v="최삼현"/>
    <s v="평택"/>
    <s v="TEST"/>
    <s v="O"/>
    <s v="8&quot;"/>
    <s v="DDI"/>
    <x v="0"/>
    <s v="PT"/>
    <x v="0"/>
    <n v="2101231"/>
    <s v="MC"/>
    <s v="DDI TEST장비 순간정전보상장치(80대)"/>
    <s v="N/A"/>
    <x v="7"/>
    <m/>
    <s v="NO S/N"/>
    <x v="0"/>
    <m/>
    <s v="한국"/>
    <s v="(주)웨스코"/>
    <x v="0"/>
    <s v="2차"/>
    <s v="2차"/>
    <s v="일반장비(비통제)"/>
    <s v="전압강하/순간 정전 검출"/>
    <s v="전압강하/순간 정전 검출"/>
    <m/>
    <m/>
    <s v="EAR99"/>
    <s v="8504.40-0000"/>
    <m/>
    <m/>
    <d v="2021-12-29T00:00:00"/>
    <d v="2021-12-29T00:00:00"/>
    <n v="3.8410958904109589"/>
    <n v="8"/>
    <s v="안성2공장"/>
    <s v="자사"/>
    <s v="미설정"/>
    <m/>
    <m/>
    <m/>
    <e v="#N/A"/>
    <n v="400000000"/>
    <m/>
    <m/>
    <n v="400000000"/>
    <m/>
    <m/>
    <n v="180526317"/>
    <n v="34500134"/>
    <n v="96"/>
    <n v="48"/>
    <n v="47"/>
    <m/>
    <s v="W-TEST장비기술팀"/>
    <s v="Test"/>
    <s v="Test"/>
    <s v="기계장치"/>
    <n v="189552632.84999999"/>
    <n v="18069809.456687711"/>
    <n v="6023269.8188959034"/>
    <m/>
    <m/>
    <m/>
    <m/>
    <m/>
    <m/>
    <m/>
    <n v="18069809.456687711"/>
    <n v="18069809.456687711"/>
    <n v="36139618.913375422"/>
    <n v="18069809.456687711"/>
    <n v="18069809.456687711"/>
    <n v="18069809.456687711"/>
    <n v="18069809.456687711"/>
    <n v="72279237.826750845"/>
    <n v="18069809.456687711"/>
    <n v="18069809.456687711"/>
    <n v="18069809.456687711"/>
    <n v="18069809.456687711"/>
    <n v="72279237.826750845"/>
    <n v="18069809.456687711"/>
    <n v="18069809.456687711"/>
    <n v="18069809.456687711"/>
    <n v="18069809.456687711"/>
    <n v="72279237.826750845"/>
    <m/>
    <n v="1.8508631893524134E-2"/>
    <n v="388681269.76400679"/>
    <n v="578233902.61400676"/>
  </r>
  <r>
    <n v="95"/>
    <x v="0"/>
    <m/>
    <s v="최삼현"/>
    <s v="평택"/>
    <s v="TEST"/>
    <s v="O"/>
    <s v="8&quot;"/>
    <s v="DDI"/>
    <x v="0"/>
    <s v="PT"/>
    <x v="0"/>
    <n v="2101332"/>
    <s v="MC"/>
    <s v="DDI(ND4S) 순간정전보상장치"/>
    <s v="N/A"/>
    <x v="7"/>
    <m/>
    <s v="NO S/N"/>
    <x v="0"/>
    <m/>
    <s v="한국"/>
    <s v="㈜웨스코"/>
    <x v="2"/>
    <s v="2차"/>
    <s v="2차"/>
    <s v="일반장비(비통제)"/>
    <s v="전압강하/순간 정전 검출"/>
    <s v="전압강하/순간 정전 검출"/>
    <m/>
    <m/>
    <s v="EAR99"/>
    <s v="8504.40-0000"/>
    <m/>
    <m/>
    <d v="2022-05-27T00:00:00"/>
    <d v="2022-05-27T00:00:00"/>
    <n v="3.4328767123287673"/>
    <n v="8"/>
    <s v="안성2공장"/>
    <s v="자사"/>
    <s v="미설정"/>
    <m/>
    <m/>
    <m/>
    <e v="#N/A"/>
    <n v="83337934"/>
    <m/>
    <m/>
    <n v="83337934"/>
    <m/>
    <m/>
    <n v="44746788"/>
    <n v="8780309"/>
    <n v="96"/>
    <n v="43"/>
    <n v="52"/>
    <m/>
    <s v="W-TEST장비기술팀"/>
    <s v="Test"/>
    <s v="Test"/>
    <s v="기계장치"/>
    <n v="46984127.399999999"/>
    <n v="1468253.98125"/>
    <n v="489417.99374999997"/>
    <m/>
    <m/>
    <m/>
    <m/>
    <m/>
    <m/>
    <m/>
    <n v="1468253.98125"/>
    <n v="1468253.98125"/>
    <n v="2936507.9624999999"/>
    <n v="1468253.98125"/>
    <n v="1468253.98125"/>
    <n v="1468253.98125"/>
    <n v="1468253.98125"/>
    <n v="5873015.9249999998"/>
    <n v="1468253.98125"/>
    <n v="1468253.98125"/>
    <n v="1468253.98125"/>
    <n v="1468253.98125"/>
    <n v="5873015.9249999998"/>
    <n v="1468253.98125"/>
    <n v="1468253.98125"/>
    <n v="1468253.98125"/>
    <n v="1468253.98125"/>
    <n v="5873015.9249999998"/>
    <m/>
    <m/>
    <m/>
    <n v="46984127.399999999"/>
  </r>
  <r>
    <n v="96"/>
    <x v="0"/>
    <m/>
    <s v="최삼현"/>
    <s v="평택"/>
    <s v="TEST"/>
    <s v="O"/>
    <s v="8&quot;"/>
    <s v="DDI"/>
    <x v="0"/>
    <s v="PT"/>
    <x v="1"/>
    <n v="2100163"/>
    <s v="MC"/>
    <s v="AOTOMATIC WAFER PROBER(YP#1)"/>
    <s v="UF200"/>
    <x v="8"/>
    <s v="Ink"/>
    <s v="F02009AW"/>
    <x v="75"/>
    <s v="가동"/>
    <s v="일본"/>
    <s v="TOKYO SEIMITSU"/>
    <x v="0"/>
    <s v="2차"/>
    <s v="2차"/>
    <s v="해당"/>
    <s v="잉크 마킹"/>
    <s v="잉크 마킹"/>
    <m/>
    <m/>
    <s v="3B992"/>
    <s v="9030.82-0000"/>
    <s v="반도체 제조 및 검사장비"/>
    <m/>
    <m/>
    <d v="2001-06-30T00:00:00"/>
    <n v="24.353424657534248"/>
    <n v="8"/>
    <s v="1공장"/>
    <s v="자사"/>
    <s v="미설정"/>
    <n v="0.57200000000000006"/>
    <n v="1229"/>
    <n v="1127"/>
    <n v="933"/>
    <n v="133168961"/>
    <m/>
    <m/>
    <n v="133168961"/>
    <m/>
    <m/>
    <n v="1000"/>
    <n v="1000"/>
    <n v="96"/>
    <n v="294"/>
    <n v="0"/>
    <m/>
    <s v="평)INK"/>
    <s v="Test"/>
    <s v="Test"/>
    <s v="기계장치"/>
    <n v="2663379.2200000002"/>
    <n v="253896.52621911105"/>
    <n v="84632.175406370356"/>
    <m/>
    <m/>
    <m/>
    <m/>
    <m/>
    <m/>
    <m/>
    <n v="253896.52621911105"/>
    <n v="253896.52621911105"/>
    <n v="507793.0524382221"/>
    <n v="253896.52621911105"/>
    <n v="253896.52621911105"/>
    <n v="253896.52621911105"/>
    <n v="253896.52621911105"/>
    <n v="1015586.1048764442"/>
    <n v="253896.52621911105"/>
    <n v="253896.52621911105"/>
    <n v="253896.52621911105"/>
    <n v="253896.52621911105"/>
    <n v="1015586.1048764442"/>
    <n v="253896.52621911105"/>
    <n v="253896.52621911105"/>
    <n v="253896.52621911105"/>
    <n v="253896.52621911105"/>
    <n v="1015586.1048764442"/>
    <m/>
    <n v="2.6006236281007395E-4"/>
    <n v="5461309.619011553"/>
    <n v="8124688.8390115537"/>
  </r>
  <r>
    <n v="97"/>
    <x v="0"/>
    <m/>
    <s v="최삼현"/>
    <s v="평택"/>
    <s v="TEST"/>
    <s v="O"/>
    <s v="8&quot;"/>
    <s v="DDI"/>
    <x v="0"/>
    <s v="PT"/>
    <x v="1"/>
    <n v="2100167"/>
    <s v="MC"/>
    <s v="AUTOMATIC WAFER PROBER INKING M/C"/>
    <s v="UF190A"/>
    <x v="9"/>
    <m/>
    <s v="F020117HR"/>
    <x v="76"/>
    <s v="가동"/>
    <s v="일본"/>
    <s v="TOKYO SEIMITSU"/>
    <x v="0"/>
    <s v="2차"/>
    <s v="2차"/>
    <s v="해당"/>
    <s v="잉크 마킹"/>
    <s v="잉크 마킹"/>
    <m/>
    <m/>
    <s v="3B992"/>
    <s v="9030.82-0000"/>
    <s v="반도체 제조 및 검사장비"/>
    <m/>
    <m/>
    <d v="2001-10-19T00:00:00"/>
    <n v="24.049315068493151"/>
    <n v="8"/>
    <s v="1공장"/>
    <s v="자사"/>
    <s v="미설정"/>
    <n v="0.56999999999999995"/>
    <n v="1229"/>
    <n v="1127"/>
    <n v="933"/>
    <n v="102694818"/>
    <m/>
    <m/>
    <n v="102694818"/>
    <m/>
    <m/>
    <n v="1000"/>
    <n v="1000"/>
    <n v="96"/>
    <n v="290"/>
    <n v="0"/>
    <m/>
    <s v="평)INK"/>
    <s v="Test"/>
    <s v="Test"/>
    <s v="기계장치"/>
    <n v="2053896.36"/>
    <n v="195795.30661731178"/>
    <n v="65265.102205770592"/>
    <m/>
    <m/>
    <m/>
    <m/>
    <m/>
    <m/>
    <m/>
    <n v="195795.30661731178"/>
    <n v="195795.30661731178"/>
    <n v="391590.61323462357"/>
    <n v="195795.30661731178"/>
    <n v="195795.30661731178"/>
    <n v="195795.30661731178"/>
    <n v="195795.30661731178"/>
    <n v="783181.22646924714"/>
    <n v="195795.30661731178"/>
    <n v="195795.30661731178"/>
    <n v="195795.30661731178"/>
    <n v="195795.30661731178"/>
    <n v="783181.22646924714"/>
    <n v="195795.30661731178"/>
    <n v="195795.30661731178"/>
    <n v="195795.30661731178"/>
    <n v="195795.30661731178"/>
    <n v="783181.22646924714"/>
    <m/>
    <n v="2.0055016436923699E-4"/>
    <n v="4211553.4517539768"/>
    <n v="6265449.8117539771"/>
  </r>
  <r>
    <n v="98"/>
    <x v="0"/>
    <m/>
    <s v="최삼현"/>
    <s v="평택"/>
    <s v="TEST"/>
    <s v="O"/>
    <s v="8&quot;"/>
    <s v="DDI"/>
    <x v="0"/>
    <s v="PT"/>
    <x v="1"/>
    <n v="2100210"/>
    <s v="MC"/>
    <s v="INK PROBER SYSTEM UF-200"/>
    <s v="UF200"/>
    <x v="8"/>
    <s v="Ink"/>
    <s v="F02020FV"/>
    <x v="77"/>
    <s v="가동"/>
    <s v="일본"/>
    <s v="TOKYO SEIMITSU"/>
    <x v="0"/>
    <s v="2차"/>
    <s v="2차"/>
    <s v="해당"/>
    <s v="잉크 마킹"/>
    <s v="잉크 마킹"/>
    <m/>
    <m/>
    <s v="3B992"/>
    <s v="9030.82-0000"/>
    <s v="반도체 제조 및 검사장비"/>
    <m/>
    <m/>
    <d v="2007-07-13T00:00:00"/>
    <n v="18.315068493150687"/>
    <n v="8"/>
    <s v="1공장"/>
    <s v="자사"/>
    <s v="미설정"/>
    <n v="0.56999999999999995"/>
    <n v="1229"/>
    <n v="1127"/>
    <n v="933"/>
    <n v="53300000"/>
    <m/>
    <m/>
    <n v="53300000"/>
    <m/>
    <m/>
    <n v="1000"/>
    <n v="1000"/>
    <n v="96"/>
    <n v="221"/>
    <n v="0"/>
    <m/>
    <s v="평)INK"/>
    <s v="Test"/>
    <s v="Test"/>
    <s v="기계장치"/>
    <n v="1066000"/>
    <n v="101620.41323937803"/>
    <n v="33873.471079792675"/>
    <m/>
    <m/>
    <m/>
    <m/>
    <m/>
    <m/>
    <m/>
    <n v="101620.41323937802"/>
    <n v="101620.41323937802"/>
    <n v="203240.82647875603"/>
    <n v="101620.41323937802"/>
    <n v="101620.41323937802"/>
    <n v="101620.41323937802"/>
    <n v="101620.41323937802"/>
    <n v="406481.65295751207"/>
    <n v="101620.41323937802"/>
    <n v="101620.41323937802"/>
    <n v="101620.41323937802"/>
    <n v="101620.41323937802"/>
    <n v="406481.65295751207"/>
    <n v="101620.41323937802"/>
    <n v="101620.41323937802"/>
    <n v="101620.41323937802"/>
    <n v="101620.41323937802"/>
    <n v="406481.65295751207"/>
    <m/>
    <n v="1.040882487457189E-4"/>
    <n v="2185853.223660097"/>
    <n v="3251853.223660097"/>
  </r>
  <r>
    <n v="99"/>
    <x v="0"/>
    <m/>
    <s v="최삼현"/>
    <s v="평택"/>
    <s v="TEST"/>
    <s v="O"/>
    <s v="8&quot;"/>
    <s v="DDI"/>
    <x v="0"/>
    <s v="PT"/>
    <x v="1"/>
    <n v="2100225"/>
    <s v="MC"/>
    <s v="INK PROBER SYSTEM UF-200"/>
    <s v="UF190A"/>
    <x v="9"/>
    <m/>
    <s v="F02003KV"/>
    <x v="78"/>
    <s v="가동"/>
    <s v="일본"/>
    <s v="TOKYO SEIMITSU"/>
    <x v="0"/>
    <s v="2차"/>
    <s v="2차"/>
    <s v="해당"/>
    <s v="잉크 마킹"/>
    <s v="잉크 마킹"/>
    <m/>
    <m/>
    <s v="3B992"/>
    <s v="9030.82-0000"/>
    <s v="반도체 제조 및 검사장비"/>
    <m/>
    <m/>
    <d v="2009-07-31T00:00:00"/>
    <n v="16.263013698630136"/>
    <n v="8"/>
    <s v="1공장"/>
    <s v="자사"/>
    <s v="미설정"/>
    <n v="0.56999999999999995"/>
    <n v="1229"/>
    <n v="1127"/>
    <n v="933"/>
    <n v="19800000"/>
    <m/>
    <m/>
    <n v="19800000"/>
    <m/>
    <m/>
    <n v="1000"/>
    <n v="1000"/>
    <n v="96"/>
    <n v="197"/>
    <n v="0"/>
    <m/>
    <s v="평)INK"/>
    <s v="Test"/>
    <s v="Test"/>
    <s v="기계장치"/>
    <n v="396000"/>
    <n v="37750.172272789583"/>
    <n v="12583.390757596528"/>
    <m/>
    <m/>
    <m/>
    <m/>
    <m/>
    <m/>
    <m/>
    <n v="37750.172272789583"/>
    <n v="37750.172272789583"/>
    <n v="75500.344545579166"/>
    <n v="37750.172272789583"/>
    <n v="37750.172272789583"/>
    <n v="37750.172272789583"/>
    <n v="37750.172272789583"/>
    <n v="151000.68909115833"/>
    <n v="37750.172272789583"/>
    <n v="37750.172272789583"/>
    <n v="37750.172272789583"/>
    <n v="37750.172272789583"/>
    <n v="151000.68909115833"/>
    <n v="37750.172272789583"/>
    <n v="37750.172272789583"/>
    <n v="37750.172272789583"/>
    <n v="37750.172272789583"/>
    <n v="151000.68909115833"/>
    <m/>
    <n v="3.866692917758413E-5"/>
    <n v="812005.51272926677"/>
    <n v="1208005.5127292667"/>
  </r>
  <r>
    <n v="100"/>
    <x v="0"/>
    <m/>
    <s v="최삼현"/>
    <s v="평택"/>
    <s v="TEST"/>
    <s v="O"/>
    <s v="8&quot;"/>
    <s v="DDI"/>
    <x v="0"/>
    <s v="PT"/>
    <x v="1"/>
    <n v="2100281"/>
    <s v="MC"/>
    <s v="INK PROBER SYSTEM UF-200"/>
    <s v="UF200"/>
    <x v="8"/>
    <s v="Ink"/>
    <s v="F02012BN"/>
    <x v="79"/>
    <s v="가동"/>
    <s v="일본"/>
    <s v="TOKYO SEIMITSU"/>
    <x v="0"/>
    <s v="2차"/>
    <s v="2차"/>
    <s v="해당"/>
    <s v="잉크 마킹"/>
    <s v="잉크 마킹"/>
    <m/>
    <m/>
    <s v="3B992"/>
    <s v="9030.82-0000"/>
    <s v="반도체 제조 및 검사장비"/>
    <m/>
    <m/>
    <d v="2011-04-30T00:00:00"/>
    <n v="14.515068493150684"/>
    <n v="8"/>
    <s v="1공장"/>
    <s v="자사"/>
    <s v="미설정"/>
    <n v="0.56999999999999995"/>
    <n v="1229"/>
    <n v="1127"/>
    <n v="933"/>
    <n v="45000000"/>
    <m/>
    <m/>
    <n v="45000000"/>
    <m/>
    <m/>
    <n v="1000"/>
    <n v="1000"/>
    <n v="96"/>
    <n v="176"/>
    <n v="0"/>
    <m/>
    <s v="평)INK"/>
    <s v="Test"/>
    <s v="Test"/>
    <s v="기계장치"/>
    <n v="900000"/>
    <n v="85795.846074521789"/>
    <n v="28598.615358173931"/>
    <m/>
    <m/>
    <m/>
    <m/>
    <m/>
    <m/>
    <m/>
    <n v="85795.846074521789"/>
    <n v="85795.846074521789"/>
    <n v="171591.69214904358"/>
    <n v="85795.846074521789"/>
    <n v="85795.846074521789"/>
    <n v="85795.846074521789"/>
    <n v="85795.846074521789"/>
    <n v="343183.38429808716"/>
    <n v="85795.846074521789"/>
    <n v="85795.846074521789"/>
    <n v="85795.846074521789"/>
    <n v="85795.846074521789"/>
    <n v="343183.38429808716"/>
    <n v="85795.846074521789"/>
    <n v="85795.846074521789"/>
    <n v="85795.846074521789"/>
    <n v="85795.846074521789"/>
    <n v="343183.38429808716"/>
    <m/>
    <n v="8.7879384494509395E-5"/>
    <n v="1845467.0743846972"/>
    <n v="2745467.0743846972"/>
  </r>
  <r>
    <n v="101"/>
    <x v="0"/>
    <m/>
    <s v="최삼현"/>
    <s v="평택"/>
    <s v="TEST"/>
    <s v="O"/>
    <s v="8&quot;"/>
    <s v="DDI"/>
    <x v="0"/>
    <s v="PT"/>
    <x v="2"/>
    <n v="2100368"/>
    <s v="MC"/>
    <s v="8&quot;Wafer Sorter"/>
    <s v="MS278"/>
    <x v="10"/>
    <m/>
    <s v="MEC26111N"/>
    <x v="80"/>
    <s v="가동"/>
    <s v="한국"/>
    <s v="에이티이"/>
    <x v="0"/>
    <s v="2차"/>
    <s v="2차"/>
    <s v="해당"/>
    <s v="웨이퍼 자동 분류,이송"/>
    <s v="웨이퍼 자동 분류,이송"/>
    <m/>
    <m/>
    <s v="3B992"/>
    <s v="8486.20-0000"/>
    <m/>
    <m/>
    <m/>
    <d v="2014-02-28T00:00:00"/>
    <n v="11.67945205479452"/>
    <n v="8"/>
    <s v="1공장"/>
    <s v="자사"/>
    <s v="미설정"/>
    <m/>
    <n v="1150"/>
    <n v="1050"/>
    <n v="1900"/>
    <n v="32000000"/>
    <m/>
    <m/>
    <n v="32000000"/>
    <m/>
    <m/>
    <n v="1000"/>
    <n v="1000"/>
    <n v="96"/>
    <n v="142"/>
    <n v="0"/>
    <m/>
    <s v="공통)안)TEST"/>
    <s v="Test"/>
    <s v="Test"/>
    <s v="기계장치"/>
    <n v="640000"/>
    <n v="61010.379430771056"/>
    <n v="20336.793143590352"/>
    <m/>
    <m/>
    <m/>
    <m/>
    <m/>
    <m/>
    <m/>
    <n v="61010.379430771056"/>
    <n v="61010.379430771056"/>
    <n v="122020.75886154211"/>
    <n v="61010.379430771056"/>
    <n v="61010.379430771056"/>
    <n v="61010.379430771056"/>
    <n v="61010.379430771056"/>
    <n v="244041.51772308422"/>
    <n v="61010.379430771056"/>
    <n v="61010.379430771056"/>
    <n v="61010.379430771056"/>
    <n v="61010.379430771056"/>
    <n v="244041.51772308422"/>
    <n v="61010.379430771056"/>
    <n v="61010.379430771056"/>
    <n v="61010.379430771056"/>
    <n v="61010.379430771056"/>
    <n v="244041.51772308422"/>
    <m/>
    <n v="6.2492006751651129E-5"/>
    <n v="1312332.1417846738"/>
    <n v="1952332.1417846738"/>
  </r>
  <r>
    <n v="102"/>
    <x v="0"/>
    <m/>
    <s v="최삼현"/>
    <s v="평택"/>
    <s v="TEST"/>
    <s v="O"/>
    <s v="8&quot;"/>
    <s v="DDI"/>
    <x v="0"/>
    <s v="PT"/>
    <x v="0"/>
    <n v="2100705"/>
    <s v="MC"/>
    <s v="UPS 순간정전보상장치"/>
    <s v="부속 장치"/>
    <x v="7"/>
    <m/>
    <s v="NO S/N"/>
    <x v="81"/>
    <s v="가동"/>
    <m/>
    <s v="㈜오키"/>
    <x v="2"/>
    <s v="2차"/>
    <s v="2차"/>
    <s v="일반장비(비통제)"/>
    <s v="전압강하/순간 정전 검출"/>
    <s v="전압강하/순간 정전 검출"/>
    <m/>
    <m/>
    <s v="EAR99"/>
    <s v="8504.40-0000"/>
    <m/>
    <m/>
    <m/>
    <d v="2019-12-31T00:00:00"/>
    <n v="5.838356164383562"/>
    <n v="8"/>
    <s v="2공장"/>
    <s v="자사"/>
    <s v="미설정"/>
    <m/>
    <m/>
    <m/>
    <m/>
    <n v="95200000"/>
    <m/>
    <m/>
    <n v="95200000"/>
    <m/>
    <m/>
    <n v="24791666"/>
    <n v="12394089"/>
    <n v="96"/>
    <n v="72"/>
    <n v="23"/>
    <m/>
    <s v="공통)안)TEST"/>
    <s v="Test"/>
    <s v="Test"/>
    <s v="기계장치"/>
    <n v="26031249.300000001"/>
    <n v="813476.54062500002"/>
    <n v="271158.84687499999"/>
    <m/>
    <m/>
    <m/>
    <m/>
    <m/>
    <m/>
    <m/>
    <n v="813476.54062499991"/>
    <n v="813476.54062499991"/>
    <n v="1626953.0812499998"/>
    <n v="813476.54062499991"/>
    <n v="813476.54062499991"/>
    <n v="813476.54062499991"/>
    <n v="813476.54062499991"/>
    <n v="3253906.1624999996"/>
    <n v="813476.54062499991"/>
    <n v="813476.54062499991"/>
    <n v="813476.54062499991"/>
    <n v="813476.54062499991"/>
    <n v="3253906.1624999996"/>
    <n v="813476.54062499991"/>
    <n v="813476.54062499991"/>
    <n v="813476.54062499991"/>
    <n v="813476.54062499991"/>
    <n v="3253906.1624999996"/>
    <m/>
    <m/>
    <m/>
    <n v="26031249.300000001"/>
  </r>
  <r>
    <n v="103"/>
    <x v="0"/>
    <m/>
    <s v="최삼현"/>
    <s v="평택"/>
    <s v="TEST"/>
    <s v="O"/>
    <s v="8&quot;"/>
    <s v="DDI"/>
    <x v="0"/>
    <s v="PT"/>
    <x v="0"/>
    <n v="2101008"/>
    <s v="MC"/>
    <s v="TEST 순간정전보상장치"/>
    <s v="부속 장치"/>
    <x v="7"/>
    <m/>
    <s v="NO S/N"/>
    <x v="0"/>
    <s v="가동"/>
    <m/>
    <s v="어드밴스드웨이브"/>
    <x v="2"/>
    <s v="2차"/>
    <s v="2차"/>
    <s v="일반장비(비통제)"/>
    <s v="전압강하/순간 정전 검출"/>
    <s v="전압강하/순간 정전 검출"/>
    <m/>
    <m/>
    <s v="EAR99"/>
    <s v="8504.40-0000"/>
    <m/>
    <m/>
    <m/>
    <d v="2020-08-25T00:00:00"/>
    <n v="5.1863013698630134"/>
    <n v="8"/>
    <s v="2공장"/>
    <s v="자사"/>
    <s v="미설정"/>
    <m/>
    <m/>
    <m/>
    <m/>
    <n v="264000000"/>
    <m/>
    <m/>
    <n v="264000000"/>
    <m/>
    <m/>
    <n v="90750000"/>
    <n v="48118222"/>
    <n v="96"/>
    <n v="64"/>
    <n v="31"/>
    <m/>
    <s v="공통)안)TEST"/>
    <s v="Test"/>
    <s v="Test"/>
    <s v="기계장치"/>
    <n v="95287500"/>
    <n v="2977734.375"/>
    <n v="992578.125"/>
    <m/>
    <m/>
    <m/>
    <m/>
    <m/>
    <m/>
    <m/>
    <n v="2977734.375"/>
    <n v="2977734.375"/>
    <n v="5955468.75"/>
    <n v="2977734.375"/>
    <n v="2977734.375"/>
    <n v="2977734.375"/>
    <n v="2977734.375"/>
    <n v="11910937.5"/>
    <n v="2977734.375"/>
    <n v="2977734.375"/>
    <n v="2977734.375"/>
    <n v="2977734.375"/>
    <n v="11910937.5"/>
    <n v="2977734.375"/>
    <n v="2977734.375"/>
    <n v="2977734.375"/>
    <n v="2977734.375"/>
    <n v="11910937.5"/>
    <m/>
    <m/>
    <m/>
    <n v="95287500"/>
  </r>
  <r>
    <n v="104"/>
    <x v="0"/>
    <m/>
    <s v="최삼현"/>
    <s v="평택"/>
    <s v="TEST"/>
    <s v="X"/>
    <s v="8&quot;"/>
    <s v="DDI"/>
    <x v="0"/>
    <s v="PT"/>
    <x v="0"/>
    <n v="2100374"/>
    <s v="MC"/>
    <s v="AUTO WAFER PROBER M/C(AP#20)"/>
    <s v="UF3000LX"/>
    <x v="11"/>
    <s v="Prober"/>
    <s v="F25016CJ"/>
    <x v="0"/>
    <m/>
    <s v="일본"/>
    <s v="ACCRETECH"/>
    <x v="0"/>
    <s v="3차"/>
    <s v="3차"/>
    <s v="해당"/>
    <s v="Wafer Test Prober"/>
    <s v="Wafer Die Test"/>
    <m/>
    <m/>
    <s v="3A992"/>
    <s v="9030.82-0000"/>
    <s v="반도체 제조 및 검사 장비"/>
    <m/>
    <m/>
    <m/>
    <m/>
    <m/>
    <m/>
    <m/>
    <m/>
    <m/>
    <m/>
    <m/>
    <m/>
    <n v="150257054"/>
    <m/>
    <m/>
    <m/>
    <m/>
    <m/>
    <n v="1000"/>
    <n v="1000"/>
    <m/>
    <m/>
    <m/>
    <m/>
    <m/>
    <s v="Test"/>
    <s v="Test"/>
    <s v="기계장치"/>
    <n v="3005141.08"/>
    <n v="286476.24614655797"/>
    <n v="95492.082048852651"/>
    <m/>
    <m/>
    <m/>
    <m/>
    <m/>
    <m/>
    <m/>
    <n v="286476.24614655797"/>
    <n v="286476.24614655797"/>
    <n v="572952.49229311594"/>
    <n v="286476.24614655797"/>
    <n v="286476.24614655797"/>
    <n v="286476.24614655797"/>
    <n v="286476.24614655797"/>
    <n v="1145904.9845862319"/>
    <n v="286476.24614655797"/>
    <n v="286476.24614655797"/>
    <n v="286476.24614655797"/>
    <n v="286476.24614655797"/>
    <n v="1145904.9845862319"/>
    <n v="286476.24614655797"/>
    <n v="286476.24614655797"/>
    <n v="286476.24614655797"/>
    <n v="286476.24614655797"/>
    <n v="1145904.9845862319"/>
    <m/>
    <n v="2.9343327603285023E-4"/>
    <n v="6162098.7966898549"/>
    <n v="9167239.876689855"/>
  </r>
  <r>
    <n v="105"/>
    <x v="0"/>
    <m/>
    <s v="최삼현"/>
    <s v="평택"/>
    <s v="TEST"/>
    <s v="X"/>
    <s v="8&quot;"/>
    <s v="DDI"/>
    <x v="0"/>
    <s v="PT"/>
    <x v="0"/>
    <n v="2100375"/>
    <s v="MC"/>
    <s v="AUTO WAFER PROBER M/C(AP#21)"/>
    <s v="UF3000LX"/>
    <x v="11"/>
    <s v="Prober"/>
    <s v="F25015CJ"/>
    <x v="0"/>
    <m/>
    <s v="일본"/>
    <s v="ACCRETECH"/>
    <x v="0"/>
    <s v="3차"/>
    <s v="3차"/>
    <s v="해당"/>
    <s v="Wafer Test Prober"/>
    <s v="Wafer Die Test"/>
    <m/>
    <m/>
    <s v="3A992"/>
    <s v="9030.82-0000"/>
    <s v="반도체 제조 및 검사 장비"/>
    <m/>
    <m/>
    <m/>
    <m/>
    <m/>
    <m/>
    <m/>
    <m/>
    <m/>
    <m/>
    <m/>
    <m/>
    <n v="150257053"/>
    <m/>
    <m/>
    <m/>
    <m/>
    <m/>
    <n v="1000"/>
    <n v="1000"/>
    <m/>
    <m/>
    <m/>
    <m/>
    <m/>
    <s v="Test"/>
    <s v="Test"/>
    <s v="기계장치"/>
    <n v="3005141.06"/>
    <n v="286476.24423998361"/>
    <n v="95492.081413327876"/>
    <m/>
    <m/>
    <m/>
    <m/>
    <m/>
    <m/>
    <m/>
    <n v="286476.24423998361"/>
    <n v="286476.24423998361"/>
    <n v="572952.48847996723"/>
    <n v="286476.24423998361"/>
    <n v="286476.24423998361"/>
    <n v="286476.24423998361"/>
    <n v="286476.24423998361"/>
    <n v="1145904.9769599345"/>
    <n v="286476.24423998361"/>
    <n v="286476.24423998361"/>
    <n v="286476.24423998361"/>
    <n v="286476.24423998361"/>
    <n v="1145904.9769599345"/>
    <n v="286476.24423998361"/>
    <n v="286476.24423998361"/>
    <n v="286476.24423998361"/>
    <n v="286476.24423998361"/>
    <n v="1145904.9769599345"/>
    <m/>
    <n v="2.9343327407997503E-4"/>
    <n v="6162098.7556794761"/>
    <n v="9167239.8156794757"/>
  </r>
  <r>
    <n v="106"/>
    <x v="0"/>
    <m/>
    <s v="최삼현"/>
    <s v="평택"/>
    <s v="TEST"/>
    <s v="X"/>
    <s v="8&quot;"/>
    <s v="DDI"/>
    <x v="0"/>
    <s v="PT"/>
    <x v="0"/>
    <n v="2100400"/>
    <s v="MC"/>
    <s v="AUTO WAFER PROBER M/C(AP#22)"/>
    <s v="UF3000LX"/>
    <x v="11"/>
    <s v="Prober"/>
    <s v="F25003BK"/>
    <x v="0"/>
    <m/>
    <s v="일본"/>
    <s v="ACCRETECH"/>
    <x v="0"/>
    <s v="3차"/>
    <s v="3차"/>
    <s v="해당"/>
    <s v="Wafer Test Prober"/>
    <s v="Wafer Die Test"/>
    <m/>
    <m/>
    <s v="3A992"/>
    <s v="9030.82-0000"/>
    <s v="반도체 제조 및 검사 장비"/>
    <m/>
    <m/>
    <m/>
    <m/>
    <m/>
    <m/>
    <m/>
    <m/>
    <m/>
    <m/>
    <m/>
    <m/>
    <n v="128792397"/>
    <m/>
    <m/>
    <m/>
    <m/>
    <m/>
    <n v="1000"/>
    <n v="1000"/>
    <m/>
    <m/>
    <m/>
    <m/>
    <m/>
    <s v="Test"/>
    <s v="Test"/>
    <s v="기계장치"/>
    <n v="2575847.94"/>
    <n v="245552.28152401559"/>
    <n v="81850.760508005202"/>
    <m/>
    <m/>
    <m/>
    <m/>
    <m/>
    <m/>
    <m/>
    <n v="245552.28152401559"/>
    <n v="245552.28152401559"/>
    <n v="491104.56304803118"/>
    <n v="245552.28152401559"/>
    <n v="245552.28152401559"/>
    <n v="245552.28152401559"/>
    <n v="245552.28152401559"/>
    <n v="982209.12609606236"/>
    <n v="245552.28152401559"/>
    <n v="245552.28152401559"/>
    <n v="245552.28152401559"/>
    <n v="245552.28152401559"/>
    <n v="982209.12609606236"/>
    <n v="245552.28152401559"/>
    <n v="245552.28152401559"/>
    <n v="245552.28152401559"/>
    <n v="245552.28152401559"/>
    <n v="982209.12609606236"/>
    <m/>
    <n v="2.5151547946516663E-4"/>
    <n v="5281825.0687684994"/>
    <n v="7857673.0087684989"/>
  </r>
  <r>
    <n v="107"/>
    <x v="0"/>
    <m/>
    <s v="최삼현"/>
    <s v="평택"/>
    <s v="TEST"/>
    <s v="X"/>
    <s v="8&quot;"/>
    <s v="DDI"/>
    <x v="0"/>
    <s v="PT"/>
    <x v="0"/>
    <n v="2100376"/>
    <s v="MC"/>
    <s v="AUTO WAFER PROBER M/C(AP#26)"/>
    <s v="UF3000LX"/>
    <x v="11"/>
    <s v="Prober"/>
    <s v="F25001DJ"/>
    <x v="0"/>
    <m/>
    <s v="일본"/>
    <s v="ACCRETECH"/>
    <x v="0"/>
    <s v="3차"/>
    <s v="3차"/>
    <s v="해당"/>
    <s v="Wafer Test Prober"/>
    <s v="Wafer Die Test"/>
    <m/>
    <m/>
    <s v="3A992"/>
    <s v="9030.82-0000"/>
    <s v="반도체 제조 및 검사 장비"/>
    <m/>
    <m/>
    <m/>
    <m/>
    <m/>
    <m/>
    <m/>
    <m/>
    <m/>
    <m/>
    <m/>
    <m/>
    <n v="150257053"/>
    <m/>
    <m/>
    <m/>
    <m/>
    <m/>
    <n v="1000"/>
    <n v="1000"/>
    <m/>
    <m/>
    <m/>
    <m/>
    <m/>
    <s v="Test"/>
    <s v="Test"/>
    <s v="기계장치"/>
    <n v="3005141.06"/>
    <n v="286476.24423998361"/>
    <n v="95492.081413327876"/>
    <m/>
    <m/>
    <m/>
    <m/>
    <m/>
    <m/>
    <m/>
    <n v="286476.24423998361"/>
    <n v="286476.24423998361"/>
    <n v="572952.48847996723"/>
    <n v="286476.24423998361"/>
    <n v="286476.24423998361"/>
    <n v="286476.24423998361"/>
    <n v="286476.24423998361"/>
    <n v="1145904.9769599345"/>
    <n v="286476.24423998361"/>
    <n v="286476.24423998361"/>
    <n v="286476.24423998361"/>
    <n v="286476.24423998361"/>
    <n v="1145904.9769599345"/>
    <n v="286476.24423998361"/>
    <n v="286476.24423998361"/>
    <n v="286476.24423998361"/>
    <n v="286476.24423998361"/>
    <n v="1145904.9769599345"/>
    <m/>
    <n v="2.9343327407997503E-4"/>
    <n v="6162098.7556794761"/>
    <n v="9167239.8156794757"/>
  </r>
  <r>
    <n v="108"/>
    <x v="0"/>
    <m/>
    <s v="최삼현"/>
    <s v="평택"/>
    <s v="TEST"/>
    <s v="X"/>
    <s v="8&quot;"/>
    <s v="DDI"/>
    <x v="0"/>
    <s v="PT"/>
    <x v="0"/>
    <n v="2100377"/>
    <s v="MC"/>
    <s v="AUTO WAFER PROBER M/C(AP#27)"/>
    <s v="UF3000LX"/>
    <x v="11"/>
    <s v="Prober"/>
    <s v="F25017CJ"/>
    <x v="0"/>
    <m/>
    <s v="일본"/>
    <s v="ACCRETECH"/>
    <x v="0"/>
    <s v="3차"/>
    <s v="3차"/>
    <s v="해당"/>
    <s v="Wafer Test Prober"/>
    <s v="Wafer Die Test"/>
    <m/>
    <m/>
    <s v="3A992"/>
    <s v="9030.82-0000"/>
    <s v="반도체 제조 및 검사 장비"/>
    <m/>
    <m/>
    <m/>
    <m/>
    <m/>
    <m/>
    <m/>
    <m/>
    <m/>
    <m/>
    <m/>
    <m/>
    <n v="150257053"/>
    <m/>
    <m/>
    <m/>
    <m/>
    <m/>
    <n v="1000"/>
    <n v="1000"/>
    <m/>
    <m/>
    <m/>
    <m/>
    <m/>
    <s v="Test"/>
    <s v="Test"/>
    <s v="기계장치"/>
    <n v="3005141.06"/>
    <n v="286476.24423998361"/>
    <n v="95492.081413327876"/>
    <m/>
    <m/>
    <m/>
    <m/>
    <m/>
    <m/>
    <m/>
    <n v="286476.24423998361"/>
    <n v="286476.24423998361"/>
    <n v="572952.48847996723"/>
    <n v="286476.24423998361"/>
    <n v="286476.24423998361"/>
    <n v="286476.24423998361"/>
    <n v="286476.24423998361"/>
    <n v="1145904.9769599345"/>
    <n v="286476.24423998361"/>
    <n v="286476.24423998361"/>
    <n v="286476.24423998361"/>
    <n v="286476.24423998361"/>
    <n v="1145904.9769599345"/>
    <n v="286476.24423998361"/>
    <n v="286476.24423998361"/>
    <n v="286476.24423998361"/>
    <n v="286476.24423998361"/>
    <n v="1145904.9769599345"/>
    <m/>
    <n v="2.9343327407997503E-4"/>
    <n v="6162098.7556794761"/>
    <n v="9167239.8156794757"/>
  </r>
  <r>
    <n v="109"/>
    <x v="0"/>
    <m/>
    <s v="최삼현"/>
    <s v="평택"/>
    <s v="TEST"/>
    <s v="X"/>
    <s v="8&quot;"/>
    <s v="DDI"/>
    <x v="0"/>
    <s v="PT"/>
    <x v="0"/>
    <n v="2100401"/>
    <s v="MC"/>
    <s v="AUTO WAFER PROBER M/C(AP#29)"/>
    <s v="UF3000LX"/>
    <x v="11"/>
    <s v="Prober"/>
    <s v="F25004BK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28792397"/>
    <m/>
    <m/>
    <m/>
    <m/>
    <m/>
    <n v="1000"/>
    <n v="1000"/>
    <m/>
    <m/>
    <m/>
    <m/>
    <m/>
    <s v="Test"/>
    <s v="Test"/>
    <s v="기계장치"/>
    <n v="2575847.94"/>
    <n v="80495.248124999998"/>
    <n v="26831.749374999999"/>
    <m/>
    <m/>
    <m/>
    <m/>
    <m/>
    <m/>
    <m/>
    <n v="80495.248124999998"/>
    <n v="80495.248124999998"/>
    <n v="160990.49625"/>
    <n v="80495.248124999998"/>
    <n v="80495.248124999998"/>
    <n v="80495.248124999998"/>
    <n v="80495.248124999998"/>
    <n v="321980.99249999999"/>
    <n v="80495.248124999998"/>
    <n v="80495.248124999998"/>
    <n v="80495.248124999998"/>
    <n v="80495.248124999998"/>
    <n v="321980.99249999999"/>
    <n v="80495.248124999998"/>
    <n v="80495.248124999998"/>
    <n v="80495.248124999998"/>
    <n v="80495.248124999998"/>
    <n v="321980.99249999999"/>
    <m/>
    <m/>
    <m/>
    <n v="2575847.94"/>
  </r>
  <r>
    <n v="110"/>
    <x v="0"/>
    <m/>
    <s v="최삼현"/>
    <s v="평택"/>
    <s v="TEST"/>
    <s v="X"/>
    <s v="8&quot;"/>
    <s v="DDI"/>
    <x v="0"/>
    <s v="PT"/>
    <x v="0"/>
    <n v="2100339"/>
    <s v="MC"/>
    <s v="AUTO WAFER PROBER M/C(AP#39)"/>
    <s v="OPUS3"/>
    <x v="12"/>
    <s v="Prober"/>
    <s v="S12A1I01"/>
    <x v="0"/>
    <m/>
    <m/>
    <s v="Semic"/>
    <x v="0"/>
    <s v="3차"/>
    <s v="3차"/>
    <s v="해당"/>
    <s v="Wafer Test Prober"/>
    <s v="Wafer Die Test"/>
    <m/>
    <m/>
    <s v="3A992"/>
    <s v="9030.82-0000"/>
    <s v="반도체 제조 및 검사 장비"/>
    <m/>
    <m/>
    <m/>
    <m/>
    <m/>
    <m/>
    <m/>
    <m/>
    <m/>
    <m/>
    <m/>
    <m/>
    <n v="180000000"/>
    <m/>
    <m/>
    <m/>
    <m/>
    <m/>
    <n v="1000"/>
    <n v="1000"/>
    <m/>
    <m/>
    <m/>
    <m/>
    <m/>
    <s v="Test"/>
    <s v="Test"/>
    <s v="기계장치"/>
    <n v="3600000"/>
    <n v="343183.38429808716"/>
    <n v="114394.46143269572"/>
    <m/>
    <m/>
    <m/>
    <m/>
    <m/>
    <m/>
    <m/>
    <n v="343183.38429808716"/>
    <n v="343183.38429808716"/>
    <n v="686366.76859617431"/>
    <n v="343183.38429808716"/>
    <n v="343183.38429808716"/>
    <n v="343183.38429808716"/>
    <n v="343183.38429808716"/>
    <n v="1372733.5371923486"/>
    <n v="343183.38429808716"/>
    <n v="343183.38429808716"/>
    <n v="343183.38429808716"/>
    <n v="343183.38429808716"/>
    <n v="1372733.5371923486"/>
    <n v="343183.38429808716"/>
    <n v="343183.38429808716"/>
    <n v="343183.38429808716"/>
    <n v="343183.38429808716"/>
    <n v="1372733.5371923486"/>
    <m/>
    <n v="3.5151753797803758E-4"/>
    <n v="7381868.297538789"/>
    <n v="10981868.297538789"/>
  </r>
  <r>
    <n v="111"/>
    <x v="0"/>
    <m/>
    <s v="최삼현"/>
    <s v="평택"/>
    <s v="TEST"/>
    <s v="X"/>
    <s v="8&quot;"/>
    <s v="DDI"/>
    <x v="0"/>
    <s v="PT"/>
    <x v="0"/>
    <n v="2100345"/>
    <s v="MC"/>
    <s v="AUTO WAFER PROBER M/C(AP#49)"/>
    <s v="UF3000LX"/>
    <x v="11"/>
    <s v="Prober"/>
    <s v="F25010CH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64545025"/>
    <m/>
    <m/>
    <m/>
    <m/>
    <m/>
    <n v="1000"/>
    <n v="1000"/>
    <m/>
    <m/>
    <m/>
    <m/>
    <m/>
    <s v="Test"/>
    <s v="Test"/>
    <s v="기계장치"/>
    <n v="3290900.5"/>
    <n v="102840.640625"/>
    <n v="34280.213541666664"/>
    <m/>
    <m/>
    <m/>
    <m/>
    <m/>
    <m/>
    <m/>
    <n v="102840.640625"/>
    <n v="102840.640625"/>
    <n v="205681.28125"/>
    <n v="102840.640625"/>
    <n v="102840.640625"/>
    <n v="102840.640625"/>
    <n v="102840.640625"/>
    <n v="411362.5625"/>
    <n v="102840.640625"/>
    <n v="102840.640625"/>
    <n v="102840.640625"/>
    <n v="102840.640625"/>
    <n v="411362.5625"/>
    <n v="102840.640625"/>
    <n v="102840.640625"/>
    <n v="102840.640625"/>
    <n v="102840.640625"/>
    <n v="411362.5625"/>
    <m/>
    <m/>
    <m/>
    <n v="3290900.5"/>
  </r>
  <r>
    <n v="112"/>
    <x v="0"/>
    <m/>
    <s v="최삼현"/>
    <s v="평택"/>
    <s v="TEST"/>
    <s v="X"/>
    <s v="8&quot;"/>
    <s v="DDI"/>
    <x v="0"/>
    <s v="PT"/>
    <x v="0"/>
    <n v="2100346"/>
    <s v="MC"/>
    <s v="AUTO WAFER PROBER M/C(AP#50)"/>
    <s v="UF3000LX"/>
    <x v="11"/>
    <s v="Prober"/>
    <s v="F25011CH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64545024"/>
    <m/>
    <m/>
    <m/>
    <m/>
    <m/>
    <n v="1000"/>
    <n v="1000"/>
    <m/>
    <m/>
    <m/>
    <m/>
    <m/>
    <s v="Test"/>
    <s v="Test"/>
    <s v="기계장치"/>
    <n v="3290900.48"/>
    <n v="102840.64"/>
    <n v="34280.213333333333"/>
    <m/>
    <m/>
    <m/>
    <m/>
    <m/>
    <m/>
    <m/>
    <n v="102840.64"/>
    <n v="102840.64"/>
    <n v="205681.28"/>
    <n v="102840.64"/>
    <n v="102840.64"/>
    <n v="102840.64"/>
    <n v="102840.64"/>
    <n v="411362.56"/>
    <n v="102840.64"/>
    <n v="102840.64"/>
    <n v="102840.64"/>
    <n v="102840.64"/>
    <n v="411362.56"/>
    <n v="102840.64"/>
    <n v="102840.64"/>
    <n v="102840.64"/>
    <n v="102840.64"/>
    <n v="411362.56"/>
    <m/>
    <m/>
    <m/>
    <n v="3290900.48"/>
  </r>
  <r>
    <n v="113"/>
    <x v="0"/>
    <m/>
    <s v="최삼현"/>
    <s v="평택"/>
    <s v="TEST"/>
    <s v="X"/>
    <s v="8&quot;"/>
    <s v="DDI"/>
    <x v="0"/>
    <s v="PT"/>
    <x v="0"/>
    <n v="2100347"/>
    <s v="MC"/>
    <s v="AUTO WAFER PROBER M/C(AP#51)"/>
    <s v="UF3000LX"/>
    <x v="11"/>
    <s v="Prober"/>
    <s v="F25012CH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64545024"/>
    <m/>
    <m/>
    <m/>
    <m/>
    <m/>
    <n v="1000"/>
    <n v="1000"/>
    <m/>
    <m/>
    <m/>
    <m/>
    <m/>
    <s v="Test"/>
    <s v="Test"/>
    <s v="기계장치"/>
    <n v="3290900.48"/>
    <n v="102840.64"/>
    <n v="34280.213333333333"/>
    <m/>
    <m/>
    <m/>
    <m/>
    <m/>
    <m/>
    <m/>
    <n v="102840.64"/>
    <n v="102840.64"/>
    <n v="205681.28"/>
    <n v="102840.64"/>
    <n v="102840.64"/>
    <n v="102840.64"/>
    <n v="102840.64"/>
    <n v="411362.56"/>
    <n v="102840.64"/>
    <n v="102840.64"/>
    <n v="102840.64"/>
    <n v="102840.64"/>
    <n v="411362.56"/>
    <n v="102840.64"/>
    <n v="102840.64"/>
    <n v="102840.64"/>
    <n v="102840.64"/>
    <n v="411362.56"/>
    <m/>
    <m/>
    <m/>
    <n v="3290900.48"/>
  </r>
  <r>
    <n v="114"/>
    <x v="0"/>
    <m/>
    <s v="최삼현"/>
    <s v="평택"/>
    <s v="TEST"/>
    <s v="X"/>
    <s v="8&quot;"/>
    <s v="DDI"/>
    <x v="0"/>
    <s v="PT"/>
    <x v="0"/>
    <n v="2100349"/>
    <s v="MC"/>
    <s v="AUTO WAFER PROBER M/C(AP#52)"/>
    <s v="UF3000LX"/>
    <x v="11"/>
    <s v="Prober"/>
    <s v="F25013CH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65003370"/>
    <m/>
    <m/>
    <m/>
    <m/>
    <m/>
    <n v="1000"/>
    <n v="1000"/>
    <m/>
    <m/>
    <m/>
    <m/>
    <m/>
    <s v="Test"/>
    <s v="Test"/>
    <s v="기계장치"/>
    <n v="3300067.4"/>
    <n v="103127.10625"/>
    <n v="34375.70208333333"/>
    <m/>
    <m/>
    <m/>
    <m/>
    <m/>
    <m/>
    <m/>
    <n v="103127.10624999998"/>
    <n v="103127.10624999998"/>
    <n v="206254.21249999997"/>
    <n v="103127.10624999998"/>
    <n v="103127.10624999998"/>
    <n v="103127.10624999998"/>
    <n v="103127.10624999998"/>
    <n v="412508.42499999993"/>
    <n v="103127.10624999998"/>
    <n v="103127.10624999998"/>
    <n v="103127.10624999998"/>
    <n v="103127.10624999998"/>
    <n v="412508.42499999993"/>
    <n v="103127.10624999998"/>
    <n v="103127.10624999998"/>
    <n v="103127.10624999998"/>
    <n v="103127.10624999998"/>
    <n v="412508.42499999993"/>
    <m/>
    <m/>
    <m/>
    <n v="3300067.4"/>
  </r>
  <r>
    <n v="115"/>
    <x v="0"/>
    <m/>
    <s v="최삼현"/>
    <s v="평택"/>
    <s v="TEST"/>
    <s v="X"/>
    <s v="8&quot;"/>
    <s v="DDI"/>
    <x v="0"/>
    <s v="PT"/>
    <x v="0"/>
    <n v="2100366"/>
    <s v="MC"/>
    <s v="AUTO WAFER PROBER M/C(AP#54)"/>
    <s v="UF3000LX"/>
    <x v="11"/>
    <s v="Prober"/>
    <s v="F25015CH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65003370"/>
    <m/>
    <m/>
    <m/>
    <m/>
    <m/>
    <n v="1000"/>
    <n v="1000"/>
    <m/>
    <m/>
    <m/>
    <m/>
    <m/>
    <s v="Test"/>
    <s v="Test"/>
    <s v="기계장치"/>
    <n v="3300067.4"/>
    <n v="103127.10625"/>
    <n v="34375.70208333333"/>
    <m/>
    <m/>
    <m/>
    <m/>
    <m/>
    <m/>
    <m/>
    <n v="103127.10624999998"/>
    <n v="103127.10624999998"/>
    <n v="206254.21249999997"/>
    <n v="103127.10624999998"/>
    <n v="103127.10624999998"/>
    <n v="103127.10624999998"/>
    <n v="103127.10624999998"/>
    <n v="412508.42499999993"/>
    <n v="103127.10624999998"/>
    <n v="103127.10624999998"/>
    <n v="103127.10624999998"/>
    <n v="103127.10624999998"/>
    <n v="412508.42499999993"/>
    <n v="103127.10624999998"/>
    <n v="103127.10624999998"/>
    <n v="103127.10624999998"/>
    <n v="103127.10624999998"/>
    <n v="412508.42499999993"/>
    <m/>
    <m/>
    <m/>
    <n v="3300067.4"/>
  </r>
  <r>
    <n v="116"/>
    <x v="0"/>
    <m/>
    <s v="최삼현"/>
    <s v="평택"/>
    <s v="TEST"/>
    <s v="X"/>
    <s v="8&quot;"/>
    <s v="DDI"/>
    <x v="0"/>
    <s v="PT"/>
    <x v="0"/>
    <n v="2100365"/>
    <s v="MC"/>
    <s v="AUTO WAFER PROBER M/C(AP#53)"/>
    <s v="UF3000LX"/>
    <x v="11"/>
    <s v="Prober"/>
    <s v="F25014CH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65003370"/>
    <m/>
    <m/>
    <m/>
    <m/>
    <m/>
    <n v="1000"/>
    <n v="1000"/>
    <m/>
    <m/>
    <m/>
    <m/>
    <m/>
    <s v="Test"/>
    <s v="Test"/>
    <s v="기계장치"/>
    <n v="3300067.4"/>
    <n v="103127.10625"/>
    <n v="34375.70208333333"/>
    <m/>
    <m/>
    <m/>
    <m/>
    <m/>
    <m/>
    <m/>
    <n v="103127.10624999998"/>
    <n v="103127.10624999998"/>
    <n v="206254.21249999997"/>
    <n v="103127.10624999998"/>
    <n v="103127.10624999998"/>
    <n v="103127.10624999998"/>
    <n v="103127.10624999998"/>
    <n v="412508.42499999993"/>
    <n v="103127.10624999998"/>
    <n v="103127.10624999998"/>
    <n v="103127.10624999998"/>
    <n v="103127.10624999998"/>
    <n v="412508.42499999993"/>
    <n v="103127.10624999998"/>
    <n v="103127.10624999998"/>
    <n v="103127.10624999998"/>
    <n v="103127.10624999998"/>
    <n v="412508.42499999993"/>
    <m/>
    <m/>
    <m/>
    <n v="3300067.4"/>
  </r>
  <r>
    <n v="117"/>
    <x v="0"/>
    <m/>
    <s v="최삼현"/>
    <s v="평택"/>
    <s v="TEST"/>
    <s v="X"/>
    <s v="8&quot;"/>
    <s v="DDI"/>
    <x v="0"/>
    <s v="PT"/>
    <x v="0"/>
    <n v="2100367"/>
    <s v="MC"/>
    <s v="AUTO WAFER PROBER M/C(AP#55)"/>
    <s v="UF3000LX"/>
    <x v="11"/>
    <s v="Prober"/>
    <s v="F25016CH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65003369"/>
    <m/>
    <m/>
    <m/>
    <m/>
    <m/>
    <n v="1000"/>
    <n v="1000"/>
    <m/>
    <m/>
    <m/>
    <m/>
    <m/>
    <s v="Test"/>
    <s v="Test"/>
    <s v="기계장치"/>
    <n v="3300067.38"/>
    <n v="103127.105625"/>
    <n v="34375.701874999999"/>
    <m/>
    <m/>
    <m/>
    <m/>
    <m/>
    <m/>
    <m/>
    <n v="103127.105625"/>
    <n v="103127.105625"/>
    <n v="206254.21124999999"/>
    <n v="103127.105625"/>
    <n v="103127.105625"/>
    <n v="103127.105625"/>
    <n v="103127.105625"/>
    <n v="412508.42249999999"/>
    <n v="103127.105625"/>
    <n v="103127.105625"/>
    <n v="103127.105625"/>
    <n v="103127.105625"/>
    <n v="412508.42249999999"/>
    <n v="103127.105625"/>
    <n v="103127.105625"/>
    <n v="103127.105625"/>
    <n v="103127.105625"/>
    <n v="412508.42249999999"/>
    <m/>
    <m/>
    <m/>
    <n v="3300067.38"/>
  </r>
  <r>
    <n v="118"/>
    <x v="0"/>
    <m/>
    <s v="최삼현"/>
    <s v="평택"/>
    <s v="TEST"/>
    <s v="X"/>
    <s v="8&quot;"/>
    <s v="DDI"/>
    <x v="0"/>
    <s v="PT"/>
    <x v="0"/>
    <n v="2100437"/>
    <s v="MC"/>
    <s v="Framed Wafer Prober"/>
    <s v="FD12"/>
    <x v="13"/>
    <s v="Prober"/>
    <s v="S15P0F04"/>
    <x v="0"/>
    <m/>
    <m/>
    <m/>
    <x v="0"/>
    <s v="3차"/>
    <s v="3차"/>
    <s v="해당"/>
    <s v="Wafer Test Prober"/>
    <s v="Wafer Die Test"/>
    <m/>
    <m/>
    <s v="3A992"/>
    <s v="9030.82-0000"/>
    <m/>
    <m/>
    <m/>
    <m/>
    <m/>
    <m/>
    <m/>
    <m/>
    <m/>
    <m/>
    <m/>
    <m/>
    <m/>
    <n v="195000000"/>
    <m/>
    <m/>
    <m/>
    <m/>
    <m/>
    <n v="1000"/>
    <n v="1000"/>
    <m/>
    <m/>
    <m/>
    <m/>
    <m/>
    <s v="Test"/>
    <s v="Test"/>
    <s v="기계장치"/>
    <n v="3900000"/>
    <n v="371781.99965626106"/>
    <n v="123927.33321875369"/>
    <m/>
    <m/>
    <m/>
    <m/>
    <m/>
    <m/>
    <m/>
    <n v="371781.99965626106"/>
    <n v="371781.99965626106"/>
    <n v="743563.99931252212"/>
    <n v="371781.99965626106"/>
    <n v="371781.99965626106"/>
    <n v="371781.99965626106"/>
    <n v="371781.99965626106"/>
    <n v="1487127.9986250442"/>
    <n v="371781.99965626106"/>
    <n v="371781.99965626106"/>
    <n v="371781.99965626106"/>
    <n v="371781.99965626106"/>
    <n v="1487127.9986250442"/>
    <n v="371781.99965626106"/>
    <n v="371781.99965626106"/>
    <n v="371781.99965626106"/>
    <n v="371781.99965626106"/>
    <n v="1487127.9986250442"/>
    <m/>
    <n v="3.8081066614287402E-4"/>
    <n v="7997023.9890003549"/>
    <n v="11897023.989000354"/>
  </r>
  <r>
    <n v="119"/>
    <x v="0"/>
    <m/>
    <s v="최삼현"/>
    <s v="평택"/>
    <s v="TEST"/>
    <s v="X"/>
    <s v="8&quot;"/>
    <s v="DDI"/>
    <x v="0"/>
    <s v="PT"/>
    <x v="0"/>
    <n v="2100299"/>
    <s v="MC"/>
    <s v="Flat Cold Prober[YP#36] "/>
    <s v="OPUS3"/>
    <x v="12"/>
    <s v="Prober"/>
    <s v="S11B2E06"/>
    <x v="0"/>
    <m/>
    <m/>
    <s v="Semic"/>
    <x v="0"/>
    <s v="3차"/>
    <s v="3차"/>
    <s v="해당"/>
    <s v="Wafer Test Prober"/>
    <s v="Wafer Die Test"/>
    <m/>
    <m/>
    <s v="3A992"/>
    <s v="9030.82-0000"/>
    <s v="반도체 제조 및 검사 장비"/>
    <m/>
    <m/>
    <m/>
    <m/>
    <m/>
    <m/>
    <m/>
    <m/>
    <m/>
    <m/>
    <m/>
    <m/>
    <n v="235100000"/>
    <m/>
    <m/>
    <m/>
    <m/>
    <m/>
    <n v="1000"/>
    <n v="1000"/>
    <m/>
    <m/>
    <m/>
    <m/>
    <m/>
    <s v="Test"/>
    <s v="Test"/>
    <s v="기계장치"/>
    <n v="4702000"/>
    <n v="448235.63138044608"/>
    <n v="149411.87712681535"/>
    <m/>
    <m/>
    <m/>
    <m/>
    <m/>
    <m/>
    <m/>
    <n v="448235.63138044602"/>
    <n v="448235.63138044602"/>
    <n v="896471.26276089204"/>
    <n v="448235.63138044602"/>
    <n v="448235.63138044602"/>
    <n v="448235.63138044602"/>
    <n v="448235.63138044602"/>
    <n v="1792942.5255217841"/>
    <n v="448235.63138044602"/>
    <n v="448235.63138044602"/>
    <n v="448235.63138044602"/>
    <n v="448235.63138044602"/>
    <n v="1792942.5255217841"/>
    <n v="448235.63138044602"/>
    <n v="448235.63138044602"/>
    <n v="448235.63138044602"/>
    <n v="448235.63138044602"/>
    <n v="1792942.5255217841"/>
    <m/>
    <n v="4.5912096210353685E-4"/>
    <n v="9641540.2041742746"/>
    <n v="14343540.204174275"/>
  </r>
  <r>
    <n v="120"/>
    <x v="0"/>
    <m/>
    <s v="최삼현"/>
    <s v="평택"/>
    <s v="TEST"/>
    <s v="X"/>
    <s v="8&quot;"/>
    <s v="DDI"/>
    <x v="0"/>
    <s v="PT"/>
    <x v="0"/>
    <n v="2100498"/>
    <s v="MC"/>
    <s v="Automatic Wafer Prober(6730A)(YP#21)"/>
    <s v="UF3000LX"/>
    <x v="11"/>
    <s v="Prober"/>
    <s v="F25013BN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57688586"/>
    <m/>
    <m/>
    <m/>
    <m/>
    <m/>
    <n v="24638842"/>
    <n v="1000"/>
    <m/>
    <m/>
    <m/>
    <m/>
    <m/>
    <s v="Test"/>
    <s v="Test"/>
    <s v="기계장치"/>
    <n v="25870784.100000001"/>
    <n v="808462.00312500005"/>
    <n v="269487.33437500003"/>
    <m/>
    <m/>
    <m/>
    <m/>
    <m/>
    <m/>
    <m/>
    <n v="808462.00312500005"/>
    <n v="808462.00312500005"/>
    <n v="1616924.0062500001"/>
    <n v="808462.00312500005"/>
    <n v="808462.00312500005"/>
    <n v="808462.00312500005"/>
    <n v="808462.00312500005"/>
    <n v="3233848.0125000002"/>
    <n v="808462.00312500005"/>
    <n v="808462.00312500005"/>
    <n v="808462.00312500005"/>
    <n v="808462.00312500005"/>
    <n v="3233848.0125000002"/>
    <n v="808462.00312500005"/>
    <n v="808462.00312500005"/>
    <n v="808462.00312500005"/>
    <n v="808462.00312500005"/>
    <n v="3233848.0125000002"/>
    <m/>
    <m/>
    <m/>
    <n v="25870784.100000001"/>
  </r>
  <r>
    <n v="121"/>
    <x v="0"/>
    <m/>
    <s v="최삼현"/>
    <s v="평택"/>
    <s v="TEST"/>
    <s v="X"/>
    <s v="8&quot;"/>
    <s v="DDI"/>
    <x v="0"/>
    <s v="PT"/>
    <x v="0"/>
    <n v="2101169"/>
    <s v="MC"/>
    <s v="AUTOMATIC WAFER PROBER(YP#52)"/>
    <s v="UF3000LX"/>
    <x v="11"/>
    <s v="Prober"/>
    <s v="F25004BL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46541465"/>
    <m/>
    <m/>
    <m/>
    <m/>
    <m/>
    <n v="1000"/>
    <n v="1000"/>
    <m/>
    <m/>
    <m/>
    <m/>
    <m/>
    <s v="Test"/>
    <s v="Test"/>
    <s v="기계장치"/>
    <n v="2930829.3000000003"/>
    <n v="91588.415625000009"/>
    <n v="30529.471875000003"/>
    <m/>
    <m/>
    <m/>
    <m/>
    <m/>
    <m/>
    <m/>
    <n v="91588.415625000009"/>
    <n v="91588.415625000009"/>
    <n v="183176.83125000002"/>
    <n v="91588.415625000009"/>
    <n v="91588.415625000009"/>
    <n v="91588.415625000009"/>
    <n v="91588.415625000009"/>
    <n v="366353.66250000003"/>
    <n v="91588.415625000009"/>
    <n v="91588.415625000009"/>
    <n v="91588.415625000009"/>
    <n v="91588.415625000009"/>
    <n v="366353.66250000003"/>
    <n v="91588.415625000009"/>
    <n v="91588.415625000009"/>
    <n v="91588.415625000009"/>
    <n v="91588.415625000009"/>
    <n v="366353.66250000003"/>
    <m/>
    <m/>
    <m/>
    <n v="2930829.3000000003"/>
  </r>
  <r>
    <n v="122"/>
    <x v="0"/>
    <m/>
    <s v="최삼현"/>
    <s v="평택"/>
    <s v="TEST"/>
    <s v="X"/>
    <s v="8&quot;"/>
    <s v="DDI"/>
    <x v="0"/>
    <s v="PT"/>
    <x v="0"/>
    <n v="2100499"/>
    <s v="MC"/>
    <s v="Automatic Wafer Prober(6730A)(YP#28)"/>
    <s v="UF3000LX"/>
    <x v="11"/>
    <s v="Prober"/>
    <s v="F25001CN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57688586"/>
    <m/>
    <m/>
    <m/>
    <m/>
    <m/>
    <n v="24638842"/>
    <n v="1000"/>
    <m/>
    <m/>
    <m/>
    <m/>
    <m/>
    <s v="Test"/>
    <s v="Test"/>
    <s v="기계장치"/>
    <n v="25870784.100000001"/>
    <n v="808462.00312500005"/>
    <n v="269487.33437500003"/>
    <m/>
    <m/>
    <m/>
    <m/>
    <m/>
    <m/>
    <m/>
    <n v="808462.00312500005"/>
    <n v="808462.00312500005"/>
    <n v="1616924.0062500001"/>
    <n v="808462.00312500005"/>
    <n v="808462.00312500005"/>
    <n v="808462.00312500005"/>
    <n v="808462.00312500005"/>
    <n v="3233848.0125000002"/>
    <n v="808462.00312500005"/>
    <n v="808462.00312500005"/>
    <n v="808462.00312500005"/>
    <n v="808462.00312500005"/>
    <n v="3233848.0125000002"/>
    <n v="808462.00312500005"/>
    <n v="808462.00312500005"/>
    <n v="808462.00312500005"/>
    <n v="808462.00312500005"/>
    <n v="3233848.0125000002"/>
    <m/>
    <m/>
    <m/>
    <n v="25870784.100000001"/>
  </r>
  <r>
    <n v="123"/>
    <x v="0"/>
    <m/>
    <s v="최삼현"/>
    <s v="평택"/>
    <s v="TEST"/>
    <s v="X"/>
    <s v="8&quot;"/>
    <s v="DDI"/>
    <x v="0"/>
    <s v="PT"/>
    <x v="0"/>
    <n v="2100998"/>
    <s v="MC"/>
    <s v="AUTOMATIC WAFER PROBER(AP#61)"/>
    <s v="UF3000LX"/>
    <x v="11"/>
    <s v="Prober"/>
    <s v="F25010BL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72368678"/>
    <m/>
    <m/>
    <m/>
    <m/>
    <m/>
    <n v="1000"/>
    <n v="1000"/>
    <m/>
    <m/>
    <m/>
    <m/>
    <m/>
    <s v="Test"/>
    <s v="Test"/>
    <s v="기계장치"/>
    <n v="3447373.56"/>
    <n v="107730.42375"/>
    <n v="35910.141250000001"/>
    <m/>
    <m/>
    <m/>
    <m/>
    <m/>
    <m/>
    <m/>
    <n v="107730.42375"/>
    <n v="107730.42375"/>
    <n v="215460.8475"/>
    <n v="107730.42375"/>
    <n v="107730.42375"/>
    <n v="107730.42375"/>
    <n v="107730.42375"/>
    <n v="430921.69500000001"/>
    <n v="107730.42375"/>
    <n v="107730.42375"/>
    <n v="107730.42375"/>
    <n v="107730.42375"/>
    <n v="430921.69500000001"/>
    <n v="107730.42375"/>
    <n v="107730.42375"/>
    <n v="107730.42375"/>
    <n v="107730.42375"/>
    <n v="430921.69500000001"/>
    <m/>
    <m/>
    <m/>
    <n v="3447373.56"/>
  </r>
  <r>
    <n v="124"/>
    <x v="0"/>
    <m/>
    <s v="최삼현"/>
    <s v="평택"/>
    <s v="TEST"/>
    <s v="X"/>
    <s v="8&quot;"/>
    <s v="DDI"/>
    <x v="0"/>
    <s v="PT"/>
    <x v="0"/>
    <n v="2100405"/>
    <s v="MC"/>
    <s v="AUTO WAFER PROBER M/C(AP#58)"/>
    <s v="UF3000LX"/>
    <x v="11"/>
    <s v="Prober"/>
    <s v="F25004CK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49383060"/>
    <m/>
    <m/>
    <m/>
    <m/>
    <m/>
    <n v="1000"/>
    <n v="1000"/>
    <m/>
    <m/>
    <m/>
    <m/>
    <m/>
    <s v="Test"/>
    <s v="Test"/>
    <s v="기계장치"/>
    <n v="2987661.2"/>
    <n v="93364.412500000006"/>
    <n v="31121.470833333336"/>
    <m/>
    <m/>
    <m/>
    <m/>
    <m/>
    <m/>
    <m/>
    <n v="93364.412500000006"/>
    <n v="93364.412500000006"/>
    <n v="186728.82500000001"/>
    <n v="93364.412500000006"/>
    <n v="93364.412500000006"/>
    <n v="93364.412500000006"/>
    <n v="93364.412500000006"/>
    <n v="373457.65"/>
    <n v="93364.412500000006"/>
    <n v="93364.412500000006"/>
    <n v="93364.412500000006"/>
    <n v="93364.412500000006"/>
    <n v="373457.65"/>
    <n v="93364.412500000006"/>
    <n v="93364.412500000006"/>
    <n v="93364.412500000006"/>
    <n v="93364.412500000006"/>
    <n v="373457.65"/>
    <m/>
    <m/>
    <m/>
    <n v="2987661.2"/>
  </r>
  <r>
    <n v="125"/>
    <x v="0"/>
    <m/>
    <s v="최삼현"/>
    <s v="평택"/>
    <s v="TEST"/>
    <s v="X"/>
    <s v="8&quot;"/>
    <s v="DDI"/>
    <x v="0"/>
    <s v="PT"/>
    <x v="0"/>
    <n v="2100483"/>
    <s v="MC"/>
    <s v="Automatic Wafer Prober(ND4)(AP#124)"/>
    <s v="UF3000LX"/>
    <x v="11"/>
    <s v="Prober"/>
    <s v="F25014JM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61561924"/>
    <m/>
    <m/>
    <m/>
    <m/>
    <m/>
    <n v="15146430"/>
    <n v="1000"/>
    <m/>
    <m/>
    <m/>
    <m/>
    <m/>
    <s v="Test"/>
    <s v="Test"/>
    <s v="기계장치"/>
    <n v="15903751.5"/>
    <n v="496992.234375"/>
    <n v="165664.078125"/>
    <m/>
    <m/>
    <m/>
    <m/>
    <m/>
    <m/>
    <m/>
    <n v="496992.234375"/>
    <n v="496992.234375"/>
    <n v="993984.46875"/>
    <n v="496992.234375"/>
    <n v="496992.234375"/>
    <n v="496992.234375"/>
    <n v="496992.234375"/>
    <n v="1987968.9375"/>
    <n v="496992.234375"/>
    <n v="496992.234375"/>
    <n v="496992.234375"/>
    <n v="496992.234375"/>
    <n v="1987968.9375"/>
    <n v="496992.234375"/>
    <n v="496992.234375"/>
    <n v="496992.234375"/>
    <n v="496992.234375"/>
    <n v="1987968.9375"/>
    <m/>
    <m/>
    <m/>
    <n v="15903751.5"/>
  </r>
  <r>
    <n v="126"/>
    <x v="0"/>
    <m/>
    <s v="최삼현"/>
    <s v="평택"/>
    <s v="TEST"/>
    <s v="X"/>
    <s v="8&quot;"/>
    <s v="DDI"/>
    <x v="0"/>
    <s v="PT"/>
    <x v="0"/>
    <n v="2100416"/>
    <s v="MC"/>
    <s v="AUTO WAFER PROBER(AP#212)"/>
    <s v="OPUS3"/>
    <x v="12"/>
    <s v="Prober"/>
    <s v="S15A9B09"/>
    <x v="0"/>
    <m/>
    <m/>
    <s v="Semic"/>
    <x v="0"/>
    <s v="3차"/>
    <s v="3차"/>
    <s v="해당"/>
    <s v="Wafer Test Prober"/>
    <s v="Wafer Die Test"/>
    <m/>
    <m/>
    <s v="3A992"/>
    <s v="9030.82-0000"/>
    <s v="반도체 제조 및 검사 장비"/>
    <m/>
    <m/>
    <m/>
    <m/>
    <m/>
    <m/>
    <m/>
    <m/>
    <m/>
    <m/>
    <m/>
    <m/>
    <n v="113000000"/>
    <m/>
    <m/>
    <m/>
    <m/>
    <m/>
    <n v="1000"/>
    <n v="1000"/>
    <m/>
    <m/>
    <m/>
    <m/>
    <m/>
    <s v="Test"/>
    <s v="Test"/>
    <s v="기계장치"/>
    <n v="2260000"/>
    <n v="215442.90236491026"/>
    <n v="71814.300788303415"/>
    <m/>
    <m/>
    <m/>
    <m/>
    <m/>
    <m/>
    <m/>
    <n v="215442.90236491023"/>
    <n v="215442.90236491023"/>
    <n v="430885.80472982046"/>
    <n v="215442.90236491023"/>
    <n v="215442.90236491023"/>
    <n v="215442.90236491023"/>
    <n v="215442.90236491023"/>
    <n v="861771.60945964092"/>
    <n v="215442.90236491023"/>
    <n v="215442.90236491023"/>
    <n v="215442.90236491023"/>
    <n v="215442.90236491023"/>
    <n v="861771.60945964092"/>
    <n v="215442.90236491023"/>
    <n v="215442.90236491023"/>
    <n v="215442.90236491023"/>
    <n v="215442.90236491023"/>
    <n v="861771.60945964092"/>
    <m/>
    <n v="2.2067489884176802E-4"/>
    <n v="4634172.8756771283"/>
    <n v="6894172.8756771283"/>
  </r>
  <r>
    <n v="127"/>
    <x v="0"/>
    <m/>
    <s v="최삼현"/>
    <s v="평택"/>
    <s v="TEST"/>
    <s v="X"/>
    <s v="8&quot;"/>
    <s v="DDI"/>
    <x v="0"/>
    <s v="PT"/>
    <x v="0"/>
    <n v="2101001"/>
    <s v="MC"/>
    <s v="AUTOMATIC WAFER PROBER(AP#64)"/>
    <s v="UF3000LX"/>
    <x v="11"/>
    <s v="Prober"/>
    <s v="F25013BL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72368678"/>
    <m/>
    <m/>
    <m/>
    <m/>
    <m/>
    <n v="1000"/>
    <n v="1000"/>
    <m/>
    <m/>
    <m/>
    <m/>
    <m/>
    <s v="Test"/>
    <s v="Test"/>
    <s v="기계장치"/>
    <n v="3447373.56"/>
    <n v="107730.42375"/>
    <n v="35910.141250000001"/>
    <m/>
    <m/>
    <m/>
    <m/>
    <m/>
    <m/>
    <m/>
    <n v="107730.42375"/>
    <n v="107730.42375"/>
    <n v="215460.8475"/>
    <n v="107730.42375"/>
    <n v="107730.42375"/>
    <n v="107730.42375"/>
    <n v="107730.42375"/>
    <n v="430921.69500000001"/>
    <n v="107730.42375"/>
    <n v="107730.42375"/>
    <n v="107730.42375"/>
    <n v="107730.42375"/>
    <n v="430921.69500000001"/>
    <n v="107730.42375"/>
    <n v="107730.42375"/>
    <n v="107730.42375"/>
    <n v="107730.42375"/>
    <n v="430921.69500000001"/>
    <m/>
    <m/>
    <m/>
    <n v="3447373.56"/>
  </r>
  <r>
    <n v="128"/>
    <x v="0"/>
    <m/>
    <s v="최삼현"/>
    <s v="평택"/>
    <s v="TEST"/>
    <s v="X"/>
    <s v="8&quot;"/>
    <s v="DDI"/>
    <x v="0"/>
    <s v="PT"/>
    <x v="0"/>
    <n v="2100459"/>
    <s v="MC"/>
    <s v="UF3K Prober(AP#110)"/>
    <s v="UF3000LX"/>
    <x v="11"/>
    <s v="Prober"/>
    <s v="F25001DM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63817172"/>
    <m/>
    <m/>
    <m/>
    <m/>
    <m/>
    <n v="5119287"/>
    <n v="1000"/>
    <m/>
    <m/>
    <m/>
    <m/>
    <m/>
    <s v="Test"/>
    <s v="Test"/>
    <s v="기계장치"/>
    <n v="5375251.3500000006"/>
    <n v="167976.60468750002"/>
    <n v="55992.201562500006"/>
    <m/>
    <m/>
    <m/>
    <m/>
    <m/>
    <m/>
    <m/>
    <n v="167976.60468750002"/>
    <n v="167976.60468750002"/>
    <n v="335953.20937500003"/>
    <n v="167976.60468750002"/>
    <n v="167976.60468750002"/>
    <n v="167976.60468750002"/>
    <n v="167976.60468750002"/>
    <n v="671906.41875000007"/>
    <n v="167976.60468750002"/>
    <n v="167976.60468750002"/>
    <n v="167976.60468750002"/>
    <n v="167976.60468750002"/>
    <n v="671906.41875000007"/>
    <n v="167976.60468750002"/>
    <n v="167976.60468750002"/>
    <n v="167976.60468750002"/>
    <n v="167976.60468750002"/>
    <n v="671906.41875000007"/>
    <m/>
    <m/>
    <m/>
    <n v="5375251.3500000006"/>
  </r>
  <r>
    <n v="129"/>
    <x v="0"/>
    <m/>
    <s v="최삼현"/>
    <s v="평택"/>
    <s v="TEST"/>
    <s v="X"/>
    <s v="8&quot;"/>
    <s v="DDI"/>
    <x v="0"/>
    <s v="PT"/>
    <x v="0"/>
    <n v="2100460"/>
    <s v="MC"/>
    <s v="UF3K Prober(AP#111)"/>
    <s v="UF3000LX"/>
    <x v="11"/>
    <s v="Prober"/>
    <s v="F25002DM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63817172"/>
    <m/>
    <m/>
    <m/>
    <m/>
    <m/>
    <n v="5119287"/>
    <n v="1000"/>
    <m/>
    <m/>
    <m/>
    <m/>
    <m/>
    <s v="Test"/>
    <s v="Test"/>
    <s v="기계장치"/>
    <n v="5375251.3500000006"/>
    <n v="167976.60468750002"/>
    <n v="55992.201562500006"/>
    <m/>
    <m/>
    <m/>
    <m/>
    <m/>
    <m/>
    <m/>
    <n v="167976.60468750002"/>
    <n v="167976.60468750002"/>
    <n v="335953.20937500003"/>
    <n v="167976.60468750002"/>
    <n v="167976.60468750002"/>
    <n v="167976.60468750002"/>
    <n v="167976.60468750002"/>
    <n v="671906.41875000007"/>
    <n v="167976.60468750002"/>
    <n v="167976.60468750002"/>
    <n v="167976.60468750002"/>
    <n v="167976.60468750002"/>
    <n v="671906.41875000007"/>
    <n v="167976.60468750002"/>
    <n v="167976.60468750002"/>
    <n v="167976.60468750002"/>
    <n v="167976.60468750002"/>
    <n v="671906.41875000007"/>
    <m/>
    <m/>
    <m/>
    <n v="5375251.3500000006"/>
  </r>
  <r>
    <n v="130"/>
    <x v="0"/>
    <m/>
    <s v="최삼현"/>
    <s v="평택"/>
    <s v="TEST"/>
    <s v="X"/>
    <s v="8&quot;"/>
    <s v="DDI"/>
    <x v="0"/>
    <s v="PT"/>
    <x v="0"/>
    <n v="2100461"/>
    <s v="MC"/>
    <s v="UF3K Prober(AP#112)"/>
    <s v="UF3000LX"/>
    <x v="11"/>
    <s v="Prober"/>
    <s v="F25003DM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63817171"/>
    <m/>
    <m/>
    <m/>
    <m/>
    <m/>
    <n v="5119287"/>
    <n v="1000"/>
    <m/>
    <m/>
    <m/>
    <m/>
    <m/>
    <s v="Test"/>
    <s v="Test"/>
    <s v="기계장치"/>
    <n v="5375251.3500000006"/>
    <n v="167976.60468750002"/>
    <n v="55992.201562500006"/>
    <m/>
    <m/>
    <m/>
    <m/>
    <m/>
    <m/>
    <m/>
    <n v="167976.60468750002"/>
    <n v="167976.60468750002"/>
    <n v="335953.20937500003"/>
    <n v="167976.60468750002"/>
    <n v="167976.60468750002"/>
    <n v="167976.60468750002"/>
    <n v="167976.60468750002"/>
    <n v="671906.41875000007"/>
    <n v="167976.60468750002"/>
    <n v="167976.60468750002"/>
    <n v="167976.60468750002"/>
    <n v="167976.60468750002"/>
    <n v="671906.41875000007"/>
    <n v="167976.60468750002"/>
    <n v="167976.60468750002"/>
    <n v="167976.60468750002"/>
    <n v="167976.60468750002"/>
    <n v="671906.41875000007"/>
    <m/>
    <m/>
    <m/>
    <n v="5375251.3500000006"/>
  </r>
  <r>
    <n v="131"/>
    <x v="0"/>
    <m/>
    <s v="최삼현"/>
    <s v="평택"/>
    <s v="TEST"/>
    <s v="X"/>
    <s v="8&quot;"/>
    <s v="DDI"/>
    <x v="0"/>
    <s v="PT"/>
    <x v="0"/>
    <n v="2100462"/>
    <s v="MC"/>
    <s v="UF3K Prober(AP#113)"/>
    <s v="UF3000LX"/>
    <x v="11"/>
    <s v="Prober"/>
    <s v="F25004DM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63817171"/>
    <m/>
    <m/>
    <m/>
    <m/>
    <m/>
    <n v="5119287"/>
    <n v="1000"/>
    <m/>
    <m/>
    <m/>
    <m/>
    <m/>
    <s v="Test"/>
    <s v="Test"/>
    <s v="기계장치"/>
    <n v="5375251.3500000006"/>
    <n v="167976.60468750002"/>
    <n v="55992.201562500006"/>
    <m/>
    <m/>
    <m/>
    <m/>
    <m/>
    <m/>
    <m/>
    <n v="167976.60468750002"/>
    <n v="167976.60468750002"/>
    <n v="335953.20937500003"/>
    <n v="167976.60468750002"/>
    <n v="167976.60468750002"/>
    <n v="167976.60468750002"/>
    <n v="167976.60468750002"/>
    <n v="671906.41875000007"/>
    <n v="167976.60468750002"/>
    <n v="167976.60468750002"/>
    <n v="167976.60468750002"/>
    <n v="167976.60468750002"/>
    <n v="671906.41875000007"/>
    <n v="167976.60468750002"/>
    <n v="167976.60468750002"/>
    <n v="167976.60468750002"/>
    <n v="167976.60468750002"/>
    <n v="671906.41875000007"/>
    <m/>
    <m/>
    <m/>
    <n v="5375251.3500000006"/>
  </r>
  <r>
    <n v="132"/>
    <x v="0"/>
    <m/>
    <s v="최삼현"/>
    <s v="평택"/>
    <s v="TEST"/>
    <s v="X"/>
    <s v="8&quot;"/>
    <s v="DDI"/>
    <x v="0"/>
    <s v="PT"/>
    <x v="0"/>
    <n v="2100403"/>
    <s v="MC"/>
    <s v="AUTO WAFER PROBER M/C(AP#56)"/>
    <s v="UF3000LX"/>
    <x v="11"/>
    <s v="Prober"/>
    <s v="F25001AK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156953060"/>
    <m/>
    <m/>
    <m/>
    <m/>
    <m/>
    <n v="1000"/>
    <n v="1000"/>
    <m/>
    <m/>
    <m/>
    <m/>
    <m/>
    <s v="Test"/>
    <s v="Test"/>
    <s v="기계장치"/>
    <n v="3139061.2"/>
    <n v="98095.662500000006"/>
    <n v="32698.554166666669"/>
    <m/>
    <m/>
    <m/>
    <m/>
    <m/>
    <m/>
    <m/>
    <n v="98095.662500000006"/>
    <n v="98095.662500000006"/>
    <n v="196191.32500000001"/>
    <n v="98095.662500000006"/>
    <n v="98095.662500000006"/>
    <n v="98095.662500000006"/>
    <n v="98095.662500000006"/>
    <n v="392382.65"/>
    <n v="98095.662500000006"/>
    <n v="98095.662500000006"/>
    <n v="98095.662500000006"/>
    <n v="98095.662500000006"/>
    <n v="392382.65"/>
    <n v="98095.662500000006"/>
    <n v="98095.662500000006"/>
    <n v="98095.662500000006"/>
    <n v="98095.662500000006"/>
    <n v="392382.65"/>
    <m/>
    <m/>
    <m/>
    <n v="3139061.2"/>
  </r>
  <r>
    <n v="133"/>
    <x v="0"/>
    <m/>
    <s v="최삼현"/>
    <m/>
    <s v="TEST"/>
    <m/>
    <m/>
    <m/>
    <x v="1"/>
    <m/>
    <x v="3"/>
    <m/>
    <m/>
    <s v="중복 내용으로 삭제"/>
    <m/>
    <x v="0"/>
    <m/>
    <m/>
    <x v="0"/>
    <m/>
    <m/>
    <m/>
    <x v="2"/>
    <s v="3차"/>
    <s v="3차"/>
    <m/>
    <m/>
    <m/>
    <m/>
    <m/>
    <m/>
    <m/>
    <m/>
    <m/>
    <m/>
    <m/>
    <m/>
    <m/>
    <m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</r>
  <r>
    <n v="134"/>
    <x v="0"/>
    <m/>
    <s v="최삼현"/>
    <m/>
    <s v="TEST"/>
    <m/>
    <m/>
    <m/>
    <x v="1"/>
    <m/>
    <x v="3"/>
    <m/>
    <m/>
    <s v="중복 내용으로 삭제"/>
    <m/>
    <x v="0"/>
    <m/>
    <m/>
    <x v="0"/>
    <m/>
    <m/>
    <m/>
    <x v="2"/>
    <s v="3차"/>
    <s v="3차"/>
    <m/>
    <m/>
    <m/>
    <m/>
    <m/>
    <m/>
    <m/>
    <m/>
    <m/>
    <m/>
    <m/>
    <m/>
    <m/>
    <m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</r>
  <r>
    <n v="135"/>
    <x v="0"/>
    <m/>
    <s v="최삼현"/>
    <m/>
    <s v="TEST"/>
    <m/>
    <m/>
    <m/>
    <x v="1"/>
    <m/>
    <x v="3"/>
    <m/>
    <m/>
    <s v="중복 내용으로 삭제"/>
    <m/>
    <x v="0"/>
    <m/>
    <m/>
    <x v="0"/>
    <m/>
    <m/>
    <m/>
    <x v="2"/>
    <s v="3차"/>
    <s v="3차"/>
    <m/>
    <m/>
    <m/>
    <m/>
    <m/>
    <m/>
    <m/>
    <m/>
    <m/>
    <m/>
    <m/>
    <m/>
    <m/>
    <m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</r>
  <r>
    <n v="136"/>
    <x v="0"/>
    <m/>
    <s v="최삼현"/>
    <m/>
    <s v="TEST"/>
    <m/>
    <m/>
    <m/>
    <x v="1"/>
    <m/>
    <x v="3"/>
    <m/>
    <m/>
    <s v="중복 내용으로 삭제"/>
    <m/>
    <x v="0"/>
    <m/>
    <m/>
    <x v="0"/>
    <m/>
    <m/>
    <m/>
    <x v="2"/>
    <s v="3차"/>
    <s v="3차"/>
    <m/>
    <m/>
    <m/>
    <m/>
    <m/>
    <m/>
    <m/>
    <m/>
    <m/>
    <m/>
    <m/>
    <m/>
    <m/>
    <m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</r>
  <r>
    <n v="137"/>
    <x v="0"/>
    <m/>
    <s v="최삼현"/>
    <m/>
    <s v="TEST"/>
    <m/>
    <m/>
    <m/>
    <x v="1"/>
    <m/>
    <x v="3"/>
    <m/>
    <m/>
    <s v="중복 내용으로 삭제"/>
    <m/>
    <x v="0"/>
    <m/>
    <m/>
    <x v="0"/>
    <m/>
    <m/>
    <m/>
    <x v="2"/>
    <s v="3차"/>
    <s v="3차"/>
    <m/>
    <m/>
    <m/>
    <m/>
    <m/>
    <m/>
    <m/>
    <m/>
    <m/>
    <m/>
    <m/>
    <m/>
    <m/>
    <m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</r>
  <r>
    <n v="138"/>
    <x v="0"/>
    <m/>
    <s v="최삼현"/>
    <m/>
    <s v="TEST"/>
    <m/>
    <m/>
    <m/>
    <x v="1"/>
    <m/>
    <x v="3"/>
    <m/>
    <m/>
    <s v="중복 내용으로 삭제"/>
    <m/>
    <x v="0"/>
    <m/>
    <m/>
    <x v="0"/>
    <m/>
    <m/>
    <m/>
    <x v="2"/>
    <s v="3차"/>
    <s v="3차"/>
    <m/>
    <m/>
    <m/>
    <m/>
    <m/>
    <m/>
    <m/>
    <m/>
    <m/>
    <m/>
    <m/>
    <m/>
    <m/>
    <m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</r>
  <r>
    <n v="139"/>
    <x v="0"/>
    <m/>
    <s v="최삼현"/>
    <m/>
    <s v="TEST"/>
    <m/>
    <m/>
    <m/>
    <x v="1"/>
    <m/>
    <x v="3"/>
    <m/>
    <m/>
    <s v="중복 내용으로 삭제"/>
    <m/>
    <x v="0"/>
    <m/>
    <m/>
    <x v="0"/>
    <m/>
    <m/>
    <m/>
    <x v="2"/>
    <s v="3차"/>
    <s v="3차"/>
    <m/>
    <m/>
    <m/>
    <m/>
    <m/>
    <m/>
    <m/>
    <m/>
    <m/>
    <m/>
    <m/>
    <m/>
    <m/>
    <m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</r>
  <r>
    <n v="140"/>
    <x v="0"/>
    <m/>
    <s v="최삼현"/>
    <s v="평택"/>
    <s v="TEST"/>
    <s v="X"/>
    <s v="8&quot;"/>
    <s v="DDI"/>
    <x v="0"/>
    <s v="PT"/>
    <x v="0"/>
    <n v="2100342"/>
    <s v="MC"/>
    <s v="LCD TEST SYSTEM M/C(AT#49)"/>
    <s v="T6373"/>
    <x v="5"/>
    <s v="Tester"/>
    <n v="310627496"/>
    <x v="0"/>
    <m/>
    <s v="일본"/>
    <s v="ADVANTEST"/>
    <x v="0"/>
    <s v="3차"/>
    <s v="3차"/>
    <s v="해당"/>
    <s v="Wafer Tester"/>
    <s v="Wafer Die Test"/>
    <m/>
    <m/>
    <s v="3B992"/>
    <s v="9030.82-0000"/>
    <s v="반도체 Test 장비"/>
    <m/>
    <m/>
    <m/>
    <m/>
    <m/>
    <m/>
    <m/>
    <m/>
    <m/>
    <m/>
    <m/>
    <m/>
    <n v="715310752"/>
    <m/>
    <m/>
    <m/>
    <m/>
    <m/>
    <n v="1000"/>
    <n v="1000"/>
    <m/>
    <m/>
    <m/>
    <m/>
    <m/>
    <s v="Test"/>
    <s v="Test"/>
    <s v="기계장치"/>
    <n v="14306215.040000001"/>
    <n v="1363793.137200943"/>
    <n v="454597.71240031434"/>
    <m/>
    <m/>
    <m/>
    <m/>
    <m/>
    <m/>
    <m/>
    <n v="1363793.137200943"/>
    <n v="1363793.137200943"/>
    <n v="2727586.2744018859"/>
    <n v="1363793.137200943"/>
    <n v="1363793.137200943"/>
    <n v="1363793.137200943"/>
    <n v="1363793.137200943"/>
    <n v="5455172.5488037718"/>
    <n v="1363793.137200943"/>
    <n v="1363793.137200943"/>
    <n v="1363793.137200943"/>
    <n v="1363793.137200943"/>
    <n v="5455172.5488037718"/>
    <n v="1363793.137200943"/>
    <n v="1363793.137200943"/>
    <n v="1363793.137200943"/>
    <n v="1363793.137200943"/>
    <n v="5455172.5488037718"/>
    <m/>
    <n v="1.3969126357347701E-3"/>
    <n v="29335165.350430172"/>
    <n v="43641380.390430175"/>
  </r>
  <r>
    <n v="141"/>
    <x v="0"/>
    <m/>
    <s v="최삼현"/>
    <s v="평택"/>
    <s v="TEST"/>
    <s v="X"/>
    <s v="8&quot;"/>
    <s v="DDI"/>
    <x v="0"/>
    <s v="PT"/>
    <x v="0"/>
    <n v="2100343"/>
    <s v="MC"/>
    <s v="LCD TEST SYSTEM M/C(AT#50)"/>
    <s v="T6373"/>
    <x v="5"/>
    <s v="Tester"/>
    <n v="310627497"/>
    <x v="0"/>
    <m/>
    <s v="일본"/>
    <s v="ADVANTEST"/>
    <x v="0"/>
    <s v="3차"/>
    <s v="3차"/>
    <s v="해당"/>
    <s v="Wafer Tester"/>
    <s v="Wafer Die Test"/>
    <m/>
    <m/>
    <s v="3B992"/>
    <s v="9030.82-0000"/>
    <s v="반도체 Test 장비"/>
    <m/>
    <m/>
    <m/>
    <m/>
    <m/>
    <m/>
    <m/>
    <m/>
    <m/>
    <m/>
    <m/>
    <m/>
    <n v="715310752"/>
    <m/>
    <m/>
    <m/>
    <m/>
    <m/>
    <n v="1000"/>
    <n v="1000"/>
    <m/>
    <m/>
    <m/>
    <m/>
    <m/>
    <s v="Test"/>
    <s v="Test"/>
    <s v="기계장치"/>
    <n v="14306215.040000001"/>
    <n v="1363793.137200943"/>
    <n v="454597.71240031434"/>
    <m/>
    <m/>
    <m/>
    <m/>
    <m/>
    <m/>
    <m/>
    <n v="1363793.137200943"/>
    <n v="1363793.137200943"/>
    <n v="2727586.2744018859"/>
    <n v="1363793.137200943"/>
    <n v="1363793.137200943"/>
    <n v="1363793.137200943"/>
    <n v="1363793.137200943"/>
    <n v="5455172.5488037718"/>
    <n v="1363793.137200943"/>
    <n v="1363793.137200943"/>
    <n v="1363793.137200943"/>
    <n v="1363793.137200943"/>
    <n v="5455172.5488037718"/>
    <n v="1363793.137200943"/>
    <n v="1363793.137200943"/>
    <n v="1363793.137200943"/>
    <n v="1363793.137200943"/>
    <n v="5455172.5488037718"/>
    <m/>
    <n v="1.3969126357347701E-3"/>
    <n v="29335165.350430172"/>
    <n v="43641380.390430175"/>
  </r>
  <r>
    <n v="142"/>
    <x v="0"/>
    <m/>
    <s v="최삼현"/>
    <s v="평택"/>
    <s v="TEST"/>
    <s v="X"/>
    <s v="8&quot;"/>
    <s v="DDI"/>
    <x v="0"/>
    <s v="PT"/>
    <x v="0"/>
    <n v="2100344"/>
    <s v="MC"/>
    <s v="LCD TEST SYSTEM M/C(AT#51)"/>
    <s v="T6373"/>
    <x v="5"/>
    <s v="Tester"/>
    <n v="310627498"/>
    <x v="0"/>
    <m/>
    <s v="일본"/>
    <s v="ADVANTEST"/>
    <x v="0"/>
    <s v="3차"/>
    <s v="3차"/>
    <s v="해당"/>
    <s v="Wafer Tester"/>
    <s v="Wafer Die Test"/>
    <m/>
    <m/>
    <s v="3B992"/>
    <s v="9030.82-0000"/>
    <s v="반도체 Test 장비"/>
    <m/>
    <m/>
    <m/>
    <m/>
    <m/>
    <m/>
    <m/>
    <m/>
    <m/>
    <m/>
    <m/>
    <m/>
    <n v="715310751"/>
    <m/>
    <m/>
    <m/>
    <m/>
    <m/>
    <n v="1000"/>
    <n v="1000"/>
    <m/>
    <m/>
    <m/>
    <m/>
    <m/>
    <s v="Test"/>
    <s v="Test"/>
    <s v="기계장치"/>
    <n v="14306215.02"/>
    <n v="1363793.1352943685"/>
    <n v="454597.71176478948"/>
    <m/>
    <m/>
    <m/>
    <m/>
    <m/>
    <m/>
    <m/>
    <n v="1363793.1352943685"/>
    <n v="1363793.1352943685"/>
    <n v="2727586.270588737"/>
    <n v="1363793.1352943685"/>
    <n v="1363793.1352943685"/>
    <n v="1363793.1352943685"/>
    <n v="1363793.1352943685"/>
    <n v="5455172.541177474"/>
    <n v="1363793.1352943685"/>
    <n v="1363793.1352943685"/>
    <n v="1363793.1352943685"/>
    <n v="1363793.1352943685"/>
    <n v="5455172.541177474"/>
    <n v="1363793.1352943685"/>
    <n v="1363793.1352943685"/>
    <n v="1363793.1352943685"/>
    <n v="1363793.1352943685"/>
    <n v="5455172.541177474"/>
    <m/>
    <n v="1.3969126337818947E-3"/>
    <n v="29335165.309419788"/>
    <n v="43641380.329419792"/>
  </r>
  <r>
    <n v="143"/>
    <x v="0"/>
    <m/>
    <s v="최삼현"/>
    <s v="평택"/>
    <s v="TEST"/>
    <s v="X"/>
    <s v="8&quot;"/>
    <s v="DDI"/>
    <x v="0"/>
    <s v="PT"/>
    <x v="0"/>
    <n v="2100348"/>
    <s v="MC"/>
    <s v="LCD TEST SYSTEM M/C(AT#52)"/>
    <s v="T6373"/>
    <x v="5"/>
    <s v="Tester"/>
    <n v="310627499"/>
    <x v="0"/>
    <m/>
    <s v="일본"/>
    <s v="ADVANTEST"/>
    <x v="0"/>
    <s v="3차"/>
    <s v="3차"/>
    <s v="해당"/>
    <s v="Wafer Tester"/>
    <s v="Wafer Die Test"/>
    <m/>
    <m/>
    <s v="3B992"/>
    <s v="9030.82-0000"/>
    <s v="반도체 Test 장비"/>
    <m/>
    <m/>
    <m/>
    <m/>
    <m/>
    <m/>
    <m/>
    <m/>
    <m/>
    <m/>
    <m/>
    <m/>
    <n v="713898270"/>
    <m/>
    <m/>
    <m/>
    <m/>
    <m/>
    <n v="1000"/>
    <n v="1000"/>
    <m/>
    <m/>
    <m/>
    <m/>
    <m/>
    <s v="Test"/>
    <s v="Test"/>
    <s v="기계장치"/>
    <n v="14277965.4"/>
    <n v="1361100.1352397199"/>
    <n v="453700.04507990665"/>
    <m/>
    <m/>
    <m/>
    <m/>
    <m/>
    <m/>
    <m/>
    <n v="1361100.1352397199"/>
    <n v="1361100.1352397199"/>
    <n v="2722200.2704794398"/>
    <n v="1361100.1352397199"/>
    <n v="1361100.1352397199"/>
    <n v="1361100.1352397199"/>
    <n v="1361100.1352397199"/>
    <n v="5444400.5409588795"/>
    <n v="1361100.1352397199"/>
    <n v="1361100.1352397199"/>
    <n v="1361100.1352397199"/>
    <n v="1361100.1352397199"/>
    <n v="5444400.5409588795"/>
    <n v="1361100.1352397199"/>
    <n v="1361100.1352397199"/>
    <n v="1361100.1352397199"/>
    <n v="1361100.1352397199"/>
    <n v="5444400.5409588795"/>
    <m/>
    <n v="1.3941542346510019E-3"/>
    <n v="29277238.927671038"/>
    <n v="43555204.327671036"/>
  </r>
  <r>
    <n v="144"/>
    <x v="0"/>
    <m/>
    <s v="최삼현"/>
    <s v="평택"/>
    <s v="TEST"/>
    <s v="X"/>
    <s v="8&quot;"/>
    <s v="DDI"/>
    <x v="0"/>
    <s v="PT"/>
    <x v="0"/>
    <n v="2100362"/>
    <s v="MC"/>
    <s v="LCD TEST SYSTEM M/C(AT#53)"/>
    <s v="T6373"/>
    <x v="5"/>
    <s v="Tester"/>
    <n v="310627500"/>
    <x v="0"/>
    <m/>
    <s v="일본"/>
    <s v="ADVANTEST"/>
    <x v="0"/>
    <s v="3차"/>
    <s v="3차"/>
    <s v="해당"/>
    <s v="Wafer Tester"/>
    <s v="Wafer Die Test"/>
    <m/>
    <m/>
    <s v="3B992"/>
    <s v="9030.82-0000"/>
    <s v="반도체 Test 장비"/>
    <m/>
    <m/>
    <m/>
    <m/>
    <m/>
    <m/>
    <m/>
    <m/>
    <m/>
    <m/>
    <m/>
    <m/>
    <n v="713898270"/>
    <m/>
    <m/>
    <m/>
    <m/>
    <m/>
    <n v="1000"/>
    <n v="1000"/>
    <m/>
    <m/>
    <m/>
    <m/>
    <m/>
    <s v="Test"/>
    <s v="Test"/>
    <s v="기계장치"/>
    <n v="14277965.4"/>
    <n v="1361100.1352397199"/>
    <n v="453700.04507990665"/>
    <m/>
    <m/>
    <m/>
    <m/>
    <m/>
    <m/>
    <m/>
    <n v="1361100.1352397199"/>
    <n v="1361100.1352397199"/>
    <n v="2722200.2704794398"/>
    <n v="1361100.1352397199"/>
    <n v="1361100.1352397199"/>
    <n v="1361100.1352397199"/>
    <n v="1361100.1352397199"/>
    <n v="5444400.5409588795"/>
    <n v="1361100.1352397199"/>
    <n v="1361100.1352397199"/>
    <n v="1361100.1352397199"/>
    <n v="1361100.1352397199"/>
    <n v="5444400.5409588795"/>
    <n v="1361100.1352397199"/>
    <n v="1361100.1352397199"/>
    <n v="1361100.1352397199"/>
    <n v="1361100.1352397199"/>
    <n v="5444400.5409588795"/>
    <m/>
    <n v="1.3941542346510019E-3"/>
    <n v="29277238.927671038"/>
    <n v="43555204.327671036"/>
  </r>
  <r>
    <n v="145"/>
    <x v="0"/>
    <m/>
    <s v="최삼현"/>
    <s v="평택"/>
    <s v="TEST"/>
    <s v="X"/>
    <s v="8&quot;"/>
    <s v="DDI"/>
    <x v="0"/>
    <s v="PT"/>
    <x v="0"/>
    <n v="2100363"/>
    <s v="MC"/>
    <s v="LCD TEST SYSTEM M/C(AT#54)"/>
    <s v="T6373"/>
    <x v="5"/>
    <s v="Tester"/>
    <n v="310628903"/>
    <x v="0"/>
    <m/>
    <s v="일본"/>
    <s v="ADVANTEST"/>
    <x v="0"/>
    <s v="3차"/>
    <s v="3차"/>
    <s v="해당"/>
    <s v="Wafer Tester"/>
    <s v="Wafer Die Test"/>
    <m/>
    <m/>
    <s v="3B992"/>
    <s v="9030.82-0000"/>
    <s v="반도체 Test 장비"/>
    <m/>
    <m/>
    <m/>
    <m/>
    <m/>
    <m/>
    <m/>
    <m/>
    <m/>
    <m/>
    <m/>
    <m/>
    <n v="713898270"/>
    <m/>
    <m/>
    <m/>
    <m/>
    <m/>
    <n v="1000"/>
    <n v="1000"/>
    <m/>
    <m/>
    <m/>
    <m/>
    <m/>
    <s v="Test"/>
    <s v="Test"/>
    <s v="기계장치"/>
    <n v="14277965.4"/>
    <n v="1361100.1352397199"/>
    <n v="453700.04507990665"/>
    <m/>
    <m/>
    <m/>
    <m/>
    <m/>
    <m/>
    <m/>
    <n v="1361100.1352397199"/>
    <n v="1361100.1352397199"/>
    <n v="2722200.2704794398"/>
    <n v="1361100.1352397199"/>
    <n v="1361100.1352397199"/>
    <n v="1361100.1352397199"/>
    <n v="1361100.1352397199"/>
    <n v="5444400.5409588795"/>
    <n v="1361100.1352397199"/>
    <n v="1361100.1352397199"/>
    <n v="1361100.1352397199"/>
    <n v="1361100.1352397199"/>
    <n v="5444400.5409588795"/>
    <n v="1361100.1352397199"/>
    <n v="1361100.1352397199"/>
    <n v="1361100.1352397199"/>
    <n v="1361100.1352397199"/>
    <n v="5444400.5409588795"/>
    <m/>
    <n v="1.3941542346510019E-3"/>
    <n v="29277238.927671038"/>
    <n v="43555204.327671036"/>
  </r>
  <r>
    <n v="146"/>
    <x v="0"/>
    <m/>
    <s v="최삼현"/>
    <s v="평택"/>
    <s v="TEST"/>
    <s v="X"/>
    <s v="8&quot;"/>
    <s v="DDI"/>
    <x v="0"/>
    <s v="PT"/>
    <x v="0"/>
    <n v="2100364"/>
    <s v="MC"/>
    <s v="LCD TEST SYSTEM M/C(AT#55)"/>
    <s v="T6373"/>
    <x v="5"/>
    <s v="Tester"/>
    <n v="310626542"/>
    <x v="0"/>
    <m/>
    <s v="일본"/>
    <s v="ADVANTEST"/>
    <x v="0"/>
    <s v="3차"/>
    <s v="3차"/>
    <s v="해당"/>
    <s v="Wafer Tester"/>
    <s v="Wafer Die Test"/>
    <m/>
    <m/>
    <s v="3B992"/>
    <s v="9030.82-0000"/>
    <s v="반도체 Test 장비"/>
    <m/>
    <m/>
    <m/>
    <m/>
    <m/>
    <m/>
    <m/>
    <m/>
    <m/>
    <m/>
    <m/>
    <m/>
    <n v="713898270"/>
    <m/>
    <m/>
    <m/>
    <m/>
    <m/>
    <n v="1000"/>
    <n v="1000"/>
    <m/>
    <m/>
    <m/>
    <m/>
    <m/>
    <s v="Test"/>
    <s v="Test"/>
    <s v="기계장치"/>
    <n v="14277965.4"/>
    <n v="1361100.1352397199"/>
    <n v="453700.04507990665"/>
    <m/>
    <m/>
    <m/>
    <m/>
    <m/>
    <m/>
    <m/>
    <n v="1361100.1352397199"/>
    <n v="1361100.1352397199"/>
    <n v="2722200.2704794398"/>
    <n v="1361100.1352397199"/>
    <n v="1361100.1352397199"/>
    <n v="1361100.1352397199"/>
    <n v="1361100.1352397199"/>
    <n v="5444400.5409588795"/>
    <n v="1361100.1352397199"/>
    <n v="1361100.1352397199"/>
    <n v="1361100.1352397199"/>
    <n v="1361100.1352397199"/>
    <n v="5444400.5409588795"/>
    <n v="1361100.1352397199"/>
    <n v="1361100.1352397199"/>
    <n v="1361100.1352397199"/>
    <n v="1361100.1352397199"/>
    <n v="5444400.5409588795"/>
    <m/>
    <n v="1.3941542346510019E-3"/>
    <n v="29277238.927671038"/>
    <n v="43555204.327671036"/>
  </r>
  <r>
    <n v="147"/>
    <x v="0"/>
    <m/>
    <s v="최삼현"/>
    <m/>
    <s v="TEST"/>
    <m/>
    <m/>
    <m/>
    <x v="1"/>
    <m/>
    <x v="3"/>
    <m/>
    <m/>
    <s v="중복 내용으로 삭제"/>
    <m/>
    <x v="0"/>
    <m/>
    <m/>
    <x v="0"/>
    <m/>
    <m/>
    <m/>
    <x v="2"/>
    <s v="3차"/>
    <s v="3차"/>
    <m/>
    <m/>
    <m/>
    <m/>
    <m/>
    <m/>
    <m/>
    <m/>
    <m/>
    <m/>
    <m/>
    <m/>
    <m/>
    <m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</r>
  <r>
    <n v="148"/>
    <x v="0"/>
    <m/>
    <s v="최삼현"/>
    <m/>
    <s v="TEST"/>
    <m/>
    <m/>
    <m/>
    <x v="1"/>
    <m/>
    <x v="3"/>
    <m/>
    <m/>
    <s v="중복 내용으로 삭제"/>
    <m/>
    <x v="0"/>
    <m/>
    <m/>
    <x v="0"/>
    <m/>
    <m/>
    <m/>
    <x v="2"/>
    <s v="3차"/>
    <s v="3차"/>
    <m/>
    <m/>
    <m/>
    <m/>
    <m/>
    <m/>
    <m/>
    <m/>
    <m/>
    <m/>
    <m/>
    <m/>
    <m/>
    <m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</r>
  <r>
    <n v="149"/>
    <x v="0"/>
    <m/>
    <s v="최삼현"/>
    <m/>
    <s v="TEST"/>
    <m/>
    <m/>
    <m/>
    <x v="1"/>
    <m/>
    <x v="3"/>
    <m/>
    <m/>
    <s v="중복 내용으로 삭제"/>
    <m/>
    <x v="0"/>
    <m/>
    <m/>
    <x v="0"/>
    <m/>
    <m/>
    <m/>
    <x v="2"/>
    <s v="3차"/>
    <s v="3차"/>
    <m/>
    <m/>
    <m/>
    <m/>
    <m/>
    <m/>
    <m/>
    <m/>
    <m/>
    <m/>
    <m/>
    <m/>
    <m/>
    <m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</r>
  <r>
    <n v="150"/>
    <x v="0"/>
    <m/>
    <s v="최삼현"/>
    <s v="평택"/>
    <s v="TEST"/>
    <m/>
    <s v="8&quot;"/>
    <s v="DDI"/>
    <x v="0"/>
    <s v="PT"/>
    <x v="0"/>
    <n v="2100226"/>
    <s v="MC"/>
    <s v="TEST SYSTEM M/C ST6730(Y#24)"/>
    <s v="ST6731A"/>
    <x v="2"/>
    <s v="Tester"/>
    <s v="327F14001M"/>
    <x v="0"/>
    <s v="매각"/>
    <s v="일본"/>
    <s v="YOKOGAWA"/>
    <x v="0"/>
    <s v="3차"/>
    <s v="3차"/>
    <s v="해당"/>
    <s v="Wafer Tester"/>
    <s v="Wafer Die Test"/>
    <s v="1.25Ghz"/>
    <m/>
    <s v="3B992"/>
    <s v="9030.82-0000"/>
    <s v="반도체 Test 장비"/>
    <m/>
    <d v="2009-09-30T00:00:00"/>
    <d v="2009-09-30T00:00:00"/>
    <n v="-109.82465753424657"/>
    <n v="8"/>
    <s v="안성2공장"/>
    <s v="매각"/>
    <m/>
    <m/>
    <m/>
    <m/>
    <m/>
    <n v="450335677"/>
    <m/>
    <m/>
    <n v="450335677"/>
    <m/>
    <m/>
    <n v="1000"/>
    <n v="1000"/>
    <n v="96"/>
    <n v="195"/>
    <n v="0"/>
    <m/>
    <m/>
    <s v="Test"/>
    <s v="Test"/>
    <s v="기계장치"/>
    <n v="9006713.540000001"/>
    <n v="858598.45390572376"/>
    <n v="286199.48463524127"/>
    <m/>
    <m/>
    <m/>
    <m/>
    <m/>
    <m/>
    <m/>
    <n v="858598.45390572376"/>
    <n v="858598.45390572376"/>
    <n v="1717196.9078114475"/>
    <n v="858598.45390572376"/>
    <n v="858598.45390572376"/>
    <n v="858598.45390572376"/>
    <n v="858598.45390572376"/>
    <n v="3434393.815622895"/>
    <n v="858598.45390572376"/>
    <n v="858598.45390572376"/>
    <n v="858598.45390572376"/>
    <n v="858598.45390572376"/>
    <n v="3434393.815622895"/>
    <n v="858598.45390572376"/>
    <n v="858598.45390572376"/>
    <n v="858598.45390572376"/>
    <n v="858598.45390572376"/>
    <n v="3434393.815622895"/>
    <m/>
    <n v="8.7944938023729318E-4"/>
    <n v="18468436.984983157"/>
    <n v="27475150.52498316"/>
  </r>
  <r>
    <n v="151"/>
    <x v="0"/>
    <m/>
    <s v="최삼현"/>
    <m/>
    <s v="TEST"/>
    <m/>
    <m/>
    <m/>
    <x v="1"/>
    <m/>
    <x v="3"/>
    <m/>
    <m/>
    <s v="중복 내용으로 삭제"/>
    <m/>
    <x v="0"/>
    <m/>
    <m/>
    <x v="0"/>
    <m/>
    <m/>
    <m/>
    <x v="2"/>
    <s v="3차"/>
    <s v="3차"/>
    <m/>
    <m/>
    <m/>
    <m/>
    <m/>
    <m/>
    <m/>
    <m/>
    <m/>
    <m/>
    <m/>
    <m/>
    <m/>
    <m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</r>
  <r>
    <n v="152"/>
    <x v="0"/>
    <m/>
    <s v="최삼현"/>
    <s v="평택"/>
    <s v="TEST"/>
    <s v="X"/>
    <s v="8&quot;"/>
    <s v="DDI"/>
    <x v="0"/>
    <s v="PT"/>
    <x v="0"/>
    <n v="2101488"/>
    <s v="MC"/>
    <s v="TEST SYSTEM T6391(AT#106)"/>
    <s v="T6391"/>
    <x v="14"/>
    <s v="Tester"/>
    <n v="310757563"/>
    <x v="0"/>
    <m/>
    <s v="일본"/>
    <s v="ADVANTEST"/>
    <x v="1"/>
    <s v="3차"/>
    <s v="3차"/>
    <s v="해당"/>
    <s v="Wafer Tester"/>
    <s v="반도체 Tester"/>
    <m/>
    <m/>
    <s v="3B992"/>
    <s v="9030.82-0000"/>
    <s v="반도체 Test 장비"/>
    <m/>
    <m/>
    <m/>
    <m/>
    <m/>
    <m/>
    <m/>
    <m/>
    <m/>
    <m/>
    <m/>
    <m/>
    <n v="736688582"/>
    <m/>
    <m/>
    <m/>
    <m/>
    <m/>
    <n v="1000"/>
    <n v="1000"/>
    <m/>
    <m/>
    <m/>
    <m/>
    <m/>
    <s v="Test"/>
    <s v="Test"/>
    <s v="기계장치"/>
    <n v="14733771.640000001"/>
    <n v="1404551.5596917716"/>
    <n v="468183.85323059052"/>
    <m/>
    <m/>
    <n v="1404551.5596917716"/>
    <n v="1404551.5596917716"/>
    <n v="2809103.1193835433"/>
    <n v="1404551.5596917716"/>
    <n v="1404551.5596917716"/>
    <n v="1404551.5596917716"/>
    <n v="1404551.5596917716"/>
    <n v="5618206.2387670865"/>
    <n v="1404551.5596917716"/>
    <n v="1404551.5596917716"/>
    <n v="1404551.5596917716"/>
    <n v="1404551.5596917716"/>
    <n v="5618206.2387670865"/>
    <n v="1404551.5596917716"/>
    <n v="1404551.5596917716"/>
    <n v="1404551.5596917716"/>
    <n v="1404551.5596917716"/>
    <n v="5618206.2387670865"/>
    <n v="1404551.5596917716"/>
    <n v="1404551.5596917716"/>
    <n v="1404551.5596917716"/>
    <n v="1404551.5596917716"/>
    <n v="5618206.2387670865"/>
    <m/>
    <n v="1.4386608700065091E-3"/>
    <n v="30211878.270136692"/>
    <n v="44945649.910136692"/>
  </r>
  <r>
    <n v="153"/>
    <x v="0"/>
    <m/>
    <s v="최삼현"/>
    <s v="평택"/>
    <s v="TEST"/>
    <s v="X"/>
    <s v="8&quot;"/>
    <s v="DDI"/>
    <x v="0"/>
    <s v="PT"/>
    <x v="0"/>
    <n v="2101498"/>
    <s v="MC"/>
    <s v="LCD DRIVER TESTER T6391(ND4)(AT#116)"/>
    <s v="T6391"/>
    <x v="14"/>
    <s v="Tester"/>
    <n v="310844206"/>
    <x v="0"/>
    <m/>
    <s v="일본"/>
    <s v="ADVANTEST"/>
    <x v="1"/>
    <s v="3차"/>
    <s v="3차"/>
    <s v="해당"/>
    <s v="Wafer Tester"/>
    <s v="반도체 Tester"/>
    <m/>
    <m/>
    <s v="3B992"/>
    <s v="9030.82-0000"/>
    <s v="반도체 Test 장비"/>
    <m/>
    <m/>
    <m/>
    <m/>
    <m/>
    <m/>
    <m/>
    <m/>
    <m/>
    <m/>
    <m/>
    <m/>
    <n v="723127864"/>
    <m/>
    <m/>
    <m/>
    <m/>
    <m/>
    <n v="52722054"/>
    <n v="1000"/>
    <m/>
    <m/>
    <m/>
    <m/>
    <m/>
    <s v="Test"/>
    <s v="Test"/>
    <s v="기계장치"/>
    <n v="55358156.700000003"/>
    <n v="5277222.1013360638"/>
    <n v="1759074.0337786879"/>
    <m/>
    <m/>
    <n v="5277222.1013360638"/>
    <n v="5277222.1013360638"/>
    <n v="10554444.202672128"/>
    <n v="5277222.1013360638"/>
    <n v="5277222.1013360638"/>
    <n v="5277222.1013360638"/>
    <n v="5277222.1013360638"/>
    <n v="21108888.405344255"/>
    <n v="5277222.1013360638"/>
    <n v="5277222.1013360638"/>
    <n v="5277222.1013360638"/>
    <n v="5277222.1013360638"/>
    <n v="21108888.405344255"/>
    <n v="5277222.1013360638"/>
    <n v="5277222.1013360638"/>
    <n v="5277222.1013360638"/>
    <n v="5277222.1013360638"/>
    <n v="21108888.405344255"/>
    <n v="5277222.1013360638"/>
    <n v="5277222.1013360638"/>
    <n v="5277222.1013360638"/>
    <n v="5277222.1013360638"/>
    <n v="21108888.405344255"/>
    <m/>
    <n v="5.4053785972740017E-3"/>
    <n v="113512950.54275404"/>
    <n v="168871107.24275404"/>
  </r>
  <r>
    <n v="154"/>
    <x v="0"/>
    <m/>
    <s v="최삼현"/>
    <s v="평택"/>
    <s v="TEST"/>
    <s v="X"/>
    <s v="8&quot;"/>
    <s v="DDI"/>
    <x v="0"/>
    <s v="PT"/>
    <x v="0"/>
    <n v="2100487"/>
    <s v="MC"/>
    <s v="LCD DRIVER TESTER T6391(ND4)(AT#124)"/>
    <s v="T6391"/>
    <x v="14"/>
    <s v="Tester"/>
    <n v="310857926"/>
    <x v="0"/>
    <m/>
    <s v="일본"/>
    <s v="ADVANTEST"/>
    <x v="1"/>
    <s v="3차"/>
    <s v="3차"/>
    <s v="해당"/>
    <s v="Wafer Tester"/>
    <s v="반도체 Tester"/>
    <m/>
    <m/>
    <s v="3B992"/>
    <s v="9030.82-0000"/>
    <s v="반도체 Test 장비"/>
    <m/>
    <m/>
    <m/>
    <m/>
    <m/>
    <m/>
    <m/>
    <m/>
    <m/>
    <m/>
    <m/>
    <m/>
    <n v="721355505"/>
    <m/>
    <m/>
    <m/>
    <m/>
    <m/>
    <n v="67627079"/>
    <n v="1000"/>
    <m/>
    <m/>
    <m/>
    <m/>
    <m/>
    <s v="Test"/>
    <s v="Test"/>
    <s v="기계장치"/>
    <n v="71008432.950000003"/>
    <n v="6769142.8704124466"/>
    <n v="2256380.9568041489"/>
    <m/>
    <m/>
    <n v="6769142.8704124466"/>
    <n v="6769142.8704124466"/>
    <n v="13538285.740824893"/>
    <n v="6769142.8704124466"/>
    <n v="6769142.8704124466"/>
    <n v="6769142.8704124466"/>
    <n v="6769142.8704124466"/>
    <n v="27076571.481649786"/>
    <n v="6769142.8704124466"/>
    <n v="6769142.8704124466"/>
    <n v="6769142.8704124466"/>
    <n v="6769142.8704124466"/>
    <n v="27076571.481649786"/>
    <n v="6769142.8704124466"/>
    <n v="6769142.8704124466"/>
    <n v="6769142.8704124466"/>
    <n v="6769142.8704124466"/>
    <n v="27076571.481649786"/>
    <n v="6769142.8704124466"/>
    <n v="6769142.8704124466"/>
    <n v="6769142.8704124466"/>
    <n v="6769142.8704124466"/>
    <n v="27076571.481649786"/>
    <m/>
    <n v="6.9335304239618225E-3"/>
    <n v="145604138.90319827"/>
    <n v="216612571.85319829"/>
  </r>
  <r>
    <n v="155"/>
    <x v="0"/>
    <m/>
    <s v="최삼현"/>
    <s v="평택"/>
    <s v="TEST"/>
    <s v="X"/>
    <s v="8&quot;"/>
    <s v="DDI"/>
    <x v="0"/>
    <s v="PT"/>
    <x v="0"/>
    <n v="2101163"/>
    <s v="MC"/>
    <s v="TEST SYSTEM T6391(AT#57)"/>
    <s v="T6391"/>
    <x v="14"/>
    <s v="Tester"/>
    <n v="310709706"/>
    <x v="0"/>
    <m/>
    <s v="일본"/>
    <s v="ADVANTEST"/>
    <x v="1"/>
    <s v="3차"/>
    <s v="3차"/>
    <s v="해당"/>
    <s v="Wafer Tester"/>
    <s v="반도체 Tester"/>
    <m/>
    <m/>
    <s v="3B992"/>
    <s v="9030.82-0000"/>
    <s v="반도체 Test 장비"/>
    <m/>
    <m/>
    <m/>
    <m/>
    <m/>
    <m/>
    <m/>
    <m/>
    <m/>
    <m/>
    <m/>
    <m/>
    <n v="617567602"/>
    <m/>
    <m/>
    <m/>
    <m/>
    <m/>
    <n v="1000"/>
    <n v="1000"/>
    <m/>
    <m/>
    <m/>
    <m/>
    <m/>
    <s v="Test"/>
    <s v="Test"/>
    <s v="기계장치"/>
    <n v="12351352.040000001"/>
    <n v="1177438.5538178564"/>
    <n v="392479.51793928543"/>
    <m/>
    <m/>
    <n v="1177438.5538178564"/>
    <n v="1177438.5538178564"/>
    <n v="2354877.1076357127"/>
    <n v="1177438.5538178564"/>
    <n v="1177438.5538178564"/>
    <n v="1177438.5538178564"/>
    <n v="1177438.5538178564"/>
    <n v="4709754.2152714254"/>
    <n v="1177438.5538178564"/>
    <n v="1177438.5538178564"/>
    <n v="1177438.5538178564"/>
    <n v="1177438.5538178564"/>
    <n v="4709754.2152714254"/>
    <n v="1177438.5538178564"/>
    <n v="1177438.5538178564"/>
    <n v="1177438.5538178564"/>
    <n v="1177438.5538178564"/>
    <n v="4709754.2152714254"/>
    <n v="1177438.5538178564"/>
    <n v="1177438.5538178564"/>
    <n v="1177438.5538178564"/>
    <n v="1177438.5538178564"/>
    <n v="4709754.2152714254"/>
    <m/>
    <n v="1.2060324610557811E-3"/>
    <n v="25326681.682171404"/>
    <n v="37678033.722171403"/>
  </r>
  <r>
    <n v="156"/>
    <x v="0"/>
    <m/>
    <s v="최삼현"/>
    <s v="평택"/>
    <s v="TEST"/>
    <s v="X"/>
    <s v="8&quot;"/>
    <s v="DDI"/>
    <x v="0"/>
    <s v="PT"/>
    <x v="0"/>
    <n v="2101164"/>
    <s v="MC"/>
    <s v="TEST SYSTEM T6391(AT#58)"/>
    <s v="T6391"/>
    <x v="14"/>
    <s v="Tester"/>
    <n v="310709707"/>
    <x v="0"/>
    <m/>
    <s v="일본"/>
    <s v="ADVANTEST"/>
    <x v="1"/>
    <s v="3차"/>
    <s v="3차"/>
    <s v="해당"/>
    <s v="Wafer Tester"/>
    <s v="반도체 Tester"/>
    <m/>
    <m/>
    <s v="3B992"/>
    <s v="9030.82-0000"/>
    <s v="반도체 Test 장비"/>
    <m/>
    <m/>
    <m/>
    <m/>
    <m/>
    <m/>
    <m/>
    <m/>
    <m/>
    <m/>
    <m/>
    <m/>
    <n v="617567603"/>
    <m/>
    <m/>
    <m/>
    <m/>
    <m/>
    <n v="1000"/>
    <n v="1000"/>
    <m/>
    <m/>
    <m/>
    <m/>
    <m/>
    <s v="Test"/>
    <s v="Test"/>
    <s v="기계장치"/>
    <n v="12351352.060000001"/>
    <n v="1177438.5557244306"/>
    <n v="392479.51857481018"/>
    <m/>
    <m/>
    <n v="1177438.5557244306"/>
    <n v="1177438.5557244306"/>
    <n v="2354877.1114488612"/>
    <n v="1177438.5557244306"/>
    <n v="1177438.5557244306"/>
    <n v="1177438.5557244306"/>
    <n v="1177438.5557244306"/>
    <n v="4709754.2228977224"/>
    <n v="1177438.5557244306"/>
    <n v="1177438.5557244306"/>
    <n v="1177438.5557244306"/>
    <n v="1177438.5557244306"/>
    <n v="4709754.2228977224"/>
    <n v="1177438.5557244306"/>
    <n v="1177438.5557244306"/>
    <n v="1177438.5557244306"/>
    <n v="1177438.5557244306"/>
    <n v="4709754.2228977224"/>
    <n v="1177438.5557244306"/>
    <n v="1177438.5557244306"/>
    <n v="1177438.5557244306"/>
    <n v="1177438.5557244306"/>
    <n v="4709754.2228977224"/>
    <m/>
    <n v="1.2060324630086563E-3"/>
    <n v="25326681.72318178"/>
    <n v="37678033.783181779"/>
  </r>
  <r>
    <n v="157"/>
    <x v="0"/>
    <m/>
    <s v="최삼현"/>
    <s v="평택"/>
    <s v="TEST"/>
    <s v="X"/>
    <s v="8&quot;"/>
    <s v="DDI"/>
    <x v="0"/>
    <s v="PT"/>
    <x v="0"/>
    <n v="2101491"/>
    <s v="MC"/>
    <s v="TEST SYSTEM T6391(AT#109)"/>
    <s v="T6391"/>
    <x v="14"/>
    <s v="Tester"/>
    <n v="310757631"/>
    <x v="0"/>
    <m/>
    <s v="일본"/>
    <s v="ADVANTEST"/>
    <x v="1"/>
    <s v="3차"/>
    <s v="3차"/>
    <s v="해당"/>
    <s v="Wafer Tester"/>
    <s v="반도체 Tester"/>
    <m/>
    <m/>
    <s v="3B992"/>
    <s v="9030.82-0000"/>
    <s v="반도체 Test 장비"/>
    <m/>
    <m/>
    <m/>
    <m/>
    <m/>
    <m/>
    <m/>
    <m/>
    <m/>
    <m/>
    <m/>
    <m/>
    <n v="736688581"/>
    <m/>
    <m/>
    <m/>
    <m/>
    <m/>
    <n v="1000"/>
    <n v="1000"/>
    <m/>
    <m/>
    <m/>
    <m/>
    <m/>
    <s v="Test"/>
    <s v="Test"/>
    <s v="기계장치"/>
    <n v="14733771.620000001"/>
    <n v="1404551.5577851974"/>
    <n v="468183.85259506578"/>
    <m/>
    <m/>
    <n v="1404551.5577851974"/>
    <n v="1404551.5577851974"/>
    <n v="2809103.1155703948"/>
    <n v="1404551.5577851974"/>
    <n v="1404551.5577851974"/>
    <n v="1404551.5577851974"/>
    <n v="1404551.5577851974"/>
    <n v="5618206.2311407896"/>
    <n v="1404551.5577851974"/>
    <n v="1404551.5577851974"/>
    <n v="1404551.5577851974"/>
    <n v="1404551.5577851974"/>
    <n v="5618206.2311407896"/>
    <n v="1404551.5577851974"/>
    <n v="1404551.5577851974"/>
    <n v="1404551.5577851974"/>
    <n v="1404551.5577851974"/>
    <n v="5618206.2311407896"/>
    <n v="1404551.5577851974"/>
    <n v="1404551.5577851974"/>
    <n v="1404551.5577851974"/>
    <n v="1404551.5577851974"/>
    <n v="5618206.2311407896"/>
    <m/>
    <n v="1.438660868053634E-3"/>
    <n v="30211878.229126316"/>
    <n v="44945649.849126317"/>
  </r>
  <r>
    <n v="158"/>
    <x v="0"/>
    <m/>
    <s v="최삼현"/>
    <s v="평택"/>
    <s v="TEST"/>
    <s v="X"/>
    <s v="8&quot;"/>
    <s v="DDI"/>
    <x v="0"/>
    <s v="PT"/>
    <x v="0"/>
    <n v="2101492"/>
    <s v="MC"/>
    <s v="ND4 TESTER (AT#110)"/>
    <s v="T6391"/>
    <x v="14"/>
    <s v="Tester"/>
    <n v="310810068"/>
    <x v="0"/>
    <m/>
    <s v="일본"/>
    <s v="ADVANTEST"/>
    <x v="1"/>
    <s v="3차"/>
    <s v="3차"/>
    <s v="해당"/>
    <s v="Wafer Tester"/>
    <s v="반도체 Tester"/>
    <m/>
    <m/>
    <s v="3B992"/>
    <s v="9030.82-0000"/>
    <s v="반도체 Test 장비"/>
    <m/>
    <m/>
    <m/>
    <m/>
    <m/>
    <m/>
    <m/>
    <m/>
    <m/>
    <m/>
    <m/>
    <m/>
    <n v="729848454"/>
    <m/>
    <m/>
    <m/>
    <m/>
    <m/>
    <n v="22805157"/>
    <n v="1000"/>
    <m/>
    <m/>
    <m/>
    <m/>
    <m/>
    <s v="Test"/>
    <s v="Test"/>
    <s v="기계장치"/>
    <n v="23945414.850000001"/>
    <n v="2282685.6962901871"/>
    <n v="760895.23209672899"/>
    <m/>
    <m/>
    <n v="2282685.6962901871"/>
    <n v="2282685.6962901871"/>
    <n v="4565371.3925803741"/>
    <n v="2282685.6962901871"/>
    <n v="2282685.6962901871"/>
    <n v="2282685.6962901871"/>
    <n v="2282685.6962901871"/>
    <n v="9130742.7851607483"/>
    <n v="2282685.6962901871"/>
    <n v="2282685.6962901871"/>
    <n v="2282685.6962901871"/>
    <n v="2282685.6962901871"/>
    <n v="9130742.7851607483"/>
    <n v="2282685.6962901871"/>
    <n v="2282685.6962901871"/>
    <n v="2282685.6962901871"/>
    <n v="2282685.6962901871"/>
    <n v="9130742.7851607483"/>
    <n v="2282685.6962901871"/>
    <n v="2282685.6962901871"/>
    <n v="2282685.6962901871"/>
    <n v="2282685.6962901871"/>
    <n v="9130742.7851607483"/>
    <m/>
    <n v="2.3381203538707612E-3"/>
    <n v="49100527.431285985"/>
    <n v="73045942.281285986"/>
  </r>
  <r>
    <n v="159"/>
    <x v="0"/>
    <m/>
    <s v="최삼현"/>
    <s v="평택"/>
    <s v="TEST"/>
    <s v="X"/>
    <s v="8&quot;"/>
    <s v="DDI"/>
    <x v="0"/>
    <s v="PT"/>
    <x v="0"/>
    <n v="2101493"/>
    <s v="MC"/>
    <s v="ND4 TESTER (AT#111)"/>
    <s v="T6391"/>
    <x v="14"/>
    <s v="Tester"/>
    <n v="310810069"/>
    <x v="0"/>
    <m/>
    <s v="일본"/>
    <s v="ADVANTEST"/>
    <x v="1"/>
    <s v="3차"/>
    <s v="3차"/>
    <s v="해당"/>
    <s v="Wafer Tester"/>
    <s v="반도체 Tester"/>
    <m/>
    <m/>
    <s v="3B992"/>
    <s v="9030.82-0000"/>
    <s v="반도체 Test 장비"/>
    <m/>
    <m/>
    <m/>
    <m/>
    <m/>
    <m/>
    <m/>
    <m/>
    <m/>
    <m/>
    <m/>
    <m/>
    <n v="729848454"/>
    <m/>
    <m/>
    <m/>
    <m/>
    <m/>
    <n v="22805157"/>
    <n v="1000"/>
    <m/>
    <m/>
    <m/>
    <m/>
    <m/>
    <s v="Test"/>
    <s v="Test"/>
    <s v="기계장치"/>
    <n v="23945414.850000001"/>
    <n v="2282685.6962901871"/>
    <n v="760895.23209672899"/>
    <m/>
    <m/>
    <n v="2282685.6962901871"/>
    <n v="2282685.6962901871"/>
    <n v="4565371.3925803741"/>
    <n v="2282685.6962901871"/>
    <n v="2282685.6962901871"/>
    <n v="2282685.6962901871"/>
    <n v="2282685.6962901871"/>
    <n v="9130742.7851607483"/>
    <n v="2282685.6962901871"/>
    <n v="2282685.6962901871"/>
    <n v="2282685.6962901871"/>
    <n v="2282685.6962901871"/>
    <n v="9130742.7851607483"/>
    <n v="2282685.6962901871"/>
    <n v="2282685.6962901871"/>
    <n v="2282685.6962901871"/>
    <n v="2282685.6962901871"/>
    <n v="9130742.7851607483"/>
    <n v="2282685.6962901871"/>
    <n v="2282685.6962901871"/>
    <n v="2282685.6962901871"/>
    <n v="2282685.6962901871"/>
    <n v="9130742.7851607483"/>
    <m/>
    <n v="2.3381203538707612E-3"/>
    <n v="49100527.431285985"/>
    <n v="73045942.281285986"/>
  </r>
  <r>
    <n v="160"/>
    <x v="0"/>
    <m/>
    <s v="최삼현"/>
    <s v="평택"/>
    <s v="TEST"/>
    <s v="X"/>
    <s v="8&quot;"/>
    <s v="DDI"/>
    <x v="0"/>
    <s v="PT"/>
    <x v="0"/>
    <n v="2101494"/>
    <s v="MC"/>
    <s v="ND4 TESTER (AT#112)"/>
    <s v="T6391"/>
    <x v="14"/>
    <s v="Tester"/>
    <n v="310810070"/>
    <x v="0"/>
    <m/>
    <s v="일본"/>
    <s v="ADVANTEST"/>
    <x v="1"/>
    <s v="3차"/>
    <s v="3차"/>
    <s v="해당"/>
    <s v="Wafer Tester"/>
    <s v="반도체 Tester"/>
    <m/>
    <m/>
    <s v="3B992"/>
    <s v="9030.82-0000"/>
    <s v="반도체 Test 장비"/>
    <m/>
    <m/>
    <m/>
    <m/>
    <m/>
    <m/>
    <m/>
    <m/>
    <m/>
    <m/>
    <m/>
    <m/>
    <n v="729848454"/>
    <m/>
    <m/>
    <m/>
    <m/>
    <m/>
    <n v="22805157"/>
    <n v="1000"/>
    <m/>
    <m/>
    <m/>
    <m/>
    <m/>
    <s v="Test"/>
    <s v="Test"/>
    <s v="기계장치"/>
    <n v="23945414.850000001"/>
    <n v="2282685.6962901871"/>
    <n v="760895.23209672899"/>
    <m/>
    <m/>
    <n v="2282685.6962901871"/>
    <n v="2282685.6962901871"/>
    <n v="4565371.3925803741"/>
    <n v="2282685.6962901871"/>
    <n v="2282685.6962901871"/>
    <n v="2282685.6962901871"/>
    <n v="2282685.6962901871"/>
    <n v="9130742.7851607483"/>
    <n v="2282685.6962901871"/>
    <n v="2282685.6962901871"/>
    <n v="2282685.6962901871"/>
    <n v="2282685.6962901871"/>
    <n v="9130742.7851607483"/>
    <n v="2282685.6962901871"/>
    <n v="2282685.6962901871"/>
    <n v="2282685.6962901871"/>
    <n v="2282685.6962901871"/>
    <n v="9130742.7851607483"/>
    <n v="2282685.6962901871"/>
    <n v="2282685.6962901871"/>
    <n v="2282685.6962901871"/>
    <n v="2282685.6962901871"/>
    <n v="9130742.7851607483"/>
    <m/>
    <n v="2.3381203538707612E-3"/>
    <n v="49100527.431285985"/>
    <n v="73045942.281285986"/>
  </r>
  <r>
    <n v="161"/>
    <x v="0"/>
    <m/>
    <s v="최삼현"/>
    <s v="평택"/>
    <s v="TEST"/>
    <s v="X"/>
    <s v="8&quot;"/>
    <s v="DDI"/>
    <x v="0"/>
    <s v="PT"/>
    <x v="0"/>
    <n v="2101495"/>
    <s v="MC"/>
    <s v="ND4 TESTER (ND4CT013)"/>
    <s v="T6391"/>
    <x v="14"/>
    <s v="Tester"/>
    <n v="310810071"/>
    <x v="0"/>
    <m/>
    <s v="일본"/>
    <s v="ADVANTEST"/>
    <x v="1"/>
    <s v="3차"/>
    <s v="3차"/>
    <s v="해당"/>
    <s v="Wafer Tester"/>
    <s v="반도체 Tester"/>
    <m/>
    <m/>
    <s v="3B992"/>
    <s v="9030.82-0000"/>
    <s v="반도체 Test 장비"/>
    <m/>
    <m/>
    <m/>
    <m/>
    <m/>
    <m/>
    <m/>
    <m/>
    <m/>
    <m/>
    <m/>
    <m/>
    <n v="729848453"/>
    <m/>
    <m/>
    <m/>
    <m/>
    <m/>
    <n v="22805157"/>
    <n v="1000"/>
    <m/>
    <m/>
    <m/>
    <m/>
    <m/>
    <s v="Test"/>
    <s v="Test"/>
    <s v="기계장치"/>
    <n v="23945414.850000001"/>
    <n v="2282685.6962901871"/>
    <n v="760895.23209672899"/>
    <m/>
    <m/>
    <n v="2282685.6962901871"/>
    <n v="2282685.6962901871"/>
    <n v="4565371.3925803741"/>
    <n v="2282685.6962901871"/>
    <n v="2282685.6962901871"/>
    <n v="2282685.6962901871"/>
    <n v="2282685.6962901871"/>
    <n v="9130742.7851607483"/>
    <n v="2282685.6962901871"/>
    <n v="2282685.6962901871"/>
    <n v="2282685.6962901871"/>
    <n v="2282685.6962901871"/>
    <n v="9130742.7851607483"/>
    <n v="2282685.6962901871"/>
    <n v="2282685.6962901871"/>
    <n v="2282685.6962901871"/>
    <n v="2282685.6962901871"/>
    <n v="9130742.7851607483"/>
    <n v="2282685.6962901871"/>
    <n v="2282685.6962901871"/>
    <n v="2282685.6962901871"/>
    <n v="2282685.6962901871"/>
    <n v="9130742.7851607483"/>
    <m/>
    <n v="2.3381203538707612E-3"/>
    <n v="49100527.431285985"/>
    <n v="73045942.281285986"/>
  </r>
  <r>
    <n v="162"/>
    <x v="0"/>
    <m/>
    <s v="최삼현"/>
    <s v="평택"/>
    <s v="TEST"/>
    <s v="X"/>
    <s v="12&quot;"/>
    <s v="DDI"/>
    <x v="0"/>
    <s v="PT"/>
    <x v="0"/>
    <n v="2101496"/>
    <s v="MC"/>
    <s v="LCD DRIVER TESTER(T6391)(ND4)(USED)"/>
    <s v="T6391"/>
    <x v="14"/>
    <s v="Tester"/>
    <n v="310754777"/>
    <x v="82"/>
    <s v="가동"/>
    <s v="일본"/>
    <s v="ADVANTEST"/>
    <x v="1"/>
    <s v="3차"/>
    <s v="3차"/>
    <s v="해당"/>
    <s v="Wafer Tester"/>
    <s v="반도체 Tester"/>
    <m/>
    <m/>
    <s v="3B992"/>
    <s v="9030.82-0000"/>
    <s v="반도체 Test 장비"/>
    <m/>
    <m/>
    <m/>
    <m/>
    <m/>
    <m/>
    <m/>
    <m/>
    <m/>
    <m/>
    <m/>
    <m/>
    <n v="707700000"/>
    <m/>
    <m/>
    <n v="707700000"/>
    <m/>
    <m/>
    <n v="36855164"/>
    <n v="1000"/>
    <n v="96"/>
    <n v="102"/>
    <n v="0"/>
    <m/>
    <m/>
    <s v="Test"/>
    <s v="Test"/>
    <s v="기계장치"/>
    <n v="38697922.200000003"/>
    <n v="3689023.3071944667"/>
    <n v="1229674.435731489"/>
    <m/>
    <m/>
    <n v="3689023.3071944667"/>
    <n v="3689023.3071944667"/>
    <n v="7378046.6143889334"/>
    <n v="3689023.3071944667"/>
    <n v="3689023.3071944667"/>
    <n v="3689023.3071944667"/>
    <n v="3689023.3071944667"/>
    <n v="14756093.228777867"/>
    <n v="3689023.3071944667"/>
    <n v="3689023.3071944667"/>
    <n v="3689023.3071944667"/>
    <n v="3689023.3071944667"/>
    <n v="14756093.228777867"/>
    <n v="3689023.3071944667"/>
    <n v="3689023.3071944667"/>
    <n v="3689023.3071944667"/>
    <n v="3689023.3071944667"/>
    <n v="14756093.228777867"/>
    <n v="3689023.3071944667"/>
    <n v="3689023.3071944667"/>
    <n v="3689023.3071944667"/>
    <n v="3689023.3071944667"/>
    <n v="14756093.228777867"/>
    <m/>
    <n v="3.7786106490582346E-3"/>
    <n v="79350823.630222932"/>
    <n v="118048745.83022293"/>
  </r>
  <r>
    <n v="163"/>
    <x v="0"/>
    <m/>
    <s v="최삼현"/>
    <s v="평택"/>
    <s v="TEST"/>
    <s v="X"/>
    <s v="8&quot;"/>
    <s v="DDI"/>
    <x v="0"/>
    <s v="PT"/>
    <x v="0"/>
    <n v="2100466"/>
    <s v="MC"/>
    <s v="Automatic Wafer Prober UF-3000 LXAP#114"/>
    <s v="UF3000LX"/>
    <x v="11"/>
    <s v="Prober"/>
    <n v="310821933"/>
    <x v="0"/>
    <m/>
    <s v="일본"/>
    <s v="ACCRETECH"/>
    <x v="2"/>
    <s v="3차"/>
    <s v="3차"/>
    <s v="해당"/>
    <s v="Wafer Test Prober"/>
    <s v="Wafer의 전기적 테스트"/>
    <s v="+/-2um "/>
    <m/>
    <s v="3A992"/>
    <s v="9030.82-0000"/>
    <s v="반도체 제조 및 검사 장비"/>
    <m/>
    <m/>
    <m/>
    <m/>
    <m/>
    <m/>
    <m/>
    <m/>
    <m/>
    <m/>
    <m/>
    <m/>
    <n v="261702138"/>
    <m/>
    <m/>
    <m/>
    <m/>
    <m/>
    <n v="13630320"/>
    <n v="1000"/>
    <m/>
    <m/>
    <m/>
    <m/>
    <m/>
    <s v="Test"/>
    <s v="Test"/>
    <s v="기계장치"/>
    <n v="14311836"/>
    <n v="447244.875"/>
    <n v="149081.625"/>
    <m/>
    <m/>
    <m/>
    <m/>
    <m/>
    <m/>
    <m/>
    <n v="447244.875"/>
    <n v="447244.875"/>
    <n v="894489.75"/>
    <n v="447244.875"/>
    <n v="447244.875"/>
    <n v="447244.875"/>
    <n v="447244.875"/>
    <n v="1788979.5"/>
    <n v="447244.875"/>
    <n v="447244.875"/>
    <n v="447244.875"/>
    <n v="447244.875"/>
    <n v="1788979.5"/>
    <n v="447244.875"/>
    <n v="447244.875"/>
    <n v="447244.875"/>
    <n v="447244.875"/>
    <n v="1788979.5"/>
    <m/>
    <m/>
    <m/>
    <n v="14311836"/>
  </r>
  <r>
    <n v="164"/>
    <x v="0"/>
    <m/>
    <s v="오지민"/>
    <s v="평택"/>
    <s v="품질"/>
    <s v="O"/>
    <s v="8&quot;"/>
    <s v="DDI"/>
    <x v="2"/>
    <s v="Au bump"/>
    <x v="4"/>
    <n v="2100040"/>
    <s v="검사"/>
    <s v="MEASURINF ABOVE INSTRUMENTS OR APPARATUS LEADERS IN BOND"/>
    <m/>
    <x v="15"/>
    <m/>
    <s v="2077241-4000 PX-1"/>
    <x v="83"/>
    <s v="가동"/>
    <m/>
    <s v="DAGE PLC"/>
    <x v="2"/>
    <s v="3차"/>
    <s v="3차"/>
    <s v="일반장비(비통제)"/>
    <s v="접합강도 평가"/>
    <s v="접합강도 평가"/>
    <s v="범용"/>
    <m/>
    <s v="EAR99"/>
    <s v="9024.90-0000"/>
    <m/>
    <m/>
    <m/>
    <d v="2002-07-01T00:00:00"/>
    <n v="23.350684931506848"/>
    <n v="12"/>
    <s v="1공장"/>
    <s v="자사"/>
    <s v="미설정"/>
    <m/>
    <m/>
    <m/>
    <m/>
    <n v="48463922"/>
    <m/>
    <m/>
    <n v="48463922"/>
    <m/>
    <m/>
    <n v="1000"/>
    <n v="1000"/>
    <n v="144"/>
    <n v="282"/>
    <n v="0"/>
    <m/>
    <s v="공통)평)제조"/>
    <s v="Bump"/>
    <s v="Bump"/>
    <s v="기계장치"/>
    <n v="969278.44000000006"/>
    <n v="30289.951250000002"/>
    <n v="10096.650416666667"/>
    <m/>
    <m/>
    <m/>
    <m/>
    <m/>
    <m/>
    <m/>
    <n v="30289.951250000002"/>
    <n v="30289.951250000002"/>
    <n v="60579.902500000004"/>
    <n v="30289.951250000002"/>
    <n v="30289.951250000002"/>
    <n v="30289.951250000002"/>
    <n v="30289.951250000002"/>
    <n v="121159.80500000001"/>
    <n v="30289.951250000002"/>
    <n v="30289.951250000002"/>
    <n v="30289.951250000002"/>
    <n v="30289.951250000002"/>
    <n v="121159.80500000001"/>
    <n v="30289.951250000002"/>
    <n v="30289.951250000002"/>
    <n v="30289.951250000002"/>
    <n v="30289.951250000002"/>
    <n v="121159.80500000001"/>
    <m/>
    <m/>
    <m/>
    <n v="969278.44000000006"/>
  </r>
  <r>
    <n v="165"/>
    <x v="0"/>
    <m/>
    <s v="오지민"/>
    <s v="평택"/>
    <s v="품질"/>
    <s v="O"/>
    <s v="8&quot;"/>
    <s v="DDI"/>
    <x v="2"/>
    <s v="Au bump"/>
    <x v="5"/>
    <n v="2100055"/>
    <s v="검사"/>
    <s v="마이크로 비커스 경도계(HM-220A)"/>
    <m/>
    <x v="16"/>
    <m/>
    <s v="000011603"/>
    <x v="84"/>
    <s v="가동"/>
    <m/>
    <s v="(주)진일퍼스텍"/>
    <x v="1"/>
    <s v="1차"/>
    <s v="1차"/>
    <s v="일반장비(비통제)"/>
    <s v="Hardness측정"/>
    <s v="Hardness측정"/>
    <s v="범용"/>
    <m/>
    <s v="EAR99"/>
    <s v="9024.90-0000"/>
    <m/>
    <m/>
    <m/>
    <d v="2017-11-06T00:00:00"/>
    <n v="7.9890410958904106"/>
    <n v="12"/>
    <s v="2공장"/>
    <s v="자사"/>
    <s v="미설정"/>
    <m/>
    <m/>
    <m/>
    <m/>
    <n v="27400000"/>
    <m/>
    <m/>
    <n v="27400000"/>
    <m/>
    <m/>
    <n v="9141382"/>
    <n v="3001410"/>
    <n v="144"/>
    <n v="97"/>
    <n v="46"/>
    <m/>
    <s v="공통)평)BUMP"/>
    <s v="Bump"/>
    <s v="Bump"/>
    <s v="기계장치"/>
    <n v="9598451.0999999996"/>
    <n v="915008.03681047144"/>
    <n v="305002.6789368238"/>
    <m/>
    <m/>
    <n v="915008.03681047144"/>
    <n v="915008.03681047144"/>
    <n v="1830016.0736209429"/>
    <n v="915008.03681047144"/>
    <n v="915008.03681047144"/>
    <n v="915008.03681047144"/>
    <n v="915008.03681047144"/>
    <n v="3660032.1472418858"/>
    <n v="915008.03681047144"/>
    <n v="915008.03681047144"/>
    <n v="915008.03681047144"/>
    <n v="915008.03681047144"/>
    <n v="3660032.1472418858"/>
    <n v="915008.03681047144"/>
    <n v="915008.03681047144"/>
    <n v="915008.03681047144"/>
    <n v="915008.03681047144"/>
    <n v="3660032.1472418858"/>
    <n v="915008.03681047144"/>
    <n v="915008.03681047144"/>
    <n v="915008.03681047144"/>
    <n v="915008.03681047144"/>
    <n v="3660032.1472418858"/>
    <m/>
    <n v="9.372288608540518E-4"/>
    <n v="19681806.077935088"/>
    <n v="29280257.177935086"/>
  </r>
  <r>
    <n v="166"/>
    <x v="0"/>
    <m/>
    <s v="오지민"/>
    <s v="평택"/>
    <s v="Wafer"/>
    <s v="△"/>
    <s v="8&quot;"/>
    <s v="DDI"/>
    <x v="2"/>
    <s v="Au bump"/>
    <x v="6"/>
    <n v="2100063"/>
    <s v="MC"/>
    <s v="8&quot; BACK OVEN"/>
    <s v="ANNEAL OVEN"/>
    <x v="17"/>
    <m/>
    <s v="AJ-4C-6"/>
    <x v="85"/>
    <s v="가동"/>
    <s v="한국"/>
    <s v="나래기술"/>
    <x v="2"/>
    <s v="3차"/>
    <s v="3차"/>
    <s v="해당"/>
    <s v="열처리장비"/>
    <s v="열처리장비"/>
    <s v="Batch 방식, 고속/초정밀 제어 아님"/>
    <m/>
    <s v="3B991"/>
    <s v="8486.20-0000"/>
    <m/>
    <m/>
    <d v="2003-11-17T00:00:00"/>
    <d v="2001-08-17T00:00:00"/>
    <n v="24.221917808219178"/>
    <n v="12"/>
    <s v="1공장"/>
    <s v="자사"/>
    <s v="미설정"/>
    <n v="22.9"/>
    <n v="1000"/>
    <n v="3000"/>
    <n v="1700"/>
    <n v="10300000"/>
    <m/>
    <m/>
    <n v="10300000"/>
    <m/>
    <m/>
    <n v="1000"/>
    <n v="1000"/>
    <n v="144"/>
    <n v="292"/>
    <n v="0"/>
    <m/>
    <s v="특성-8&quot;_DDI"/>
    <s v="Bump"/>
    <s v="Bump"/>
    <s v="기계장치"/>
    <n v="206000"/>
    <n v="6437.5"/>
    <n v="2145.8333333333335"/>
    <m/>
    <m/>
    <m/>
    <m/>
    <m/>
    <m/>
    <m/>
    <n v="6437.5"/>
    <n v="6437.5"/>
    <n v="12875"/>
    <n v="6437.5"/>
    <n v="6437.5"/>
    <n v="6437.5"/>
    <n v="6437.5"/>
    <n v="25750"/>
    <n v="6437.5"/>
    <n v="6437.5"/>
    <n v="6437.5"/>
    <n v="6437.5"/>
    <n v="25750"/>
    <n v="6437.5"/>
    <n v="6437.5"/>
    <n v="6437.5"/>
    <n v="6437.5"/>
    <n v="25750"/>
    <m/>
    <m/>
    <m/>
    <n v="206000"/>
  </r>
  <r>
    <n v="167"/>
    <x v="0"/>
    <m/>
    <s v="오지민"/>
    <s v="평택"/>
    <s v="Wafer"/>
    <s v="O"/>
    <s v="8&quot;"/>
    <s v="DDI"/>
    <x v="2"/>
    <s v="Au bump"/>
    <x v="7"/>
    <n v="2100072"/>
    <s v="MC"/>
    <s v="AU BUMP PLATING M/C"/>
    <s v="BPE-2800K"/>
    <x v="18"/>
    <m/>
    <s v="N/A"/>
    <x v="86"/>
    <s v="가동"/>
    <s v="일본"/>
    <s v="SEMICON SCIENCE CORP"/>
    <x v="0"/>
    <s v="1차"/>
    <s v="1차"/>
    <s v="해당"/>
    <s v="bump 형성 장비"/>
    <s v="bump 형성 장비"/>
    <s v="범용"/>
    <m/>
    <s v="3B001"/>
    <s v="8486.20-0000"/>
    <s v="증착 도금 장비로 웨이퍼 전용이라는 점으로 해당 되지만 8&quot; 용으로 범용 장비로 분류 됨"/>
    <m/>
    <d v="2001-03-16T00:00:00"/>
    <d v="2002-07-01T00:00:00"/>
    <n v="23.350684931506848"/>
    <n v="12"/>
    <s v="1공장"/>
    <s v="자사"/>
    <s v="산업은행"/>
    <n v="21.6"/>
    <n v="1500"/>
    <n v="3900"/>
    <n v="2328"/>
    <n v="1114772269"/>
    <m/>
    <m/>
    <n v="986915458"/>
    <m/>
    <m/>
    <n v="1000"/>
    <n v="13090690"/>
    <n v="144"/>
    <n v="282"/>
    <n v="0"/>
    <m/>
    <s v="PLATING2-AUP8&quot;"/>
    <s v="Bump"/>
    <s v="Bump"/>
    <s v="기계장치"/>
    <n v="22295445.379999999"/>
    <n v="2125396.2222059867"/>
    <n v="708465.40740199562"/>
    <m/>
    <m/>
    <m/>
    <m/>
    <m/>
    <m/>
    <m/>
    <n v="2125396.2222059867"/>
    <n v="2125396.2222059867"/>
    <n v="4250792.4444119735"/>
    <n v="2125396.2222059867"/>
    <n v="2125396.2222059867"/>
    <n v="2125396.2222059867"/>
    <n v="2125396.2222059867"/>
    <n v="8501584.8888239469"/>
    <n v="2125396.2222059867"/>
    <n v="2125396.2222059867"/>
    <n v="2125396.2222059867"/>
    <n v="2125396.2222059867"/>
    <n v="8501584.8888239469"/>
    <n v="2125396.2222059867"/>
    <n v="2125396.2222059867"/>
    <n v="2125396.2222059867"/>
    <n v="2125396.2222059867"/>
    <n v="8501584.8888239469"/>
    <m/>
    <n v="2.1770111300281701E-3"/>
    <n v="45717233.730591573"/>
    <n v="68012679.110591576"/>
  </r>
  <r>
    <n v="168"/>
    <x v="0"/>
    <m/>
    <s v="오지민"/>
    <s v="평택"/>
    <s v="Wafer"/>
    <s v="△"/>
    <s v="8&quot;"/>
    <s v="DDI"/>
    <x v="2"/>
    <s v="Au bump"/>
    <x v="8"/>
    <n v="2100074"/>
    <s v="MC"/>
    <s v="ORGANIC STRIP STATION"/>
    <s v="PR STRIPPER"/>
    <x v="19"/>
    <m/>
    <s v="WA1-01-01"/>
    <x v="87"/>
    <s v="가동"/>
    <s v="한국"/>
    <s v="(주)에이텍"/>
    <x v="2"/>
    <s v="3차"/>
    <s v="3차"/>
    <s v="해당"/>
    <s v="PR 제거"/>
    <s v="PR 제거"/>
    <m/>
    <m/>
    <s v="3B001"/>
    <s v="8486.20-0000"/>
    <s v="세정/스트립 장비로 반도체 제조 핵심 공정 장비"/>
    <m/>
    <d v="2001-03-20T00:00:00"/>
    <d v="2002-07-01T00:00:00"/>
    <n v="23.350684931506848"/>
    <n v="12"/>
    <s v="1공장"/>
    <s v="자사"/>
    <s v="산업은행"/>
    <n v="0"/>
    <n v="2000"/>
    <n v="1800"/>
    <n v="1700"/>
    <n v="130534808"/>
    <m/>
    <m/>
    <n v="130534808"/>
    <m/>
    <m/>
    <n v="1000"/>
    <n v="1000"/>
    <n v="144"/>
    <n v="282"/>
    <n v="0"/>
    <m/>
    <s v="ETCH2-AUP8&quot;"/>
    <s v="Bump"/>
    <s v="Bump"/>
    <s v="기계장치"/>
    <n v="2610696.16"/>
    <n v="81584.255000000005"/>
    <n v="27194.751666666667"/>
    <m/>
    <m/>
    <m/>
    <m/>
    <m/>
    <m/>
    <m/>
    <n v="81584.255000000005"/>
    <n v="81584.255000000005"/>
    <n v="163168.51"/>
    <n v="81584.255000000005"/>
    <n v="81584.255000000005"/>
    <n v="81584.255000000005"/>
    <n v="81584.255000000005"/>
    <n v="326337.02"/>
    <n v="81584.255000000005"/>
    <n v="81584.255000000005"/>
    <n v="81584.255000000005"/>
    <n v="81584.255000000005"/>
    <n v="326337.02"/>
    <n v="81584.255000000005"/>
    <n v="81584.255000000005"/>
    <n v="81584.255000000005"/>
    <n v="81584.255000000005"/>
    <n v="326337.02"/>
    <m/>
    <m/>
    <m/>
    <n v="2610696.16"/>
  </r>
  <r>
    <n v="169"/>
    <x v="0"/>
    <m/>
    <s v="오지민"/>
    <s v="평택"/>
    <s v="Wafer"/>
    <s v="△"/>
    <s v="8&quot;"/>
    <s v="DDI"/>
    <x v="2"/>
    <s v="Au bump"/>
    <x v="8"/>
    <n v="2100086"/>
    <s v="MC"/>
    <s v="PR STRIPER STATION"/>
    <s v="PR STRIPPER"/>
    <x v="19"/>
    <m/>
    <s v="WA1-01-01"/>
    <x v="87"/>
    <s v="가동"/>
    <s v="한국"/>
    <s v="한주테크놀놀러지"/>
    <x v="2"/>
    <s v="3차"/>
    <s v="3차"/>
    <s v="해당"/>
    <s v="PR 제거"/>
    <s v="PR 제거"/>
    <m/>
    <m/>
    <s v="3B001"/>
    <s v="8486.20-0000"/>
    <s v="세정/스트립 장비로 반도체 제조 핵심 공정 장비"/>
    <m/>
    <d v="2001-03-20T00:00:00"/>
    <d v="2002-07-01T00:00:00"/>
    <n v="23.350684931506848"/>
    <n v="12"/>
    <s v="1공장"/>
    <s v="자사"/>
    <s v="미설정"/>
    <n v="0"/>
    <n v="2000"/>
    <n v="1800"/>
    <n v="1700"/>
    <n v="32626729"/>
    <m/>
    <m/>
    <n v="32626729"/>
    <m/>
    <m/>
    <n v="1000"/>
    <n v="1000"/>
    <n v="144"/>
    <n v="282"/>
    <n v="0"/>
    <m/>
    <s v="ETCH2-AUP8&quot;"/>
    <s v="Bump"/>
    <s v="Bump"/>
    <s v="기계장치"/>
    <n v="652534.57999999996"/>
    <n v="20391.705624999999"/>
    <n v="6797.2352083333326"/>
    <m/>
    <m/>
    <m/>
    <m/>
    <m/>
    <m/>
    <m/>
    <n v="20391.705624999999"/>
    <n v="20391.705624999999"/>
    <n v="40783.411249999997"/>
    <n v="20391.705624999999"/>
    <n v="20391.705624999999"/>
    <n v="20391.705624999999"/>
    <n v="20391.705624999999"/>
    <n v="81566.822499999995"/>
    <n v="20391.705624999999"/>
    <n v="20391.705624999999"/>
    <n v="20391.705624999999"/>
    <n v="20391.705624999999"/>
    <n v="81566.822499999995"/>
    <n v="20391.705624999999"/>
    <n v="20391.705624999999"/>
    <n v="20391.705624999999"/>
    <n v="20391.705624999999"/>
    <n v="81566.822499999995"/>
    <m/>
    <m/>
    <m/>
    <n v="652534.57999999996"/>
  </r>
  <r>
    <n v="170"/>
    <x v="0"/>
    <m/>
    <s v="오지민"/>
    <s v="평택"/>
    <s v="Wafer"/>
    <s v="O"/>
    <s v="8&quot;"/>
    <s v="DDI"/>
    <x v="2"/>
    <s v="Au bump"/>
    <x v="7"/>
    <n v="2100087"/>
    <s v="MC"/>
    <s v="14CUP PALTING "/>
    <s v="BPE-2800K"/>
    <x v="18"/>
    <m/>
    <s v="302010"/>
    <x v="88"/>
    <s v="가동"/>
    <s v="일본"/>
    <s v="SEMICON SCIENCE CORP"/>
    <x v="0"/>
    <s v="1차"/>
    <s v="1차"/>
    <s v="해당"/>
    <s v="bump 형성 장비"/>
    <s v="bump 형성 장비"/>
    <s v="범용"/>
    <m/>
    <s v="3B001"/>
    <s v="8486.20-0000"/>
    <s v="증착 도금 장비로 웨이퍼 전용이라는 점으로 해당 되지만 8&quot; 용으로 범용 장비로 분류 됨"/>
    <m/>
    <d v="2002-11-12T00:00:00"/>
    <d v="2002-12-09T00:00:00"/>
    <n v="22.909589041095892"/>
    <n v="12"/>
    <s v="1공장"/>
    <s v="자사"/>
    <s v="산업은행"/>
    <n v="21.6"/>
    <n v="1500"/>
    <n v="3900"/>
    <n v="2328"/>
    <n v="900028419"/>
    <m/>
    <m/>
    <n v="607921975"/>
    <m/>
    <m/>
    <n v="1000"/>
    <n v="26046261"/>
    <n v="144"/>
    <n v="276"/>
    <n v="0"/>
    <m/>
    <s v="PLATING2-AUP8&quot;"/>
    <s v="Bump"/>
    <s v="Bump"/>
    <s v="기계장치"/>
    <n v="18000568.379999999"/>
    <n v="1715971.1044270932"/>
    <n v="571990.36814236443"/>
    <m/>
    <m/>
    <m/>
    <m/>
    <m/>
    <m/>
    <m/>
    <n v="1715971.1044270932"/>
    <n v="1715971.1044270932"/>
    <n v="3431942.2088541863"/>
    <n v="1715971.1044270932"/>
    <n v="1715971.1044270932"/>
    <n v="1715971.1044270932"/>
    <n v="1715971.1044270932"/>
    <n v="6863884.4177083727"/>
    <n v="1715971.1044270932"/>
    <n v="1715971.1044270932"/>
    <n v="1715971.1044270932"/>
    <n v="1715971.1044270932"/>
    <n v="6863884.4177083727"/>
    <n v="1715971.1044270932"/>
    <n v="1715971.1044270932"/>
    <n v="1715971.1044270932"/>
    <n v="1715971.1044270932"/>
    <n v="6863884.4177083727"/>
    <m/>
    <n v="1.7576431886508089E-3"/>
    <n v="36910506.961666986"/>
    <n v="54911075.341666982"/>
  </r>
  <r>
    <n v="171"/>
    <x v="0"/>
    <m/>
    <s v="오지민"/>
    <s v="평택"/>
    <s v="Wafer"/>
    <s v="△"/>
    <s v="8&quot;"/>
    <s v="DDI"/>
    <x v="2"/>
    <s v="Au bump"/>
    <x v="6"/>
    <n v="2100091"/>
    <s v="MC"/>
    <s v="Vacuum Oven"/>
    <s v="ANNEAL OVEN"/>
    <x v="17"/>
    <m/>
    <s v="AJ-4C-6"/>
    <x v="85"/>
    <s v="가동"/>
    <s v="한국"/>
    <s v="애니이큅"/>
    <x v="2"/>
    <s v="3차"/>
    <s v="3차"/>
    <s v="해당"/>
    <s v="열처리장비"/>
    <s v="열처리장비"/>
    <s v="Batch 방식, 고속/초정밀 제어 아님"/>
    <m/>
    <s v="3B991"/>
    <s v="8486.20-0000"/>
    <m/>
    <m/>
    <d v="2003-11-17T00:00:00"/>
    <d v="2003-11-10T00:00:00"/>
    <n v="21.989041095890411"/>
    <n v="12"/>
    <s v="1공장"/>
    <s v="자사"/>
    <s v="미설정"/>
    <n v="22.9"/>
    <n v="1000"/>
    <n v="3000"/>
    <n v="1700"/>
    <n v="45000000"/>
    <m/>
    <m/>
    <n v="45000000"/>
    <m/>
    <m/>
    <n v="1000"/>
    <n v="1000"/>
    <n v="144"/>
    <n v="265"/>
    <n v="0"/>
    <m/>
    <s v="Anneal8&quot;_DDI"/>
    <s v="Bump"/>
    <s v="Bump"/>
    <s v="기계장치"/>
    <n v="900000"/>
    <n v="28125"/>
    <n v="9375"/>
    <m/>
    <m/>
    <m/>
    <m/>
    <m/>
    <m/>
    <m/>
    <n v="28125"/>
    <n v="28125"/>
    <n v="56250"/>
    <n v="28125"/>
    <n v="28125"/>
    <n v="28125"/>
    <n v="28125"/>
    <n v="112500"/>
    <n v="28125"/>
    <n v="28125"/>
    <n v="28125"/>
    <n v="28125"/>
    <n v="112500"/>
    <n v="28125"/>
    <n v="28125"/>
    <n v="28125"/>
    <n v="28125"/>
    <n v="112500"/>
    <m/>
    <m/>
    <m/>
    <n v="900000"/>
  </r>
  <r>
    <n v="172"/>
    <x v="0"/>
    <m/>
    <s v="오지민"/>
    <s v="평택"/>
    <s v="Wafer"/>
    <s v="O"/>
    <s v="8&quot;"/>
    <s v="DDI"/>
    <x v="2"/>
    <s v="Au bump"/>
    <x v="9"/>
    <n v="2100096"/>
    <s v="MC"/>
    <s v="STEPPER ALIGNER AP-200"/>
    <s v="AP200"/>
    <x v="20"/>
    <m/>
    <s v="5019"/>
    <x v="89"/>
    <s v="가동"/>
    <s v="미국"/>
    <s v="ULTRATECH"/>
    <x v="2"/>
    <s v="1차"/>
    <s v="1차"/>
    <s v="해당"/>
    <s v="PR 패턴 노광"/>
    <s v="PR 패턴 노광"/>
    <m/>
    <m/>
    <s v="3B001"/>
    <s v="8486.20-0000"/>
    <s v="3D001(a) 해당-노광기능의 반도체 미세 패턴 형성 장비"/>
    <m/>
    <d v="2006-03-20T00:00:00"/>
    <d v="2006-05-31T00:00:00"/>
    <n v="19.432876712328767"/>
    <n v="12"/>
    <s v="1공장"/>
    <s v="자사"/>
    <s v="산업은행"/>
    <n v="43.2"/>
    <n v="3042"/>
    <n v="1956"/>
    <n v="2489"/>
    <n v="4670174396"/>
    <m/>
    <m/>
    <n v="4407229396"/>
    <m/>
    <m/>
    <n v="1000"/>
    <n v="23145516"/>
    <n v="144"/>
    <n v="235"/>
    <n v="0"/>
    <m/>
    <s v="PHOTO2-8&quot;_EXPOSURE_DDI"/>
    <s v="Bump"/>
    <s v="Bump"/>
    <s v="기계장치"/>
    <n v="93403487.920000002"/>
    <n v="2918858.9975000001"/>
    <n v="972952.99916666665"/>
    <m/>
    <m/>
    <m/>
    <m/>
    <m/>
    <m/>
    <m/>
    <n v="2918858.9975000001"/>
    <n v="2918858.9975000001"/>
    <n v="5837717.9950000001"/>
    <n v="2918858.9975000001"/>
    <n v="2918858.9975000001"/>
    <n v="2918858.9975000001"/>
    <n v="2918858.9975000001"/>
    <n v="11675435.99"/>
    <n v="2918858.9975000001"/>
    <n v="2918858.9975000001"/>
    <n v="2918858.9975000001"/>
    <n v="2918858.9975000001"/>
    <n v="11675435.99"/>
    <n v="2918858.9975000001"/>
    <n v="2918858.9975000001"/>
    <n v="2918858.9975000001"/>
    <n v="2918858.9975000001"/>
    <n v="11675435.99"/>
    <m/>
    <m/>
    <m/>
    <n v="93403487.920000002"/>
  </r>
  <r>
    <n v="173"/>
    <x v="0"/>
    <m/>
    <s v="오지민"/>
    <s v="평택"/>
    <s v="Wafer"/>
    <s v="O"/>
    <s v="8&quot;"/>
    <s v="DDI"/>
    <x v="2"/>
    <s v="Au bump"/>
    <x v="7"/>
    <n v="2100099"/>
    <s v="MC"/>
    <s v="PLATING 4호기"/>
    <s v="BPE-2800K"/>
    <x v="18"/>
    <m/>
    <s v="306004"/>
    <x v="90"/>
    <s v="가동"/>
    <s v="일본"/>
    <s v="SEMICON SCIENCE CORP"/>
    <x v="0"/>
    <s v="1차"/>
    <s v="1차"/>
    <s v="해당"/>
    <s v="bump 형성 장비"/>
    <s v="bump 형성 장비"/>
    <s v="범용"/>
    <m/>
    <s v="3B001"/>
    <s v="8486.20-0000"/>
    <s v="증착 도금 장비로 웨이퍼 전용이라는 점으로 해당 되지만 8&quot; 용으로 범용 장비로 분류 됨"/>
    <m/>
    <d v="2006-05-18T00:00:00"/>
    <d v="2006-06-30T00:00:00"/>
    <n v="19.350684931506848"/>
    <n v="12"/>
    <s v="1공장"/>
    <s v="자사"/>
    <s v="산업은행"/>
    <n v="21.6"/>
    <n v="1500"/>
    <n v="3900"/>
    <n v="2328"/>
    <n v="495932296"/>
    <m/>
    <m/>
    <n v="368073209"/>
    <m/>
    <m/>
    <n v="1000"/>
    <n v="13090921"/>
    <n v="144"/>
    <n v="234"/>
    <n v="0"/>
    <m/>
    <s v="PLATING2-AUP8&quot;"/>
    <s v="Bump"/>
    <s v="Bump"/>
    <s v="기계장치"/>
    <n v="9918645.9199999999"/>
    <n v="945531.79846667056"/>
    <n v="315177.26615555683"/>
    <m/>
    <m/>
    <m/>
    <m/>
    <m/>
    <m/>
    <m/>
    <n v="945531.79846667056"/>
    <n v="945531.79846667056"/>
    <n v="1891063.5969333411"/>
    <n v="945531.79846667056"/>
    <n v="945531.79846667056"/>
    <n v="945531.79846667056"/>
    <n v="945531.79846667056"/>
    <n v="3782127.1938666822"/>
    <n v="945531.79846667056"/>
    <n v="945531.79846667056"/>
    <n v="945531.79846667056"/>
    <n v="945531.79846667056"/>
    <n v="3782127.1938666822"/>
    <n v="945531.79846667056"/>
    <n v="945531.79846667056"/>
    <n v="945531.79846667056"/>
    <n v="945531.79846667056"/>
    <n v="3782127.1938666822"/>
    <m/>
    <n v="9.6849388718730763E-4"/>
    <n v="20338371.63093346"/>
    <n v="30257017.550933458"/>
  </r>
  <r>
    <n v="174"/>
    <x v="0"/>
    <m/>
    <s v="오지민"/>
    <s v="평택"/>
    <s v="Wafer"/>
    <s v="O"/>
    <s v="8&quot;"/>
    <s v="DDI"/>
    <x v="2"/>
    <s v="Au bump"/>
    <x v="10"/>
    <n v="2100102"/>
    <s v="MC"/>
    <s v="AVI FALCON-520 #2호기"/>
    <s v="Falcon 520"/>
    <x v="21"/>
    <m/>
    <n v="81110"/>
    <x v="91"/>
    <s v="가동"/>
    <s v="이스라엘"/>
    <s v="CAMTEK HK"/>
    <x v="1"/>
    <s v="1차"/>
    <s v="1차"/>
    <s v="상황허가"/>
    <s v="반도체/패키지 외관 및 3D 형상 검사"/>
    <s v="반도체/패키지 외관 및 3D 형상 검사"/>
    <m/>
    <m/>
    <s v="EAR99"/>
    <s v="9031.80-0000"/>
    <m/>
    <m/>
    <d v="2006-06-27T00:00:00"/>
    <d v="2006-10-31T00:00:00"/>
    <n v="19.013698630136986"/>
    <n v="12"/>
    <s v="1공장"/>
    <s v="자사"/>
    <s v="미설정"/>
    <n v="5"/>
    <n v="2200"/>
    <n v="1400"/>
    <n v="2120"/>
    <n v="545205132"/>
    <m/>
    <m/>
    <n v="527935132"/>
    <m/>
    <m/>
    <n v="1000"/>
    <n v="1160107"/>
    <n v="144"/>
    <n v="230"/>
    <n v="0"/>
    <m/>
    <s v="AVI-8&quot;"/>
    <s v="Bump"/>
    <s v="Bump"/>
    <s v="기계장치"/>
    <n v="10904102.640000001"/>
    <n v="1039474.124091363"/>
    <n v="346491.37469712103"/>
    <m/>
    <m/>
    <n v="1039474.124091363"/>
    <n v="1039474.124091363"/>
    <n v="2078948.2481827261"/>
    <n v="1039474.124091363"/>
    <n v="1039474.124091363"/>
    <n v="1039474.124091363"/>
    <n v="1039474.124091363"/>
    <n v="4157896.4963654522"/>
    <n v="1039474.124091363"/>
    <n v="1039474.124091363"/>
    <n v="1039474.124091363"/>
    <n v="1039474.124091363"/>
    <n v="4157896.4963654522"/>
    <n v="1039474.124091363"/>
    <n v="1039474.124091363"/>
    <n v="1039474.124091363"/>
    <n v="1039474.124091363"/>
    <n v="4157896.4963654522"/>
    <n v="1039474.124091363"/>
    <n v="1039474.124091363"/>
    <n v="1039474.124091363"/>
    <n v="1039474.124091363"/>
    <n v="4157896.4963654522"/>
    <m/>
    <n v="1.0647175871868388E-3"/>
    <n v="22359069.330923617"/>
    <n v="33263171.970923617"/>
  </r>
  <r>
    <n v="175"/>
    <x v="0"/>
    <m/>
    <s v="오지민"/>
    <s v="평택"/>
    <s v="Wafer"/>
    <s v="O"/>
    <s v="8&quot;"/>
    <s v="DDI"/>
    <x v="2"/>
    <s v="Au bump"/>
    <x v="7"/>
    <n v="2100103"/>
    <s v="MC"/>
    <s v="PLATING 5호기"/>
    <s v="BPE-2800K"/>
    <x v="18"/>
    <m/>
    <s v="306006"/>
    <x v="92"/>
    <s v="가동"/>
    <s v="일본"/>
    <s v="SEMICON SCIENCE CORP"/>
    <x v="1"/>
    <s v="2차"/>
    <s v="2차"/>
    <s v="해당"/>
    <s v="bump 형성 장비"/>
    <s v="bump 형성 장비"/>
    <s v="범용"/>
    <m/>
    <s v="3B001"/>
    <s v="8486.20-0000"/>
    <s v="증착 도금 장비로 웨이퍼 전용이라는 점으로 해당 되지만 8&quot; 용으로 범용 장비로 분류 됨"/>
    <m/>
    <d v="2006-09-19T00:00:00"/>
    <d v="2006-10-31T00:00:00"/>
    <n v="19.013698630136986"/>
    <n v="12"/>
    <s v="1공장"/>
    <s v="자사"/>
    <s v="산업은행"/>
    <n v="21.6"/>
    <n v="1500"/>
    <n v="3900"/>
    <n v="2328"/>
    <n v="349585986"/>
    <m/>
    <m/>
    <n v="349585986"/>
    <m/>
    <m/>
    <n v="1000"/>
    <n v="1000"/>
    <n v="144"/>
    <n v="230"/>
    <n v="0"/>
    <m/>
    <s v="PLATING2-AUP8&quot;"/>
    <s v="Bump"/>
    <s v="Bump"/>
    <s v="기계장치"/>
    <n v="6991719.7199999997"/>
    <n v="666511.67654813174"/>
    <n v="222170.55884937724"/>
    <m/>
    <m/>
    <n v="666511.67654813174"/>
    <n v="666511.67654813174"/>
    <n v="1333023.3530962635"/>
    <n v="666511.67654813174"/>
    <n v="666511.67654813174"/>
    <n v="666511.67654813174"/>
    <n v="666511.67654813174"/>
    <n v="2666046.706192527"/>
    <n v="666511.67654813174"/>
    <n v="666511.67654813174"/>
    <n v="666511.67654813174"/>
    <n v="666511.67654813174"/>
    <n v="2666046.706192527"/>
    <n v="666511.67654813174"/>
    <n v="666511.67654813174"/>
    <n v="666511.67654813174"/>
    <n v="666511.67654813174"/>
    <n v="2666046.706192527"/>
    <n v="666511.67654813174"/>
    <n v="666511.67654813174"/>
    <n v="666511.67654813174"/>
    <n v="666511.67654813174"/>
    <n v="2666046.706192527"/>
    <m/>
    <n v="6.8269780616858167E-4"/>
    <n v="14336653.929540215"/>
    <n v="21328373.649540216"/>
  </r>
  <r>
    <n v="176"/>
    <x v="0"/>
    <m/>
    <s v="오지민"/>
    <s v="평택"/>
    <s v="Wafer"/>
    <s v="O"/>
    <s v="8&quot;"/>
    <s v="DDI"/>
    <x v="2"/>
    <s v="Au bump"/>
    <x v="11"/>
    <n v="2100104"/>
    <s v="검사"/>
    <s v="Shear Mode계측기 Dage-4000"/>
    <s v="DAGE4000 PXY"/>
    <x v="22"/>
    <m/>
    <n v="2032286"/>
    <x v="93"/>
    <s v="가동"/>
    <s v="영국"/>
    <s v="DAGE PLC"/>
    <x v="1"/>
    <s v="1차"/>
    <s v="1차"/>
    <s v="일반장비(비통제)"/>
    <s v="반도체 패키지/전자조립 결합 신뢰성 평가용 시험장비"/>
    <s v="반도체 패키지/전자조립 결합 신뢰성 평가용 시험장비"/>
    <m/>
    <m/>
    <s v="EAR99"/>
    <s v="9031.49-0000"/>
    <m/>
    <m/>
    <d v="2006-10-01T00:00:00"/>
    <d v="2006-10-31T00:00:00"/>
    <n v="19.013698630136986"/>
    <n v="12"/>
    <s v="1공장"/>
    <s v="자사"/>
    <s v="미설정"/>
    <n v="2.2000000000000002"/>
    <n v="1480"/>
    <n v="800"/>
    <n v="1500"/>
    <n v="41950000"/>
    <m/>
    <m/>
    <n v="41950000"/>
    <m/>
    <m/>
    <n v="1000"/>
    <n v="1000"/>
    <n v="144"/>
    <n v="230"/>
    <n v="0"/>
    <m/>
    <s v="특성-8&quot;_DDI"/>
    <s v="Bump"/>
    <s v="Bump"/>
    <s v="기계장치"/>
    <n v="839000"/>
    <n v="79980.794285026423"/>
    <n v="26660.264761675473"/>
    <m/>
    <m/>
    <n v="79980.794285026423"/>
    <n v="79980.794285026423"/>
    <n v="159961.58857005285"/>
    <n v="79980.794285026423"/>
    <n v="79980.794285026423"/>
    <n v="79980.794285026423"/>
    <n v="79980.794285026423"/>
    <n v="319923.17714010569"/>
    <n v="79980.794285026423"/>
    <n v="79980.794285026423"/>
    <n v="79980.794285026423"/>
    <n v="79980.794285026423"/>
    <n v="319923.17714010569"/>
    <n v="79980.794285026423"/>
    <n v="79980.794285026423"/>
    <n v="79980.794285026423"/>
    <n v="79980.794285026423"/>
    <n v="319923.17714010569"/>
    <n v="79980.794285026423"/>
    <n v="79980.794285026423"/>
    <n v="79980.794285026423"/>
    <n v="79980.794285026423"/>
    <n v="319923.17714010569"/>
    <m/>
    <n v="8.1923115100992642E-5"/>
    <n v="1720385.4171208455"/>
    <n v="2559385.4171208455"/>
  </r>
  <r>
    <n v="177"/>
    <x v="0"/>
    <m/>
    <s v="오지민"/>
    <s v="평택"/>
    <s v="Wafer"/>
    <s v="O"/>
    <s v="8&quot;"/>
    <s v="DDI"/>
    <x v="2"/>
    <s v="Au bump"/>
    <x v="10"/>
    <n v="2100105"/>
    <s v="MC"/>
    <s v="AVI FALCON-520 #3호기"/>
    <s v="Falcon 520"/>
    <x v="21"/>
    <m/>
    <n v="81116"/>
    <x v="94"/>
    <s v="가동"/>
    <s v="이스라엘"/>
    <s v="CAMTEK HK"/>
    <x v="1"/>
    <s v="1차"/>
    <s v="1차"/>
    <s v="상황허가"/>
    <s v="반도체/패키지 외관 및 3D 형상 검사"/>
    <s v="반도체/패키지 외관 및 3D 형상 검사"/>
    <m/>
    <m/>
    <s v="EAR99"/>
    <s v="9031.80-0000"/>
    <m/>
    <m/>
    <d v="2006-12-12T00:00:00"/>
    <d v="2006-12-31T00:00:00"/>
    <n v="18.846575342465755"/>
    <n v="12"/>
    <s v="1공장"/>
    <s v="자사"/>
    <s v="미설정"/>
    <n v="5"/>
    <n v="2200"/>
    <n v="1400"/>
    <n v="2120"/>
    <n v="679135008"/>
    <m/>
    <m/>
    <n v="568535008"/>
    <m/>
    <m/>
    <n v="1000"/>
    <n v="11137293"/>
    <n v="144"/>
    <n v="228"/>
    <n v="0"/>
    <m/>
    <s v="AVI-8&quot;"/>
    <s v="Bump"/>
    <s v="Bump"/>
    <s v="기계장치"/>
    <n v="13582700.16"/>
    <n v="1294821.3913374916"/>
    <n v="431607.13044583052"/>
    <m/>
    <m/>
    <n v="1294821.3913374916"/>
    <n v="1294821.3913374916"/>
    <n v="2589642.7826749831"/>
    <n v="1294821.3913374916"/>
    <n v="1294821.3913374916"/>
    <n v="1294821.3913374916"/>
    <n v="1294821.3913374916"/>
    <n v="5179285.5653499663"/>
    <n v="1294821.3913374916"/>
    <n v="1294821.3913374916"/>
    <n v="1294821.3913374916"/>
    <n v="1294821.3913374916"/>
    <n v="5179285.5653499663"/>
    <n v="1294821.3913374916"/>
    <n v="1294821.3913374916"/>
    <n v="1294821.3913374916"/>
    <n v="1294821.3913374916"/>
    <n v="5179285.5653499663"/>
    <n v="1294821.3913374916"/>
    <n v="1294821.3913374916"/>
    <n v="1294821.3913374916"/>
    <n v="1294821.3913374916"/>
    <n v="5179285.5653499663"/>
    <m/>
    <n v="1.3262659220380825E-3"/>
    <n v="27851584.36279973"/>
    <n v="41434284.52279973"/>
  </r>
  <r>
    <n v="178"/>
    <x v="0"/>
    <m/>
    <s v="오지민"/>
    <s v="평택"/>
    <s v="Wafer"/>
    <s v="O"/>
    <s v="8&quot;"/>
    <s v="DDI"/>
    <x v="2"/>
    <s v="Au bump"/>
    <x v="12"/>
    <n v="2100107"/>
    <s v="MC"/>
    <s v="8&quot; spin rinse dryer "/>
    <m/>
    <x v="23"/>
    <m/>
    <m/>
    <x v="95"/>
    <s v="가동"/>
    <m/>
    <s v="SEMITOOL"/>
    <x v="2"/>
    <s v="3차"/>
    <s v="3차"/>
    <s v="일반장비(비통제)"/>
    <s v="웨이퍼 세정/건조 장비"/>
    <s v="웨이퍼 세정/건조 장비"/>
    <m/>
    <m/>
    <s v="EAR99"/>
    <s v="8486.20-0000"/>
    <m/>
    <m/>
    <m/>
    <d v="2007-05-22T00:00:00"/>
    <n v="18.457534246575342"/>
    <n v="12"/>
    <s v="1공장"/>
    <s v="자사"/>
    <s v="미설정"/>
    <m/>
    <m/>
    <m/>
    <m/>
    <n v="18000000"/>
    <m/>
    <m/>
    <n v="18000000"/>
    <m/>
    <m/>
    <n v="1000"/>
    <n v="1000"/>
    <n v="144"/>
    <n v="223"/>
    <n v="0"/>
    <m/>
    <s v="PLATING2-AUP8&quot;"/>
    <s v="Bump"/>
    <s v="Bump"/>
    <s v="기계장치"/>
    <n v="360000"/>
    <n v="11250"/>
    <n v="3750"/>
    <m/>
    <m/>
    <m/>
    <m/>
    <m/>
    <m/>
    <m/>
    <n v="11250"/>
    <n v="11250"/>
    <n v="22500"/>
    <n v="11250"/>
    <n v="11250"/>
    <n v="11250"/>
    <n v="11250"/>
    <n v="45000"/>
    <n v="11250"/>
    <n v="11250"/>
    <n v="11250"/>
    <n v="11250"/>
    <n v="45000"/>
    <n v="11250"/>
    <n v="11250"/>
    <n v="11250"/>
    <n v="11250"/>
    <n v="45000"/>
    <m/>
    <m/>
    <m/>
    <n v="360000"/>
  </r>
  <r>
    <n v="179"/>
    <x v="0"/>
    <m/>
    <s v="오지민"/>
    <s v="평택"/>
    <s v="Wafer"/>
    <s v="O"/>
    <s v="8&quot;"/>
    <s v="DDI"/>
    <x v="2"/>
    <s v="Au bump"/>
    <x v="9"/>
    <n v="2100108"/>
    <s v="MC"/>
    <s v="STEPPER ALIGNER AP-200 #2호기"/>
    <s v="AP200"/>
    <x v="20"/>
    <m/>
    <s v="5030"/>
    <x v="96"/>
    <s v="가동"/>
    <s v="미국"/>
    <s v="ULTRATECH"/>
    <x v="0"/>
    <s v="2차"/>
    <s v="2차"/>
    <s v="해당"/>
    <s v="PR 패턴 노광"/>
    <s v="PR 패턴 노광"/>
    <m/>
    <m/>
    <s v="3B001"/>
    <s v="8486.20-0000"/>
    <s v="3D001(a) 해당-노광기능의 반도체 미세 패턴 형성 장비"/>
    <m/>
    <d v="2007-05-03T00:00:00"/>
    <d v="2007-06-30T00:00:00"/>
    <n v="18.350684931506848"/>
    <n v="12"/>
    <s v="1공장"/>
    <s v="자사"/>
    <s v="산업은행"/>
    <n v="43.2"/>
    <n v="3042"/>
    <n v="1956"/>
    <n v="2489"/>
    <n v="2874776737"/>
    <m/>
    <m/>
    <n v="2629003667"/>
    <m/>
    <m/>
    <n v="1000"/>
    <n v="27119187"/>
    <n v="144"/>
    <n v="222"/>
    <n v="0"/>
    <m/>
    <s v="PHOTO2-8&quot;_EXPOSURE_DDI"/>
    <s v="Bump"/>
    <s v="Bump"/>
    <s v="기계장치"/>
    <n v="57495534.740000002"/>
    <n v="5480975.6094726222"/>
    <n v="1826991.8698242074"/>
    <m/>
    <m/>
    <m/>
    <m/>
    <n v="0"/>
    <m/>
    <m/>
    <n v="6648890.4804866435"/>
    <n v="6648890.4804866435"/>
    <n v="13297780.960973287"/>
    <n v="6648890.4804866435"/>
    <n v="6648890.4804866435"/>
    <n v="6648890.4804866435"/>
    <n v="6648890.4804866435"/>
    <n v="26595561.921946574"/>
    <n v="6648890.4804866435"/>
    <n v="6648890.4804866435"/>
    <n v="6648890.4804866435"/>
    <n v="6648890.4804866435"/>
    <n v="26595561.921946574"/>
    <n v="6648890.4804866435"/>
    <n v="6648890.4804866435"/>
    <n v="6648890.4804866435"/>
    <n v="6648890.4804866435"/>
    <n v="26595561.921946574"/>
    <m/>
    <n v="5.6140802268154245E-3"/>
    <n v="117895684.76312391"/>
    <n v="175391219.50312391"/>
  </r>
  <r>
    <n v="180"/>
    <x v="0"/>
    <m/>
    <s v="오지민"/>
    <s v="평택"/>
    <s v="Wafer"/>
    <s v="O"/>
    <s v="8&quot;"/>
    <s v="DDI"/>
    <x v="2"/>
    <s v="Au bump"/>
    <x v="13"/>
    <n v="2100110"/>
    <s v="MC"/>
    <s v="8&quot; SCRUBBER VS-8000"/>
    <s v="VS-8000"/>
    <x v="24"/>
    <m/>
    <s v="M-1438"/>
    <x v="97"/>
    <s v="가동"/>
    <s v="일본"/>
    <s v="M.SETEK"/>
    <x v="1"/>
    <s v="1차"/>
    <s v="1차"/>
    <s v="일반장비(비통제)"/>
    <s v="비파괴 검사"/>
    <s v="비파괴 검사"/>
    <m/>
    <m/>
    <s v="EAR99"/>
    <s v="9031.80-0000"/>
    <m/>
    <m/>
    <d v="2007-05-25T00:00:00"/>
    <d v="2007-06-30T00:00:00"/>
    <n v="18.350684931506848"/>
    <n v="12"/>
    <s v="1공장"/>
    <s v="자사"/>
    <s v="산업은행"/>
    <n v="4.4000000000000004"/>
    <n v="2550"/>
    <n v="2620"/>
    <n v="1900"/>
    <n v="264229385"/>
    <m/>
    <m/>
    <n v="248379385"/>
    <m/>
    <m/>
    <n v="1000"/>
    <n v="1606293"/>
    <n v="144"/>
    <n v="222"/>
    <n v="0"/>
    <m/>
    <s v="UBM2-8&quot;_DDI"/>
    <s v="Bump"/>
    <s v="Bump"/>
    <s v="기계장치"/>
    <n v="5284587.7"/>
    <n v="503772.9698627902"/>
    <n v="167924.32328759672"/>
    <m/>
    <m/>
    <n v="503772.9698627902"/>
    <n v="503772.9698627902"/>
    <n v="1007545.9397255804"/>
    <n v="503772.9698627902"/>
    <n v="503772.9698627902"/>
    <n v="503772.9698627902"/>
    <n v="503772.9698627902"/>
    <n v="2015091.8794511608"/>
    <n v="503772.9698627902"/>
    <n v="503772.9698627902"/>
    <n v="503772.9698627902"/>
    <n v="503772.9698627902"/>
    <n v="2015091.8794511608"/>
    <n v="503772.9698627902"/>
    <n v="503772.9698627902"/>
    <n v="503772.9698627902"/>
    <n v="503772.9698627902"/>
    <n v="2015091.8794511608"/>
    <n v="503772.9698627902"/>
    <n v="503772.9698627902"/>
    <n v="503772.9698627902"/>
    <n v="503772.9698627902"/>
    <n v="2015091.8794511608"/>
    <m/>
    <n v="5.1600701598139456E-4"/>
    <n v="10836147.335609285"/>
    <n v="16120735.035609286"/>
  </r>
  <r>
    <n v="181"/>
    <x v="0"/>
    <m/>
    <s v="오지민"/>
    <s v="평택"/>
    <s v="Wafer"/>
    <s v="O"/>
    <s v="8&quot;"/>
    <s v="DDI"/>
    <x v="2"/>
    <s v="Au bump"/>
    <x v="14"/>
    <n v="2100111"/>
    <s v="MC"/>
    <s v="DEVELOPER VRD-8000(USED)"/>
    <s v="VRD-8000"/>
    <x v="25"/>
    <m/>
    <s v="M_1439"/>
    <x v="98"/>
    <s v="가동"/>
    <s v="일본"/>
    <s v="M.SETEK"/>
    <x v="1"/>
    <s v="1차"/>
    <s v="1차"/>
    <s v="해당"/>
    <s v="외관 검사"/>
    <s v="외관 검사"/>
    <m/>
    <m/>
    <s v="3B991"/>
    <s v="8486.20-0000"/>
    <s v="반도체용 웨이퍼 전용, 리소 관련"/>
    <m/>
    <d v="2007-06-21T00:00:00"/>
    <d v="2007-07-31T00:00:00"/>
    <n v="18.265753424657536"/>
    <n v="12"/>
    <s v="1공장"/>
    <s v="자사"/>
    <s v="미설정"/>
    <n v="6.4"/>
    <n v="3170"/>
    <n v="2170"/>
    <n v="1940"/>
    <n v="208814612"/>
    <m/>
    <m/>
    <n v="208814612"/>
    <m/>
    <m/>
    <n v="1000"/>
    <n v="1000"/>
    <n v="144"/>
    <n v="221"/>
    <n v="0"/>
    <m/>
    <s v="PHOTO2-8&quot;_DEVELOP_DDI"/>
    <s v="Bump"/>
    <s v="Bump"/>
    <s v="기계장치"/>
    <n v="4176292.24"/>
    <n v="398120.58465028869"/>
    <n v="132706.86155009622"/>
    <m/>
    <m/>
    <n v="398120.58465028869"/>
    <n v="398120.58465028869"/>
    <n v="796241.16930057737"/>
    <n v="398120.58465028869"/>
    <n v="398120.58465028869"/>
    <n v="398120.58465028869"/>
    <n v="398120.58465028869"/>
    <n v="1592482.3386011547"/>
    <n v="398120.58465028869"/>
    <n v="398120.58465028869"/>
    <n v="398120.58465028869"/>
    <n v="398120.58465028869"/>
    <n v="1592482.3386011547"/>
    <n v="398120.58465028869"/>
    <n v="398120.58465028869"/>
    <n v="398120.58465028869"/>
    <n v="398120.58465028869"/>
    <n v="1592482.3386011547"/>
    <n v="398120.58465028869"/>
    <n v="398120.58465028869"/>
    <n v="398120.58465028869"/>
    <n v="398120.58465028869"/>
    <n v="1592482.3386011547"/>
    <m/>
    <n v="4.0778887946710658E-4"/>
    <n v="8563566.4688092377"/>
    <n v="12739858.708809238"/>
  </r>
  <r>
    <n v="182"/>
    <x v="0"/>
    <m/>
    <s v="오지민"/>
    <s v="평택"/>
    <s v="Wafer"/>
    <s v="O"/>
    <s v="8&quot;"/>
    <s v="DDI"/>
    <x v="2"/>
    <s v="Au bump"/>
    <x v="10"/>
    <n v="2100112"/>
    <s v="MC"/>
    <s v="AVI FALCON-520 #4호기"/>
    <s v="Falcon 520"/>
    <x v="21"/>
    <m/>
    <n v="81121"/>
    <x v="99"/>
    <s v="가동"/>
    <s v="이스라엘"/>
    <s v="CAMTEK HK"/>
    <x v="1"/>
    <s v="1차"/>
    <s v="1차"/>
    <s v="상황허가"/>
    <s v="반도체/패키지 외관 및 3D 형상 검사"/>
    <s v="반도체/패키지 외관 및 3D 형상 검사"/>
    <m/>
    <m/>
    <s v="EAR99"/>
    <s v="9031.80-0000"/>
    <m/>
    <m/>
    <d v="2007-06-03T00:00:00"/>
    <d v="2007-07-31T00:00:00"/>
    <n v="18.265753424657536"/>
    <n v="12"/>
    <s v="1공장"/>
    <s v="자사"/>
    <s v="미설정"/>
    <n v="5"/>
    <n v="2200"/>
    <n v="1400"/>
    <n v="2120"/>
    <n v="480337367"/>
    <m/>
    <m/>
    <n v="480337367"/>
    <m/>
    <m/>
    <n v="1000"/>
    <n v="1000"/>
    <n v="144"/>
    <n v="221"/>
    <n v="0"/>
    <m/>
    <s v="AVI-8&quot;"/>
    <s v="Bump"/>
    <s v="Bump"/>
    <s v="기계장치"/>
    <n v="9606747.3399999999"/>
    <n v="915798.90673273511"/>
    <n v="305266.30224424502"/>
    <m/>
    <m/>
    <n v="915798.90673273499"/>
    <n v="915798.90673273499"/>
    <n v="1831597.81346547"/>
    <n v="915798.90673273499"/>
    <n v="915798.90673273499"/>
    <n v="915798.90673273499"/>
    <n v="915798.90673273499"/>
    <n v="3663195.62693094"/>
    <n v="915798.90673273499"/>
    <n v="915798.90673273499"/>
    <n v="915798.90673273499"/>
    <n v="915798.90673273499"/>
    <n v="3663195.62693094"/>
    <n v="915798.90673273499"/>
    <n v="915798.90673273499"/>
    <n v="915798.90673273499"/>
    <n v="915798.90673273499"/>
    <n v="3663195.62693094"/>
    <n v="915798.90673273499"/>
    <n v="915798.90673273499"/>
    <n v="915798.90673273499"/>
    <n v="915798.90673273499"/>
    <n v="3663195.62693094"/>
    <m/>
    <n v="9.3803893692607262E-4"/>
    <n v="19698817.675447524"/>
    <n v="29305565.015447523"/>
  </r>
  <r>
    <n v="183"/>
    <x v="0"/>
    <m/>
    <s v="오지민"/>
    <s v="평택"/>
    <s v="Wafer"/>
    <s v="O"/>
    <s v="8&quot;"/>
    <s v="DDI"/>
    <x v="2"/>
    <s v="Au bump"/>
    <x v="15"/>
    <n v="2100113"/>
    <s v="MC"/>
    <s v="SPUTTER ENDURA-5500"/>
    <s v="ENDURA-5500"/>
    <x v="26"/>
    <m/>
    <s v="300592"/>
    <x v="100"/>
    <s v="가동"/>
    <s v="미국"/>
    <s v="러셀(주)"/>
    <x v="2"/>
    <s v="3차"/>
    <s v="3차"/>
    <s v="해당"/>
    <s v="금속 박막 형성"/>
    <s v="금속 박막 형성"/>
    <m/>
    <m/>
    <s v="3B001"/>
    <s v="8486.20-0000"/>
    <s v="조건부 통제(PVD, suptter 장비는 별표 2-2의 이중용도 반도체 제조 장비 당"/>
    <m/>
    <d v="2007-07-06T00:00:00"/>
    <d v="2007-08-31T00:00:00"/>
    <n v="18.18082191780822"/>
    <n v="12"/>
    <s v="1공장"/>
    <s v="자사"/>
    <s v="산업은행"/>
    <n v="148.4"/>
    <n v="3500"/>
    <n v="4000"/>
    <n v="1700"/>
    <n v="1900610000"/>
    <m/>
    <m/>
    <n v="1658970000"/>
    <m/>
    <m/>
    <n v="1000"/>
    <n v="28631494"/>
    <n v="144"/>
    <n v="220"/>
    <n v="0"/>
    <m/>
    <s v="UBM2-8&quot;_DDI"/>
    <s v="Bump"/>
    <s v="Bump"/>
    <s v="기계장치"/>
    <n v="38012200"/>
    <n v="1187881.25"/>
    <n v="395960.41666666669"/>
    <m/>
    <m/>
    <m/>
    <m/>
    <m/>
    <m/>
    <m/>
    <n v="1187881.25"/>
    <n v="1187881.25"/>
    <n v="2375762.5"/>
    <n v="1187881.25"/>
    <n v="1187881.25"/>
    <n v="1187881.25"/>
    <n v="1187881.25"/>
    <n v="4751525"/>
    <n v="1187881.25"/>
    <n v="1187881.25"/>
    <n v="1187881.25"/>
    <n v="1187881.25"/>
    <n v="4751525"/>
    <n v="1187881.25"/>
    <n v="1187881.25"/>
    <n v="1187881.25"/>
    <n v="1187881.25"/>
    <n v="4751525"/>
    <m/>
    <m/>
    <m/>
    <n v="38012200"/>
  </r>
  <r>
    <n v="184"/>
    <x v="0"/>
    <m/>
    <s v="오지민"/>
    <s v="평택"/>
    <s v="Wafer"/>
    <s v="O"/>
    <s v="8&quot;"/>
    <s v="DDI"/>
    <x v="2"/>
    <s v="Au bump"/>
    <x v="14"/>
    <n v="2100114"/>
    <s v="MC"/>
    <s v="DEVELOPER VRD-8000"/>
    <s v="VRD-8000"/>
    <x v="25"/>
    <m/>
    <s v="M_1441"/>
    <x v="101"/>
    <s v="가동"/>
    <s v="일본"/>
    <s v="M.SETEK"/>
    <x v="1"/>
    <s v="1차"/>
    <s v="1차"/>
    <s v="해당"/>
    <s v="외관 검사"/>
    <s v="외관 검사"/>
    <m/>
    <m/>
    <s v="3B991"/>
    <s v="8486.20-0000"/>
    <s v="반도체용 웨이퍼 전용, 리소 관련"/>
    <m/>
    <d v="2007-08-29T00:00:00"/>
    <d v="2007-09-30T00:00:00"/>
    <n v="18.098630136986301"/>
    <n v="12"/>
    <s v="1공장"/>
    <s v="자사"/>
    <s v="미설정"/>
    <n v="6.4"/>
    <n v="3900"/>
    <n v="2820"/>
    <n v="1940"/>
    <n v="382582967"/>
    <m/>
    <m/>
    <n v="382582967"/>
    <m/>
    <m/>
    <n v="1000"/>
    <n v="1000"/>
    <n v="144"/>
    <n v="219"/>
    <n v="0"/>
    <m/>
    <s v="PHOTO2-8&quot;_DEVELOP_DDI"/>
    <s v="Bump"/>
    <s v="Bump"/>
    <s v="기계장치"/>
    <n v="7651659.3399999999"/>
    <n v="729422.87438812992"/>
    <n v="243140.95812937664"/>
    <m/>
    <m/>
    <n v="729422.87438812992"/>
    <n v="729422.87438812992"/>
    <n v="1458845.7487762598"/>
    <n v="729422.87438812992"/>
    <n v="729422.87438812992"/>
    <n v="729422.87438812992"/>
    <n v="729422.87438812992"/>
    <n v="2917691.4975525197"/>
    <n v="729422.87438812992"/>
    <n v="729422.87438812992"/>
    <n v="729422.87438812992"/>
    <n v="729422.87438812992"/>
    <n v="2917691.4975525197"/>
    <n v="729422.87438812992"/>
    <n v="729422.87438812992"/>
    <n v="729422.87438812992"/>
    <n v="729422.87438812992"/>
    <n v="2917691.4975525197"/>
    <n v="729422.87438812992"/>
    <n v="729422.87438812992"/>
    <n v="729422.87438812992"/>
    <n v="729422.87438812992"/>
    <n v="2917691.4975525197"/>
    <m/>
    <n v="7.4713679240095998E-4"/>
    <n v="15689872.640420159"/>
    <n v="23341531.980420157"/>
  </r>
  <r>
    <n v="185"/>
    <x v="0"/>
    <m/>
    <s v="오지민"/>
    <s v="평택"/>
    <s v="Wafer"/>
    <s v="O"/>
    <s v="8&quot;"/>
    <s v="DDI"/>
    <x v="2"/>
    <s v="Au bump"/>
    <x v="7"/>
    <n v="2100118"/>
    <s v="MC"/>
    <s v="PLATING 6호기"/>
    <s v="BPE-2800K"/>
    <x v="18"/>
    <m/>
    <s v="307004"/>
    <x v="102"/>
    <s v="가동"/>
    <s v="일본"/>
    <s v="SEMICON SCIENCE CORP"/>
    <x v="1"/>
    <s v="2차"/>
    <s v="2차"/>
    <s v="해당"/>
    <s v="bump 형성 장비"/>
    <s v="bump 형성 장비"/>
    <s v="범용"/>
    <m/>
    <s v="3B001"/>
    <s v="8486.20-0000"/>
    <s v="증착 도금 장비로 웨이퍼 전용이라는 점으로 해당 되지만 8&quot; 용으로 범용 장비로 분류 됨"/>
    <m/>
    <d v="2007-10-24T00:00:00"/>
    <d v="2007-12-31T00:00:00"/>
    <n v="17.846575342465755"/>
    <n v="12"/>
    <s v="1공장"/>
    <s v="자사"/>
    <s v="산업은행"/>
    <n v="21.6"/>
    <n v="1500"/>
    <n v="3900"/>
    <n v="2328"/>
    <n v="340372301"/>
    <m/>
    <m/>
    <n v="340372301"/>
    <m/>
    <m/>
    <n v="1000"/>
    <n v="1000"/>
    <n v="144"/>
    <n v="216"/>
    <n v="0"/>
    <m/>
    <s v="PLATING2-AUP8&quot;"/>
    <s v="Bump"/>
    <s v="Bump"/>
    <s v="기계장치"/>
    <n v="6807446.0200000005"/>
    <n v="648945.10099170671"/>
    <n v="216315.03366390223"/>
    <m/>
    <m/>
    <n v="648945.10099170671"/>
    <n v="648945.10099170671"/>
    <n v="1297890.2019834134"/>
    <n v="648945.10099170671"/>
    <n v="648945.10099170671"/>
    <n v="648945.10099170671"/>
    <n v="648945.10099170671"/>
    <n v="2595780.4039668269"/>
    <n v="648945.10099170671"/>
    <n v="648945.10099170671"/>
    <n v="648945.10099170671"/>
    <n v="648945.10099170671"/>
    <n v="2595780.4039668269"/>
    <n v="648945.10099170671"/>
    <n v="648945.10099170671"/>
    <n v="648945.10099170671"/>
    <n v="648945.10099170671"/>
    <n v="2595780.4039668269"/>
    <n v="648945.10099170671"/>
    <n v="648945.10099170671"/>
    <n v="648945.10099170671"/>
    <n v="648945.10099170671"/>
    <n v="2595780.4039668269"/>
    <m/>
    <n v="6.6470462913021972E-4"/>
    <n v="13958797.211734613"/>
    <n v="20766243.231734615"/>
  </r>
  <r>
    <n v="186"/>
    <x v="0"/>
    <m/>
    <s v="오지민"/>
    <s v="평택"/>
    <s v="Wafer"/>
    <s v="O"/>
    <s v="8&quot;"/>
    <s v="DDI"/>
    <x v="2"/>
    <s v="Au bump"/>
    <x v="15"/>
    <n v="2100120"/>
    <s v="MC"/>
    <s v="SPUTTER ENDURA-5500 #2호기"/>
    <s v="ENDURA-5500"/>
    <x v="26"/>
    <m/>
    <s v="P529"/>
    <x v="103"/>
    <s v="가동"/>
    <s v="미국"/>
    <s v="러셀(주)"/>
    <x v="0"/>
    <s v="2차"/>
    <s v="2차"/>
    <s v="해당"/>
    <s v="금속 박막 형성"/>
    <s v="금속 박막 형성"/>
    <m/>
    <m/>
    <s v="3B001"/>
    <s v="8486.20-0000"/>
    <s v="조건부 통제(PVD, suptter 장비는 별표 2-2의 이중용도 반도체 제조 장비 당"/>
    <m/>
    <d v="2009-09-15T00:00:00"/>
    <d v="2009-12-31T00:00:00"/>
    <n v="15.843835616438357"/>
    <n v="12"/>
    <s v="1공장"/>
    <s v="자사"/>
    <s v="미설정"/>
    <n v="148.4"/>
    <n v="3500"/>
    <n v="4000"/>
    <n v="1700"/>
    <n v="1064020000"/>
    <m/>
    <m/>
    <n v="868450000"/>
    <m/>
    <m/>
    <n v="1000"/>
    <n v="25192419"/>
    <n v="144"/>
    <n v="192"/>
    <n v="0"/>
    <m/>
    <s v="UBM2-8&quot;_DDI"/>
    <s v="Bump"/>
    <s v="Bump"/>
    <s v="기계장치"/>
    <n v="21280400"/>
    <n v="2028633.2475602815"/>
    <n v="676211.08252009389"/>
    <m/>
    <m/>
    <m/>
    <m/>
    <m/>
    <m/>
    <m/>
    <n v="2028633.2475602818"/>
    <n v="2028633.2475602818"/>
    <n v="4057266.4951205635"/>
    <n v="2028633.2475602818"/>
    <n v="2028633.2475602818"/>
    <n v="2028633.2475602818"/>
    <n v="2028633.2475602818"/>
    <n v="8114532.9902411271"/>
    <n v="2028633.2475602818"/>
    <n v="2028633.2475602818"/>
    <n v="2028633.2475602818"/>
    <n v="2028633.2475602818"/>
    <n v="8114532.9902411271"/>
    <n v="2028633.2475602818"/>
    <n v="2028633.2475602818"/>
    <n v="2028633.2475602818"/>
    <n v="2028633.2475602818"/>
    <n v="8114532.9902411271"/>
    <m/>
    <n v="2.0778982819966195E-3"/>
    <n v="43635863.921929009"/>
    <n v="64916263.921929009"/>
  </r>
  <r>
    <n v="187"/>
    <x v="0"/>
    <m/>
    <s v="오지민"/>
    <s v="평택"/>
    <s v="Wafer"/>
    <s v="△"/>
    <s v="8&quot;"/>
    <s v="DDI"/>
    <x v="2"/>
    <s v="Au bump"/>
    <x v="8"/>
    <n v="2100121"/>
    <s v="MC"/>
    <s v="PR STRIPER STATION #2호기"/>
    <s v="Wet Station"/>
    <x v="27"/>
    <m/>
    <s v="특주"/>
    <x v="104"/>
    <s v="가동"/>
    <s v="한국"/>
    <s v="네오시스"/>
    <x v="1"/>
    <s v="1차"/>
    <s v="1차"/>
    <s v="해당"/>
    <s v="PR 제거"/>
    <s v="PR 제거"/>
    <m/>
    <m/>
    <s v="3B001"/>
    <s v="8486.20-0000"/>
    <s v="증착 도금 장비로 웨이퍼 전용이라는 점으로 해당 되지만 8&quot; 용으로 범용 장비로 분류 됨"/>
    <m/>
    <d v="2010-03-15T00:00:00"/>
    <d v="2010-05-31T00:00:00"/>
    <n v="15.43013698630137"/>
    <n v="12"/>
    <s v="1공장"/>
    <s v="자사"/>
    <s v="산업은행"/>
    <n v="0"/>
    <n v="1600"/>
    <n v="800"/>
    <n v="2260"/>
    <n v="61327000"/>
    <m/>
    <m/>
    <n v="61327000"/>
    <m/>
    <m/>
    <n v="1000"/>
    <n v="1000"/>
    <n v="144"/>
    <n v="187"/>
    <n v="0"/>
    <m/>
    <s v="ETCH2-AUP8&quot;"/>
    <s v="Bump"/>
    <s v="Bump"/>
    <s v="기계장치"/>
    <n v="1226540"/>
    <n v="116924.4856047155"/>
    <n v="38974.828534905166"/>
    <m/>
    <m/>
    <n v="116924.4856047155"/>
    <n v="116924.4856047155"/>
    <n v="233848.97120943101"/>
    <n v="116924.4856047155"/>
    <n v="116924.4856047155"/>
    <n v="116924.4856047155"/>
    <n v="116924.4856047155"/>
    <n v="467697.94241886202"/>
    <n v="116924.4856047155"/>
    <n v="116924.4856047155"/>
    <n v="116924.4856047155"/>
    <n v="116924.4856047155"/>
    <n v="467697.94241886202"/>
    <n v="116924.4856047155"/>
    <n v="116924.4856047155"/>
    <n v="116924.4856047155"/>
    <n v="116924.4856047155"/>
    <n v="467697.94241886202"/>
    <n v="116924.4856047155"/>
    <n v="116924.4856047155"/>
    <n v="116924.4856047155"/>
    <n v="116924.4856047155"/>
    <n v="467697.94241886202"/>
    <m/>
    <n v="1.1976397806432839E-4"/>
    <n v="2515043.5393508961"/>
    <n v="3741583.5393508961"/>
  </r>
  <r>
    <n v="188"/>
    <x v="0"/>
    <m/>
    <s v="오지민"/>
    <s v="평택"/>
    <s v="Wafer"/>
    <s v="O"/>
    <s v="8&quot;"/>
    <s v="DDI"/>
    <x v="2"/>
    <s v="Au bump"/>
    <x v="7"/>
    <n v="2100123"/>
    <s v="MC"/>
    <s v="PLATING M/C #7호기"/>
    <s v="BPE-2800K"/>
    <x v="18"/>
    <m/>
    <s v="5011"/>
    <x v="105"/>
    <s v="가동"/>
    <s v="일본"/>
    <s v="K-FIELD"/>
    <x v="1"/>
    <s v="2차"/>
    <s v="2차"/>
    <s v="해당"/>
    <s v="bump 형성 장비"/>
    <s v="bump 형성 장비"/>
    <s v="범용"/>
    <m/>
    <s v="3B001"/>
    <s v="8486.20-0000"/>
    <s v="증착 도금 장비로 웨이퍼 전용이라는 점으로 해당 되지만 8&quot; 용으로 범용 장비로 분류 됨"/>
    <m/>
    <d v="2010-04-01T00:00:00"/>
    <d v="2010-05-31T00:00:00"/>
    <n v="15.43013698630137"/>
    <n v="12"/>
    <s v="1공장"/>
    <s v="자사"/>
    <s v="미설정"/>
    <n v="21.6"/>
    <n v="1500"/>
    <n v="3900"/>
    <n v="2328"/>
    <n v="232732015"/>
    <m/>
    <m/>
    <n v="232732015"/>
    <m/>
    <m/>
    <n v="1000"/>
    <n v="1000"/>
    <n v="144"/>
    <n v="187"/>
    <n v="0"/>
    <m/>
    <s v="PLATING2-AUP8&quot;"/>
    <s v="Bump"/>
    <s v="Bump"/>
    <s v="기계장치"/>
    <n v="4654640.3"/>
    <n v="443720.89190118434"/>
    <n v="147906.96396706146"/>
    <m/>
    <m/>
    <n v="443720.89190118434"/>
    <n v="443720.89190118434"/>
    <n v="887441.78380236868"/>
    <n v="443720.89190118434"/>
    <n v="443720.89190118434"/>
    <n v="443720.89190118434"/>
    <n v="443720.89190118434"/>
    <n v="1774883.5676047374"/>
    <n v="443720.89190118434"/>
    <n v="443720.89190118434"/>
    <n v="443720.89190118434"/>
    <n v="443720.89190118434"/>
    <n v="1774883.5676047374"/>
    <n v="443720.89190118434"/>
    <n v="443720.89190118434"/>
    <n v="443720.89190118434"/>
    <n v="443720.89190118434"/>
    <n v="1774883.5676047374"/>
    <n v="443720.89190118434"/>
    <n v="443720.89190118434"/>
    <n v="443720.89190118434"/>
    <n v="443720.89190118434"/>
    <n v="1774883.5676047374"/>
    <m/>
    <n v="4.5449658289704284E-4"/>
    <n v="9544428.2408379"/>
    <n v="14199068.540837899"/>
  </r>
  <r>
    <n v="189"/>
    <x v="0"/>
    <m/>
    <s v="오지민"/>
    <s v="평택"/>
    <s v="Wafer"/>
    <s v="O"/>
    <s v="8&quot;"/>
    <s v="DDI"/>
    <x v="2"/>
    <s v="Au bump"/>
    <x v="7"/>
    <n v="2100127"/>
    <s v="MC"/>
    <s v="AU PLATING M/C #8"/>
    <s v="BPE-2800K"/>
    <x v="18"/>
    <m/>
    <s v="N/A"/>
    <x v="106"/>
    <s v="가동"/>
    <s v="일본"/>
    <s v="K-FIELD"/>
    <x v="2"/>
    <s v="3차"/>
    <s v="3차"/>
    <s v="해당"/>
    <s v="bump 형성 장비"/>
    <s v="bump 형성 장비"/>
    <s v="범용"/>
    <m/>
    <s v="3B001"/>
    <s v="8486.20-0000"/>
    <s v="증착 도금 장비로 웨이퍼 전용이라는 점으로 해당 되지만 8&quot; 용으로 범용 장비로 분류 됨"/>
    <m/>
    <d v="2011-04-08T00:00:00"/>
    <d v="2011-05-31T00:00:00"/>
    <n v="14.43013698630137"/>
    <n v="12"/>
    <s v="1공장"/>
    <s v="자사"/>
    <s v="미설정"/>
    <n v="21.6"/>
    <n v="1500"/>
    <n v="3900"/>
    <n v="2328"/>
    <n v="333694644"/>
    <m/>
    <m/>
    <n v="333694644"/>
    <m/>
    <m/>
    <n v="1000"/>
    <n v="1000"/>
    <n v="144"/>
    <n v="175"/>
    <n v="0"/>
    <m/>
    <s v="PLATING2-AUP8&quot;"/>
    <s v="Bump"/>
    <s v="Bump"/>
    <s v="기계장치"/>
    <n v="6673892.8799999999"/>
    <n v="208559.1525"/>
    <n v="69519.717499999999"/>
    <m/>
    <m/>
    <m/>
    <m/>
    <m/>
    <m/>
    <m/>
    <n v="208559.1525"/>
    <n v="208559.1525"/>
    <n v="417118.30499999999"/>
    <n v="208559.1525"/>
    <n v="208559.1525"/>
    <n v="208559.1525"/>
    <n v="208559.1525"/>
    <n v="834236.61"/>
    <n v="208559.1525"/>
    <n v="208559.1525"/>
    <n v="208559.1525"/>
    <n v="208559.1525"/>
    <n v="834236.61"/>
    <n v="208559.1525"/>
    <n v="208559.1525"/>
    <n v="208559.1525"/>
    <n v="208559.1525"/>
    <n v="834236.61"/>
    <m/>
    <m/>
    <m/>
    <n v="6673892.8799999999"/>
  </r>
  <r>
    <n v="190"/>
    <x v="0"/>
    <m/>
    <s v="오지민"/>
    <s v="평택"/>
    <s v="Wafer"/>
    <s v="O"/>
    <s v="8&quot;"/>
    <s v="DDI"/>
    <x v="2"/>
    <s v="Au bump"/>
    <x v="10"/>
    <n v="2100128"/>
    <s v="MC"/>
    <s v="AVI FALCON520 #7"/>
    <s v="Falcon 520"/>
    <x v="21"/>
    <m/>
    <n v="102803"/>
    <x v="107"/>
    <s v="가동"/>
    <s v="이스라엘"/>
    <s v="CAMTEK HK"/>
    <x v="0"/>
    <s v="2차"/>
    <s v="2차"/>
    <s v="상황허가"/>
    <s v="반도체/패키지 외관 및 3D 형상 검사"/>
    <s v="반도체/패키지 외관 및 3D 형상 검사"/>
    <m/>
    <m/>
    <s v="EAR99"/>
    <s v="9031.80-0000"/>
    <m/>
    <m/>
    <d v="2011-04-21T00:00:00"/>
    <d v="2011-05-31T00:00:00"/>
    <n v="14.43013698630137"/>
    <n v="12"/>
    <s v="1공장"/>
    <s v="자사"/>
    <s v="미설정"/>
    <n v="5"/>
    <n v="2200"/>
    <n v="1400"/>
    <n v="2120"/>
    <n v="657904339"/>
    <m/>
    <m/>
    <n v="657904339"/>
    <m/>
    <m/>
    <n v="1000"/>
    <n v="1000"/>
    <n v="144"/>
    <n v="175"/>
    <n v="0"/>
    <m/>
    <s v="AVI-8&quot;"/>
    <s v="Bump"/>
    <s v="Bump"/>
    <s v="기계장치"/>
    <n v="13158086.780000001"/>
    <n v="1254343.5422356445"/>
    <n v="418114.51407854818"/>
    <m/>
    <m/>
    <m/>
    <m/>
    <m/>
    <m/>
    <m/>
    <n v="1254343.5422356445"/>
    <n v="1254343.5422356445"/>
    <n v="2508687.0844712891"/>
    <n v="1254343.5422356445"/>
    <n v="1254343.5422356445"/>
    <n v="1254343.5422356445"/>
    <n v="1254343.5422356445"/>
    <n v="5017374.1689425781"/>
    <n v="1254343.5422356445"/>
    <n v="1254343.5422356445"/>
    <n v="1254343.5422356445"/>
    <n v="1254343.5422356445"/>
    <n v="5017374.1689425781"/>
    <n v="1254343.5422356445"/>
    <n v="1254343.5422356445"/>
    <n v="1254343.5422356445"/>
    <n v="1254343.5422356445"/>
    <n v="5017374.1689425781"/>
    <m/>
    <n v="1.2848050748352679E-3"/>
    <n v="26980906.571540628"/>
    <n v="40138993.351540625"/>
  </r>
  <r>
    <n v="191"/>
    <x v="0"/>
    <m/>
    <s v="오지민"/>
    <s v="평택"/>
    <s v="Wafer"/>
    <s v="O"/>
    <s v="8&quot;"/>
    <s v="DDI"/>
    <x v="2"/>
    <s v="Au bump"/>
    <x v="7"/>
    <n v="2100129"/>
    <s v="MC"/>
    <s v="AU PLATING M/C #9"/>
    <s v="BPE-2800K"/>
    <x v="18"/>
    <m/>
    <s v="BPE-2800K"/>
    <x v="108"/>
    <s v="가동"/>
    <s v="일본"/>
    <s v="K-FIELD"/>
    <x v="2"/>
    <s v="3차"/>
    <s v="3차"/>
    <s v="해당"/>
    <s v="bump 형성 장비"/>
    <s v="bump 형성 장비"/>
    <s v="범용"/>
    <m/>
    <s v="3B001"/>
    <s v="8486.20-0000"/>
    <s v="증착 도금 장비로 웨이퍼 전용이라는 점으로 해당 되지만 8&quot; 용으로 범용 장비로 분류 됨"/>
    <m/>
    <d v="2011-05-17T00:00:00"/>
    <d v="2011-06-30T00:00:00"/>
    <n v="14.347945205479451"/>
    <n v="12"/>
    <s v="1공장"/>
    <s v="자사"/>
    <s v="미설정"/>
    <n v="21.6"/>
    <n v="1500"/>
    <n v="3900"/>
    <n v="2328"/>
    <n v="309846482"/>
    <m/>
    <m/>
    <n v="309846482"/>
    <m/>
    <m/>
    <n v="1000"/>
    <n v="1000"/>
    <n v="144"/>
    <n v="174"/>
    <n v="0"/>
    <m/>
    <s v="PLATING2-AUP8&quot;"/>
    <s v="Bump"/>
    <s v="Bump"/>
    <s v="기계장치"/>
    <n v="6196929.6399999997"/>
    <n v="193654.05124999999"/>
    <n v="64551.350416666661"/>
    <m/>
    <m/>
    <m/>
    <m/>
    <m/>
    <m/>
    <m/>
    <n v="193654.05124999999"/>
    <n v="193654.05124999999"/>
    <n v="387308.10249999998"/>
    <n v="193654.05124999999"/>
    <n v="193654.05124999999"/>
    <n v="193654.05124999999"/>
    <n v="193654.05124999999"/>
    <n v="774616.20499999996"/>
    <n v="193654.05124999999"/>
    <n v="193654.05124999999"/>
    <n v="193654.05124999999"/>
    <n v="193654.05124999999"/>
    <n v="774616.20499999996"/>
    <n v="193654.05124999999"/>
    <n v="193654.05124999999"/>
    <n v="193654.05124999999"/>
    <n v="193654.05124999999"/>
    <n v="774616.20499999996"/>
    <m/>
    <m/>
    <m/>
    <n v="6196929.6399999997"/>
  </r>
  <r>
    <n v="192"/>
    <x v="0"/>
    <m/>
    <s v="오지민"/>
    <s v="평택"/>
    <s v="Wafer"/>
    <s v="O"/>
    <s v="8&quot;"/>
    <s v="DDI"/>
    <x v="2"/>
    <s v="Au bump"/>
    <x v="12"/>
    <n v="2100131"/>
    <s v="MC"/>
    <s v="SRD(880S)"/>
    <m/>
    <x v="28"/>
    <m/>
    <m/>
    <x v="109"/>
    <s v="가동"/>
    <m/>
    <s v="에이원스"/>
    <x v="2"/>
    <s v="3차"/>
    <s v="3차"/>
    <s v="일반장비(비통제)"/>
    <s v="웨이퍼 세정/건조 장비"/>
    <s v="웨이퍼 세정/건조 장비"/>
    <m/>
    <m/>
    <s v="EAR99"/>
    <s v="8486.20-0000"/>
    <s v="반도체용 웨이퍼 전용"/>
    <m/>
    <m/>
    <d v="2011-06-30T00:00:00"/>
    <n v="14.347945205479451"/>
    <n v="12"/>
    <s v="1공장"/>
    <s v="자사"/>
    <s v="미설정"/>
    <m/>
    <m/>
    <m/>
    <m/>
    <n v="44500000"/>
    <m/>
    <m/>
    <n v="44500000"/>
    <m/>
    <m/>
    <n v="1000"/>
    <n v="1000"/>
    <n v="144"/>
    <n v="174"/>
    <n v="0"/>
    <m/>
    <s v="PLATING2-AUP8&quot;"/>
    <s v="Bump"/>
    <s v="Bump"/>
    <s v="기계장치"/>
    <n v="890000"/>
    <n v="27812.5"/>
    <n v="9270.8333333333339"/>
    <m/>
    <m/>
    <m/>
    <m/>
    <m/>
    <m/>
    <m/>
    <n v="27812.5"/>
    <n v="27812.5"/>
    <n v="55625"/>
    <n v="27812.5"/>
    <n v="27812.5"/>
    <n v="27812.5"/>
    <n v="27812.5"/>
    <n v="111250"/>
    <n v="27812.5"/>
    <n v="27812.5"/>
    <n v="27812.5"/>
    <n v="27812.5"/>
    <n v="111250"/>
    <n v="27812.5"/>
    <n v="27812.5"/>
    <n v="27812.5"/>
    <n v="27812.5"/>
    <n v="111250"/>
    <m/>
    <m/>
    <m/>
    <n v="890000"/>
  </r>
  <r>
    <n v="193"/>
    <x v="0"/>
    <m/>
    <s v="오지민"/>
    <s v="평택"/>
    <s v="Wafer"/>
    <s v="O"/>
    <s v="8&quot;"/>
    <s v="DDI"/>
    <x v="2"/>
    <s v="Au bump"/>
    <x v="15"/>
    <n v="2100132"/>
    <s v="MC"/>
    <s v="SPUTTER ENDURA 5500"/>
    <s v="ENDURA-5500"/>
    <x v="26"/>
    <m/>
    <s v="413047"/>
    <x v="110"/>
    <s v="가동"/>
    <s v="미국"/>
    <s v="러셀(주)"/>
    <x v="1"/>
    <s v="1차"/>
    <s v="1차"/>
    <s v="해당"/>
    <s v="금속 박막 형성"/>
    <s v="금속 박막 형성"/>
    <m/>
    <m/>
    <s v="3B001"/>
    <s v="8486.20-0000"/>
    <s v="조건부 통제(PVD, suptter 장비는 별표 2-2의 이중용도 반도체 제조 장비 당"/>
    <m/>
    <d v="2011-04-10T00:00:00"/>
    <d v="2011-06-30T00:00:00"/>
    <n v="14.347945205479451"/>
    <n v="12"/>
    <s v="1공장"/>
    <s v="자사"/>
    <s v="산업은행"/>
    <n v="148.4"/>
    <n v="3500"/>
    <n v="4000"/>
    <n v="1700"/>
    <n v="1315043340"/>
    <m/>
    <m/>
    <n v="1067993340"/>
    <m/>
    <m/>
    <n v="1000"/>
    <n v="32720766"/>
    <n v="144"/>
    <n v="174"/>
    <n v="0"/>
    <m/>
    <s v="UBM2-8&quot;_DDI"/>
    <s v="Bump"/>
    <s v="Bump"/>
    <s v="기계장치"/>
    <n v="26300866.800000001"/>
    <n v="2507227.9106658893"/>
    <n v="835742.63688862976"/>
    <m/>
    <m/>
    <n v="2507227.9106658893"/>
    <n v="2507227.9106658893"/>
    <n v="5014455.8213317785"/>
    <n v="2507227.9106658893"/>
    <n v="2507227.9106658893"/>
    <n v="2507227.9106658893"/>
    <n v="2507227.9106658893"/>
    <n v="10028911.642663557"/>
    <n v="2507227.9106658893"/>
    <n v="2507227.9106658893"/>
    <n v="2507227.9106658893"/>
    <n v="2507227.9106658893"/>
    <n v="10028911.642663557"/>
    <n v="2507227.9106658893"/>
    <n v="2507227.9106658893"/>
    <n v="2507227.9106658893"/>
    <n v="2507227.9106658893"/>
    <n v="10028911.642663557"/>
    <n v="2507227.9106658893"/>
    <n v="2507227.9106658893"/>
    <n v="2507227.9106658893"/>
    <n v="2507227.9106658893"/>
    <n v="10028911.642663557"/>
    <m/>
    <n v="2.5681155400623075E-3"/>
    <n v="53930426.34130846"/>
    <n v="80231293.141308457"/>
  </r>
  <r>
    <n v="194"/>
    <x v="0"/>
    <m/>
    <s v="오지민"/>
    <s v="평택"/>
    <s v="Wafer"/>
    <s v="O"/>
    <s v="8&quot;"/>
    <s v="DDI"/>
    <x v="2"/>
    <s v="Au bump"/>
    <x v="13"/>
    <n v="2100133"/>
    <s v="MC"/>
    <s v="SCRUBBER"/>
    <s v="KS-W80A-A"/>
    <x v="29"/>
    <m/>
    <s v="B511M08N-09"/>
    <x v="111"/>
    <s v="가동"/>
    <s v="일본"/>
    <s v="DNS"/>
    <x v="2"/>
    <s v="3차"/>
    <s v="3차"/>
    <s v="해당"/>
    <s v="웨이퍼 세정 장비"/>
    <s v="웨이퍼 세정 장비"/>
    <m/>
    <m/>
    <s v="3B001"/>
    <s v="8486.20-0000"/>
    <s v="반도체용 웨이퍼 전용"/>
    <m/>
    <d v="2011-04-10T00:00:00"/>
    <d v="2011-06-30T00:00:00"/>
    <n v="14.347945205479451"/>
    <n v="12"/>
    <s v="1공장"/>
    <s v="자사"/>
    <s v="산업은행"/>
    <n v="4"/>
    <n v="2430"/>
    <n v="3200"/>
    <n v="2200"/>
    <n v="341546660"/>
    <m/>
    <m/>
    <n v="267446660"/>
    <m/>
    <m/>
    <n v="1000"/>
    <n v="8557708"/>
    <n v="144"/>
    <n v="174"/>
    <n v="0"/>
    <m/>
    <s v="UBM2-8&quot;_DDI"/>
    <s v="Bump"/>
    <s v="Bump"/>
    <s v="기계장치"/>
    <n v="6830933.2000000002"/>
    <n v="213466.66250000001"/>
    <n v="71155.554166666669"/>
    <m/>
    <m/>
    <m/>
    <m/>
    <m/>
    <m/>
    <m/>
    <n v="213466.66250000001"/>
    <n v="213466.66250000001"/>
    <n v="426933.32500000001"/>
    <n v="213466.66250000001"/>
    <n v="213466.66250000001"/>
    <n v="213466.66250000001"/>
    <n v="213466.66250000001"/>
    <n v="853866.65"/>
    <n v="213466.66250000001"/>
    <n v="213466.66250000001"/>
    <n v="213466.66250000001"/>
    <n v="213466.66250000001"/>
    <n v="853866.65"/>
    <n v="213466.66250000001"/>
    <n v="213466.66250000001"/>
    <n v="213466.66250000001"/>
    <n v="213466.66250000001"/>
    <n v="853866.65"/>
    <m/>
    <m/>
    <m/>
    <n v="6830933.2000000002"/>
  </r>
  <r>
    <n v="195"/>
    <x v="0"/>
    <m/>
    <s v="오지민"/>
    <s v="평택"/>
    <s v="Wafer"/>
    <s v="O"/>
    <s v="8&quot;"/>
    <s v="DDI"/>
    <x v="2"/>
    <s v="Au bump"/>
    <x v="16"/>
    <n v="2100137"/>
    <s v="MC"/>
    <s v="DESCUM ECO LITE"/>
    <s v="ECO Lite"/>
    <x v="30"/>
    <m/>
    <s v="PSK00001-1"/>
    <x v="112"/>
    <s v="가동"/>
    <s v="한국"/>
    <s v="피에스케이(주)"/>
    <x v="1"/>
    <s v="1차"/>
    <s v="1차"/>
    <s v="해당"/>
    <s v="PR 잔여물 제거하는 플라즈마 장비"/>
    <s v="PR 잔여물 제거하는 플라즈마 장비"/>
    <m/>
    <m/>
    <s v="3B001"/>
    <s v="8486.20-0000"/>
    <s v="반도체용 웨이퍼 전용"/>
    <m/>
    <d v="2011-04-08T00:00:00"/>
    <d v="2011-07-31T00:00:00"/>
    <n v="14.263013698630138"/>
    <n v="12"/>
    <s v="1공장"/>
    <s v="자사"/>
    <s v="미설정"/>
    <n v="103.75999999999999"/>
    <n v="4643"/>
    <n v="2570"/>
    <n v="1970"/>
    <n v="405300000"/>
    <m/>
    <m/>
    <n v="382000000"/>
    <m/>
    <m/>
    <n v="1000"/>
    <n v="2961471"/>
    <n v="144"/>
    <n v="173"/>
    <n v="0"/>
    <m/>
    <s v="PHOTO2-8&quot;_DESCUM_DDI"/>
    <s v="Bump"/>
    <s v="Bump"/>
    <s v="기계장치"/>
    <n v="8106000"/>
    <n v="772734.58697785949"/>
    <n v="257578.19565928649"/>
    <m/>
    <m/>
    <n v="772734.58697785949"/>
    <n v="772734.58697785949"/>
    <n v="1545469.173955719"/>
    <n v="772734.58697785949"/>
    <n v="772734.58697785949"/>
    <n v="772734.58697785949"/>
    <n v="772734.58697785949"/>
    <n v="3090938.347911438"/>
    <n v="772734.58697785949"/>
    <n v="772734.58697785949"/>
    <n v="772734.58697785949"/>
    <n v="772734.58697785949"/>
    <n v="3090938.347911438"/>
    <n v="772734.58697785949"/>
    <n v="772734.58697785949"/>
    <n v="772734.58697785949"/>
    <n v="772734.58697785949"/>
    <n v="3090938.347911438"/>
    <n v="772734.58697785949"/>
    <n v="772734.58697785949"/>
    <n v="772734.58697785949"/>
    <n v="772734.58697785949"/>
    <n v="3090938.347911438"/>
    <m/>
    <n v="7.9150032301388126E-4"/>
    <n v="16621506.783291506"/>
    <n v="24727506.783291504"/>
  </r>
  <r>
    <n v="196"/>
    <x v="0"/>
    <m/>
    <s v="오지민"/>
    <s v="평택"/>
    <s v="Wafer"/>
    <s v="O"/>
    <s v="8&quot;"/>
    <s v="DDI"/>
    <x v="2"/>
    <s v="Au bump"/>
    <x v="7"/>
    <n v="2100143"/>
    <s v="MC"/>
    <s v="AU PLATING M/C #10"/>
    <s v="BPE-2800K"/>
    <x v="18"/>
    <m/>
    <m/>
    <x v="113"/>
    <s v="가동"/>
    <s v="일본"/>
    <s v="K-FIELD"/>
    <x v="2"/>
    <s v="3차"/>
    <s v="3차"/>
    <s v="해당"/>
    <s v="bump 형성 장비"/>
    <s v="bump 형성 장비"/>
    <s v="범용"/>
    <m/>
    <s v="3B001"/>
    <s v="8486.20-0000"/>
    <s v="증착 도금 장비로 웨이퍼 전용이라는 점으로 해당 되지만 8&quot; 용으로 범용 장비로 분류 됨"/>
    <m/>
    <d v="2011-07-27T00:00:00"/>
    <d v="2011-12-31T00:00:00"/>
    <n v="13.843835616438357"/>
    <n v="12"/>
    <s v="1공장"/>
    <s v="자사"/>
    <s v="미설정"/>
    <n v="21.6"/>
    <n v="1500"/>
    <n v="3900"/>
    <n v="2328"/>
    <n v="629430959"/>
    <m/>
    <m/>
    <n v="629430959"/>
    <m/>
    <m/>
    <n v="1000"/>
    <n v="1000"/>
    <n v="144"/>
    <n v="168"/>
    <n v="0"/>
    <m/>
    <s v="PLATING2-AUP8&quot;"/>
    <s v="Bump"/>
    <s v="Bump"/>
    <s v="기계장치"/>
    <n v="12588619.18"/>
    <n v="393394.34937499999"/>
    <n v="131131.44979166667"/>
    <m/>
    <m/>
    <m/>
    <m/>
    <m/>
    <m/>
    <m/>
    <n v="393394.34937499999"/>
    <n v="393394.34937499999"/>
    <n v="786788.69874999998"/>
    <n v="393394.34937499999"/>
    <n v="393394.34937499999"/>
    <n v="393394.34937499999"/>
    <n v="393394.34937499999"/>
    <n v="1573577.3975"/>
    <n v="393394.34937499999"/>
    <n v="393394.34937499999"/>
    <n v="393394.34937499999"/>
    <n v="393394.34937499999"/>
    <n v="1573577.3975"/>
    <n v="393394.34937499999"/>
    <n v="393394.34937499999"/>
    <n v="393394.34937499999"/>
    <n v="393394.34937499999"/>
    <n v="1573577.3975"/>
    <m/>
    <m/>
    <m/>
    <n v="12588619.18"/>
  </r>
  <r>
    <n v="197"/>
    <x v="0"/>
    <m/>
    <s v="오지민"/>
    <s v="평택"/>
    <s v="Wafer"/>
    <s v="O"/>
    <s v="8&quot;"/>
    <s v="DDI"/>
    <x v="2"/>
    <s v="Au bump"/>
    <x v="7"/>
    <n v="2100144"/>
    <s v="MC"/>
    <s v="AU PLATING M/C #11"/>
    <s v="BPE-2800K"/>
    <x v="18"/>
    <m/>
    <m/>
    <x v="114"/>
    <s v="가동"/>
    <s v="일본"/>
    <s v="K-FIELD"/>
    <x v="2"/>
    <s v="3차"/>
    <s v="3차"/>
    <s v="해당"/>
    <s v="bump 형성 장비"/>
    <s v="bump 형성 장비"/>
    <s v="범용"/>
    <m/>
    <s v="3B001"/>
    <s v="8486.20-0000"/>
    <s v="증착 도금 장비로 웨이퍼 전용이라는 점으로 해당 되지만 8&quot; 용으로 범용 장비로 분류 됨"/>
    <m/>
    <d v="2012-04-27T00:00:00"/>
    <d v="2012-05-31T00:00:00"/>
    <n v="13.427397260273972"/>
    <n v="12"/>
    <s v="1공장"/>
    <s v="자사"/>
    <s v="미설정"/>
    <n v="21.6"/>
    <n v="1500"/>
    <n v="3900"/>
    <n v="2328"/>
    <n v="605573815"/>
    <m/>
    <m/>
    <n v="605573815"/>
    <m/>
    <m/>
    <n v="1000"/>
    <n v="1000"/>
    <n v="144"/>
    <n v="163"/>
    <n v="0"/>
    <m/>
    <s v="PLATING2-AUP8&quot;"/>
    <s v="Bump"/>
    <s v="Bump"/>
    <s v="기계장치"/>
    <n v="12111476.300000001"/>
    <n v="378483.63437500002"/>
    <n v="126161.21145833335"/>
    <m/>
    <m/>
    <m/>
    <m/>
    <m/>
    <m/>
    <m/>
    <n v="378483.63437500002"/>
    <n v="378483.63437500002"/>
    <n v="756967.26875000005"/>
    <n v="378483.63437500002"/>
    <n v="378483.63437500002"/>
    <n v="378483.63437500002"/>
    <n v="378483.63437500002"/>
    <n v="1513934.5375000001"/>
    <n v="378483.63437500002"/>
    <n v="378483.63437500002"/>
    <n v="378483.63437500002"/>
    <n v="378483.63437500002"/>
    <n v="1513934.5375000001"/>
    <n v="378483.63437500002"/>
    <n v="378483.63437500002"/>
    <n v="378483.63437500002"/>
    <n v="378483.63437500002"/>
    <n v="1513934.5375000001"/>
    <m/>
    <m/>
    <m/>
    <n v="12111476.300000001"/>
  </r>
  <r>
    <n v="198"/>
    <x v="0"/>
    <m/>
    <s v="오지민"/>
    <s v="평택"/>
    <s v="Wafer"/>
    <s v="O"/>
    <s v="8&quot;"/>
    <s v="DDI"/>
    <x v="2"/>
    <s v="Au bump"/>
    <x v="16"/>
    <n v="2100146"/>
    <s v="MC"/>
    <s v="DESCUM ECO LITE"/>
    <s v="ECO Lite"/>
    <x v="30"/>
    <m/>
    <s v="PSK99003-5"/>
    <x v="115"/>
    <s v="가동"/>
    <s v="한국"/>
    <s v="피에스케이(주)"/>
    <x v="2"/>
    <s v="3차"/>
    <s v="3차"/>
    <s v="해당"/>
    <s v="PR 잔여물 제거하는 플라즈마 장비"/>
    <s v="PR 잔여물 제거하는 플라즈마 장비"/>
    <m/>
    <m/>
    <s v="3B001"/>
    <s v="8486.20-0000"/>
    <s v="반도체용 웨이퍼 전용"/>
    <m/>
    <d v="2013-09-25T00:00:00"/>
    <d v="2013-11-30T00:00:00"/>
    <n v="11.926027397260274"/>
    <n v="12"/>
    <s v="1공장"/>
    <s v="자사"/>
    <s v="미설정"/>
    <n v="103.75999999999999"/>
    <n v="3638"/>
    <n v="2570"/>
    <n v="1970"/>
    <n v="429846000"/>
    <m/>
    <m/>
    <n v="429846000"/>
    <m/>
    <m/>
    <n v="1000"/>
    <n v="1000"/>
    <n v="144"/>
    <n v="145"/>
    <n v="0"/>
    <m/>
    <s v="PHOTO2-8&quot;_DESCUM_DDI"/>
    <s v="Bump"/>
    <s v="Bump"/>
    <s v="기계장치"/>
    <n v="8596920"/>
    <n v="268653.75"/>
    <n v="89551.25"/>
    <m/>
    <m/>
    <m/>
    <m/>
    <m/>
    <m/>
    <m/>
    <n v="268653.75"/>
    <n v="268653.75"/>
    <n v="537307.5"/>
    <n v="268653.75"/>
    <n v="268653.75"/>
    <n v="268653.75"/>
    <n v="268653.75"/>
    <n v="1074615"/>
    <n v="268653.75"/>
    <n v="268653.75"/>
    <n v="268653.75"/>
    <n v="268653.75"/>
    <n v="1074615"/>
    <n v="268653.75"/>
    <n v="268653.75"/>
    <n v="268653.75"/>
    <n v="268653.75"/>
    <n v="1074615"/>
    <m/>
    <m/>
    <m/>
    <n v="8596920"/>
  </r>
  <r>
    <n v="199"/>
    <x v="0"/>
    <m/>
    <s v="오지민"/>
    <s v="평택"/>
    <s v="Wafer"/>
    <s v="O"/>
    <s v="8&quot;"/>
    <s v="DDI"/>
    <x v="2"/>
    <s v="Au bump"/>
    <x v="6"/>
    <n v="2100151"/>
    <s v="MC"/>
    <s v="DRY OVEN"/>
    <s v="ANNEAL OVEN"/>
    <x v="17"/>
    <m/>
    <s v="OSST-15101703102"/>
    <x v="116"/>
    <s v="가동"/>
    <s v="한국"/>
    <s v="오성엘에스티"/>
    <x v="0"/>
    <s v="2차"/>
    <s v="2차"/>
    <s v="해당"/>
    <s v="열처리장비"/>
    <s v="열처리장비"/>
    <s v="Batch 방식, 고속/초정밀 제어 아님"/>
    <m/>
    <s v="3B991"/>
    <s v="8486.20-0000"/>
    <m/>
    <m/>
    <m/>
    <d v="2015-04-23T00:00:00"/>
    <n v="10.531506849315068"/>
    <n v="12"/>
    <s v="1공장"/>
    <s v="자사"/>
    <s v="미설정"/>
    <m/>
    <m/>
    <m/>
    <m/>
    <n v="15670000"/>
    <m/>
    <m/>
    <n v="15670000"/>
    <m/>
    <m/>
    <n v="1854779"/>
    <n v="204741"/>
    <n v="144"/>
    <n v="128"/>
    <n v="15"/>
    <m/>
    <s v="Anneal8&quot;_DDI"/>
    <s v="Bump"/>
    <s v="Bump"/>
    <s v="기계장치"/>
    <n v="1947517.9500000002"/>
    <n v="185654.3891839647"/>
    <n v="61884.796394654899"/>
    <m/>
    <m/>
    <m/>
    <m/>
    <m/>
    <m/>
    <m/>
    <n v="185654.3891839647"/>
    <n v="185654.3891839647"/>
    <n v="371308.77836792939"/>
    <n v="185654.3891839647"/>
    <n v="185654.3891839647"/>
    <n v="185654.3891839647"/>
    <n v="185654.3891839647"/>
    <n v="742617.55673585879"/>
    <n v="185654.3891839647"/>
    <n v="185654.3891839647"/>
    <n v="185654.3891839647"/>
    <n v="185654.3891839647"/>
    <n v="742617.55673585879"/>
    <n v="185654.3891839647"/>
    <n v="185654.3891839647"/>
    <n v="185654.3891839647"/>
    <n v="185654.3891839647"/>
    <n v="742617.55673585879"/>
    <m/>
    <n v="1.9016297637556526E-4"/>
    <n v="3993422.5038868706"/>
    <n v="5940940.4538868703"/>
  </r>
  <r>
    <n v="200"/>
    <x v="0"/>
    <m/>
    <s v="오지민"/>
    <s v="평택"/>
    <s v="Wafer"/>
    <s v="O"/>
    <s v="8&quot;"/>
    <s v="DDI"/>
    <x v="2"/>
    <s v="Au bump"/>
    <x v="10"/>
    <n v="2100160"/>
    <s v="MC"/>
    <s v="AVI FALCON-520 #3호기"/>
    <s v="Falcon 520"/>
    <x v="21"/>
    <m/>
    <n v="81116"/>
    <x v="117"/>
    <s v="가동"/>
    <s v="이스라엘"/>
    <s v="CAMTEK HK"/>
    <x v="2"/>
    <s v="3차"/>
    <s v="3차"/>
    <s v="상황허가"/>
    <s v="반도체/패키지 외관 및 3D 형상 검사"/>
    <s v="반도체/패키지 외관 및 3D 형상 검사"/>
    <m/>
    <m/>
    <s v="EAR99"/>
    <s v="9031.80-0000"/>
    <m/>
    <m/>
    <d v="2006-12-12T00:00:00"/>
    <d v="2019-03-28T00:00:00"/>
    <n v="6.6"/>
    <n v="12"/>
    <s v="1공장"/>
    <s v="자사"/>
    <s v="미설정"/>
    <n v="5"/>
    <n v="2200"/>
    <n v="1400"/>
    <n v="2120"/>
    <n v="26330000"/>
    <m/>
    <m/>
    <n v="26330000"/>
    <m/>
    <m/>
    <n v="11531754"/>
    <n v="1662451"/>
    <n v="144"/>
    <n v="81"/>
    <n v="62"/>
    <m/>
    <s v="AVI-8&quot;"/>
    <s v="Bump"/>
    <s v="Bump"/>
    <s v="기계장치"/>
    <n v="12108341.700000001"/>
    <n v="378385.67812500003"/>
    <n v="126128.55937500001"/>
    <m/>
    <m/>
    <m/>
    <m/>
    <m/>
    <m/>
    <m/>
    <n v="378385.67812500003"/>
    <n v="378385.67812500003"/>
    <n v="756771.35625000007"/>
    <n v="378385.67812500003"/>
    <n v="378385.67812500003"/>
    <n v="378385.67812500003"/>
    <n v="378385.67812500003"/>
    <n v="1513542.7125000001"/>
    <n v="378385.67812500003"/>
    <n v="378385.67812500003"/>
    <n v="378385.67812500003"/>
    <n v="378385.67812500003"/>
    <n v="1513542.7125000001"/>
    <n v="378385.67812500003"/>
    <n v="378385.67812500003"/>
    <n v="378385.67812500003"/>
    <n v="378385.67812500003"/>
    <n v="1513542.7125000001"/>
    <m/>
    <m/>
    <m/>
    <n v="12108341.700000001"/>
  </r>
  <r>
    <n v="201"/>
    <x v="0"/>
    <m/>
    <s v="오지민"/>
    <s v="평택"/>
    <s v="Wafer"/>
    <s v="O"/>
    <s v="8&quot;"/>
    <s v="DDI"/>
    <x v="3"/>
    <s v="COG"/>
    <x v="17"/>
    <n v="2100774"/>
    <s v="MC"/>
    <s v="FULL AUTOMATIC DICIMG M/C(DISCO)#3"/>
    <s v="DFD6340"/>
    <x v="31"/>
    <m/>
    <s v="JT2389"/>
    <x v="118"/>
    <s v="가동"/>
    <s v="일본"/>
    <s v="DISCO"/>
    <x v="0"/>
    <s v="3차"/>
    <s v="3차"/>
    <s v="해당"/>
    <s v="Wafer Sicing Saw"/>
    <s v="Wafer Sicing Saw"/>
    <m/>
    <m/>
    <s v="3B001"/>
    <s v="8486.40-0000"/>
    <s v="전략물자수출입고시"/>
    <m/>
    <d v="2008-06-28T00:00:00"/>
    <d v="2008-08-31T00:00:00"/>
    <n v="17.17808219178082"/>
    <n v="12"/>
    <s v="2공장"/>
    <s v="자사"/>
    <s v="산업은행"/>
    <n v="6.9"/>
    <n v="1180"/>
    <n v="1110"/>
    <n v="2180"/>
    <n v="177751626"/>
    <m/>
    <m/>
    <n v="177751626"/>
    <m/>
    <m/>
    <n v="1000"/>
    <n v="1000"/>
    <n v="144"/>
    <m/>
    <n v="0"/>
    <m/>
    <m/>
    <s v="COG"/>
    <s v="COG"/>
    <s v="기계장치"/>
    <n v="3555032.52"/>
    <n v="338896.69208426587"/>
    <n v="112965.56402808863"/>
    <m/>
    <m/>
    <m/>
    <m/>
    <m/>
    <m/>
    <m/>
    <n v="338896.69208426587"/>
    <n v="338896.69208426587"/>
    <n v="677793.38416853175"/>
    <n v="338896.69208426587"/>
    <n v="338896.69208426587"/>
    <n v="338896.69208426587"/>
    <n v="338896.69208426587"/>
    <n v="1355586.7683370635"/>
    <n v="338896.69208426587"/>
    <n v="338896.69208426587"/>
    <n v="338896.69208426587"/>
    <n v="338896.69208426587"/>
    <n v="1355586.7683370635"/>
    <n v="338896.69208426587"/>
    <n v="338896.69208426587"/>
    <n v="338896.69208426587"/>
    <n v="338896.69208426587"/>
    <n v="1355586.7683370635"/>
    <m/>
    <n v="3.4712674412840517E-4"/>
    <n v="7289661.6266965084"/>
    <n v="10844694.146696508"/>
  </r>
  <r>
    <n v="202"/>
    <x v="0"/>
    <m/>
    <s v="오지민"/>
    <s v="평택"/>
    <s v="Wafer"/>
    <s v="O"/>
    <s v="8&quot;"/>
    <s v="DDI"/>
    <x v="3"/>
    <s v="COG"/>
    <x v="18"/>
    <n v="2100775"/>
    <s v="MC"/>
    <s v="WAFER CHIP SORTING M/C #2(SOJIZ)"/>
    <s v="WCS-821B"/>
    <x v="32"/>
    <m/>
    <n v="693"/>
    <x v="119"/>
    <s v="가동"/>
    <s v="일본"/>
    <s v="SOJIZ"/>
    <x v="0"/>
    <s v="1차"/>
    <s v="1차"/>
    <s v="일반장비(비통제)"/>
    <s v="Chip PnP"/>
    <s v="Chip PnP"/>
    <m/>
    <m/>
    <s v="EAR99"/>
    <s v="8479.50-0000"/>
    <m/>
    <m/>
    <d v="2008-07-03T00:00:00"/>
    <d v="2008-08-31T00:00:00"/>
    <n v="17.17808219178082"/>
    <n v="12"/>
    <s v="2공장"/>
    <s v="자사"/>
    <s v="산업은행"/>
    <n v="5"/>
    <n v="1500"/>
    <n v="1280"/>
    <n v="1650"/>
    <n v="146890614"/>
    <m/>
    <m/>
    <n v="141585739"/>
    <m/>
    <m/>
    <n v="1000"/>
    <n v="1538605"/>
    <n v="144"/>
    <m/>
    <n v="0"/>
    <m/>
    <m/>
    <s v="COG"/>
    <s v="COG"/>
    <s v="기계장치"/>
    <n v="2937812.2800000003"/>
    <n v="280057.8779674666"/>
    <n v="93352.625989155538"/>
    <m/>
    <m/>
    <m/>
    <m/>
    <m/>
    <m/>
    <m/>
    <n v="280057.8779674666"/>
    <n v="280057.8779674666"/>
    <n v="560115.7559349332"/>
    <n v="280057.8779674666"/>
    <n v="280057.8779674666"/>
    <n v="280057.8779674666"/>
    <n v="280057.8779674666"/>
    <n v="1120231.5118698664"/>
    <n v="280057.8779674666"/>
    <n v="280057.8779674666"/>
    <n v="280057.8779674666"/>
    <n v="280057.8779674666"/>
    <n v="1120231.5118698664"/>
    <n v="280057.8779674666"/>
    <n v="280057.8779674666"/>
    <n v="280057.8779674666"/>
    <n v="280057.8779674666"/>
    <n v="1120231.5118698664"/>
    <m/>
    <n v="2.8685903880756815E-4"/>
    <n v="6024039.8149589309"/>
    <n v="8961852.0949589312"/>
  </r>
  <r>
    <n v="203"/>
    <x v="0"/>
    <m/>
    <s v="오지민"/>
    <s v="평택"/>
    <s v="Wafer"/>
    <s v="O"/>
    <s v="8&quot;"/>
    <s v="DDI"/>
    <x v="3"/>
    <s v="COG"/>
    <x v="17"/>
    <n v="2100784"/>
    <s v="MC"/>
    <s v="FULL AUTOMATIC DICIMG M/C(DISCO)#5"/>
    <s v="DFD6340"/>
    <x v="31"/>
    <m/>
    <s v="JT2808"/>
    <x v="120"/>
    <s v="가동"/>
    <s v="일본"/>
    <s v="DISCO"/>
    <x v="0"/>
    <s v="3차"/>
    <s v="3차"/>
    <s v="해당"/>
    <s v="Wafer Sicing Saw"/>
    <s v="Wafer Sicing Saw"/>
    <m/>
    <m/>
    <s v="3B001"/>
    <s v="8486.40-0000"/>
    <s v="전략물자수출입고시"/>
    <m/>
    <d v="2010-08-12T00:00:00"/>
    <d v="2010-08-31T00:00:00"/>
    <n v="15.178082191780822"/>
    <n v="12"/>
    <s v="2공장"/>
    <s v="자사"/>
    <s v="산업은행"/>
    <n v="6.9"/>
    <n v="1180"/>
    <n v="1110"/>
    <n v="2180"/>
    <n v="250350229"/>
    <m/>
    <m/>
    <n v="250350229"/>
    <m/>
    <m/>
    <n v="1000"/>
    <n v="1000"/>
    <n v="144"/>
    <m/>
    <n v="0"/>
    <m/>
    <m/>
    <s v="COG"/>
    <s v="COG"/>
    <s v="기계장치"/>
    <n v="5007004.58"/>
    <n v="477311.32693345071"/>
    <n v="159103.77564448357"/>
    <m/>
    <m/>
    <m/>
    <m/>
    <m/>
    <m/>
    <m/>
    <n v="477311.32693345071"/>
    <n v="477311.32693345071"/>
    <n v="954622.65386690141"/>
    <n v="477311.32693345071"/>
    <n v="477311.32693345071"/>
    <n v="477311.32693345071"/>
    <n v="477311.32693345071"/>
    <n v="1909245.3077338028"/>
    <n v="477311.32693345071"/>
    <n v="477311.32693345071"/>
    <n v="477311.32693345071"/>
    <n v="477311.32693345071"/>
    <n v="1909245.3077338028"/>
    <n v="477311.32693345071"/>
    <n v="477311.32693345071"/>
    <n v="477311.32693345071"/>
    <n v="477311.32693345071"/>
    <n v="1909245.3077338028"/>
    <m/>
    <n v="4.8890275627954392E-4"/>
    <n v="10266957.881870423"/>
    <n v="15273962.461870423"/>
  </r>
  <r>
    <n v="204"/>
    <x v="0"/>
    <m/>
    <s v="오지민"/>
    <s v="평택"/>
    <s v="Wafer"/>
    <s v="O"/>
    <s v="8&quot;"/>
    <s v="DDI"/>
    <x v="3"/>
    <s v="COG"/>
    <x v="17"/>
    <n v="2100785"/>
    <s v="MC"/>
    <s v="FULL AUTOMATIC DICIMG M/C(DISCO)#6"/>
    <s v="DFD6340"/>
    <x v="31"/>
    <m/>
    <s v="JT2818"/>
    <x v="121"/>
    <s v="가동"/>
    <s v="일본"/>
    <s v="DISCO"/>
    <x v="0"/>
    <s v="3차"/>
    <s v="3차"/>
    <s v="해당"/>
    <s v="Wafer Sicing Saw"/>
    <s v="Wafer Sicing Saw"/>
    <m/>
    <m/>
    <s v="3B001"/>
    <s v="8486.40-0000"/>
    <s v="전략물자수출입고시"/>
    <m/>
    <d v="2010-08-12T00:00:00"/>
    <d v="2010-08-31T00:00:00"/>
    <n v="15.178082191780822"/>
    <n v="12"/>
    <s v="2공장"/>
    <s v="자사"/>
    <s v="산업은행"/>
    <n v="6.9"/>
    <n v="1180"/>
    <n v="1110"/>
    <n v="2180"/>
    <n v="250350228"/>
    <m/>
    <m/>
    <n v="250350228"/>
    <m/>
    <m/>
    <n v="1000"/>
    <n v="1000"/>
    <n v="144"/>
    <m/>
    <n v="0"/>
    <m/>
    <m/>
    <s v="COG"/>
    <s v="COG"/>
    <s v="기계장치"/>
    <n v="5007004.5600000005"/>
    <n v="477311.32502687641"/>
    <n v="159103.77500895879"/>
    <m/>
    <m/>
    <m/>
    <m/>
    <m/>
    <m/>
    <m/>
    <n v="477311.32502687641"/>
    <n v="477311.32502687641"/>
    <n v="954622.65005375282"/>
    <n v="477311.32502687641"/>
    <n v="477311.32502687641"/>
    <n v="477311.32502687641"/>
    <n v="477311.32502687641"/>
    <n v="1909245.3001075056"/>
    <n v="477311.32502687641"/>
    <n v="477311.32502687641"/>
    <n v="477311.32502687641"/>
    <n v="477311.32502687641"/>
    <n v="1909245.3001075056"/>
    <n v="477311.32502687641"/>
    <n v="477311.32502687641"/>
    <n v="477311.32502687641"/>
    <n v="477311.32502687641"/>
    <n v="1909245.3001075056"/>
    <m/>
    <n v="4.8890275432666877E-4"/>
    <n v="10266957.840860045"/>
    <n v="15273962.400860045"/>
  </r>
  <r>
    <n v="205"/>
    <x v="0"/>
    <m/>
    <s v="오지민"/>
    <s v="평택"/>
    <s v="Wafer"/>
    <s v="O"/>
    <s v="8&quot;"/>
    <s v="DDI"/>
    <x v="3"/>
    <s v="COG"/>
    <x v="18"/>
    <n v="2100787"/>
    <s v="MC"/>
    <s v="WAFER CHIP SORTING M/C #6(DAITO)"/>
    <s v="WCS-821B"/>
    <x v="32"/>
    <m/>
    <n v="707"/>
    <x v="122"/>
    <s v="가동"/>
    <s v="일본"/>
    <s v="DAITO"/>
    <x v="0"/>
    <s v="1차"/>
    <s v="1차"/>
    <s v="일반장비(비통제)"/>
    <s v="Chip PnP"/>
    <s v="Chip PnP"/>
    <m/>
    <m/>
    <s v="EAR99"/>
    <s v="8479.50-0000"/>
    <m/>
    <m/>
    <d v="2010-08-14T00:00:00"/>
    <d v="2010-08-31T00:00:00"/>
    <n v="15.178082191780822"/>
    <n v="12"/>
    <s v="2공장"/>
    <s v="자사"/>
    <s v="산업은행"/>
    <n v="5"/>
    <n v="1200"/>
    <n v="1100"/>
    <n v="1650"/>
    <n v="217313154"/>
    <m/>
    <m/>
    <n v="217313154"/>
    <m/>
    <m/>
    <n v="1000"/>
    <n v="1000"/>
    <n v="144"/>
    <m/>
    <n v="0"/>
    <m/>
    <m/>
    <s v="COG"/>
    <s v="COG"/>
    <s v="기계장치"/>
    <n v="4346263.08"/>
    <n v="414323.68690117443"/>
    <n v="138107.89563372481"/>
    <m/>
    <m/>
    <m/>
    <m/>
    <m/>
    <m/>
    <m/>
    <n v="414323.68690117443"/>
    <n v="414323.68690117443"/>
    <n v="828647.37380234885"/>
    <n v="414323.68690117443"/>
    <n v="414323.68690117443"/>
    <n v="414323.68690117443"/>
    <n v="414323.68690117443"/>
    <n v="1657294.7476046977"/>
    <n v="414323.68690117443"/>
    <n v="414323.68690117443"/>
    <n v="414323.68690117443"/>
    <n v="414323.68690117443"/>
    <n v="1657294.7476046977"/>
    <n v="414323.68690117443"/>
    <n v="414323.68690117443"/>
    <n v="414323.68690117443"/>
    <n v="414323.68690117443"/>
    <n v="1657294.7476046977"/>
    <m/>
    <n v="4.2438547146845629E-4"/>
    <n v="8912094.9008375816"/>
    <n v="13258357.980837582"/>
  </r>
  <r>
    <n v="206"/>
    <x v="0"/>
    <m/>
    <s v="오지민"/>
    <s v="평택"/>
    <s v="Wafer"/>
    <s v="O"/>
    <s v="8&quot;"/>
    <s v="DDI"/>
    <x v="3"/>
    <s v="COG"/>
    <x v="19"/>
    <n v="2100789"/>
    <s v="MC"/>
    <s v="CHIP INSPECTION SYSTEM #6"/>
    <s v="HT-1200"/>
    <x v="33"/>
    <m/>
    <s v="A7116"/>
    <x v="123"/>
    <s v="가동"/>
    <s v="대만"/>
    <s v="HONTECH"/>
    <x v="0"/>
    <s v="1차"/>
    <s v="1차"/>
    <s v="일반장비(비통제)"/>
    <s v="Die 외관검사"/>
    <s v="Die 외관검사"/>
    <m/>
    <m/>
    <s v="EAR99"/>
    <s v="9031.80-0000"/>
    <m/>
    <m/>
    <d v="2011-02-26T00:00:00"/>
    <d v="2011-01-31T00:00:00"/>
    <n v="14.758904109589041"/>
    <n v="12"/>
    <s v="2공장"/>
    <s v="자사"/>
    <s v="산업은행"/>
    <n v="5.5"/>
    <n v="1695"/>
    <n v="1300"/>
    <n v="2220"/>
    <n v="260651463"/>
    <m/>
    <m/>
    <n v="260651463"/>
    <m/>
    <m/>
    <n v="1000"/>
    <n v="1000"/>
    <n v="144"/>
    <m/>
    <n v="0"/>
    <m/>
    <m/>
    <s v="COG"/>
    <s v="COG"/>
    <s v="기계장치"/>
    <n v="5213029.26"/>
    <n v="496951.39552548691"/>
    <n v="165650.4651751623"/>
    <m/>
    <m/>
    <m/>
    <m/>
    <m/>
    <m/>
    <m/>
    <n v="496951.39552548691"/>
    <n v="496951.39552548691"/>
    <n v="993902.79105097381"/>
    <n v="496951.39552548691"/>
    <n v="496951.39552548691"/>
    <n v="496951.39552548691"/>
    <n v="496951.39552548691"/>
    <n v="1987805.5821019476"/>
    <n v="496951.39552548691"/>
    <n v="496951.39552548691"/>
    <n v="496951.39552548691"/>
    <n v="496951.39552548691"/>
    <n v="1987805.5821019476"/>
    <n v="496951.39552548691"/>
    <n v="496951.39552548691"/>
    <n v="496951.39552548691"/>
    <n v="496951.39552548691"/>
    <n v="1987805.5821019476"/>
    <m/>
    <n v="5.0901978080074197E-4"/>
    <n v="10689415.396815581"/>
    <n v="15902444.656815581"/>
  </r>
  <r>
    <n v="207"/>
    <x v="0"/>
    <m/>
    <s v="오지민"/>
    <s v="평택"/>
    <s v="Wafer"/>
    <s v="O"/>
    <s v="8&quot;"/>
    <s v="DDI"/>
    <x v="3"/>
    <s v="COG"/>
    <x v="17"/>
    <n v="2100790"/>
    <s v="MC"/>
    <s v="FULL AUTOMATIC DICIMG M/C(DISCO)#7"/>
    <s v="DFD6340"/>
    <x v="31"/>
    <m/>
    <s v="JT2947"/>
    <x v="124"/>
    <s v="가동"/>
    <s v="일본"/>
    <s v="DISCO"/>
    <x v="0"/>
    <s v="3차"/>
    <s v="3차"/>
    <s v="해당"/>
    <s v="Wafer Sicing Saw"/>
    <s v="Wafer Sicing Saw"/>
    <m/>
    <m/>
    <s v="3B001"/>
    <s v="8486.40-0000"/>
    <s v="전략물자수출입고시"/>
    <m/>
    <d v="2010-12-27T00:00:00"/>
    <d v="2011-01-31T00:00:00"/>
    <n v="14.758904109589041"/>
    <n v="12"/>
    <s v="2공장"/>
    <s v="자사"/>
    <s v="산업은행"/>
    <n v="6.9"/>
    <n v="1180"/>
    <n v="1110"/>
    <n v="2180"/>
    <n v="253752748"/>
    <m/>
    <m/>
    <n v="253752748"/>
    <m/>
    <m/>
    <n v="1000"/>
    <n v="1000"/>
    <n v="144"/>
    <m/>
    <n v="0"/>
    <m/>
    <m/>
    <s v="COG"/>
    <s v="COG"/>
    <s v="기계장치"/>
    <n v="5075054.96"/>
    <n v="483798.48240877595"/>
    <n v="161266.16080292533"/>
    <m/>
    <m/>
    <m/>
    <m/>
    <m/>
    <m/>
    <m/>
    <n v="483798.48240877595"/>
    <n v="483798.48240877595"/>
    <n v="967596.9648175519"/>
    <n v="483798.48240877595"/>
    <n v="483798.48240877595"/>
    <n v="483798.48240877595"/>
    <n v="483798.48240877595"/>
    <n v="1935193.9296351038"/>
    <n v="483798.48240877595"/>
    <n v="483798.48240877595"/>
    <n v="483798.48240877595"/>
    <n v="483798.48240877595"/>
    <n v="1935193.9296351038"/>
    <n v="483798.48240877595"/>
    <n v="483798.48240877595"/>
    <n v="483798.48240877595"/>
    <n v="483798.48240877595"/>
    <n v="1935193.9296351038"/>
    <m/>
    <n v="4.9554745128956327E-4"/>
    <n v="10406496.477080829"/>
    <n v="15481551.43708083"/>
  </r>
  <r>
    <n v="208"/>
    <x v="0"/>
    <m/>
    <s v="오지민"/>
    <s v="평택"/>
    <s v="Wafer"/>
    <s v="O"/>
    <s v="8&quot;"/>
    <s v="DDI"/>
    <x v="3"/>
    <s v="COG"/>
    <x v="17"/>
    <n v="2100792"/>
    <s v="MC"/>
    <s v="FULL AUTOMATIC DICIMG M/C(DISCO)#8"/>
    <s v="DFD6340"/>
    <x v="31"/>
    <m/>
    <s v="JT2966"/>
    <x v="125"/>
    <s v="가동"/>
    <s v="일본"/>
    <s v="DISCO"/>
    <x v="0"/>
    <s v="3차"/>
    <s v="3차"/>
    <s v="해당"/>
    <s v="Wafer Sicing Saw"/>
    <s v="Wafer Sicing Saw"/>
    <m/>
    <m/>
    <s v="3B001"/>
    <s v="8486.40-0000"/>
    <s v="전략물자수출입고시"/>
    <m/>
    <d v="2011-02-26T00:00:00"/>
    <d v="2011-03-31T00:00:00"/>
    <n v="14.597260273972603"/>
    <n v="12"/>
    <s v="2공장"/>
    <s v="자사"/>
    <s v="산업은행"/>
    <n v="6.9"/>
    <n v="1180"/>
    <n v="1110"/>
    <n v="2180"/>
    <n v="241473916"/>
    <m/>
    <m/>
    <n v="241473916"/>
    <m/>
    <m/>
    <n v="1000"/>
    <n v="1000"/>
    <n v="144"/>
    <m/>
    <n v="0"/>
    <m/>
    <m/>
    <s v="COG"/>
    <s v="COG"/>
    <s v="기계장치"/>
    <n v="4829478.32"/>
    <n v="460387.97618106677"/>
    <n v="153462.65872702227"/>
    <m/>
    <m/>
    <m/>
    <m/>
    <m/>
    <m/>
    <m/>
    <n v="460387.97618106683"/>
    <n v="460387.97618106683"/>
    <n v="920775.95236213366"/>
    <n v="460387.97618106683"/>
    <n v="460387.97618106683"/>
    <n v="460387.97618106683"/>
    <n v="460387.97618106683"/>
    <n v="1841551.9047242673"/>
    <n v="460387.97618106683"/>
    <n v="460387.97618106683"/>
    <n v="460387.97618106683"/>
    <n v="460387.97618106683"/>
    <n v="1841551.9047242673"/>
    <n v="460387.97618106683"/>
    <n v="460387.97618106683"/>
    <n v="460387.97618106683"/>
    <n v="460387.97618106683"/>
    <n v="1841551.9047242673"/>
    <m/>
    <n v="4.7156842465686366E-4"/>
    <n v="9902936.9177941363"/>
    <n v="14732415.237794137"/>
  </r>
  <r>
    <n v="209"/>
    <x v="0"/>
    <m/>
    <s v="오지민"/>
    <s v="평택"/>
    <s v="Wafer"/>
    <s v="O"/>
    <s v="8&quot;"/>
    <s v="DDI"/>
    <x v="3"/>
    <s v="COG"/>
    <x v="17"/>
    <n v="2100793"/>
    <s v="MC"/>
    <s v="FULL AUTOMATIC DICIMG M/C(DISCO)#9"/>
    <s v="DFD6340"/>
    <x v="31"/>
    <m/>
    <s v="JT2965"/>
    <x v="126"/>
    <s v="가동"/>
    <s v="일본"/>
    <s v="DISCO"/>
    <x v="0"/>
    <s v="3차"/>
    <s v="3차"/>
    <s v="해당"/>
    <s v="Wafer Sicing Saw"/>
    <s v="Wafer Sicing Saw"/>
    <m/>
    <m/>
    <s v="3B001"/>
    <s v="8486.40-0000"/>
    <s v="전략물자수출입고시"/>
    <m/>
    <d v="2011-02-26T00:00:00"/>
    <d v="2011-03-31T00:00:00"/>
    <n v="14.597260273972603"/>
    <n v="12"/>
    <s v="2공장"/>
    <s v="자사"/>
    <s v="산업은행"/>
    <n v="6.9"/>
    <n v="1180"/>
    <n v="1110"/>
    <n v="2180"/>
    <n v="241473916"/>
    <m/>
    <m/>
    <n v="241473916"/>
    <m/>
    <m/>
    <n v="1000"/>
    <n v="1000"/>
    <n v="144"/>
    <m/>
    <n v="0"/>
    <m/>
    <m/>
    <s v="COG"/>
    <s v="COG"/>
    <s v="기계장치"/>
    <n v="4829478.32"/>
    <n v="460387.97618106677"/>
    <n v="153462.65872702227"/>
    <m/>
    <m/>
    <m/>
    <m/>
    <m/>
    <m/>
    <m/>
    <n v="460387.97618106683"/>
    <n v="460387.97618106683"/>
    <n v="920775.95236213366"/>
    <n v="460387.97618106683"/>
    <n v="460387.97618106683"/>
    <n v="460387.97618106683"/>
    <n v="460387.97618106683"/>
    <n v="1841551.9047242673"/>
    <n v="460387.97618106683"/>
    <n v="460387.97618106683"/>
    <n v="460387.97618106683"/>
    <n v="460387.97618106683"/>
    <n v="1841551.9047242673"/>
    <n v="460387.97618106683"/>
    <n v="460387.97618106683"/>
    <n v="460387.97618106683"/>
    <n v="460387.97618106683"/>
    <n v="1841551.9047242673"/>
    <m/>
    <n v="4.7156842465686366E-4"/>
    <n v="9902936.9177941363"/>
    <n v="14732415.237794137"/>
  </r>
  <r>
    <n v="210"/>
    <x v="0"/>
    <m/>
    <s v="오지민"/>
    <s v="평택"/>
    <s v="Wafer"/>
    <s v="O"/>
    <s v="8&quot;"/>
    <s v="DDI"/>
    <x v="3"/>
    <s v="COG"/>
    <x v="17"/>
    <n v="2100794"/>
    <s v="MC"/>
    <s v="FULL AUTOMATIC DICIMG M/C(DISCO)#10"/>
    <s v="DFD6340"/>
    <x v="31"/>
    <m/>
    <s v="JT2964"/>
    <x v="127"/>
    <s v="가동"/>
    <s v="일본"/>
    <s v="DISCO"/>
    <x v="1"/>
    <s v="3차"/>
    <s v="3차"/>
    <s v="해당"/>
    <s v="Wafer Sicing Saw"/>
    <s v="Wafer Sicing Saw"/>
    <m/>
    <m/>
    <s v="3B001"/>
    <s v="8486.40-0000"/>
    <s v="전략물자수출입고시"/>
    <m/>
    <d v="2011-02-26T00:00:00"/>
    <d v="2011-03-31T00:00:00"/>
    <n v="14.597260273972603"/>
    <n v="12"/>
    <s v="2공장"/>
    <s v="자사"/>
    <s v="산업은행"/>
    <n v="6.9"/>
    <n v="1180"/>
    <n v="1110"/>
    <n v="2180"/>
    <n v="241473916"/>
    <m/>
    <m/>
    <n v="241473916"/>
    <m/>
    <m/>
    <n v="1000"/>
    <n v="1000"/>
    <n v="144"/>
    <m/>
    <n v="0"/>
    <m/>
    <m/>
    <s v="COG"/>
    <s v="COG"/>
    <s v="기계장치"/>
    <n v="4829478.32"/>
    <n v="460387.97618106677"/>
    <n v="153462.65872702227"/>
    <m/>
    <m/>
    <n v="460387.97618106683"/>
    <n v="460387.97618106683"/>
    <n v="920775.95236213366"/>
    <n v="460387.97618106683"/>
    <n v="460387.97618106683"/>
    <n v="460387.97618106683"/>
    <n v="460387.97618106683"/>
    <n v="1841551.9047242673"/>
    <n v="460387.97618106683"/>
    <n v="460387.97618106683"/>
    <n v="460387.97618106683"/>
    <n v="460387.97618106683"/>
    <n v="1841551.9047242673"/>
    <n v="460387.97618106683"/>
    <n v="460387.97618106683"/>
    <n v="460387.97618106683"/>
    <n v="460387.97618106683"/>
    <n v="1841551.9047242673"/>
    <n v="460387.97618106683"/>
    <n v="460387.97618106683"/>
    <n v="460387.97618106683"/>
    <n v="460387.97618106683"/>
    <n v="1841551.9047242673"/>
    <m/>
    <n v="4.7156842465686366E-4"/>
    <n v="9902936.9177941363"/>
    <n v="14732415.237794137"/>
  </r>
  <r>
    <n v="211"/>
    <x v="0"/>
    <m/>
    <s v="오지민"/>
    <s v="평택"/>
    <s v="Wafer"/>
    <s v="O"/>
    <s v="8&quot;"/>
    <s v="DDI"/>
    <x v="3"/>
    <s v="COG"/>
    <x v="19"/>
    <n v="2100795"/>
    <s v="MC"/>
    <s v="CHIP INSPECTION SYSTEM #7"/>
    <s v="HT-1200"/>
    <x v="33"/>
    <m/>
    <s v="A7117"/>
    <x v="128"/>
    <s v="가동"/>
    <s v="대만"/>
    <s v="HONTECH"/>
    <x v="0"/>
    <s v="1차"/>
    <s v="1차"/>
    <s v="일반장비(비통제)"/>
    <s v="Die 외관검사"/>
    <s v="Die 외관검사"/>
    <m/>
    <m/>
    <s v="EAR99"/>
    <s v="9031.80-0000"/>
    <m/>
    <m/>
    <d v="2011-02-26T00:00:00"/>
    <d v="2011-03-31T00:00:00"/>
    <n v="14.597260273972603"/>
    <n v="12"/>
    <s v="2공장"/>
    <s v="자사"/>
    <s v="산업은행"/>
    <n v="5.5"/>
    <n v="1695"/>
    <n v="1300"/>
    <n v="2220"/>
    <n v="250983716"/>
    <m/>
    <m/>
    <n v="250983716"/>
    <m/>
    <m/>
    <n v="1000"/>
    <n v="1000"/>
    <n v="144"/>
    <m/>
    <n v="0"/>
    <m/>
    <m/>
    <s v="COG"/>
    <s v="COG"/>
    <s v="기계장치"/>
    <n v="5019674.32"/>
    <n v="478519.11700327758"/>
    <n v="159506.37233442586"/>
    <m/>
    <m/>
    <m/>
    <m/>
    <m/>
    <m/>
    <m/>
    <n v="478519.11700327758"/>
    <n v="478519.11700327758"/>
    <n v="957038.23400655517"/>
    <n v="478519.11700327758"/>
    <n v="478519.11700327758"/>
    <n v="478519.11700327758"/>
    <n v="478519.11700327758"/>
    <n v="1914076.4680131103"/>
    <n v="478519.11700327758"/>
    <n v="478519.11700327758"/>
    <n v="478519.11700327758"/>
    <n v="478519.11700327758"/>
    <n v="1914076.4680131103"/>
    <n v="478519.11700327758"/>
    <n v="478519.11700327758"/>
    <n v="478519.11700327758"/>
    <n v="478519.11700327758"/>
    <n v="1914076.4680131103"/>
    <m/>
    <n v="4.9013987733832775E-4"/>
    <n v="10292937.424104882"/>
    <n v="15312611.744104883"/>
  </r>
  <r>
    <n v="212"/>
    <x v="0"/>
    <m/>
    <s v="오지민"/>
    <s v="평택"/>
    <s v="Wafer"/>
    <s v="O"/>
    <s v="8&quot;"/>
    <s v="DDI"/>
    <x v="3"/>
    <s v="COG"/>
    <x v="19"/>
    <n v="2100796"/>
    <s v="MC"/>
    <s v="CHIP INSPECTION SYSTEM #8"/>
    <s v="HT-1200"/>
    <x v="33"/>
    <m/>
    <s v="BCC775"/>
    <x v="129"/>
    <s v="가동"/>
    <s v="대만"/>
    <s v="HONTECH"/>
    <x v="0"/>
    <s v="1차"/>
    <s v="1차"/>
    <s v="일반장비(비통제)"/>
    <s v="Die 외관검사"/>
    <s v="Die 외관검사"/>
    <m/>
    <m/>
    <s v="EAR99"/>
    <s v="9031.80-0000"/>
    <m/>
    <m/>
    <d v="2011-07-07T00:00:00"/>
    <d v="2011-03-31T00:00:00"/>
    <n v="14.597260273972603"/>
    <n v="12"/>
    <s v="2공장"/>
    <s v="자사"/>
    <s v="산업은행"/>
    <n v="5.5"/>
    <n v="1695"/>
    <n v="1300"/>
    <n v="2220"/>
    <n v="250983715"/>
    <m/>
    <m/>
    <n v="250983715"/>
    <m/>
    <m/>
    <n v="1000"/>
    <n v="1000"/>
    <n v="144"/>
    <m/>
    <n v="0"/>
    <m/>
    <m/>
    <s v="COG"/>
    <s v="COG"/>
    <s v="기계장치"/>
    <n v="5019674.3"/>
    <n v="478519.11509670317"/>
    <n v="159506.37169890106"/>
    <m/>
    <m/>
    <m/>
    <m/>
    <m/>
    <m/>
    <m/>
    <n v="478519.11509670317"/>
    <n v="478519.11509670317"/>
    <n v="957038.23019340634"/>
    <n v="478519.11509670317"/>
    <n v="478519.11509670317"/>
    <n v="478519.11509670317"/>
    <n v="478519.11509670317"/>
    <n v="1914076.4603868127"/>
    <n v="478519.11509670317"/>
    <n v="478519.11509670317"/>
    <n v="478519.11509670317"/>
    <n v="478519.11509670317"/>
    <n v="1914076.4603868127"/>
    <n v="478519.11509670317"/>
    <n v="478519.11509670317"/>
    <n v="478519.11509670317"/>
    <n v="478519.11509670317"/>
    <n v="1914076.4603868127"/>
    <m/>
    <n v="4.901398753854525E-4"/>
    <n v="10292937.383094503"/>
    <n v="15312611.683094501"/>
  </r>
  <r>
    <n v="213"/>
    <x v="0"/>
    <m/>
    <s v="오지민"/>
    <s v="평택"/>
    <s v="Wafer"/>
    <s v="O"/>
    <s v="8&quot;"/>
    <s v="DDI"/>
    <x v="3"/>
    <s v="COG"/>
    <x v="18"/>
    <n v="2100798"/>
    <s v="MC"/>
    <s v="WAFER CHIP SORTING M/C #7(제이티)"/>
    <s v="JAP-3000"/>
    <x v="34"/>
    <m/>
    <s v="J4343LBS1944"/>
    <x v="130"/>
    <s v="가동"/>
    <s v="한국"/>
    <s v="제이티"/>
    <x v="1"/>
    <s v="1차"/>
    <s v="1차"/>
    <s v="일반장비(비통제)"/>
    <s v="Chip PnP"/>
    <s v="Chip PnP"/>
    <m/>
    <m/>
    <s v="EAR99"/>
    <s v="8479.50-0000"/>
    <m/>
    <m/>
    <d v="2011-01-18T00:00:00"/>
    <d v="2011-04-30T00:00:00"/>
    <n v="14.515068493150684"/>
    <n v="12"/>
    <s v="2공장"/>
    <s v="자사"/>
    <s v="산업은행"/>
    <n v="4"/>
    <n v="1200"/>
    <n v="1100"/>
    <n v="1650"/>
    <n v="153100000"/>
    <m/>
    <m/>
    <n v="153100000"/>
    <m/>
    <m/>
    <n v="1000"/>
    <n v="1000"/>
    <n v="144"/>
    <m/>
    <n v="0"/>
    <m/>
    <m/>
    <s v="COG"/>
    <s v="COG"/>
    <s v="기계장치"/>
    <n v="3062000"/>
    <n v="291896.53408909525"/>
    <n v="97298.844696365079"/>
    <m/>
    <m/>
    <n v="291896.53408909525"/>
    <n v="291896.53408909525"/>
    <n v="583793.0681781905"/>
    <n v="291896.53408909525"/>
    <n v="291896.53408909525"/>
    <n v="291896.53408909525"/>
    <n v="291896.53408909525"/>
    <n v="1167586.136356381"/>
    <n v="291896.53408909525"/>
    <n v="291896.53408909525"/>
    <n v="291896.53408909525"/>
    <n v="291896.53408909525"/>
    <n v="1167586.136356381"/>
    <n v="291896.53408909525"/>
    <n v="291896.53408909525"/>
    <n v="291896.53408909525"/>
    <n v="291896.53408909525"/>
    <n v="1167586.136356381"/>
    <n v="291896.53408909525"/>
    <n v="291896.53408909525"/>
    <n v="291896.53408909525"/>
    <n v="291896.53408909525"/>
    <n v="1167586.136356381"/>
    <m/>
    <n v="2.9898519480243084E-4"/>
    <n v="6278689.090851048"/>
    <n v="9340689.090851048"/>
  </r>
  <r>
    <n v="214"/>
    <x v="0"/>
    <m/>
    <s v="오지민"/>
    <s v="평택"/>
    <s v="Wafer"/>
    <s v="O"/>
    <s v="8&quot;"/>
    <s v="DDI"/>
    <x v="3"/>
    <s v="COG"/>
    <x v="18"/>
    <n v="2100799"/>
    <s v="MC"/>
    <s v="WAFER CHIP SORTING M/C #8(제이티)"/>
    <s v="JAP-3000"/>
    <x v="34"/>
    <m/>
    <s v="J4343LBS1971"/>
    <x v="131"/>
    <s v="가동"/>
    <s v="한국"/>
    <s v="제이티"/>
    <x v="1"/>
    <s v="1차"/>
    <s v="1차"/>
    <s v="일반장비(비통제)"/>
    <s v="Chip PnP"/>
    <s v="Chip PnP"/>
    <m/>
    <m/>
    <s v="EAR99"/>
    <s v="8479.50-0000"/>
    <m/>
    <m/>
    <d v="2011-03-01T00:00:00"/>
    <d v="2011-05-31T00:00:00"/>
    <n v="14.43013698630137"/>
    <n v="12"/>
    <s v="2공장"/>
    <s v="자사"/>
    <s v="산업은행"/>
    <n v="4"/>
    <n v="1200"/>
    <n v="1100"/>
    <n v="1650"/>
    <n v="152400000"/>
    <m/>
    <m/>
    <n v="152400000"/>
    <m/>
    <m/>
    <n v="1000"/>
    <n v="1000"/>
    <n v="144"/>
    <m/>
    <n v="0"/>
    <m/>
    <m/>
    <s v="COG"/>
    <s v="COG"/>
    <s v="기계장치"/>
    <n v="3048000"/>
    <n v="290561.93203904713"/>
    <n v="96853.977346349042"/>
    <m/>
    <m/>
    <n v="290561.93203904713"/>
    <n v="290561.93203904713"/>
    <n v="581123.86407809425"/>
    <n v="290561.93203904713"/>
    <n v="290561.93203904713"/>
    <n v="290561.93203904713"/>
    <n v="290561.93203904713"/>
    <n v="1162247.7281561885"/>
    <n v="290561.93203904713"/>
    <n v="290561.93203904713"/>
    <n v="290561.93203904713"/>
    <n v="290561.93203904713"/>
    <n v="1162247.7281561885"/>
    <n v="290561.93203904713"/>
    <n v="290561.93203904713"/>
    <n v="290561.93203904713"/>
    <n v="290561.93203904713"/>
    <n v="1162247.7281561885"/>
    <n v="290561.93203904713"/>
    <n v="290561.93203904713"/>
    <n v="290561.93203904713"/>
    <n v="290561.93203904713"/>
    <n v="1162247.7281561885"/>
    <m/>
    <n v="2.9761818215473849E-4"/>
    <n v="6249981.825249508"/>
    <n v="9297981.825249508"/>
  </r>
  <r>
    <n v="215"/>
    <x v="0"/>
    <m/>
    <s v="오지민"/>
    <s v="평택"/>
    <s v="Wafer"/>
    <s v="O"/>
    <s v="8&quot;"/>
    <s v="DDI"/>
    <x v="3"/>
    <s v="COG"/>
    <x v="18"/>
    <n v="2100800"/>
    <s v="MC"/>
    <s v="WAFER CHIP SORTING M/C #9(제이티)"/>
    <s v="JAP-3000"/>
    <x v="34"/>
    <m/>
    <s v="J4343LBS1972"/>
    <x v="132"/>
    <s v="가동"/>
    <s v="한국"/>
    <s v="제이티"/>
    <x v="1"/>
    <s v="1차"/>
    <s v="1차"/>
    <s v="일반장비(비통제)"/>
    <s v="Chip PnP"/>
    <s v="Chip PnP"/>
    <m/>
    <m/>
    <s v="EAR99"/>
    <s v="8479.50-0000"/>
    <m/>
    <m/>
    <d v="2011-03-01T00:00:00"/>
    <d v="2011-05-31T00:00:00"/>
    <n v="14.43013698630137"/>
    <n v="12"/>
    <s v="2공장"/>
    <s v="자사"/>
    <s v="산업은행"/>
    <n v="4"/>
    <n v="1200"/>
    <n v="1100"/>
    <n v="1650"/>
    <n v="152400000"/>
    <m/>
    <m/>
    <n v="152400000"/>
    <m/>
    <m/>
    <n v="1000"/>
    <n v="1000"/>
    <n v="144"/>
    <m/>
    <n v="0"/>
    <m/>
    <m/>
    <s v="COG"/>
    <s v="COG"/>
    <s v="기계장치"/>
    <n v="3048000"/>
    <n v="290561.93203904713"/>
    <n v="96853.977346349042"/>
    <m/>
    <m/>
    <n v="290561.93203904713"/>
    <n v="290561.93203904713"/>
    <n v="581123.86407809425"/>
    <n v="290561.93203904713"/>
    <n v="290561.93203904713"/>
    <n v="290561.93203904713"/>
    <n v="290561.93203904713"/>
    <n v="1162247.7281561885"/>
    <n v="290561.93203904713"/>
    <n v="290561.93203904713"/>
    <n v="290561.93203904713"/>
    <n v="290561.93203904713"/>
    <n v="1162247.7281561885"/>
    <n v="290561.93203904713"/>
    <n v="290561.93203904713"/>
    <n v="290561.93203904713"/>
    <n v="290561.93203904713"/>
    <n v="1162247.7281561885"/>
    <n v="290561.93203904713"/>
    <n v="290561.93203904713"/>
    <n v="290561.93203904713"/>
    <n v="290561.93203904713"/>
    <n v="1162247.7281561885"/>
    <m/>
    <n v="2.9761818215473849E-4"/>
    <n v="6249981.825249508"/>
    <n v="9297981.825249508"/>
  </r>
  <r>
    <n v="216"/>
    <x v="0"/>
    <m/>
    <s v="오지민"/>
    <s v="평택"/>
    <s v="Wafer"/>
    <s v="O"/>
    <s v="8&quot;"/>
    <s v="DDI"/>
    <x v="3"/>
    <s v="COG"/>
    <x v="17"/>
    <n v="2100801"/>
    <s v="MC"/>
    <s v="FULL AUTOMATIC DICIMG M/C(DISCO)#11"/>
    <s v="DFD6340"/>
    <x v="31"/>
    <m/>
    <s v="JT4049"/>
    <x v="133"/>
    <s v="가동"/>
    <s v="일본"/>
    <s v="DISCO"/>
    <x v="1"/>
    <s v="3차"/>
    <s v="3차"/>
    <s v="해당"/>
    <s v="Wafer Sicing Saw"/>
    <s v="Wafer Sicing Saw"/>
    <m/>
    <m/>
    <s v="3B001"/>
    <s v="8486.40-0000"/>
    <s v="전략물자수출입고시"/>
    <m/>
    <d v="2011-07-13T00:00:00"/>
    <d v="2011-07-31T00:00:00"/>
    <n v="14.263013698630138"/>
    <n v="12"/>
    <s v="2공장"/>
    <s v="자사"/>
    <s v="산업은행"/>
    <n v="6.9"/>
    <n v="1180"/>
    <n v="1110"/>
    <n v="2180"/>
    <n v="234400595"/>
    <m/>
    <m/>
    <n v="234400595"/>
    <m/>
    <m/>
    <n v="1000"/>
    <n v="1000"/>
    <n v="144"/>
    <m/>
    <n v="0"/>
    <m/>
    <m/>
    <s v="COG"/>
    <s v="COG"/>
    <s v="기계장치"/>
    <n v="4688011.9000000004"/>
    <n v="446902.16374214052"/>
    <n v="148967.38791404685"/>
    <m/>
    <m/>
    <n v="446902.16374214052"/>
    <n v="446902.16374214052"/>
    <n v="893804.32748428104"/>
    <n v="446902.16374214052"/>
    <n v="446902.16374214052"/>
    <n v="446902.16374214052"/>
    <n v="446902.16374214052"/>
    <n v="1787608.6549685621"/>
    <n v="446902.16374214052"/>
    <n v="446902.16374214052"/>
    <n v="446902.16374214052"/>
    <n v="446902.16374214052"/>
    <n v="1787608.6549685621"/>
    <n v="446902.16374214052"/>
    <n v="446902.16374214052"/>
    <n v="446902.16374214052"/>
    <n v="446902.16374214052"/>
    <n v="1787608.6549685621"/>
    <n v="446902.16374214052"/>
    <n v="446902.16374214052"/>
    <n v="446902.16374214052"/>
    <n v="446902.16374214052"/>
    <n v="1787608.6549685621"/>
    <m/>
    <n v="4.5775511141659504E-4"/>
    <n v="9612857.3397484962"/>
    <n v="14300869.239748497"/>
  </r>
  <r>
    <n v="217"/>
    <x v="0"/>
    <m/>
    <s v="오지민"/>
    <s v="평택"/>
    <s v="Wafer"/>
    <s v="O"/>
    <s v="8&quot;"/>
    <s v="DDI"/>
    <x v="3"/>
    <s v="COG"/>
    <x v="17"/>
    <n v="2100802"/>
    <s v="MC"/>
    <s v="FULL AUTOMATIC DICIMG M/C(DISCO)#12"/>
    <s v="DFD6340"/>
    <x v="31"/>
    <m/>
    <s v="JT4048"/>
    <x v="134"/>
    <s v="가동"/>
    <s v="일본"/>
    <s v="DISCO"/>
    <x v="0"/>
    <s v="3차"/>
    <s v="3차"/>
    <s v="해당"/>
    <s v="Wafer Sicing Saw"/>
    <s v="Wafer Sicing Saw"/>
    <m/>
    <m/>
    <s v="3B001"/>
    <s v="8486.40-0000"/>
    <s v="전략물자수출입고시"/>
    <m/>
    <d v="2011-07-13T00:00:00"/>
    <d v="2011-07-31T00:00:00"/>
    <n v="14.263013698630138"/>
    <n v="12"/>
    <s v="2공장"/>
    <s v="자사"/>
    <s v="산업은행"/>
    <n v="6.9"/>
    <n v="1180"/>
    <n v="1110"/>
    <n v="2180"/>
    <n v="234400595"/>
    <m/>
    <m/>
    <n v="234400595"/>
    <m/>
    <m/>
    <n v="1000"/>
    <n v="1000"/>
    <n v="144"/>
    <m/>
    <n v="0"/>
    <m/>
    <m/>
    <s v="COG"/>
    <s v="COG"/>
    <s v="기계장치"/>
    <n v="4688011.9000000004"/>
    <n v="446902.16374214052"/>
    <n v="148967.38791404685"/>
    <m/>
    <m/>
    <m/>
    <m/>
    <m/>
    <m/>
    <m/>
    <n v="446902.16374214052"/>
    <n v="446902.16374214052"/>
    <n v="893804.32748428104"/>
    <n v="446902.16374214052"/>
    <n v="446902.16374214052"/>
    <n v="446902.16374214052"/>
    <n v="446902.16374214052"/>
    <n v="1787608.6549685621"/>
    <n v="446902.16374214052"/>
    <n v="446902.16374214052"/>
    <n v="446902.16374214052"/>
    <n v="446902.16374214052"/>
    <n v="1787608.6549685621"/>
    <n v="446902.16374214052"/>
    <n v="446902.16374214052"/>
    <n v="446902.16374214052"/>
    <n v="446902.16374214052"/>
    <n v="1787608.6549685621"/>
    <m/>
    <n v="4.5775511141659504E-4"/>
    <n v="9612857.3397484962"/>
    <n v="14300869.239748497"/>
  </r>
  <r>
    <n v="218"/>
    <x v="0"/>
    <m/>
    <s v="오지민"/>
    <s v="평택"/>
    <s v="Wafer"/>
    <s v="O"/>
    <s v="8&quot;"/>
    <s v="DDI"/>
    <x v="3"/>
    <s v="COG"/>
    <x v="19"/>
    <n v="2100803"/>
    <s v="MC"/>
    <s v="CHIP INSPECTION SYSTEM #9"/>
    <s v="HT-1200"/>
    <x v="33"/>
    <m/>
    <s v="BCC776"/>
    <x v="135"/>
    <s v="가동"/>
    <s v="대만"/>
    <s v="HONTECH"/>
    <x v="0"/>
    <s v="2차"/>
    <s v="2차"/>
    <s v="일반장비(비통제)"/>
    <s v="Die 외관검사"/>
    <s v="Die 외관검사"/>
    <m/>
    <m/>
    <s v="EAR99"/>
    <s v="9031.80-0000"/>
    <m/>
    <m/>
    <d v="2011-07-07T00:00:00"/>
    <d v="2011-07-31T00:00:00"/>
    <n v="14.263013698630138"/>
    <n v="12"/>
    <s v="2공장"/>
    <s v="자사"/>
    <s v="산업은행"/>
    <n v="5.5"/>
    <n v="1695"/>
    <n v="1300"/>
    <n v="2220"/>
    <n v="228120861"/>
    <m/>
    <m/>
    <n v="228120861"/>
    <m/>
    <m/>
    <n v="1000"/>
    <n v="1000"/>
    <n v="144"/>
    <m/>
    <n v="0"/>
    <m/>
    <m/>
    <s v="COG"/>
    <s v="COG"/>
    <s v="기계장치"/>
    <n v="4562417.22"/>
    <n v="434929.38392763061"/>
    <n v="144976.46130921019"/>
    <m/>
    <m/>
    <m/>
    <m/>
    <m/>
    <m/>
    <m/>
    <n v="434929.38392763061"/>
    <n v="434929.38392763061"/>
    <n v="869858.76785526122"/>
    <n v="434929.38392763061"/>
    <n v="434929.38392763061"/>
    <n v="434929.38392763061"/>
    <n v="434929.38392763061"/>
    <n v="1739717.5357105224"/>
    <n v="434929.38392763061"/>
    <n v="434929.38392763061"/>
    <n v="434929.38392763061"/>
    <n v="434929.38392763061"/>
    <n v="1739717.5357105224"/>
    <n v="434929.38392763061"/>
    <n v="434929.38392763061"/>
    <n v="434929.38392763061"/>
    <n v="434929.38392763061"/>
    <n v="1739717.5357105224"/>
    <m/>
    <n v="4.4549157455638956E-4"/>
    <n v="9355323.0656841807"/>
    <n v="13917740.28568418"/>
  </r>
  <r>
    <n v="219"/>
    <x v="0"/>
    <m/>
    <s v="오지민"/>
    <s v="평택"/>
    <s v="Wafer"/>
    <s v="O"/>
    <s v="8&quot;"/>
    <s v="DDI"/>
    <x v="3"/>
    <s v="COG"/>
    <x v="19"/>
    <n v="2100804"/>
    <s v="MC"/>
    <s v="CHIP INSPECTION SYSTEM #10"/>
    <s v="HT-1200"/>
    <x v="33"/>
    <m/>
    <s v="BCC829"/>
    <x v="136"/>
    <s v="가동"/>
    <s v="대만"/>
    <s v="HONTECH"/>
    <x v="0"/>
    <s v="2차"/>
    <s v="2차"/>
    <s v="일반장비(비통제)"/>
    <s v="Die 외관검사"/>
    <s v="Die 외관검사"/>
    <m/>
    <m/>
    <s v="EAR99"/>
    <s v="9031.80-0000"/>
    <m/>
    <m/>
    <d v="2011-09-01T00:00:00"/>
    <d v="2011-07-31T00:00:00"/>
    <n v="14.263013698630138"/>
    <n v="12"/>
    <s v="2공장"/>
    <s v="자사"/>
    <s v="산업은행"/>
    <n v="5.5"/>
    <n v="1695"/>
    <n v="1300"/>
    <n v="2220"/>
    <n v="228120860"/>
    <m/>
    <m/>
    <n v="228120860"/>
    <m/>
    <m/>
    <n v="1000"/>
    <n v="1000"/>
    <n v="144"/>
    <m/>
    <n v="0"/>
    <m/>
    <m/>
    <s v="COG"/>
    <s v="COG"/>
    <s v="기계장치"/>
    <n v="4562417.2"/>
    <n v="434929.38202105637"/>
    <n v="144976.46067368545"/>
    <m/>
    <m/>
    <m/>
    <m/>
    <m/>
    <m/>
    <m/>
    <n v="434929.38202105637"/>
    <n v="434929.38202105637"/>
    <n v="869858.76404211274"/>
    <n v="434929.38202105637"/>
    <n v="434929.38202105637"/>
    <n v="434929.38202105637"/>
    <n v="434929.38202105637"/>
    <n v="1739717.5280842255"/>
    <n v="434929.38202105637"/>
    <n v="434929.38202105637"/>
    <n v="434929.38202105637"/>
    <n v="434929.38202105637"/>
    <n v="1739717.5280842255"/>
    <n v="434929.38202105637"/>
    <n v="434929.38202105637"/>
    <n v="434929.38202105637"/>
    <n v="434929.38202105637"/>
    <n v="1739717.5280842255"/>
    <m/>
    <n v="4.4549157260351442E-4"/>
    <n v="9355323.0246738028"/>
    <n v="13917740.224673804"/>
  </r>
  <r>
    <n v="220"/>
    <x v="0"/>
    <m/>
    <s v="오지민"/>
    <s v="평택"/>
    <s v="Wafer"/>
    <s v="O"/>
    <s v="8&quot;"/>
    <s v="DDI"/>
    <x v="3"/>
    <s v="COG"/>
    <x v="18"/>
    <n v="2100805"/>
    <s v="MC"/>
    <s v="WAFER CHIP SORTING M/C #10(제이티)"/>
    <m/>
    <x v="34"/>
    <m/>
    <s v="J4343LBS2105"/>
    <x v="137"/>
    <s v="가동"/>
    <s v="한국"/>
    <s v="제이티"/>
    <x v="1"/>
    <s v="2차"/>
    <s v="2차"/>
    <s v="일반장비(비통제)"/>
    <s v="Chip PnP"/>
    <s v="Chip PnP"/>
    <m/>
    <m/>
    <s v="EAR99"/>
    <s v="8479.50-0000"/>
    <m/>
    <m/>
    <m/>
    <d v="2011-07-31T00:00:00"/>
    <n v="14.263013698630138"/>
    <n v="12"/>
    <s v="2공장"/>
    <s v="자사"/>
    <s v="산업은행"/>
    <m/>
    <m/>
    <m/>
    <m/>
    <n v="159325000"/>
    <m/>
    <m/>
    <n v="159325000"/>
    <m/>
    <m/>
    <n v="1000"/>
    <n v="1000"/>
    <n v="144"/>
    <m/>
    <n v="0"/>
    <m/>
    <m/>
    <s v="COG"/>
    <s v="COG"/>
    <s v="기계장치"/>
    <n v="3186500"/>
    <n v="303764.95946273743"/>
    <n v="101254.98648757914"/>
    <m/>
    <m/>
    <n v="303764.95946273743"/>
    <n v="303764.95946273743"/>
    <n v="607529.91892547486"/>
    <n v="303764.95946273743"/>
    <n v="303764.95946273743"/>
    <n v="303764.95946273743"/>
    <n v="303764.95946273743"/>
    <n v="1215059.8378509497"/>
    <n v="303764.95946273743"/>
    <n v="303764.95946273743"/>
    <n v="303764.95946273743"/>
    <n v="303764.95946273743"/>
    <n v="1215059.8378509497"/>
    <n v="303764.95946273743"/>
    <n v="303764.95946273743"/>
    <n v="303764.95946273743"/>
    <n v="303764.95946273743"/>
    <n v="1215059.8378509497"/>
    <n v="303764.95946273743"/>
    <n v="303764.95946273743"/>
    <n v="303764.95946273743"/>
    <n v="303764.95946273743"/>
    <n v="1215059.8378509497"/>
    <m/>
    <n v="3.1114184299083796E-4"/>
    <n v="6533978.7028075969"/>
    <n v="9720478.7028075978"/>
  </r>
  <r>
    <n v="221"/>
    <x v="0"/>
    <m/>
    <s v="오지민"/>
    <s v="평택"/>
    <s v="Wafer"/>
    <s v="O"/>
    <s v="8&quot;"/>
    <s v="DDI"/>
    <x v="3"/>
    <s v="COG"/>
    <x v="17"/>
    <n v="2100807"/>
    <s v="MC"/>
    <s v="FULL AUTOMATIC DICIMG M/C(DISCO)#13"/>
    <s v="DFD6340"/>
    <x v="31"/>
    <m/>
    <s v="JT4093"/>
    <x v="138"/>
    <s v="가동"/>
    <s v="일본"/>
    <s v="DISCO"/>
    <x v="0"/>
    <s v="3차"/>
    <s v="3차"/>
    <s v="해당"/>
    <s v="Wafer Sicing Saw"/>
    <s v="Wafer Sicing Saw"/>
    <m/>
    <m/>
    <s v="3B001"/>
    <s v="8486.40-0000"/>
    <s v="전략물자수출입고시"/>
    <m/>
    <d v="2011-09-01T00:00:00"/>
    <d v="2011-09-30T00:00:00"/>
    <n v="14.095890410958905"/>
    <n v="12"/>
    <s v="2공장"/>
    <s v="자사"/>
    <s v="산업은행"/>
    <n v="6.9"/>
    <n v="1180"/>
    <n v="1110"/>
    <n v="2180"/>
    <n v="253295612"/>
    <m/>
    <m/>
    <n v="253295612"/>
    <m/>
    <m/>
    <n v="1000"/>
    <n v="1000"/>
    <n v="144"/>
    <m/>
    <n v="0"/>
    <m/>
    <m/>
    <s v="COG"/>
    <s v="COG"/>
    <s v="기계장치"/>
    <n v="5065912.24"/>
    <n v="482926.91863341763"/>
    <n v="160975.63954447253"/>
    <m/>
    <m/>
    <m/>
    <m/>
    <m/>
    <m/>
    <m/>
    <n v="482926.91863341758"/>
    <n v="482926.91863341758"/>
    <n v="965853.83726683515"/>
    <n v="482926.91863341758"/>
    <n v="482926.91863341758"/>
    <n v="482926.91863341758"/>
    <n v="482926.91863341758"/>
    <n v="1931707.6745336703"/>
    <n v="482926.91863341758"/>
    <n v="482926.91863341758"/>
    <n v="482926.91863341758"/>
    <n v="482926.91863341758"/>
    <n v="1931707.6745336703"/>
    <n v="482926.91863341758"/>
    <n v="482926.91863341758"/>
    <n v="482926.91863341758"/>
    <n v="482926.91863341758"/>
    <n v="1931707.6745336703"/>
    <m/>
    <n v="4.9465472172711261E-4"/>
    <n v="10387749.156269364"/>
    <n v="15453661.396269364"/>
  </r>
  <r>
    <n v="222"/>
    <x v="0"/>
    <m/>
    <s v="오지민"/>
    <s v="평택"/>
    <s v="Wafer"/>
    <s v="O"/>
    <s v="8&quot;"/>
    <s v="DDI"/>
    <x v="3"/>
    <s v="COG"/>
    <x v="19"/>
    <n v="2100809"/>
    <s v="MC"/>
    <s v="CHIP INSPECTION SYSTEM #11"/>
    <s v="HT-1200"/>
    <x v="33"/>
    <m/>
    <s v="BCC884"/>
    <x v="139"/>
    <s v="가동"/>
    <s v="대만"/>
    <s v="HONTECH"/>
    <x v="0"/>
    <s v="2차"/>
    <s v="2차"/>
    <s v="일반장비(비통제)"/>
    <s v="Die 외관검사"/>
    <s v="Die 외관검사"/>
    <m/>
    <m/>
    <s v="EAR99"/>
    <s v="9031.80-0000"/>
    <m/>
    <m/>
    <d v="2011-12-14T00:00:00"/>
    <d v="2011-10-31T00:00:00"/>
    <n v="14.010958904109589"/>
    <n v="12"/>
    <s v="2공장"/>
    <s v="자사"/>
    <s v="산업은행"/>
    <n v="5.5"/>
    <n v="1695"/>
    <n v="1300"/>
    <n v="2220"/>
    <n v="232249729"/>
    <m/>
    <m/>
    <n v="232249729"/>
    <m/>
    <m/>
    <n v="1000"/>
    <n v="1000"/>
    <n v="144"/>
    <m/>
    <n v="0"/>
    <m/>
    <m/>
    <s v="COG"/>
    <s v="COG"/>
    <s v="기계장치"/>
    <n v="4644994.58"/>
    <n v="442801.37778074219"/>
    <n v="147600.45926024739"/>
    <m/>
    <m/>
    <m/>
    <m/>
    <m/>
    <m/>
    <m/>
    <n v="442801.37778074213"/>
    <n v="442801.37778074213"/>
    <n v="885602.75556148426"/>
    <n v="442801.37778074213"/>
    <n v="442801.37778074213"/>
    <n v="442801.37778074213"/>
    <n v="442801.37778074213"/>
    <n v="1771205.5111229685"/>
    <n v="442801.37778074213"/>
    <n v="442801.37778074213"/>
    <n v="442801.37778074213"/>
    <n v="442801.37778074213"/>
    <n v="1771205.5111229685"/>
    <n v="442801.37778074213"/>
    <n v="442801.37778074213"/>
    <n v="442801.37778074213"/>
    <n v="442801.37778074213"/>
    <n v="1771205.5111229685"/>
    <m/>
    <n v="4.5355473852303575E-4"/>
    <n v="9524649.5089837499"/>
    <n v="14169644.08898375"/>
  </r>
  <r>
    <n v="223"/>
    <x v="0"/>
    <m/>
    <s v="오지민"/>
    <s v="평택"/>
    <s v="Wafer"/>
    <s v="O"/>
    <s v="8&quot;"/>
    <s v="DDI"/>
    <x v="3"/>
    <s v="COG"/>
    <x v="19"/>
    <n v="2100810"/>
    <s v="MC"/>
    <s v="CHIP INSPECTION SYSTEM #12"/>
    <s v="HT-1200"/>
    <x v="33"/>
    <m/>
    <s v="A8070"/>
    <x v="140"/>
    <s v="가동"/>
    <s v="대만"/>
    <s v="HONTECH"/>
    <x v="0"/>
    <s v="3차"/>
    <s v="3차"/>
    <s v="일반장비(비통제)"/>
    <s v="Die 외관검사"/>
    <s v="Die 외관검사"/>
    <m/>
    <m/>
    <s v="EAR99"/>
    <s v="9031.80-0000"/>
    <m/>
    <m/>
    <d v="2012-03-05T00:00:00"/>
    <d v="2011-12-31T00:00:00"/>
    <n v="13.843835616438357"/>
    <n v="12"/>
    <s v="2공장"/>
    <s v="자사"/>
    <s v="산업은행"/>
    <n v="5.5"/>
    <n v="1695"/>
    <n v="1300"/>
    <n v="2220"/>
    <n v="244928130"/>
    <m/>
    <m/>
    <n v="244928130"/>
    <m/>
    <m/>
    <n v="1000"/>
    <n v="1000"/>
    <n v="144"/>
    <m/>
    <n v="0"/>
    <m/>
    <m/>
    <s v="COG"/>
    <s v="COG"/>
    <s v="기계장치"/>
    <n v="4898562.6000000006"/>
    <n v="466973.69201778807"/>
    <n v="155657.89733926268"/>
    <m/>
    <m/>
    <m/>
    <m/>
    <m/>
    <m/>
    <m/>
    <n v="466973.69201778807"/>
    <n v="466973.69201778807"/>
    <n v="933947.38403557613"/>
    <n v="466973.69201778807"/>
    <n v="466973.69201778807"/>
    <n v="466973.69201778807"/>
    <n v="466973.69201778807"/>
    <n v="1867894.7680711523"/>
    <n v="466973.69201778807"/>
    <n v="466973.69201778807"/>
    <n v="466973.69201778807"/>
    <n v="466973.69201778807"/>
    <n v="1867894.7680711523"/>
    <n v="466973.69201778807"/>
    <n v="466973.69201778807"/>
    <n v="466973.69201778807"/>
    <n v="466973.69201778807"/>
    <n v="1867894.7680711523"/>
    <m/>
    <n v="4.7831407355091517E-4"/>
    <n v="10044595.544569219"/>
    <n v="14943158.144569218"/>
  </r>
  <r>
    <n v="224"/>
    <x v="0"/>
    <m/>
    <s v="오지민"/>
    <s v="평택"/>
    <s v="Wafer"/>
    <s v="O"/>
    <s v="8&quot;"/>
    <s v="DDI"/>
    <x v="3"/>
    <s v="COG"/>
    <x v="17"/>
    <n v="2100816"/>
    <s v="MC"/>
    <s v="COG SAW M/C #15"/>
    <s v="DFD6340"/>
    <x v="31"/>
    <m/>
    <s v="JT4137"/>
    <x v="141"/>
    <s v="가동"/>
    <s v="일본"/>
    <s v="DISCO"/>
    <x v="1"/>
    <s v="3차"/>
    <s v="3차"/>
    <s v="해당"/>
    <s v="Wafer Sicing Saw"/>
    <s v="Wafer Sicing Saw"/>
    <m/>
    <m/>
    <s v="3B001"/>
    <s v="8486.40-0000"/>
    <s v="전략물자수출입고시"/>
    <m/>
    <m/>
    <d v="2012-03-31T00:00:00"/>
    <n v="13.594520547945205"/>
    <n v="12"/>
    <s v="2공장"/>
    <s v="자사"/>
    <s v="산업은행"/>
    <m/>
    <m/>
    <m/>
    <m/>
    <n v="246507746"/>
    <m/>
    <m/>
    <n v="246507746"/>
    <m/>
    <m/>
    <n v="1000"/>
    <n v="1000"/>
    <n v="144"/>
    <m/>
    <n v="0"/>
    <m/>
    <m/>
    <s v="COG"/>
    <s v="COG"/>
    <s v="기계장치"/>
    <n v="4930154.92"/>
    <n v="469985.34737762919"/>
    <n v="156661.78245920973"/>
    <m/>
    <m/>
    <n v="469985.34737762919"/>
    <n v="469985.34737762919"/>
    <n v="939970.69475525839"/>
    <n v="469985.34737762919"/>
    <n v="469985.34737762919"/>
    <n v="469985.34737762919"/>
    <n v="469985.34737762919"/>
    <n v="1879941.3895105168"/>
    <n v="469985.34737762919"/>
    <n v="469985.34737762919"/>
    <n v="469985.34737762919"/>
    <n v="469985.34737762919"/>
    <n v="1879941.3895105168"/>
    <n v="469985.34737762919"/>
    <n v="469985.34737762919"/>
    <n v="469985.34737762919"/>
    <n v="469985.34737762919"/>
    <n v="1879941.3895105168"/>
    <n v="469985.34737762919"/>
    <n v="469985.34737762919"/>
    <n v="469985.34737762919"/>
    <n v="469985.34737762919"/>
    <n v="1879941.3895105168"/>
    <m/>
    <n v="4.8139886648019691E-4"/>
    <n v="10109376.196084134"/>
    <n v="15039531.116084134"/>
  </r>
  <r>
    <n v="225"/>
    <x v="0"/>
    <m/>
    <s v="오지민"/>
    <s v="평택"/>
    <s v="Wafer"/>
    <s v="O"/>
    <s v="8&quot;"/>
    <s v="DDI"/>
    <x v="3"/>
    <s v="COG"/>
    <x v="17"/>
    <n v="2100817"/>
    <s v="MC"/>
    <s v="COG SAW M/C #16"/>
    <s v="DFD6340"/>
    <x v="31"/>
    <m/>
    <s v="JT4138"/>
    <x v="142"/>
    <s v="가동"/>
    <s v="일본"/>
    <s v="DISCO"/>
    <x v="1"/>
    <s v="3차"/>
    <s v="3차"/>
    <s v="해당"/>
    <s v="Wafer Sicing Saw"/>
    <s v="Wafer Sicing Saw"/>
    <m/>
    <m/>
    <s v="3B001"/>
    <s v="8486.40-0000"/>
    <s v="전략물자수출입고시"/>
    <m/>
    <m/>
    <d v="2012-03-31T00:00:00"/>
    <n v="13.594520547945205"/>
    <n v="12"/>
    <s v="2공장"/>
    <s v="자사"/>
    <s v="산업은행"/>
    <m/>
    <m/>
    <m/>
    <m/>
    <n v="276986340"/>
    <m/>
    <m/>
    <n v="276986340"/>
    <m/>
    <m/>
    <n v="1000"/>
    <n v="1000"/>
    <n v="144"/>
    <m/>
    <n v="0"/>
    <m/>
    <m/>
    <s v="COG"/>
    <s v="COG"/>
    <s v="기계장치"/>
    <n v="5539726.7999999998"/>
    <n v="528095.05314189242"/>
    <n v="176031.68438063082"/>
    <m/>
    <m/>
    <n v="528095.05314189242"/>
    <n v="528095.05314189242"/>
    <n v="1056190.1062837848"/>
    <n v="528095.05314189242"/>
    <n v="528095.05314189242"/>
    <n v="528095.05314189242"/>
    <n v="528095.05314189242"/>
    <n v="2112380.2125675697"/>
    <n v="528095.05314189242"/>
    <n v="528095.05314189242"/>
    <n v="528095.05314189242"/>
    <n v="528095.05314189242"/>
    <n v="2112380.2125675697"/>
    <n v="528095.05314189242"/>
    <n v="528095.05314189242"/>
    <n v="528095.05314189242"/>
    <n v="528095.05314189242"/>
    <n v="2112380.2125675697"/>
    <n v="528095.05314189242"/>
    <n v="528095.05314189242"/>
    <n v="528095.05314189242"/>
    <n v="528095.05314189242"/>
    <n v="2112380.2125675697"/>
    <m/>
    <n v="5.4091975716859795E-4"/>
    <n v="11359314.900540557"/>
    <n v="16899041.700540558"/>
  </r>
  <r>
    <n v="226"/>
    <x v="0"/>
    <m/>
    <s v="오지민"/>
    <s v="평택"/>
    <s v="Wafer"/>
    <s v="O"/>
    <s v="8&quot;"/>
    <s v="DDI"/>
    <x v="3"/>
    <s v="COG"/>
    <x v="18"/>
    <n v="2100818"/>
    <s v="MC"/>
    <s v="12&quot; PNP #1"/>
    <m/>
    <x v="35"/>
    <m/>
    <s v="LBS-HOC557-2012"/>
    <x v="143"/>
    <s v="가동"/>
    <s v="한국"/>
    <s v="한미반도체(주)"/>
    <x v="0"/>
    <s v="2차"/>
    <s v="2차"/>
    <s v="일반장비(비통제)"/>
    <s v="Chip PnP"/>
    <s v="Chip Pnp+검사"/>
    <m/>
    <m/>
    <s v="EAR99"/>
    <s v="8479.50-0000"/>
    <m/>
    <m/>
    <m/>
    <d v="2013-02-28T00:00:00"/>
    <n v="12.67945205479452"/>
    <n v="12"/>
    <s v="2공장"/>
    <s v="자사"/>
    <s v="산업은행"/>
    <m/>
    <m/>
    <m/>
    <m/>
    <n v="450500000"/>
    <m/>
    <m/>
    <n v="450500000"/>
    <m/>
    <m/>
    <n v="1000"/>
    <n v="1000"/>
    <n v="144"/>
    <m/>
    <n v="0"/>
    <m/>
    <m/>
    <s v="COG"/>
    <s v="COG"/>
    <s v="기계장치"/>
    <n v="9010000"/>
    <n v="858911.74792382366"/>
    <n v="286303.91597460787"/>
    <m/>
    <m/>
    <m/>
    <m/>
    <m/>
    <m/>
    <m/>
    <n v="858911.74792382354"/>
    <n v="858911.74792382354"/>
    <n v="1717823.4958476471"/>
    <n v="858911.74792382354"/>
    <n v="858911.74792382354"/>
    <n v="858911.74792382354"/>
    <n v="858911.74792382354"/>
    <n v="3435646.9916952942"/>
    <n v="858911.74792382354"/>
    <n v="858911.74792382354"/>
    <n v="858911.74792382354"/>
    <n v="858911.74792382354"/>
    <n v="3435646.9916952942"/>
    <n v="858911.74792382354"/>
    <n v="858911.74792382354"/>
    <n v="858911.74792382354"/>
    <n v="858911.74792382354"/>
    <n v="3435646.9916952942"/>
    <m/>
    <n v="8.7977028255058849E-4"/>
    <n v="18475175.933562357"/>
    <n v="27485175.933562357"/>
  </r>
  <r>
    <n v="227"/>
    <x v="0"/>
    <m/>
    <s v="오지민"/>
    <s v="평택"/>
    <s v="Wafer"/>
    <s v="O"/>
    <s v="8&quot;"/>
    <s v="DDI"/>
    <x v="3"/>
    <s v="COG"/>
    <x v="18"/>
    <n v="2100832"/>
    <s v="MC"/>
    <s v="12&quot; PNP #4"/>
    <m/>
    <x v="36"/>
    <m/>
    <s v="AP-1601-008"/>
    <x v="144"/>
    <s v="가동"/>
    <s v="한국"/>
    <s v="에이피텍"/>
    <x v="0"/>
    <s v="2차"/>
    <s v="2차"/>
    <s v="일반장비(비통제)"/>
    <s v="Chip Pnp+검사"/>
    <s v="Chip Pnp+검사"/>
    <m/>
    <m/>
    <s v="EAR99"/>
    <s v="9031.80-0000"/>
    <m/>
    <m/>
    <m/>
    <d v="2016-03-31T00:00:00"/>
    <n v="9.5917808219178085"/>
    <n v="12"/>
    <s v="2공장"/>
    <s v="자사"/>
    <s v="산업은행"/>
    <m/>
    <m/>
    <m/>
    <m/>
    <n v="178800000"/>
    <m/>
    <m/>
    <n v="178800000"/>
    <m/>
    <m/>
    <n v="34831943"/>
    <n v="14122528"/>
    <n v="144"/>
    <m/>
    <n v="26"/>
    <m/>
    <m/>
    <s v="COG"/>
    <s v="COG"/>
    <s v="기계장치"/>
    <n v="36573540.149999999"/>
    <n v="3486508.6901219357"/>
    <n v="1162169.5633739785"/>
    <m/>
    <m/>
    <m/>
    <m/>
    <m/>
    <m/>
    <m/>
    <n v="3486508.6901219357"/>
    <n v="3486508.6901219357"/>
    <n v="6973017.3802438714"/>
    <n v="3486508.6901219357"/>
    <n v="3486508.6901219357"/>
    <n v="3486508.6901219357"/>
    <n v="3486508.6901219357"/>
    <n v="13946034.760487743"/>
    <n v="3486508.6901219357"/>
    <n v="3486508.6901219357"/>
    <n v="3486508.6901219357"/>
    <n v="3486508.6901219357"/>
    <n v="13946034.760487743"/>
    <n v="3486508.6901219357"/>
    <n v="3486508.6901219357"/>
    <n v="3486508.6901219357"/>
    <n v="3486508.6901219357"/>
    <n v="13946034.760487743"/>
    <m/>
    <n v="3.5711779968524739E-3"/>
    <n v="74994737.933901951"/>
    <n v="111568278.08390194"/>
  </r>
  <r>
    <n v="228"/>
    <x v="0"/>
    <m/>
    <s v="오지민"/>
    <s v="평택"/>
    <s v="Wafer"/>
    <s v="O"/>
    <s v="8&quot;"/>
    <s v="DDI"/>
    <x v="3"/>
    <s v="COG"/>
    <x v="18"/>
    <n v="2100833"/>
    <s v="MC"/>
    <s v="12&quot; PNP #5"/>
    <m/>
    <x v="36"/>
    <m/>
    <s v="AP-1601-009"/>
    <x v="145"/>
    <s v="가동"/>
    <s v="한국"/>
    <s v="에이피텍"/>
    <x v="0"/>
    <s v="2차"/>
    <s v="2차"/>
    <s v="일반장비(비통제)"/>
    <s v="Chip Pnp+검사"/>
    <s v="Chip Pnp+검사"/>
    <m/>
    <m/>
    <s v="EAR99"/>
    <s v="9031.80-0000"/>
    <m/>
    <m/>
    <m/>
    <d v="2016-03-31T00:00:00"/>
    <n v="9.5917808219178085"/>
    <n v="12"/>
    <s v="2공장"/>
    <s v="자사"/>
    <s v="산업은행"/>
    <m/>
    <m/>
    <m/>
    <m/>
    <n v="179500000"/>
    <m/>
    <m/>
    <n v="179500000"/>
    <m/>
    <m/>
    <n v="34968310"/>
    <n v="14177817"/>
    <n v="144"/>
    <m/>
    <n v="26"/>
    <m/>
    <m/>
    <s v="COG"/>
    <s v="COG"/>
    <s v="기계장치"/>
    <n v="36716725.5"/>
    <n v="3500158.3659538543"/>
    <n v="1166719.4553179515"/>
    <m/>
    <m/>
    <m/>
    <m/>
    <m/>
    <m/>
    <m/>
    <n v="3500158.3659538543"/>
    <n v="3500158.3659538543"/>
    <n v="7000316.7319077086"/>
    <n v="3500158.3659538543"/>
    <n v="3500158.3659538543"/>
    <n v="3500158.3659538543"/>
    <n v="3500158.3659538543"/>
    <n v="14000633.463815417"/>
    <n v="3500158.3659538543"/>
    <n v="3500158.3659538543"/>
    <n v="3500158.3659538543"/>
    <n v="3500158.3659538543"/>
    <n v="14000633.463815417"/>
    <n v="3500158.3659538543"/>
    <n v="3500158.3659538543"/>
    <n v="3500158.3659538543"/>
    <n v="3500158.3659538543"/>
    <n v="14000633.463815417"/>
    <m/>
    <n v="3.5851591528820639E-3"/>
    <n v="75288342.210523337"/>
    <n v="112005067.71052334"/>
  </r>
  <r>
    <n v="229"/>
    <x v="0"/>
    <m/>
    <s v="오지민"/>
    <s v="평택"/>
    <s v="Wafer"/>
    <s v="O"/>
    <s v="8&quot;"/>
    <s v="DDI"/>
    <x v="3"/>
    <s v="COG"/>
    <x v="18"/>
    <n v="2100854"/>
    <s v="MC"/>
    <s v="PICK &amp; PLACE(APP-L10)"/>
    <m/>
    <x v="36"/>
    <m/>
    <s v="J4345LSM2483"/>
    <x v="146"/>
    <s v="가동"/>
    <s v="한국"/>
    <s v="에이피텍"/>
    <x v="0"/>
    <s v="2차"/>
    <s v="2차"/>
    <s v="일반장비(비통제)"/>
    <s v="Chip Pnp+검사"/>
    <s v="Chip Pnp+검사"/>
    <m/>
    <m/>
    <s v="EAR99"/>
    <s v="9031.80-0000"/>
    <m/>
    <m/>
    <m/>
    <d v="2019-01-31T00:00:00"/>
    <n v="6.7534246575342465"/>
    <n v="12"/>
    <s v="2공장"/>
    <s v="자사"/>
    <s v="미설정"/>
    <m/>
    <m/>
    <m/>
    <m/>
    <n v="38212556"/>
    <m/>
    <m/>
    <n v="38212556"/>
    <m/>
    <m/>
    <n v="16458610"/>
    <n v="7468635"/>
    <n v="144"/>
    <m/>
    <n v="60"/>
    <m/>
    <m/>
    <s v="COG"/>
    <s v="COG"/>
    <s v="기계장치"/>
    <n v="17281540.5"/>
    <n v="1647427.0985206824"/>
    <n v="549142.36617356085"/>
    <m/>
    <m/>
    <m/>
    <m/>
    <m/>
    <m/>
    <m/>
    <n v="1647427.0985206827"/>
    <n v="1647427.0985206827"/>
    <n v="3294854.1970413653"/>
    <n v="1647427.0985206827"/>
    <n v="1647427.0985206827"/>
    <n v="1647427.0985206827"/>
    <n v="1647427.0985206827"/>
    <n v="6589708.3940827306"/>
    <n v="1647427.0985206827"/>
    <n v="1647427.0985206827"/>
    <n v="1647427.0985206827"/>
    <n v="1647427.0985206827"/>
    <n v="6589708.3940827306"/>
    <n v="1647427.0985206827"/>
    <n v="1647427.0985206827"/>
    <n v="1647427.0985206827"/>
    <n v="1647427.0985206827"/>
    <n v="6589708.3940827306"/>
    <m/>
    <n v="1.6874346025077067E-3"/>
    <n v="35436126.652661838"/>
    <n v="52717667.152661838"/>
  </r>
  <r>
    <n v="230"/>
    <x v="0"/>
    <m/>
    <s v="오지민"/>
    <s v="평택"/>
    <s v="Wafer"/>
    <s v="O"/>
    <s v="8&quot;"/>
    <s v="DDI"/>
    <x v="3"/>
    <s v="COG"/>
    <x v="19"/>
    <n v="2100855"/>
    <s v="MC"/>
    <s v="AVI(HT-1200)"/>
    <s v="HT-1200"/>
    <x v="33"/>
    <m/>
    <s v="CCC975"/>
    <x v="147"/>
    <s v="가동"/>
    <s v="대만"/>
    <s v="HONTECH"/>
    <x v="0"/>
    <s v="3차"/>
    <s v="3차"/>
    <s v="일반장비(비통제)"/>
    <s v="Die 외관검사"/>
    <s v="Die 외관검사"/>
    <m/>
    <m/>
    <s v="EAR99"/>
    <s v="9031.80-0000"/>
    <m/>
    <m/>
    <m/>
    <d v="2019-01-31T00:00:00"/>
    <n v="6.7534246575342465"/>
    <n v="12"/>
    <s v="2공장"/>
    <s v="자사"/>
    <s v="미설정"/>
    <m/>
    <m/>
    <m/>
    <m/>
    <n v="38262556"/>
    <m/>
    <m/>
    <n v="38262556"/>
    <m/>
    <m/>
    <n v="16480146"/>
    <n v="7478408"/>
    <n v="144"/>
    <m/>
    <n v="60"/>
    <m/>
    <m/>
    <s v="COG"/>
    <s v="COG"/>
    <s v="기계장치"/>
    <n v="17304153.300000001"/>
    <n v="1649582.7477519205"/>
    <n v="549860.91591730679"/>
    <m/>
    <m/>
    <m/>
    <m/>
    <m/>
    <m/>
    <m/>
    <n v="1649582.7477519205"/>
    <n v="1649582.7477519205"/>
    <n v="3299165.495503841"/>
    <n v="1649582.7477519205"/>
    <n v="1649582.7477519205"/>
    <n v="1649582.7477519205"/>
    <n v="1649582.7477519205"/>
    <n v="6598330.9910076819"/>
    <n v="1649582.7477519205"/>
    <n v="1649582.7477519205"/>
    <n v="1649582.7477519205"/>
    <n v="1649582.7477519205"/>
    <n v="6598330.9910076819"/>
    <n v="1649582.7477519205"/>
    <n v="1649582.7477519205"/>
    <n v="1649582.7477519205"/>
    <n v="1649582.7477519205"/>
    <n v="6598330.9910076819"/>
    <m/>
    <n v="1.6896426013362595E-3"/>
    <n v="35482494.628061451"/>
    <n v="52786647.928061455"/>
  </r>
  <r>
    <n v="231"/>
    <x v="0"/>
    <m/>
    <s v="오지민"/>
    <s v="평택"/>
    <s v="Wafer"/>
    <s v="O"/>
    <s v="8&quot;"/>
    <s v="DDI"/>
    <x v="3"/>
    <s v="COG"/>
    <x v="19"/>
    <n v="2100856"/>
    <s v="MC"/>
    <s v="AVI(HT-1200)"/>
    <s v="HT-1200"/>
    <x v="33"/>
    <m/>
    <s v="CCC829"/>
    <x v="148"/>
    <s v="가동"/>
    <s v="대만"/>
    <s v="HONTECH"/>
    <x v="0"/>
    <s v="3차"/>
    <s v="3차"/>
    <s v="일반장비(비통제)"/>
    <s v="Die 외관검사"/>
    <s v="Die 외관검사"/>
    <m/>
    <m/>
    <s v="EAR99"/>
    <s v="9031.80-0000"/>
    <m/>
    <m/>
    <m/>
    <d v="2019-01-31T00:00:00"/>
    <n v="6.7534246575342465"/>
    <n v="12"/>
    <s v="2공장"/>
    <s v="자사"/>
    <s v="미설정"/>
    <m/>
    <m/>
    <m/>
    <m/>
    <n v="38262556"/>
    <m/>
    <m/>
    <n v="38262556"/>
    <m/>
    <m/>
    <n v="16480146"/>
    <n v="7478408"/>
    <n v="144"/>
    <m/>
    <n v="60"/>
    <m/>
    <m/>
    <s v="COG"/>
    <s v="COG"/>
    <s v="기계장치"/>
    <n v="17304153.300000001"/>
    <n v="1649582.7477519205"/>
    <n v="549860.91591730679"/>
    <m/>
    <m/>
    <m/>
    <m/>
    <m/>
    <m/>
    <m/>
    <n v="1649582.7477519205"/>
    <n v="1649582.7477519205"/>
    <n v="3299165.495503841"/>
    <n v="1649582.7477519205"/>
    <n v="1649582.7477519205"/>
    <n v="1649582.7477519205"/>
    <n v="1649582.7477519205"/>
    <n v="6598330.9910076819"/>
    <n v="1649582.7477519205"/>
    <n v="1649582.7477519205"/>
    <n v="1649582.7477519205"/>
    <n v="1649582.7477519205"/>
    <n v="6598330.9910076819"/>
    <n v="1649582.7477519205"/>
    <n v="1649582.7477519205"/>
    <n v="1649582.7477519205"/>
    <n v="1649582.7477519205"/>
    <n v="6598330.9910076819"/>
    <m/>
    <n v="1.6896426013362595E-3"/>
    <n v="35482494.628061451"/>
    <n v="52786647.928061455"/>
  </r>
  <r>
    <n v="232"/>
    <x v="0"/>
    <m/>
    <s v="오지민"/>
    <s v="평택"/>
    <s v="Wafer"/>
    <s v="O"/>
    <s v="8&quot;"/>
    <s v="DDI"/>
    <x v="3"/>
    <s v="COG"/>
    <x v="20"/>
    <n v="2100889"/>
    <s v="MC"/>
    <s v="BACK GRIND "/>
    <s v="PG300RM"/>
    <x v="37"/>
    <m/>
    <s v="P04002MB"/>
    <x v="149"/>
    <s v="가동"/>
    <s v="일본"/>
    <s v="TOKYO SEIMITSU"/>
    <x v="1"/>
    <s v="1차"/>
    <s v="1차"/>
    <s v="해당"/>
    <s v="웨이퍼 그라인더"/>
    <m/>
    <m/>
    <m/>
    <s v="3B001"/>
    <s v="8486.40-0000"/>
    <s v="핵심장비 아님"/>
    <m/>
    <d v="2008-01-21T00:00:00"/>
    <d v="2008-06-30T00:00:00"/>
    <n v="17.347945205479451"/>
    <n v="12"/>
    <s v="2공장"/>
    <s v="자사"/>
    <s v="산업은행"/>
    <n v="36.1"/>
    <n v="3987"/>
    <n v="3454"/>
    <n v="2100"/>
    <n v="1554125655"/>
    <m/>
    <m/>
    <n v="1480986630"/>
    <m/>
    <m/>
    <n v="1000"/>
    <n v="20307574"/>
    <n v="144"/>
    <n v="210"/>
    <n v="0"/>
    <m/>
    <s v="공통)B/G"/>
    <s v="COG"/>
    <s v="COG"/>
    <s v="기계장치"/>
    <n v="31082513.100000001"/>
    <n v="2963056.121707675"/>
    <n v="987685.37390255835"/>
    <m/>
    <m/>
    <n v="2963056.121707675"/>
    <n v="2963056.121707675"/>
    <n v="5926112.2434153501"/>
    <n v="2963056.121707675"/>
    <n v="2963056.121707675"/>
    <n v="2963056.121707675"/>
    <n v="2963056.121707675"/>
    <n v="11852224.4868307"/>
    <n v="2963056.121707675"/>
    <n v="2963056.121707675"/>
    <n v="2963056.121707675"/>
    <n v="2963056.121707675"/>
    <n v="11852224.4868307"/>
    <n v="2963056.121707675"/>
    <n v="2963056.121707675"/>
    <n v="2963056.121707675"/>
    <n v="2963056.121707675"/>
    <n v="11852224.4868307"/>
    <n v="2963056.121707675"/>
    <n v="2963056.121707675"/>
    <n v="2963056.121707675"/>
    <n v="2963056.121707675"/>
    <n v="11852224.4868307"/>
    <m/>
    <n v="3.0350134664116949E-3"/>
    <n v="63735282.794645593"/>
    <n v="94817795.894645602"/>
  </r>
  <r>
    <n v="233"/>
    <x v="0"/>
    <m/>
    <s v="오지민"/>
    <s v="평택"/>
    <s v="Wafer"/>
    <s v="O"/>
    <s v="8&quot;"/>
    <s v="DDI"/>
    <x v="3"/>
    <s v="COG"/>
    <x v="20"/>
    <n v="2100890"/>
    <s v="MC"/>
    <s v="BACK GRIND #2"/>
    <s v="PG3000RM"/>
    <x v="38"/>
    <m/>
    <s v="P05002BF"/>
    <x v="150"/>
    <s v="가동"/>
    <s v="일본"/>
    <s v="TOKYO SEIMITSU"/>
    <x v="0"/>
    <s v="3차"/>
    <s v="3차"/>
    <s v="해당"/>
    <s v="웨이퍼 그라인더"/>
    <m/>
    <m/>
    <m/>
    <s v="3B001"/>
    <s v="8486.40-0000"/>
    <s v="핵심장비 아님"/>
    <m/>
    <d v="2011-02-26T00:00:00"/>
    <d v="2011-03-31T00:00:00"/>
    <n v="14.597260273972603"/>
    <n v="12"/>
    <s v="2공장"/>
    <s v="자사"/>
    <s v="산업은행"/>
    <n v="36.1"/>
    <n v="3987"/>
    <n v="3454"/>
    <n v="2100"/>
    <n v="1922784380"/>
    <m/>
    <m/>
    <n v="1922784380"/>
    <m/>
    <m/>
    <n v="1000"/>
    <n v="1000"/>
    <n v="144"/>
    <n v="177"/>
    <n v="0"/>
    <m/>
    <s v="공통)B/G"/>
    <s v="COG"/>
    <s v="COG"/>
    <s v="기계장치"/>
    <n v="38455687.600000001"/>
    <n v="3665931.3933549961"/>
    <n v="1221977.131118332"/>
    <m/>
    <m/>
    <m/>
    <m/>
    <m/>
    <m/>
    <m/>
    <n v="3665931.3933549961"/>
    <n v="3665931.3933549961"/>
    <n v="7331862.7867099922"/>
    <n v="3665931.3933549961"/>
    <n v="3665931.3933549961"/>
    <n v="3665931.3933549961"/>
    <n v="3665931.3933549961"/>
    <n v="14663725.573419984"/>
    <n v="3665931.3933549961"/>
    <n v="3665931.3933549961"/>
    <n v="3665931.3933549961"/>
    <n v="3665931.3933549961"/>
    <n v="14663725.573419984"/>
    <n v="3665931.3933549961"/>
    <n v="3665931.3933549961"/>
    <n v="3665931.3933549961"/>
    <n v="3665931.3933549961"/>
    <n v="14663725.573419984"/>
    <m/>
    <n v="3.7549579517790416E-3"/>
    <n v="78854116.987359866"/>
    <n v="117309804.58735988"/>
  </r>
  <r>
    <n v="234"/>
    <x v="0"/>
    <m/>
    <s v="오지민"/>
    <s v="평택"/>
    <s v="Wafer"/>
    <s v="O"/>
    <s v="8&quot;"/>
    <s v="DDI"/>
    <x v="3"/>
    <s v="COG"/>
    <x v="21"/>
    <n v="2100894"/>
    <s v="MC"/>
    <s v="LASER MARKING M/C"/>
    <m/>
    <x v="39"/>
    <m/>
    <s v="DW7006"/>
    <x v="151"/>
    <s v="가동"/>
    <m/>
    <s v="(주)이오테크닉스"/>
    <x v="0"/>
    <s v="3차"/>
    <s v="3차"/>
    <s v="일반장비(비통제)"/>
    <s v="레이저 마킹"/>
    <s v="레이저 마킹"/>
    <m/>
    <m/>
    <s v="EAR99"/>
    <s v="8456.10-0000"/>
    <m/>
    <m/>
    <m/>
    <d v="2007-06-30T00:00:00"/>
    <n v="18.350684931506848"/>
    <n v="12"/>
    <s v="1공장"/>
    <s v="자사"/>
    <s v="산업은행"/>
    <m/>
    <m/>
    <m/>
    <m/>
    <n v="401940000"/>
    <m/>
    <m/>
    <n v="401940000"/>
    <m/>
    <m/>
    <n v="1000"/>
    <n v="1000"/>
    <n v="144"/>
    <n v="222"/>
    <n v="0"/>
    <m/>
    <m/>
    <s v="COG"/>
    <s v="COG"/>
    <s v="기계장치"/>
    <n v="8038800"/>
    <n v="766328.49713762873"/>
    <n v="255442.83237920958"/>
    <m/>
    <m/>
    <m/>
    <m/>
    <m/>
    <m/>
    <m/>
    <n v="766328.49713762873"/>
    <n v="766328.49713762873"/>
    <n v="1532656.9942752575"/>
    <n v="766328.49713762873"/>
    <n v="766328.49713762873"/>
    <n v="766328.49713762873"/>
    <n v="766328.49713762873"/>
    <n v="3065313.9885505149"/>
    <n v="766328.49713762873"/>
    <n v="766328.49713762873"/>
    <n v="766328.49713762873"/>
    <n v="766328.49713762873"/>
    <n v="3065313.9885505149"/>
    <n v="766328.49713762873"/>
    <n v="766328.49713762873"/>
    <n v="766328.49713762873"/>
    <n v="766328.49713762873"/>
    <n v="3065313.9885505149"/>
    <m/>
    <n v="7.8493866230495795E-4"/>
    <n v="16483711.908404117"/>
    <n v="24522511.908404119"/>
  </r>
  <r>
    <n v="235"/>
    <x v="0"/>
    <m/>
    <s v="오지민"/>
    <s v="평택"/>
    <s v="Wafer"/>
    <s v="O"/>
    <s v="8&quot;"/>
    <s v="DDI"/>
    <x v="3"/>
    <s v="COG"/>
    <x v="21"/>
    <n v="2100902"/>
    <s v="MC"/>
    <s v="L/M Laser set (L/M 2호기)"/>
    <s v="CSM2000"/>
    <x v="39"/>
    <m/>
    <s v="DW7006"/>
    <x v="151"/>
    <s v="가동"/>
    <m/>
    <s v="(주)이오테크닉스"/>
    <x v="0"/>
    <s v="3차"/>
    <s v="3차"/>
    <s v="일반장비(비통제)"/>
    <s v="레이저 마킹"/>
    <s v="레이저 마킹"/>
    <m/>
    <m/>
    <s v="EAR99"/>
    <s v="8456.10-0000"/>
    <m/>
    <m/>
    <d v="2009-06-17T00:00:00"/>
    <d v="2017-04-10T00:00:00"/>
    <n v="8.5643835616438349"/>
    <n v="12"/>
    <s v="1공장"/>
    <s v="자사"/>
    <s v="미설정"/>
    <n v="6"/>
    <n v="1570"/>
    <n v="2170"/>
    <n v="2170"/>
    <n v="142000000"/>
    <m/>
    <m/>
    <n v="142000000"/>
    <m/>
    <m/>
    <n v="39390288"/>
    <n v="17071540"/>
    <n v="144"/>
    <n v="104"/>
    <n v="39"/>
    <m/>
    <m/>
    <s v="COG"/>
    <s v="COG"/>
    <s v="기계장치"/>
    <n v="41359802.399999999"/>
    <n v="3942776.9337589294"/>
    <n v="1314258.977919643"/>
    <m/>
    <m/>
    <m/>
    <m/>
    <m/>
    <m/>
    <m/>
    <n v="3942776.9337589294"/>
    <n v="3942776.9337589294"/>
    <n v="7885553.8675178587"/>
    <n v="3942776.9337589294"/>
    <n v="3942776.9337589294"/>
    <n v="3942776.9337589294"/>
    <n v="3942776.9337589294"/>
    <n v="15771107.735035717"/>
    <n v="3942776.9337589294"/>
    <n v="3942776.9337589294"/>
    <n v="3942776.9337589294"/>
    <n v="3942776.9337589294"/>
    <n v="15771107.735035717"/>
    <n v="3942776.9337589294"/>
    <n v="3942776.9337589294"/>
    <n v="3942776.9337589294"/>
    <n v="3942776.9337589294"/>
    <n v="15771107.735035717"/>
    <m/>
    <n v="4.0385266419183689E-3"/>
    <n v="84809059.480285749"/>
    <n v="126168861.88028574"/>
  </r>
  <r>
    <n v="236"/>
    <x v="0"/>
    <m/>
    <s v="오지민"/>
    <s v="평택"/>
    <s v="Wafer"/>
    <s v="O"/>
    <s v="8&quot;"/>
    <s v="DDI"/>
    <x v="2"/>
    <s v="Au bump"/>
    <x v="22"/>
    <n v="2100946"/>
    <s v="MC"/>
    <s v="Au Plating M/C [#12]"/>
    <s v="UIS-0814CUP-LB"/>
    <x v="40"/>
    <m/>
    <s v="U1134"/>
    <x v="152"/>
    <s v="가동"/>
    <s v="일본"/>
    <m/>
    <x v="2"/>
    <s v="3차"/>
    <s v="3차"/>
    <s v="해당"/>
    <s v="bump 형성 장비"/>
    <s v="bump 형성 장비"/>
    <s v="범용"/>
    <m/>
    <s v="3B001"/>
    <s v="8486.20-0000"/>
    <s v="증착 도금 장비로 웨이퍼 전용이라는 점으로 해당 되지만 8&quot; 용으로 범용 장비로 분류 됨"/>
    <m/>
    <d v="2019-06-27T00:00:00"/>
    <d v="2019-07-23T00:00:00"/>
    <n v="6.279452054794521"/>
    <n v="5"/>
    <s v="1공장"/>
    <s v="자사"/>
    <s v="산업은행"/>
    <n v="21.6"/>
    <n v="1500"/>
    <n v="3900"/>
    <n v="2328"/>
    <n v="499153980"/>
    <m/>
    <m/>
    <n v="499153980"/>
    <m/>
    <m/>
    <n v="1000"/>
    <n v="1000"/>
    <n v="60"/>
    <n v="77"/>
    <n v="0"/>
    <m/>
    <s v="PLATING2-AUP8&quot;"/>
    <s v="Bump"/>
    <s v="Bump"/>
    <s v="기계장치"/>
    <n v="9983079.5999999996"/>
    <n v="311971.23749999999"/>
    <n v="103990.41249999999"/>
    <m/>
    <m/>
    <m/>
    <m/>
    <m/>
    <m/>
    <m/>
    <n v="311971.23749999999"/>
    <n v="311971.23749999999"/>
    <n v="623942.47499999998"/>
    <n v="311971.23749999999"/>
    <n v="311971.23749999999"/>
    <n v="311971.23749999999"/>
    <n v="311971.23749999999"/>
    <n v="1247884.95"/>
    <n v="311971.23749999999"/>
    <n v="311971.23749999999"/>
    <n v="311971.23749999999"/>
    <n v="311971.23749999999"/>
    <n v="1247884.95"/>
    <n v="311971.23749999999"/>
    <n v="311971.23749999999"/>
    <n v="311971.23749999999"/>
    <n v="311971.23749999999"/>
    <n v="1247884.95"/>
    <m/>
    <m/>
    <m/>
    <n v="9983079.5999999996"/>
  </r>
  <r>
    <n v="237"/>
    <x v="0"/>
    <m/>
    <s v="오지민"/>
    <s v="평택"/>
    <s v="Wafer"/>
    <s v="O"/>
    <s v="8&quot;"/>
    <s v="DDI"/>
    <x v="2"/>
    <s v="Au bump"/>
    <x v="23"/>
    <n v="2100970"/>
    <s v="MC"/>
    <s v="Cure Oven[ANN#04]"/>
    <s v="FTC-HTI-450"/>
    <x v="17"/>
    <m/>
    <s v="48001"/>
    <x v="153"/>
    <s v="가동"/>
    <s v="한국"/>
    <s v="화인테크노"/>
    <x v="1"/>
    <s v="1차"/>
    <s v="1차"/>
    <s v="일반장비(비통제)"/>
    <s v="cure oven"/>
    <s v="cure oven"/>
    <m/>
    <m/>
    <s v="EAR99"/>
    <s v="8486.40-0000"/>
    <m/>
    <m/>
    <d v="2020-02-17T00:00:00"/>
    <d v="2020-03-25T00:00:00"/>
    <n v="5.6054794520547944"/>
    <n v="12"/>
    <s v="1공장"/>
    <s v="자사"/>
    <s v="미설정"/>
    <n v="40"/>
    <n v="1520"/>
    <n v="1680"/>
    <n v="1856"/>
    <n v="80600000"/>
    <m/>
    <m/>
    <n v="80600000"/>
    <m/>
    <m/>
    <n v="42538888"/>
    <n v="26273639"/>
    <n v="144"/>
    <n v="69"/>
    <n v="74"/>
    <m/>
    <m/>
    <s v="Bump"/>
    <s v="Bump"/>
    <s v="기계장치"/>
    <n v="44665832.399999999"/>
    <n v="4257936.5348675419"/>
    <n v="1419312.1782891806"/>
    <m/>
    <m/>
    <n v="4257936.5348675419"/>
    <n v="4257936.5348675419"/>
    <n v="8515873.0697350837"/>
    <n v="4257936.5348675419"/>
    <n v="4257936.5348675419"/>
    <n v="4257936.5348675419"/>
    <n v="4257936.5348675419"/>
    <n v="17031746.139470167"/>
    <n v="4257936.5348675419"/>
    <n v="4257936.5348675419"/>
    <n v="4257936.5348675419"/>
    <n v="4257936.5348675419"/>
    <n v="17031746.139470167"/>
    <n v="4257936.5348675419"/>
    <n v="4257936.5348675419"/>
    <n v="4257936.5348675419"/>
    <n v="4257936.5348675419"/>
    <n v="17031746.139470167"/>
    <n v="4257936.5348675419"/>
    <n v="4257936.5348675419"/>
    <n v="4257936.5348675419"/>
    <n v="4257936.5348675419"/>
    <n v="17031746.139470167"/>
    <m/>
    <n v="4.3613398436076834E-3"/>
    <n v="91588136.715761349"/>
    <n v="136253969.11576134"/>
  </r>
  <r>
    <n v="238"/>
    <x v="0"/>
    <m/>
    <s v="오지민"/>
    <s v="평택"/>
    <s v="Wafer"/>
    <s v="O"/>
    <s v="8&quot;&amp;12&quot;"/>
    <s v="DDI"/>
    <x v="3"/>
    <s v="COG"/>
    <x v="18"/>
    <n v="2101009"/>
    <s v="MC"/>
    <s v="P&amp;P장비(APP-L10)_#24"/>
    <s v="APP-L10"/>
    <x v="36"/>
    <m/>
    <s v="M-20-0108"/>
    <x v="154"/>
    <s v="가동"/>
    <s v="한국"/>
    <s v="에이피텍"/>
    <x v="0"/>
    <s v="3차"/>
    <s v="3차"/>
    <s v="일반장비(비통제)"/>
    <s v="Chip Pnp+검사"/>
    <s v="Chip Pnp+검사"/>
    <m/>
    <m/>
    <s v="EAR99"/>
    <s v="9031.80-0000"/>
    <m/>
    <m/>
    <d v="2020-06-02T00:00:00"/>
    <d v="2020-08-07T00:00:00"/>
    <n v="5.2356164383561641"/>
    <n v="12"/>
    <s v="2공장"/>
    <s v="자사"/>
    <s v="미설정"/>
    <n v="5.7"/>
    <n v="1700"/>
    <n v="1140"/>
    <n v="1610"/>
    <n v="175000000"/>
    <m/>
    <m/>
    <n v="175000000"/>
    <m/>
    <m/>
    <n v="98437501"/>
    <n v="45588374"/>
    <n v="144"/>
    <m/>
    <n v="79"/>
    <m/>
    <m/>
    <s v="COG"/>
    <s v="COG"/>
    <s v="기계장치"/>
    <n v="103359376.05"/>
    <n v="9853116.7977160159"/>
    <n v="3284372.2659053388"/>
    <m/>
    <m/>
    <m/>
    <m/>
    <m/>
    <m/>
    <m/>
    <n v="9853116.7977160159"/>
    <n v="9853116.7977160159"/>
    <n v="19706233.595432032"/>
    <n v="9853116.7977160159"/>
    <n v="9853116.7977160159"/>
    <n v="9853116.7977160159"/>
    <n v="9853116.7977160159"/>
    <n v="39412467.190864064"/>
    <n v="9853116.7977160159"/>
    <n v="9853116.7977160159"/>
    <n v="9853116.7977160159"/>
    <n v="9853116.7977160159"/>
    <n v="39412467.190864064"/>
    <n v="9853116.7977160159"/>
    <n v="9853116.7977160159"/>
    <n v="9853116.7977160159"/>
    <n v="9853116.7977160159"/>
    <n v="39412467.190864064"/>
    <m/>
    <n v="1.0092398165567262E-2"/>
    <n v="211940361.4769125"/>
    <n v="315299737.52691251"/>
  </r>
  <r>
    <n v="239"/>
    <x v="0"/>
    <m/>
    <s v="오지민"/>
    <s v="평택"/>
    <s v="Wafer"/>
    <s v="O"/>
    <s v="8&quot;&amp;12&quot;"/>
    <s v="DDI"/>
    <x v="3"/>
    <s v="COG"/>
    <x v="18"/>
    <n v="2101010"/>
    <s v="MC"/>
    <s v="P&amp;P장비(APP-L10)_#25"/>
    <s v="APP-L10"/>
    <x v="36"/>
    <m/>
    <s v="M-20-0109"/>
    <x v="155"/>
    <s v="가동"/>
    <s v="한국"/>
    <s v="에이피텍"/>
    <x v="0"/>
    <s v="3차"/>
    <s v="3차"/>
    <s v="일반장비(비통제)"/>
    <s v="Chip Pnp+검사"/>
    <s v="Chip Pnp+검사"/>
    <m/>
    <m/>
    <s v="EAR99"/>
    <s v="9031.80-0000"/>
    <m/>
    <m/>
    <d v="2020-06-02T00:00:00"/>
    <d v="2020-08-07T00:00:00"/>
    <n v="5.2356164383561641"/>
    <n v="12"/>
    <s v="2공장"/>
    <s v="자사"/>
    <s v="미설정"/>
    <n v="5.7"/>
    <n v="1700"/>
    <n v="1140"/>
    <n v="1610"/>
    <n v="175000000"/>
    <m/>
    <m/>
    <n v="175000000"/>
    <m/>
    <m/>
    <n v="98437501"/>
    <n v="45588374"/>
    <n v="144"/>
    <m/>
    <n v="79"/>
    <m/>
    <m/>
    <s v="COG"/>
    <s v="COG"/>
    <s v="기계장치"/>
    <n v="103359376.05"/>
    <n v="9853116.7977160159"/>
    <n v="3284372.2659053388"/>
    <m/>
    <m/>
    <m/>
    <m/>
    <m/>
    <m/>
    <m/>
    <n v="9853116.7977160159"/>
    <n v="9853116.7977160159"/>
    <n v="19706233.595432032"/>
    <n v="9853116.7977160159"/>
    <n v="9853116.7977160159"/>
    <n v="9853116.7977160159"/>
    <n v="9853116.7977160159"/>
    <n v="39412467.190864064"/>
    <n v="9853116.7977160159"/>
    <n v="9853116.7977160159"/>
    <n v="9853116.7977160159"/>
    <n v="9853116.7977160159"/>
    <n v="39412467.190864064"/>
    <n v="9853116.7977160159"/>
    <n v="9853116.7977160159"/>
    <n v="9853116.7977160159"/>
    <n v="9853116.7977160159"/>
    <n v="39412467.190864064"/>
    <m/>
    <n v="1.0092398165567262E-2"/>
    <n v="211940361.4769125"/>
    <n v="315299737.52691251"/>
  </r>
  <r>
    <n v="240"/>
    <x v="0"/>
    <m/>
    <s v="오지민"/>
    <s v="평택"/>
    <s v="Wafer"/>
    <s v="O"/>
    <s v="8&quot;"/>
    <s v="DDI"/>
    <x v="2"/>
    <s v="Au bump"/>
    <x v="12"/>
    <n v="2101011"/>
    <s v="MC"/>
    <s v="SRD#15(Sd-2005S)"/>
    <s v="SD-2205S2"/>
    <x v="41"/>
    <m/>
    <s v="S24-0061"/>
    <x v="156"/>
    <s v="가동"/>
    <s v="한국"/>
    <s v="세미트로닉스"/>
    <x v="2"/>
    <s v="3차"/>
    <s v="3차"/>
    <s v="일반장비(비통제)"/>
    <s v="웨이퍼 세정/건조 장비"/>
    <s v="웨이퍼 세정/건조 장비"/>
    <m/>
    <m/>
    <s v="EAR99"/>
    <s v="8486.20-0000"/>
    <s v="반도체용 웨이퍼 전용"/>
    <m/>
    <d v="2021-05-01T00:00:00"/>
    <d v="2020-08-31T00:00:00"/>
    <n v="5.1698630136986301"/>
    <n v="12"/>
    <s v="1공장"/>
    <s v="자사"/>
    <s v="미설정"/>
    <n v="3.1"/>
    <n v="500"/>
    <n v="770"/>
    <n v="1790"/>
    <n v="36000000"/>
    <m/>
    <m/>
    <n v="36000000"/>
    <m/>
    <m/>
    <n v="20250000"/>
    <n v="2971222"/>
    <n v="144"/>
    <n v="64"/>
    <n v="79"/>
    <m/>
    <s v="PLATING2-AUP8&quot;"/>
    <s v="Bump"/>
    <s v="Bump"/>
    <s v="기계장치"/>
    <n v="21262500"/>
    <n v="664453.125"/>
    <n v="221484.375"/>
    <m/>
    <m/>
    <m/>
    <m/>
    <m/>
    <m/>
    <m/>
    <n v="664453.125"/>
    <n v="664453.125"/>
    <n v="1328906.25"/>
    <n v="664453.125"/>
    <n v="664453.125"/>
    <n v="664453.125"/>
    <n v="664453.125"/>
    <n v="2657812.5"/>
    <n v="664453.125"/>
    <n v="664453.125"/>
    <n v="664453.125"/>
    <n v="664453.125"/>
    <n v="2657812.5"/>
    <n v="664453.125"/>
    <n v="664453.125"/>
    <n v="664453.125"/>
    <n v="664453.125"/>
    <n v="2657812.5"/>
    <m/>
    <m/>
    <m/>
    <n v="21262500"/>
  </r>
  <r>
    <n v="241"/>
    <x v="0"/>
    <m/>
    <s v="오지민"/>
    <s v="평택"/>
    <s v="Wafer"/>
    <s v="O"/>
    <s v="8&quot;&amp;12&quot;"/>
    <s v="DDI"/>
    <x v="3"/>
    <s v="COG"/>
    <x v="18"/>
    <n v="2101020"/>
    <s v="MC"/>
    <s v="P&amp;P장비(APP-L10)_#26"/>
    <s v="APP-L10"/>
    <x v="36"/>
    <m/>
    <s v="M-20-0178"/>
    <x v="157"/>
    <s v="가동"/>
    <s v="한국"/>
    <s v="에이피텍"/>
    <x v="0"/>
    <s v="3차"/>
    <s v="3차"/>
    <s v="일반장비(비통제)"/>
    <s v="Chip Pnp+검사"/>
    <s v="Chip Pnp+검사"/>
    <m/>
    <m/>
    <s v="EAR99"/>
    <s v="9031.80-0000"/>
    <m/>
    <m/>
    <d v="2020-09-24T00:00:00"/>
    <d v="2020-10-23T00:00:00"/>
    <n v="5.0246575342465754"/>
    <n v="12"/>
    <s v="2공장"/>
    <s v="자사"/>
    <s v="산업은행"/>
    <n v="5.7"/>
    <n v="1700"/>
    <n v="1140"/>
    <n v="1610"/>
    <n v="178603000"/>
    <m/>
    <m/>
    <n v="178603000"/>
    <m/>
    <m/>
    <n v="102944786"/>
    <n v="47751367"/>
    <n v="144"/>
    <m/>
    <n v="81"/>
    <m/>
    <m/>
    <s v="COG"/>
    <s v="COG"/>
    <s v="기계장치"/>
    <n v="108092025.30000001"/>
    <n v="10304274.182802351"/>
    <n v="3434758.0609341171"/>
    <m/>
    <m/>
    <m/>
    <m/>
    <m/>
    <m/>
    <m/>
    <n v="10304274.182802351"/>
    <n v="10304274.182802351"/>
    <n v="20608548.365604702"/>
    <n v="10304274.182802351"/>
    <n v="10304274.182802351"/>
    <n v="10304274.182802351"/>
    <n v="10304274.182802351"/>
    <n v="41217096.731209405"/>
    <n v="10304274.182802351"/>
    <n v="10304274.182802351"/>
    <n v="10304274.182802351"/>
    <n v="10304274.182802351"/>
    <n v="41217096.731209405"/>
    <n v="10304274.182802351"/>
    <n v="10304274.182802351"/>
    <n v="10304274.182802351"/>
    <n v="10304274.182802351"/>
    <n v="41217096.731209405"/>
    <m/>
    <n v="1.055451183569882E-2"/>
    <n v="221644748.54967523"/>
    <n v="329736773.84967524"/>
  </r>
  <r>
    <n v="242"/>
    <x v="0"/>
    <m/>
    <s v="오지민"/>
    <s v="평택"/>
    <s v="Wafer"/>
    <s v="O"/>
    <s v="8&quot;"/>
    <s v="DDI"/>
    <x v="2"/>
    <s v="Au bump"/>
    <x v="12"/>
    <n v="2101062"/>
    <s v="MC"/>
    <s v="Spin Rinse Dry #16(SD-2005S2)"/>
    <s v="SD-2205S2"/>
    <x v="41"/>
    <m/>
    <s v="S20-004A"/>
    <x v="158"/>
    <s v="가동"/>
    <s v="한국"/>
    <s v="세미트로닉스"/>
    <x v="2"/>
    <s v="3차"/>
    <s v="3차"/>
    <s v="일반장비(비통제)"/>
    <s v="웨이퍼 세정/건조 장비"/>
    <s v="웨이퍼 세정/건조 장비"/>
    <m/>
    <m/>
    <s v="EAR99"/>
    <s v="8486.20-0000"/>
    <s v="반도체용 웨이퍼 전용"/>
    <m/>
    <d v="2021-05-01T00:00:00"/>
    <d v="2020-12-31T00:00:00"/>
    <n v="4.8356164383561646"/>
    <n v="12"/>
    <s v="1공장"/>
    <s v="자사"/>
    <s v="미설정"/>
    <n v="3.1"/>
    <n v="500"/>
    <n v="770"/>
    <n v="1790"/>
    <n v="38750000"/>
    <m/>
    <m/>
    <n v="38750000"/>
    <m/>
    <m/>
    <n v="22873263"/>
    <n v="3366517"/>
    <n v="144"/>
    <n v="60"/>
    <n v="83"/>
    <m/>
    <s v="PLATING2-AUP8&quot;"/>
    <s v="Bump"/>
    <s v="Bump"/>
    <s v="기계장치"/>
    <n v="24016926.150000002"/>
    <n v="750528.94218750007"/>
    <n v="250176.31406250002"/>
    <m/>
    <m/>
    <m/>
    <m/>
    <m/>
    <m/>
    <m/>
    <n v="750528.94218750007"/>
    <n v="750528.94218750007"/>
    <n v="1501057.8843750001"/>
    <n v="750528.94218750007"/>
    <n v="750528.94218750007"/>
    <n v="750528.94218750007"/>
    <n v="750528.94218750007"/>
    <n v="3002115.7687500003"/>
    <n v="750528.94218750007"/>
    <n v="750528.94218750007"/>
    <n v="750528.94218750007"/>
    <n v="750528.94218750007"/>
    <n v="3002115.7687500003"/>
    <n v="750528.94218750007"/>
    <n v="750528.94218750007"/>
    <n v="750528.94218750007"/>
    <n v="750528.94218750007"/>
    <n v="3002115.7687500003"/>
    <m/>
    <m/>
    <m/>
    <n v="24016926.150000002"/>
  </r>
  <r>
    <n v="243"/>
    <x v="0"/>
    <m/>
    <s v="오지민"/>
    <s v="평택"/>
    <s v="Wafer"/>
    <s v="O"/>
    <s v="8&quot;"/>
    <s v="DDI"/>
    <x v="3"/>
    <s v="COG"/>
    <x v="17"/>
    <n v="2101157"/>
    <s v="MC"/>
    <s v="Full Auto Plasma"/>
    <s v="JSPCS-700FA"/>
    <x v="42"/>
    <m/>
    <s v="Y2021-41-LBSemicon-01"/>
    <x v="159"/>
    <s v="가동"/>
    <s v="한국"/>
    <s v="(주)제4기한국"/>
    <x v="0"/>
    <s v="3차"/>
    <s v="3차"/>
    <s v="해당"/>
    <s v="플라즈마 Saw"/>
    <m/>
    <m/>
    <m/>
    <s v="3B001"/>
    <s v="8486.20-0000"/>
    <m/>
    <m/>
    <d v="2021-06-03T00:00:00"/>
    <d v="2021-05-31T00:00:00"/>
    <n v="4.4219178082191783"/>
    <n v="12"/>
    <s v="2공장"/>
    <s v="자사"/>
    <s v="CITI/DBS"/>
    <n v="3.2"/>
    <n v="1180"/>
    <n v="1170"/>
    <n v="2160"/>
    <n v="317500000"/>
    <m/>
    <m/>
    <n v="317500000"/>
    <m/>
    <m/>
    <n v="198437501"/>
    <n v="92504979"/>
    <n v="144"/>
    <m/>
    <n v="88"/>
    <m/>
    <m/>
    <s v="COG"/>
    <s v="COG"/>
    <s v="기계장치"/>
    <n v="208359376.05000001"/>
    <n v="19862632.17307689"/>
    <n v="6620877.3910256298"/>
    <m/>
    <m/>
    <m/>
    <m/>
    <m/>
    <m/>
    <m/>
    <n v="19862632.17307689"/>
    <n v="19862632.17307689"/>
    <n v="39725264.346153781"/>
    <n v="19862632.17307689"/>
    <n v="19862632.17307689"/>
    <n v="19862632.17307689"/>
    <n v="19862632.17307689"/>
    <n v="79450528.692307562"/>
    <n v="19862632.17307689"/>
    <n v="19862632.17307689"/>
    <n v="19862632.17307689"/>
    <n v="19862632.17307689"/>
    <n v="79450528.692307562"/>
    <n v="19862632.17307689"/>
    <n v="19862632.17307689"/>
    <n v="19862632.17307689"/>
    <n v="19862632.17307689"/>
    <n v="79450528.692307562"/>
    <m/>
    <n v="2.0344993023260025E-2"/>
    <n v="427244853.48846054"/>
    <n v="635604229.53846049"/>
  </r>
  <r>
    <n v="244"/>
    <x v="0"/>
    <m/>
    <s v="오지민"/>
    <s v="평택"/>
    <s v="Wafer"/>
    <s v="O"/>
    <s v="8&quot;"/>
    <s v="DDI"/>
    <x v="2"/>
    <s v="Au bump"/>
    <x v="14"/>
    <n v="2100726"/>
    <s v="MC"/>
    <s v="DEVELOPER MARK-7 (이설)"/>
    <s v="Mark-7"/>
    <x v="43"/>
    <m/>
    <s v="7161021"/>
    <x v="160"/>
    <s v="가동"/>
    <s v="일본"/>
    <s v="엘케이테크놀러지"/>
    <x v="2"/>
    <s v="3차"/>
    <s v="3차"/>
    <s v="해당"/>
    <s v="PR현상, 리소그래피 관련 장비"/>
    <s v="PR현상, 리소그래피 관련 장비"/>
    <m/>
    <m/>
    <s v="3B001"/>
    <s v="8486.20-0000"/>
    <s v="반도체용 웨이퍼 전용, 리소 관련"/>
    <m/>
    <d v="2008-04-04T00:00:00"/>
    <d v="2008-05-31T00:00:00"/>
    <n v="-108.49041095890411"/>
    <n v="12"/>
    <s v="1공장"/>
    <s v="자사"/>
    <s v="산업은행"/>
    <n v="28.8"/>
    <n v="2560"/>
    <n v="4155"/>
    <n v="1850"/>
    <n v="269510000"/>
    <m/>
    <m/>
    <n v="201460000"/>
    <m/>
    <m/>
    <n v="1000"/>
    <n v="35062778"/>
    <n v="144"/>
    <n v="211"/>
    <n v="0"/>
    <m/>
    <m/>
    <s v="Bump"/>
    <s v="Bump"/>
    <s v="기계장치"/>
    <n v="5390200"/>
    <n v="168443.75"/>
    <n v="56147.916666666664"/>
    <m/>
    <m/>
    <m/>
    <m/>
    <m/>
    <m/>
    <m/>
    <n v="168443.75"/>
    <n v="168443.75"/>
    <n v="336887.5"/>
    <n v="168443.75"/>
    <n v="168443.75"/>
    <n v="168443.75"/>
    <n v="168443.75"/>
    <n v="673775"/>
    <n v="168443.75"/>
    <n v="168443.75"/>
    <n v="168443.75"/>
    <n v="168443.75"/>
    <n v="673775"/>
    <n v="168443.75"/>
    <n v="168443.75"/>
    <n v="168443.75"/>
    <n v="168443.75"/>
    <n v="673775"/>
    <m/>
    <m/>
    <m/>
    <n v="5390200"/>
  </r>
  <r>
    <n v="245"/>
    <x v="1"/>
    <m/>
    <s v="오지민"/>
    <s v="평택"/>
    <s v="Wafer"/>
    <s v="O"/>
    <s v="8&quot;"/>
    <s v="DDI"/>
    <x v="2"/>
    <s v="Au bump"/>
    <x v="24"/>
    <s v="new1"/>
    <s v="MC"/>
    <s v="PR Coating (신규투자)"/>
    <s v="Mark-7"/>
    <x v="43"/>
    <m/>
    <m/>
    <x v="0"/>
    <m/>
    <s v="일본"/>
    <m/>
    <x v="1"/>
    <s v="1차"/>
    <s v="1차"/>
    <s v="해당"/>
    <s v="PR코팅, 리소그래피 관련 장비"/>
    <s v="PR코팅, 리소그래피 관련 장비"/>
    <m/>
    <m/>
    <s v="3B001"/>
    <s v="8486.20-0000"/>
    <s v="반도체용 웨이퍼 전용"/>
    <m/>
    <m/>
    <m/>
    <m/>
    <m/>
    <m/>
    <m/>
    <m/>
    <m/>
    <m/>
    <m/>
    <m/>
    <n v="1000000000"/>
    <m/>
    <m/>
    <m/>
    <m/>
    <m/>
    <n v="1000000000"/>
    <m/>
    <m/>
    <m/>
    <m/>
    <m/>
    <m/>
    <s v="Bump"/>
    <s v="Bump"/>
    <s v="기계장치"/>
    <n v="1000000000"/>
    <n v="31250000"/>
    <n v="10416666.666666666"/>
    <m/>
    <m/>
    <n v="31250000"/>
    <n v="31250000"/>
    <n v="62500000"/>
    <n v="31250000"/>
    <n v="31250000"/>
    <n v="31250000"/>
    <n v="31250000"/>
    <n v="125000000"/>
    <n v="31250000"/>
    <n v="31250000"/>
    <n v="31250000"/>
    <n v="31250000"/>
    <n v="125000000"/>
    <n v="31250000"/>
    <n v="31250000"/>
    <n v="31250000"/>
    <n v="31250000"/>
    <n v="125000000"/>
    <n v="31250000"/>
    <n v="31250000"/>
    <n v="31250000"/>
    <n v="31250000"/>
    <n v="125000000"/>
    <m/>
    <n v="0"/>
    <m/>
    <n v="1000000000"/>
  </r>
  <r>
    <n v="246"/>
    <x v="1"/>
    <m/>
    <s v="오지민"/>
    <m/>
    <s v="Wafer"/>
    <s v="O"/>
    <s v="8&quot;"/>
    <s v="DDI"/>
    <x v="2"/>
    <s v="Au bump"/>
    <x v="9"/>
    <m/>
    <s v="MC"/>
    <s v="Stepper (신규투자) - 또는 이설, 의사결정 필요"/>
    <s v="TBD"/>
    <x v="44"/>
    <m/>
    <m/>
    <x v="0"/>
    <m/>
    <s v="일본"/>
    <s v="ORC"/>
    <x v="1"/>
    <m/>
    <m/>
    <s v="해당"/>
    <s v="웨이퍼에 미세 패턴 형성"/>
    <s v="웨이퍼에 미세 패턴 형성"/>
    <m/>
    <m/>
    <s v="3B001"/>
    <s v="8486.20-0000"/>
    <s v="반도체용 웨이퍼 전용"/>
    <m/>
    <d v="2006-03-20T00:00:00"/>
    <d v="2006-05-31T00:00:00"/>
    <n v="19.432876712328767"/>
    <n v="12"/>
    <s v="1공장"/>
    <s v="자사"/>
    <s v="산업은행"/>
    <n v="43.2"/>
    <n v="3042"/>
    <n v="1956"/>
    <n v="2489"/>
    <n v="3000000000"/>
    <m/>
    <m/>
    <m/>
    <m/>
    <m/>
    <n v="3000000000"/>
    <m/>
    <m/>
    <m/>
    <m/>
    <m/>
    <m/>
    <s v="Bump"/>
    <s v="Bump"/>
    <s v="기계장치"/>
    <n v="3000000000"/>
    <n v="93750000"/>
    <n v="31250000"/>
    <m/>
    <m/>
    <m/>
    <m/>
    <m/>
    <m/>
    <m/>
    <n v="93750000"/>
    <n v="93750000"/>
    <n v="187500000"/>
    <n v="93750000"/>
    <n v="93750000"/>
    <n v="93750000"/>
    <n v="93750000"/>
    <n v="375000000"/>
    <n v="93750000"/>
    <n v="93750000"/>
    <n v="93750000"/>
    <n v="93750000"/>
    <n v="375000000"/>
    <n v="93750000"/>
    <n v="93750000"/>
    <n v="93750000"/>
    <n v="93750000"/>
    <n v="375000000"/>
    <m/>
    <m/>
    <m/>
    <n v="3000000000"/>
  </r>
  <r>
    <n v="247"/>
    <x v="1"/>
    <m/>
    <s v="오지민"/>
    <s v="평택"/>
    <s v="Wafer"/>
    <s v="O"/>
    <s v="8&quot;"/>
    <s v="DDI"/>
    <x v="2"/>
    <s v="Au bump"/>
    <x v="25"/>
    <s v="new4"/>
    <s v="MC"/>
    <s v="Au Etch, OEM특주"/>
    <s v="특주"/>
    <x v="45"/>
    <m/>
    <m/>
    <x v="0"/>
    <m/>
    <m/>
    <m/>
    <x v="1"/>
    <s v="1차"/>
    <s v="1차"/>
    <s v="해당"/>
    <s v="금속 박막 제거"/>
    <s v="금속 박막 제거"/>
    <m/>
    <m/>
    <s v="3B001"/>
    <s v="8486.20-0000"/>
    <s v="반도체용 웨이퍼 전용"/>
    <m/>
    <m/>
    <m/>
    <m/>
    <m/>
    <m/>
    <m/>
    <m/>
    <m/>
    <m/>
    <m/>
    <m/>
    <n v="600000000"/>
    <m/>
    <m/>
    <m/>
    <m/>
    <m/>
    <n v="600000000"/>
    <m/>
    <m/>
    <m/>
    <m/>
    <m/>
    <m/>
    <s v="Bump"/>
    <s v="Bump"/>
    <s v="기계장치"/>
    <n v="600000000"/>
    <n v="18750000"/>
    <n v="6250000"/>
    <m/>
    <m/>
    <n v="18750000"/>
    <n v="18750000"/>
    <n v="37500000"/>
    <n v="18750000"/>
    <n v="18750000"/>
    <n v="18750000"/>
    <n v="18750000"/>
    <n v="75000000"/>
    <n v="18750000"/>
    <n v="18750000"/>
    <n v="18750000"/>
    <n v="18750000"/>
    <n v="75000000"/>
    <n v="18750000"/>
    <n v="18750000"/>
    <n v="18750000"/>
    <n v="18750000"/>
    <n v="75000000"/>
    <n v="18750000"/>
    <n v="18750000"/>
    <n v="18750000"/>
    <n v="18750000"/>
    <n v="75000000"/>
    <m/>
    <m/>
    <m/>
    <n v="600000000"/>
  </r>
  <r>
    <n v="248"/>
    <x v="1"/>
    <m/>
    <s v="오지민"/>
    <s v="평택"/>
    <s v="Wafer"/>
    <s v="O"/>
    <s v="8&quot;"/>
    <s v="DDI"/>
    <x v="2"/>
    <s v="Au bump"/>
    <x v="11"/>
    <s v="new5"/>
    <s v="검사"/>
    <s v="OLS (신규투자)"/>
    <s v="OLS-5100"/>
    <x v="46"/>
    <m/>
    <m/>
    <x v="0"/>
    <m/>
    <m/>
    <s v="올림푸스"/>
    <x v="1"/>
    <s v="1차"/>
    <s v="1차"/>
    <s v="일반장비(비통제)"/>
    <s v="표면형상, 거칠기, 높이,단차"/>
    <s v="표면형상, 거칠기, 높이,단차"/>
    <m/>
    <m/>
    <s v="EAR99"/>
    <s v="9031.49-0000"/>
    <m/>
    <m/>
    <m/>
    <m/>
    <m/>
    <m/>
    <m/>
    <m/>
    <m/>
    <m/>
    <m/>
    <m/>
    <m/>
    <n v="500000000"/>
    <m/>
    <m/>
    <m/>
    <m/>
    <m/>
    <n v="500000000"/>
    <m/>
    <m/>
    <m/>
    <m/>
    <m/>
    <m/>
    <s v="Bump"/>
    <s v="Bump"/>
    <s v="기계장치"/>
    <n v="500000000"/>
    <n v="15625000"/>
    <n v="5208333.333333333"/>
    <m/>
    <m/>
    <n v="15625000"/>
    <n v="15625000"/>
    <n v="31250000"/>
    <n v="15625000"/>
    <n v="15625000"/>
    <n v="15625000"/>
    <n v="15625000"/>
    <n v="62500000"/>
    <n v="15625000"/>
    <n v="15625000"/>
    <n v="15625000"/>
    <n v="15625000"/>
    <n v="62500000"/>
    <n v="15625000"/>
    <n v="15625000"/>
    <n v="15625000"/>
    <n v="15625000"/>
    <n v="62500000"/>
    <n v="15625000"/>
    <n v="15625000"/>
    <n v="15625000"/>
    <n v="15625000"/>
    <n v="62500000"/>
    <m/>
    <m/>
    <m/>
    <n v="500000000"/>
  </r>
  <r>
    <n v="249"/>
    <x v="1"/>
    <m/>
    <s v="오지민"/>
    <s v="평택"/>
    <s v="Wafer"/>
    <s v="O"/>
    <s v="8&quot;"/>
    <s v="DDI"/>
    <x v="2"/>
    <s v="Au bump"/>
    <x v="11"/>
    <s v="new6"/>
    <s v="검사"/>
    <s v="OLS (신규투자)"/>
    <s v="OLS-5100"/>
    <x v="46"/>
    <m/>
    <m/>
    <x v="0"/>
    <m/>
    <m/>
    <s v="올림푸스"/>
    <x v="2"/>
    <s v="3차"/>
    <s v="3차"/>
    <s v="일반장비(비통제)"/>
    <s v="표면형상, 거칠기, 높이,단차"/>
    <s v="표면형상, 거칠기, 높이,단차"/>
    <m/>
    <m/>
    <s v="EAR99"/>
    <s v="9031.49-0000"/>
    <m/>
    <m/>
    <m/>
    <m/>
    <m/>
    <m/>
    <m/>
    <m/>
    <m/>
    <m/>
    <m/>
    <m/>
    <m/>
    <n v="500000000"/>
    <m/>
    <m/>
    <m/>
    <m/>
    <m/>
    <n v="500000000"/>
    <m/>
    <m/>
    <m/>
    <m/>
    <m/>
    <m/>
    <s v="Bump"/>
    <s v="Bump"/>
    <s v="기계장치"/>
    <n v="500000000"/>
    <n v="15625000"/>
    <n v="5208333.333333333"/>
    <m/>
    <m/>
    <m/>
    <m/>
    <m/>
    <m/>
    <m/>
    <n v="15625000"/>
    <n v="15625000"/>
    <n v="31250000"/>
    <n v="15625000"/>
    <n v="15625000"/>
    <n v="15625000"/>
    <n v="15625000"/>
    <n v="62500000"/>
    <n v="15625000"/>
    <n v="15625000"/>
    <n v="15625000"/>
    <n v="15625000"/>
    <n v="62500000"/>
    <n v="15625000"/>
    <n v="15625000"/>
    <n v="15625000"/>
    <n v="15625000"/>
    <n v="62500000"/>
    <m/>
    <m/>
    <m/>
    <n v="500000000"/>
  </r>
  <r>
    <n v="250"/>
    <x v="1"/>
    <m/>
    <s v="오지민"/>
    <s v="평택"/>
    <s v="Wafer"/>
    <s v="O"/>
    <s v="8&quot;"/>
    <s v="DDI"/>
    <x v="2"/>
    <s v="Au bump"/>
    <x v="11"/>
    <s v="new8"/>
    <s v="검사"/>
    <s v="Scope (신규투자)"/>
    <s v="AL120-LMB86"/>
    <x v="47"/>
    <m/>
    <m/>
    <x v="0"/>
    <m/>
    <m/>
    <s v="올림푸스"/>
    <x v="1"/>
    <s v="1차"/>
    <s v="1차"/>
    <s v="일반장비(비통제)"/>
    <s v="Scope"/>
    <m/>
    <m/>
    <m/>
    <s v="EAR99"/>
    <m/>
    <m/>
    <m/>
    <m/>
    <m/>
    <m/>
    <m/>
    <m/>
    <m/>
    <m/>
    <m/>
    <m/>
    <m/>
    <m/>
    <n v="80000000"/>
    <m/>
    <m/>
    <m/>
    <m/>
    <m/>
    <n v="80000000"/>
    <m/>
    <m/>
    <m/>
    <m/>
    <m/>
    <m/>
    <s v="Bump"/>
    <s v="Bump"/>
    <s v="기계장치"/>
    <n v="80000000"/>
    <n v="2500000"/>
    <n v="833333.33333333337"/>
    <m/>
    <m/>
    <n v="2500000"/>
    <n v="2500000"/>
    <n v="5000000"/>
    <n v="2500000"/>
    <n v="2500000"/>
    <n v="2500000"/>
    <n v="2500000"/>
    <n v="10000000"/>
    <n v="2500000"/>
    <n v="2500000"/>
    <n v="2500000"/>
    <n v="2500000"/>
    <n v="10000000"/>
    <n v="2500000"/>
    <n v="2500000"/>
    <n v="2500000"/>
    <n v="2500000"/>
    <n v="10000000"/>
    <n v="2500000"/>
    <n v="2500000"/>
    <n v="2500000"/>
    <n v="2500000"/>
    <n v="10000000"/>
    <m/>
    <m/>
    <m/>
    <n v="80000000"/>
  </r>
  <r>
    <n v="251"/>
    <x v="1"/>
    <m/>
    <s v="오지민"/>
    <s v="평택"/>
    <s v="Wafer"/>
    <s v="O"/>
    <s v="8&quot;"/>
    <s v="DDI"/>
    <x v="2"/>
    <s v="Au bump"/>
    <x v="11"/>
    <s v="new9"/>
    <s v="검사"/>
    <s v="Scope (신규투자)"/>
    <s v="AL120-LMB86"/>
    <x v="47"/>
    <m/>
    <m/>
    <x v="0"/>
    <m/>
    <m/>
    <s v="올림푸스"/>
    <x v="1"/>
    <s v="1차"/>
    <s v="1차"/>
    <s v="일반장비(비통제)"/>
    <s v="Scope"/>
    <m/>
    <m/>
    <m/>
    <s v="EAR99"/>
    <m/>
    <m/>
    <m/>
    <m/>
    <m/>
    <m/>
    <m/>
    <m/>
    <m/>
    <m/>
    <m/>
    <m/>
    <m/>
    <m/>
    <n v="80000000"/>
    <m/>
    <m/>
    <m/>
    <m/>
    <m/>
    <n v="80000000"/>
    <m/>
    <m/>
    <m/>
    <m/>
    <m/>
    <m/>
    <s v="Bump"/>
    <s v="Bump"/>
    <s v="기계장치"/>
    <n v="80000000"/>
    <n v="2500000"/>
    <n v="833333.33333333337"/>
    <m/>
    <m/>
    <n v="2500000"/>
    <n v="2500000"/>
    <n v="5000000"/>
    <n v="2500000"/>
    <n v="2500000"/>
    <n v="2500000"/>
    <n v="2500000"/>
    <n v="10000000"/>
    <n v="2500000"/>
    <n v="2500000"/>
    <n v="2500000"/>
    <n v="2500000"/>
    <n v="10000000"/>
    <n v="2500000"/>
    <n v="2500000"/>
    <n v="2500000"/>
    <n v="2500000"/>
    <n v="10000000"/>
    <n v="2500000"/>
    <n v="2500000"/>
    <n v="2500000"/>
    <n v="2500000"/>
    <n v="10000000"/>
    <m/>
    <m/>
    <m/>
    <n v="80000000"/>
  </r>
  <r>
    <n v="252"/>
    <x v="1"/>
    <m/>
    <s v="오지민"/>
    <s v="평택"/>
    <s v="Wafer"/>
    <s v="O"/>
    <s v="8&quot;"/>
    <s v="DDI"/>
    <x v="2"/>
    <s v="Au bump"/>
    <x v="11"/>
    <s v="new10"/>
    <s v="검사"/>
    <s v="Scope (신규투자)"/>
    <s v="AL120-LMB86"/>
    <x v="47"/>
    <m/>
    <m/>
    <x v="0"/>
    <m/>
    <m/>
    <s v="올림푸스"/>
    <x v="1"/>
    <s v="1차"/>
    <s v="1차"/>
    <s v="일반장비(비통제)"/>
    <s v="Scope"/>
    <m/>
    <m/>
    <m/>
    <s v="EAR99"/>
    <m/>
    <m/>
    <m/>
    <m/>
    <m/>
    <m/>
    <m/>
    <m/>
    <m/>
    <m/>
    <m/>
    <m/>
    <m/>
    <m/>
    <n v="80000000"/>
    <m/>
    <m/>
    <m/>
    <m/>
    <m/>
    <n v="80000000"/>
    <m/>
    <m/>
    <m/>
    <m/>
    <m/>
    <m/>
    <s v="Bump"/>
    <s v="Bump"/>
    <s v="기계장치"/>
    <n v="80000000"/>
    <n v="2500000"/>
    <n v="833333.33333333337"/>
    <m/>
    <m/>
    <n v="2500000"/>
    <n v="2500000"/>
    <n v="5000000"/>
    <n v="2500000"/>
    <n v="2500000"/>
    <n v="2500000"/>
    <n v="2500000"/>
    <n v="10000000"/>
    <n v="2500000"/>
    <n v="2500000"/>
    <n v="2500000"/>
    <n v="2500000"/>
    <n v="10000000"/>
    <n v="2500000"/>
    <n v="2500000"/>
    <n v="2500000"/>
    <n v="2500000"/>
    <n v="10000000"/>
    <n v="2500000"/>
    <n v="2500000"/>
    <n v="2500000"/>
    <n v="2500000"/>
    <n v="10000000"/>
    <m/>
    <m/>
    <m/>
    <n v="80000000"/>
  </r>
  <r>
    <n v="253"/>
    <x v="1"/>
    <m/>
    <s v="오지민"/>
    <s v="평택"/>
    <s v="Wafer"/>
    <s v="O"/>
    <s v="8&quot;"/>
    <s v="DDI"/>
    <x v="2"/>
    <s v="Au bump"/>
    <x v="11"/>
    <s v="new11"/>
    <s v="검사"/>
    <s v="Scope (신규투자)"/>
    <s v="AL120-LMB86"/>
    <x v="47"/>
    <m/>
    <m/>
    <x v="0"/>
    <m/>
    <m/>
    <s v="올림푸스"/>
    <x v="1"/>
    <s v="1차"/>
    <s v="1차"/>
    <s v="일반장비(비통제)"/>
    <s v="Scope"/>
    <m/>
    <m/>
    <m/>
    <s v="EAR99"/>
    <m/>
    <m/>
    <m/>
    <m/>
    <m/>
    <m/>
    <m/>
    <m/>
    <m/>
    <m/>
    <m/>
    <m/>
    <m/>
    <m/>
    <n v="80000000"/>
    <m/>
    <m/>
    <m/>
    <m/>
    <m/>
    <n v="80000000"/>
    <m/>
    <m/>
    <m/>
    <m/>
    <m/>
    <m/>
    <s v="Bump"/>
    <s v="Bump"/>
    <s v="기계장치"/>
    <n v="80000000"/>
    <n v="2500000"/>
    <n v="833333.33333333337"/>
    <m/>
    <m/>
    <n v="2500000"/>
    <n v="2500000"/>
    <n v="5000000"/>
    <n v="2500000"/>
    <n v="2500000"/>
    <n v="2500000"/>
    <n v="2500000"/>
    <n v="10000000"/>
    <n v="2500000"/>
    <n v="2500000"/>
    <n v="2500000"/>
    <n v="2500000"/>
    <n v="10000000"/>
    <n v="2500000"/>
    <n v="2500000"/>
    <n v="2500000"/>
    <n v="2500000"/>
    <n v="10000000"/>
    <n v="2500000"/>
    <n v="2500000"/>
    <n v="2500000"/>
    <n v="2500000"/>
    <n v="10000000"/>
    <m/>
    <m/>
    <m/>
    <n v="80000000"/>
  </r>
  <r>
    <n v="254"/>
    <x v="1"/>
    <m/>
    <s v="오지민"/>
    <s v="평택"/>
    <s v="Wafer"/>
    <s v="O"/>
    <s v="8&quot;"/>
    <s v="DDI"/>
    <x v="2"/>
    <s v="Au bump"/>
    <x v="11"/>
    <s v="new12"/>
    <s v="검사"/>
    <s v="Scope (신규투자)"/>
    <s v="AL120-LMB86"/>
    <x v="47"/>
    <m/>
    <m/>
    <x v="0"/>
    <m/>
    <m/>
    <s v="올림푸스"/>
    <x v="1"/>
    <s v="1차"/>
    <s v="1차"/>
    <s v="일반장비(비통제)"/>
    <s v="Scope"/>
    <m/>
    <m/>
    <m/>
    <s v="EAR99"/>
    <m/>
    <m/>
    <m/>
    <m/>
    <m/>
    <m/>
    <m/>
    <m/>
    <m/>
    <m/>
    <m/>
    <m/>
    <m/>
    <m/>
    <n v="80000000"/>
    <m/>
    <m/>
    <m/>
    <m/>
    <m/>
    <n v="80000000"/>
    <m/>
    <m/>
    <m/>
    <m/>
    <m/>
    <m/>
    <s v="Bump"/>
    <s v="Bump"/>
    <s v="기계장치"/>
    <n v="80000000"/>
    <n v="2500000"/>
    <n v="833333.33333333337"/>
    <m/>
    <m/>
    <n v="2500000"/>
    <n v="2500000"/>
    <n v="5000000"/>
    <n v="2500000"/>
    <n v="2500000"/>
    <n v="2500000"/>
    <n v="2500000"/>
    <n v="10000000"/>
    <n v="2500000"/>
    <n v="2500000"/>
    <n v="2500000"/>
    <n v="2500000"/>
    <n v="10000000"/>
    <n v="2500000"/>
    <n v="2500000"/>
    <n v="2500000"/>
    <n v="2500000"/>
    <n v="10000000"/>
    <n v="2500000"/>
    <n v="2500000"/>
    <n v="2500000"/>
    <n v="2500000"/>
    <n v="10000000"/>
    <m/>
    <m/>
    <m/>
    <n v="80000000"/>
  </r>
  <r>
    <n v="255"/>
    <x v="1"/>
    <m/>
    <s v="오지민"/>
    <s v="평택"/>
    <s v="Wafer"/>
    <s v="O"/>
    <s v="8&quot;"/>
    <s v="DDI"/>
    <x v="2"/>
    <s v="Au bump"/>
    <x v="11"/>
    <s v="new13"/>
    <s v="검사"/>
    <s v="Scope (신규투자)"/>
    <s v="AL120-LMB86"/>
    <x v="47"/>
    <m/>
    <m/>
    <x v="0"/>
    <m/>
    <m/>
    <s v="올림푸스"/>
    <x v="2"/>
    <s v="3차"/>
    <s v="3차"/>
    <s v="일반장비(비통제)"/>
    <s v="Scope"/>
    <m/>
    <m/>
    <m/>
    <s v="EAR99"/>
    <m/>
    <m/>
    <m/>
    <m/>
    <m/>
    <m/>
    <m/>
    <m/>
    <m/>
    <m/>
    <m/>
    <m/>
    <m/>
    <m/>
    <n v="80000000"/>
    <m/>
    <m/>
    <m/>
    <m/>
    <m/>
    <n v="80000000"/>
    <m/>
    <m/>
    <m/>
    <m/>
    <m/>
    <m/>
    <s v="Bump"/>
    <s v="Bump"/>
    <s v="기계장치"/>
    <n v="80000000"/>
    <n v="2500000"/>
    <n v="833333.33333333337"/>
    <m/>
    <m/>
    <m/>
    <m/>
    <m/>
    <m/>
    <m/>
    <n v="2500000"/>
    <n v="2500000"/>
    <n v="5000000"/>
    <n v="2500000"/>
    <n v="2500000"/>
    <n v="2500000"/>
    <n v="2500000"/>
    <n v="10000000"/>
    <n v="2500000"/>
    <n v="2500000"/>
    <n v="2500000"/>
    <n v="2500000"/>
    <n v="10000000"/>
    <n v="2500000"/>
    <n v="2500000"/>
    <n v="2500000"/>
    <n v="2500000"/>
    <n v="10000000"/>
    <m/>
    <m/>
    <m/>
    <n v="80000000"/>
  </r>
  <r>
    <n v="256"/>
    <x v="1"/>
    <m/>
    <s v="오지민"/>
    <s v="평택"/>
    <s v="Wafer"/>
    <s v="O"/>
    <s v="8&quot;"/>
    <s v="DDI"/>
    <x v="2"/>
    <s v="Au bump"/>
    <x v="11"/>
    <s v="new14"/>
    <s v="검사"/>
    <s v="Scope (신규투자)"/>
    <s v="AL120-LMB86"/>
    <x v="47"/>
    <m/>
    <m/>
    <x v="0"/>
    <m/>
    <m/>
    <s v="올림푸스"/>
    <x v="2"/>
    <s v="3차"/>
    <s v="3차"/>
    <s v="일반장비(비통제)"/>
    <s v="Scope"/>
    <m/>
    <m/>
    <m/>
    <s v="EAR99"/>
    <m/>
    <m/>
    <m/>
    <m/>
    <m/>
    <m/>
    <m/>
    <m/>
    <m/>
    <m/>
    <m/>
    <m/>
    <m/>
    <m/>
    <n v="80000000"/>
    <m/>
    <m/>
    <m/>
    <m/>
    <m/>
    <n v="80000000"/>
    <m/>
    <m/>
    <m/>
    <m/>
    <m/>
    <m/>
    <s v="Bump"/>
    <s v="Bump"/>
    <s v="기계장치"/>
    <n v="80000000"/>
    <n v="2500000"/>
    <n v="833333.33333333337"/>
    <m/>
    <m/>
    <m/>
    <m/>
    <m/>
    <m/>
    <m/>
    <n v="2500000"/>
    <n v="2500000"/>
    <n v="5000000"/>
    <n v="2500000"/>
    <n v="2500000"/>
    <n v="2500000"/>
    <n v="2500000"/>
    <n v="10000000"/>
    <n v="2500000"/>
    <n v="2500000"/>
    <n v="2500000"/>
    <n v="2500000"/>
    <n v="10000000"/>
    <n v="2500000"/>
    <n v="2500000"/>
    <n v="2500000"/>
    <n v="2500000"/>
    <n v="10000000"/>
    <m/>
    <m/>
    <m/>
    <n v="80000000"/>
  </r>
  <r>
    <n v="257"/>
    <x v="1"/>
    <m/>
    <s v="오지민"/>
    <s v="평택"/>
    <s v="Wafer"/>
    <s v="O"/>
    <s v="8&quot;"/>
    <s v="DDI"/>
    <x v="2"/>
    <s v="Au bump"/>
    <x v="11"/>
    <s v="new15"/>
    <s v="검사"/>
    <s v="계측기 면저항 (신규투자)"/>
    <s v="TM-812"/>
    <x v="48"/>
    <m/>
    <m/>
    <x v="0"/>
    <m/>
    <m/>
    <m/>
    <x v="1"/>
    <s v="1차"/>
    <s v="1차"/>
    <s v="일반장비(비통제)"/>
    <s v="면저항 측정"/>
    <m/>
    <m/>
    <m/>
    <s v="EAR99"/>
    <m/>
    <m/>
    <m/>
    <m/>
    <m/>
    <m/>
    <m/>
    <m/>
    <m/>
    <m/>
    <m/>
    <m/>
    <m/>
    <m/>
    <n v="60000000"/>
    <m/>
    <m/>
    <m/>
    <m/>
    <m/>
    <n v="60000000"/>
    <m/>
    <m/>
    <m/>
    <m/>
    <m/>
    <m/>
    <s v="Bump"/>
    <s v="Bump"/>
    <s v="기계장치"/>
    <n v="60000000"/>
    <n v="1875000"/>
    <n v="625000"/>
    <m/>
    <m/>
    <n v="1875000"/>
    <n v="1875000"/>
    <n v="3750000"/>
    <n v="1875000"/>
    <n v="1875000"/>
    <n v="1875000"/>
    <n v="1875000"/>
    <n v="7500000"/>
    <n v="1875000"/>
    <n v="1875000"/>
    <n v="1875000"/>
    <n v="1875000"/>
    <n v="7500000"/>
    <n v="1875000"/>
    <n v="1875000"/>
    <n v="1875000"/>
    <n v="1875000"/>
    <n v="7500000"/>
    <n v="1875000"/>
    <n v="1875000"/>
    <n v="1875000"/>
    <n v="1875000"/>
    <n v="7500000"/>
    <m/>
    <m/>
    <m/>
    <n v="60000000"/>
  </r>
  <r>
    <n v="258"/>
    <x v="1"/>
    <m/>
    <s v="오지민"/>
    <s v="평택"/>
    <s v="Wafer"/>
    <s v="O"/>
    <s v="8&quot;"/>
    <s v="DDI"/>
    <x v="2"/>
    <s v="Au bump"/>
    <x v="11"/>
    <s v="new16"/>
    <s v="검사"/>
    <s v="계측기 Seed metal 두께 (신규투자)"/>
    <s v="XDV-u_WAFER"/>
    <x v="49"/>
    <m/>
    <m/>
    <x v="0"/>
    <m/>
    <m/>
    <m/>
    <x v="1"/>
    <s v="1차"/>
    <s v="1차"/>
    <s v="일반장비(비통제)"/>
    <s v="메탈 두께 측정"/>
    <m/>
    <m/>
    <m/>
    <s v="EAR99"/>
    <m/>
    <m/>
    <m/>
    <m/>
    <m/>
    <m/>
    <m/>
    <m/>
    <m/>
    <m/>
    <m/>
    <m/>
    <m/>
    <m/>
    <n v="69000000"/>
    <m/>
    <m/>
    <m/>
    <m/>
    <m/>
    <n v="69000000"/>
    <m/>
    <m/>
    <m/>
    <m/>
    <m/>
    <m/>
    <s v="Bump"/>
    <s v="Bump"/>
    <s v="기계장치"/>
    <n v="69000000"/>
    <n v="2156250"/>
    <n v="718750"/>
    <m/>
    <m/>
    <n v="2156250"/>
    <n v="2156250"/>
    <n v="4312500"/>
    <n v="2156250"/>
    <n v="2156250"/>
    <n v="2156250"/>
    <n v="2156250"/>
    <n v="8625000"/>
    <n v="2156250"/>
    <n v="2156250"/>
    <n v="2156250"/>
    <n v="2156250"/>
    <n v="8625000"/>
    <n v="2156250"/>
    <n v="2156250"/>
    <n v="2156250"/>
    <n v="2156250"/>
    <n v="8625000"/>
    <n v="2156250"/>
    <n v="2156250"/>
    <n v="2156250"/>
    <n v="2156250"/>
    <n v="8625000"/>
    <m/>
    <m/>
    <m/>
    <n v="69000000"/>
  </r>
  <r>
    <n v="259"/>
    <x v="1"/>
    <m/>
    <s v="오지민"/>
    <s v="평택"/>
    <s v="Wafer"/>
    <s v="O"/>
    <s v="8&quot;"/>
    <s v="DDI"/>
    <x v="2"/>
    <s v="Au bump"/>
    <x v="11"/>
    <s v="new17"/>
    <s v="검사"/>
    <s v="계측기 Oxide, PR 두께, Aching (신규투자)"/>
    <s v="TM-812 (Ashing)"/>
    <x v="50"/>
    <m/>
    <m/>
    <x v="0"/>
    <m/>
    <m/>
    <m/>
    <x v="1"/>
    <s v="1차"/>
    <s v="1차"/>
    <s v="일반장비(비통제)"/>
    <s v="PR 두께 측정"/>
    <m/>
    <m/>
    <m/>
    <s v="EAR99"/>
    <m/>
    <m/>
    <m/>
    <m/>
    <m/>
    <m/>
    <m/>
    <m/>
    <m/>
    <m/>
    <m/>
    <m/>
    <m/>
    <m/>
    <n v="290000000"/>
    <m/>
    <m/>
    <m/>
    <m/>
    <m/>
    <n v="290000000"/>
    <m/>
    <m/>
    <m/>
    <m/>
    <m/>
    <m/>
    <s v="Bump"/>
    <s v="Bump"/>
    <s v="기계장치"/>
    <n v="290000000"/>
    <n v="9062500"/>
    <n v="3020833.3333333335"/>
    <m/>
    <m/>
    <n v="9062500"/>
    <n v="9062500"/>
    <n v="18125000"/>
    <n v="9062500"/>
    <n v="9062500"/>
    <n v="9062500"/>
    <n v="9062500"/>
    <n v="36250000"/>
    <n v="9062500"/>
    <n v="9062500"/>
    <n v="9062500"/>
    <n v="9062500"/>
    <n v="36250000"/>
    <n v="9062500"/>
    <n v="9062500"/>
    <n v="9062500"/>
    <n v="9062500"/>
    <n v="36250000"/>
    <n v="9062500"/>
    <n v="9062500"/>
    <n v="9062500"/>
    <n v="9062500"/>
    <n v="36250000"/>
    <m/>
    <m/>
    <m/>
    <n v="290000000"/>
  </r>
  <r>
    <n v="260"/>
    <x v="1"/>
    <m/>
    <s v="오지민"/>
    <s v="평택"/>
    <s v="Wafer"/>
    <s v="O"/>
    <s v="8&quot;"/>
    <s v="DDI"/>
    <x v="2"/>
    <s v="Au bump"/>
    <x v="11"/>
    <s v="new18"/>
    <s v="검사"/>
    <s v="Sorter (신규투자)"/>
    <s v="KTWS-2XXXX"/>
    <x v="51"/>
    <m/>
    <m/>
    <x v="0"/>
    <m/>
    <m/>
    <m/>
    <x v="1"/>
    <s v="1차"/>
    <s v="1차"/>
    <s v="해당"/>
    <s v="웨이퍼 분류, 이송, 보관 장비"/>
    <s v="웨이퍼 분류, 이송, 보관 장비"/>
    <m/>
    <m/>
    <s v="3B001"/>
    <s v="8428.90-0000"/>
    <s v="반도체용 웨이퍼 전용"/>
    <m/>
    <m/>
    <m/>
    <m/>
    <m/>
    <m/>
    <m/>
    <m/>
    <m/>
    <m/>
    <m/>
    <m/>
    <n v="250000000"/>
    <m/>
    <m/>
    <m/>
    <m/>
    <m/>
    <n v="250000000"/>
    <m/>
    <m/>
    <m/>
    <m/>
    <m/>
    <m/>
    <s v="Bump"/>
    <s v="Bump"/>
    <s v="기계장치"/>
    <n v="250000000"/>
    <n v="7812500"/>
    <n v="2604166.6666666665"/>
    <m/>
    <m/>
    <n v="7812500"/>
    <n v="7812500"/>
    <n v="15625000"/>
    <n v="7812500"/>
    <n v="7812500"/>
    <n v="7812500"/>
    <n v="7812500"/>
    <n v="31250000"/>
    <n v="7812500"/>
    <n v="7812500"/>
    <n v="7812500"/>
    <n v="7812500"/>
    <n v="31250000"/>
    <n v="7812500"/>
    <n v="7812500"/>
    <n v="7812500"/>
    <n v="7812500"/>
    <n v="31250000"/>
    <n v="7812500"/>
    <n v="7812500"/>
    <n v="7812500"/>
    <n v="7812500"/>
    <n v="31250000"/>
    <m/>
    <m/>
    <m/>
    <n v="250000000"/>
  </r>
  <r>
    <n v="261"/>
    <x v="1"/>
    <m/>
    <s v="오지민"/>
    <s v="평택"/>
    <s v="Wafer"/>
    <s v="O"/>
    <s v="8&quot;"/>
    <s v="DDI"/>
    <x v="2"/>
    <s v="Au bump"/>
    <x v="11"/>
    <s v="new19"/>
    <s v="검사"/>
    <s v="Cassette Cleaner, 특주 (신규투자)"/>
    <s v="특주"/>
    <x v="52"/>
    <m/>
    <m/>
    <x v="0"/>
    <m/>
    <m/>
    <m/>
    <x v="1"/>
    <s v="1차"/>
    <s v="1차"/>
    <s v="일반장비(비통제)"/>
    <s v="검사 측정 시험"/>
    <m/>
    <m/>
    <m/>
    <s v="EAR99"/>
    <m/>
    <m/>
    <m/>
    <m/>
    <m/>
    <m/>
    <m/>
    <m/>
    <m/>
    <m/>
    <m/>
    <m/>
    <m/>
    <m/>
    <n v="30000000"/>
    <m/>
    <m/>
    <m/>
    <m/>
    <m/>
    <n v="30000000"/>
    <m/>
    <m/>
    <m/>
    <m/>
    <m/>
    <m/>
    <s v="Bump"/>
    <s v="Bump"/>
    <s v="기계장치"/>
    <n v="30000000"/>
    <n v="937500"/>
    <n v="312500"/>
    <m/>
    <m/>
    <n v="937500"/>
    <n v="937500"/>
    <n v="1875000"/>
    <n v="937500"/>
    <n v="937500"/>
    <n v="937500"/>
    <n v="937500"/>
    <n v="3750000"/>
    <n v="937500"/>
    <n v="937500"/>
    <n v="937500"/>
    <n v="937500"/>
    <n v="3750000"/>
    <n v="937500"/>
    <n v="937500"/>
    <n v="937500"/>
    <n v="937500"/>
    <n v="3750000"/>
    <n v="937500"/>
    <n v="937500"/>
    <n v="937500"/>
    <n v="937500"/>
    <n v="3750000"/>
    <m/>
    <m/>
    <m/>
    <n v="30000000"/>
  </r>
  <r>
    <n v="262"/>
    <x v="1"/>
    <m/>
    <s v="오지민"/>
    <s v="평택"/>
    <s v="Wafer"/>
    <s v="O"/>
    <s v="8&quot;"/>
    <s v="DDI"/>
    <x v="3"/>
    <s v="COG"/>
    <x v="26"/>
    <s v="new20"/>
    <s v="검사"/>
    <s v="Lami (신규투자)"/>
    <s v="CUWLA-121"/>
    <x v="53"/>
    <m/>
    <m/>
    <x v="0"/>
    <m/>
    <m/>
    <m/>
    <x v="1"/>
    <s v="1차"/>
    <s v="1차"/>
    <s v="상황허가"/>
    <s v="필름 부착기"/>
    <m/>
    <m/>
    <m/>
    <m/>
    <m/>
    <m/>
    <m/>
    <m/>
    <m/>
    <m/>
    <m/>
    <m/>
    <m/>
    <m/>
    <m/>
    <m/>
    <m/>
    <m/>
    <n v="500000000"/>
    <m/>
    <m/>
    <m/>
    <m/>
    <m/>
    <n v="500000000"/>
    <m/>
    <m/>
    <m/>
    <m/>
    <m/>
    <m/>
    <s v="Bump"/>
    <s v="Bump"/>
    <s v="기계장치"/>
    <n v="500000000"/>
    <n v="15625000"/>
    <n v="5208333.333333333"/>
    <m/>
    <m/>
    <n v="15625000"/>
    <n v="15625000"/>
    <n v="31250000"/>
    <n v="15625000"/>
    <n v="15625000"/>
    <n v="15625000"/>
    <n v="15625000"/>
    <n v="62500000"/>
    <n v="15625000"/>
    <n v="15625000"/>
    <n v="15625000"/>
    <n v="15625000"/>
    <n v="62500000"/>
    <n v="15625000"/>
    <n v="15625000"/>
    <n v="15625000"/>
    <n v="15625000"/>
    <n v="62500000"/>
    <n v="15625000"/>
    <n v="15625000"/>
    <n v="15625000"/>
    <n v="15625000"/>
    <n v="62500000"/>
    <m/>
    <m/>
    <m/>
    <n v="500000000"/>
  </r>
  <r>
    <n v="263"/>
    <x v="1"/>
    <m/>
    <s v="오지민"/>
    <s v="평택"/>
    <s v="Wafer"/>
    <s v="O"/>
    <s v="8&quot;"/>
    <s v="DDI"/>
    <x v="3"/>
    <s v="COG"/>
    <x v="27"/>
    <s v="new21"/>
    <s v="검사"/>
    <s v="Packing (신규투자) 가격 추후 한번더 확인 필요"/>
    <s v="Packing :EV-60E_x000a_밴딩 : Tapit-WS"/>
    <x v="54"/>
    <m/>
    <m/>
    <x v="0"/>
    <m/>
    <m/>
    <m/>
    <x v="1"/>
    <s v="1차"/>
    <s v="1차"/>
    <s v="일반장비(비통제)"/>
    <s v="Wafer 포장"/>
    <m/>
    <m/>
    <m/>
    <m/>
    <m/>
    <m/>
    <m/>
    <m/>
    <m/>
    <m/>
    <m/>
    <m/>
    <m/>
    <m/>
    <m/>
    <m/>
    <m/>
    <m/>
    <n v="7000000"/>
    <m/>
    <m/>
    <m/>
    <m/>
    <m/>
    <n v="7000000"/>
    <m/>
    <m/>
    <m/>
    <m/>
    <m/>
    <m/>
    <s v="Bump"/>
    <s v="Bump"/>
    <s v="기계장치"/>
    <n v="7000000"/>
    <n v="218750"/>
    <n v="72916.666666666672"/>
    <m/>
    <m/>
    <n v="218750"/>
    <n v="218750"/>
    <n v="437500"/>
    <n v="218750"/>
    <n v="218750"/>
    <n v="218750"/>
    <n v="218750"/>
    <n v="875000"/>
    <n v="218750"/>
    <n v="218750"/>
    <n v="218750"/>
    <n v="218750"/>
    <n v="875000"/>
    <n v="218750"/>
    <n v="218750"/>
    <n v="218750"/>
    <n v="218750"/>
    <n v="875000"/>
    <n v="218750"/>
    <n v="218750"/>
    <n v="218750"/>
    <n v="218750"/>
    <n v="875000"/>
    <m/>
    <m/>
    <m/>
    <n v="7000000"/>
  </r>
  <r>
    <n v="264"/>
    <x v="1"/>
    <m/>
    <s v="오지민"/>
    <s v="평택"/>
    <s v="Wafer"/>
    <s v="O"/>
    <s v="8&quot;"/>
    <s v="DDI"/>
    <x v="3"/>
    <s v="COG"/>
    <x v="11"/>
    <s v="new22"/>
    <s v="검사"/>
    <s v="계측기(Chip Thickness) (신규투자)"/>
    <s v="SEMDEX301"/>
    <x v="55"/>
    <m/>
    <m/>
    <x v="0"/>
    <m/>
    <m/>
    <m/>
    <x v="0"/>
    <s v="1차"/>
    <s v="1차"/>
    <s v="일반장비(비통제)"/>
    <s v="두께 측정"/>
    <m/>
    <m/>
    <m/>
    <m/>
    <m/>
    <m/>
    <m/>
    <m/>
    <m/>
    <m/>
    <m/>
    <m/>
    <m/>
    <m/>
    <m/>
    <m/>
    <m/>
    <m/>
    <n v="200000000"/>
    <m/>
    <m/>
    <m/>
    <m/>
    <m/>
    <n v="200000000"/>
    <m/>
    <m/>
    <m/>
    <m/>
    <m/>
    <m/>
    <s v="Bump"/>
    <s v="Bump"/>
    <s v="기계장치"/>
    <n v="200000000"/>
    <n v="6250000"/>
    <n v="2083333.3333333333"/>
    <m/>
    <m/>
    <m/>
    <m/>
    <m/>
    <m/>
    <m/>
    <n v="6250000"/>
    <n v="6250000"/>
    <n v="12500000"/>
    <n v="6250000"/>
    <n v="6250000"/>
    <n v="6250000"/>
    <n v="6250000"/>
    <n v="25000000"/>
    <n v="6250000"/>
    <n v="6250000"/>
    <n v="6250000"/>
    <n v="6250000"/>
    <n v="25000000"/>
    <n v="6250000"/>
    <n v="6250000"/>
    <n v="6250000"/>
    <n v="6250000"/>
    <n v="25000000"/>
    <m/>
    <m/>
    <m/>
    <n v="200000000"/>
  </r>
  <r>
    <n v="265"/>
    <x v="1"/>
    <m/>
    <s v="오지민"/>
    <s v="평택"/>
    <s v="Wafer"/>
    <s v="O"/>
    <s v="8&quot;"/>
    <s v="DDI"/>
    <x v="3"/>
    <s v="COG"/>
    <x v="11"/>
    <s v="new23"/>
    <s v="검사"/>
    <s v="Low Power Scope (신규투자)"/>
    <s v="TBD"/>
    <x v="52"/>
    <m/>
    <m/>
    <x v="0"/>
    <m/>
    <m/>
    <m/>
    <x v="0"/>
    <s v="1차"/>
    <s v="1차"/>
    <s v="일반장비(비통제)"/>
    <s v="검사 측정 시험"/>
    <m/>
    <m/>
    <m/>
    <m/>
    <m/>
    <m/>
    <m/>
    <m/>
    <m/>
    <m/>
    <m/>
    <m/>
    <m/>
    <m/>
    <m/>
    <m/>
    <m/>
    <m/>
    <n v="80000000"/>
    <m/>
    <m/>
    <m/>
    <m/>
    <m/>
    <n v="80000000"/>
    <m/>
    <m/>
    <m/>
    <m/>
    <m/>
    <m/>
    <s v="Bump"/>
    <s v="Bump"/>
    <s v="기계장치"/>
    <n v="80000000"/>
    <n v="2500000"/>
    <n v="833333.33333333337"/>
    <m/>
    <m/>
    <m/>
    <m/>
    <m/>
    <m/>
    <m/>
    <n v="2500000"/>
    <n v="2500000"/>
    <n v="5000000"/>
    <n v="2500000"/>
    <n v="2500000"/>
    <n v="2500000"/>
    <n v="2500000"/>
    <n v="10000000"/>
    <n v="2500000"/>
    <n v="2500000"/>
    <n v="2500000"/>
    <n v="2500000"/>
    <n v="10000000"/>
    <n v="2500000"/>
    <n v="2500000"/>
    <n v="2500000"/>
    <n v="2500000"/>
    <n v="10000000"/>
    <m/>
    <m/>
    <m/>
    <n v="80000000"/>
  </r>
  <r>
    <n v="266"/>
    <x v="1"/>
    <m/>
    <s v="오지민"/>
    <s v="평택"/>
    <s v="Wafer"/>
    <s v="O"/>
    <s v="8&quot;"/>
    <s v="DDI"/>
    <x v="3"/>
    <s v="COG"/>
    <x v="11"/>
    <s v="new24"/>
    <s v="검사"/>
    <s v="Measuring Scope (신규투자)"/>
    <s v="STM7"/>
    <x v="56"/>
    <m/>
    <m/>
    <x v="0"/>
    <m/>
    <m/>
    <m/>
    <x v="0"/>
    <s v="1차"/>
    <s v="1차"/>
    <s v="일반장비(비통제)"/>
    <s v="Scope"/>
    <m/>
    <m/>
    <m/>
    <m/>
    <m/>
    <m/>
    <m/>
    <m/>
    <m/>
    <m/>
    <m/>
    <m/>
    <m/>
    <m/>
    <m/>
    <m/>
    <m/>
    <m/>
    <n v="60000000"/>
    <m/>
    <m/>
    <m/>
    <m/>
    <m/>
    <n v="60000000"/>
    <m/>
    <m/>
    <m/>
    <m/>
    <m/>
    <m/>
    <s v="Bump"/>
    <s v="Bump"/>
    <s v="기계장치"/>
    <n v="60000000"/>
    <n v="1875000"/>
    <n v="625000"/>
    <m/>
    <m/>
    <m/>
    <m/>
    <m/>
    <m/>
    <m/>
    <n v="1875000"/>
    <n v="1875000"/>
    <n v="3750000"/>
    <n v="1875000"/>
    <n v="1875000"/>
    <n v="1875000"/>
    <n v="1875000"/>
    <n v="7500000"/>
    <n v="1875000"/>
    <n v="1875000"/>
    <n v="1875000"/>
    <n v="1875000"/>
    <n v="7500000"/>
    <n v="1875000"/>
    <n v="1875000"/>
    <n v="1875000"/>
    <n v="1875000"/>
    <n v="7500000"/>
    <m/>
    <m/>
    <m/>
    <n v="60000000"/>
  </r>
  <r>
    <n v="267"/>
    <x v="1"/>
    <m/>
    <s v="오지민"/>
    <s v="평택"/>
    <s v="Wafer"/>
    <s v="O"/>
    <s v="8&quot;"/>
    <s v="DDI"/>
    <x v="3"/>
    <s v="COG"/>
    <x v="11"/>
    <s v="new25"/>
    <s v="검사"/>
    <s v="Measuring Scope (신규투자)"/>
    <s v="STM7"/>
    <x v="56"/>
    <m/>
    <m/>
    <x v="0"/>
    <m/>
    <m/>
    <m/>
    <x v="0"/>
    <s v="1차"/>
    <s v="1차"/>
    <s v="일반장비(비통제)"/>
    <s v="Scope"/>
    <m/>
    <m/>
    <m/>
    <m/>
    <m/>
    <m/>
    <m/>
    <m/>
    <m/>
    <m/>
    <m/>
    <m/>
    <m/>
    <m/>
    <m/>
    <m/>
    <m/>
    <m/>
    <n v="60000000"/>
    <m/>
    <m/>
    <m/>
    <m/>
    <m/>
    <n v="60000000"/>
    <m/>
    <m/>
    <m/>
    <m/>
    <m/>
    <m/>
    <s v="Bump"/>
    <s v="Bump"/>
    <s v="기계장치"/>
    <n v="60000000"/>
    <n v="1875000"/>
    <n v="625000"/>
    <m/>
    <m/>
    <m/>
    <m/>
    <m/>
    <m/>
    <m/>
    <n v="1875000"/>
    <n v="1875000"/>
    <n v="3750000"/>
    <n v="1875000"/>
    <n v="1875000"/>
    <n v="1875000"/>
    <n v="1875000"/>
    <n v="7500000"/>
    <n v="1875000"/>
    <n v="1875000"/>
    <n v="1875000"/>
    <n v="1875000"/>
    <n v="7500000"/>
    <n v="1875000"/>
    <n v="1875000"/>
    <n v="1875000"/>
    <n v="1875000"/>
    <n v="7500000"/>
    <m/>
    <m/>
    <m/>
    <n v="60000000"/>
  </r>
  <r>
    <n v="268"/>
    <x v="0"/>
    <s v="Part Out"/>
    <s v="구용근"/>
    <s v="구미"/>
    <s v="PKG"/>
    <s v="O"/>
    <s v="8&quot;"/>
    <s v="DDI"/>
    <x v="4"/>
    <s v="COF"/>
    <x v="17"/>
    <n v="1000043"/>
    <s v="MC"/>
    <s v="PSA-01 : DFD6340(DISCO)"/>
    <s v="DFD6340"/>
    <x v="31"/>
    <m/>
    <s v="JT1443"/>
    <x v="0"/>
    <s v="비가동"/>
    <s v="일본"/>
    <s v="Disco"/>
    <x v="1"/>
    <s v="1차"/>
    <s v="1차"/>
    <s v="해당"/>
    <s v="Wafer Sicing Saw"/>
    <s v="Wafer Sicing Saw"/>
    <m/>
    <m/>
    <s v="3B001"/>
    <s v="8486.40-0000"/>
    <s v="전략물자수출입고시"/>
    <m/>
    <d v="2004-11-16T00:00:00"/>
    <d v="2004-12-17T00:00:00"/>
    <n v="20.884931506849316"/>
    <n v="8"/>
    <s v="2공장 운휴 Room"/>
    <s v="자사"/>
    <s v="미설정"/>
    <n v="6.24"/>
    <n v="1150"/>
    <n v="1200"/>
    <n v="2100"/>
    <n v="215496237"/>
    <m/>
    <m/>
    <m/>
    <n v="215495237"/>
    <n v="0"/>
    <n v="1000"/>
    <n v="1000"/>
    <m/>
    <m/>
    <m/>
    <s v="완료"/>
    <s v="D-SAW"/>
    <s v="COF(Assy_FT)"/>
    <s v="COF(Assy_FT)"/>
    <s v="기계장치"/>
    <n v="4309924.74"/>
    <n v="410859.59953979263"/>
    <n v="136953.19984659753"/>
    <m/>
    <m/>
    <n v="410859.59953979263"/>
    <n v="410859.59953979263"/>
    <n v="821719.19907958526"/>
    <n v="410859.59953979263"/>
    <n v="410859.59953979263"/>
    <n v="410859.59953979263"/>
    <n v="410859.59953979263"/>
    <n v="1643438.3981591705"/>
    <n v="410859.59953979263"/>
    <n v="410859.59953979263"/>
    <n v="410859.59953979263"/>
    <n v="410859.59953979263"/>
    <n v="1643438.3981591705"/>
    <n v="410859.59953979263"/>
    <n v="410859.59953979263"/>
    <n v="410859.59953979263"/>
    <n v="410859.59953979263"/>
    <n v="1643438.3981591705"/>
    <n v="410859.59953979263"/>
    <n v="410859.59953979263"/>
    <n v="410859.59953979263"/>
    <n v="410859.59953979263"/>
    <n v="1643438.3981591705"/>
    <m/>
    <n v="4.208372592987316E-4"/>
    <n v="8837582.445273364"/>
    <n v="13147507.185273364"/>
  </r>
  <r>
    <n v="269"/>
    <x v="0"/>
    <m/>
    <s v="구용근"/>
    <s v="구미"/>
    <s v="PKG"/>
    <s v="O"/>
    <s v="8&quot;"/>
    <s v="DDI"/>
    <x v="4"/>
    <s v="COF"/>
    <x v="17"/>
    <n v="1000044"/>
    <s v="MC"/>
    <s v="PSA-02 : DFD6340(DISCO)"/>
    <s v="DFD6340"/>
    <x v="31"/>
    <m/>
    <s v="JT1442"/>
    <x v="0"/>
    <s v="가동"/>
    <s v="일본"/>
    <s v="Disco"/>
    <x v="1"/>
    <s v="1차"/>
    <s v="1차"/>
    <s v="해당"/>
    <s v="Wafer Sicing Saw"/>
    <s v="Wafer Sicing Saw"/>
    <m/>
    <m/>
    <s v="3B001"/>
    <s v="8486.40-0000"/>
    <s v="전략물자수출입고시"/>
    <m/>
    <d v="2004-11-16T00:00:00"/>
    <d v="2004-12-17T00:00:00"/>
    <n v="20.884931506849316"/>
    <n v="8"/>
    <s v="G1-1층"/>
    <s v="자사"/>
    <s v="미설정"/>
    <n v="6.24"/>
    <n v="1150"/>
    <n v="1200"/>
    <n v="2100"/>
    <n v="204918957"/>
    <m/>
    <m/>
    <m/>
    <n v="204917957"/>
    <n v="0"/>
    <n v="1000"/>
    <n v="1000"/>
    <m/>
    <m/>
    <m/>
    <s v="완료"/>
    <s v="D-SAW"/>
    <s v="COF(Assy_FT)"/>
    <s v="COF(Assy_FT)"/>
    <s v="기계장치"/>
    <n v="4098379.14"/>
    <n v="390693.22872274555"/>
    <n v="130231.07624091518"/>
    <m/>
    <m/>
    <n v="390693.22872274555"/>
    <n v="390693.22872274555"/>
    <n v="781386.45744549111"/>
    <n v="390693.22872274555"/>
    <n v="390693.22872274555"/>
    <n v="390693.22872274555"/>
    <n v="390693.22872274555"/>
    <n v="1562772.9148909822"/>
    <n v="390693.22872274555"/>
    <n v="390693.22872274555"/>
    <n v="390693.22872274555"/>
    <n v="390693.22872274555"/>
    <n v="1562772.9148909822"/>
    <n v="390693.22872274555"/>
    <n v="390693.22872274555"/>
    <n v="390693.22872274555"/>
    <n v="390693.22872274555"/>
    <n v="1562772.9148909822"/>
    <n v="390693.22872274555"/>
    <n v="390693.22872274555"/>
    <n v="390693.22872274555"/>
    <n v="390693.22872274555"/>
    <n v="1562772.9148909822"/>
    <m/>
    <n v="4.0018115138704081E-4"/>
    <n v="8403804.1791278571"/>
    <n v="12502183.319127858"/>
  </r>
  <r>
    <n v="270"/>
    <x v="0"/>
    <m/>
    <s v="구용근"/>
    <s v="구미"/>
    <s v="PKG"/>
    <s v="O"/>
    <s v="8&quot;&amp;12&quot;"/>
    <s v="DDI"/>
    <x v="4"/>
    <s v="COF"/>
    <x v="5"/>
    <n v="1000150"/>
    <s v="검사"/>
    <s v="ML-004 : OLYMPUS STM6-LM-F31-2(4K14414)"/>
    <s v="STM6-LM-F31-2"/>
    <x v="57"/>
    <m/>
    <s v="4K14414"/>
    <x v="0"/>
    <s v="가동"/>
    <s v="일본"/>
    <s v="올림푸스"/>
    <x v="2"/>
    <s v="3차"/>
    <s v="3차"/>
    <s v="상황허가"/>
    <s v="표면조도,단차 측정"/>
    <s v="표면조도,단차 측정"/>
    <s v="범용"/>
    <m/>
    <s v="EAR99"/>
    <s v="9031.80-0000"/>
    <m/>
    <m/>
    <d v="2004-12-26T00:00:00"/>
    <d v="2004-12-26T00:00:00"/>
    <n v="20.860273972602741"/>
    <n v="8"/>
    <s v="G1-1층"/>
    <s v="자사"/>
    <s v="미설정"/>
    <n v="0"/>
    <m/>
    <m/>
    <m/>
    <n v="40000000"/>
    <m/>
    <m/>
    <m/>
    <n v="39999000"/>
    <n v="0"/>
    <n v="1000"/>
    <n v="1000"/>
    <m/>
    <m/>
    <m/>
    <s v="완료"/>
    <s v="ASSY기술실"/>
    <s v="COF(Assy_FT)"/>
    <s v="COF(Assy_FT)"/>
    <s v="기계장치"/>
    <n v="800000"/>
    <n v="25000"/>
    <n v="8333.3333333333339"/>
    <m/>
    <m/>
    <m/>
    <m/>
    <m/>
    <m/>
    <m/>
    <n v="25000"/>
    <n v="25000"/>
    <n v="50000"/>
    <n v="25000"/>
    <n v="25000"/>
    <n v="25000"/>
    <n v="25000"/>
    <n v="100000"/>
    <n v="25000"/>
    <n v="25000"/>
    <n v="25000"/>
    <n v="25000"/>
    <n v="100000"/>
    <n v="25000"/>
    <n v="25000"/>
    <n v="25000"/>
    <n v="25000"/>
    <n v="100000"/>
    <m/>
    <m/>
    <m/>
    <n v="800000"/>
  </r>
  <r>
    <n v="271"/>
    <x v="0"/>
    <m/>
    <s v="구용근"/>
    <s v="구미"/>
    <s v="PKG"/>
    <s v="O"/>
    <s v="8&quot;&amp;12&quot;"/>
    <s v="DDI"/>
    <x v="4"/>
    <s v="COF"/>
    <x v="5"/>
    <n v="1000160"/>
    <s v="검사"/>
    <s v="MT-006 : Thermo Meter(TESTO 925)"/>
    <s v="TESTO925"/>
    <x v="58"/>
    <m/>
    <m/>
    <x v="161"/>
    <s v="가동"/>
    <s v="한국"/>
    <s v="TESTO"/>
    <x v="2"/>
    <s v="3차"/>
    <s v="3차"/>
    <s v="일반장비(비통제)"/>
    <s v="접촉식 온도계"/>
    <s v="접촉식 온도계"/>
    <s v="범용"/>
    <m/>
    <s v="EAR99"/>
    <s v="9025.19-0000"/>
    <m/>
    <m/>
    <d v="2004-12-30T00:00:00"/>
    <d v="2004-12-30T00:00:00"/>
    <n v="20.849315068493151"/>
    <n v="8"/>
    <s v="G1-1층"/>
    <s v="자사"/>
    <s v="미설정"/>
    <n v="0"/>
    <m/>
    <m/>
    <m/>
    <n v="360000"/>
    <m/>
    <m/>
    <m/>
    <n v="359000"/>
    <n v="0"/>
    <n v="1000"/>
    <n v="1000"/>
    <m/>
    <m/>
    <m/>
    <s v="완료"/>
    <s v="D-ILB"/>
    <s v="COF(Assy_FT)"/>
    <s v="COF(Assy_FT)"/>
    <s v="기계장치"/>
    <n v="7200"/>
    <n v="225"/>
    <n v="75"/>
    <m/>
    <m/>
    <m/>
    <m/>
    <m/>
    <m/>
    <m/>
    <n v="225"/>
    <n v="225"/>
    <n v="450"/>
    <n v="225"/>
    <n v="225"/>
    <n v="225"/>
    <n v="225"/>
    <n v="900"/>
    <n v="225"/>
    <n v="225"/>
    <n v="225"/>
    <n v="225"/>
    <n v="900"/>
    <n v="225"/>
    <n v="225"/>
    <n v="225"/>
    <n v="225"/>
    <n v="900"/>
    <m/>
    <m/>
    <m/>
    <n v="7200"/>
  </r>
  <r>
    <n v="272"/>
    <x v="0"/>
    <m/>
    <s v="구용근"/>
    <s v="구미"/>
    <s v="PKG"/>
    <s v="O"/>
    <s v="8&quot;"/>
    <s v="DDI"/>
    <x v="4"/>
    <s v="COF"/>
    <x v="28"/>
    <n v="1000161"/>
    <s v="검사"/>
    <s v="ML-010 : Digial Indicator(MITUTOYO 543-450B)(LAB실)"/>
    <s v="Mitutoyo 543-450B"/>
    <x v="59"/>
    <m/>
    <m/>
    <x v="161"/>
    <s v="가동"/>
    <s v="한국"/>
    <s v="미츠토요"/>
    <x v="2"/>
    <s v="3차"/>
    <s v="3차"/>
    <s v="일반장비(비통제)"/>
    <s v="치수 측정기"/>
    <s v="치수 측정기"/>
    <s v="범용"/>
    <m/>
    <s v="EAR99"/>
    <s v="9031.80-0000"/>
    <m/>
    <m/>
    <d v="2004-12-30T00:00:00"/>
    <d v="2004-12-30T00:00:00"/>
    <n v="20.849315068493151"/>
    <n v="8"/>
    <s v="G1-1층"/>
    <s v="자사"/>
    <s v="미설정"/>
    <n v="0"/>
    <m/>
    <m/>
    <m/>
    <n v="410000"/>
    <m/>
    <m/>
    <m/>
    <n v="409000"/>
    <n v="0"/>
    <n v="1000"/>
    <n v="1000"/>
    <m/>
    <m/>
    <m/>
    <s v="완료"/>
    <s v="PS제품기술1팀"/>
    <s v="COF(Assy_FT)"/>
    <s v="COF(Assy_FT)"/>
    <s v="기계장치"/>
    <n v="8200"/>
    <n v="256.25"/>
    <n v="85.416666666666671"/>
    <m/>
    <m/>
    <m/>
    <m/>
    <m/>
    <m/>
    <m/>
    <n v="256.25"/>
    <n v="256.25"/>
    <n v="512.5"/>
    <n v="256.25"/>
    <n v="256.25"/>
    <n v="256.25"/>
    <n v="256.25"/>
    <n v="1025"/>
    <n v="256.25"/>
    <n v="256.25"/>
    <n v="256.25"/>
    <n v="256.25"/>
    <n v="1025"/>
    <n v="256.25"/>
    <n v="256.25"/>
    <n v="256.25"/>
    <n v="256.25"/>
    <n v="1025"/>
    <m/>
    <m/>
    <m/>
    <n v="8200"/>
  </r>
  <r>
    <n v="273"/>
    <x v="0"/>
    <m/>
    <s v="구용근"/>
    <s v="구미"/>
    <s v="PKG"/>
    <s v="O"/>
    <s v="8&quot;"/>
    <s v="DDI"/>
    <x v="4"/>
    <s v="COF"/>
    <x v="28"/>
    <n v="1000172"/>
    <s v="MC"/>
    <s v="PWM-01 : DT-MWM1030A (WM 다이나테크)"/>
    <s v="DT-NWM-1030A"/>
    <x v="60"/>
    <m/>
    <s v="DT04078"/>
    <x v="162"/>
    <s v="가동"/>
    <s v="한국"/>
    <s v="DYNATECH"/>
    <x v="1"/>
    <s v="3차"/>
    <s v="3차"/>
    <s v="일반장비(비통제)"/>
    <s v="웨이퍼를 프레임, 테이프, 보드 등에 고정"/>
    <s v="웨이퍼를 프레임, 테이프, 보드 등에 고정"/>
    <m/>
    <m/>
    <s v="EAR99"/>
    <s v="8479.89-0000"/>
    <m/>
    <m/>
    <d v="2004-11-15T00:00:00"/>
    <d v="2004-12-30T00:00:00"/>
    <n v="20.849315068493151"/>
    <n v="8"/>
    <s v="G1-1층"/>
    <s v="자사"/>
    <s v="미설정"/>
    <n v="1"/>
    <n v="900"/>
    <n v="600"/>
    <n v="500"/>
    <n v="19000000"/>
    <m/>
    <m/>
    <m/>
    <n v="18999000"/>
    <n v="0"/>
    <n v="1000"/>
    <n v="1000"/>
    <m/>
    <m/>
    <m/>
    <s v="완료"/>
    <s v="D-SAW"/>
    <s v="COF(Assy_FT)"/>
    <s v="COF(Assy_FT)"/>
    <s v="기계장치"/>
    <n v="380000"/>
    <n v="36224.912787020308"/>
    <n v="12074.970929006769"/>
    <m/>
    <m/>
    <n v="36224.912787020308"/>
    <n v="36224.912787020308"/>
    <n v="72449.825574040617"/>
    <n v="36224.912787020308"/>
    <n v="36224.912787020308"/>
    <n v="36224.912787020308"/>
    <n v="36224.912787020308"/>
    <n v="144899.65114808123"/>
    <n v="36224.912787020308"/>
    <n v="36224.912787020308"/>
    <n v="36224.912787020308"/>
    <n v="36224.912787020308"/>
    <n v="144899.65114808123"/>
    <n v="36224.912787020308"/>
    <n v="36224.912787020308"/>
    <n v="36224.912787020308"/>
    <n v="36224.912787020308"/>
    <n v="144899.65114808123"/>
    <n v="36224.912787020308"/>
    <n v="36224.912787020308"/>
    <n v="36224.912787020308"/>
    <n v="36224.912787020308"/>
    <n v="144899.65114808123"/>
    <m/>
    <n v="3.7104629008792856E-5"/>
    <n v="779197.20918464998"/>
    <n v="1159197.2091846499"/>
  </r>
  <r>
    <n v="274"/>
    <x v="0"/>
    <m/>
    <s v="구용근"/>
    <s v="구미"/>
    <s v="PKG"/>
    <s v="O"/>
    <s v="8&quot;"/>
    <s v="DDI"/>
    <x v="4"/>
    <s v="COF"/>
    <x v="29"/>
    <n v="1000173"/>
    <s v="MC"/>
    <s v="PUV-01 : ASUV-M2000 (UV  아석산업)(=MPUV-01)"/>
    <s v="ASUV-M2000"/>
    <x v="61"/>
    <m/>
    <s v="AS0411-01"/>
    <x v="163"/>
    <s v="가동"/>
    <s v="한국"/>
    <s v="아석산업"/>
    <x v="1"/>
    <s v="3차"/>
    <s v="3차"/>
    <s v="일반장비(비통제)"/>
    <s v="UV조사기"/>
    <s v="UV조사기"/>
    <s v="범용"/>
    <m/>
    <s v="EAR99"/>
    <s v="8419.40-0000"/>
    <m/>
    <m/>
    <d v="2004-11-18T00:00:00"/>
    <d v="2004-12-30T00:00:00"/>
    <n v="20.849315068493151"/>
    <n v="8"/>
    <s v="G1-1층"/>
    <s v="자사"/>
    <s v="미설정"/>
    <n v="2.4"/>
    <n v="700"/>
    <n v="600"/>
    <n v="1200"/>
    <n v="23450000"/>
    <m/>
    <m/>
    <m/>
    <n v="23449000"/>
    <n v="0"/>
    <n v="1000"/>
    <n v="1000"/>
    <m/>
    <m/>
    <m/>
    <s v="완료"/>
    <s v="D-SAW"/>
    <s v="COF(Assy_FT)"/>
    <s v="COF(Assy_FT)"/>
    <s v="기계장치"/>
    <n v="469000"/>
    <n v="44709.168676611909"/>
    <n v="14903.056225537302"/>
    <m/>
    <m/>
    <n v="44709.168676611909"/>
    <n v="44709.168676611909"/>
    <n v="89418.337353223818"/>
    <n v="44709.168676611909"/>
    <n v="44709.168676611909"/>
    <n v="44709.168676611909"/>
    <n v="44709.168676611909"/>
    <n v="178836.67470644764"/>
    <n v="44709.168676611909"/>
    <n v="44709.168676611909"/>
    <n v="44709.168676611909"/>
    <n v="44709.168676611909"/>
    <n v="178836.67470644764"/>
    <n v="44709.168676611909"/>
    <n v="44709.168676611909"/>
    <n v="44709.168676611909"/>
    <n v="44709.168676611909"/>
    <n v="178836.67470644764"/>
    <n v="44709.168676611909"/>
    <n v="44709.168676611909"/>
    <n v="44709.168676611909"/>
    <n v="44709.168676611909"/>
    <n v="178836.67470644764"/>
    <m/>
    <n v="4.5794923697694337E-5"/>
    <n v="961693.39765158109"/>
    <n v="1430693.3976515811"/>
  </r>
  <r>
    <n v="275"/>
    <x v="0"/>
    <m/>
    <s v="구용근"/>
    <s v="구미"/>
    <s v="PKG"/>
    <s v="O"/>
    <s v="8&quot;&amp;12&quot;"/>
    <s v="DDI"/>
    <x v="4"/>
    <s v="COF"/>
    <x v="17"/>
    <n v="1000174"/>
    <s v="MC"/>
    <s v="PCB-01 : N4C-3.0-120"/>
    <s v="NDB-4"/>
    <x v="62"/>
    <m/>
    <s v="4N103-12"/>
    <x v="0"/>
    <s v="가동"/>
    <s v="일본"/>
    <s v="NOMURA"/>
    <x v="1"/>
    <s v="1차"/>
    <s v="1차"/>
    <s v="해당"/>
    <s v="Wafer Sicing Saw"/>
    <m/>
    <s v="범용"/>
    <m/>
    <s v="3B001"/>
    <s v="8486.20-0000"/>
    <m/>
    <m/>
    <d v="2004-12-30T00:00:00"/>
    <d v="2004-12-30T00:00:00"/>
    <n v="20.849315068493151"/>
    <n v="8"/>
    <s v="G1-1층"/>
    <s v="자사"/>
    <s v="미설정"/>
    <n v="1"/>
    <n v="430"/>
    <n v="500"/>
    <n v="1350"/>
    <n v="31000000"/>
    <m/>
    <m/>
    <m/>
    <n v="30999000"/>
    <n v="0"/>
    <n v="1000"/>
    <n v="1000"/>
    <m/>
    <m/>
    <m/>
    <s v="완료"/>
    <s v="D-SAW"/>
    <s v="COF(Assy_FT)"/>
    <s v="COF(Assy_FT)"/>
    <s v="기계장치"/>
    <n v="620000"/>
    <n v="59103.805073559459"/>
    <n v="19701.268357853154"/>
    <m/>
    <m/>
    <n v="59103.805073559459"/>
    <n v="59103.805073559459"/>
    <n v="118207.61014711892"/>
    <n v="59103.805073559459"/>
    <n v="59103.805073559459"/>
    <n v="59103.805073559459"/>
    <n v="59103.805073559459"/>
    <n v="236415.22029423784"/>
    <n v="59103.805073559459"/>
    <n v="59103.805073559459"/>
    <n v="59103.805073559459"/>
    <n v="59103.805073559459"/>
    <n v="236415.22029423784"/>
    <n v="59103.805073559459"/>
    <n v="59103.805073559459"/>
    <n v="59103.805073559459"/>
    <n v="59103.805073559459"/>
    <n v="236415.22029423784"/>
    <n v="59103.805073559459"/>
    <n v="59103.805073559459"/>
    <n v="59103.805073559459"/>
    <n v="59103.805073559459"/>
    <n v="236415.22029423784"/>
    <m/>
    <n v="6.0539131540662027E-5"/>
    <n v="1271321.7623539027"/>
    <n v="1891321.7623539027"/>
  </r>
  <r>
    <n v="276"/>
    <x v="0"/>
    <m/>
    <s v="구용근"/>
    <s v="구미"/>
    <s v="PKG"/>
    <s v="O"/>
    <s v="8&quot;&amp;12&quot;"/>
    <s v="DDI"/>
    <x v="4"/>
    <s v="COF"/>
    <x v="5"/>
    <n v="1000186"/>
    <s v="검사"/>
    <s v="MF-003 : Dage 4000"/>
    <s v="Dage 4000"/>
    <x v="22"/>
    <m/>
    <m/>
    <x v="0"/>
    <s v="가동"/>
    <s v="미국"/>
    <s v="Nordson DAGE"/>
    <x v="2"/>
    <s v="3차"/>
    <s v="3차"/>
    <s v="일반장비(비통제)"/>
    <s v="Shear/Pull test(접합강도)"/>
    <s v="Shear/Pull test(접합강도)"/>
    <s v="범용"/>
    <m/>
    <s v="EAR99"/>
    <s v="9031.80-0000"/>
    <m/>
    <m/>
    <d v="2004-12-30T00:00:00"/>
    <d v="2004-12-30T00:00:00"/>
    <n v="20.849315068493151"/>
    <n v="8"/>
    <s v="G1-1층"/>
    <s v="자사"/>
    <s v="미설정"/>
    <n v="2.11"/>
    <n v="630"/>
    <n v="600"/>
    <n v="830"/>
    <n v="42100000"/>
    <m/>
    <m/>
    <m/>
    <n v="42099000"/>
    <n v="0"/>
    <n v="1000"/>
    <n v="1000"/>
    <m/>
    <m/>
    <m/>
    <s v="완료"/>
    <s v="공통(D)"/>
    <s v="COF(Assy_FT)"/>
    <s v="COF(Assy_FT)"/>
    <s v="기계장치"/>
    <n v="842000"/>
    <n v="26312.5"/>
    <n v="8770.8333333333339"/>
    <m/>
    <m/>
    <m/>
    <m/>
    <m/>
    <m/>
    <m/>
    <n v="26312.5"/>
    <n v="26312.5"/>
    <n v="52625"/>
    <n v="26312.5"/>
    <n v="26312.5"/>
    <n v="26312.5"/>
    <n v="26312.5"/>
    <n v="105250"/>
    <n v="26312.5"/>
    <n v="26312.5"/>
    <n v="26312.5"/>
    <n v="26312.5"/>
    <n v="105250"/>
    <n v="26312.5"/>
    <n v="26312.5"/>
    <n v="26312.5"/>
    <n v="26312.5"/>
    <n v="105250"/>
    <m/>
    <m/>
    <m/>
    <n v="842000"/>
  </r>
  <r>
    <n v="277"/>
    <x v="0"/>
    <m/>
    <s v="구용근"/>
    <s v="구미"/>
    <s v="PKG"/>
    <s v="O"/>
    <s v="8&quot;&amp;12&quot;"/>
    <s v="DDI"/>
    <x v="4"/>
    <s v="COF"/>
    <x v="30"/>
    <n v="1000235"/>
    <s v="MC"/>
    <s v="PCU-03 : OS-OVN11-BK02(오성)"/>
    <s v="OS-OVN11-BK02"/>
    <x v="17"/>
    <m/>
    <s v="050221070101-2"/>
    <x v="0"/>
    <s v="가동"/>
    <s v="한국"/>
    <s v="오성에스티"/>
    <x v="1"/>
    <s v="1차"/>
    <s v="1차"/>
    <s v="일반장비(비통제)"/>
    <s v="접착제 경화"/>
    <s v="접착제 경화"/>
    <s v="일반 산업 장비"/>
    <m/>
    <s v="EAR99"/>
    <s v="8486.40-0000"/>
    <s v="후공정/Assembly oven"/>
    <m/>
    <d v="2005-04-16T00:00:00"/>
    <d v="2005-04-16T00:00:00"/>
    <n v="20.556164383561644"/>
    <n v="8"/>
    <s v="G1-1층"/>
    <s v="자사"/>
    <s v="미설정"/>
    <n v="5"/>
    <n v="1470"/>
    <n v="960"/>
    <n v="1675"/>
    <n v="9900000"/>
    <m/>
    <m/>
    <m/>
    <n v="9899000"/>
    <n v="0"/>
    <n v="1000"/>
    <n v="1000"/>
    <m/>
    <m/>
    <m/>
    <s v="완료"/>
    <s v="D-POT"/>
    <s v="COF(Assy_FT)"/>
    <s v="COF(Assy_FT)"/>
    <s v="기계장치"/>
    <n v="198000"/>
    <n v="18875.086136394792"/>
    <n v="6291.6953787982638"/>
    <m/>
    <m/>
    <n v="18875.086136394792"/>
    <n v="18875.086136394792"/>
    <n v="37750.172272789583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m/>
    <n v="1.9333464588792065E-5"/>
    <n v="406002.75636463339"/>
    <n v="604002.75636463333"/>
  </r>
  <r>
    <n v="278"/>
    <x v="0"/>
    <m/>
    <s v="구용근"/>
    <s v="구미"/>
    <s v="PKG"/>
    <s v="O"/>
    <s v="8&quot;&amp;12&quot;"/>
    <s v="DDI"/>
    <x v="4"/>
    <s v="COF"/>
    <x v="30"/>
    <n v="1000236"/>
    <s v="MC"/>
    <s v="PCU-04 : OS-OVN11-BK02(오성)"/>
    <s v="OS-OVN11-BK02"/>
    <x v="17"/>
    <m/>
    <s v="050221070101-1"/>
    <x v="0"/>
    <s v="가동"/>
    <s v="한국"/>
    <s v="오성에스티"/>
    <x v="1"/>
    <s v="1차"/>
    <s v="1차"/>
    <s v="일반장비(비통제)"/>
    <s v="접착제 경화"/>
    <s v="접착제 경화"/>
    <s v="일반 산업 장비"/>
    <m/>
    <s v="EAR99"/>
    <s v="8486.40-0000"/>
    <s v="후공정/Assembly oven"/>
    <m/>
    <d v="2005-04-16T00:00:00"/>
    <d v="2005-04-16T00:00:00"/>
    <n v="20.556164383561644"/>
    <n v="8"/>
    <s v="G1-1층"/>
    <s v="자사"/>
    <s v="미설정"/>
    <n v="5"/>
    <n v="1470"/>
    <n v="960"/>
    <n v="1675"/>
    <n v="9900000"/>
    <m/>
    <m/>
    <m/>
    <n v="9899000"/>
    <n v="0"/>
    <n v="1000"/>
    <n v="1000"/>
    <m/>
    <m/>
    <m/>
    <s v="완료"/>
    <s v="D-POT"/>
    <s v="COF(Assy_FT)"/>
    <s v="COF(Assy_FT)"/>
    <s v="기계장치"/>
    <n v="198000"/>
    <n v="18875.086136394792"/>
    <n v="6291.6953787982638"/>
    <m/>
    <m/>
    <n v="18875.086136394792"/>
    <n v="18875.086136394792"/>
    <n v="37750.172272789583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m/>
    <n v="1.9333464588792065E-5"/>
    <n v="406002.75636463339"/>
    <n v="604002.75636463333"/>
  </r>
  <r>
    <n v="279"/>
    <x v="0"/>
    <m/>
    <s v="구용근"/>
    <s v="구미"/>
    <s v="PKG"/>
    <s v="O"/>
    <s v="8&quot;&amp;12&quot;"/>
    <s v="DDI"/>
    <x v="4"/>
    <s v="COF"/>
    <x v="31"/>
    <n v="1000250"/>
    <s v="MC"/>
    <s v="PPT-07 : RV-4640A(SEC)"/>
    <s v="RV-4640A"/>
    <x v="63"/>
    <m/>
    <s v="RV4640A-2004030"/>
    <x v="0"/>
    <s v="가동"/>
    <s v="한국"/>
    <s v="SEC"/>
    <x v="0"/>
    <s v="1차"/>
    <s v="1차"/>
    <s v="일반장비(비통제)"/>
    <s v="에폭시 도포기"/>
    <m/>
    <m/>
    <m/>
    <s v="EAR99"/>
    <s v="8486.40-0000"/>
    <m/>
    <m/>
    <d v="2005-04-29T00:00:00"/>
    <d v="2005-04-29T00:00:00"/>
    <n v="20.520547945205479"/>
    <n v="8"/>
    <s v="G1-1층"/>
    <s v="자사"/>
    <s v="미설정"/>
    <n v="6.6"/>
    <n v="6625"/>
    <n v="820"/>
    <n v="1900"/>
    <n v="229000000"/>
    <m/>
    <m/>
    <m/>
    <n v="228999000"/>
    <n v="0"/>
    <n v="1000"/>
    <n v="1000"/>
    <m/>
    <m/>
    <m/>
    <s v="완료"/>
    <s v="D-POT"/>
    <s v="COF(Assy_FT)"/>
    <s v="COF(Assy_FT)"/>
    <s v="기계장치"/>
    <n v="4580000"/>
    <n v="436605.52780145535"/>
    <n v="145535.17593381845"/>
    <m/>
    <m/>
    <m/>
    <m/>
    <m/>
    <m/>
    <m/>
    <n v="436605.52780145535"/>
    <n v="436605.52780145535"/>
    <n v="873211.0556029107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m/>
    <n v="4.4720842331650337E-4"/>
    <n v="9391376.8896465711"/>
    <n v="13971376.889646571"/>
  </r>
  <r>
    <n v="280"/>
    <x v="0"/>
    <m/>
    <s v="구용근"/>
    <s v="구미"/>
    <s v="PKG"/>
    <s v="O"/>
    <s v="8&quot;&amp;12&quot;"/>
    <s v="DDI"/>
    <x v="4"/>
    <s v="COF"/>
    <x v="31"/>
    <n v="1000251"/>
    <s v="MC"/>
    <s v="PPT-08 : RV-4640A(SEC)"/>
    <s v="RV-4640A"/>
    <x v="63"/>
    <m/>
    <s v="RV4640A-2004031"/>
    <x v="0"/>
    <s v="가동"/>
    <s v="한국"/>
    <s v="SEC"/>
    <x v="1"/>
    <s v="1차"/>
    <s v="1차"/>
    <s v="일반장비(비통제)"/>
    <s v="에폭시 도포기"/>
    <m/>
    <m/>
    <m/>
    <s v="EAR99"/>
    <s v="8486.40-0000"/>
    <m/>
    <m/>
    <d v="2005-04-29T00:00:00"/>
    <d v="2005-04-29T00:00:00"/>
    <n v="20.520547945205479"/>
    <n v="8"/>
    <s v="G1-1층"/>
    <s v="자사"/>
    <s v="미설정"/>
    <n v="6.6"/>
    <n v="6625"/>
    <n v="820"/>
    <n v="1900"/>
    <n v="229000000"/>
    <m/>
    <m/>
    <m/>
    <n v="228999000"/>
    <n v="0"/>
    <n v="1000"/>
    <n v="1000"/>
    <m/>
    <m/>
    <m/>
    <s v="완료"/>
    <s v="D-POT"/>
    <s v="COF(Assy_FT)"/>
    <s v="COF(Assy_FT)"/>
    <s v="기계장치"/>
    <n v="4580000"/>
    <n v="436605.52780145535"/>
    <n v="145535.17593381845"/>
    <m/>
    <m/>
    <n v="436605.52780145535"/>
    <n v="436605.52780145535"/>
    <n v="873211.0556029107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m/>
    <n v="4.4720842331650337E-4"/>
    <n v="9391376.8896465711"/>
    <n v="13971376.889646571"/>
  </r>
  <r>
    <n v="281"/>
    <x v="0"/>
    <m/>
    <s v="구용근"/>
    <s v="구미"/>
    <s v="PKG"/>
    <s v="O"/>
    <s v="8&quot;&amp;12&quot;"/>
    <s v="DDI"/>
    <x v="4"/>
    <s v="COF"/>
    <x v="32"/>
    <n v="1004790"/>
    <s v="Upgrade"/>
    <s v="A.I(Align Inspector)"/>
    <m/>
    <x v="6"/>
    <m/>
    <m/>
    <x v="0"/>
    <s v="가동"/>
    <s v="한국"/>
    <m/>
    <x v="0"/>
    <s v="1차"/>
    <s v="1차"/>
    <s v="일반장비(비통제)"/>
    <s v="제조 가공 장비"/>
    <m/>
    <m/>
    <m/>
    <m/>
    <m/>
    <m/>
    <m/>
    <d v="2016-06-01T00:00:00"/>
    <d v="2016-06-01T00:00:00"/>
    <n v="9.4219178082191775"/>
    <n v="8"/>
    <s v="G1-1층"/>
    <s v="자사"/>
    <s v="미설정"/>
    <n v="0"/>
    <m/>
    <m/>
    <m/>
    <n v="667540000"/>
    <m/>
    <m/>
    <m/>
    <n v="667539000"/>
    <n v="5005553"/>
    <n v="1000"/>
    <n v="1000"/>
    <m/>
    <m/>
    <m/>
    <s v="완료"/>
    <s v="D-ILB"/>
    <s v="COF(Assy_FT)"/>
    <s v="COF(Assy_FT)"/>
    <s v="기계장치"/>
    <n v="13350800"/>
    <n v="1272714.6464130282"/>
    <n v="424238.21547100943"/>
    <m/>
    <m/>
    <m/>
    <m/>
    <m/>
    <m/>
    <m/>
    <n v="1272714.6464130282"/>
    <n v="1272714.6464130282"/>
    <n v="2545429.2928260565"/>
    <n v="1272714.6464130282"/>
    <n v="1272714.6464130282"/>
    <n v="1272714.6464130282"/>
    <n v="1272714.6464130282"/>
    <n v="5090858.585652113"/>
    <n v="1272714.6464130282"/>
    <n v="1272714.6464130282"/>
    <n v="1272714.6464130282"/>
    <n v="1272714.6464130282"/>
    <n v="5090858.585652113"/>
    <n v="1272714.6464130282"/>
    <n v="1272714.6464130282"/>
    <n v="1272714.6464130282"/>
    <n v="1272714.6464130282"/>
    <n v="5090858.585652113"/>
    <m/>
    <n v="1.3036223183436621E-3"/>
    <n v="27376068.685216904"/>
    <n v="40726868.685216904"/>
  </r>
  <r>
    <n v="282"/>
    <x v="0"/>
    <m/>
    <s v="구용근"/>
    <s v="구미"/>
    <s v="PKG"/>
    <s v="O"/>
    <s v="8&quot;&amp;12&quot;"/>
    <s v="DDI"/>
    <x v="4"/>
    <s v="COF"/>
    <x v="32"/>
    <n v="1007664"/>
    <s v="Upgrade"/>
    <s v="Dual AI Soft (Stage Temp &amp; Lead Open 검사)"/>
    <m/>
    <x v="6"/>
    <m/>
    <m/>
    <x v="0"/>
    <s v="가동"/>
    <s v="한국"/>
    <m/>
    <x v="0"/>
    <s v="1차"/>
    <s v="1차"/>
    <s v="일반장비(비통제)"/>
    <s v="검사 측정 시험"/>
    <m/>
    <m/>
    <m/>
    <m/>
    <m/>
    <m/>
    <m/>
    <d v="2024-06-30T00:00:00"/>
    <d v="2024-06-30T00:00:00"/>
    <n v="1.3369863013698631"/>
    <n v="8"/>
    <s v="G1-1층"/>
    <s v="자사"/>
    <s v="미설정"/>
    <n v="0"/>
    <m/>
    <m/>
    <m/>
    <n v="30000000"/>
    <m/>
    <m/>
    <m/>
    <n v="4375000"/>
    <n v="312500"/>
    <n v="24687500"/>
    <n v="2437889"/>
    <m/>
    <m/>
    <n v="82"/>
    <s v="미완료"/>
    <s v="D-ILB"/>
    <s v="COF(Assy_FT)"/>
    <s v="COF(Assy_FT)"/>
    <s v="기계장치"/>
    <n v="25921875"/>
    <n v="2471099.1082922164"/>
    <n v="823699.70276407211"/>
    <m/>
    <m/>
    <m/>
    <m/>
    <m/>
    <m/>
    <m/>
    <n v="2471099.1082922164"/>
    <n v="2471099.1082922164"/>
    <n v="4942198.2165844329"/>
    <n v="2471099.1082922164"/>
    <n v="2471099.1082922164"/>
    <n v="2471099.1082922164"/>
    <n v="2471099.1082922164"/>
    <n v="9884396.4331688657"/>
    <n v="2471099.1082922164"/>
    <n v="2471099.1082922164"/>
    <n v="2471099.1082922164"/>
    <n v="2471099.1082922164"/>
    <n v="9884396.4331688657"/>
    <n v="2471099.1082922164"/>
    <n v="2471099.1082922164"/>
    <n v="2471099.1082922164"/>
    <n v="2471099.1082922164"/>
    <n v="9884396.4331688657"/>
    <m/>
    <n v="2.5311093554929009E-3"/>
    <n v="53153296.465350918"/>
    <n v="79075171.465350926"/>
  </r>
  <r>
    <n v="283"/>
    <x v="0"/>
    <m/>
    <s v="구용근"/>
    <s v="구미"/>
    <s v="PKG"/>
    <s v="O"/>
    <s v="8&quot;&amp;12&quot;"/>
    <s v="DDI"/>
    <x v="4"/>
    <s v="COF"/>
    <x v="32"/>
    <n v="1000902"/>
    <s v="Upgrade"/>
    <s v="DUSTER ROLLER(루셈표준)(PIL-34)"/>
    <m/>
    <x v="6"/>
    <m/>
    <m/>
    <x v="0"/>
    <s v="가동"/>
    <s v="한국"/>
    <m/>
    <x v="0"/>
    <s v="1차"/>
    <s v="1차"/>
    <s v="일반장비(비통제)"/>
    <s v="제조 가공 장비"/>
    <m/>
    <m/>
    <m/>
    <m/>
    <m/>
    <m/>
    <m/>
    <d v="2007-02-26T00:00:00"/>
    <d v="2007-02-26T00:00:00"/>
    <n v="18.69041095890411"/>
    <n v="8"/>
    <s v="G1-1층"/>
    <s v="자사"/>
    <s v="미설정"/>
    <n v="0"/>
    <m/>
    <m/>
    <m/>
    <n v="12500000"/>
    <m/>
    <m/>
    <m/>
    <n v="12499000"/>
    <n v="0"/>
    <n v="1000"/>
    <n v="1000"/>
    <m/>
    <m/>
    <m/>
    <s v="완료"/>
    <s v="D-ILB"/>
    <s v="COF(Assy_FT)"/>
    <s v="COF(Assy_FT)"/>
    <s v="기계장치"/>
    <n v="250000"/>
    <n v="23832.179465144938"/>
    <n v="7944.0598217149791"/>
    <m/>
    <m/>
    <m/>
    <m/>
    <m/>
    <m/>
    <m/>
    <n v="23832.179465144938"/>
    <n v="23832.179465144938"/>
    <n v="47664.358930289876"/>
    <n v="23832.179465144938"/>
    <n v="23832.179465144938"/>
    <n v="23832.179465144938"/>
    <n v="23832.179465144938"/>
    <n v="95328.717860579753"/>
    <n v="23832.179465144938"/>
    <n v="23832.179465144938"/>
    <n v="23832.179465144938"/>
    <n v="23832.179465144938"/>
    <n v="95328.717860579753"/>
    <n v="23832.179465144938"/>
    <n v="23832.179465144938"/>
    <n v="23832.179465144938"/>
    <n v="23832.179465144938"/>
    <n v="95328.717860579753"/>
    <m/>
    <n v="2.4410940137363719E-5"/>
    <n v="512629.74288463808"/>
    <n v="762629.74288463802"/>
  </r>
  <r>
    <n v="284"/>
    <x v="0"/>
    <m/>
    <s v="구용근"/>
    <s v="구미"/>
    <s v="PKG"/>
    <s v="O"/>
    <s v="8&quot;&amp;12&quot;"/>
    <s v="DDI"/>
    <x v="4"/>
    <s v="COF"/>
    <x v="17"/>
    <n v="1000286"/>
    <s v="MC"/>
    <s v="PCB-02 : N4C-3.0-120"/>
    <s v="NDB-4"/>
    <x v="62"/>
    <m/>
    <n v="82"/>
    <x v="0"/>
    <s v="가동"/>
    <s v="일본"/>
    <s v="NOMURA"/>
    <x v="1"/>
    <s v="1차"/>
    <s v="1차"/>
    <s v="해당"/>
    <s v="Wafer Sicing Saw"/>
    <m/>
    <m/>
    <m/>
    <s v="3B001"/>
    <s v="8486.20-0000"/>
    <m/>
    <m/>
    <d v="2005-05-18T00:00:00"/>
    <d v="2005-05-21T00:00:00"/>
    <n v="20.460273972602739"/>
    <n v="8"/>
    <s v="G1-1층"/>
    <s v="자사"/>
    <s v="미설정"/>
    <n v="1"/>
    <n v="430"/>
    <n v="500"/>
    <n v="1350"/>
    <n v="31000000"/>
    <m/>
    <m/>
    <m/>
    <n v="30999000"/>
    <n v="0"/>
    <n v="1000"/>
    <n v="1000"/>
    <m/>
    <m/>
    <m/>
    <s v="완료"/>
    <s v="D-SAW"/>
    <s v="COF(Assy_FT)"/>
    <s v="COF(Assy_FT)"/>
    <s v="기계장치"/>
    <n v="620000"/>
    <n v="59103.805073559459"/>
    <n v="19701.268357853154"/>
    <m/>
    <m/>
    <n v="59103.805073559459"/>
    <n v="59103.805073559459"/>
    <n v="118207.61014711892"/>
    <n v="59103.805073559459"/>
    <n v="59103.805073559459"/>
    <n v="59103.805073559459"/>
    <n v="59103.805073559459"/>
    <n v="236415.22029423784"/>
    <n v="59103.805073559459"/>
    <n v="59103.805073559459"/>
    <n v="59103.805073559459"/>
    <n v="59103.805073559459"/>
    <n v="236415.22029423784"/>
    <n v="59103.805073559459"/>
    <n v="59103.805073559459"/>
    <n v="59103.805073559459"/>
    <n v="59103.805073559459"/>
    <n v="236415.22029423784"/>
    <n v="59103.805073559459"/>
    <n v="59103.805073559459"/>
    <n v="59103.805073559459"/>
    <n v="59103.805073559459"/>
    <n v="236415.22029423784"/>
    <m/>
    <n v="6.0539131540662027E-5"/>
    <n v="1271321.7623539027"/>
    <n v="1891321.7623539027"/>
  </r>
  <r>
    <n v="285"/>
    <x v="0"/>
    <m/>
    <s v="구용근"/>
    <s v="구미"/>
    <s v="PKG"/>
    <s v="O"/>
    <s v="8&quot;&amp;12&quot;"/>
    <s v="DDI"/>
    <x v="4"/>
    <s v="COF"/>
    <x v="32"/>
    <n v="1006342"/>
    <s v="Upgrade"/>
    <s v="ILB 헤파필터(FFU 41대)"/>
    <m/>
    <x v="6"/>
    <m/>
    <m/>
    <x v="0"/>
    <s v="가동"/>
    <s v="한국"/>
    <m/>
    <x v="0"/>
    <s v="1차"/>
    <s v="1차"/>
    <s v="일반장비(비통제)"/>
    <s v="제조 가공 장비"/>
    <m/>
    <m/>
    <m/>
    <m/>
    <m/>
    <m/>
    <m/>
    <d v="2020-05-26T00:00:00"/>
    <d v="2020-05-26T00:00:00"/>
    <n v="5.4356164383561643"/>
    <n v="8"/>
    <s v="G1-1층"/>
    <s v="자사"/>
    <s v="미설정"/>
    <n v="0"/>
    <m/>
    <m/>
    <m/>
    <n v="56000000"/>
    <m/>
    <m/>
    <m/>
    <n v="36749997"/>
    <n v="583333"/>
    <n v="17500004"/>
    <n v="1537407"/>
    <m/>
    <m/>
    <n v="33.000024000013717"/>
    <s v="미완료"/>
    <s v="D-ILB"/>
    <s v="COF(Assy_FT)"/>
    <s v="COF(Assy_FT)"/>
    <s v="기계장치"/>
    <n v="18375004.199999999"/>
    <n v="1751665.5910687679"/>
    <n v="583888.53035625594"/>
    <m/>
    <m/>
    <m/>
    <m/>
    <m/>
    <m/>
    <m/>
    <n v="1751665.5910687679"/>
    <n v="1751665.5910687679"/>
    <n v="3503331.1821375359"/>
    <n v="1751665.5910687679"/>
    <n v="1751665.5910687679"/>
    <n v="1751665.5910687679"/>
    <n v="1751665.5910687679"/>
    <n v="7006662.3642750718"/>
    <n v="1751665.5910687679"/>
    <n v="1751665.5910687679"/>
    <n v="1751665.5910687679"/>
    <n v="1751665.5910687679"/>
    <n v="7006662.3642750718"/>
    <n v="1751665.5910687679"/>
    <n v="1751665.5910687679"/>
    <n v="1751665.5910687679"/>
    <n v="1751665.5910687679"/>
    <n v="7006662.3642750718"/>
    <m/>
    <n v="1.7942045102000276E-3"/>
    <n v="37678294.714200579"/>
    <n v="56053298.914200574"/>
  </r>
  <r>
    <n v="286"/>
    <x v="0"/>
    <m/>
    <s v="구용근"/>
    <s v="구미"/>
    <s v="PKG"/>
    <s v="O"/>
    <s v="8&quot;&amp;12&quot;"/>
    <s v="DDI"/>
    <x v="4"/>
    <s v="COF"/>
    <x v="32"/>
    <n v="1004789"/>
    <s v="Upgrade"/>
    <s v="NIR A.I(TFC3600용)(PIL-62)"/>
    <m/>
    <x v="6"/>
    <m/>
    <m/>
    <x v="0"/>
    <s v="가동"/>
    <s v="한국"/>
    <m/>
    <x v="0"/>
    <s v="1차"/>
    <s v="1차"/>
    <s v="일반장비(비통제)"/>
    <s v="제조 가공 장비"/>
    <m/>
    <m/>
    <m/>
    <m/>
    <m/>
    <m/>
    <m/>
    <d v="2016-06-01T00:00:00"/>
    <d v="2016-06-01T00:00:00"/>
    <n v="9.4219178082191775"/>
    <n v="8"/>
    <s v="G1-1층"/>
    <s v="자사"/>
    <s v="미설정"/>
    <n v="0"/>
    <m/>
    <m/>
    <m/>
    <n v="46000000"/>
    <m/>
    <m/>
    <m/>
    <n v="45999000"/>
    <n v="344001"/>
    <n v="1000"/>
    <n v="1000"/>
    <m/>
    <m/>
    <m/>
    <s v="완료"/>
    <s v="D-ILB"/>
    <s v="COF(Assy_FT)"/>
    <s v="COF(Assy_FT)"/>
    <s v="기계장치"/>
    <n v="920000"/>
    <n v="87702.420431733393"/>
    <n v="29234.140143911132"/>
    <m/>
    <m/>
    <m/>
    <m/>
    <m/>
    <m/>
    <m/>
    <n v="87702.420431733393"/>
    <n v="87702.420431733393"/>
    <n v="175404.84086346679"/>
    <n v="87702.420431733393"/>
    <n v="87702.420431733393"/>
    <n v="87702.420431733393"/>
    <n v="87702.420431733393"/>
    <n v="350809.68172693357"/>
    <n v="87702.420431733393"/>
    <n v="87702.420431733393"/>
    <n v="87702.420431733393"/>
    <n v="87702.420431733393"/>
    <n v="350809.68172693357"/>
    <n v="87702.420431733393"/>
    <n v="87702.420431733393"/>
    <n v="87702.420431733393"/>
    <n v="87702.420431733393"/>
    <n v="350809.68172693357"/>
    <m/>
    <n v="8.9832259705498497E-5"/>
    <n v="1886477.4538154684"/>
    <n v="2806477.4538154686"/>
  </r>
  <r>
    <n v="287"/>
    <x v="0"/>
    <m/>
    <s v="구용근"/>
    <s v="구미"/>
    <s v="PKG"/>
    <s v="O"/>
    <s v="8&quot;"/>
    <s v="DDI"/>
    <x v="4"/>
    <s v="COF"/>
    <x v="32"/>
    <n v="1000582"/>
    <s v="MC"/>
    <s v="PIL-10 : FLIP-COF-300"/>
    <s v="COF-300"/>
    <x v="64"/>
    <s v="1세대"/>
    <s v="A5-56141"/>
    <x v="164"/>
    <s v="가동"/>
    <s v="일본"/>
    <s v="Shinkawa"/>
    <x v="1"/>
    <s v="1차"/>
    <s v="1차"/>
    <s v="해당"/>
    <s v="COF 본딩"/>
    <s v="COF 본딩"/>
    <m/>
    <m/>
    <s v="3B991"/>
    <s v="8486.20-0000"/>
    <s v="반도체제조장비"/>
    <m/>
    <d v="2006-04-30T00:00:00"/>
    <d v="2006-04-30T00:00:00"/>
    <n v="19.517808219178082"/>
    <n v="8"/>
    <s v="G1-1층"/>
    <s v="자사"/>
    <s v="미설정"/>
    <n v="2.5"/>
    <n v="2700"/>
    <n v="1350"/>
    <n v="2000"/>
    <n v="256276301"/>
    <m/>
    <m/>
    <m/>
    <n v="256275301"/>
    <n v="1482730"/>
    <n v="1000"/>
    <n v="1000"/>
    <m/>
    <m/>
    <m/>
    <s v="완료"/>
    <s v="D-ILB"/>
    <s v="COF(Assy_FT)"/>
    <s v="COF(Assy_FT)"/>
    <s v="기계장치"/>
    <n v="5125526.0200000005"/>
    <n v="488609.82384764031"/>
    <n v="162869.94128254676"/>
    <m/>
    <m/>
    <n v="488609.82384764031"/>
    <n v="488609.82384764031"/>
    <n v="977219.64769528061"/>
    <n v="488609.82384764031"/>
    <n v="488609.82384764031"/>
    <n v="488609.82384764031"/>
    <n v="488609.82384764031"/>
    <n v="1954439.2953905612"/>
    <n v="488609.82384764031"/>
    <n v="488609.82384764031"/>
    <n v="488609.82384764031"/>
    <n v="488609.82384764031"/>
    <n v="1954439.2953905612"/>
    <n v="488609.82384764031"/>
    <n v="488609.82384764031"/>
    <n v="488609.82384764031"/>
    <n v="488609.82384764031"/>
    <n v="1954439.2953905612"/>
    <n v="488609.82384764031"/>
    <n v="488609.82384764031"/>
    <n v="488609.82384764031"/>
    <n v="488609.82384764031"/>
    <n v="1954439.2953905612"/>
    <m/>
    <n v="5.0047563538688049E-4"/>
    <n v="10509988.34312449"/>
    <n v="15635514.36312449"/>
  </r>
  <r>
    <n v="288"/>
    <x v="0"/>
    <m/>
    <s v="구용근"/>
    <s v="구미"/>
    <s v="PKG"/>
    <s v="O"/>
    <s v="8&quot;&amp;12&quot;"/>
    <s v="DDI"/>
    <x v="4"/>
    <s v="COF"/>
    <x v="33"/>
    <n v="1000290"/>
    <s v="MC"/>
    <s v="PRW-01 : AUTO REWINDER - 01"/>
    <s v="SWLU-RWA-100"/>
    <x v="65"/>
    <m/>
    <s v="A7-01"/>
    <x v="0"/>
    <s v="가동"/>
    <s v="한국"/>
    <s v="서우테크"/>
    <x v="0"/>
    <s v="1차"/>
    <s v="1차"/>
    <s v="일반장비(비통제)"/>
    <s v="reel 자재를 자동 풀림→정렬→재권취"/>
    <s v="eel 자재를 자동 풀림→정렬→재권취"/>
    <m/>
    <m/>
    <s v="EAR99"/>
    <s v="8479.89-0000"/>
    <m/>
    <m/>
    <d v="2005-05-25T00:00:00"/>
    <d v="2005-05-25T00:00:00"/>
    <n v="20.449315068493149"/>
    <n v="8"/>
    <s v="G1-1층"/>
    <s v="자사"/>
    <s v="미설정"/>
    <n v="2.11"/>
    <n v="1500"/>
    <n v="700"/>
    <n v="1695"/>
    <n v="14350000"/>
    <m/>
    <m/>
    <m/>
    <n v="14349000"/>
    <n v="0"/>
    <n v="1000"/>
    <n v="1000"/>
    <m/>
    <m/>
    <m/>
    <s v="완료"/>
    <s v="공통(DA)"/>
    <s v="COF(Assy_FT)"/>
    <s v="COF(Assy_FT)"/>
    <s v="기계장치"/>
    <n v="287000"/>
    <n v="27359.342025986392"/>
    <n v="9119.7806753287969"/>
    <m/>
    <m/>
    <m/>
    <m/>
    <m/>
    <m/>
    <m/>
    <n v="27359.342025986392"/>
    <n v="27359.342025986392"/>
    <n v="54718.684051972785"/>
    <n v="27359.342025986392"/>
    <n v="27359.342025986392"/>
    <n v="27359.342025986392"/>
    <n v="27359.342025986392"/>
    <n v="109437.36810394557"/>
    <n v="27359.342025986392"/>
    <n v="27359.342025986392"/>
    <n v="27359.342025986392"/>
    <n v="27359.342025986392"/>
    <n v="109437.36810394557"/>
    <n v="27359.342025986392"/>
    <n v="27359.342025986392"/>
    <n v="27359.342025986392"/>
    <n v="27359.342025986392"/>
    <n v="109437.36810394557"/>
    <m/>
    <n v="2.802375927769355E-5"/>
    <n v="588498.94483156456"/>
    <n v="875498.94483156456"/>
  </r>
  <r>
    <n v="289"/>
    <x v="0"/>
    <m/>
    <s v="구용근"/>
    <s v="구미"/>
    <s v="PKG"/>
    <s v="O"/>
    <s v="8&quot;&amp;12&quot;"/>
    <s v="DDI"/>
    <x v="4"/>
    <s v="COF"/>
    <x v="33"/>
    <n v="1000291"/>
    <s v="MC"/>
    <s v="PRW-02 : AUTO REWINDER - 02"/>
    <s v="SWLU-RWA-100"/>
    <x v="65"/>
    <m/>
    <s v="A7-02"/>
    <x v="0"/>
    <s v="가동"/>
    <s v="한국"/>
    <s v="서우테크"/>
    <x v="0"/>
    <s v="1차"/>
    <s v="1차"/>
    <s v="일반장비(비통제)"/>
    <s v="reel 자재를 자동 풀림→정렬→재권취"/>
    <s v="eel 자재를 자동 풀림→정렬→재권취"/>
    <m/>
    <m/>
    <s v="EAR99"/>
    <s v="8479.89-0000"/>
    <m/>
    <m/>
    <d v="2005-05-25T00:00:00"/>
    <d v="2005-05-25T00:00:00"/>
    <n v="20.449315068493149"/>
    <n v="8"/>
    <s v="G1-1층"/>
    <s v="자사"/>
    <s v="미설정"/>
    <n v="2.11"/>
    <n v="1500"/>
    <n v="700"/>
    <n v="1695"/>
    <n v="14350000"/>
    <m/>
    <m/>
    <m/>
    <n v="14349000"/>
    <n v="0"/>
    <n v="1000"/>
    <n v="1000"/>
    <m/>
    <m/>
    <m/>
    <s v="완료"/>
    <s v="공통(DA)"/>
    <s v="COF(Assy_FT)"/>
    <s v="COF(Assy_FT)"/>
    <s v="기계장치"/>
    <n v="287000"/>
    <n v="27359.342025986392"/>
    <n v="9119.7806753287969"/>
    <m/>
    <m/>
    <m/>
    <m/>
    <m/>
    <m/>
    <m/>
    <n v="27359.342025986392"/>
    <n v="27359.342025986392"/>
    <n v="54718.684051972785"/>
    <n v="27359.342025986392"/>
    <n v="27359.342025986392"/>
    <n v="27359.342025986392"/>
    <n v="27359.342025986392"/>
    <n v="109437.36810394557"/>
    <n v="27359.342025986392"/>
    <n v="27359.342025986392"/>
    <n v="27359.342025986392"/>
    <n v="27359.342025986392"/>
    <n v="109437.36810394557"/>
    <n v="27359.342025986392"/>
    <n v="27359.342025986392"/>
    <n v="27359.342025986392"/>
    <n v="27359.342025986392"/>
    <n v="109437.36810394557"/>
    <m/>
    <n v="2.802375927769355E-5"/>
    <n v="588498.94483156456"/>
    <n v="875498.94483156456"/>
  </r>
  <r>
    <n v="290"/>
    <x v="0"/>
    <m/>
    <s v="구용근"/>
    <s v="구미"/>
    <s v="PKG"/>
    <s v="O"/>
    <s v="8&quot;"/>
    <s v="DDI"/>
    <x v="4"/>
    <s v="COF"/>
    <x v="17"/>
    <n v="1000301"/>
    <s v="MC"/>
    <s v="PSA-03 : DFD6340(DISCO)"/>
    <s v="DFD6340"/>
    <x v="31"/>
    <m/>
    <s v="JT1491"/>
    <x v="0"/>
    <s v="가동"/>
    <s v="일본"/>
    <s v="Disco"/>
    <x v="1"/>
    <s v="1차"/>
    <s v="1차"/>
    <s v="해당"/>
    <s v="Wafer Sicing Saw"/>
    <s v="Wafer Sicing Saw"/>
    <m/>
    <m/>
    <s v="3B001"/>
    <s v="8486.40-0000"/>
    <s v="전략물자수출입고시"/>
    <m/>
    <d v="2005-05-21T00:00:00"/>
    <d v="2005-05-26T00:00:00"/>
    <n v="20.446575342465753"/>
    <n v="8"/>
    <s v="G1-1층"/>
    <s v="자사"/>
    <s v="미설정"/>
    <n v="6.24"/>
    <n v="1150"/>
    <n v="1200"/>
    <n v="2100"/>
    <n v="211167086"/>
    <m/>
    <m/>
    <m/>
    <n v="211166086"/>
    <n v="0"/>
    <n v="1000"/>
    <n v="1000"/>
    <m/>
    <m/>
    <m/>
    <s v="완료"/>
    <s v="D-SAW"/>
    <s v="COF(Assy_FT)"/>
    <s v="COF(Assy_FT)"/>
    <s v="기계장치"/>
    <n v="4223341.72"/>
    <n v="402605.75125469558"/>
    <n v="134201.91708489854"/>
    <m/>
    <m/>
    <n v="402605.75125469558"/>
    <n v="402605.75125469558"/>
    <n v="805211.50250939117"/>
    <n v="402605.75125469558"/>
    <n v="402605.75125469558"/>
    <n v="402605.75125469558"/>
    <n v="402605.75125469558"/>
    <n v="1610423.0050187823"/>
    <n v="402605.75125469558"/>
    <n v="402605.75125469558"/>
    <n v="402605.75125469558"/>
    <n v="402605.75125469558"/>
    <n v="1610423.0050187823"/>
    <n v="402605.75125469558"/>
    <n v="402605.75125469558"/>
    <n v="402605.75125469558"/>
    <n v="402605.75125469558"/>
    <n v="1610423.0050187823"/>
    <n v="402605.75125469558"/>
    <n v="402605.75125469558"/>
    <n v="402605.75125469558"/>
    <n v="402605.75125469558"/>
    <n v="1610423.0050187823"/>
    <m/>
    <n v="4.1238296762620289E-4"/>
    <n v="8660042.3201502599"/>
    <n v="12883384.040150259"/>
  </r>
  <r>
    <n v="291"/>
    <x v="0"/>
    <m/>
    <s v="구용근"/>
    <s v="구미"/>
    <s v="PKG"/>
    <s v="O"/>
    <s v="8&quot;"/>
    <s v="DDI"/>
    <x v="4"/>
    <s v="COF"/>
    <x v="17"/>
    <n v="1000302"/>
    <s v="MC"/>
    <s v="PSA-04 : DFD6340(DISCO)"/>
    <s v="DFD6340"/>
    <x v="31"/>
    <m/>
    <s v="JT1492"/>
    <x v="0"/>
    <s v="가동"/>
    <s v="일본"/>
    <s v="Disco"/>
    <x v="1"/>
    <s v="1차"/>
    <s v="1차"/>
    <s v="해당"/>
    <s v="Wafer Sicing Saw"/>
    <s v="Wafer Sicing Saw"/>
    <m/>
    <m/>
    <s v="3B001"/>
    <s v="8486.40-0000"/>
    <s v="전략물자수출입고시"/>
    <m/>
    <d v="2005-05-21T00:00:00"/>
    <d v="2005-05-26T00:00:00"/>
    <n v="20.446575342465753"/>
    <n v="8"/>
    <s v="G1-1층"/>
    <s v="자사"/>
    <s v="미설정"/>
    <n v="6.24"/>
    <n v="1150"/>
    <n v="1200"/>
    <n v="2100"/>
    <n v="221744366"/>
    <m/>
    <m/>
    <m/>
    <n v="221743366"/>
    <n v="0"/>
    <n v="1000"/>
    <n v="1000"/>
    <m/>
    <m/>
    <m/>
    <s v="완료"/>
    <s v="D-SAW"/>
    <s v="COF(Assy_FT)"/>
    <s v="COF(Assy_FT)"/>
    <s v="기계장치"/>
    <n v="4434887.32"/>
    <n v="422772.12207174278"/>
    <n v="140924.04069058094"/>
    <m/>
    <m/>
    <n v="422772.12207174278"/>
    <n v="422772.12207174278"/>
    <n v="845544.24414348556"/>
    <n v="422772.12207174278"/>
    <n v="422772.12207174278"/>
    <n v="422772.12207174278"/>
    <n v="422772.12207174278"/>
    <n v="1691088.4882869711"/>
    <n v="422772.12207174278"/>
    <n v="422772.12207174278"/>
    <n v="422772.12207174278"/>
    <n v="422772.12207174278"/>
    <n v="1691088.4882869711"/>
    <n v="422772.12207174278"/>
    <n v="422772.12207174278"/>
    <n v="422772.12207174278"/>
    <n v="422772.12207174278"/>
    <n v="1691088.4882869711"/>
    <n v="422772.12207174278"/>
    <n v="422772.12207174278"/>
    <n v="422772.12207174278"/>
    <n v="422772.12207174278"/>
    <n v="1691088.4882869711"/>
    <m/>
    <n v="4.3303907553789373E-4"/>
    <n v="9093820.5862957686"/>
    <n v="13528707.906295769"/>
  </r>
  <r>
    <n v="292"/>
    <x v="0"/>
    <m/>
    <s v="구용근"/>
    <s v="구미"/>
    <s v="PKG"/>
    <s v="O"/>
    <s v="8&quot;&amp;12&quot;"/>
    <s v="DDI"/>
    <x v="4"/>
    <s v="COF"/>
    <x v="31"/>
    <n v="1000307"/>
    <s v="MC"/>
    <s v="PPT-09 : TIPS-435A(SEC)"/>
    <s v="TIPS-435A"/>
    <x v="66"/>
    <m/>
    <s v="TIPS435A-05001"/>
    <x v="0"/>
    <s v="가동"/>
    <s v="한국"/>
    <s v="SEC"/>
    <x v="1"/>
    <s v="1차"/>
    <s v="1차"/>
    <s v="일반장비(비통제)"/>
    <s v="에폭시 도포기"/>
    <m/>
    <m/>
    <m/>
    <s v="EAR99"/>
    <s v="8486.40-0000"/>
    <m/>
    <m/>
    <d v="2005-05-31T00:00:00"/>
    <d v="2005-05-31T00:00:00"/>
    <n v="20.432876712328767"/>
    <n v="8"/>
    <s v="G1-1층"/>
    <s v="자사"/>
    <s v="미설정"/>
    <n v="6.6"/>
    <n v="6625"/>
    <n v="820"/>
    <n v="1900"/>
    <n v="229000000"/>
    <m/>
    <m/>
    <m/>
    <n v="228999000"/>
    <n v="0"/>
    <n v="1000"/>
    <n v="1000"/>
    <m/>
    <m/>
    <m/>
    <s v="완료"/>
    <s v="D-POT"/>
    <s v="COF(Assy_FT)"/>
    <s v="COF(Assy_FT)"/>
    <s v="기계장치"/>
    <n v="4580000"/>
    <n v="436605.52780145535"/>
    <n v="145535.17593381845"/>
    <m/>
    <m/>
    <n v="436605.52780145535"/>
    <n v="436605.52780145535"/>
    <n v="873211.0556029107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m/>
    <n v="4.4720842331650337E-4"/>
    <n v="9391376.8896465711"/>
    <n v="13971376.889646571"/>
  </r>
  <r>
    <n v="293"/>
    <x v="0"/>
    <m/>
    <s v="구용근"/>
    <s v="구미"/>
    <s v="PKG"/>
    <s v="O"/>
    <s v="8&quot;&amp;12&quot;"/>
    <s v="DDI"/>
    <x v="4"/>
    <s v="COF"/>
    <x v="31"/>
    <n v="1000308"/>
    <s v="MC"/>
    <s v="PPT-10 : TIPS-435A(SEC)"/>
    <s v="TIPS-435A"/>
    <x v="66"/>
    <m/>
    <s v="TIPS435A-05002"/>
    <x v="0"/>
    <s v="가동"/>
    <s v="한국"/>
    <s v="SEC"/>
    <x v="0"/>
    <s v="1차"/>
    <s v="1차"/>
    <s v="일반장비(비통제)"/>
    <s v="에폭시 도포기"/>
    <m/>
    <m/>
    <m/>
    <s v="EAR99"/>
    <s v="8486.40-0000"/>
    <m/>
    <m/>
    <d v="2005-05-31T00:00:00"/>
    <d v="2005-05-31T00:00:00"/>
    <n v="20.432876712328767"/>
    <n v="8"/>
    <s v="G1-1층"/>
    <s v="자사"/>
    <s v="미설정"/>
    <n v="6.6"/>
    <n v="6625"/>
    <n v="820"/>
    <n v="1900"/>
    <n v="229000000"/>
    <m/>
    <m/>
    <m/>
    <n v="228999000"/>
    <n v="0"/>
    <n v="1000"/>
    <n v="1000"/>
    <m/>
    <m/>
    <m/>
    <s v="완료"/>
    <s v="D-POT"/>
    <s v="COF(Assy_FT)"/>
    <s v="COF(Assy_FT)"/>
    <s v="기계장치"/>
    <n v="4580000"/>
    <n v="436605.52780145535"/>
    <n v="145535.17593381845"/>
    <m/>
    <m/>
    <m/>
    <m/>
    <m/>
    <m/>
    <m/>
    <n v="436605.52780145535"/>
    <n v="436605.52780145535"/>
    <n v="873211.0556029107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m/>
    <n v="4.4720842331650337E-4"/>
    <n v="9391376.8896465711"/>
    <n v="13971376.889646571"/>
  </r>
  <r>
    <n v="294"/>
    <x v="0"/>
    <m/>
    <s v="구용근"/>
    <s v="구미"/>
    <s v="PKG"/>
    <s v="O"/>
    <s v="8&quot;&amp;12&quot;"/>
    <s v="DDI"/>
    <x v="4"/>
    <s v="COF"/>
    <x v="31"/>
    <n v="1000309"/>
    <s v="MC"/>
    <s v="PPT-11 : TIPS-435A(SEC)"/>
    <s v="TIPS-435A"/>
    <x v="66"/>
    <m/>
    <s v="TIPS435A-05003"/>
    <x v="0"/>
    <s v="가동"/>
    <s v="한국"/>
    <s v="SEC"/>
    <x v="1"/>
    <s v="1차"/>
    <s v="1차"/>
    <s v="일반장비(비통제)"/>
    <s v="에폭시 도포기"/>
    <m/>
    <m/>
    <m/>
    <s v="EAR99"/>
    <s v="8486.40-0000"/>
    <m/>
    <m/>
    <d v="2005-05-31T00:00:00"/>
    <d v="2005-05-31T00:00:00"/>
    <n v="20.432876712328767"/>
    <n v="8"/>
    <s v="G1-1층"/>
    <s v="자사"/>
    <s v="미설정"/>
    <n v="6.6"/>
    <n v="6625"/>
    <n v="820"/>
    <n v="1900"/>
    <n v="229000000"/>
    <m/>
    <m/>
    <m/>
    <n v="228999000"/>
    <n v="0"/>
    <n v="1000"/>
    <n v="1000"/>
    <m/>
    <m/>
    <m/>
    <s v="완료"/>
    <s v="D-POT"/>
    <s v="COF(Assy_FT)"/>
    <s v="COF(Assy_FT)"/>
    <s v="기계장치"/>
    <n v="4580000"/>
    <n v="436605.52780145535"/>
    <n v="145535.17593381845"/>
    <m/>
    <m/>
    <n v="436605.52780145535"/>
    <n v="436605.52780145535"/>
    <n v="873211.0556029107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m/>
    <n v="4.4720842331650337E-4"/>
    <n v="9391376.8896465711"/>
    <n v="13971376.889646571"/>
  </r>
  <r>
    <n v="295"/>
    <x v="0"/>
    <m/>
    <s v="구용근"/>
    <s v="구미"/>
    <s v="PKG"/>
    <s v="O"/>
    <s v="8&quot;&amp;12&quot;"/>
    <s v="DDI"/>
    <x v="4"/>
    <s v="COF"/>
    <x v="31"/>
    <n v="1000319"/>
    <s v="MC"/>
    <s v="PPT-12 : TIPS-435A(SEC)"/>
    <s v="TIPS-435A"/>
    <x v="66"/>
    <m/>
    <s v="TIPS435A-05004"/>
    <x v="0"/>
    <s v="가동"/>
    <s v="한국"/>
    <s v="SEC"/>
    <x v="1"/>
    <s v="1차"/>
    <s v="1차"/>
    <s v="일반장비(비통제)"/>
    <s v="에폭시 도포기"/>
    <m/>
    <m/>
    <m/>
    <s v="EAR99"/>
    <s v="8486.40-0000"/>
    <m/>
    <m/>
    <d v="2005-06-15T00:00:00"/>
    <d v="2005-06-15T00:00:00"/>
    <n v="20.391780821917809"/>
    <n v="8"/>
    <s v="G1-1층"/>
    <s v="자사"/>
    <s v="미설정"/>
    <n v="6.6"/>
    <n v="6625"/>
    <n v="820"/>
    <n v="1900"/>
    <n v="229000000"/>
    <m/>
    <m/>
    <m/>
    <n v="228999000"/>
    <n v="0"/>
    <n v="1000"/>
    <n v="1000"/>
    <m/>
    <m/>
    <m/>
    <s v="완료"/>
    <s v="D-POT"/>
    <s v="COF(Assy_FT)"/>
    <s v="COF(Assy_FT)"/>
    <s v="기계장치"/>
    <n v="4580000"/>
    <n v="436605.52780145535"/>
    <n v="145535.17593381845"/>
    <m/>
    <m/>
    <n v="436605.52780145535"/>
    <n v="436605.52780145535"/>
    <n v="873211.0556029107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m/>
    <n v="4.4720842331650337E-4"/>
    <n v="9391376.8896465711"/>
    <n v="13971376.889646571"/>
  </r>
  <r>
    <n v="296"/>
    <x v="0"/>
    <m/>
    <s v="구용근"/>
    <s v="구미"/>
    <s v="PKG"/>
    <s v="O"/>
    <s v="8&quot;&amp;12&quot;"/>
    <s v="DDI"/>
    <x v="4"/>
    <s v="COF"/>
    <x v="31"/>
    <n v="1000320"/>
    <s v="MC"/>
    <s v="PPT-13 : TIPS-435A(SEC)"/>
    <s v="TIPS-435A"/>
    <x v="66"/>
    <m/>
    <s v="TIPS435A-05005"/>
    <x v="0"/>
    <s v="가동"/>
    <s v="한국"/>
    <s v="SEC"/>
    <x v="0"/>
    <s v="1차"/>
    <s v="1차"/>
    <s v="일반장비(비통제)"/>
    <s v="에폭시 도포기"/>
    <m/>
    <m/>
    <m/>
    <s v="EAR99"/>
    <s v="8486.40-0000"/>
    <m/>
    <m/>
    <d v="2005-06-15T00:00:00"/>
    <d v="2005-06-15T00:00:00"/>
    <n v="20.391780821917809"/>
    <n v="8"/>
    <s v="G1-1층"/>
    <s v="자사"/>
    <s v="미설정"/>
    <n v="6.6"/>
    <n v="6625"/>
    <n v="820"/>
    <n v="1900"/>
    <n v="229000000"/>
    <m/>
    <m/>
    <m/>
    <n v="228999000"/>
    <n v="0"/>
    <n v="1000"/>
    <n v="1000"/>
    <m/>
    <m/>
    <m/>
    <s v="완료"/>
    <s v="D-POT"/>
    <s v="COF(Assy_FT)"/>
    <s v="COF(Assy_FT)"/>
    <s v="기계장치"/>
    <n v="4580000"/>
    <n v="436605.52780145535"/>
    <n v="145535.17593381845"/>
    <m/>
    <m/>
    <m/>
    <m/>
    <m/>
    <m/>
    <m/>
    <n v="436605.52780145535"/>
    <n v="436605.52780145535"/>
    <n v="873211.0556029107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m/>
    <n v="4.4720842331650337E-4"/>
    <n v="9391376.8896465711"/>
    <n v="13971376.889646571"/>
  </r>
  <r>
    <n v="297"/>
    <x v="0"/>
    <m/>
    <s v="구용근"/>
    <s v="구미"/>
    <s v="PKG"/>
    <s v="O"/>
    <s v="8&quot;&amp;12&quot;"/>
    <s v="DDI"/>
    <x v="4"/>
    <s v="COF"/>
    <x v="30"/>
    <n v="1000323"/>
    <s v="MC"/>
    <s v="PCU-05 : OS-OVN11-BK02(오성)"/>
    <s v="OS-OVN11-BK02"/>
    <x v="17"/>
    <m/>
    <s v="050421070101-1"/>
    <x v="0"/>
    <s v="가동"/>
    <s v="한국"/>
    <s v="오성에스티"/>
    <x v="1"/>
    <s v="1차"/>
    <s v="1차"/>
    <s v="일반장비(비통제)"/>
    <s v="접착제 경화"/>
    <s v="접착제 경화"/>
    <s v="일반 산업 장비"/>
    <m/>
    <s v="EAR99"/>
    <s v="8486.40-0000"/>
    <s v="후공정/Assembly oven"/>
    <m/>
    <d v="2005-06-16T00:00:00"/>
    <d v="2005-06-16T00:00:00"/>
    <n v="20.389041095890413"/>
    <n v="8"/>
    <s v="G1-1층"/>
    <s v="자사"/>
    <s v="미설정"/>
    <n v="5"/>
    <n v="1470"/>
    <n v="960"/>
    <n v="1675"/>
    <n v="9900000"/>
    <m/>
    <m/>
    <m/>
    <n v="9899000"/>
    <n v="0"/>
    <n v="1000"/>
    <n v="1000"/>
    <m/>
    <m/>
    <m/>
    <s v="완료"/>
    <s v="D-POT"/>
    <s v="COF(Assy_FT)"/>
    <s v="COF(Assy_FT)"/>
    <s v="기계장치"/>
    <n v="198000"/>
    <n v="18875.086136394792"/>
    <n v="6291.6953787982638"/>
    <m/>
    <m/>
    <n v="18875.086136394792"/>
    <n v="18875.086136394792"/>
    <n v="37750.172272789583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m/>
    <n v="1.9333464588792065E-5"/>
    <n v="406002.75636463339"/>
    <n v="604002.75636463333"/>
  </r>
  <r>
    <n v="298"/>
    <x v="0"/>
    <m/>
    <s v="구용근"/>
    <s v="구미"/>
    <s v="PKG"/>
    <s v="O"/>
    <s v="8&quot;&amp;12&quot;"/>
    <s v="DDI"/>
    <x v="4"/>
    <s v="COF"/>
    <x v="30"/>
    <n v="1000324"/>
    <s v="MC"/>
    <s v="PCU-06 : OS-OVN11-BK02(오성)"/>
    <s v="OS-OVN11-BK02"/>
    <x v="17"/>
    <m/>
    <s v="050420070101-2"/>
    <x v="0"/>
    <s v="가동"/>
    <s v="한국"/>
    <s v="오성에스티"/>
    <x v="1"/>
    <s v="1차"/>
    <s v="1차"/>
    <s v="일반장비(비통제)"/>
    <s v="접착제 경화"/>
    <s v="접착제 경화"/>
    <s v="일반 산업 장비"/>
    <m/>
    <s v="EAR99"/>
    <s v="8486.40-0000"/>
    <s v="후공정/Assembly oven"/>
    <m/>
    <d v="2005-06-16T00:00:00"/>
    <d v="2005-06-16T00:00:00"/>
    <n v="20.389041095890413"/>
    <n v="8"/>
    <s v="G1-1층"/>
    <s v="자사"/>
    <s v="미설정"/>
    <n v="5"/>
    <n v="1470"/>
    <n v="960"/>
    <n v="1675"/>
    <n v="9900000"/>
    <m/>
    <m/>
    <m/>
    <n v="9899000"/>
    <n v="0"/>
    <n v="1000"/>
    <n v="1000"/>
    <m/>
    <m/>
    <m/>
    <s v="완료"/>
    <s v="D-POT"/>
    <s v="COF(Assy_FT)"/>
    <s v="COF(Assy_FT)"/>
    <s v="기계장치"/>
    <n v="198000"/>
    <n v="18875.086136394792"/>
    <n v="6291.6953787982638"/>
    <m/>
    <m/>
    <n v="18875.086136394792"/>
    <n v="18875.086136394792"/>
    <n v="37750.172272789583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m/>
    <n v="1.9333464588792065E-5"/>
    <n v="406002.75636463339"/>
    <n v="604002.75636463333"/>
  </r>
  <r>
    <n v="299"/>
    <x v="0"/>
    <m/>
    <s v="구용근"/>
    <s v="구미"/>
    <s v="PKG"/>
    <s v="O"/>
    <s v="8&quot;&amp;12&quot;"/>
    <s v="DDI"/>
    <x v="4"/>
    <s v="COF"/>
    <x v="32"/>
    <n v="1006731"/>
    <s v="MC"/>
    <s v="PIL-99 : TFC-3600-300(SHIBAURA)"/>
    <s v="TFC-3600"/>
    <x v="67"/>
    <s v="3세대"/>
    <s v="E289"/>
    <x v="165"/>
    <s v="가동"/>
    <s v="일본"/>
    <s v="Shibaura"/>
    <x v="0"/>
    <s v="1차"/>
    <s v="1차"/>
    <s v="해당"/>
    <s v="칩 본딩 장비"/>
    <s v="칩 본딩 장비"/>
    <m/>
    <m/>
    <s v="3B991"/>
    <s v="8486.40-0000"/>
    <s v="반도체 제조 공정용"/>
    <m/>
    <d v="2021-07-29T00:00:00"/>
    <d v="2021-07-29T00:00:00"/>
    <n v="4.2602739726027394"/>
    <n v="8"/>
    <s v="G1-1층"/>
    <s v="자사"/>
    <s v="설정"/>
    <n v="3.6"/>
    <n v="2820"/>
    <n v="1154"/>
    <n v="2020"/>
    <n v="445710898"/>
    <m/>
    <m/>
    <m/>
    <n v="223904526"/>
    <n v="4642822"/>
    <n v="207877906"/>
    <n v="19440594"/>
    <m/>
    <m/>
    <n v="47.774041735823602"/>
    <s v="미완료"/>
    <s v="D-ILB"/>
    <s v="COF(Assy_FT)"/>
    <s v="COF(Assy_FT)"/>
    <s v="기계장치"/>
    <n v="218271801.30000001"/>
    <n v="20807570.963048227"/>
    <n v="6935856.9876827421"/>
    <m/>
    <m/>
    <m/>
    <m/>
    <m/>
    <m/>
    <m/>
    <n v="20807570.963048227"/>
    <n v="20807570.963048227"/>
    <n v="41615141.926096454"/>
    <n v="20807570.963048227"/>
    <n v="20807570.963048227"/>
    <n v="20807570.963048227"/>
    <n v="20807570.963048227"/>
    <n v="83230283.852192909"/>
    <n v="20807570.963048227"/>
    <n v="20807570.963048227"/>
    <n v="20807570.963048227"/>
    <n v="20807570.963048227"/>
    <n v="83230283.852192909"/>
    <n v="20807570.963048227"/>
    <n v="20807570.963048227"/>
    <n v="20807570.963048227"/>
    <n v="20807570.963048227"/>
    <n v="83230283.852192909"/>
    <m/>
    <n v="2.1312879500835397E-2"/>
    <n v="447570469.51754332"/>
    <n v="665842270.81754327"/>
  </r>
  <r>
    <n v="300"/>
    <x v="0"/>
    <m/>
    <s v="구용근"/>
    <s v="구미"/>
    <s v="PKG"/>
    <s v="O"/>
    <s v="8&quot;&amp;12&quot;"/>
    <s v="DDI"/>
    <x v="4"/>
    <s v="COF"/>
    <x v="31"/>
    <n v="1000361"/>
    <s v="MC"/>
    <s v="PPT-14 : TIPS-435A(SEC)"/>
    <s v="TIPS-435A"/>
    <x v="66"/>
    <m/>
    <s v="TIPS435A-05006"/>
    <x v="0"/>
    <s v="가동"/>
    <s v="한국"/>
    <s v="SEC"/>
    <x v="0"/>
    <s v="2차"/>
    <s v="2차"/>
    <s v="일반장비(비통제)"/>
    <s v="에폭시 도포기"/>
    <m/>
    <m/>
    <m/>
    <s v="EAR99"/>
    <s v="8486.40-0000"/>
    <m/>
    <m/>
    <d v="2005-06-29T00:00:00"/>
    <d v="2005-06-29T00:00:00"/>
    <n v="20.353424657534248"/>
    <n v="8"/>
    <s v="G1-1층"/>
    <s v="자사"/>
    <s v="미설정"/>
    <n v="6.6"/>
    <n v="6625"/>
    <n v="820"/>
    <n v="1900"/>
    <n v="229000000"/>
    <m/>
    <m/>
    <m/>
    <n v="228999000"/>
    <n v="0"/>
    <n v="1000"/>
    <n v="1000"/>
    <m/>
    <m/>
    <m/>
    <s v="완료"/>
    <s v="D-POT"/>
    <s v="COF(Assy_FT)"/>
    <s v="COF(Assy_FT)"/>
    <s v="기계장치"/>
    <n v="4580000"/>
    <n v="436605.52780145535"/>
    <n v="145535.17593381845"/>
    <m/>
    <m/>
    <m/>
    <m/>
    <m/>
    <m/>
    <m/>
    <n v="436605.52780145535"/>
    <n v="436605.52780145535"/>
    <n v="873211.0556029107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m/>
    <n v="4.4720842331650337E-4"/>
    <n v="9391376.8896465711"/>
    <n v="13971376.889646571"/>
  </r>
  <r>
    <n v="301"/>
    <x v="0"/>
    <m/>
    <s v="구용근"/>
    <s v="구미"/>
    <s v="PKG"/>
    <s v="O"/>
    <s v="8&quot;&amp;12&quot;"/>
    <s v="DDI"/>
    <x v="4"/>
    <s v="COF"/>
    <x v="31"/>
    <n v="1000362"/>
    <s v="MC"/>
    <s v="PPT-15 : TIPS-435A(SEC)"/>
    <s v="TIPS-435A"/>
    <x v="66"/>
    <m/>
    <s v="TIPS435A-05007"/>
    <x v="0"/>
    <s v="가동"/>
    <s v="한국"/>
    <s v="SEC"/>
    <x v="0"/>
    <s v="2차"/>
    <s v="2차"/>
    <s v="일반장비(비통제)"/>
    <s v="에폭시 도포기"/>
    <m/>
    <m/>
    <m/>
    <s v="EAR99"/>
    <s v="8486.40-0000"/>
    <m/>
    <m/>
    <d v="2005-06-29T00:00:00"/>
    <d v="2005-06-29T00:00:00"/>
    <n v="20.353424657534248"/>
    <n v="8"/>
    <s v="G1-1층"/>
    <s v="자사"/>
    <s v="미설정"/>
    <n v="6.6"/>
    <n v="6625"/>
    <n v="820"/>
    <n v="1900"/>
    <n v="229000000"/>
    <m/>
    <m/>
    <m/>
    <n v="228999000"/>
    <n v="0"/>
    <n v="1000"/>
    <n v="1000"/>
    <m/>
    <m/>
    <m/>
    <s v="완료"/>
    <s v="D-POT"/>
    <s v="COF(Assy_FT)"/>
    <s v="COF(Assy_FT)"/>
    <s v="기계장치"/>
    <n v="4580000"/>
    <n v="436605.52780145535"/>
    <n v="145535.17593381845"/>
    <m/>
    <m/>
    <m/>
    <m/>
    <m/>
    <m/>
    <m/>
    <n v="436605.52780145535"/>
    <n v="436605.52780145535"/>
    <n v="873211.0556029107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m/>
    <n v="4.4720842331650337E-4"/>
    <n v="9391376.8896465711"/>
    <n v="13971376.889646571"/>
  </r>
  <r>
    <n v="302"/>
    <x v="0"/>
    <m/>
    <s v="구용근"/>
    <s v="구미"/>
    <s v="PKG"/>
    <s v="O"/>
    <s v="8&quot;&amp;12&quot;"/>
    <s v="DDI"/>
    <x v="4"/>
    <s v="COF"/>
    <x v="30"/>
    <n v="1000363"/>
    <s v="MC"/>
    <s v="PCU-07 : OS-OVN11-BK02(오성)"/>
    <s v="OS-OVN11-BK02"/>
    <x v="17"/>
    <m/>
    <s v="050420070101-3"/>
    <x v="0"/>
    <s v="가동"/>
    <s v="한국"/>
    <s v="오성에스티"/>
    <x v="1"/>
    <s v="1차"/>
    <s v="1차"/>
    <s v="일반장비(비통제)"/>
    <s v="접착제 경화"/>
    <s v="접착제 경화"/>
    <s v="일반 산업 장비"/>
    <m/>
    <s v="EAR99"/>
    <s v="8486.40-0000"/>
    <s v="후공정/Assembly oven"/>
    <m/>
    <d v="2005-06-30T00:00:00"/>
    <d v="2005-06-30T00:00:00"/>
    <n v="20.350684931506848"/>
    <n v="8"/>
    <s v="G1-1층"/>
    <s v="자사"/>
    <s v="미설정"/>
    <n v="5"/>
    <n v="1470"/>
    <n v="960"/>
    <n v="1675"/>
    <n v="9900000"/>
    <m/>
    <m/>
    <m/>
    <n v="9899000"/>
    <n v="0"/>
    <n v="1000"/>
    <n v="1000"/>
    <m/>
    <m/>
    <m/>
    <s v="완료"/>
    <s v="D-POT"/>
    <s v="COF(Assy_FT)"/>
    <s v="COF(Assy_FT)"/>
    <s v="기계장치"/>
    <n v="198000"/>
    <n v="18875.086136394792"/>
    <n v="6291.6953787982638"/>
    <m/>
    <m/>
    <n v="18875.086136394792"/>
    <n v="18875.086136394792"/>
    <n v="37750.172272789583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m/>
    <n v="1.9333464588792065E-5"/>
    <n v="406002.75636463339"/>
    <n v="604002.75636463333"/>
  </r>
  <r>
    <n v="303"/>
    <x v="0"/>
    <m/>
    <s v="구용근"/>
    <s v="구미"/>
    <s v="PKG"/>
    <s v="O"/>
    <s v="8&quot;&amp;12&quot;"/>
    <s v="DDI"/>
    <x v="4"/>
    <s v="COF"/>
    <x v="30"/>
    <n v="1000364"/>
    <s v="MC"/>
    <s v="PCU-08 : OS-OVN11-BK02(오성)"/>
    <s v="OS-OVN11-BK02"/>
    <x v="17"/>
    <m/>
    <s v="050420070101-4"/>
    <x v="0"/>
    <s v="가동"/>
    <s v="한국"/>
    <s v="오성에스티"/>
    <x v="1"/>
    <s v="1차"/>
    <s v="1차"/>
    <s v="일반장비(비통제)"/>
    <s v="접착제 경화"/>
    <s v="접착제 경화"/>
    <s v="일반 산업 장비"/>
    <m/>
    <s v="EAR99"/>
    <s v="8486.40-0000"/>
    <s v="후공정/Assembly oven"/>
    <m/>
    <d v="2005-06-30T00:00:00"/>
    <d v="2005-06-30T00:00:00"/>
    <n v="20.350684931506848"/>
    <n v="8"/>
    <s v="G1-1층"/>
    <s v="자사"/>
    <s v="미설정"/>
    <n v="5"/>
    <n v="1470"/>
    <n v="960"/>
    <n v="1675"/>
    <n v="9900000"/>
    <m/>
    <m/>
    <m/>
    <n v="9899000"/>
    <n v="0"/>
    <n v="1000"/>
    <n v="1000"/>
    <m/>
    <m/>
    <m/>
    <s v="완료"/>
    <s v="D-POT"/>
    <s v="COF(Assy_FT)"/>
    <s v="COF(Assy_FT)"/>
    <s v="기계장치"/>
    <n v="198000"/>
    <n v="18875.086136394792"/>
    <n v="6291.6953787982638"/>
    <m/>
    <m/>
    <n v="18875.086136394792"/>
    <n v="18875.086136394792"/>
    <n v="37750.172272789583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n v="18875.086136394792"/>
    <n v="18875.086136394792"/>
    <n v="18875.086136394792"/>
    <n v="18875.086136394792"/>
    <n v="75500.344545579166"/>
    <m/>
    <n v="1.9333464588792065E-5"/>
    <n v="406002.75636463339"/>
    <n v="604002.75636463333"/>
  </r>
  <r>
    <n v="304"/>
    <x v="0"/>
    <m/>
    <s v="구용근"/>
    <s v="구미"/>
    <s v="PKG"/>
    <s v="O"/>
    <s v="8&quot;&amp;12&quot;"/>
    <s v="DDI"/>
    <x v="4"/>
    <s v="COF"/>
    <x v="31"/>
    <n v="1000375"/>
    <s v="MC"/>
    <s v="PPT-16 : TIPS-435A(SEC)"/>
    <s v="TIPS-435A"/>
    <x v="66"/>
    <m/>
    <s v="TIPS435A-05008"/>
    <x v="0"/>
    <s v="가동"/>
    <s v="한국"/>
    <s v="SEC"/>
    <x v="0"/>
    <s v="2차"/>
    <s v="2차"/>
    <s v="일반장비(비통제)"/>
    <s v="에폭시 도포기"/>
    <m/>
    <m/>
    <m/>
    <s v="EAR99"/>
    <s v="8486.40-0000"/>
    <m/>
    <m/>
    <d v="2005-07-25T00:00:00"/>
    <d v="2005-07-25T00:00:00"/>
    <n v="20.282191780821918"/>
    <n v="8"/>
    <s v="G1-1층"/>
    <s v="자사"/>
    <s v="미설정"/>
    <n v="6.6"/>
    <n v="6625"/>
    <n v="820"/>
    <n v="1900"/>
    <n v="229000000"/>
    <m/>
    <m/>
    <m/>
    <n v="228999000"/>
    <n v="0"/>
    <n v="1000"/>
    <n v="1000"/>
    <m/>
    <m/>
    <m/>
    <s v="완료"/>
    <s v="D-POT"/>
    <s v="COF(Assy_FT)"/>
    <s v="COF(Assy_FT)"/>
    <s v="기계장치"/>
    <n v="4580000"/>
    <n v="436605.52780145535"/>
    <n v="145535.17593381845"/>
    <m/>
    <m/>
    <m/>
    <m/>
    <m/>
    <m/>
    <m/>
    <n v="436605.52780145535"/>
    <n v="436605.52780145535"/>
    <n v="873211.0556029107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m/>
    <n v="4.4720842331650337E-4"/>
    <n v="9391376.8896465711"/>
    <n v="13971376.889646571"/>
  </r>
  <r>
    <n v="305"/>
    <x v="0"/>
    <m/>
    <s v="구용근"/>
    <s v="구미"/>
    <s v="PKG"/>
    <s v="O"/>
    <s v="8&quot;&amp;12&quot;"/>
    <s v="DDI"/>
    <x v="4"/>
    <s v="COF"/>
    <x v="31"/>
    <n v="1000376"/>
    <s v="MC"/>
    <s v="PPT-17 : TIPS-435A(SEC)"/>
    <s v="TIPS-435A"/>
    <x v="66"/>
    <m/>
    <s v="TIPS435A-05009"/>
    <x v="0"/>
    <s v="가동"/>
    <s v="한국"/>
    <s v="SEC"/>
    <x v="0"/>
    <s v="2차"/>
    <s v="2차"/>
    <s v="일반장비(비통제)"/>
    <s v="에폭시 도포기"/>
    <m/>
    <m/>
    <m/>
    <s v="EAR99"/>
    <s v="8486.40-0000"/>
    <m/>
    <m/>
    <d v="2005-07-25T00:00:00"/>
    <d v="2005-07-25T00:00:00"/>
    <n v="20.282191780821918"/>
    <n v="8"/>
    <s v="G1-1층"/>
    <s v="자사"/>
    <s v="미설정"/>
    <n v="6.6"/>
    <n v="6625"/>
    <n v="820"/>
    <n v="1900"/>
    <n v="229000000"/>
    <m/>
    <m/>
    <m/>
    <n v="228999000"/>
    <n v="0"/>
    <n v="1000"/>
    <n v="1000"/>
    <m/>
    <m/>
    <m/>
    <s v="완료"/>
    <s v="D-POT"/>
    <s v="COF(Assy_FT)"/>
    <s v="COF(Assy_FT)"/>
    <s v="기계장치"/>
    <n v="4580000"/>
    <n v="436605.52780145535"/>
    <n v="145535.17593381845"/>
    <m/>
    <m/>
    <m/>
    <m/>
    <m/>
    <m/>
    <m/>
    <n v="436605.52780145535"/>
    <n v="436605.52780145535"/>
    <n v="873211.0556029107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m/>
    <n v="4.4720842331650337E-4"/>
    <n v="9391376.8896465711"/>
    <n v="13971376.889646571"/>
  </r>
  <r>
    <n v="306"/>
    <x v="2"/>
    <m/>
    <m/>
    <m/>
    <m/>
    <m/>
    <m/>
    <m/>
    <x v="1"/>
    <m/>
    <x v="3"/>
    <m/>
    <m/>
    <m/>
    <m/>
    <x v="0"/>
    <m/>
    <m/>
    <x v="0"/>
    <m/>
    <m/>
    <m/>
    <x v="2"/>
    <m/>
    <m/>
    <s v="일반장비(비통제)"/>
    <s v="제조 가공 장비"/>
    <s v="Wafer Sicing Saw"/>
    <s v="범용"/>
    <m/>
    <s v="EAR99"/>
    <s v="HSK 8486209310"/>
    <m/>
    <m/>
    <m/>
    <m/>
    <m/>
    <m/>
    <m/>
    <m/>
    <m/>
    <m/>
    <m/>
    <m/>
    <m/>
    <m/>
    <m/>
    <m/>
    <m/>
    <n v="222378520"/>
    <n v="0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</r>
  <r>
    <n v="307"/>
    <x v="0"/>
    <m/>
    <s v="구용근"/>
    <s v="구미"/>
    <s v="PKG"/>
    <s v="O"/>
    <s v="8&quot;&amp;12&quot;"/>
    <s v="DDI"/>
    <x v="4"/>
    <s v="COF"/>
    <x v="31"/>
    <n v="1000473"/>
    <s v="MC"/>
    <s v="PPT-05 : RV-4640A(SEC)"/>
    <s v="RV-4640A"/>
    <x v="63"/>
    <m/>
    <s v="RV4640A-2004028"/>
    <x v="0"/>
    <s v="가동"/>
    <s v="한국"/>
    <s v="SEC"/>
    <x v="1"/>
    <s v="2차"/>
    <s v="2차"/>
    <s v="일반장비(비통제)"/>
    <s v="에폭시 도포기"/>
    <m/>
    <m/>
    <m/>
    <s v="EAR99"/>
    <s v="8486.40-0000"/>
    <m/>
    <m/>
    <d v="2005-12-26T00:00:00"/>
    <d v="2005-12-26T00:00:00"/>
    <n v="19.860273972602741"/>
    <n v="8"/>
    <s v="G1-1층"/>
    <s v="자사"/>
    <s v="미설정"/>
    <n v="6.6"/>
    <n v="6625"/>
    <n v="820"/>
    <n v="1900"/>
    <n v="229000000"/>
    <m/>
    <m/>
    <m/>
    <n v="228999000"/>
    <n v="0"/>
    <n v="1000"/>
    <n v="1000"/>
    <m/>
    <m/>
    <m/>
    <s v="완료"/>
    <s v="D-POT"/>
    <s v="COF(Assy_FT)"/>
    <s v="COF(Assy_FT)"/>
    <s v="기계장치"/>
    <n v="4580000"/>
    <n v="436605.52780145535"/>
    <n v="145535.17593381845"/>
    <m/>
    <m/>
    <n v="436605.52780145535"/>
    <n v="436605.52780145535"/>
    <n v="873211.0556029107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m/>
    <n v="4.4720842331650337E-4"/>
    <n v="9391376.8896465711"/>
    <n v="13971376.889646571"/>
  </r>
  <r>
    <n v="308"/>
    <x v="0"/>
    <m/>
    <s v="구용근"/>
    <s v="구미"/>
    <s v="PKG"/>
    <s v="O"/>
    <s v="8&quot;&amp;12&quot;"/>
    <s v="DDI"/>
    <x v="4"/>
    <s v="COF"/>
    <x v="31"/>
    <n v="1000474"/>
    <s v="MC"/>
    <s v="PPT-06 : RV-4640A(SEC)"/>
    <s v="RV-4640A"/>
    <x v="63"/>
    <m/>
    <s v="RV4640A-2004029"/>
    <x v="0"/>
    <s v="가동"/>
    <s v="한국"/>
    <s v="SEC"/>
    <x v="1"/>
    <s v="2차"/>
    <s v="2차"/>
    <s v="일반장비(비통제)"/>
    <s v="에폭시 도포기"/>
    <m/>
    <m/>
    <m/>
    <s v="EAR99"/>
    <s v="8486.40-0000"/>
    <m/>
    <m/>
    <d v="2005-12-26T00:00:00"/>
    <d v="2005-12-26T00:00:00"/>
    <n v="19.860273972602741"/>
    <n v="8"/>
    <s v="G1-1층"/>
    <s v="자사"/>
    <s v="미설정"/>
    <n v="6.6"/>
    <n v="6625"/>
    <n v="820"/>
    <n v="1900"/>
    <n v="229000000"/>
    <m/>
    <m/>
    <m/>
    <n v="228999000"/>
    <n v="0"/>
    <n v="1000"/>
    <n v="1000"/>
    <m/>
    <m/>
    <m/>
    <s v="완료"/>
    <s v="D-POT"/>
    <s v="COF(Assy_FT)"/>
    <s v="COF(Assy_FT)"/>
    <s v="기계장치"/>
    <n v="4580000"/>
    <n v="436605.52780145535"/>
    <n v="145535.17593381845"/>
    <m/>
    <m/>
    <n v="436605.52780145535"/>
    <n v="436605.52780145535"/>
    <n v="873211.0556029107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n v="436605.52780145535"/>
    <n v="436605.52780145535"/>
    <n v="436605.52780145535"/>
    <n v="436605.52780145535"/>
    <n v="1746422.1112058214"/>
    <m/>
    <n v="4.4720842331650337E-4"/>
    <n v="9391376.8896465711"/>
    <n v="13971376.889646571"/>
  </r>
  <r>
    <n v="309"/>
    <x v="0"/>
    <m/>
    <s v="구용근"/>
    <s v="구미"/>
    <s v="PKG"/>
    <s v="O"/>
    <s v="8&quot;&amp;12&quot;"/>
    <s v="DDI"/>
    <x v="4"/>
    <s v="COF"/>
    <x v="30"/>
    <n v="1000523"/>
    <s v="MC"/>
    <s v="PCU-09 : OFI-SPECIAL(JEIO TECK)"/>
    <s v="OFI-SPECIAL"/>
    <x v="17"/>
    <m/>
    <s v="0622-01"/>
    <x v="0"/>
    <s v="가동"/>
    <s v="한국"/>
    <s v="JEIO TECK"/>
    <x v="1"/>
    <s v="1차"/>
    <s v="1차"/>
    <s v="일반장비(비통제)"/>
    <s v="접착제 경화"/>
    <s v="접착제 경화"/>
    <s v="일반 산업 장비"/>
    <m/>
    <s v="EAR99"/>
    <s v="8486.40-0000"/>
    <s v="후공정/Assembly oven"/>
    <m/>
    <d v="2006-03-31T00:00:00"/>
    <d v="2006-03-31T00:00:00"/>
    <n v="19.600000000000001"/>
    <n v="8"/>
    <s v="G1-1층"/>
    <s v="자사"/>
    <s v="미설정"/>
    <n v="5.3"/>
    <n v="1470"/>
    <n v="960"/>
    <n v="1675"/>
    <n v="7500000"/>
    <m/>
    <m/>
    <m/>
    <n v="7499000"/>
    <n v="0"/>
    <n v="1000"/>
    <n v="1000"/>
    <m/>
    <m/>
    <m/>
    <s v="완료"/>
    <s v="D-POT"/>
    <s v="COF(Assy_FT)"/>
    <s v="COF(Assy_FT)"/>
    <s v="기계장치"/>
    <n v="150000"/>
    <n v="14299.307679086964"/>
    <n v="4766.4358930289882"/>
    <m/>
    <m/>
    <n v="14299.307679086964"/>
    <n v="14299.307679086964"/>
    <n v="28598.615358173927"/>
    <n v="14299.307679086964"/>
    <n v="14299.307679086964"/>
    <n v="14299.307679086964"/>
    <n v="14299.307679086964"/>
    <n v="57197.230716347854"/>
    <n v="14299.307679086964"/>
    <n v="14299.307679086964"/>
    <n v="14299.307679086964"/>
    <n v="14299.307679086964"/>
    <n v="57197.230716347854"/>
    <n v="14299.307679086964"/>
    <n v="14299.307679086964"/>
    <n v="14299.307679086964"/>
    <n v="14299.307679086964"/>
    <n v="57197.230716347854"/>
    <n v="14299.307679086964"/>
    <n v="14299.307679086964"/>
    <n v="14299.307679086964"/>
    <n v="14299.307679086964"/>
    <n v="57197.230716347854"/>
    <m/>
    <n v="1.4646564082418231E-5"/>
    <n v="307577.84573078284"/>
    <n v="457577.84573078284"/>
  </r>
  <r>
    <n v="310"/>
    <x v="0"/>
    <m/>
    <s v="구용근"/>
    <s v="구미"/>
    <s v="PKG"/>
    <s v="O"/>
    <s v="8&quot;&amp;12&quot;"/>
    <s v="DDI"/>
    <x v="4"/>
    <s v="COF"/>
    <x v="30"/>
    <n v="1000553"/>
    <s v="MC"/>
    <s v="PCU-10 : OFI-SPECIAL(JEIO TECK)"/>
    <s v="OFI-SPECIAL"/>
    <x v="17"/>
    <m/>
    <s v="0622-02"/>
    <x v="0"/>
    <s v="가동"/>
    <s v="한국"/>
    <s v="JEIO TECK"/>
    <x v="1"/>
    <s v="1차"/>
    <s v="1차"/>
    <s v="일반장비(비통제)"/>
    <s v="접착제 경화"/>
    <s v="접착제 경화"/>
    <s v="일반 산업 장비"/>
    <m/>
    <s v="EAR99"/>
    <s v="8486.40-0000"/>
    <s v="후공정/Assembly oven"/>
    <m/>
    <d v="2006-04-30T00:00:00"/>
    <d v="2006-04-30T00:00:00"/>
    <n v="19.517808219178082"/>
    <n v="8"/>
    <s v="G1-1층"/>
    <s v="자사"/>
    <s v="미설정"/>
    <n v="5.3"/>
    <n v="1470"/>
    <n v="960"/>
    <n v="1675"/>
    <n v="7500000"/>
    <m/>
    <m/>
    <m/>
    <n v="7499000"/>
    <n v="0"/>
    <n v="1000"/>
    <n v="1000"/>
    <m/>
    <m/>
    <m/>
    <s v="완료"/>
    <s v="D-POT"/>
    <s v="COF(Assy_FT)"/>
    <s v="COF(Assy_FT)"/>
    <s v="기계장치"/>
    <n v="150000"/>
    <n v="14299.307679086964"/>
    <n v="4766.4358930289882"/>
    <m/>
    <m/>
    <n v="14299.307679086964"/>
    <n v="14299.307679086964"/>
    <n v="28598.615358173927"/>
    <n v="14299.307679086964"/>
    <n v="14299.307679086964"/>
    <n v="14299.307679086964"/>
    <n v="14299.307679086964"/>
    <n v="57197.230716347854"/>
    <n v="14299.307679086964"/>
    <n v="14299.307679086964"/>
    <n v="14299.307679086964"/>
    <n v="14299.307679086964"/>
    <n v="57197.230716347854"/>
    <n v="14299.307679086964"/>
    <n v="14299.307679086964"/>
    <n v="14299.307679086964"/>
    <n v="14299.307679086964"/>
    <n v="57197.230716347854"/>
    <n v="14299.307679086964"/>
    <n v="14299.307679086964"/>
    <n v="14299.307679086964"/>
    <n v="14299.307679086964"/>
    <n v="57197.230716347854"/>
    <m/>
    <n v="1.4646564082418231E-5"/>
    <n v="307577.84573078284"/>
    <n v="457577.84573078284"/>
  </r>
  <r>
    <n v="311"/>
    <x v="0"/>
    <m/>
    <s v="구용근"/>
    <s v="구미"/>
    <s v="PKG"/>
    <s v="O"/>
    <s v="8&quot;"/>
    <s v="DDI"/>
    <x v="4"/>
    <s v="COF"/>
    <x v="29"/>
    <n v="1000556"/>
    <s v="MC"/>
    <s v="PUV-02 : ASUV-M2000 (UV  아석산업)"/>
    <s v="ASUV-M2000"/>
    <x v="61"/>
    <m/>
    <s v="ASUV-LS03"/>
    <x v="163"/>
    <s v="가동"/>
    <s v="한국"/>
    <s v="아석산업"/>
    <x v="0"/>
    <s v="1차"/>
    <s v="1차"/>
    <s v="일반장비(비통제)"/>
    <s v="UV조사기"/>
    <s v="UV조사기"/>
    <s v="범용"/>
    <m/>
    <s v="EAR99"/>
    <s v="8419.40-0000"/>
    <m/>
    <m/>
    <d v="2006-03-15T00:00:00"/>
    <d v="2006-04-30T00:00:00"/>
    <n v="19.517808219178082"/>
    <n v="8"/>
    <s v="G1-1층"/>
    <s v="자사"/>
    <s v="미설정"/>
    <n v="2.4"/>
    <n v="700"/>
    <n v="600"/>
    <n v="1200"/>
    <n v="19000000"/>
    <m/>
    <m/>
    <m/>
    <n v="18999000"/>
    <n v="0"/>
    <n v="1000"/>
    <n v="1000"/>
    <m/>
    <m/>
    <m/>
    <s v="완료"/>
    <s v="D-SAW"/>
    <s v="COF(Assy_FT)"/>
    <s v="COF(Assy_FT)"/>
    <s v="기계장치"/>
    <n v="380000"/>
    <n v="36224.912787020308"/>
    <n v="12074.970929006769"/>
    <m/>
    <m/>
    <m/>
    <m/>
    <m/>
    <m/>
    <m/>
    <n v="36224.912787020308"/>
    <n v="36224.912787020308"/>
    <n v="72449.825574040617"/>
    <n v="36224.912787020308"/>
    <n v="36224.912787020308"/>
    <n v="36224.912787020308"/>
    <n v="36224.912787020308"/>
    <n v="144899.65114808123"/>
    <n v="36224.912787020308"/>
    <n v="36224.912787020308"/>
    <n v="36224.912787020308"/>
    <n v="36224.912787020308"/>
    <n v="144899.65114808123"/>
    <n v="36224.912787020308"/>
    <n v="36224.912787020308"/>
    <n v="36224.912787020308"/>
    <n v="36224.912787020308"/>
    <n v="144899.65114808123"/>
    <m/>
    <n v="3.7104629008792856E-5"/>
    <n v="779197.20918464998"/>
    <n v="1159197.2091846499"/>
  </r>
  <r>
    <n v="312"/>
    <x v="0"/>
    <m/>
    <s v="구용근"/>
    <s v="구미"/>
    <s v="PKG"/>
    <s v="O"/>
    <s v="8&quot;&amp;12&quot;"/>
    <s v="DDI"/>
    <x v="4"/>
    <s v="COF"/>
    <x v="17"/>
    <n v="1000558"/>
    <s v="MC"/>
    <s v="PCB-03 : N4C-3.0-120"/>
    <s v="NDB-4"/>
    <x v="62"/>
    <m/>
    <n v="138"/>
    <x v="0"/>
    <s v="가동"/>
    <s v="일본"/>
    <s v="NOMURA"/>
    <x v="0"/>
    <s v="1차"/>
    <s v="1차"/>
    <s v="해당"/>
    <s v="Wafer Sicing Saw"/>
    <m/>
    <m/>
    <m/>
    <s v="3B001"/>
    <s v="8486.20-0000"/>
    <m/>
    <m/>
    <d v="2006-03-27T00:00:00"/>
    <d v="2006-04-30T00:00:00"/>
    <n v="19.517808219178082"/>
    <n v="8"/>
    <s v="G1-1층"/>
    <s v="자사"/>
    <s v="미설정"/>
    <n v="1"/>
    <n v="430"/>
    <n v="500"/>
    <n v="1350"/>
    <n v="28200000"/>
    <m/>
    <m/>
    <m/>
    <n v="28199000"/>
    <s v="               -"/>
    <n v="1000"/>
    <n v="1000"/>
    <m/>
    <m/>
    <m/>
    <s v="완료"/>
    <s v="D-SAW"/>
    <s v="COF(Assy_FT)"/>
    <s v="COF(Assy_FT)"/>
    <s v="기계장치"/>
    <n v="564000"/>
    <n v="53765.39687336699"/>
    <n v="17921.798957788997"/>
    <m/>
    <m/>
    <m/>
    <m/>
    <m/>
    <m/>
    <m/>
    <n v="53765.39687336699"/>
    <n v="53765.39687336699"/>
    <n v="107530.79374673398"/>
    <n v="53765.39687336699"/>
    <n v="53765.39687336699"/>
    <n v="53765.39687336699"/>
    <n v="53765.39687336699"/>
    <n v="215061.58749346796"/>
    <n v="53765.39687336699"/>
    <n v="53765.39687336699"/>
    <n v="53765.39687336699"/>
    <n v="53765.39687336699"/>
    <n v="215061.58749346796"/>
    <n v="53765.39687336699"/>
    <n v="53765.39687336699"/>
    <n v="53765.39687336699"/>
    <n v="53765.39687336699"/>
    <n v="215061.58749346796"/>
    <m/>
    <n v="5.5071080949892556E-5"/>
    <n v="1156492.6999477437"/>
    <n v="1720492.6999477437"/>
  </r>
  <r>
    <n v="313"/>
    <x v="0"/>
    <m/>
    <s v="구용근"/>
    <s v="구미"/>
    <s v="PKG"/>
    <s v="O"/>
    <s v="8&quot;&amp;12&quot;"/>
    <s v="DDI"/>
    <x v="4"/>
    <s v="COF"/>
    <x v="17"/>
    <n v="1000559"/>
    <s v="MC"/>
    <s v="PCB-04 : N4C-3.0-120"/>
    <s v="NDB-4"/>
    <x v="62"/>
    <m/>
    <n v="137"/>
    <x v="0"/>
    <s v="가동"/>
    <s v="일본"/>
    <s v="NOMURA"/>
    <x v="0"/>
    <s v="2차"/>
    <s v="2차"/>
    <s v="해당"/>
    <s v="Wafer Sicing Saw"/>
    <m/>
    <m/>
    <m/>
    <s v="3B001"/>
    <s v="8486.20-0000"/>
    <m/>
    <m/>
    <d v="2006-03-27T00:00:00"/>
    <d v="2006-04-30T00:00:00"/>
    <n v="19.517808219178082"/>
    <n v="8"/>
    <s v="G1-1층"/>
    <s v="자사"/>
    <s v="미설정"/>
    <n v="1"/>
    <n v="430"/>
    <n v="500"/>
    <n v="1350"/>
    <n v="28200000"/>
    <m/>
    <m/>
    <m/>
    <n v="28199000"/>
    <s v="               -"/>
    <n v="1000"/>
    <n v="1000"/>
    <m/>
    <m/>
    <m/>
    <s v="완료"/>
    <s v="D-SAW"/>
    <s v="COF(Assy_FT)"/>
    <s v="COF(Assy_FT)"/>
    <s v="기계장치"/>
    <n v="564000"/>
    <n v="53765.39687336699"/>
    <n v="17921.798957788997"/>
    <m/>
    <m/>
    <m/>
    <m/>
    <m/>
    <m/>
    <m/>
    <n v="53765.39687336699"/>
    <n v="53765.39687336699"/>
    <n v="107530.79374673398"/>
    <n v="53765.39687336699"/>
    <n v="53765.39687336699"/>
    <n v="53765.39687336699"/>
    <n v="53765.39687336699"/>
    <n v="215061.58749346796"/>
    <n v="53765.39687336699"/>
    <n v="53765.39687336699"/>
    <n v="53765.39687336699"/>
    <n v="53765.39687336699"/>
    <n v="215061.58749346796"/>
    <n v="53765.39687336699"/>
    <n v="53765.39687336699"/>
    <n v="53765.39687336699"/>
    <n v="53765.39687336699"/>
    <n v="215061.58749346796"/>
    <m/>
    <n v="5.5071080949892556E-5"/>
    <n v="1156492.6999477437"/>
    <n v="1720492.6999477437"/>
  </r>
  <r>
    <n v="314"/>
    <x v="0"/>
    <m/>
    <s v="구용근"/>
    <s v="구미"/>
    <s v="PKG"/>
    <s v="O"/>
    <s v="8&quot;"/>
    <s v="DDI"/>
    <x v="4"/>
    <s v="COF"/>
    <x v="17"/>
    <n v="1000570"/>
    <s v="MC"/>
    <s v="PSA-07 : DFD6340(DISCO)"/>
    <s v="DFD6340"/>
    <x v="31"/>
    <m/>
    <s v="JT1755"/>
    <x v="0"/>
    <s v="가동"/>
    <s v="일본"/>
    <s v="Disco"/>
    <x v="1"/>
    <s v="1차"/>
    <s v="1차"/>
    <s v="해당"/>
    <s v="Wafer Sicing Saw"/>
    <s v="Wafer Sicing Saw"/>
    <m/>
    <m/>
    <s v="3B001"/>
    <s v="8486.40-0000"/>
    <s v="전략물자수출입고시"/>
    <m/>
    <d v="2006-03-27T00:00:00"/>
    <d v="2006-04-30T00:00:00"/>
    <n v="19.517808219178082"/>
    <n v="8"/>
    <s v="G1-1층"/>
    <s v="자사"/>
    <s v="미설정"/>
    <n v="6.24"/>
    <n v="1150"/>
    <n v="1200"/>
    <n v="2100"/>
    <n v="193841831"/>
    <m/>
    <m/>
    <m/>
    <n v="193840831"/>
    <n v="1662496"/>
    <n v="1000"/>
    <n v="1000"/>
    <m/>
    <m/>
    <m/>
    <s v="완료"/>
    <s v="D-SAW"/>
    <s v="COF(Assy_FT)"/>
    <s v="COF(Assy_FT)"/>
    <s v="기계장치"/>
    <n v="3876836.62"/>
    <n v="369573.86433954374"/>
    <n v="123191.28811318125"/>
    <m/>
    <m/>
    <n v="369573.86433954374"/>
    <n v="369573.86433954374"/>
    <n v="739147.72867908748"/>
    <n v="369573.86433954374"/>
    <n v="369573.86433954374"/>
    <n v="369573.86433954374"/>
    <n v="369573.86433954374"/>
    <n v="1478295.457358175"/>
    <n v="369573.86433954374"/>
    <n v="369573.86433954374"/>
    <n v="369573.86433954374"/>
    <n v="369573.86433954374"/>
    <n v="1478295.457358175"/>
    <n v="369573.86433954374"/>
    <n v="369573.86433954374"/>
    <n v="369573.86433954374"/>
    <n v="369573.86433954374"/>
    <n v="1478295.457358175"/>
    <n v="369573.86433954374"/>
    <n v="369573.86433954374"/>
    <n v="369573.86433954374"/>
    <n v="369573.86433954374"/>
    <n v="1478295.457358175"/>
    <m/>
    <n v="3.7854890661263803E-4"/>
    <n v="7949527.0388653986"/>
    <n v="11826363.6588654"/>
  </r>
  <r>
    <n v="315"/>
    <x v="0"/>
    <m/>
    <s v="구용근"/>
    <s v="구미"/>
    <s v="PKG"/>
    <s v="O"/>
    <s v="8&quot;"/>
    <s v="DDI"/>
    <x v="4"/>
    <s v="COF"/>
    <x v="17"/>
    <n v="1000571"/>
    <s v="MC"/>
    <s v="PSA-06 : DFD6340(DISCO)"/>
    <s v="DFD6340"/>
    <x v="31"/>
    <m/>
    <s v="JT1762"/>
    <x v="0"/>
    <s v="가동"/>
    <s v="일본"/>
    <s v="Disco"/>
    <x v="1"/>
    <s v="1차"/>
    <s v="1차"/>
    <s v="해당"/>
    <s v="Wafer Sicing Saw"/>
    <s v="Wafer Sicing Saw"/>
    <m/>
    <m/>
    <s v="3B001"/>
    <s v="8486.40-0000"/>
    <s v="전략물자수출입고시"/>
    <m/>
    <d v="2006-03-27T00:00:00"/>
    <d v="2006-04-30T00:00:00"/>
    <n v="19.517808219178082"/>
    <n v="8"/>
    <s v="G1-1층"/>
    <s v="자사"/>
    <s v="미설정"/>
    <n v="6.24"/>
    <n v="1150"/>
    <n v="1200"/>
    <n v="2100"/>
    <n v="172468830"/>
    <m/>
    <m/>
    <m/>
    <n v="172467830"/>
    <n v="0"/>
    <n v="1000"/>
    <n v="1000"/>
    <m/>
    <m/>
    <m/>
    <s v="완료"/>
    <s v="D-SAW"/>
    <s v="COF(Assy_FT)"/>
    <s v="COF(Assy_FT)"/>
    <s v="기계장치"/>
    <n v="3449376.6"/>
    <n v="328824.64869628591"/>
    <n v="109608.21623209531"/>
    <m/>
    <m/>
    <n v="328824.64869628591"/>
    <n v="328824.64869628591"/>
    <n v="657649.29739257181"/>
    <n v="328824.64869628591"/>
    <n v="328824.64869628591"/>
    <n v="328824.64869628591"/>
    <n v="328824.64869628591"/>
    <n v="1315298.5947851436"/>
    <n v="328824.64869628591"/>
    <n v="328824.64869628591"/>
    <n v="328824.64869628591"/>
    <n v="328824.64869628591"/>
    <n v="1315298.5947851436"/>
    <n v="328824.64869628591"/>
    <n v="328824.64869628591"/>
    <n v="328824.64869628591"/>
    <n v="328824.64869628591"/>
    <n v="1315298.5947851436"/>
    <n v="328824.64869628591"/>
    <n v="328824.64869628591"/>
    <n v="328824.64869628591"/>
    <n v="328824.64869628591"/>
    <n v="1315298.5947851436"/>
    <m/>
    <n v="3.3681010277529283E-4"/>
    <n v="7073012.1582811493"/>
    <n v="10522388.758281149"/>
  </r>
  <r>
    <n v="316"/>
    <x v="0"/>
    <m/>
    <s v="구용근"/>
    <s v="구미"/>
    <s v="PKG"/>
    <s v="O"/>
    <s v="8&quot;&amp;12&quot;"/>
    <s v="DDI"/>
    <x v="4"/>
    <s v="COF"/>
    <x v="31"/>
    <n v="1000572"/>
    <s v="MC"/>
    <s v="PPT-19 : LDPS-4350D(TOP)"/>
    <s v="LDPS-4350D"/>
    <x v="68"/>
    <m/>
    <n v="6043001"/>
    <x v="0"/>
    <s v="가동"/>
    <s v="한국"/>
    <s v="TOP ENG"/>
    <x v="1"/>
    <s v="2차"/>
    <s v="2차"/>
    <s v="일반장비(비통제)"/>
    <s v="에폭시 도포기"/>
    <m/>
    <m/>
    <m/>
    <s v="EAR99"/>
    <s v="8486.40-0000"/>
    <m/>
    <m/>
    <d v="2006-04-30T00:00:00"/>
    <d v="2006-04-30T00:00:00"/>
    <n v="19.517808219178082"/>
    <n v="8"/>
    <s v="G1-1층"/>
    <s v="자사"/>
    <s v="미설정"/>
    <n v="6.6"/>
    <n v="7120"/>
    <n v="840"/>
    <n v="1957"/>
    <n v="181428572"/>
    <m/>
    <m/>
    <m/>
    <n v="181427572"/>
    <n v="0"/>
    <n v="1000"/>
    <n v="1000"/>
    <m/>
    <m/>
    <m/>
    <s v="완료"/>
    <s v="D-POT"/>
    <s v="COF(Assy_FT)"/>
    <s v="COF(Assy_FT)"/>
    <s v="기계장치"/>
    <n v="3628571.44"/>
    <n v="345907.06304071762"/>
    <n v="115302.35434690588"/>
    <m/>
    <m/>
    <n v="345907.06304071762"/>
    <n v="345907.06304071762"/>
    <n v="691814.12608143524"/>
    <n v="345907.06304071762"/>
    <n v="345907.06304071762"/>
    <n v="345907.06304071762"/>
    <n v="345907.06304071762"/>
    <n v="1383628.2521628705"/>
    <n v="345907.06304071762"/>
    <n v="345907.06304071762"/>
    <n v="345907.06304071762"/>
    <n v="345907.06304071762"/>
    <n v="1383628.2521628705"/>
    <n v="345907.06304071762"/>
    <n v="345907.06304071762"/>
    <n v="345907.06304071762"/>
    <n v="345907.06304071762"/>
    <n v="1383628.2521628705"/>
    <n v="345907.06304071762"/>
    <n v="345907.06304071762"/>
    <n v="345907.06304071762"/>
    <n v="345907.06304071762"/>
    <n v="1383628.2521628705"/>
    <m/>
    <n v="3.5430736082395068E-4"/>
    <n v="7440454.5773029644"/>
    <n v="11069026.017302964"/>
  </r>
  <r>
    <n v="317"/>
    <x v="0"/>
    <m/>
    <s v="구용근"/>
    <s v="구미"/>
    <s v="PKG"/>
    <s v="O"/>
    <s v="8&quot;&amp;12&quot;"/>
    <s v="DDI"/>
    <x v="4"/>
    <s v="COF"/>
    <x v="31"/>
    <n v="1000573"/>
    <s v="MC"/>
    <s v="PPT-20 : LDPS-4350D(TOP)"/>
    <s v="LDPS-4350D"/>
    <x v="68"/>
    <m/>
    <n v="6043002"/>
    <x v="0"/>
    <s v="가동"/>
    <s v="한국"/>
    <s v="TOP ENG"/>
    <x v="1"/>
    <s v="2차"/>
    <s v="2차"/>
    <s v="일반장비(비통제)"/>
    <s v="에폭시 도포기"/>
    <m/>
    <m/>
    <m/>
    <s v="EAR99"/>
    <s v="8486.40-0000"/>
    <m/>
    <m/>
    <d v="2006-04-30T00:00:00"/>
    <d v="2006-04-30T00:00:00"/>
    <n v="19.517808219178082"/>
    <n v="8"/>
    <s v="G1-1층"/>
    <s v="자사"/>
    <s v="미설정"/>
    <n v="6.6"/>
    <n v="7120"/>
    <n v="840"/>
    <n v="1957"/>
    <n v="181428572"/>
    <m/>
    <m/>
    <m/>
    <n v="181427572"/>
    <n v="0"/>
    <n v="1000"/>
    <n v="1000"/>
    <m/>
    <m/>
    <m/>
    <s v="완료"/>
    <s v="D-POT"/>
    <s v="COF(Assy_FT)"/>
    <s v="COF(Assy_FT)"/>
    <s v="기계장치"/>
    <n v="3628571.44"/>
    <n v="345907.06304071762"/>
    <n v="115302.35434690588"/>
    <m/>
    <m/>
    <n v="345907.06304071762"/>
    <n v="345907.06304071762"/>
    <n v="691814.12608143524"/>
    <n v="345907.06304071762"/>
    <n v="345907.06304071762"/>
    <n v="345907.06304071762"/>
    <n v="345907.06304071762"/>
    <n v="1383628.2521628705"/>
    <n v="345907.06304071762"/>
    <n v="345907.06304071762"/>
    <n v="345907.06304071762"/>
    <n v="345907.06304071762"/>
    <n v="1383628.2521628705"/>
    <n v="345907.06304071762"/>
    <n v="345907.06304071762"/>
    <n v="345907.06304071762"/>
    <n v="345907.06304071762"/>
    <n v="1383628.2521628705"/>
    <n v="345907.06304071762"/>
    <n v="345907.06304071762"/>
    <n v="345907.06304071762"/>
    <n v="345907.06304071762"/>
    <n v="1383628.2521628705"/>
    <m/>
    <n v="3.5430736082395068E-4"/>
    <n v="7440454.5773029644"/>
    <n v="11069026.017302964"/>
  </r>
  <r>
    <n v="318"/>
    <x v="0"/>
    <m/>
    <s v="구용근"/>
    <s v="구미"/>
    <s v="PKG"/>
    <s v="O"/>
    <s v="8&quot;&amp;12&quot;"/>
    <s v="DDI"/>
    <x v="4"/>
    <s v="COF"/>
    <x v="31"/>
    <n v="1000575"/>
    <s v="MC"/>
    <s v="PPT-22 : LDPS-4350D(TOP)"/>
    <s v="LDPS-4350D"/>
    <x v="68"/>
    <m/>
    <n v="6043004"/>
    <x v="0"/>
    <s v="가동"/>
    <s v="한국"/>
    <s v="TOP ENG"/>
    <x v="1"/>
    <s v="3차"/>
    <s v="3차"/>
    <s v="일반장비(비통제)"/>
    <s v="에폭시 도포기"/>
    <m/>
    <m/>
    <m/>
    <s v="EAR99"/>
    <s v="8486.40-0000"/>
    <m/>
    <m/>
    <d v="2006-04-30T00:00:00"/>
    <d v="2006-04-30T00:00:00"/>
    <n v="19.517808219178082"/>
    <n v="8"/>
    <s v="G1-1층"/>
    <s v="자사"/>
    <s v="미설정"/>
    <n v="6.6"/>
    <n v="7120"/>
    <n v="840"/>
    <n v="1957"/>
    <n v="181428572"/>
    <m/>
    <m/>
    <m/>
    <n v="181427572"/>
    <n v="0"/>
    <n v="1000"/>
    <n v="1000"/>
    <m/>
    <m/>
    <m/>
    <s v="완료"/>
    <s v="D-POT"/>
    <s v="COF(Assy_FT)"/>
    <s v="COF(Assy_FT)"/>
    <s v="기계장치"/>
    <n v="3628571.44"/>
    <n v="345907.06304071762"/>
    <n v="115302.35434690588"/>
    <m/>
    <m/>
    <n v="345907.06304071762"/>
    <n v="345907.06304071762"/>
    <n v="691814.12608143524"/>
    <n v="345907.06304071762"/>
    <n v="345907.06304071762"/>
    <n v="345907.06304071762"/>
    <n v="345907.06304071762"/>
    <n v="1383628.2521628705"/>
    <n v="345907.06304071762"/>
    <n v="345907.06304071762"/>
    <n v="345907.06304071762"/>
    <n v="345907.06304071762"/>
    <n v="1383628.2521628705"/>
    <n v="345907.06304071762"/>
    <n v="345907.06304071762"/>
    <n v="345907.06304071762"/>
    <n v="345907.06304071762"/>
    <n v="1383628.2521628705"/>
    <n v="345907.06304071762"/>
    <n v="345907.06304071762"/>
    <n v="345907.06304071762"/>
    <n v="345907.06304071762"/>
    <n v="1383628.2521628705"/>
    <m/>
    <n v="3.5430736082395068E-4"/>
    <n v="7440454.5773029644"/>
    <n v="11069026.017302964"/>
  </r>
  <r>
    <n v="319"/>
    <x v="0"/>
    <m/>
    <s v="구용근"/>
    <s v="구미"/>
    <s v="PKG"/>
    <s v="O"/>
    <s v="8&quot;&amp;12&quot;"/>
    <s v="DDI"/>
    <x v="4"/>
    <s v="COF"/>
    <x v="31"/>
    <n v="1000576"/>
    <s v="MC"/>
    <s v="PPT-23 : LDPS-4350D(TOP)"/>
    <s v="LDPS-4350D"/>
    <x v="68"/>
    <m/>
    <n v="6043005"/>
    <x v="0"/>
    <s v="가동"/>
    <s v="한국"/>
    <s v="TOP ENG"/>
    <x v="1"/>
    <s v="3차"/>
    <s v="3차"/>
    <s v="일반장비(비통제)"/>
    <s v="에폭시 도포기"/>
    <m/>
    <m/>
    <m/>
    <s v="EAR99"/>
    <s v="8486.40-0000"/>
    <m/>
    <m/>
    <d v="2006-04-30T00:00:00"/>
    <d v="2006-04-30T00:00:00"/>
    <n v="19.517808219178082"/>
    <n v="8"/>
    <s v="G1-1층"/>
    <s v="자사"/>
    <s v="미설정"/>
    <n v="6.6"/>
    <n v="7120"/>
    <n v="840"/>
    <n v="1957"/>
    <n v="181428572"/>
    <m/>
    <m/>
    <m/>
    <n v="181427572"/>
    <n v="0"/>
    <n v="1000"/>
    <n v="1000"/>
    <m/>
    <m/>
    <m/>
    <s v="완료"/>
    <s v="D-POT"/>
    <s v="COF(Assy_FT)"/>
    <s v="COF(Assy_FT)"/>
    <s v="기계장치"/>
    <n v="3628571.44"/>
    <n v="345907.06304071762"/>
    <n v="115302.35434690588"/>
    <m/>
    <m/>
    <n v="345907.06304071762"/>
    <n v="345907.06304071762"/>
    <n v="691814.12608143524"/>
    <n v="345907.06304071762"/>
    <n v="345907.06304071762"/>
    <n v="345907.06304071762"/>
    <n v="345907.06304071762"/>
    <n v="1383628.2521628705"/>
    <n v="345907.06304071762"/>
    <n v="345907.06304071762"/>
    <n v="345907.06304071762"/>
    <n v="345907.06304071762"/>
    <n v="1383628.2521628705"/>
    <n v="345907.06304071762"/>
    <n v="345907.06304071762"/>
    <n v="345907.06304071762"/>
    <n v="345907.06304071762"/>
    <n v="1383628.2521628705"/>
    <n v="345907.06304071762"/>
    <n v="345907.06304071762"/>
    <n v="345907.06304071762"/>
    <n v="345907.06304071762"/>
    <n v="1383628.2521628705"/>
    <m/>
    <n v="3.5430736082395068E-4"/>
    <n v="7440454.5773029644"/>
    <n v="11069026.017302964"/>
  </r>
  <r>
    <n v="320"/>
    <x v="0"/>
    <m/>
    <s v="구용근"/>
    <s v="구미"/>
    <s v="PKG"/>
    <s v="O"/>
    <s v="8&quot;&amp;12&quot;"/>
    <s v="DDI"/>
    <x v="4"/>
    <s v="COF"/>
    <x v="32"/>
    <n v="1006730"/>
    <s v="MC"/>
    <s v="PIL-98 : TFC-3600-300(SHIBAURA)"/>
    <s v="TFC-3600"/>
    <x v="67"/>
    <s v="3세대"/>
    <s v="E288"/>
    <x v="165"/>
    <s v="가동"/>
    <s v="일본"/>
    <s v="Shibaura"/>
    <x v="0"/>
    <s v="1차"/>
    <s v="1차"/>
    <s v="해당"/>
    <s v="칩 본딩 장비"/>
    <s v="칩 본딩 장비"/>
    <m/>
    <m/>
    <s v="3B991"/>
    <s v="8486.40-0000"/>
    <s v="반도체 제조 공정용"/>
    <m/>
    <d v="2021-07-15T00:00:00"/>
    <d v="2021-07-15T00:00:00"/>
    <n v="4.2986301369863016"/>
    <n v="8"/>
    <s v="G1-1층"/>
    <s v="자사"/>
    <s v="설정"/>
    <n v="3.6"/>
    <n v="2820"/>
    <n v="1154"/>
    <n v="2020"/>
    <n v="444348614"/>
    <m/>
    <m/>
    <m/>
    <n v="223209182"/>
    <n v="4628631"/>
    <n v="207253539"/>
    <n v="19382251"/>
    <m/>
    <m/>
    <n v="47.776422877520375"/>
    <s v="미완료"/>
    <s v="D-ILB"/>
    <s v="COF(Assy_FT)"/>
    <s v="COF(Assy_FT)"/>
    <s v="기계장치"/>
    <n v="217616215.95000002"/>
    <n v="20745074.852184553"/>
    <n v="6915024.9507281845"/>
    <m/>
    <m/>
    <m/>
    <m/>
    <m/>
    <m/>
    <m/>
    <n v="20745074.852184553"/>
    <n v="20745074.852184553"/>
    <n v="41490149.704369105"/>
    <n v="20745074.852184553"/>
    <n v="20745074.852184553"/>
    <n v="20745074.852184553"/>
    <n v="20745074.852184553"/>
    <n v="82980299.408738211"/>
    <n v="20745074.852184553"/>
    <n v="20745074.852184553"/>
    <n v="20745074.852184553"/>
    <n v="20745074.852184553"/>
    <n v="82980299.408738211"/>
    <n v="20745074.852184553"/>
    <n v="20745074.852184553"/>
    <n v="20745074.852184553"/>
    <n v="20745074.852184553"/>
    <n v="82980299.408738211"/>
    <m/>
    <n v="2.1248865681900268E-2"/>
    <n v="446226179.31990564"/>
    <n v="663842395.26990569"/>
  </r>
  <r>
    <n v="321"/>
    <x v="0"/>
    <m/>
    <s v="구용근"/>
    <s v="구미"/>
    <s v="PKG"/>
    <s v="O"/>
    <s v="8&quot;&amp;12&quot;"/>
    <s v="DDI"/>
    <x v="4"/>
    <s v="COF"/>
    <x v="32"/>
    <n v="1005981"/>
    <s v="MC"/>
    <s v="PIL-94 : TFC-3600-300(SHIBAURA)"/>
    <s v="TFC-3600"/>
    <x v="67"/>
    <s v="3세대"/>
    <s v="E213"/>
    <x v="165"/>
    <s v="가동"/>
    <s v="일본"/>
    <s v="Shibaura"/>
    <x v="0"/>
    <s v="1차"/>
    <s v="1차"/>
    <s v="해당"/>
    <s v="칩 본딩 장비"/>
    <s v="칩 본딩 장비"/>
    <m/>
    <m/>
    <s v="3B991"/>
    <s v="8486.40-0000"/>
    <s v="반도체 제조 공정용"/>
    <m/>
    <d v="2019-06-20T00:00:00"/>
    <d v="2019-06-20T00:00:00"/>
    <n v="6.3698630136986303"/>
    <n v="8"/>
    <s v="G1-1층"/>
    <s v="자사"/>
    <s v="설정"/>
    <n v="3.6"/>
    <n v="2820"/>
    <n v="1154"/>
    <n v="2020"/>
    <n v="437316252"/>
    <m/>
    <m/>
    <m/>
    <n v="337097944"/>
    <n v="4555378"/>
    <n v="86552174"/>
    <n v="6723328"/>
    <m/>
    <m/>
    <n v="21.999998243833993"/>
    <s v="미완료"/>
    <s v="D-ILB"/>
    <s v="COF(Assy_FT)"/>
    <s v="COF(Assy_FT)"/>
    <s v="기계장치"/>
    <n v="90879782.700000003"/>
    <n v="8663453.1642390992"/>
    <n v="2887817.7214130331"/>
    <m/>
    <m/>
    <m/>
    <m/>
    <m/>
    <m/>
    <m/>
    <n v="8663453.1642390992"/>
    <n v="8663453.1642390992"/>
    <n v="17326906.328478198"/>
    <n v="8663453.1642390992"/>
    <n v="8663453.1642390992"/>
    <n v="8663453.1642390992"/>
    <n v="8663453.1642390992"/>
    <n v="34653812.656956397"/>
    <n v="8663453.1642390992"/>
    <n v="8663453.1642390992"/>
    <n v="8663453.1642390992"/>
    <n v="8663453.1642390992"/>
    <n v="34653812.656956397"/>
    <n v="8663453.1642390992"/>
    <n v="8663453.1642390992"/>
    <n v="8663453.1642390992"/>
    <n v="8663453.1642390992"/>
    <n v="34653812.656956397"/>
    <m/>
    <n v="8.8738437407452925E-3"/>
    <n v="186350718.55565116"/>
    <n v="277230501.25565118"/>
  </r>
  <r>
    <n v="322"/>
    <x v="0"/>
    <m/>
    <s v="구용근"/>
    <s v="구미"/>
    <s v="PKG"/>
    <s v="O"/>
    <s v="8&quot;&amp;12&quot;"/>
    <s v="DDI"/>
    <x v="4"/>
    <s v="COF"/>
    <x v="32"/>
    <n v="1005969"/>
    <s v="MC"/>
    <s v="PIL-93 : TFC-3600-300(SHIBAURA)"/>
    <s v="TFC-3600"/>
    <x v="67"/>
    <s v="3세대"/>
    <s v="E212"/>
    <x v="165"/>
    <s v="가동"/>
    <s v="일본"/>
    <s v="Shibaura"/>
    <x v="0"/>
    <s v="1차"/>
    <s v="1차"/>
    <s v="해당"/>
    <s v="칩 본딩 장비"/>
    <s v="칩 본딩 장비"/>
    <m/>
    <m/>
    <s v="3B991"/>
    <s v="8486.40-0000"/>
    <s v="반도체 제조 공정용"/>
    <m/>
    <d v="2019-06-20T00:00:00"/>
    <d v="2019-06-20T00:00:00"/>
    <n v="6.3698630136986303"/>
    <n v="8"/>
    <s v="G1-1층"/>
    <s v="자사"/>
    <s v="설정"/>
    <n v="3.6"/>
    <n v="2820"/>
    <n v="1154"/>
    <n v="2020"/>
    <n v="437316251"/>
    <m/>
    <m/>
    <m/>
    <n v="337097944"/>
    <n v="4555378"/>
    <n v="86552173"/>
    <n v="6723328"/>
    <m/>
    <m/>
    <n v="21.999998024313239"/>
    <s v="미완료"/>
    <s v="D-ILB"/>
    <s v="COF(Assy_FT)"/>
    <s v="COF(Assy_FT)"/>
    <s v="기계장치"/>
    <n v="90879781.650000006"/>
    <n v="8663453.0641439445"/>
    <n v="2887817.6880479814"/>
    <m/>
    <m/>
    <m/>
    <m/>
    <m/>
    <m/>
    <m/>
    <n v="8663453.0641439445"/>
    <n v="8663453.0641439445"/>
    <n v="17326906.128287889"/>
    <n v="8663453.0641439445"/>
    <n v="8663453.0641439445"/>
    <n v="8663453.0641439445"/>
    <n v="8663453.0641439445"/>
    <n v="34653812.256575778"/>
    <n v="8663453.0641439445"/>
    <n v="8663453.0641439445"/>
    <n v="8663453.0641439445"/>
    <n v="8663453.0641439445"/>
    <n v="34653812.256575778"/>
    <n v="8663453.0641439445"/>
    <n v="8663453.0641439445"/>
    <n v="8663453.0641439445"/>
    <n v="8663453.0641439445"/>
    <n v="34653812.256575778"/>
    <m/>
    <n v="8.8738436382193447E-3"/>
    <n v="186350716.40260625"/>
    <n v="277230498.05260623"/>
  </r>
  <r>
    <n v="323"/>
    <x v="0"/>
    <m/>
    <s v="구용근"/>
    <s v="구미"/>
    <s v="PKG"/>
    <s v="O"/>
    <s v="8&quot;&amp;12&quot;"/>
    <s v="DDI"/>
    <x v="4"/>
    <s v="COF"/>
    <x v="32"/>
    <n v="1005980"/>
    <s v="MC"/>
    <s v="PIL-92 : TFC-3600-300(SHIBAURA)"/>
    <s v="TFC-3600"/>
    <x v="67"/>
    <s v="3세대"/>
    <s v="E211"/>
    <x v="165"/>
    <s v="가동"/>
    <s v="일본"/>
    <s v="Shibaura"/>
    <x v="0"/>
    <s v="1차"/>
    <s v="1차"/>
    <s v="해당"/>
    <s v="칩 본딩 장비"/>
    <s v="칩 본딩 장비"/>
    <m/>
    <m/>
    <s v="3B991"/>
    <s v="8486.40-0000"/>
    <s v="반도체 제조 공정용"/>
    <m/>
    <d v="2019-06-20T00:00:00"/>
    <d v="2019-06-20T00:00:00"/>
    <n v="6.3698630136986303"/>
    <n v="8"/>
    <s v="G1-1층"/>
    <s v="자사"/>
    <s v="설정"/>
    <n v="3.6"/>
    <n v="2820"/>
    <n v="1154"/>
    <n v="2020"/>
    <n v="460316251"/>
    <m/>
    <m/>
    <m/>
    <n v="345243779"/>
    <n v="4794961"/>
    <n v="100687589"/>
    <n v="7908941"/>
    <m/>
    <m/>
    <n v="23.998625223437688"/>
    <s v="미완료"/>
    <s v="D-ILB"/>
    <s v="COF(Assy_FT)"/>
    <s v="COF(Assy_FT)"/>
    <s v="기계장치"/>
    <n v="105721968.45"/>
    <n v="10078339.702035164"/>
    <n v="3359446.5673450548"/>
    <m/>
    <m/>
    <m/>
    <m/>
    <m/>
    <m/>
    <m/>
    <n v="10078339.702035164"/>
    <n v="10078339.702035164"/>
    <n v="20156679.404070329"/>
    <n v="10078339.702035164"/>
    <n v="10078339.702035164"/>
    <n v="10078339.702035164"/>
    <n v="10078339.702035164"/>
    <n v="40313358.808140658"/>
    <n v="10078339.702035164"/>
    <n v="10078339.702035164"/>
    <n v="10078339.702035164"/>
    <n v="10078339.702035164"/>
    <n v="40313358.808140658"/>
    <n v="10078339.702035164"/>
    <n v="10078339.702035164"/>
    <n v="10078339.702035164"/>
    <n v="10078339.702035164"/>
    <n v="40313358.808140658"/>
    <m/>
    <n v="1.0323090572148823E-2"/>
    <n v="216784902.01512527"/>
    <n v="322506870.46512526"/>
  </r>
  <r>
    <n v="324"/>
    <x v="0"/>
    <m/>
    <s v="구용근"/>
    <s v="구미"/>
    <s v="PKG"/>
    <s v="O"/>
    <s v="8&quot;&amp;12&quot;"/>
    <s v="DDI"/>
    <x v="4"/>
    <s v="COF"/>
    <x v="30"/>
    <n v="1000723"/>
    <s v="MC"/>
    <s v="PCU-11 : OFI-SPECIAL(JEIO TECK)"/>
    <s v="OFI-SPECIAL"/>
    <x v="17"/>
    <m/>
    <s v="0697-01"/>
    <x v="0"/>
    <s v="가동"/>
    <s v="한국"/>
    <s v="JEIO TECK"/>
    <x v="1"/>
    <s v="1차"/>
    <s v="1차"/>
    <s v="일반장비(비통제)"/>
    <s v="접착제 경화"/>
    <s v="접착제 경화"/>
    <s v="일반 산업 장비"/>
    <m/>
    <s v="EAR99"/>
    <s v="8486.40-0000"/>
    <s v="후공정/Assembly oven"/>
    <m/>
    <d v="2006-06-30T00:00:00"/>
    <d v="2006-06-30T00:00:00"/>
    <n v="19.350684931506848"/>
    <n v="8"/>
    <s v="G1-1층"/>
    <s v="자사"/>
    <s v="미설정"/>
    <n v="5.3"/>
    <n v="1470"/>
    <n v="950"/>
    <n v="1550"/>
    <n v="7200000"/>
    <m/>
    <m/>
    <m/>
    <n v="7199000"/>
    <n v="0"/>
    <n v="1000"/>
    <n v="1000"/>
    <m/>
    <m/>
    <m/>
    <s v="완료"/>
    <s v="D-POT"/>
    <s v="COF(Assy_FT)"/>
    <s v="COF(Assy_FT)"/>
    <s v="기계장치"/>
    <n v="144000"/>
    <n v="13727.335371923486"/>
    <n v="4575.7784573078288"/>
    <m/>
    <m/>
    <n v="13727.335371923487"/>
    <n v="13727.335371923487"/>
    <n v="27454.670743846975"/>
    <n v="13727.335371923487"/>
    <n v="13727.335371923487"/>
    <n v="13727.335371923487"/>
    <n v="13727.335371923487"/>
    <n v="54909.34148769395"/>
    <n v="13727.335371923487"/>
    <n v="13727.335371923487"/>
    <n v="13727.335371923487"/>
    <n v="13727.335371923487"/>
    <n v="54909.34148769395"/>
    <n v="13727.335371923487"/>
    <n v="13727.335371923487"/>
    <n v="13727.335371923487"/>
    <n v="13727.335371923487"/>
    <n v="54909.34148769395"/>
    <n v="13727.335371923487"/>
    <n v="13727.335371923487"/>
    <n v="13727.335371923487"/>
    <n v="13727.335371923487"/>
    <n v="54909.34148769395"/>
    <m/>
    <n v="1.4060701519121503E-5"/>
    <n v="295274.73190155154"/>
    <n v="439274.73190155154"/>
  </r>
  <r>
    <n v="325"/>
    <x v="0"/>
    <m/>
    <s v="구용근"/>
    <s v="구미"/>
    <s v="PKG"/>
    <s v="O"/>
    <s v="8&quot;&amp;12&quot;"/>
    <s v="DDI"/>
    <x v="4"/>
    <s v="COF"/>
    <x v="30"/>
    <n v="1000724"/>
    <s v="MC"/>
    <s v="PCU-12 : OFI-SPECIAL(JEIO TECK)(2ea)"/>
    <s v="OFI-SPECIAL"/>
    <x v="17"/>
    <m/>
    <s v="0697-02"/>
    <x v="0"/>
    <s v="가동"/>
    <s v="한국"/>
    <s v="JEIO TECK"/>
    <x v="1"/>
    <s v="1차"/>
    <s v="1차"/>
    <s v="일반장비(비통제)"/>
    <s v="접착제 경화"/>
    <s v="접착제 경화"/>
    <s v="일반 산업 장비"/>
    <m/>
    <s v="EAR99"/>
    <s v="8486.40-0000"/>
    <s v="후공정/Assembly oven"/>
    <m/>
    <d v="2006-06-30T00:00:00"/>
    <d v="2006-06-30T00:00:00"/>
    <n v="19.350684931506848"/>
    <n v="8"/>
    <s v="G1-1층"/>
    <s v="자사"/>
    <s v="미설정"/>
    <n v="5.3"/>
    <n v="1470"/>
    <n v="950"/>
    <n v="1550"/>
    <n v="7200000"/>
    <m/>
    <m/>
    <m/>
    <n v="7199000"/>
    <n v="0"/>
    <n v="1000"/>
    <n v="1000"/>
    <m/>
    <m/>
    <m/>
    <s v="완료"/>
    <s v="D-POT"/>
    <s v="COF(Assy_FT)"/>
    <s v="COF(Assy_FT)"/>
    <s v="기계장치"/>
    <n v="144000"/>
    <n v="13727.335371923486"/>
    <n v="4575.7784573078288"/>
    <m/>
    <m/>
    <n v="13727.335371923487"/>
    <n v="13727.335371923487"/>
    <n v="27454.670743846975"/>
    <n v="13727.335371923487"/>
    <n v="13727.335371923487"/>
    <n v="13727.335371923487"/>
    <n v="13727.335371923487"/>
    <n v="54909.34148769395"/>
    <n v="13727.335371923487"/>
    <n v="13727.335371923487"/>
    <n v="13727.335371923487"/>
    <n v="13727.335371923487"/>
    <n v="54909.34148769395"/>
    <n v="13727.335371923487"/>
    <n v="13727.335371923487"/>
    <n v="13727.335371923487"/>
    <n v="13727.335371923487"/>
    <n v="54909.34148769395"/>
    <n v="13727.335371923487"/>
    <n v="13727.335371923487"/>
    <n v="13727.335371923487"/>
    <n v="13727.335371923487"/>
    <n v="54909.34148769395"/>
    <m/>
    <n v="1.4060701519121503E-5"/>
    <n v="295274.73190155154"/>
    <n v="439274.73190155154"/>
  </r>
  <r>
    <n v="326"/>
    <x v="0"/>
    <m/>
    <s v="구용근"/>
    <s v="구미"/>
    <s v="PKG"/>
    <s v="O"/>
    <s v="8&quot;&amp;12&quot;"/>
    <s v="DDI"/>
    <x v="4"/>
    <s v="COF"/>
    <x v="34"/>
    <n v="1000725"/>
    <s v="MC"/>
    <s v="PMA-09 : LDMS-0670(피오이)"/>
    <s v="FM-100"/>
    <x v="69"/>
    <m/>
    <s v="P0605-001"/>
    <x v="0"/>
    <s v="가동"/>
    <s v="한국"/>
    <s v="POE"/>
    <x v="1"/>
    <s v="1차"/>
    <s v="1차"/>
    <s v="일반장비(비통제)"/>
    <s v="제조 가공 장비"/>
    <s v="잉크 마킹"/>
    <m/>
    <m/>
    <s v="EAR99"/>
    <s v="8443.99-0000"/>
    <m/>
    <m/>
    <d v="2006-06-30T00:00:00"/>
    <d v="2006-06-30T00:00:00"/>
    <n v="19.350684931506848"/>
    <n v="8"/>
    <s v="G1-1층"/>
    <s v="자사"/>
    <s v="미설정"/>
    <n v="2.11"/>
    <n v="2682"/>
    <n v="1000"/>
    <n v="1910"/>
    <n v="165000000"/>
    <m/>
    <m/>
    <m/>
    <n v="164999000"/>
    <n v="0"/>
    <n v="1000"/>
    <n v="1000"/>
    <m/>
    <m/>
    <m/>
    <s v="완료"/>
    <s v="D-IMARK"/>
    <s v="COF(Assy_FT)"/>
    <s v="COF(Assy_FT)"/>
    <s v="기계장치"/>
    <n v="3300000"/>
    <n v="314584.76893991325"/>
    <n v="104861.58964663775"/>
    <m/>
    <m/>
    <n v="314584.76893991325"/>
    <n v="314584.76893991325"/>
    <n v="629169.5378798265"/>
    <n v="314584.76893991325"/>
    <n v="314584.76893991325"/>
    <n v="314584.76893991325"/>
    <n v="314584.76893991325"/>
    <n v="1258339.075759653"/>
    <n v="314584.76893991325"/>
    <n v="314584.76893991325"/>
    <n v="314584.76893991325"/>
    <n v="314584.76893991325"/>
    <n v="1258339.075759653"/>
    <n v="314584.76893991325"/>
    <n v="314584.76893991325"/>
    <n v="314584.76893991325"/>
    <n v="314584.76893991325"/>
    <n v="1258339.075759653"/>
    <n v="314584.76893991325"/>
    <n v="314584.76893991325"/>
    <n v="314584.76893991325"/>
    <n v="314584.76893991325"/>
    <n v="1258339.075759653"/>
    <m/>
    <n v="3.2222440981320108E-4"/>
    <n v="6766712.6060772231"/>
    <n v="10066712.606077224"/>
  </r>
  <r>
    <n v="327"/>
    <x v="0"/>
    <m/>
    <s v="구용근"/>
    <s v="구미"/>
    <s v="PKG"/>
    <s v="O"/>
    <s v="8&quot;&amp;12&quot;"/>
    <s v="DDI"/>
    <x v="4"/>
    <s v="COF"/>
    <x v="31"/>
    <n v="1000726"/>
    <s v="MC"/>
    <s v="PPT-24 : LDPS-4350D(TOP)"/>
    <s v="LDPS-4350D"/>
    <x v="68"/>
    <m/>
    <n v="6053006"/>
    <x v="0"/>
    <s v="가동"/>
    <s v="한국"/>
    <s v="TOP ENG"/>
    <x v="1"/>
    <s v="1차"/>
    <s v="1차"/>
    <s v="일반장비(비통제)"/>
    <s v="에폭시 도포기"/>
    <m/>
    <m/>
    <m/>
    <s v="EAR99"/>
    <s v="8486.40-0000"/>
    <m/>
    <m/>
    <d v="2006-06-30T00:00:00"/>
    <d v="2006-06-30T00:00:00"/>
    <n v="19.350684931506848"/>
    <n v="8"/>
    <s v="G1-1층"/>
    <s v="자사"/>
    <s v="미설정"/>
    <n v="6.6"/>
    <n v="7120"/>
    <n v="840"/>
    <n v="1957"/>
    <n v="181428571"/>
    <m/>
    <m/>
    <m/>
    <n v="181427571"/>
    <n v="0"/>
    <n v="1000"/>
    <n v="1000"/>
    <m/>
    <m/>
    <m/>
    <s v="완료"/>
    <s v="D-POT"/>
    <s v="COF(Assy_FT)"/>
    <s v="COF(Assy_FT)"/>
    <s v="기계장치"/>
    <n v="3628571.42"/>
    <n v="345907.06113414327"/>
    <n v="115302.35371138109"/>
    <m/>
    <m/>
    <n v="345907.06113414327"/>
    <n v="345907.06113414327"/>
    <n v="691814.12226828653"/>
    <n v="345907.06113414327"/>
    <n v="345907.06113414327"/>
    <n v="345907.06113414327"/>
    <n v="345907.06113414327"/>
    <n v="1383628.2445365731"/>
    <n v="345907.06113414327"/>
    <n v="345907.06113414327"/>
    <n v="345907.06113414327"/>
    <n v="345907.06113414327"/>
    <n v="1383628.2445365731"/>
    <n v="345907.06113414327"/>
    <n v="345907.06113414327"/>
    <n v="345907.06113414327"/>
    <n v="345907.06113414327"/>
    <n v="1383628.2445365731"/>
    <n v="345907.06113414327"/>
    <n v="345907.06113414327"/>
    <n v="345907.06113414327"/>
    <n v="345907.06113414327"/>
    <n v="1383628.2445365731"/>
    <m/>
    <n v="3.5430735887107548E-4"/>
    <n v="7440454.5362925855"/>
    <n v="11069025.956292585"/>
  </r>
  <r>
    <n v="328"/>
    <x v="0"/>
    <m/>
    <s v="구용근"/>
    <s v="구미"/>
    <s v="PKG"/>
    <s v="O"/>
    <s v="8&quot;&amp;12&quot;"/>
    <s v="DDI"/>
    <x v="4"/>
    <s v="COF"/>
    <x v="31"/>
    <n v="1000727"/>
    <s v="MC"/>
    <s v="PPT-25 : LDPS-4350D(TOP)"/>
    <s v="LDPS-4350D"/>
    <x v="68"/>
    <m/>
    <n v="6053007"/>
    <x v="0"/>
    <s v="가동"/>
    <s v="한국"/>
    <s v="TOP ENG"/>
    <x v="1"/>
    <s v="1차"/>
    <s v="1차"/>
    <s v="일반장비(비통제)"/>
    <s v="에폭시 도포기"/>
    <m/>
    <m/>
    <m/>
    <s v="EAR99"/>
    <s v="8486.40-0000"/>
    <m/>
    <m/>
    <d v="2006-06-30T00:00:00"/>
    <d v="2006-06-30T00:00:00"/>
    <n v="19.350684931506848"/>
    <n v="8"/>
    <s v="G1-1층"/>
    <s v="자사"/>
    <s v="미설정"/>
    <n v="6.6"/>
    <n v="7120"/>
    <n v="840"/>
    <n v="1957"/>
    <n v="181428571"/>
    <m/>
    <m/>
    <m/>
    <n v="181427571"/>
    <n v="0"/>
    <n v="1000"/>
    <n v="1000"/>
    <m/>
    <m/>
    <m/>
    <s v="완료"/>
    <s v="D-POT"/>
    <s v="COF(Assy_FT)"/>
    <s v="COF(Assy_FT)"/>
    <s v="기계장치"/>
    <n v="3628571.42"/>
    <n v="345907.06113414327"/>
    <n v="115302.35371138109"/>
    <m/>
    <m/>
    <n v="345907.06113414327"/>
    <n v="345907.06113414327"/>
    <n v="691814.12226828653"/>
    <n v="345907.06113414327"/>
    <n v="345907.06113414327"/>
    <n v="345907.06113414327"/>
    <n v="345907.06113414327"/>
    <n v="1383628.2445365731"/>
    <n v="345907.06113414327"/>
    <n v="345907.06113414327"/>
    <n v="345907.06113414327"/>
    <n v="345907.06113414327"/>
    <n v="1383628.2445365731"/>
    <n v="345907.06113414327"/>
    <n v="345907.06113414327"/>
    <n v="345907.06113414327"/>
    <n v="345907.06113414327"/>
    <n v="1383628.2445365731"/>
    <n v="345907.06113414327"/>
    <n v="345907.06113414327"/>
    <n v="345907.06113414327"/>
    <n v="345907.06113414327"/>
    <n v="1383628.2445365731"/>
    <m/>
    <n v="3.5430735887107548E-4"/>
    <n v="7440454.5362925855"/>
    <n v="11069025.956292585"/>
  </r>
  <r>
    <n v="329"/>
    <x v="0"/>
    <m/>
    <s v="구용근"/>
    <s v="구미"/>
    <s v="PKG"/>
    <s v="O"/>
    <s v="8&quot;&amp;12&quot;"/>
    <s v="DDI"/>
    <x v="4"/>
    <s v="COF"/>
    <x v="31"/>
    <n v="1000728"/>
    <s v="MC"/>
    <s v="PPT-26 : LDPS-4350D(TOP)"/>
    <s v="LDPS-4350D"/>
    <x v="68"/>
    <m/>
    <n v="6053008"/>
    <x v="0"/>
    <s v="가동"/>
    <s v="한국"/>
    <s v="TOP ENG"/>
    <x v="1"/>
    <s v="1차"/>
    <s v="1차"/>
    <s v="일반장비(비통제)"/>
    <s v="에폭시 도포기"/>
    <m/>
    <m/>
    <m/>
    <s v="EAR99"/>
    <s v="8486.40-0000"/>
    <m/>
    <m/>
    <d v="2006-06-30T00:00:00"/>
    <d v="2006-06-30T00:00:00"/>
    <n v="19.350684931506848"/>
    <n v="8"/>
    <s v="G1-1층"/>
    <s v="자사"/>
    <s v="미설정"/>
    <n v="6.6"/>
    <n v="7120"/>
    <n v="840"/>
    <n v="1957"/>
    <n v="181428571"/>
    <m/>
    <m/>
    <m/>
    <n v="181427571"/>
    <n v="0"/>
    <n v="1000"/>
    <n v="1000"/>
    <m/>
    <m/>
    <m/>
    <s v="완료"/>
    <s v="D-POT"/>
    <s v="COF(Assy_FT)"/>
    <s v="COF(Assy_FT)"/>
    <s v="기계장치"/>
    <n v="3628571.42"/>
    <n v="345907.06113414327"/>
    <n v="115302.35371138109"/>
    <m/>
    <m/>
    <n v="345907.06113414327"/>
    <n v="345907.06113414327"/>
    <n v="691814.12226828653"/>
    <n v="345907.06113414327"/>
    <n v="345907.06113414327"/>
    <n v="345907.06113414327"/>
    <n v="345907.06113414327"/>
    <n v="1383628.2445365731"/>
    <n v="345907.06113414327"/>
    <n v="345907.06113414327"/>
    <n v="345907.06113414327"/>
    <n v="345907.06113414327"/>
    <n v="1383628.2445365731"/>
    <n v="345907.06113414327"/>
    <n v="345907.06113414327"/>
    <n v="345907.06113414327"/>
    <n v="345907.06113414327"/>
    <n v="1383628.2445365731"/>
    <n v="345907.06113414327"/>
    <n v="345907.06113414327"/>
    <n v="345907.06113414327"/>
    <n v="345907.06113414327"/>
    <n v="1383628.2445365731"/>
    <m/>
    <n v="3.5430735887107548E-4"/>
    <n v="7440454.5362925855"/>
    <n v="11069025.956292585"/>
  </r>
  <r>
    <n v="330"/>
    <x v="0"/>
    <m/>
    <s v="구용근"/>
    <s v="구미"/>
    <s v="PKG"/>
    <s v="O"/>
    <s v="8&quot;"/>
    <s v="DDI"/>
    <x v="4"/>
    <s v="COF"/>
    <x v="17"/>
    <n v="1000736"/>
    <s v="MC"/>
    <s v="PSA-08 : DFD6340(DISCO)"/>
    <s v="DFD6340"/>
    <x v="31"/>
    <m/>
    <s v="JT1810"/>
    <x v="0"/>
    <s v="가동"/>
    <s v="일본"/>
    <s v="Disco"/>
    <x v="2"/>
    <s v="1차"/>
    <s v="1차"/>
    <s v="해당"/>
    <s v="Wafer Sicing Saw"/>
    <s v="Wafer Sicing Saw"/>
    <m/>
    <m/>
    <s v="3B001"/>
    <s v="8486.40-0000"/>
    <s v="전략물자수출입고시"/>
    <m/>
    <d v="2006-03-27T00:00:00"/>
    <d v="2006-07-31T00:00:00"/>
    <n v="19.265753424657536"/>
    <n v="8"/>
    <s v="G1-1층"/>
    <s v="자사"/>
    <s v="미설정"/>
    <n v="6.24"/>
    <n v="1150"/>
    <n v="1200"/>
    <n v="2100"/>
    <n v="159707767"/>
    <m/>
    <m/>
    <m/>
    <n v="159706767"/>
    <s v="               -"/>
    <n v="1000"/>
    <n v="1000"/>
    <m/>
    <m/>
    <m/>
    <s v="완료"/>
    <s v="D-SAW"/>
    <s v="COF(Assy_FT)"/>
    <s v="COF(Assy_FT)"/>
    <s v="기계장치"/>
    <n v="3194155.34"/>
    <n v="99817.354374999995"/>
    <n v="33272.451458333329"/>
    <m/>
    <m/>
    <m/>
    <m/>
    <m/>
    <m/>
    <m/>
    <n v="99817.354374999995"/>
    <n v="99817.354374999995"/>
    <n v="199634.70874999999"/>
    <n v="99817.354374999995"/>
    <n v="99817.354374999995"/>
    <n v="99817.354374999995"/>
    <n v="99817.354374999995"/>
    <n v="399269.41749999998"/>
    <n v="99817.354374999995"/>
    <n v="99817.354374999995"/>
    <n v="99817.354374999995"/>
    <n v="99817.354374999995"/>
    <n v="399269.41749999998"/>
    <n v="99817.354374999995"/>
    <n v="99817.354374999995"/>
    <n v="99817.354374999995"/>
    <n v="99817.354374999995"/>
    <n v="399269.41749999998"/>
    <m/>
    <m/>
    <m/>
    <n v="3194155.34"/>
  </r>
  <r>
    <n v="331"/>
    <x v="0"/>
    <m/>
    <s v="구용근"/>
    <s v="구미"/>
    <s v="PKG"/>
    <s v="O"/>
    <s v="8&quot;"/>
    <s v="DDI"/>
    <x v="4"/>
    <s v="COF"/>
    <x v="17"/>
    <n v="1000737"/>
    <s v="MC"/>
    <s v="PSA-09 : DFD6340(DISCO)"/>
    <s v="DFD6340"/>
    <x v="31"/>
    <m/>
    <s v="JT1809"/>
    <x v="0"/>
    <s v="가동"/>
    <s v="일본"/>
    <s v="Disco"/>
    <x v="2"/>
    <s v="1차"/>
    <s v="1차"/>
    <s v="해당"/>
    <s v="Wafer Sicing Saw"/>
    <s v="Wafer Sicing Saw"/>
    <m/>
    <m/>
    <s v="3B001"/>
    <s v="8486.40-0000"/>
    <s v="전략물자수출입고시"/>
    <m/>
    <d v="2006-03-27T00:00:00"/>
    <d v="2006-07-31T00:00:00"/>
    <n v="19.265753424657536"/>
    <n v="8"/>
    <s v="G1-1층"/>
    <s v="자사"/>
    <s v="미설정"/>
    <n v="6.24"/>
    <n v="1150"/>
    <n v="1200"/>
    <n v="2100"/>
    <n v="159707767"/>
    <m/>
    <m/>
    <m/>
    <n v="159706767"/>
    <n v="0"/>
    <n v="1000"/>
    <n v="1000"/>
    <m/>
    <m/>
    <m/>
    <s v="완료"/>
    <s v="D-SAW"/>
    <s v="COF(Assy_FT)"/>
    <s v="COF(Assy_FT)"/>
    <s v="기계장치"/>
    <n v="3194155.34"/>
    <n v="99817.354374999995"/>
    <n v="33272.451458333329"/>
    <m/>
    <m/>
    <m/>
    <m/>
    <m/>
    <m/>
    <m/>
    <n v="99817.354374999995"/>
    <n v="99817.354374999995"/>
    <n v="199634.70874999999"/>
    <n v="99817.354374999995"/>
    <n v="99817.354374999995"/>
    <n v="99817.354374999995"/>
    <n v="99817.354374999995"/>
    <n v="399269.41749999998"/>
    <n v="99817.354374999995"/>
    <n v="99817.354374999995"/>
    <n v="99817.354374999995"/>
    <n v="99817.354374999995"/>
    <n v="399269.41749999998"/>
    <n v="99817.354374999995"/>
    <n v="99817.354374999995"/>
    <n v="99817.354374999995"/>
    <n v="99817.354374999995"/>
    <n v="399269.41749999998"/>
    <m/>
    <m/>
    <m/>
    <n v="3194155.34"/>
  </r>
  <r>
    <n v="332"/>
    <x v="0"/>
    <m/>
    <s v="구용근"/>
    <s v="구미"/>
    <s v="PKG"/>
    <s v="O"/>
    <s v="8&quot;&amp;12&quot;"/>
    <s v="DDI"/>
    <x v="4"/>
    <s v="COF"/>
    <x v="32"/>
    <n v="1005963"/>
    <s v="MC"/>
    <s v="PIL-91 : TFC-3600-300(SHIBAURA)"/>
    <s v="TFC-3600"/>
    <x v="67"/>
    <s v="3세대"/>
    <s v="E203"/>
    <x v="165"/>
    <s v="가동"/>
    <s v="일본"/>
    <s v="Shibaura"/>
    <x v="0"/>
    <s v="1차"/>
    <s v="1차"/>
    <s v="해당"/>
    <s v="칩 본딩 장비"/>
    <s v="칩 본딩 장비"/>
    <m/>
    <m/>
    <s v="3B991"/>
    <s v="8486.40-0000"/>
    <s v="반도체 제조 공정용"/>
    <m/>
    <d v="2019-06-03T00:00:00"/>
    <d v="2019-06-03T00:00:00"/>
    <n v="6.4164383561643836"/>
    <n v="8"/>
    <s v="G1-1층"/>
    <s v="자사"/>
    <s v="미설정"/>
    <n v="3.6"/>
    <n v="2820"/>
    <n v="1154"/>
    <n v="2020"/>
    <n v="457929945"/>
    <m/>
    <m/>
    <m/>
    <n v="343404332"/>
    <n v="4770104"/>
    <n v="100215301"/>
    <n v="7872252"/>
    <m/>
    <m/>
    <n v="24.00903900627743"/>
    <s v="미완료"/>
    <s v="D-ILB"/>
    <s v="COF(Assy_FT)"/>
    <s v="COF(Assy_FT)"/>
    <s v="기계장치"/>
    <n v="105226066.05"/>
    <n v="10031065.962059181"/>
    <n v="3343688.6540197269"/>
    <m/>
    <m/>
    <m/>
    <m/>
    <m/>
    <m/>
    <m/>
    <n v="10031065.962059181"/>
    <n v="10031065.962059181"/>
    <n v="20062131.924118362"/>
    <n v="10031065.962059181"/>
    <n v="10031065.962059181"/>
    <n v="10031065.962059181"/>
    <n v="10031065.962059181"/>
    <n v="40124263.848236725"/>
    <n v="10031065.962059181"/>
    <n v="10031065.962059181"/>
    <n v="10031065.962059181"/>
    <n v="10031065.962059181"/>
    <n v="40124263.848236725"/>
    <n v="10031065.962059181"/>
    <n v="10031065.962059181"/>
    <n v="10031065.962059181"/>
    <n v="10031065.962059181"/>
    <n v="40124263.848236725"/>
    <m/>
    <n v="1.0274668796947323E-2"/>
    <n v="215768044.73589379"/>
    <n v="320994110.7858938"/>
  </r>
  <r>
    <n v="333"/>
    <x v="0"/>
    <m/>
    <s v="구용근"/>
    <s v="구미"/>
    <s v="PKG"/>
    <s v="O"/>
    <s v="8&quot;&amp;12&quot;"/>
    <s v="DDI"/>
    <x v="4"/>
    <s v="COF"/>
    <x v="32"/>
    <n v="1005962"/>
    <s v="MC"/>
    <s v="PIL-90 : TFC-3600-300(SHIBAURA)"/>
    <s v="TFC-3600"/>
    <x v="67"/>
    <s v="3세대"/>
    <s v="E202"/>
    <x v="165"/>
    <s v="가동"/>
    <s v="일본"/>
    <s v="Shibaura"/>
    <x v="0"/>
    <s v="1차"/>
    <s v="1차"/>
    <s v="해당"/>
    <s v="칩 본딩 장비"/>
    <s v="칩 본딩 장비"/>
    <m/>
    <m/>
    <s v="3B991"/>
    <s v="8486.40-0000"/>
    <s v="반도체 제조 공정용"/>
    <m/>
    <d v="2019-06-03T00:00:00"/>
    <d v="2019-06-03T00:00:00"/>
    <n v="6.4164383561643836"/>
    <n v="8"/>
    <s v="G1-1층"/>
    <s v="자사"/>
    <s v="미설정"/>
    <n v="3.6"/>
    <n v="2820"/>
    <n v="1154"/>
    <n v="2020"/>
    <n v="468429944"/>
    <m/>
    <m/>
    <m/>
    <n v="348544954"/>
    <n v="4879479"/>
    <n v="105246553"/>
    <n v="8290065"/>
    <m/>
    <m/>
    <n v="24.569219377724547"/>
    <s v="미완료"/>
    <s v="D-ILB"/>
    <s v="COF(Assy_FT)"/>
    <s v="COF(Assy_FT)"/>
    <s v="기계장치"/>
    <n v="110508880.65000001"/>
    <n v="10534669.904572334"/>
    <n v="3511556.6348574446"/>
    <m/>
    <m/>
    <m/>
    <m/>
    <m/>
    <m/>
    <m/>
    <n v="10534669.904572334"/>
    <n v="10534669.904572334"/>
    <n v="21069339.809144668"/>
    <n v="10534669.904572334"/>
    <n v="10534669.904572334"/>
    <n v="10534669.904572334"/>
    <n v="10534669.904572334"/>
    <n v="42138679.618289337"/>
    <n v="10534669.904572334"/>
    <n v="10534669.904572334"/>
    <n v="10534669.904572334"/>
    <n v="10534669.904572334"/>
    <n v="42138679.618289337"/>
    <n v="10534669.904572334"/>
    <n v="10534669.904572334"/>
    <n v="10534669.904572334"/>
    <n v="10534669.904572334"/>
    <n v="42138679.618289337"/>
    <m/>
    <n v="1.0790502680776888E-2"/>
    <n v="226600556.29631466"/>
    <n v="337109436.94631469"/>
  </r>
  <r>
    <n v="334"/>
    <x v="0"/>
    <m/>
    <s v="구용근"/>
    <s v="구미"/>
    <s v="PKG"/>
    <s v="O"/>
    <s v="8&quot;&amp;12&quot;"/>
    <s v="DDI"/>
    <x v="4"/>
    <s v="COF"/>
    <x v="30"/>
    <n v="1001445"/>
    <s v="MC"/>
    <s v="PCU-13 : BAKE OVEN:OF-SPECIAL(동경계측기)"/>
    <s v="OFI-SPECIAL"/>
    <x v="17"/>
    <m/>
    <s v="0906-01"/>
    <x v="0"/>
    <s v="가동"/>
    <s v="한국"/>
    <s v="JEIO TECK"/>
    <x v="1"/>
    <s v="1차"/>
    <s v="1차"/>
    <s v="일반장비(비통제)"/>
    <s v="접착제 경화"/>
    <s v="접착제 경화"/>
    <s v="일반 산업 장비"/>
    <m/>
    <s v="EAR99"/>
    <s v="8486.40-0000"/>
    <s v="후공정/Assembly oven"/>
    <m/>
    <d v="2009-06-11T00:00:00"/>
    <d v="2009-06-11T00:00:00"/>
    <n v="16.399999999999999"/>
    <n v="8"/>
    <s v="G1-1층"/>
    <s v="자사"/>
    <s v="미설정"/>
    <n v="5.3"/>
    <n v="1470"/>
    <n v="950"/>
    <n v="1550"/>
    <n v="7215000"/>
    <m/>
    <m/>
    <m/>
    <n v="7214000"/>
    <n v="0"/>
    <n v="1000"/>
    <n v="1000"/>
    <m/>
    <m/>
    <m/>
    <s v="완료"/>
    <s v="D-POT"/>
    <s v="COF(Assy_FT)"/>
    <s v="COF(Assy_FT)"/>
    <s v="기계장치"/>
    <n v="144300"/>
    <n v="13755.93398728166"/>
    <n v="4585.3113290938863"/>
    <m/>
    <m/>
    <n v="13755.93398728166"/>
    <n v="13755.93398728166"/>
    <n v="27511.86797456332"/>
    <n v="13755.93398728166"/>
    <n v="13755.93398728166"/>
    <n v="13755.93398728166"/>
    <n v="13755.93398728166"/>
    <n v="55023.73594912664"/>
    <n v="13755.93398728166"/>
    <n v="13755.93398728166"/>
    <n v="13755.93398728166"/>
    <n v="13755.93398728166"/>
    <n v="55023.73594912664"/>
    <n v="13755.93398728166"/>
    <n v="13755.93398728166"/>
    <n v="13755.93398728166"/>
    <n v="13755.93398728166"/>
    <n v="55023.73594912664"/>
    <n v="13755.93398728166"/>
    <n v="13755.93398728166"/>
    <n v="13755.93398728166"/>
    <n v="13755.93398728166"/>
    <n v="55023.73594912664"/>
    <m/>
    <n v="1.408999464728634E-5"/>
    <n v="295889.88759301312"/>
    <n v="440189.88759301312"/>
  </r>
  <r>
    <n v="335"/>
    <x v="0"/>
    <m/>
    <s v="구용근"/>
    <s v="구미"/>
    <s v="PKG"/>
    <s v="O"/>
    <s v="8&quot;&amp;12&quot;"/>
    <s v="DDI"/>
    <x v="4"/>
    <s v="COF"/>
    <x v="30"/>
    <n v="1001443"/>
    <s v="MC"/>
    <s v="PCU-14 : BAKE OVEN:OF-SPECIAL(동경계측기)"/>
    <s v="OFI-SPECIAL"/>
    <x v="17"/>
    <m/>
    <s v="0906-02"/>
    <x v="0"/>
    <s v="가동"/>
    <s v="한국"/>
    <s v="JEIO TECK"/>
    <x v="1"/>
    <s v="2차"/>
    <s v="2차"/>
    <s v="일반장비(비통제)"/>
    <s v="접착제 경화"/>
    <s v="접착제 경화"/>
    <s v="일반 산업 장비"/>
    <m/>
    <s v="EAR99"/>
    <s v="8486.40-0000"/>
    <s v="후공정/Assembly oven"/>
    <m/>
    <d v="2009-06-11T00:00:00"/>
    <d v="2009-06-11T00:00:00"/>
    <n v="16.399999999999999"/>
    <n v="8"/>
    <s v="G1-1층"/>
    <s v="자사"/>
    <s v="미설정"/>
    <n v="5.3"/>
    <n v="1470"/>
    <n v="950"/>
    <n v="1550"/>
    <n v="7215000"/>
    <m/>
    <m/>
    <m/>
    <n v="7214000"/>
    <n v="0"/>
    <n v="1000"/>
    <n v="1000"/>
    <m/>
    <m/>
    <m/>
    <s v="완료"/>
    <s v="D-POT"/>
    <s v="COF(Assy_FT)"/>
    <s v="COF(Assy_FT)"/>
    <s v="기계장치"/>
    <n v="144300"/>
    <n v="13755.93398728166"/>
    <n v="4585.3113290938863"/>
    <m/>
    <m/>
    <n v="13755.93398728166"/>
    <n v="13755.93398728166"/>
    <n v="27511.86797456332"/>
    <n v="13755.93398728166"/>
    <n v="13755.93398728166"/>
    <n v="13755.93398728166"/>
    <n v="13755.93398728166"/>
    <n v="55023.73594912664"/>
    <n v="13755.93398728166"/>
    <n v="13755.93398728166"/>
    <n v="13755.93398728166"/>
    <n v="13755.93398728166"/>
    <n v="55023.73594912664"/>
    <n v="13755.93398728166"/>
    <n v="13755.93398728166"/>
    <n v="13755.93398728166"/>
    <n v="13755.93398728166"/>
    <n v="55023.73594912664"/>
    <n v="13755.93398728166"/>
    <n v="13755.93398728166"/>
    <n v="13755.93398728166"/>
    <n v="13755.93398728166"/>
    <n v="55023.73594912664"/>
    <m/>
    <n v="1.408999464728634E-5"/>
    <n v="295889.88759301312"/>
    <n v="440189.88759301312"/>
  </r>
  <r>
    <n v="336"/>
    <x v="0"/>
    <m/>
    <s v="구용근"/>
    <s v="구미"/>
    <s v="PKG"/>
    <s v="O"/>
    <s v="8&quot;&amp;12&quot;"/>
    <s v="DDI"/>
    <x v="4"/>
    <s v="COF"/>
    <x v="32"/>
    <n v="1005920"/>
    <s v="MC"/>
    <s v="PIL-89 : TFC-3600-300(SHIBAURA)"/>
    <s v="TFC-3600"/>
    <x v="67"/>
    <s v="3세대"/>
    <s v="E201"/>
    <x v="165"/>
    <s v="가동"/>
    <s v="일본"/>
    <s v="Shibaura"/>
    <x v="0"/>
    <s v="1차"/>
    <s v="1차"/>
    <s v="해당"/>
    <s v="칩 본딩 장비"/>
    <s v="칩 본딩 장비"/>
    <m/>
    <m/>
    <s v="3B991"/>
    <s v="8486.40-0000"/>
    <s v="반도체 제조 공정용"/>
    <m/>
    <d v="2019-05-02T00:00:00"/>
    <d v="2019-05-02T00:00:00"/>
    <n v="6.5041095890410956"/>
    <n v="8"/>
    <s v="G1-1층"/>
    <s v="자사"/>
    <s v="미설정"/>
    <n v="3.6"/>
    <n v="2820"/>
    <n v="1154"/>
    <n v="2020"/>
    <n v="434640597"/>
    <m/>
    <m/>
    <m/>
    <n v="329715047"/>
    <n v="4527506"/>
    <n v="91343032"/>
    <n v="7048422"/>
    <m/>
    <m/>
    <n v="23.175132180940235"/>
    <s v="미완료"/>
    <s v="D-ILB"/>
    <s v="COF(Assy_FT)"/>
    <s v="COF(Assy_FT)"/>
    <s v="기계장치"/>
    <n v="95910183.600000009"/>
    <n v="9142994.8323608059"/>
    <n v="3047664.9441202688"/>
    <m/>
    <m/>
    <m/>
    <m/>
    <m/>
    <m/>
    <m/>
    <n v="9142994.8323608059"/>
    <n v="9142994.8323608059"/>
    <n v="18285989.664721612"/>
    <n v="9142994.8323608059"/>
    <n v="9142994.8323608059"/>
    <n v="9142994.8323608059"/>
    <n v="9142994.8323608059"/>
    <n v="36571979.329443224"/>
    <n v="9142994.8323608059"/>
    <n v="9142994.8323608059"/>
    <n v="9142994.8323608059"/>
    <n v="9142994.8323608059"/>
    <n v="36571979.329443224"/>
    <n v="9142994.8323608059"/>
    <n v="9142994.8323608059"/>
    <n v="9142994.8323608059"/>
    <n v="9142994.8323608059"/>
    <n v="36571979.329443224"/>
    <m/>
    <n v="9.3650310016926558E-3"/>
    <n v="196665651.03554577"/>
    <n v="292575834.63554579"/>
  </r>
  <r>
    <n v="337"/>
    <x v="0"/>
    <m/>
    <s v="구용근"/>
    <s v="구미"/>
    <s v="PKG"/>
    <s v="O"/>
    <s v="8&quot;&amp;12&quot;"/>
    <s v="DDI"/>
    <x v="4"/>
    <s v="COF"/>
    <x v="33"/>
    <n v="1001447"/>
    <s v="MC"/>
    <s v="PRW-03 : AUTO REWINDER-03(SWT-RWIN100-000)"/>
    <s v="SWLU-RWA-100"/>
    <x v="65"/>
    <m/>
    <s v="A9-03"/>
    <x v="0"/>
    <s v="가동"/>
    <s v="한국"/>
    <s v="서우테크"/>
    <x v="1"/>
    <s v="2차"/>
    <s v="2차"/>
    <s v="일반장비(비통제)"/>
    <s v="reel 자재를 자동 풀림→정렬→재권취"/>
    <s v="eel 자재를 자동 풀림→정렬→재권취"/>
    <m/>
    <m/>
    <s v="EAR99"/>
    <s v="8479.89-0000"/>
    <m/>
    <m/>
    <d v="2009-06-19T00:00:00"/>
    <d v="2009-06-19T00:00:00"/>
    <n v="16.378082191780823"/>
    <n v="8"/>
    <s v="G1-1층"/>
    <s v="자사"/>
    <s v="미설정"/>
    <n v="2.11"/>
    <n v="1500"/>
    <n v="700"/>
    <n v="1695"/>
    <n v="15130000"/>
    <m/>
    <m/>
    <m/>
    <n v="15129000"/>
    <n v="0"/>
    <n v="1000"/>
    <n v="1000"/>
    <m/>
    <m/>
    <m/>
    <s v="완료"/>
    <s v="공통(DA)"/>
    <s v="COF(Assy_FT)"/>
    <s v="COF(Assy_FT)"/>
    <s v="기계장치"/>
    <n v="302600"/>
    <n v="28846.470024611437"/>
    <n v="9615.490008203813"/>
    <m/>
    <m/>
    <n v="28846.470024611437"/>
    <n v="28846.470024611437"/>
    <n v="57692.940049222874"/>
    <n v="28846.470024611437"/>
    <n v="28846.470024611437"/>
    <n v="28846.470024611437"/>
    <n v="28846.470024611437"/>
    <n v="115385.88009844575"/>
    <n v="28846.470024611437"/>
    <n v="28846.470024611437"/>
    <n v="28846.470024611437"/>
    <n v="28846.470024611437"/>
    <n v="115385.88009844575"/>
    <n v="28846.470024611437"/>
    <n v="28846.470024611437"/>
    <n v="28846.470024611437"/>
    <n v="28846.470024611437"/>
    <n v="115385.88009844575"/>
    <n v="28846.470024611437"/>
    <n v="28846.470024611437"/>
    <n v="28846.470024611437"/>
    <n v="28846.470024611437"/>
    <n v="115385.88009844575"/>
    <m/>
    <n v="2.9547001942265047E-5"/>
    <n v="620487.04078756599"/>
    <n v="923087.04078756599"/>
  </r>
  <r>
    <n v="338"/>
    <x v="0"/>
    <m/>
    <s v="구용근"/>
    <s v="구미"/>
    <s v="PKG"/>
    <s v="O"/>
    <s v="8&quot;&amp;12&quot;"/>
    <s v="DDI"/>
    <x v="4"/>
    <s v="COF"/>
    <x v="32"/>
    <n v="1005919"/>
    <s v="MC"/>
    <s v="PIL-88 : TFC-3600-300(SHIBAURA)"/>
    <s v="TFC-3600"/>
    <x v="67"/>
    <s v="3세대"/>
    <s v="E200"/>
    <x v="165"/>
    <s v="가동"/>
    <s v="일본"/>
    <s v="Shibaura"/>
    <x v="0"/>
    <s v="1차"/>
    <s v="1차"/>
    <s v="해당"/>
    <s v="칩 본딩 장비"/>
    <s v="칩 본딩 장비"/>
    <m/>
    <m/>
    <s v="3B991"/>
    <s v="8486.40-0000"/>
    <s v="반도체 제조 공정용"/>
    <m/>
    <d v="2019-05-02T00:00:00"/>
    <d v="2019-05-02T00:00:00"/>
    <n v="6.5041095890410956"/>
    <n v="8"/>
    <s v="G1-1층"/>
    <s v="자사"/>
    <s v="미설정"/>
    <n v="3.6"/>
    <n v="2820"/>
    <n v="1154"/>
    <n v="2020"/>
    <n v="445140594"/>
    <m/>
    <m/>
    <m/>
    <n v="334855674"/>
    <n v="4636881"/>
    <n v="96374277"/>
    <n v="7460639"/>
    <m/>
    <m/>
    <n v="23.784289482520684"/>
    <s v="미완료"/>
    <s v="D-ILB"/>
    <s v="COF(Assy_FT)"/>
    <s v="COF(Assy_FT)"/>
    <s v="기계장치"/>
    <n v="101192990.85000001"/>
    <n v="9646598.0742078815"/>
    <n v="3215532.6914026272"/>
    <m/>
    <m/>
    <m/>
    <m/>
    <m/>
    <m/>
    <m/>
    <n v="9646598.0742078815"/>
    <n v="9646598.0742078815"/>
    <n v="19293196.148415763"/>
    <n v="9646598.0742078815"/>
    <n v="9646598.0742078815"/>
    <n v="9646598.0742078815"/>
    <n v="9646598.0742078815"/>
    <n v="38586392.296831526"/>
    <n v="9646598.0742078815"/>
    <n v="9646598.0742078815"/>
    <n v="9646598.0742078815"/>
    <n v="9646598.0742078815"/>
    <n v="38586392.296831526"/>
    <n v="9646598.0742078815"/>
    <n v="9646598.0742078815"/>
    <n v="9646598.0742078815"/>
    <n v="9646598.0742078815"/>
    <n v="38586392.296831526"/>
    <m/>
    <n v="9.8808641678405796E-3"/>
    <n v="207498147.52465218"/>
    <n v="308691138.37465221"/>
  </r>
  <r>
    <n v="339"/>
    <x v="0"/>
    <m/>
    <s v="구용근"/>
    <s v="구미"/>
    <s v="PKG"/>
    <s v="O"/>
    <s v="8&quot;&amp;12&quot;"/>
    <s v="DDI"/>
    <x v="4"/>
    <s v="COF"/>
    <x v="32"/>
    <n v="1005918"/>
    <s v="MC"/>
    <s v="PIL-87 : TFC-3600-300(SHIBAURA)"/>
    <s v="TFC-3600"/>
    <x v="67"/>
    <s v="3세대"/>
    <s v="E199"/>
    <x v="165"/>
    <s v="가동"/>
    <s v="일본"/>
    <s v="Shibaura"/>
    <x v="0"/>
    <s v="2차"/>
    <s v="2차"/>
    <s v="해당"/>
    <s v="칩 본딩 장비"/>
    <s v="칩 본딩 장비"/>
    <m/>
    <m/>
    <s v="3B991"/>
    <s v="8486.40-0000"/>
    <s v="반도체 제조 공정용"/>
    <m/>
    <d v="2019-05-02T00:00:00"/>
    <d v="2019-05-02T00:00:00"/>
    <n v="6.5041095890410956"/>
    <n v="8"/>
    <s v="G1-1층"/>
    <s v="자사"/>
    <s v="미설정"/>
    <n v="3.6"/>
    <n v="2820"/>
    <n v="1154"/>
    <n v="2020"/>
    <n v="442740594"/>
    <m/>
    <m/>
    <m/>
    <n v="333005672"/>
    <n v="4611881"/>
    <n v="95899279"/>
    <n v="7424235"/>
    <m/>
    <m/>
    <n v="23.79396215990829"/>
    <s v="미완료"/>
    <s v="D-ILB"/>
    <s v="COF(Assy_FT)"/>
    <s v="COF(Assy_FT)"/>
    <s v="기계장치"/>
    <n v="100694242.95"/>
    <n v="9599053.0763652232"/>
    <n v="3199684.3587884079"/>
    <m/>
    <m/>
    <m/>
    <m/>
    <m/>
    <m/>
    <m/>
    <n v="9599053.0763652232"/>
    <n v="9599053.0763652232"/>
    <n v="19198106.152730446"/>
    <n v="9599053.0763652232"/>
    <n v="9599053.0763652232"/>
    <n v="9599053.0763652232"/>
    <n v="9599053.0763652232"/>
    <n v="38396212.305460893"/>
    <n v="9599053.0763652232"/>
    <n v="9599053.0763652232"/>
    <n v="9599053.0763652232"/>
    <n v="9599053.0763652232"/>
    <n v="38396212.305460893"/>
    <n v="9599053.0763652232"/>
    <n v="9599053.0763652232"/>
    <n v="9599053.0763652232"/>
    <n v="9599053.0763652232"/>
    <n v="38396212.305460893"/>
    <m/>
    <n v="9.8321645473184362E-3"/>
    <n v="206475455.49368715"/>
    <n v="307169698.44368714"/>
  </r>
  <r>
    <n v="340"/>
    <x v="2"/>
    <m/>
    <m/>
    <m/>
    <m/>
    <m/>
    <m/>
    <m/>
    <x v="1"/>
    <m/>
    <x v="3"/>
    <m/>
    <m/>
    <m/>
    <m/>
    <x v="0"/>
    <m/>
    <m/>
    <x v="0"/>
    <m/>
    <m/>
    <m/>
    <x v="2"/>
    <m/>
    <m/>
    <s v="일반장비(비통제)"/>
    <s v="제조 가공 장비"/>
    <m/>
    <m/>
    <m/>
    <m/>
    <m/>
    <m/>
    <m/>
    <m/>
    <m/>
    <m/>
    <m/>
    <m/>
    <m/>
    <m/>
    <m/>
    <m/>
    <m/>
    <m/>
    <m/>
    <m/>
    <m/>
    <m/>
    <n v="348287992"/>
    <n v="3487960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</r>
  <r>
    <n v="341"/>
    <x v="0"/>
    <m/>
    <s v="구용근"/>
    <s v="구미"/>
    <s v="PKG"/>
    <s v="O"/>
    <s v="8&quot;&amp;12&quot;"/>
    <s v="DDI"/>
    <x v="4"/>
    <s v="COF"/>
    <x v="32"/>
    <n v="1000284"/>
    <s v="MC"/>
    <s v="PIL-12 : FLIP-TFC-2100"/>
    <s v="TFC-2100"/>
    <x v="70"/>
    <s v="1세대"/>
    <s v="E077"/>
    <x v="164"/>
    <s v="가동"/>
    <s v="일본"/>
    <s v="Shibaura"/>
    <x v="1"/>
    <s v="1차"/>
    <s v="1차"/>
    <s v="해당"/>
    <s v="칩 본딩 장비"/>
    <s v="칩 본딩 장비"/>
    <m/>
    <m/>
    <s v="3B991"/>
    <s v="8486.40-0000"/>
    <s v="반도체 제조 공정용"/>
    <m/>
    <d v="2005-05-18T00:00:00"/>
    <d v="2005-05-18T00:00:00"/>
    <n v="20.468493150684932"/>
    <n v="8"/>
    <s v="G1-1층"/>
    <s v="자사"/>
    <s v="미설정"/>
    <n v="3.6"/>
    <n v="2900"/>
    <n v="1350"/>
    <n v="1900"/>
    <n v="308680120"/>
    <m/>
    <m/>
    <m/>
    <n v="308679120"/>
    <n v="207492"/>
    <n v="1000"/>
    <n v="1000"/>
    <m/>
    <m/>
    <m/>
    <s v="완료"/>
    <s v="D-ILB"/>
    <s v="COF(Assy_FT)"/>
    <s v="COF(Assy_FT)"/>
    <s v="기계장치"/>
    <n v="6173602.4000000004"/>
    <n v="588521.60137299821"/>
    <n v="196173.86712433273"/>
    <m/>
    <m/>
    <n v="588521.60137299821"/>
    <n v="588521.60137299821"/>
    <n v="1177043.2027459964"/>
    <n v="588521.60137299821"/>
    <n v="588521.60137299821"/>
    <n v="588521.60137299821"/>
    <n v="588521.60137299821"/>
    <n v="2354086.4054919928"/>
    <n v="588521.60137299821"/>
    <n v="588521.60137299821"/>
    <n v="588521.60137299821"/>
    <n v="588521.60137299821"/>
    <n v="2354086.4054919928"/>
    <n v="588521.60137299821"/>
    <n v="588521.60137299821"/>
    <n v="588521.60137299821"/>
    <n v="588521.60137299821"/>
    <n v="2354086.4054919928"/>
    <n v="588521.60137299821"/>
    <n v="588521.60137299821"/>
    <n v="588521.60137299821"/>
    <n v="588521.60137299821"/>
    <n v="2354086.4054919928"/>
    <m/>
    <n v="6.0281375447314E-4"/>
    <n v="12659088.84393594"/>
    <n v="18832691.243935943"/>
  </r>
  <r>
    <n v="342"/>
    <x v="0"/>
    <m/>
    <s v="구용근"/>
    <s v="구미"/>
    <s v="PKG"/>
    <s v="O"/>
    <s v="8&quot;&amp;12&quot;"/>
    <s v="DDI"/>
    <x v="4"/>
    <s v="COF"/>
    <x v="32"/>
    <n v="1000285"/>
    <s v="MC"/>
    <s v="PIL-13 : FLIP-TFC-2100"/>
    <s v="TFC-2100"/>
    <x v="70"/>
    <s v="1세대"/>
    <s v="E078"/>
    <x v="164"/>
    <s v="가동"/>
    <s v="일본"/>
    <s v="Shibaura"/>
    <x v="1"/>
    <s v="1차"/>
    <s v="1차"/>
    <s v="해당"/>
    <s v="칩 본딩 장비"/>
    <s v="칩 본딩 장비"/>
    <m/>
    <m/>
    <s v="3B991"/>
    <s v="8486.40-0000"/>
    <s v="반도체 제조 공정용"/>
    <m/>
    <d v="2005-05-18T00:00:00"/>
    <d v="2005-05-18T00:00:00"/>
    <n v="20.468493150684932"/>
    <n v="8"/>
    <s v="G1-1층"/>
    <s v="자사"/>
    <s v="미설정"/>
    <n v="3.6"/>
    <n v="2900"/>
    <n v="1350"/>
    <n v="1900"/>
    <n v="321346788"/>
    <m/>
    <m/>
    <m/>
    <n v="321345788"/>
    <n v="0"/>
    <n v="1000"/>
    <n v="1000"/>
    <m/>
    <m/>
    <m/>
    <s v="완료"/>
    <s v="D-ILB"/>
    <s v="COF(Assy_FT)"/>
    <s v="COF(Assy_FT)"/>
    <s v="기계장치"/>
    <n v="6426935.7599999998"/>
    <n v="612671.54577311082"/>
    <n v="204223.84859103695"/>
    <m/>
    <m/>
    <n v="612671.54577311082"/>
    <n v="612671.54577311082"/>
    <n v="1225343.0915462216"/>
    <n v="612671.54577311082"/>
    <n v="612671.54577311082"/>
    <n v="612671.54577311082"/>
    <n v="612671.54577311082"/>
    <n v="2450686.1830924433"/>
    <n v="612671.54577311082"/>
    <n v="612671.54577311082"/>
    <n v="612671.54577311082"/>
    <n v="612671.54577311082"/>
    <n v="2450686.1830924433"/>
    <n v="612671.54577311082"/>
    <n v="612671.54577311082"/>
    <n v="612671.54577311082"/>
    <n v="612671.54577311082"/>
    <n v="2450686.1830924433"/>
    <n v="612671.54577311082"/>
    <n v="612671.54577311082"/>
    <n v="612671.54577311082"/>
    <n v="612671.54577311082"/>
    <n v="2450686.1830924433"/>
    <m/>
    <n v="6.2755017641616883E-4"/>
    <n v="13178553.704739545"/>
    <n v="19605489.464739546"/>
  </r>
  <r>
    <n v="343"/>
    <x v="2"/>
    <m/>
    <m/>
    <m/>
    <m/>
    <m/>
    <m/>
    <m/>
    <x v="1"/>
    <m/>
    <x v="3"/>
    <m/>
    <m/>
    <m/>
    <m/>
    <x v="0"/>
    <m/>
    <m/>
    <x v="0"/>
    <m/>
    <m/>
    <m/>
    <x v="2"/>
    <m/>
    <m/>
    <s v="일반장비(비통제)"/>
    <s v="제조 가공 장비"/>
    <m/>
    <m/>
    <m/>
    <m/>
    <m/>
    <m/>
    <m/>
    <m/>
    <m/>
    <m/>
    <m/>
    <m/>
    <m/>
    <m/>
    <m/>
    <m/>
    <m/>
    <m/>
    <m/>
    <m/>
    <m/>
    <m/>
    <n v="263795681"/>
    <n v="1512708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</r>
  <r>
    <n v="344"/>
    <x v="2"/>
    <m/>
    <m/>
    <m/>
    <m/>
    <m/>
    <m/>
    <m/>
    <x v="1"/>
    <m/>
    <x v="3"/>
    <m/>
    <m/>
    <m/>
    <m/>
    <x v="0"/>
    <m/>
    <m/>
    <x v="0"/>
    <m/>
    <m/>
    <m/>
    <x v="2"/>
    <m/>
    <m/>
    <s v="일반장비(비통제)"/>
    <s v="제조 가공 장비"/>
    <m/>
    <m/>
    <m/>
    <m/>
    <m/>
    <m/>
    <m/>
    <m/>
    <m/>
    <m/>
    <m/>
    <m/>
    <m/>
    <m/>
    <m/>
    <m/>
    <m/>
    <m/>
    <m/>
    <m/>
    <m/>
    <m/>
    <n v="245795681"/>
    <n v="0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</r>
  <r>
    <n v="345"/>
    <x v="0"/>
    <m/>
    <s v="구용근"/>
    <s v="구미"/>
    <s v="PKG"/>
    <s v="O"/>
    <s v="8&quot;&amp;12&quot;"/>
    <s v="DDI"/>
    <x v="4"/>
    <s v="COF"/>
    <x v="17"/>
    <n v="1001545"/>
    <s v="MC"/>
    <s v="PSA-11 : DFD6340(DISCO)"/>
    <s v="DFD6340"/>
    <x v="31"/>
    <m/>
    <s v="JT2546"/>
    <x v="0"/>
    <s v="가동"/>
    <s v="일본"/>
    <s v="Disco"/>
    <x v="0"/>
    <s v="2차"/>
    <s v="2차"/>
    <s v="해당"/>
    <s v="Wafer Sicing Saw"/>
    <s v="Wafer Sicing Saw"/>
    <m/>
    <m/>
    <s v="3B001"/>
    <s v="8486.40-0000"/>
    <s v="전략물자수출입고시"/>
    <m/>
    <d v="2010-03-22T00:00:00"/>
    <d v="2009-09-16T00:00:00"/>
    <n v="16.134246575342466"/>
    <n v="8"/>
    <s v="G1-1층"/>
    <s v="자사"/>
    <s v="미설정"/>
    <n v="6.24"/>
    <n v="1150"/>
    <n v="1200"/>
    <n v="2100"/>
    <n v="232744053"/>
    <m/>
    <m/>
    <m/>
    <n v="232743053"/>
    <n v="0"/>
    <n v="1000"/>
    <n v="1000"/>
    <m/>
    <m/>
    <m/>
    <s v="완료"/>
    <s v="D-SAW"/>
    <s v="COF(Assy_FT)"/>
    <s v="COF(Assy_FT)"/>
    <s v="기계장치"/>
    <n v="4654881.0600000005"/>
    <n v="443743.84324329649"/>
    <n v="147914.61441443217"/>
    <m/>
    <m/>
    <m/>
    <m/>
    <m/>
    <m/>
    <m/>
    <n v="443743.84324329649"/>
    <n v="443743.84324329649"/>
    <n v="887487.68648659298"/>
    <n v="443743.84324329649"/>
    <n v="443743.84324329649"/>
    <n v="443743.84324329649"/>
    <n v="443743.84324329649"/>
    <n v="1774975.372973186"/>
    <n v="443743.84324329649"/>
    <n v="443743.84324329649"/>
    <n v="443743.84324329649"/>
    <n v="443743.84324329649"/>
    <n v="1774975.372973186"/>
    <n v="443743.84324329649"/>
    <n v="443743.84324329649"/>
    <n v="443743.84324329649"/>
    <n v="443743.84324329649"/>
    <n v="1774975.372973186"/>
    <m/>
    <n v="4.5452009160883275E-4"/>
    <n v="9544921.9237854872"/>
    <n v="14199802.983785488"/>
  </r>
  <r>
    <n v="346"/>
    <x v="0"/>
    <m/>
    <s v="구용근"/>
    <s v="구미"/>
    <s v="PKG"/>
    <s v="O"/>
    <s v="8&quot;&amp;12&quot;"/>
    <s v="DDI"/>
    <x v="4"/>
    <s v="COF"/>
    <x v="34"/>
    <n v="1001547"/>
    <s v="MC"/>
    <s v="PMA-11 : DIM-1011V(600DPI)(동양)"/>
    <s v="DIM-1011V"/>
    <x v="71"/>
    <m/>
    <n v="0.9"/>
    <x v="0"/>
    <s v="가동"/>
    <s v="한국"/>
    <s v="동양반도체"/>
    <x v="0"/>
    <s v="1차"/>
    <s v="1차"/>
    <s v="일반장비(비통제)"/>
    <s v="잉크 마킹"/>
    <s v="잉크 마킹"/>
    <m/>
    <m/>
    <s v="EAR99"/>
    <s v="8443.99-0000"/>
    <m/>
    <m/>
    <d v="2009-10-17T00:00:00"/>
    <d v="2009-10-17T00:00:00"/>
    <n v="16.049315068493151"/>
    <n v="8"/>
    <s v="G1-1층"/>
    <s v="자사"/>
    <s v="미설정"/>
    <n v="2.11"/>
    <n v="3100"/>
    <n v="1050"/>
    <n v="1950"/>
    <n v="172040000"/>
    <m/>
    <m/>
    <m/>
    <n v="172039000"/>
    <n v="0"/>
    <n v="1000"/>
    <n v="1000"/>
    <m/>
    <m/>
    <m/>
    <s v="완료"/>
    <s v="D-IMARK"/>
    <s v="COF(Assy_FT)"/>
    <s v="COF(Assy_FT)"/>
    <s v="기계장치"/>
    <n v="3440800"/>
    <n v="328007.05241468287"/>
    <n v="109335.68413822762"/>
    <m/>
    <m/>
    <m/>
    <m/>
    <m/>
    <m/>
    <m/>
    <n v="328007.05241468287"/>
    <n v="328007.05241468287"/>
    <n v="656014.10482936574"/>
    <n v="328007.05241468287"/>
    <n v="328007.05241468287"/>
    <n v="328007.05241468287"/>
    <n v="328007.05241468287"/>
    <n v="1312028.2096587315"/>
    <n v="328007.05241468287"/>
    <n v="328007.05241468287"/>
    <n v="328007.05241468287"/>
    <n v="328007.05241468287"/>
    <n v="1312028.2096587315"/>
    <n v="328007.05241468287"/>
    <n v="328007.05241468287"/>
    <n v="328007.05241468287"/>
    <n v="328007.05241468287"/>
    <n v="1312028.2096587315"/>
    <m/>
    <n v="3.3597265129856437E-4"/>
    <n v="7055425.6772698518"/>
    <n v="10496225.677269852"/>
  </r>
  <r>
    <n v="347"/>
    <x v="2"/>
    <m/>
    <m/>
    <m/>
    <m/>
    <m/>
    <m/>
    <m/>
    <x v="1"/>
    <m/>
    <x v="3"/>
    <m/>
    <m/>
    <m/>
    <m/>
    <x v="0"/>
    <m/>
    <m/>
    <x v="0"/>
    <m/>
    <m/>
    <m/>
    <x v="2"/>
    <m/>
    <m/>
    <s v="일반장비(비통제)"/>
    <s v="제조 가공 장비"/>
    <m/>
    <m/>
    <m/>
    <m/>
    <m/>
    <m/>
    <m/>
    <m/>
    <m/>
    <m/>
    <m/>
    <m/>
    <m/>
    <m/>
    <m/>
    <m/>
    <m/>
    <m/>
    <m/>
    <m/>
    <m/>
    <m/>
    <n v="245795681"/>
    <n v="0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</r>
  <r>
    <n v="348"/>
    <x v="0"/>
    <m/>
    <s v="구용근"/>
    <s v="구미"/>
    <s v="PKG"/>
    <s v="O"/>
    <s v="8&quot;&amp;12&quot;"/>
    <s v="DDI"/>
    <x v="4"/>
    <s v="COF"/>
    <x v="32"/>
    <n v="1000334"/>
    <s v="MC"/>
    <s v="PIL-19 : FLIP-COF-300"/>
    <s v="COF-300"/>
    <x v="64"/>
    <s v="1세대"/>
    <s v="E115"/>
    <x v="164"/>
    <s v="가동"/>
    <s v="일본"/>
    <s v="Shinkawa"/>
    <x v="1"/>
    <s v="1차"/>
    <s v="1차"/>
    <s v="해당"/>
    <s v="COF 본딩"/>
    <s v="COF 본딩"/>
    <m/>
    <m/>
    <s v="3B991"/>
    <s v="8486.20-0000"/>
    <s v="반도체제조장비"/>
    <m/>
    <d v="2005-06-20T00:00:00"/>
    <d v="2005-06-20T00:00:00"/>
    <n v="20.378082191780823"/>
    <n v="8"/>
    <s v="G1-1층"/>
    <s v="자사"/>
    <s v="미설정"/>
    <n v="2.5"/>
    <n v="2700"/>
    <n v="1350"/>
    <n v="2000"/>
    <n v="317003213"/>
    <m/>
    <m/>
    <m/>
    <n v="317002213"/>
    <n v="989415"/>
    <n v="1000"/>
    <n v="1000"/>
    <m/>
    <m/>
    <m/>
    <s v="완료"/>
    <s v="D-ILB"/>
    <s v="COF(Assy_FT)"/>
    <s v="COF(Assy_FT)"/>
    <s v="기계장치"/>
    <n v="6340064.2599999998"/>
    <n v="604390.19705948536"/>
    <n v="201463.39901982844"/>
    <m/>
    <m/>
    <n v="604390.19705948536"/>
    <n v="604390.19705948536"/>
    <n v="1208780.3941189707"/>
    <n v="604390.19705948536"/>
    <n v="604390.19705948536"/>
    <n v="604390.19705948536"/>
    <n v="604390.19705948536"/>
    <n v="2417560.7882379415"/>
    <n v="604390.19705948536"/>
    <n v="604390.19705948536"/>
    <n v="604390.19705948536"/>
    <n v="604390.19705948536"/>
    <n v="2417560.7882379415"/>
    <n v="604390.19705948536"/>
    <n v="604390.19705948536"/>
    <n v="604390.19705948536"/>
    <n v="604390.19705948536"/>
    <n v="2417560.7882379415"/>
    <n v="604390.19705948536"/>
    <n v="604390.19705948536"/>
    <n v="604390.19705948536"/>
    <n v="604390.19705948536"/>
    <n v="2417560.7882379415"/>
    <m/>
    <n v="6.1906771647159684E-4"/>
    <n v="13000422.045903534"/>
    <n v="19340486.305903532"/>
  </r>
  <r>
    <n v="349"/>
    <x v="0"/>
    <m/>
    <s v="구용근"/>
    <s v="구미"/>
    <s v="PKG"/>
    <s v="O"/>
    <s v="8&quot;&amp;12&quot;"/>
    <s v="DDI"/>
    <x v="4"/>
    <s v="COF"/>
    <x v="31"/>
    <n v="1001905"/>
    <s v="MC"/>
    <s v="PPT-31 : LDPS-6350D(TOP)"/>
    <s v="LDPS-4350D"/>
    <x v="68"/>
    <m/>
    <n v="10022605"/>
    <x v="0"/>
    <s v="가동"/>
    <s v="한국"/>
    <s v="TOP ENG"/>
    <x v="1"/>
    <s v="1차"/>
    <s v="1차"/>
    <s v="일반장비(비통제)"/>
    <s v="에폭시 도포기"/>
    <m/>
    <m/>
    <m/>
    <s v="EAR99"/>
    <s v="8486.40-0000"/>
    <m/>
    <m/>
    <d v="2010-02-26T00:00:00"/>
    <d v="2010-02-26T00:00:00"/>
    <n v="15.687671232876712"/>
    <n v="8"/>
    <s v="G1-1층"/>
    <s v="자사"/>
    <s v="미설정"/>
    <n v="6.6"/>
    <n v="7160"/>
    <n v="840"/>
    <n v="1960"/>
    <n v="211468571"/>
    <m/>
    <m/>
    <m/>
    <n v="211467571"/>
    <n v="0"/>
    <n v="1000"/>
    <n v="1000"/>
    <m/>
    <m/>
    <m/>
    <s v="완료"/>
    <s v="D-POT"/>
    <s v="COF(Assy_FT)"/>
    <s v="COF(Assy_FT)"/>
    <s v="기계장치"/>
    <n v="4229371.42"/>
    <n v="403180.55482477963"/>
    <n v="134393.51827492655"/>
    <m/>
    <m/>
    <n v="403180.55482477963"/>
    <n v="403180.55482477963"/>
    <n v="806361.10964955925"/>
    <n v="403180.55482477963"/>
    <n v="403180.55482477963"/>
    <n v="403180.55482477963"/>
    <n v="403180.55482477963"/>
    <n v="1612722.2192991185"/>
    <n v="403180.55482477963"/>
    <n v="403180.55482477963"/>
    <n v="403180.55482477963"/>
    <n v="403180.55482477963"/>
    <n v="1612722.2192991185"/>
    <n v="403180.55482477963"/>
    <n v="403180.55482477963"/>
    <n v="403180.55482477963"/>
    <n v="403180.55482477963"/>
    <n v="1612722.2192991185"/>
    <n v="403180.55482477963"/>
    <n v="403180.55482477963"/>
    <n v="403180.55482477963"/>
    <n v="403180.55482477963"/>
    <n v="1612722.2192991185"/>
    <m/>
    <n v="4.1297173020918797E-4"/>
    <n v="8672406.3343929481"/>
    <n v="12901777.754392948"/>
  </r>
  <r>
    <n v="350"/>
    <x v="0"/>
    <m/>
    <s v="구용근"/>
    <s v="구미"/>
    <s v="PKG"/>
    <s v="O"/>
    <s v="8&quot;&amp;12&quot;"/>
    <s v="DDI"/>
    <x v="4"/>
    <s v="COF"/>
    <x v="17"/>
    <n v="1001987"/>
    <s v="MC"/>
    <s v="PSA-10 : DFD6340_DISCO"/>
    <s v="DFD6340"/>
    <x v="31"/>
    <m/>
    <s v="JT2671"/>
    <x v="0"/>
    <s v="가동"/>
    <s v="일본"/>
    <s v="Disco"/>
    <x v="0"/>
    <s v="2차"/>
    <s v="2차"/>
    <s v="해당"/>
    <s v="Wafer Sicing Saw"/>
    <s v="Wafer Sicing Saw"/>
    <m/>
    <m/>
    <s v="3B001"/>
    <s v="8486.40-0000"/>
    <s v="전략물자수출입고시"/>
    <m/>
    <d v="2009-09-16T00:00:00"/>
    <d v="2010-03-22T00:00:00"/>
    <n v="15.621917808219179"/>
    <n v="8"/>
    <s v="G1-1층"/>
    <s v="자사"/>
    <s v="미설정"/>
    <n v="6.24"/>
    <n v="1150"/>
    <n v="1200"/>
    <n v="2100"/>
    <n v="217851238"/>
    <m/>
    <m/>
    <m/>
    <n v="217850238"/>
    <n v="0"/>
    <n v="1000"/>
    <n v="1000"/>
    <m/>
    <m/>
    <m/>
    <s v="완료"/>
    <s v="D-SAW"/>
    <s v="COF(Assy_FT)"/>
    <s v="COF(Assy_FT)"/>
    <s v="기계장치"/>
    <n v="4357024.76"/>
    <n v="415349.58405760024"/>
    <n v="138449.86135253342"/>
    <m/>
    <m/>
    <m/>
    <m/>
    <m/>
    <m/>
    <m/>
    <n v="415349.58405760024"/>
    <n v="415349.58405760024"/>
    <n v="830699.16811520047"/>
    <n v="415349.58405760024"/>
    <n v="415349.58405760024"/>
    <n v="415349.58405760024"/>
    <n v="415349.58405760024"/>
    <n v="1661398.3362304009"/>
    <n v="415349.58405760024"/>
    <n v="415349.58405760024"/>
    <n v="415349.58405760024"/>
    <n v="415349.58405760024"/>
    <n v="1661398.3362304009"/>
    <n v="415349.58405760024"/>
    <n v="415349.58405760024"/>
    <n v="415349.58405760024"/>
    <n v="415349.58405760024"/>
    <n v="1661398.3362304009"/>
    <m/>
    <n v="4.254362823734861E-4"/>
    <n v="8934161.9298432078"/>
    <n v="13291186.689843208"/>
  </r>
  <r>
    <n v="351"/>
    <x v="0"/>
    <m/>
    <s v="구용근"/>
    <s v="구미"/>
    <s v="PKG"/>
    <s v="O"/>
    <s v="8&quot;&amp;12&quot;"/>
    <s v="DDI"/>
    <x v="4"/>
    <s v="COF"/>
    <x v="28"/>
    <n v="1002348"/>
    <s v="MC"/>
    <s v="PWM-03 : AUTO WAFER MOUNT:DT-NWM1050DM"/>
    <s v="DT-NWM-1050M"/>
    <x v="60"/>
    <m/>
    <s v="DT10104"/>
    <x v="0"/>
    <s v="가동"/>
    <s v="한국"/>
    <s v="DYNATECH"/>
    <x v="2"/>
    <s v="3차"/>
    <s v="3차"/>
    <s v="일반장비(비통제)"/>
    <s v="웨이퍼를 프레임, 테이프, 보드 등에 고정"/>
    <s v="웨이퍼를 프레임, 테이프, 보드 등에 고정"/>
    <m/>
    <m/>
    <s v="EAR99"/>
    <s v="8479.89-0000"/>
    <m/>
    <m/>
    <d v="2010-10-19T00:00:00"/>
    <d v="2010-07-31T00:00:00"/>
    <n v="15.263013698630138"/>
    <n v="8"/>
    <s v="G1-1층"/>
    <s v="자사"/>
    <s v="미설정"/>
    <n v="2.4"/>
    <n v="2269"/>
    <n v="1124"/>
    <n v="1986"/>
    <n v="150040000"/>
    <m/>
    <m/>
    <m/>
    <n v="150039000"/>
    <n v="0"/>
    <n v="1000"/>
    <n v="1000"/>
    <m/>
    <m/>
    <m/>
    <s v="완료"/>
    <s v="D-SAW"/>
    <s v="COF(Assy_FT)"/>
    <s v="COF(Assy_FT)"/>
    <s v="기계장치"/>
    <n v="3000800"/>
    <n v="93775"/>
    <n v="31258.333333333332"/>
    <m/>
    <m/>
    <m/>
    <m/>
    <m/>
    <m/>
    <m/>
    <n v="93775"/>
    <n v="93775"/>
    <n v="187550"/>
    <n v="93775"/>
    <n v="93775"/>
    <n v="93775"/>
    <n v="93775"/>
    <n v="375100"/>
    <n v="93775"/>
    <n v="93775"/>
    <n v="93775"/>
    <n v="93775"/>
    <n v="375100"/>
    <n v="93775"/>
    <n v="93775"/>
    <n v="93775"/>
    <n v="93775"/>
    <n v="375100"/>
    <m/>
    <m/>
    <m/>
    <n v="3000800"/>
  </r>
  <r>
    <n v="352"/>
    <x v="0"/>
    <m/>
    <s v="구용근"/>
    <s v="구미"/>
    <s v="PKG"/>
    <s v="O"/>
    <s v="8&quot;&amp;12&quot;"/>
    <s v="DDI"/>
    <x v="4"/>
    <s v="COF"/>
    <x v="30"/>
    <n v="1002349"/>
    <s v="MC"/>
    <s v="PCU-15 : BAKE OVEN_제이오텍영남지사"/>
    <s v="OFI-SPECIAL"/>
    <x v="17"/>
    <m/>
    <s v="20100712-14"/>
    <x v="0"/>
    <s v="가동"/>
    <s v="한국"/>
    <s v="JEIO TECK"/>
    <x v="1"/>
    <s v="2차"/>
    <s v="2차"/>
    <s v="일반장비(비통제)"/>
    <s v="접착제 경화"/>
    <s v="접착제 경화"/>
    <s v="일반 산업 장비"/>
    <m/>
    <s v="EAR99"/>
    <s v="8486.40-0000"/>
    <s v="후공정/Assembly oven"/>
    <m/>
    <d v="2010-07-27T00:00:00"/>
    <d v="2010-07-27T00:00:00"/>
    <n v="15.273972602739725"/>
    <n v="8"/>
    <s v="G1-1층"/>
    <s v="자사"/>
    <s v="미설정"/>
    <n v="5.28"/>
    <n v="1470"/>
    <n v="950"/>
    <n v="1550"/>
    <n v="7240000"/>
    <m/>
    <m/>
    <m/>
    <n v="7239000"/>
    <n v="0"/>
    <n v="1000"/>
    <n v="1000"/>
    <m/>
    <m/>
    <m/>
    <s v="완료"/>
    <s v="D-POT"/>
    <s v="COF(Assy_FT)"/>
    <s v="COF(Assy_FT)"/>
    <s v="기계장치"/>
    <n v="144800"/>
    <n v="13803.598346211951"/>
    <n v="4601.1994487373167"/>
    <m/>
    <m/>
    <n v="13803.598346211951"/>
    <n v="13803.598346211951"/>
    <n v="27607.196692423902"/>
    <n v="13803.598346211951"/>
    <n v="13803.598346211951"/>
    <n v="13803.598346211951"/>
    <n v="13803.598346211951"/>
    <n v="55214.393384847805"/>
    <n v="13803.598346211951"/>
    <n v="13803.598346211951"/>
    <n v="13803.598346211951"/>
    <n v="13803.598346211951"/>
    <n v="55214.393384847805"/>
    <n v="13803.598346211951"/>
    <n v="13803.598346211951"/>
    <n v="13803.598346211951"/>
    <n v="13803.598346211951"/>
    <n v="55214.393384847805"/>
    <n v="13803.598346211951"/>
    <n v="13803.598346211951"/>
    <n v="13803.598346211951"/>
    <n v="13803.598346211951"/>
    <n v="55214.393384847805"/>
    <m/>
    <n v="1.4138816527561067E-5"/>
    <n v="296915.14707878244"/>
    <n v="441715.14707878244"/>
  </r>
  <r>
    <n v="353"/>
    <x v="0"/>
    <m/>
    <s v="구용근"/>
    <s v="구미"/>
    <s v="PKG"/>
    <s v="O"/>
    <s v="8&quot;&amp;12&quot;"/>
    <s v="DDI"/>
    <x v="4"/>
    <s v="COF"/>
    <x v="17"/>
    <n v="1002381"/>
    <s v="MC"/>
    <s v="PUV-03 : AUTO UV IRRADIATION(DT-AUV1200SB)"/>
    <s v="DTAUV-1200SB"/>
    <x v="72"/>
    <m/>
    <s v="DT-10105"/>
    <x v="166"/>
    <s v="가동"/>
    <s v="한국"/>
    <s v="DYNATECH"/>
    <x v="0"/>
    <s v="1차"/>
    <s v="1차"/>
    <s v="일반장비(비통제)"/>
    <s v="UV조사기"/>
    <s v="uv 경화"/>
    <m/>
    <m/>
    <s v="EAR99"/>
    <s v="8486.20-0000"/>
    <m/>
    <m/>
    <d v="2010-07-19T00:00:00"/>
    <d v="2010-07-31T00:00:00"/>
    <n v="15.263013698630138"/>
    <n v="8"/>
    <s v="G1-1층"/>
    <s v="자사"/>
    <s v="미설정"/>
    <n v="2.4"/>
    <n v="1540"/>
    <n v="1210"/>
    <n v="1560"/>
    <n v="76840000"/>
    <m/>
    <m/>
    <m/>
    <n v="76839000"/>
    <n v="0"/>
    <n v="1000"/>
    <n v="1000"/>
    <m/>
    <m/>
    <m/>
    <s v="완료"/>
    <s v="D-SAW"/>
    <s v="COF(Assy_FT)"/>
    <s v="COF(Assy_FT)"/>
    <s v="기계장치"/>
    <n v="1536800"/>
    <n v="146501.17360813898"/>
    <n v="48833.724536046328"/>
    <m/>
    <m/>
    <m/>
    <m/>
    <m/>
    <m/>
    <m/>
    <n v="146501.17360813898"/>
    <n v="146501.17360813898"/>
    <n v="293002.34721627797"/>
    <n v="146501.17360813898"/>
    <n v="146501.17360813898"/>
    <n v="146501.17360813898"/>
    <n v="146501.17360813898"/>
    <n v="586004.69443255593"/>
    <n v="146501.17360813898"/>
    <n v="146501.17360813898"/>
    <n v="146501.17360813898"/>
    <n v="146501.17360813898"/>
    <n v="586004.69443255593"/>
    <n v="146501.17360813898"/>
    <n v="146501.17360813898"/>
    <n v="146501.17360813898"/>
    <n v="146501.17360813898"/>
    <n v="586004.69443255593"/>
    <m/>
    <n v="1.5005893121240225E-4"/>
    <n v="3151237.5554604474"/>
    <n v="4688037.5554604474"/>
  </r>
  <r>
    <n v="354"/>
    <x v="0"/>
    <m/>
    <s v="구용근"/>
    <s v="구미"/>
    <s v="PKG"/>
    <s v="O"/>
    <s v="8&quot;&amp;12&quot;"/>
    <s v="DDI"/>
    <x v="4"/>
    <s v="COF"/>
    <x v="30"/>
    <n v="1002382"/>
    <s v="MC"/>
    <s v="PCU-16 : BAKE OVEN_제이오텍영남지사"/>
    <s v="OFI-SPECIAL"/>
    <x v="17"/>
    <m/>
    <s v="20100712-15"/>
    <x v="0"/>
    <s v="가동"/>
    <s v="한국"/>
    <s v="JEIO TECK"/>
    <x v="1"/>
    <s v="2차"/>
    <s v="2차"/>
    <s v="일반장비(비통제)"/>
    <s v="접착제 경화"/>
    <s v="접착제 경화"/>
    <s v="일반 산업 장비"/>
    <m/>
    <s v="EAR99"/>
    <s v="8486.40-0000"/>
    <s v="후공정/Assembly oven"/>
    <m/>
    <d v="2010-07-27T00:00:00"/>
    <d v="2010-07-27T00:00:00"/>
    <n v="15.273972602739725"/>
    <n v="8"/>
    <s v="G1-1층"/>
    <s v="자사"/>
    <s v="미설정"/>
    <n v="5.28"/>
    <n v="1470"/>
    <n v="950"/>
    <n v="1550"/>
    <n v="7240000"/>
    <m/>
    <m/>
    <m/>
    <n v="7239000"/>
    <n v="0"/>
    <n v="1000"/>
    <n v="1000"/>
    <m/>
    <m/>
    <m/>
    <s v="완료"/>
    <s v="D-POT"/>
    <s v="COF(Assy_FT)"/>
    <s v="COF(Assy_FT)"/>
    <s v="기계장치"/>
    <n v="144800"/>
    <n v="13803.598346211951"/>
    <n v="4601.1994487373167"/>
    <m/>
    <m/>
    <n v="13803.598346211951"/>
    <n v="13803.598346211951"/>
    <n v="27607.196692423902"/>
    <n v="13803.598346211951"/>
    <n v="13803.598346211951"/>
    <n v="13803.598346211951"/>
    <n v="13803.598346211951"/>
    <n v="55214.393384847805"/>
    <n v="13803.598346211951"/>
    <n v="13803.598346211951"/>
    <n v="13803.598346211951"/>
    <n v="13803.598346211951"/>
    <n v="55214.393384847805"/>
    <n v="13803.598346211951"/>
    <n v="13803.598346211951"/>
    <n v="13803.598346211951"/>
    <n v="13803.598346211951"/>
    <n v="55214.393384847805"/>
    <n v="13803.598346211951"/>
    <n v="13803.598346211951"/>
    <n v="13803.598346211951"/>
    <n v="13803.598346211951"/>
    <n v="55214.393384847805"/>
    <m/>
    <n v="1.4138816527561067E-5"/>
    <n v="296915.14707878244"/>
    <n v="441715.14707878244"/>
  </r>
  <r>
    <n v="355"/>
    <x v="0"/>
    <m/>
    <s v="구용근"/>
    <s v="구미"/>
    <s v="PKG"/>
    <s v="O"/>
    <s v="8&quot;"/>
    <s v="DDI"/>
    <x v="4"/>
    <s v="COF"/>
    <x v="17"/>
    <n v="1002393"/>
    <s v="MC"/>
    <s v="PSA-12 : DFD6340_DISCO"/>
    <s v="DFD6340"/>
    <x v="31"/>
    <m/>
    <s v="JT2781"/>
    <x v="0"/>
    <s v="가동"/>
    <s v="일본"/>
    <s v="Disco"/>
    <x v="0"/>
    <s v="2차"/>
    <s v="2차"/>
    <s v="해당"/>
    <s v="Wafer Sicing Saw"/>
    <s v="Wafer Sicing Saw"/>
    <m/>
    <m/>
    <s v="3B001"/>
    <s v="8486.40-0000"/>
    <s v="전략물자수출입고시"/>
    <m/>
    <d v="2010-07-20T00:00:00"/>
    <d v="2010-07-20T00:00:00"/>
    <n v="15.293150684931506"/>
    <n v="8"/>
    <s v="G1-1층"/>
    <s v="자사"/>
    <s v="미설정"/>
    <n v="6.24"/>
    <n v="1150"/>
    <n v="1200"/>
    <n v="2100"/>
    <n v="243208046"/>
    <m/>
    <m/>
    <m/>
    <n v="243207046"/>
    <n v="0"/>
    <n v="1000"/>
    <n v="1000"/>
    <m/>
    <m/>
    <m/>
    <s v="완료"/>
    <s v="D-SAW"/>
    <s v="COF(Assy_FT)"/>
    <s v="COF(Assy_FT)"/>
    <s v="기계장치"/>
    <n v="4864160.92"/>
    <n v="463694.22397113813"/>
    <n v="154564.74132371272"/>
    <m/>
    <m/>
    <m/>
    <m/>
    <m/>
    <m/>
    <m/>
    <n v="463694.22397113813"/>
    <n v="463694.22397113813"/>
    <n v="927388.44794227625"/>
    <n v="463694.22397113813"/>
    <n v="463694.22397113813"/>
    <n v="463694.22397113813"/>
    <n v="463694.22397113813"/>
    <n v="1854776.8958845525"/>
    <n v="463694.22397113813"/>
    <n v="463694.22397113813"/>
    <n v="463694.22397113813"/>
    <n v="463694.22397113813"/>
    <n v="1854776.8958845525"/>
    <n v="463694.22397113813"/>
    <n v="463694.22397113813"/>
    <n v="463694.22397113813"/>
    <n v="463694.22397113813"/>
    <n v="1854776.8958845525"/>
    <m/>
    <n v="4.7495496414649618E-4"/>
    <n v="9974054.2470764201"/>
    <n v="14838215.16707642"/>
  </r>
  <r>
    <n v="356"/>
    <x v="2"/>
    <m/>
    <m/>
    <m/>
    <m/>
    <m/>
    <m/>
    <m/>
    <x v="1"/>
    <m/>
    <x v="3"/>
    <m/>
    <m/>
    <m/>
    <m/>
    <x v="0"/>
    <m/>
    <m/>
    <x v="0"/>
    <m/>
    <m/>
    <m/>
    <x v="2"/>
    <m/>
    <m/>
    <s v="일반장비(비통제)"/>
    <s v="제조 가공 장비"/>
    <m/>
    <m/>
    <m/>
    <m/>
    <m/>
    <m/>
    <m/>
    <m/>
    <m/>
    <m/>
    <m/>
    <m/>
    <m/>
    <m/>
    <m/>
    <m/>
    <m/>
    <m/>
    <m/>
    <m/>
    <m/>
    <m/>
    <n v="238775300"/>
    <n v="0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</r>
  <r>
    <n v="357"/>
    <x v="2"/>
    <m/>
    <m/>
    <m/>
    <m/>
    <m/>
    <m/>
    <m/>
    <x v="1"/>
    <m/>
    <x v="3"/>
    <m/>
    <m/>
    <m/>
    <m/>
    <x v="0"/>
    <m/>
    <m/>
    <x v="0"/>
    <m/>
    <m/>
    <m/>
    <x v="2"/>
    <m/>
    <m/>
    <s v="일반장비(비통제)"/>
    <s v="제조 가공 장비"/>
    <m/>
    <m/>
    <m/>
    <m/>
    <m/>
    <m/>
    <m/>
    <m/>
    <m/>
    <m/>
    <m/>
    <m/>
    <m/>
    <m/>
    <m/>
    <m/>
    <m/>
    <m/>
    <m/>
    <m/>
    <m/>
    <m/>
    <n v="270729000"/>
    <n v="439168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</r>
  <r>
    <n v="358"/>
    <x v="0"/>
    <m/>
    <s v="구용근"/>
    <s v="구미"/>
    <s v="PKG"/>
    <s v="O"/>
    <s v="8&quot;&amp;12&quot;"/>
    <s v="DDI"/>
    <x v="4"/>
    <s v="COF"/>
    <x v="34"/>
    <n v="1002440"/>
    <s v="MC"/>
    <s v="PMA-12 : KRM200(고려반도체)"/>
    <s v="KRM200"/>
    <x v="73"/>
    <m/>
    <s v="69-10-032-LS"/>
    <x v="0"/>
    <s v="가동"/>
    <s v="한국"/>
    <s v="고려반도체"/>
    <x v="2"/>
    <s v="2차"/>
    <s v="2차"/>
    <s v="일반장비(비통제)"/>
    <s v="잉크 마킹"/>
    <s v="잉크 마킹"/>
    <m/>
    <m/>
    <s v="EAR99"/>
    <s v="8443.99-0000"/>
    <m/>
    <m/>
    <d v="2010-08-31T00:00:00"/>
    <d v="2010-08-31T00:00:00"/>
    <n v="15.178082191780822"/>
    <n v="8"/>
    <s v="G1-1층"/>
    <s v="자사"/>
    <s v="미설정"/>
    <n v="2.11"/>
    <n v="3100"/>
    <n v="1050"/>
    <n v="1950"/>
    <n v="235040000"/>
    <m/>
    <m/>
    <m/>
    <n v="235039000"/>
    <n v="0"/>
    <n v="1000"/>
    <n v="1000"/>
    <m/>
    <m/>
    <m/>
    <s v="완료"/>
    <s v="D-IMARK"/>
    <s v="COF(Assy_FT)"/>
    <s v="COF(Assy_FT)"/>
    <s v="기계장치"/>
    <n v="4700800"/>
    <n v="146900"/>
    <n v="48966.666666666664"/>
    <m/>
    <m/>
    <m/>
    <m/>
    <m/>
    <m/>
    <m/>
    <n v="146900"/>
    <n v="146900"/>
    <n v="293800"/>
    <n v="146900"/>
    <n v="146900"/>
    <n v="146900"/>
    <n v="146900"/>
    <n v="587600"/>
    <n v="146900"/>
    <n v="146900"/>
    <n v="146900"/>
    <n v="146900"/>
    <n v="587600"/>
    <n v="146900"/>
    <n v="146900"/>
    <n v="146900"/>
    <n v="146900"/>
    <n v="587600"/>
    <m/>
    <m/>
    <m/>
    <n v="4700800"/>
  </r>
  <r>
    <n v="359"/>
    <x v="0"/>
    <m/>
    <s v="구용근"/>
    <s v="구미"/>
    <s v="PKG"/>
    <s v="O"/>
    <s v="8&quot;"/>
    <s v="DDI"/>
    <x v="4"/>
    <s v="COF"/>
    <x v="32"/>
    <n v="1001406"/>
    <s v="MC"/>
    <s v="PIL-40 : FILP-COF-1000"/>
    <s v="COF-1000"/>
    <x v="74"/>
    <s v="2세대"/>
    <m/>
    <x v="167"/>
    <s v="가동"/>
    <s v="일본"/>
    <s v="Shinkawa"/>
    <x v="1"/>
    <s v="1차"/>
    <s v="1차"/>
    <s v="해당"/>
    <s v="COF 본딩"/>
    <s v="COF 본딩"/>
    <m/>
    <m/>
    <s v="3B991"/>
    <s v="8486.20-0000"/>
    <s v="반도체제조장비"/>
    <m/>
    <d v="2009-04-27T00:00:00"/>
    <d v="2009-04-27T00:00:00"/>
    <n v="16.523287671232875"/>
    <n v="8"/>
    <s v="G1-1층"/>
    <s v="자사"/>
    <s v="미설정"/>
    <n v="3"/>
    <n v="2500"/>
    <n v="1400"/>
    <n v="1980"/>
    <n v="430006492"/>
    <m/>
    <m/>
    <m/>
    <n v="430005492"/>
    <n v="603830"/>
    <n v="1000"/>
    <n v="1000"/>
    <m/>
    <m/>
    <m/>
    <s v="완료"/>
    <s v="D-ILB"/>
    <s v="COF(Assy_FT)"/>
    <s v="COF(Assy_FT)"/>
    <s v="기계장치"/>
    <n v="8600129.8399999999"/>
    <n v="819839.35108171299"/>
    <n v="273279.78369390435"/>
    <m/>
    <m/>
    <n v="819839.3510817131"/>
    <n v="819839.3510817131"/>
    <n v="1639678.7021634262"/>
    <n v="819839.3510817131"/>
    <n v="819839.3510817131"/>
    <n v="819839.3510817131"/>
    <n v="819839.3510817131"/>
    <n v="3279357.4043268524"/>
    <n v="819839.3510817131"/>
    <n v="819839.3510817131"/>
    <n v="819839.3510817131"/>
    <n v="819839.3510817131"/>
    <n v="3279357.4043268524"/>
    <n v="819839.3510817131"/>
    <n v="819839.3510817131"/>
    <n v="819839.3510817131"/>
    <n v="819839.3510817131"/>
    <n v="3279357.4043268524"/>
    <n v="819839.3510817131"/>
    <n v="819839.3510817131"/>
    <n v="819839.3510817131"/>
    <n v="819839.3510817131"/>
    <n v="3279357.4043268524"/>
    <m/>
    <n v="8.397490187911817E-4"/>
    <n v="17634729.394614816"/>
    <n v="26234859.234614816"/>
  </r>
  <r>
    <n v="360"/>
    <x v="0"/>
    <s v="v"/>
    <s v="구용근"/>
    <s v="구미"/>
    <s v="PKG"/>
    <s v="O"/>
    <s v="8&quot;"/>
    <s v="DDI"/>
    <x v="4"/>
    <s v="COF"/>
    <x v="17"/>
    <n v="1002884"/>
    <s v="MC"/>
    <s v="PSA-18 : DICING SAW(DFD6340)"/>
    <s v="DFD6340"/>
    <x v="31"/>
    <m/>
    <s v="JT4003"/>
    <x v="0"/>
    <s v="비가동"/>
    <s v="일본"/>
    <s v="Disco"/>
    <x v="0"/>
    <s v="2차"/>
    <s v="2차"/>
    <s v="해당"/>
    <s v="Wafer Sicing Saw"/>
    <s v="Wafer Sicing Saw"/>
    <m/>
    <m/>
    <s v="3B001"/>
    <s v="8486.40-0000"/>
    <s v="전략물자수출입고시"/>
    <m/>
    <d v="2011-05-16T00:00:00"/>
    <d v="2012-03-07T00:00:00"/>
    <n v="13.66027397260274"/>
    <n v="8"/>
    <s v="2공장 운휴 Room"/>
    <s v="자사"/>
    <s v="미설정"/>
    <n v="6.24"/>
    <n v="1150"/>
    <n v="1200"/>
    <n v="2100"/>
    <n v="232633170"/>
    <m/>
    <m/>
    <m/>
    <n v="232632170"/>
    <n v="0"/>
    <n v="1000"/>
    <n v="1000"/>
    <m/>
    <m/>
    <m/>
    <s v="완료"/>
    <s v="D-SAW"/>
    <s v="COF(Assy_FT)"/>
    <s v="COF(Assy_FT)"/>
    <s v="기계장치"/>
    <n v="4652663.4000000004"/>
    <n v="443532.4365588458"/>
    <n v="147844.14551961527"/>
    <m/>
    <m/>
    <m/>
    <m/>
    <m/>
    <m/>
    <m/>
    <n v="443532.4365588458"/>
    <n v="443532.4365588458"/>
    <n v="887064.8731176916"/>
    <n v="443532.4365588458"/>
    <n v="443532.4365588458"/>
    <n v="443532.4365588458"/>
    <n v="443532.4365588458"/>
    <n v="1774129.7462353832"/>
    <n v="443532.4365588458"/>
    <n v="443532.4365588458"/>
    <n v="443532.4365588458"/>
    <n v="443532.4365588458"/>
    <n v="1774129.7462353832"/>
    <n v="443532.4365588458"/>
    <n v="443532.4365588458"/>
    <n v="443532.4365588458"/>
    <n v="443532.4365588458"/>
    <n v="1774129.7462353832"/>
    <m/>
    <n v="4.5430355094681267E-4"/>
    <n v="9540374.5698830653"/>
    <n v="14193037.969883066"/>
  </r>
  <r>
    <n v="361"/>
    <x v="0"/>
    <m/>
    <s v="구용근"/>
    <s v="구미"/>
    <s v="PKG"/>
    <s v="O"/>
    <s v="8&quot;"/>
    <s v="DDI"/>
    <x v="4"/>
    <s v="COF"/>
    <x v="21"/>
    <n v="1002888"/>
    <s v="MC"/>
    <s v="PLK-01 : LASER MARKING SYSTEM(CSM2000)"/>
    <s v="CSM2000"/>
    <x v="39"/>
    <m/>
    <s v="DW211004"/>
    <x v="0"/>
    <s v="가동"/>
    <s v="한국"/>
    <s v="EO Technics"/>
    <x v="1"/>
    <s v="1차"/>
    <s v="1차"/>
    <s v="일반장비(비통제)"/>
    <s v="레이저 마킹"/>
    <s v="레이저 마킹"/>
    <m/>
    <m/>
    <s v="EAR99"/>
    <s v="8456.10-0000"/>
    <m/>
    <m/>
    <d v="2012-03-07T00:00:00"/>
    <d v="2012-03-07T00:00:00"/>
    <n v="13.66027397260274"/>
    <n v="8"/>
    <s v="G1-1층"/>
    <s v="자사"/>
    <s v="미설정"/>
    <n v="2.4"/>
    <n v="1460"/>
    <n v="1570"/>
    <n v="2170"/>
    <n v="375040000"/>
    <m/>
    <m/>
    <m/>
    <n v="375039000"/>
    <n v="0"/>
    <n v="1000"/>
    <n v="1000"/>
    <m/>
    <m/>
    <m/>
    <s v="완료"/>
    <s v="D-LMARK"/>
    <s v="COF(Assy_FT)"/>
    <s v="COF(Assy_FT)"/>
    <s v="기계장치"/>
    <n v="7500800"/>
    <n v="715041.64692863671"/>
    <n v="238347.2156428789"/>
    <m/>
    <m/>
    <n v="715041.64692863671"/>
    <n v="715041.64692863671"/>
    <n v="1430083.2938572734"/>
    <n v="715041.64692863671"/>
    <n v="715041.64692863671"/>
    <n v="715041.64692863671"/>
    <n v="715041.64692863671"/>
    <n v="2860166.5877145468"/>
    <n v="715041.64692863671"/>
    <n v="715041.64692863671"/>
    <n v="715041.64692863671"/>
    <n v="715041.64692863671"/>
    <n v="2860166.5877145468"/>
    <n v="715041.64692863671"/>
    <n v="715041.64692863671"/>
    <n v="715041.64692863671"/>
    <n v="715041.64692863671"/>
    <n v="2860166.5877145468"/>
    <n v="715041.64692863671"/>
    <n v="715041.64692863671"/>
    <n v="715041.64692863671"/>
    <n v="715041.64692863671"/>
    <n v="2860166.5877145468"/>
    <m/>
    <n v="7.3240631912935121E-4"/>
    <n v="15380532.701716375"/>
    <n v="22881332.701716375"/>
  </r>
  <r>
    <n v="362"/>
    <x v="0"/>
    <s v="v"/>
    <s v="구용근"/>
    <s v="구미"/>
    <s v="PKG"/>
    <s v="O"/>
    <s v="8&quot;&amp;12&quot;"/>
    <s v="DDI"/>
    <x v="4"/>
    <s v="COF"/>
    <x v="17"/>
    <n v="1002886"/>
    <s v="MC"/>
    <s v="PCB-09 : CO2 BUBBLER_NGK(ANTISTATIC SYSTEM)"/>
    <s v="PRCⅡ-2000ACD"/>
    <x v="75"/>
    <m/>
    <m/>
    <x v="0"/>
    <s v="비가동"/>
    <s v="일본"/>
    <s v="NGK 엔지니어"/>
    <x v="0"/>
    <s v="2차"/>
    <s v="2차"/>
    <s v="일반장비(비통제)"/>
    <s v="CO2 주입기"/>
    <m/>
    <m/>
    <m/>
    <s v="EAR99"/>
    <s v="8486.90-0000"/>
    <m/>
    <m/>
    <d v="2011-04-06T00:00:00"/>
    <d v="2012-03-07T00:00:00"/>
    <n v="13.66027397260274"/>
    <n v="8"/>
    <s v="G1-1층"/>
    <s v="자사"/>
    <s v="미설정"/>
    <n v="1"/>
    <n v="520"/>
    <n v="400"/>
    <n v="1150"/>
    <n v="28937230"/>
    <m/>
    <m/>
    <m/>
    <n v="28936230"/>
    <s v="               -"/>
    <n v="1000"/>
    <n v="1000"/>
    <m/>
    <m/>
    <m/>
    <s v="완료"/>
    <s v="D-SAW"/>
    <s v="COF(Assy_FT)"/>
    <s v="COF(Assy_FT)"/>
    <s v="기계장치"/>
    <n v="578744.6"/>
    <n v="55170.980686734096"/>
    <n v="18390.326895578033"/>
    <m/>
    <m/>
    <m/>
    <m/>
    <m/>
    <m/>
    <m/>
    <n v="55170.980686734096"/>
    <n v="55170.980686734096"/>
    <n v="110341.96137346819"/>
    <n v="55170.980686734096"/>
    <n v="55170.980686734096"/>
    <n v="55170.980686734096"/>
    <n v="55170.980686734096"/>
    <n v="220683.92274693638"/>
    <n v="55170.980686734096"/>
    <n v="55170.980686734096"/>
    <n v="55170.980686734096"/>
    <n v="55170.980686734096"/>
    <n v="220683.92274693638"/>
    <n v="55170.980686734096"/>
    <n v="55170.980686734096"/>
    <n v="55170.980686734096"/>
    <n v="55170.980686734096"/>
    <n v="220683.92274693638"/>
    <m/>
    <n v="5.6510799141690043E-5"/>
    <n v="1186726.781975491"/>
    <n v="1765471.3819754911"/>
  </r>
  <r>
    <n v="363"/>
    <x v="0"/>
    <m/>
    <s v="구용근"/>
    <s v="구미"/>
    <s v="PKG"/>
    <s v="O"/>
    <s v="8&quot;"/>
    <s v="DDI"/>
    <x v="4"/>
    <s v="COF"/>
    <x v="21"/>
    <n v="1005268"/>
    <s v="Part"/>
    <s v="LM 공진기 Parts(PLK-01)"/>
    <s v="PLK-01"/>
    <x v="76"/>
    <m/>
    <m/>
    <x v="0"/>
    <s v="가동"/>
    <s v="한국"/>
    <m/>
    <x v="1"/>
    <s v="3차"/>
    <s v="3차"/>
    <s v="일반장비(비통제)"/>
    <s v="레이저 마킹"/>
    <s v="레이저 마킹"/>
    <m/>
    <m/>
    <s v="EAR99"/>
    <s v="8456.10-0000"/>
    <m/>
    <m/>
    <d v="2017-11-30T00:00:00"/>
    <d v="2017-11-30T00:00:00"/>
    <n v="7.9232876712328766"/>
    <n v="8"/>
    <s v="G1-1층"/>
    <s v="자사"/>
    <s v="미설정"/>
    <n v="0"/>
    <m/>
    <m/>
    <m/>
    <n v="150000000"/>
    <m/>
    <m/>
    <m/>
    <n v="145516287"/>
    <n v="1494565"/>
    <n v="1000"/>
    <n v="1000"/>
    <m/>
    <m/>
    <n v="3.0000120436381152"/>
    <s v="미완료"/>
    <s v="D-LMARK"/>
    <s v="COF(Assy_FT)"/>
    <s v="COF(Assy_FT)"/>
    <s v="기계장치"/>
    <n v="3000000"/>
    <n v="285986.15358173929"/>
    <n v="95328.717860579767"/>
    <m/>
    <m/>
    <n v="285986.15358173929"/>
    <n v="285986.15358173929"/>
    <n v="571972.30716347857"/>
    <n v="285986.15358173929"/>
    <n v="285986.15358173929"/>
    <n v="285986.15358173929"/>
    <n v="285986.15358173929"/>
    <n v="1143944.6143269571"/>
    <n v="285986.15358173929"/>
    <n v="285986.15358173929"/>
    <n v="285986.15358173929"/>
    <n v="285986.15358173929"/>
    <n v="1143944.6143269571"/>
    <n v="285986.15358173929"/>
    <n v="285986.15358173929"/>
    <n v="285986.15358173929"/>
    <n v="285986.15358173929"/>
    <n v="1143944.6143269571"/>
    <n v="285986.15358173929"/>
    <n v="285986.15358173929"/>
    <n v="285986.15358173929"/>
    <n v="285986.15358173929"/>
    <n v="1143944.6143269571"/>
    <m/>
    <n v="2.9293128164836464E-4"/>
    <n v="6151556.9146156572"/>
    <n v="9151556.9146156572"/>
  </r>
  <r>
    <n v="364"/>
    <x v="0"/>
    <m/>
    <s v="구용근"/>
    <s v="구미"/>
    <s v="PKG"/>
    <s v="O"/>
    <s v="8&quot;&amp;12&quot;"/>
    <s v="DDI"/>
    <x v="4"/>
    <s v="COF"/>
    <x v="17"/>
    <n v="1002889"/>
    <s v="MC"/>
    <s v="PLM-01 : LAMINATOR SYSTEM:DT-ECS2030B"/>
    <s v="DT-ECS2030B"/>
    <x v="77"/>
    <m/>
    <s v="DT11089"/>
    <x v="0"/>
    <s v="가동"/>
    <s v="한국"/>
    <s v="DYNATECH"/>
    <x v="2"/>
    <s v="2차"/>
    <s v="2차"/>
    <s v="일반장비(비통제)"/>
    <s v="Tape 부착기"/>
    <m/>
    <m/>
    <m/>
    <s v="EAR99"/>
    <s v="8479.89-0000"/>
    <m/>
    <m/>
    <d v="2011-05-16T00:00:00"/>
    <d v="2012-03-07T00:00:00"/>
    <n v="13.66027397260274"/>
    <n v="8"/>
    <s v="G1-1층"/>
    <s v="자사"/>
    <s v="미설정"/>
    <n v="2.4"/>
    <n v="1500"/>
    <n v="1320"/>
    <n v="1750"/>
    <n v="190040000"/>
    <m/>
    <m/>
    <m/>
    <n v="190039000"/>
    <n v="0"/>
    <n v="1000"/>
    <n v="1000"/>
    <m/>
    <m/>
    <m/>
    <s v="완료"/>
    <s v="D-SAW"/>
    <s v="COF(Assy_FT)"/>
    <s v="COF(Assy_FT)"/>
    <s v="기계장치"/>
    <n v="3800800"/>
    <n v="118775"/>
    <n v="39591.666666666664"/>
    <m/>
    <m/>
    <m/>
    <m/>
    <m/>
    <m/>
    <m/>
    <n v="118775"/>
    <n v="118775"/>
    <n v="237550"/>
    <n v="118775"/>
    <n v="118775"/>
    <n v="118775"/>
    <n v="118775"/>
    <n v="475100"/>
    <n v="118775"/>
    <n v="118775"/>
    <n v="118775"/>
    <n v="118775"/>
    <n v="475100"/>
    <n v="118775"/>
    <n v="118775"/>
    <n v="118775"/>
    <n v="118775"/>
    <n v="475100"/>
    <m/>
    <m/>
    <m/>
    <n v="3800800"/>
  </r>
  <r>
    <n v="365"/>
    <x v="0"/>
    <m/>
    <s v="구용근"/>
    <s v="구미"/>
    <s v="PKG"/>
    <s v="O"/>
    <s v="8&quot;"/>
    <s v="DDI"/>
    <x v="4"/>
    <s v="COF"/>
    <x v="32"/>
    <n v="1001903"/>
    <s v="MC"/>
    <s v="PIL-41 : LTB-4100(TOP)"/>
    <s v="LTB-4100"/>
    <x v="78"/>
    <s v="2세대"/>
    <n v="10021603"/>
    <x v="167"/>
    <s v="가동"/>
    <s v="한국"/>
    <s v="TOP ENG"/>
    <x v="1"/>
    <s v="1차"/>
    <s v="1차"/>
    <s v="해당"/>
    <s v="COF 본딩"/>
    <s v="COF 본딩"/>
    <m/>
    <m/>
    <s v="3B991"/>
    <s v="8486.20-0000"/>
    <s v="반도체제조장비"/>
    <m/>
    <d v="2010-02-16T00:00:00"/>
    <d v="2010-02-16T00:00:00"/>
    <n v="15.715068493150685"/>
    <n v="8"/>
    <s v="G1-1층"/>
    <s v="자사"/>
    <s v="미설정"/>
    <n v="3"/>
    <n v="3000"/>
    <n v="1400"/>
    <n v="2050"/>
    <n v="247373335"/>
    <m/>
    <m/>
    <m/>
    <n v="247372335"/>
    <n v="1872499"/>
    <n v="1000"/>
    <n v="1000"/>
    <m/>
    <m/>
    <m/>
    <s v="완료"/>
    <s v="D-ILB"/>
    <s v="COF(Assy_FT)"/>
    <s v="COF(Assy_FT)"/>
    <s v="기계장치"/>
    <n v="4947466.7"/>
    <n v="471635.65716891363"/>
    <n v="157211.8857229712"/>
    <m/>
    <m/>
    <n v="471635.65716891363"/>
    <n v="471635.65716891363"/>
    <n v="943271.31433782727"/>
    <n v="471635.65716891363"/>
    <n v="471635.65716891363"/>
    <n v="471635.65716891363"/>
    <n v="471635.65716891363"/>
    <n v="1886542.6286756545"/>
    <n v="471635.65716891363"/>
    <n v="471635.65716891363"/>
    <n v="471635.65716891363"/>
    <n v="471635.65716891363"/>
    <n v="1886542.6286756545"/>
    <n v="471635.65716891363"/>
    <n v="471635.65716891363"/>
    <n v="471635.65716891363"/>
    <n v="471635.65716891363"/>
    <n v="1886542.6286756545"/>
    <n v="471635.65716891363"/>
    <n v="471635.65716891363"/>
    <n v="471635.65716891363"/>
    <n v="471635.65716891363"/>
    <n v="1886542.6286756545"/>
    <m/>
    <n v="4.8308925378120175E-4"/>
    <n v="10144874.329405237"/>
    <n v="15092341.029405236"/>
  </r>
  <r>
    <n v="366"/>
    <x v="0"/>
    <m/>
    <s v="구용근"/>
    <s v="구미"/>
    <s v="PKG"/>
    <s v="O"/>
    <s v="8&quot;"/>
    <s v="DDI"/>
    <x v="4"/>
    <s v="COF"/>
    <x v="32"/>
    <n v="1001459"/>
    <s v="MC"/>
    <s v="PIL-43 : LTB-4100(TOP)"/>
    <s v="LTB-4100"/>
    <x v="78"/>
    <s v="2세대"/>
    <n v="9060201"/>
    <x v="167"/>
    <s v="가동"/>
    <s v="한국"/>
    <s v="TOP ENG"/>
    <x v="1"/>
    <s v="1차"/>
    <s v="1차"/>
    <s v="해당"/>
    <s v="COF 본딩"/>
    <s v="COF 본딩"/>
    <m/>
    <m/>
    <s v="3B991"/>
    <s v="8486.20-0000"/>
    <s v="반도체제조장비"/>
    <m/>
    <d v="2009-06-05T00:00:00"/>
    <d v="2009-06-05T00:00:00"/>
    <n v="16.416438356164385"/>
    <n v="8"/>
    <s v="G1-1층"/>
    <s v="자사"/>
    <s v="미설정"/>
    <n v="3"/>
    <n v="3000"/>
    <n v="1400"/>
    <n v="2050"/>
    <n v="270730000"/>
    <m/>
    <m/>
    <m/>
    <n v="270729000"/>
    <n v="439168"/>
    <n v="1000"/>
    <n v="1000"/>
    <m/>
    <m/>
    <m/>
    <s v="완료"/>
    <s v="D-ILB"/>
    <s v="COF(Assy_FT)"/>
    <s v="COF(Assy_FT)"/>
    <s v="기계장치"/>
    <n v="5414600"/>
    <n v="516166.87572789518"/>
    <n v="172055.62524263174"/>
    <m/>
    <m/>
    <n v="516166.87572789518"/>
    <n v="516166.87572789518"/>
    <n v="1032333.7514557904"/>
    <n v="516166.87572789518"/>
    <n v="516166.87572789518"/>
    <n v="516166.87572789518"/>
    <n v="516166.87572789518"/>
    <n v="2064667.5029115807"/>
    <n v="516166.87572789518"/>
    <n v="516166.87572789518"/>
    <n v="516166.87572789518"/>
    <n v="516166.87572789518"/>
    <n v="2064667.5029115807"/>
    <n v="516166.87572789518"/>
    <n v="516166.87572789518"/>
    <n v="516166.87572789518"/>
    <n v="516166.87572789518"/>
    <n v="2064667.5029115807"/>
    <n v="516166.87572789518"/>
    <n v="516166.87572789518"/>
    <n v="516166.87572789518"/>
    <n v="516166.87572789518"/>
    <n v="2064667.5029115807"/>
    <m/>
    <n v="5.2870190587107836E-4"/>
    <n v="11102740.023292646"/>
    <n v="16517340.023292646"/>
  </r>
  <r>
    <n v="367"/>
    <x v="0"/>
    <m/>
    <s v="구용근"/>
    <s v="구미"/>
    <s v="PKG"/>
    <s v="O"/>
    <s v="8&quot;"/>
    <s v="DDI"/>
    <x v="4"/>
    <s v="COF"/>
    <x v="32"/>
    <n v="1001446"/>
    <s v="MC"/>
    <s v="PIL-44 : COF-1000(SHINKAWA)"/>
    <s v="COF-1000"/>
    <x v="74"/>
    <s v="2세대"/>
    <m/>
    <x v="167"/>
    <s v="가동"/>
    <s v="일본"/>
    <s v="Shinkawa"/>
    <x v="1"/>
    <s v="1차"/>
    <s v="1차"/>
    <s v="해당"/>
    <s v="COF 본딩"/>
    <s v="COF 본딩"/>
    <m/>
    <m/>
    <s v="3B991"/>
    <s v="8486.20-0000"/>
    <s v="반도체제조장비"/>
    <m/>
    <d v="2009-06-11T00:00:00"/>
    <d v="2009-06-11T00:00:00"/>
    <n v="16.399999999999999"/>
    <n v="8"/>
    <s v="G1-1층"/>
    <s v="자사"/>
    <s v="미설정"/>
    <n v="3"/>
    <n v="2500"/>
    <n v="1400"/>
    <n v="1980"/>
    <n v="400248925"/>
    <m/>
    <m/>
    <m/>
    <n v="400247925"/>
    <n v="2153700"/>
    <n v="1000"/>
    <n v="1000"/>
    <m/>
    <m/>
    <m/>
    <s v="완료"/>
    <s v="D-ILB"/>
    <s v="COF(Assy_FT)"/>
    <s v="COF(Assy_FT)"/>
    <s v="기계장치"/>
    <n v="8004978.5"/>
    <n v="763104.33690650703"/>
    <n v="254368.112302169"/>
    <m/>
    <m/>
    <n v="763104.33690650703"/>
    <n v="763104.33690650703"/>
    <n v="1526208.6738130141"/>
    <n v="763104.33690650703"/>
    <n v="763104.33690650703"/>
    <n v="763104.33690650703"/>
    <n v="763104.33690650703"/>
    <n v="3052417.3476260281"/>
    <n v="763104.33690650703"/>
    <n v="763104.33690650703"/>
    <n v="763104.33690650703"/>
    <n v="763104.33690650703"/>
    <n v="3052417.3476260281"/>
    <n v="763104.33690650703"/>
    <n v="763104.33690650703"/>
    <n v="763104.33690650703"/>
    <n v="763104.33690650703"/>
    <n v="3052417.3476260281"/>
    <n v="763104.33690650703"/>
    <n v="763104.33690650703"/>
    <n v="763104.33690650703"/>
    <n v="763104.33690650703"/>
    <n v="3052417.3476260281"/>
    <m/>
    <n v="7.8163620385753453E-4"/>
    <n v="16414360.281008225"/>
    <n v="24419338.781008225"/>
  </r>
  <r>
    <n v="368"/>
    <x v="0"/>
    <m/>
    <s v="구용근"/>
    <s v="구미"/>
    <s v="PKG"/>
    <s v="O"/>
    <s v="8&quot;"/>
    <s v="DDI"/>
    <x v="4"/>
    <s v="COF"/>
    <x v="32"/>
    <n v="1001451"/>
    <s v="MC"/>
    <s v="PIL-45 : TFC-3200(SHIBAURA)"/>
    <s v="TFC-3200"/>
    <x v="79"/>
    <s v="2세대"/>
    <s v="D180"/>
    <x v="167"/>
    <s v="가동"/>
    <s v="일본"/>
    <s v="Shibaura"/>
    <x v="1"/>
    <s v="1차"/>
    <s v="1차"/>
    <s v="해당"/>
    <s v="칩 본딩 장비"/>
    <s v="칩 본딩 장비"/>
    <m/>
    <m/>
    <s v="3B991"/>
    <s v="8486.40-0000"/>
    <s v="반도체 제조 공정용"/>
    <m/>
    <d v="2009-06-09T00:00:00"/>
    <d v="2009-06-09T00:00:00"/>
    <n v="16.405479452054795"/>
    <n v="8"/>
    <s v="G1-1층"/>
    <s v="자사"/>
    <s v="미설정"/>
    <n v="3"/>
    <n v="2700"/>
    <n v="1500"/>
    <n v="2030"/>
    <n v="399102262"/>
    <m/>
    <m/>
    <m/>
    <n v="399101262"/>
    <n v="2213425"/>
    <n v="1000"/>
    <n v="1000"/>
    <m/>
    <m/>
    <m/>
    <s v="완료"/>
    <s v="D-ILB"/>
    <s v="COF(Assy_FT)"/>
    <s v="COF(Assy_FT)"/>
    <s v="기계장치"/>
    <n v="7982045.2400000002"/>
    <n v="760918.13863434375"/>
    <n v="253639.37954478126"/>
    <m/>
    <m/>
    <n v="760918.13863434375"/>
    <n v="760918.13863434375"/>
    <n v="1521836.2772686875"/>
    <n v="760918.13863434375"/>
    <n v="760918.13863434375"/>
    <n v="760918.13863434375"/>
    <n v="760918.13863434375"/>
    <n v="3043672.554537375"/>
    <n v="760918.13863434375"/>
    <n v="760918.13863434375"/>
    <n v="760918.13863434375"/>
    <n v="760918.13863434375"/>
    <n v="3043672.554537375"/>
    <n v="760918.13863434375"/>
    <n v="760918.13863434375"/>
    <n v="760918.13863434375"/>
    <n v="760918.13863434375"/>
    <n v="3043672.554537375"/>
    <n v="760918.13863434375"/>
    <n v="760918.13863434375"/>
    <n v="760918.13863434375"/>
    <n v="760918.13863434375"/>
    <n v="3043672.554537375"/>
    <m/>
    <n v="7.7939691410947617E-4"/>
    <n v="16367335.196299"/>
    <n v="24349380.436299"/>
  </r>
  <r>
    <n v="369"/>
    <x v="0"/>
    <s v="Part Out"/>
    <s v="구용근"/>
    <s v="구미"/>
    <s v="PKG"/>
    <s v="O"/>
    <s v="8&quot;&amp;12&quot;"/>
    <s v="DDI"/>
    <x v="4"/>
    <s v="COF"/>
    <x v="17"/>
    <n v="1003485"/>
    <s v="MC"/>
    <s v="PSA-13 : SAW DFD6560"/>
    <s v="DFD6560"/>
    <x v="31"/>
    <m/>
    <s v="PU1008"/>
    <x v="0"/>
    <s v="비가동"/>
    <s v="일본"/>
    <s v="Disco"/>
    <x v="1"/>
    <s v="2차"/>
    <s v="2차"/>
    <s v="해당"/>
    <s v="Wafer Sicing Saw"/>
    <s v="Wafer Sicing Saw"/>
    <m/>
    <m/>
    <s v="3B001"/>
    <s v="8486.40-0000"/>
    <s v="전략물자수출입고시"/>
    <m/>
    <d v="2012-08-02T00:00:00"/>
    <d v="2012-08-02T00:00:00"/>
    <n v="13.254794520547945"/>
    <n v="8"/>
    <s v="2공장 운휴 Room"/>
    <s v="자사"/>
    <s v="미설정"/>
    <n v="3"/>
    <n v="1240"/>
    <n v="1550"/>
    <n v="1960"/>
    <n v="281894711"/>
    <m/>
    <m/>
    <m/>
    <n v="281893711"/>
    <n v="0"/>
    <n v="1000"/>
    <n v="1000"/>
    <m/>
    <m/>
    <m/>
    <s v="완료"/>
    <s v="D-SAW"/>
    <s v="COF(Assy_FT)"/>
    <s v="COF(Assy_FT)"/>
    <s v="기계장치"/>
    <n v="5637894.2199999997"/>
    <n v="537453.2274261734"/>
    <n v="179151.07580872448"/>
    <m/>
    <m/>
    <n v="537453.2274261734"/>
    <n v="537453.2274261734"/>
    <n v="1074906.4548523468"/>
    <n v="537453.2274261734"/>
    <n v="537453.2274261734"/>
    <n v="537453.2274261734"/>
    <n v="537453.2274261734"/>
    <n v="2149812.9097046936"/>
    <n v="537453.2274261734"/>
    <n v="537453.2274261734"/>
    <n v="537453.2274261734"/>
    <n v="537453.2274261734"/>
    <n v="2149812.9097046936"/>
    <n v="537453.2274261734"/>
    <n v="537453.2274261734"/>
    <n v="537453.2274261734"/>
    <n v="537453.2274261734"/>
    <n v="2149812.9097046936"/>
    <n v="537453.2274261734"/>
    <n v="537453.2274261734"/>
    <n v="537453.2274261734"/>
    <n v="537453.2274261734"/>
    <n v="2149812.9097046936"/>
    <m/>
    <n v="5.5050519322083567E-4"/>
    <n v="11560609.05763755"/>
    <n v="17198503.277637549"/>
  </r>
  <r>
    <n v="370"/>
    <x v="0"/>
    <s v="v"/>
    <s v="구용근"/>
    <s v="구미"/>
    <s v="PKG"/>
    <s v="O"/>
    <s v="8&quot;"/>
    <s v="DDI"/>
    <x v="4"/>
    <s v="COF"/>
    <x v="17"/>
    <n v="1003562"/>
    <s v="MC"/>
    <s v="PSA-17 : SAW DFD6340_DISCO"/>
    <s v="DFD6340"/>
    <x v="31"/>
    <m/>
    <s v="JT4250"/>
    <x v="0"/>
    <s v="비가동"/>
    <s v="일본"/>
    <s v="Disco"/>
    <x v="2"/>
    <s v="2차"/>
    <s v="2차"/>
    <s v="해당"/>
    <s v="Wafer Sicing Saw"/>
    <s v="Wafer Sicing Saw"/>
    <m/>
    <m/>
    <s v="3B001"/>
    <s v="8486.40-0000"/>
    <s v="전략물자수출입고시"/>
    <m/>
    <d v="2012-09-04T00:00:00"/>
    <d v="2012-09-04T00:00:00"/>
    <n v="13.164383561643836"/>
    <n v="8"/>
    <s v="2공장 운휴 Room"/>
    <s v="자사"/>
    <s v="미설정"/>
    <n v="3"/>
    <n v="1150"/>
    <n v="1200"/>
    <n v="2100"/>
    <n v="244269261"/>
    <m/>
    <m/>
    <m/>
    <n v="244268261"/>
    <s v="               -"/>
    <n v="1000"/>
    <n v="1000"/>
    <m/>
    <m/>
    <m/>
    <s v="완료"/>
    <s v="D-SAW"/>
    <s v="COF(Assy_FT)"/>
    <s v="COF(Assy_FT)"/>
    <s v="기계장치"/>
    <n v="4885385.22"/>
    <n v="152668.28812499999"/>
    <n v="50889.429375"/>
    <m/>
    <m/>
    <m/>
    <m/>
    <m/>
    <m/>
    <m/>
    <n v="152668.28812499999"/>
    <n v="152668.28812499999"/>
    <n v="305336.57624999998"/>
    <n v="152668.28812499999"/>
    <n v="152668.28812499999"/>
    <n v="152668.28812499999"/>
    <n v="152668.28812499999"/>
    <n v="610673.15249999997"/>
    <n v="152668.28812499999"/>
    <n v="152668.28812499999"/>
    <n v="152668.28812499999"/>
    <n v="152668.28812499999"/>
    <n v="610673.15249999997"/>
    <n v="152668.28812499999"/>
    <n v="152668.28812499999"/>
    <n v="152668.28812499999"/>
    <n v="152668.28812499999"/>
    <n v="610673.15249999997"/>
    <m/>
    <m/>
    <m/>
    <n v="4885385.22"/>
  </r>
  <r>
    <n v="371"/>
    <x v="0"/>
    <m/>
    <s v="구용근"/>
    <s v="구미"/>
    <s v="PKG"/>
    <s v="O"/>
    <s v="8&quot;"/>
    <s v="DDI"/>
    <x v="4"/>
    <s v="COF"/>
    <x v="17"/>
    <n v="1003563"/>
    <s v="MC"/>
    <s v="PSA-19 : SAW DFD6340_DISCO"/>
    <s v="DFD6340"/>
    <x v="31"/>
    <m/>
    <s v="JT4251"/>
    <x v="0"/>
    <s v="가동"/>
    <s v="일본"/>
    <s v="Disco"/>
    <x v="2"/>
    <s v="2차"/>
    <s v="2차"/>
    <s v="해당"/>
    <s v="Wafer Sicing Saw"/>
    <s v="Wafer Sicing Saw"/>
    <m/>
    <m/>
    <s v="3B001"/>
    <s v="8486.40-0000"/>
    <s v="전략물자수출입고시"/>
    <m/>
    <d v="2012-09-04T00:00:00"/>
    <d v="2012-09-04T00:00:00"/>
    <n v="13.164383561643836"/>
    <n v="8"/>
    <s v="G1-1층"/>
    <s v="자사"/>
    <s v="미설정"/>
    <n v="3"/>
    <n v="1150"/>
    <n v="1200"/>
    <n v="2100"/>
    <n v="244269263"/>
    <m/>
    <m/>
    <m/>
    <n v="244268263"/>
    <s v="               -"/>
    <n v="1000"/>
    <n v="1000"/>
    <m/>
    <m/>
    <m/>
    <s v="완료"/>
    <s v="D-SAW"/>
    <s v="COF(Assy_FT)"/>
    <s v="COF(Assy_FT)"/>
    <s v="기계장치"/>
    <n v="4885385.26"/>
    <n v="152668.28937499999"/>
    <n v="50889.429791666662"/>
    <m/>
    <m/>
    <m/>
    <m/>
    <m/>
    <m/>
    <m/>
    <n v="152668.28937499999"/>
    <n v="152668.28937499999"/>
    <n v="305336.57874999999"/>
    <n v="152668.28937499999"/>
    <n v="152668.28937499999"/>
    <n v="152668.28937499999"/>
    <n v="152668.28937499999"/>
    <n v="610673.15749999997"/>
    <n v="152668.28937499999"/>
    <n v="152668.28937499999"/>
    <n v="152668.28937499999"/>
    <n v="152668.28937499999"/>
    <n v="610673.15749999997"/>
    <n v="152668.28937499999"/>
    <n v="152668.28937499999"/>
    <n v="152668.28937499999"/>
    <n v="152668.28937499999"/>
    <n v="610673.15749999997"/>
    <m/>
    <m/>
    <m/>
    <n v="4885385.26"/>
  </r>
  <r>
    <n v="372"/>
    <x v="0"/>
    <m/>
    <s v="구용근"/>
    <s v="구미"/>
    <s v="PKG"/>
    <s v="O"/>
    <s v="8&quot;"/>
    <s v="DDI"/>
    <x v="4"/>
    <s v="COF"/>
    <x v="17"/>
    <n v="1003564"/>
    <s v="MC"/>
    <s v="PSA-20 : SAW DFD6340_DISCO"/>
    <s v="DFD6340"/>
    <x v="31"/>
    <m/>
    <s v="JT4269"/>
    <x v="0"/>
    <s v="가동"/>
    <s v="일본"/>
    <s v="Disco"/>
    <x v="2"/>
    <s v="2차"/>
    <s v="2차"/>
    <s v="해당"/>
    <s v="Wafer Sicing Saw"/>
    <s v="Wafer Sicing Saw"/>
    <m/>
    <m/>
    <s v="3B001"/>
    <s v="8486.40-0000"/>
    <s v="전략물자수출입고시"/>
    <m/>
    <d v="2012-09-04T00:00:00"/>
    <d v="2012-09-04T00:00:00"/>
    <n v="13.164383561643836"/>
    <n v="8"/>
    <s v="G1-1층"/>
    <s v="자사"/>
    <s v="미설정"/>
    <n v="3"/>
    <n v="1150"/>
    <n v="1200"/>
    <n v="2100"/>
    <n v="244269267"/>
    <m/>
    <m/>
    <m/>
    <n v="244268267"/>
    <n v="0"/>
    <n v="1000"/>
    <n v="1000"/>
    <m/>
    <m/>
    <m/>
    <s v="완료"/>
    <s v="D-SAW"/>
    <s v="COF(Assy_FT)"/>
    <s v="COF(Assy_FT)"/>
    <s v="기계장치"/>
    <n v="4885385.34"/>
    <n v="152668.291875"/>
    <n v="50889.430625000001"/>
    <m/>
    <m/>
    <m/>
    <m/>
    <m/>
    <m/>
    <m/>
    <n v="152668.291875"/>
    <n v="152668.291875"/>
    <n v="305336.58374999999"/>
    <n v="152668.291875"/>
    <n v="152668.291875"/>
    <n v="152668.291875"/>
    <n v="152668.291875"/>
    <n v="610673.16749999998"/>
    <n v="152668.291875"/>
    <n v="152668.291875"/>
    <n v="152668.291875"/>
    <n v="152668.291875"/>
    <n v="610673.16749999998"/>
    <n v="152668.291875"/>
    <n v="152668.291875"/>
    <n v="152668.291875"/>
    <n v="152668.291875"/>
    <n v="610673.16749999998"/>
    <m/>
    <m/>
    <m/>
    <n v="4885385.34"/>
  </r>
  <r>
    <n v="373"/>
    <x v="0"/>
    <m/>
    <s v="구용근"/>
    <s v="구미"/>
    <s v="PKG"/>
    <s v="O"/>
    <s v="8&quot;&amp;12&quot;"/>
    <s v="DDI"/>
    <x v="4"/>
    <s v="COF"/>
    <x v="17"/>
    <n v="1003565"/>
    <s v="MC"/>
    <s v="PCB-10 : CO2 BUBBLER(PRCII-2000ACD-SS)_NGK"/>
    <s v="PRCⅡ-2000ACD"/>
    <x v="75"/>
    <m/>
    <m/>
    <x v="0"/>
    <s v="가동"/>
    <s v="일본"/>
    <s v="NGK 엔지니어"/>
    <x v="2"/>
    <s v="2차"/>
    <s v="2차"/>
    <s v="일반장비(비통제)"/>
    <s v="CO2 주입기"/>
    <m/>
    <m/>
    <m/>
    <s v="EAR99"/>
    <s v="8486.90-0000"/>
    <m/>
    <m/>
    <d v="2012-09-03T00:00:00"/>
    <d v="2012-09-03T00:00:00"/>
    <n v="13.167123287671233"/>
    <n v="8"/>
    <s v="G1-1층"/>
    <s v="자사"/>
    <s v="미설정"/>
    <n v="3"/>
    <n v="520"/>
    <n v="400"/>
    <n v="1150"/>
    <n v="30559022"/>
    <m/>
    <m/>
    <m/>
    <n v="30558022"/>
    <n v="0"/>
    <n v="1000"/>
    <n v="1000"/>
    <m/>
    <m/>
    <m/>
    <s v="완료"/>
    <s v="D-SAW"/>
    <s v="COF(Assy_FT)"/>
    <s v="COF(Assy_FT)"/>
    <s v="기계장치"/>
    <n v="611180.44000000006"/>
    <n v="19099.388750000002"/>
    <n v="6366.4629166666673"/>
    <m/>
    <m/>
    <m/>
    <m/>
    <m/>
    <m/>
    <m/>
    <n v="19099.388750000002"/>
    <n v="19099.388750000002"/>
    <n v="38198.777500000004"/>
    <n v="19099.388750000002"/>
    <n v="19099.388750000002"/>
    <n v="19099.388750000002"/>
    <n v="19099.388750000002"/>
    <n v="76397.555000000008"/>
    <n v="19099.388750000002"/>
    <n v="19099.388750000002"/>
    <n v="19099.388750000002"/>
    <n v="19099.388750000002"/>
    <n v="76397.555000000008"/>
    <n v="19099.388750000002"/>
    <n v="19099.388750000002"/>
    <n v="19099.388750000002"/>
    <n v="19099.388750000002"/>
    <n v="76397.555000000008"/>
    <m/>
    <m/>
    <m/>
    <n v="611180.44000000006"/>
  </r>
  <r>
    <n v="374"/>
    <x v="0"/>
    <m/>
    <s v="구용근"/>
    <s v="구미"/>
    <s v="PKG"/>
    <s v="O"/>
    <s v="8&quot;"/>
    <s v="DDI"/>
    <x v="2"/>
    <s v="Au bump"/>
    <x v="7"/>
    <n v="1003719"/>
    <s v="MC"/>
    <s v="BPT-01 : Wafer plating machine(MP-1408K-LU)"/>
    <s v="MP-1408K-LU"/>
    <x v="80"/>
    <m/>
    <s v="K908"/>
    <x v="0"/>
    <s v="가동"/>
    <s v="일본"/>
    <s v="MITOMO SEMICON"/>
    <x v="0"/>
    <s v="1차"/>
    <s v="1차"/>
    <s v="해당"/>
    <s v="bump 형성 장비"/>
    <s v="bump 형성 장비"/>
    <s v="범용"/>
    <m/>
    <s v="3B001"/>
    <s v="8486.20-0000"/>
    <s v="반도체용 웨이퍼 전용"/>
    <m/>
    <d v="2013-05-31T00:00:00"/>
    <d v="2013-05-31T00:00:00"/>
    <n v="12.427397260273972"/>
    <n v="8"/>
    <s v="G1-1층"/>
    <s v="자사"/>
    <s v="미설정"/>
    <n v="3"/>
    <n v="480"/>
    <n v="780"/>
    <n v="1510"/>
    <n v="517939697"/>
    <m/>
    <m/>
    <m/>
    <n v="517938697"/>
    <n v="3764385"/>
    <n v="1000"/>
    <n v="1000"/>
    <m/>
    <m/>
    <s v="-"/>
    <s v="완료"/>
    <s v="B-PLATING"/>
    <s v="Bump"/>
    <s v="Bump"/>
    <s v="기계장치"/>
    <n v="10358793.939999999"/>
    <n v="987490.54488214338"/>
    <n v="329163.51496071444"/>
    <m/>
    <m/>
    <m/>
    <m/>
    <m/>
    <m/>
    <m/>
    <n v="987490.54488214338"/>
    <n v="987490.54488214338"/>
    <n v="1974981.0897642868"/>
    <n v="987490.54488214338"/>
    <n v="987490.54488214338"/>
    <n v="987490.54488214338"/>
    <n v="987490.54488214338"/>
    <n v="3949962.1795285735"/>
    <n v="987490.54488214338"/>
    <n v="987490.54488214338"/>
    <n v="987490.54488214338"/>
    <n v="987490.54488214338"/>
    <n v="3949962.1795285735"/>
    <n v="987490.54488214338"/>
    <n v="987490.54488214338"/>
    <n v="987490.54488214338"/>
    <n v="987490.54488214338"/>
    <n v="3949962.1795285735"/>
    <m/>
    <n v="1.0114715950585043E-3"/>
    <n v="21240903.496228591"/>
    <n v="31599697.436228588"/>
  </r>
  <r>
    <n v="375"/>
    <x v="0"/>
    <s v="v"/>
    <s v="구용근"/>
    <s v="구미"/>
    <s v="PKG"/>
    <s v="O"/>
    <s v="8&quot;&amp;12&quot;"/>
    <s v="DDI"/>
    <x v="4"/>
    <s v="COF"/>
    <x v="17"/>
    <n v="1003843"/>
    <s v="MC"/>
    <s v="PSA-14 : FULLY AUTOMATIC DICING SAW (DFD6560)"/>
    <s v="DFD6560"/>
    <x v="31"/>
    <m/>
    <s v="PU1036"/>
    <x v="0"/>
    <s v="비가동"/>
    <s v="일본"/>
    <s v="Disco"/>
    <x v="1"/>
    <s v="3차"/>
    <s v="3차"/>
    <s v="해당"/>
    <s v="Wafer Sicing Saw"/>
    <s v="Wafer Sicing Saw"/>
    <m/>
    <m/>
    <s v="3B001"/>
    <s v="8486.40-0000"/>
    <s v="전략물자수출입고시"/>
    <m/>
    <d v="2013-05-31T00:00:00"/>
    <d v="2013-05-31T00:00:00"/>
    <n v="12.427397260273972"/>
    <n v="8"/>
    <s v="2공장 운휴 Room"/>
    <s v="자사"/>
    <s v="미설정"/>
    <n v="3"/>
    <n v="1240"/>
    <n v="1550"/>
    <n v="1960"/>
    <n v="219067752"/>
    <m/>
    <m/>
    <m/>
    <n v="219066752"/>
    <n v="0"/>
    <n v="1000"/>
    <n v="1000"/>
    <m/>
    <m/>
    <m/>
    <s v="완료"/>
    <s v="D-SAW"/>
    <s v="COF(Assy_FT)"/>
    <s v="COF(Assy_FT)"/>
    <s v="기계장치"/>
    <n v="4381355.04"/>
    <n v="417668.95845518913"/>
    <n v="139222.98615172971"/>
    <m/>
    <m/>
    <n v="417668.95845518913"/>
    <n v="417668.95845518913"/>
    <n v="835337.91691037826"/>
    <n v="417668.95845518913"/>
    <n v="417668.95845518913"/>
    <n v="417668.95845518913"/>
    <n v="417668.95845518913"/>
    <n v="1670675.8338207565"/>
    <n v="417668.95845518913"/>
    <n v="417668.95845518913"/>
    <n v="417668.95845518913"/>
    <n v="417668.95845518913"/>
    <n v="1670675.8338207565"/>
    <n v="417668.95845518913"/>
    <n v="417668.95845518913"/>
    <n v="417668.95845518913"/>
    <n v="417668.95845518913"/>
    <n v="1670675.8338207565"/>
    <n v="417668.95845518913"/>
    <n v="417668.95845518913"/>
    <n v="417668.95845518913"/>
    <n v="417668.95845518913"/>
    <n v="1670675.8338207565"/>
    <m/>
    <n v="4.278119824079073E-4"/>
    <n v="8984051.6305660531"/>
    <n v="13365406.670566052"/>
  </r>
  <r>
    <n v="376"/>
    <x v="0"/>
    <m/>
    <s v="구용근"/>
    <s v="구미"/>
    <s v="PKG"/>
    <s v="O"/>
    <s v="8&quot;"/>
    <s v="DDI"/>
    <x v="2"/>
    <s v="Au bump"/>
    <x v="7"/>
    <n v="1003902"/>
    <s v="MC"/>
    <s v="BPT-02 : Wafer Plating Machine(MP-1408K-LU)"/>
    <s v="MP-1408K-LU"/>
    <x v="80"/>
    <m/>
    <s v="K909"/>
    <x v="0"/>
    <s v="가동"/>
    <s v="일본"/>
    <s v="MITOMO SEMICON"/>
    <x v="2"/>
    <s v="1차"/>
    <s v="1차"/>
    <s v="해당"/>
    <s v="bump 형성 장비"/>
    <s v="bump 형성 장비"/>
    <s v="범용"/>
    <m/>
    <s v="3B001"/>
    <s v="8486.20-0000"/>
    <s v="반도체용 웨이퍼 전용"/>
    <m/>
    <d v="2013-06-07T00:00:00"/>
    <d v="2013-06-07T00:00:00"/>
    <n v="12.408219178082192"/>
    <n v="8"/>
    <s v="G1-1층"/>
    <s v="자사"/>
    <s v="미설정"/>
    <n v="3"/>
    <n v="480"/>
    <n v="780"/>
    <n v="1510"/>
    <n v="483656970"/>
    <m/>
    <m/>
    <m/>
    <n v="483655970"/>
    <n v="4835721"/>
    <n v="1000"/>
    <n v="1000"/>
    <m/>
    <m/>
    <s v="-"/>
    <s v="완료"/>
    <s v="B-PLATING"/>
    <s v="Bump"/>
    <s v="Bump"/>
    <s v="기계장치"/>
    <n v="9673139.4000000004"/>
    <n v="302285.60625000001"/>
    <n v="100761.86875000001"/>
    <m/>
    <m/>
    <m/>
    <m/>
    <m/>
    <m/>
    <m/>
    <n v="302285.60625000001"/>
    <n v="302285.60625000001"/>
    <n v="604571.21250000002"/>
    <n v="302285.60625000001"/>
    <n v="302285.60625000001"/>
    <n v="302285.60625000001"/>
    <n v="302285.60625000001"/>
    <n v="1209142.425"/>
    <n v="302285.60625000001"/>
    <n v="302285.60625000001"/>
    <n v="302285.60625000001"/>
    <n v="302285.60625000001"/>
    <n v="1209142.425"/>
    <n v="302285.60625000001"/>
    <n v="302285.60625000001"/>
    <n v="302285.60625000001"/>
    <n v="302285.60625000001"/>
    <n v="1209142.425"/>
    <m/>
    <m/>
    <m/>
    <n v="9673139.4000000004"/>
  </r>
  <r>
    <n v="377"/>
    <x v="0"/>
    <m/>
    <s v="구용근"/>
    <s v="구미"/>
    <s v="PKG"/>
    <s v="O"/>
    <s v="8&quot;&amp;12&quot;"/>
    <s v="DDI"/>
    <x v="4"/>
    <s v="COF"/>
    <x v="29"/>
    <n v="1003908"/>
    <s v="MC"/>
    <s v="PUV-04 : Auto UV조사기(CUUVA-120)(=MPUV-04)"/>
    <s v="CUUVA-120"/>
    <x v="81"/>
    <m/>
    <s v="CU13143"/>
    <x v="166"/>
    <s v="가동"/>
    <s v="한국"/>
    <s v="Cuon"/>
    <x v="2"/>
    <s v="1차"/>
    <s v="1차"/>
    <s v="일반장비(비통제)"/>
    <s v="다이싱 후 테이프 보호막 제거"/>
    <s v="다이싱 후 테이프 보호막 제거"/>
    <m/>
    <m/>
    <s v="EAR99"/>
    <s v="8419.90-0000"/>
    <m/>
    <m/>
    <d v="2013-06-04T00:00:00"/>
    <d v="2013-06-04T00:00:00"/>
    <n v="12.416438356164383"/>
    <n v="8"/>
    <s v="G1-1층"/>
    <s v="자사"/>
    <s v="미설정"/>
    <n v="3"/>
    <n v="1650"/>
    <n v="1580"/>
    <n v="1440"/>
    <n v="73000000"/>
    <m/>
    <m/>
    <m/>
    <n v="72999000"/>
    <n v="0"/>
    <n v="1000"/>
    <n v="1000"/>
    <m/>
    <m/>
    <m/>
    <s v="완료"/>
    <s v="D-SAW"/>
    <s v="COF(Assy_FT)"/>
    <s v="COF(Assy_FT)"/>
    <s v="기계장치"/>
    <n v="1460000"/>
    <n v="45625"/>
    <n v="15208.333333333334"/>
    <m/>
    <m/>
    <m/>
    <m/>
    <m/>
    <m/>
    <m/>
    <n v="45625"/>
    <n v="45625"/>
    <n v="91250"/>
    <n v="45625"/>
    <n v="45625"/>
    <n v="45625"/>
    <n v="45625"/>
    <n v="182500"/>
    <n v="45625"/>
    <n v="45625"/>
    <n v="45625"/>
    <n v="45625"/>
    <n v="182500"/>
    <n v="45625"/>
    <n v="45625"/>
    <n v="45625"/>
    <n v="45625"/>
    <n v="182500"/>
    <m/>
    <m/>
    <m/>
    <n v="1460000"/>
  </r>
  <r>
    <n v="378"/>
    <x v="0"/>
    <m/>
    <s v="구용근"/>
    <s v="구미"/>
    <s v="PKG"/>
    <s v="O"/>
    <s v="8&quot;&amp;12&quot;"/>
    <s v="DDI"/>
    <x v="4"/>
    <s v="COF"/>
    <x v="17"/>
    <n v="1004567"/>
    <s v="MC"/>
    <s v="PCB-05 : CO2 BUBBLER(PRCII-2000ACD-SS)_NGK"/>
    <s v="PRCⅡ-2000ACD"/>
    <x v="75"/>
    <m/>
    <s v="DR14-3142"/>
    <x v="0"/>
    <s v="가동"/>
    <s v="일본"/>
    <s v="NOMURA"/>
    <x v="2"/>
    <s v="2차"/>
    <s v="2차"/>
    <s v="일반장비(비통제)"/>
    <s v="CO2 주입기"/>
    <m/>
    <m/>
    <m/>
    <s v="EAR99"/>
    <s v="8486.90-0000"/>
    <m/>
    <m/>
    <d v="2015-04-25T00:00:00"/>
    <d v="2015-04-25T00:00:00"/>
    <n v="10.526027397260274"/>
    <n v="8"/>
    <s v="G1-1층"/>
    <s v="자사"/>
    <s v="미설정"/>
    <n v="3"/>
    <n v="520"/>
    <n v="400"/>
    <n v="1150"/>
    <n v="19047181"/>
    <m/>
    <m/>
    <m/>
    <n v="19046181"/>
    <n v="83591"/>
    <n v="1000"/>
    <n v="1000"/>
    <m/>
    <m/>
    <m/>
    <s v="완료"/>
    <s v="D-SAW"/>
    <s v="COF(Assy_FT)"/>
    <s v="COF(Assy_FT)"/>
    <s v="기계장치"/>
    <n v="380943.62"/>
    <n v="11904.488125"/>
    <n v="3968.1627083333333"/>
    <m/>
    <m/>
    <m/>
    <m/>
    <m/>
    <m/>
    <m/>
    <n v="11904.488125"/>
    <n v="11904.488125"/>
    <n v="23808.97625"/>
    <n v="11904.488125"/>
    <n v="11904.488125"/>
    <n v="11904.488125"/>
    <n v="11904.488125"/>
    <n v="47617.952499999999"/>
    <n v="11904.488125"/>
    <n v="11904.488125"/>
    <n v="11904.488125"/>
    <n v="11904.488125"/>
    <n v="47617.952499999999"/>
    <n v="11904.488125"/>
    <n v="11904.488125"/>
    <n v="11904.488125"/>
    <n v="11904.488125"/>
    <n v="47617.952499999999"/>
    <m/>
    <m/>
    <m/>
    <n v="380943.62"/>
  </r>
  <r>
    <n v="379"/>
    <x v="0"/>
    <m/>
    <s v="구용근"/>
    <s v="구미"/>
    <s v="PKG"/>
    <s v="O"/>
    <s v="8&quot;"/>
    <s v="DDI"/>
    <x v="4"/>
    <s v="COF"/>
    <x v="32"/>
    <n v="1001453"/>
    <s v="MC"/>
    <s v="PIL-46 : TFC-3200(SHIBAURA)"/>
    <s v="TFC-3200"/>
    <x v="79"/>
    <s v="2세대"/>
    <s v="D179"/>
    <x v="167"/>
    <s v="가동"/>
    <s v="일본"/>
    <s v="Shibaura"/>
    <x v="1"/>
    <s v="1차"/>
    <s v="1차"/>
    <s v="해당"/>
    <s v="칩 본딩 장비"/>
    <s v="칩 본딩 장비"/>
    <m/>
    <m/>
    <s v="3B991"/>
    <s v="8486.40-0000"/>
    <s v="반도체 제조 공정용"/>
    <m/>
    <d v="2009-06-09T00:00:00"/>
    <d v="2009-06-09T00:00:00"/>
    <n v="16.405479452054795"/>
    <n v="8"/>
    <s v="G1-1층"/>
    <s v="자사"/>
    <s v="미설정"/>
    <n v="3"/>
    <n v="2700"/>
    <n v="1500"/>
    <n v="2030"/>
    <n v="359102263"/>
    <m/>
    <m/>
    <m/>
    <n v="359101263"/>
    <n v="556106"/>
    <n v="1000"/>
    <n v="1000"/>
    <m/>
    <m/>
    <m/>
    <s v="완료"/>
    <s v="D-ILB"/>
    <s v="COF(Assy_FT)"/>
    <s v="COF(Assy_FT)"/>
    <s v="기계장치"/>
    <n v="7182045.2599999998"/>
    <n v="684655.16625245428"/>
    <n v="228218.38875081809"/>
    <m/>
    <m/>
    <n v="684655.16625245428"/>
    <n v="684655.16625245428"/>
    <n v="1369310.3325049086"/>
    <n v="684655.16625245428"/>
    <n v="684655.16625245428"/>
    <n v="684655.16625245428"/>
    <n v="684655.16625245428"/>
    <n v="2738620.6650098171"/>
    <n v="684655.16625245428"/>
    <n v="684655.16625245428"/>
    <n v="684655.16625245428"/>
    <n v="684655.16625245428"/>
    <n v="2738620.6650098171"/>
    <n v="684655.16625245428"/>
    <n v="684655.16625245428"/>
    <n v="684655.16625245428"/>
    <n v="684655.16625245428"/>
    <n v="2738620.6650098171"/>
    <n v="684655.16625245428"/>
    <n v="684655.16625245428"/>
    <n v="684655.16625245428"/>
    <n v="684655.16625245428"/>
    <n v="2738620.6650098171"/>
    <m/>
    <n v="7.0128190762278736E-4"/>
    <n v="14726920.060078535"/>
    <n v="21908965.320078537"/>
  </r>
  <r>
    <n v="380"/>
    <x v="0"/>
    <m/>
    <s v="구용근"/>
    <s v="구미"/>
    <s v="PKG"/>
    <s v="O"/>
    <s v="8&quot;"/>
    <s v="DDI"/>
    <x v="4"/>
    <s v="COF"/>
    <x v="32"/>
    <n v="1001496"/>
    <s v="MC"/>
    <s v="PIL-47 : LTB-4100(TOP)"/>
    <s v="LTB-4100"/>
    <x v="78"/>
    <s v="2세대"/>
    <n v="9071502"/>
    <x v="167"/>
    <s v="가동"/>
    <s v="한국"/>
    <s v="TOP ENG"/>
    <x v="1"/>
    <s v="1차"/>
    <s v="1차"/>
    <s v="해당"/>
    <s v="COF 본딩"/>
    <s v="COF 본딩"/>
    <m/>
    <m/>
    <s v="3B991"/>
    <s v="8486.20-0000"/>
    <s v="반도체제조장비"/>
    <m/>
    <d v="2009-07-30T00:00:00"/>
    <d v="2009-07-30T00:00:00"/>
    <n v="16.265753424657536"/>
    <n v="8"/>
    <s v="G1-1층"/>
    <s v="자사"/>
    <s v="미설정"/>
    <n v="3"/>
    <n v="3000"/>
    <n v="1400"/>
    <n v="2050"/>
    <n v="263000000"/>
    <m/>
    <m/>
    <m/>
    <n v="262999000"/>
    <n v="1083336"/>
    <n v="1000"/>
    <n v="1000"/>
    <m/>
    <m/>
    <m/>
    <s v="완료"/>
    <s v="D-ILB"/>
    <s v="COF(Assy_FT)"/>
    <s v="COF(Assy_FT)"/>
    <s v="기계장치"/>
    <n v="5260000"/>
    <n v="501429.05594664958"/>
    <n v="167143.01864888318"/>
    <m/>
    <m/>
    <n v="501429.05594664952"/>
    <n v="501429.05594664952"/>
    <n v="1002858.111893299"/>
    <n v="501429.05594664952"/>
    <n v="501429.05594664952"/>
    <n v="501429.05594664952"/>
    <n v="501429.05594664952"/>
    <n v="2005716.2237865981"/>
    <n v="501429.05594664952"/>
    <n v="501429.05594664952"/>
    <n v="501429.05594664952"/>
    <n v="501429.05594664952"/>
    <n v="2005716.2237865981"/>
    <n v="501429.05594664952"/>
    <n v="501429.05594664952"/>
    <n v="501429.05594664952"/>
    <n v="501429.05594664952"/>
    <n v="2005716.2237865981"/>
    <n v="501429.05594664952"/>
    <n v="501429.05594664952"/>
    <n v="501429.05594664952"/>
    <n v="501429.05594664952"/>
    <n v="2005716.2237865981"/>
    <m/>
    <n v="5.1360618049013272E-4"/>
    <n v="10785729.790292786"/>
    <n v="16045729.790292786"/>
  </r>
  <r>
    <n v="381"/>
    <x v="0"/>
    <m/>
    <s v="구용근"/>
    <s v="구미"/>
    <s v="PKG"/>
    <s v="O"/>
    <s v="8&quot;"/>
    <s v="DDI"/>
    <x v="4"/>
    <s v="COF"/>
    <x v="32"/>
    <n v="1001542"/>
    <s v="MC"/>
    <s v="PIL-48 : COF-1000(SHINKAWA)"/>
    <s v="COF-1000"/>
    <x v="74"/>
    <s v="2세대"/>
    <m/>
    <x v="167"/>
    <s v="가동"/>
    <s v="일본"/>
    <s v="Shinkawa"/>
    <x v="1"/>
    <s v="1차"/>
    <s v="1차"/>
    <s v="해당"/>
    <s v="COF 본딩"/>
    <s v="COF 본딩"/>
    <m/>
    <m/>
    <s v="3B991"/>
    <s v="8486.20-0000"/>
    <s v="반도체제조장비"/>
    <m/>
    <d v="2009-09-08T00:00:00"/>
    <d v="2009-09-08T00:00:00"/>
    <n v="16.156164383561645"/>
    <n v="8"/>
    <s v="G1-1층"/>
    <s v="자사"/>
    <s v="미설정"/>
    <n v="3"/>
    <n v="2500"/>
    <n v="1400"/>
    <n v="1980"/>
    <n v="426687811"/>
    <m/>
    <m/>
    <m/>
    <n v="426686811"/>
    <n v="921340"/>
    <n v="1000"/>
    <n v="1000"/>
    <m/>
    <m/>
    <m/>
    <s v="완료"/>
    <s v="D-ILB"/>
    <s v="COF(Assy_FT)"/>
    <s v="COF(Assy_FT)"/>
    <s v="기계장치"/>
    <n v="8533756.2200000007"/>
    <n v="813512.03898734762"/>
    <n v="271170.67966244923"/>
    <m/>
    <m/>
    <n v="813512.03898734762"/>
    <n v="813512.03898734762"/>
    <n v="1627024.0779746952"/>
    <n v="813512.03898734762"/>
    <n v="813512.03898734762"/>
    <n v="813512.03898734762"/>
    <n v="813512.03898734762"/>
    <n v="3254048.1559493905"/>
    <n v="813512.03898734762"/>
    <n v="813512.03898734762"/>
    <n v="813512.03898734762"/>
    <n v="813512.03898734762"/>
    <n v="3254048.1559493905"/>
    <n v="813512.03898734762"/>
    <n v="813512.03898734762"/>
    <n v="813512.03898734762"/>
    <n v="813512.03898734762"/>
    <n v="3254048.1559493905"/>
    <n v="813512.03898734762"/>
    <n v="813512.03898734762"/>
    <n v="813512.03898734762"/>
    <n v="813512.03898734762"/>
    <n v="3254048.1559493905"/>
    <m/>
    <n v="8.3326804893310124E-4"/>
    <n v="17498629.027595125"/>
    <n v="26032385.247595124"/>
  </r>
  <r>
    <n v="382"/>
    <x v="0"/>
    <m/>
    <s v="구용근"/>
    <s v="구미"/>
    <s v="PKG"/>
    <s v="O"/>
    <s v="8&quot;"/>
    <s v="DDI"/>
    <x v="4"/>
    <s v="COF"/>
    <x v="32"/>
    <n v="1001543"/>
    <s v="MC"/>
    <s v="PIL-49 : COF-1000(SHINKAWA)"/>
    <s v="COF-1000"/>
    <x v="74"/>
    <s v="2세대"/>
    <m/>
    <x v="167"/>
    <s v="가동"/>
    <s v="일본"/>
    <s v="Shinkawa"/>
    <x v="1"/>
    <s v="1차"/>
    <s v="1차"/>
    <s v="해당"/>
    <s v="COF 본딩"/>
    <s v="COF 본딩"/>
    <m/>
    <m/>
    <s v="3B991"/>
    <s v="8486.20-0000"/>
    <s v="반도체제조장비"/>
    <m/>
    <d v="2009-09-08T00:00:00"/>
    <d v="2009-09-08T00:00:00"/>
    <n v="16.156164383561645"/>
    <n v="8"/>
    <s v="G1-1층"/>
    <s v="자사"/>
    <s v="미설정"/>
    <n v="3"/>
    <n v="2500"/>
    <n v="1400"/>
    <n v="1980"/>
    <n v="407987810"/>
    <m/>
    <m/>
    <m/>
    <n v="407986810"/>
    <n v="1750635"/>
    <n v="1000"/>
    <n v="1000"/>
    <m/>
    <m/>
    <m/>
    <s v="완료"/>
    <s v="D-ILB"/>
    <s v="COF(Assy_FT)"/>
    <s v="COF(Assy_FT)"/>
    <s v="기계장치"/>
    <n v="8159756.2000000002"/>
    <n v="777859.09660091647"/>
    <n v="259286.36553363883"/>
    <m/>
    <m/>
    <n v="777859.09660091647"/>
    <n v="777859.09660091647"/>
    <n v="1555718.1932018329"/>
    <n v="777859.09660091647"/>
    <n v="777859.09660091647"/>
    <n v="777859.09660091647"/>
    <n v="777859.09660091647"/>
    <n v="3111436.3864036659"/>
    <n v="777859.09660091647"/>
    <n v="777859.09660091647"/>
    <n v="777859.09660091647"/>
    <n v="777859.09660091647"/>
    <n v="3111436.3864036659"/>
    <n v="777859.09660091647"/>
    <n v="777859.09660091647"/>
    <n v="777859.09660091647"/>
    <n v="777859.09660091647"/>
    <n v="3111436.3864036659"/>
    <n v="777859.09660091647"/>
    <n v="777859.09660091647"/>
    <n v="777859.09660091647"/>
    <n v="777859.09660091647"/>
    <n v="3111436.3864036659"/>
    <m/>
    <n v="7.9674928053472991E-4"/>
    <n v="16731734.891229328"/>
    <n v="24891491.091229327"/>
  </r>
  <r>
    <n v="383"/>
    <x v="0"/>
    <m/>
    <s v="구용근"/>
    <s v="구미"/>
    <s v="PKG"/>
    <s v="O"/>
    <s v="8&quot;"/>
    <s v="DDI"/>
    <x v="4"/>
    <s v="COF"/>
    <x v="32"/>
    <n v="1001902"/>
    <s v="MC"/>
    <s v="PIL-50 : LTB-4100(TOP)"/>
    <s v="LTB-4100"/>
    <x v="78"/>
    <s v="2세대"/>
    <n v="10021604"/>
    <x v="167"/>
    <s v="가동"/>
    <s v="한국"/>
    <s v="TOP ENG"/>
    <x v="1"/>
    <s v="2차"/>
    <s v="2차"/>
    <s v="해당"/>
    <s v="COF 본딩"/>
    <s v="COF 본딩"/>
    <m/>
    <m/>
    <s v="3B991"/>
    <s v="8486.20-0000"/>
    <s v="반도체제조장비"/>
    <m/>
    <d v="2010-02-22T00:00:00"/>
    <d v="2010-02-22T00:00:00"/>
    <n v="15.698630136986301"/>
    <n v="8"/>
    <s v="G1-1층"/>
    <s v="자사"/>
    <s v="미설정"/>
    <n v="3"/>
    <n v="3000"/>
    <n v="1400"/>
    <n v="2050"/>
    <n v="253040000"/>
    <m/>
    <m/>
    <m/>
    <n v="253039000"/>
    <n v="1913336"/>
    <n v="1000"/>
    <n v="1000"/>
    <m/>
    <m/>
    <m/>
    <s v="완료"/>
    <s v="D-ILB"/>
    <s v="COF(Assy_FT)"/>
    <s v="COF(Assy_FT)"/>
    <s v="기계장치"/>
    <n v="5060800"/>
    <n v="482439.57534882211"/>
    <n v="160813.1917829407"/>
    <m/>
    <m/>
    <n v="482439.57534882211"/>
    <n v="482439.57534882211"/>
    <n v="964879.15069764422"/>
    <n v="482439.57534882211"/>
    <n v="482439.57534882211"/>
    <n v="482439.57534882211"/>
    <n v="482439.57534882211"/>
    <n v="1929758.3013952884"/>
    <n v="482439.57534882211"/>
    <n v="482439.57534882211"/>
    <n v="482439.57534882211"/>
    <n v="482439.57534882211"/>
    <n v="1929758.3013952884"/>
    <n v="482439.57534882211"/>
    <n v="482439.57534882211"/>
    <n v="482439.57534882211"/>
    <n v="482439.57534882211"/>
    <n v="1929758.3013952884"/>
    <n v="482439.57534882211"/>
    <n v="482439.57534882211"/>
    <n v="482439.57534882211"/>
    <n v="482439.57534882211"/>
    <n v="1929758.3013952884"/>
    <m/>
    <n v="4.941555433886813E-4"/>
    <n v="10377266.411162307"/>
    <n v="15438066.411162307"/>
  </r>
  <r>
    <n v="384"/>
    <x v="0"/>
    <m/>
    <s v="구용근"/>
    <s v="구미"/>
    <s v="PKG"/>
    <s v="O"/>
    <s v="8&quot;&amp;12&quot;"/>
    <s v="DDI"/>
    <x v="4"/>
    <s v="COF"/>
    <x v="31"/>
    <n v="1005102"/>
    <s v="MC"/>
    <s v="PPT-36 : Potting System 4Head(쎄크)"/>
    <s v="TCP-435A"/>
    <x v="82"/>
    <m/>
    <s v="TCP-435A-2017001"/>
    <x v="0"/>
    <s v="가동"/>
    <s v="한국"/>
    <s v="SEC"/>
    <x v="0"/>
    <s v="3차"/>
    <s v="3차"/>
    <s v="일반장비(비통제)"/>
    <s v="에폭시 도포기"/>
    <m/>
    <m/>
    <m/>
    <s v="EAR99"/>
    <s v="8486.40-0000"/>
    <m/>
    <m/>
    <d v="2017-07-21T00:00:00"/>
    <d v="2017-07-21T00:00:00"/>
    <n v="8.2849315068493148"/>
    <n v="8"/>
    <s v="G1-1층"/>
    <s v="자사"/>
    <s v="설정"/>
    <n v="3"/>
    <n v="7100"/>
    <n v="820"/>
    <n v="1860"/>
    <n v="329590000"/>
    <m/>
    <m/>
    <m/>
    <n v="311775050"/>
    <n v="3185038"/>
    <n v="8259836"/>
    <n v="1000"/>
    <m/>
    <m/>
    <n v="5.5933241612815925"/>
    <s v="미완료"/>
    <s v="D-POT"/>
    <s v="COF(Assy_FT)"/>
    <s v="COF(Assy_FT)"/>
    <s v="기계장치"/>
    <n v="8672827.8000000007"/>
    <n v="826769.5543995928"/>
    <n v="275589.85146653093"/>
    <m/>
    <m/>
    <m/>
    <m/>
    <m/>
    <m/>
    <m/>
    <n v="826769.5543995928"/>
    <n v="826769.5543995928"/>
    <n v="1653539.1087991856"/>
    <n v="826769.5543995928"/>
    <n v="826769.5543995928"/>
    <n v="826769.5543995928"/>
    <n v="826769.5543995928"/>
    <n v="3307078.2175983712"/>
    <n v="826769.5543995928"/>
    <n v="826769.5543995928"/>
    <n v="826769.5543995928"/>
    <n v="826769.5543995928"/>
    <n v="3307078.2175983712"/>
    <n v="826769.5543995928"/>
    <n v="826769.5543995928"/>
    <n v="826769.5543995928"/>
    <n v="826769.5543995928"/>
    <n v="3307078.2175983712"/>
    <m/>
    <n v="8.468475209898556E-4"/>
    <n v="17783797.940786969"/>
    <n v="26456625.74078697"/>
  </r>
  <r>
    <n v="385"/>
    <x v="0"/>
    <m/>
    <s v="구용근"/>
    <s v="구미"/>
    <s v="PKG"/>
    <s v="O"/>
    <s v="8&quot;&amp;12&quot;"/>
    <s v="DDI"/>
    <x v="4"/>
    <s v="COF"/>
    <x v="31"/>
    <n v="1005103"/>
    <s v="MC"/>
    <s v="PPT-37 : Potting System 4Head(쎄크)"/>
    <s v="TCP-435A"/>
    <x v="82"/>
    <m/>
    <s v="TCP-435A-2017002"/>
    <x v="0"/>
    <s v="가동"/>
    <s v="한국"/>
    <s v="SEC"/>
    <x v="0"/>
    <s v="1차"/>
    <s v="1차"/>
    <s v="일반장비(비통제)"/>
    <s v="에폭시 도포기"/>
    <m/>
    <m/>
    <m/>
    <s v="EAR99"/>
    <s v="8486.40-0000"/>
    <m/>
    <m/>
    <d v="2017-07-21T00:00:00"/>
    <d v="2017-07-21T00:00:00"/>
    <n v="8.2849315068493148"/>
    <n v="8"/>
    <s v="G1-1층"/>
    <s v="자사"/>
    <s v="설정"/>
    <n v="3"/>
    <n v="7100"/>
    <n v="820"/>
    <n v="1860"/>
    <n v="263300000"/>
    <m/>
    <m/>
    <m/>
    <n v="263299000"/>
    <n v="310403"/>
    <n v="1000"/>
    <n v="1000"/>
    <m/>
    <m/>
    <m/>
    <s v="완료"/>
    <s v="D-POT"/>
    <s v="COF(Assy_FT)"/>
    <s v="COF(Assy_FT)"/>
    <s v="기계장치"/>
    <n v="5266000"/>
    <n v="502001.02825381304"/>
    <n v="167333.67608460435"/>
    <m/>
    <m/>
    <m/>
    <m/>
    <m/>
    <m/>
    <m/>
    <n v="502001.02825381304"/>
    <n v="502001.02825381304"/>
    <n v="1004002.0565076261"/>
    <n v="502001.02825381304"/>
    <n v="502001.02825381304"/>
    <n v="502001.02825381304"/>
    <n v="502001.02825381304"/>
    <n v="2008004.1130152522"/>
    <n v="502001.02825381304"/>
    <n v="502001.02825381304"/>
    <n v="502001.02825381304"/>
    <n v="502001.02825381304"/>
    <n v="2008004.1130152522"/>
    <n v="502001.02825381304"/>
    <n v="502001.02825381304"/>
    <n v="502001.02825381304"/>
    <n v="502001.02825381304"/>
    <n v="2008004.1130152522"/>
    <m/>
    <n v="5.1419204305342943E-4"/>
    <n v="10798032.904122017"/>
    <n v="16064032.904122017"/>
  </r>
  <r>
    <n v="386"/>
    <x v="0"/>
    <m/>
    <s v="구용근"/>
    <s v="구미"/>
    <s v="PKG"/>
    <s v="O"/>
    <s v="8&quot;&amp;12&quot;"/>
    <s v="DDI"/>
    <x v="4"/>
    <s v="COF"/>
    <x v="31"/>
    <n v="1005104"/>
    <s v="MC"/>
    <s v="PPT-38 : Potting System 4Head(쎄크)"/>
    <s v="TCP-435A"/>
    <x v="82"/>
    <m/>
    <s v="TCP-435A-2017003"/>
    <x v="0"/>
    <s v="가동"/>
    <s v="한국"/>
    <s v="SEC"/>
    <x v="0"/>
    <s v="1차"/>
    <s v="1차"/>
    <s v="일반장비(비통제)"/>
    <s v="에폭시 도포기"/>
    <m/>
    <m/>
    <m/>
    <s v="EAR99"/>
    <s v="8486.40-0000"/>
    <m/>
    <m/>
    <d v="2017-07-21T00:00:00"/>
    <d v="2017-07-21T00:00:00"/>
    <n v="8.2849315068493148"/>
    <n v="8"/>
    <s v="G1-1층"/>
    <s v="자사"/>
    <s v="설정"/>
    <n v="3"/>
    <n v="7100"/>
    <n v="820"/>
    <n v="1860"/>
    <n v="262000000"/>
    <m/>
    <m/>
    <m/>
    <n v="261999000"/>
    <n v="2480032"/>
    <n v="1000"/>
    <n v="1000"/>
    <m/>
    <m/>
    <m/>
    <s v="완료"/>
    <s v="D-POT"/>
    <s v="COF(Assy_FT)"/>
    <s v="COF(Assy_FT)"/>
    <s v="기계장치"/>
    <n v="5240000"/>
    <n v="499522.48158943799"/>
    <n v="166507.493863146"/>
    <m/>
    <m/>
    <m/>
    <m/>
    <m/>
    <m/>
    <m/>
    <n v="499522.48158943799"/>
    <n v="499522.48158943799"/>
    <n v="999044.96317887597"/>
    <n v="499522.48158943799"/>
    <n v="499522.48158943799"/>
    <n v="499522.48158943799"/>
    <n v="499522.48158943799"/>
    <n v="1998089.9263577519"/>
    <n v="499522.48158943799"/>
    <n v="499522.48158943799"/>
    <n v="499522.48158943799"/>
    <n v="499522.48158943799"/>
    <n v="1998089.9263577519"/>
    <n v="499522.48158943799"/>
    <n v="499522.48158943799"/>
    <n v="499522.48158943799"/>
    <n v="499522.48158943799"/>
    <n v="1998089.9263577519"/>
    <m/>
    <n v="5.1165330527914359E-4"/>
    <n v="10744719.410862016"/>
    <n v="15984719.410862016"/>
  </r>
  <r>
    <n v="387"/>
    <x v="0"/>
    <m/>
    <s v="구용근"/>
    <s v="구미"/>
    <s v="PKG"/>
    <s v="O"/>
    <s v="8&quot;"/>
    <s v="DDI"/>
    <x v="4"/>
    <s v="COF"/>
    <x v="32"/>
    <n v="1002187"/>
    <s v="MC"/>
    <s v="PIL-51 : LTB-4100(TOP)"/>
    <s v="LTB-4100"/>
    <x v="78"/>
    <s v="2세대"/>
    <n v="10051705"/>
    <x v="167"/>
    <s v="가동"/>
    <s v="한국"/>
    <s v="TOP ENG"/>
    <x v="1"/>
    <s v="2차"/>
    <s v="2차"/>
    <s v="해당"/>
    <s v="COF 본딩"/>
    <s v="COF 본딩"/>
    <m/>
    <m/>
    <s v="3B991"/>
    <s v="8486.20-0000"/>
    <s v="반도체제조장비"/>
    <m/>
    <d v="2010-05-31T00:00:00"/>
    <d v="2010-05-31T00:00:00"/>
    <n v="15.43013698630137"/>
    <n v="8"/>
    <s v="G1-1층"/>
    <s v="자사"/>
    <s v="미설정"/>
    <n v="3"/>
    <n v="3000"/>
    <n v="1400"/>
    <n v="2050"/>
    <n v="255063333"/>
    <m/>
    <m/>
    <m/>
    <n v="255062333"/>
    <n v="1391873"/>
    <n v="1000"/>
    <n v="1000"/>
    <m/>
    <m/>
    <m/>
    <s v="완료"/>
    <s v="D-ILB"/>
    <s v="COF(Assy_FT)"/>
    <s v="COF(Assy_FT)"/>
    <s v="기계장치"/>
    <n v="5101266.66"/>
    <n v="486297.2101627221"/>
    <n v="162099.0700542407"/>
    <m/>
    <m/>
    <n v="486297.2101627221"/>
    <n v="486297.2101627221"/>
    <n v="972594.4203254442"/>
    <n v="486297.2101627221"/>
    <n v="486297.2101627221"/>
    <n v="486297.2101627221"/>
    <n v="486297.2101627221"/>
    <n v="1945188.8406508884"/>
    <n v="486297.2101627221"/>
    <n v="486297.2101627221"/>
    <n v="486297.2101627221"/>
    <n v="486297.2101627221"/>
    <n v="1945188.8406508884"/>
    <n v="486297.2101627221"/>
    <n v="486297.2101627221"/>
    <n v="486297.2101627221"/>
    <n v="486297.2101627221"/>
    <n v="1945188.8406508884"/>
    <n v="486297.2101627221"/>
    <n v="486297.2101627221"/>
    <n v="486297.2101627221"/>
    <n v="486297.2101627221"/>
    <n v="1945188.8406508884"/>
    <m/>
    <n v="4.9810686024795751E-4"/>
    <n v="10460244.065207107"/>
    <n v="15561510.725207107"/>
  </r>
  <r>
    <n v="388"/>
    <x v="0"/>
    <m/>
    <s v="구용근"/>
    <s v="구미"/>
    <s v="PKG"/>
    <s v="O"/>
    <s v="8&quot;&amp;12&quot;"/>
    <s v="DDI"/>
    <x v="4"/>
    <s v="COF"/>
    <x v="17"/>
    <n v="1005111"/>
    <s v="MC"/>
    <s v="PSA-15 : DFD6560_Dicing SAW_DISCO"/>
    <s v="DFD6560"/>
    <x v="31"/>
    <m/>
    <s v="PUA169"/>
    <x v="0"/>
    <s v="가동"/>
    <s v="일본"/>
    <s v="Disco"/>
    <x v="2"/>
    <s v="3차"/>
    <s v="3차"/>
    <s v="해당"/>
    <s v="Wafer Sicing Saw"/>
    <s v="Wafer Sicing Saw"/>
    <m/>
    <m/>
    <s v="3B001"/>
    <s v="8486.40-0000"/>
    <s v="전략물자수출입고시"/>
    <m/>
    <d v="2017-07-25T00:00:00"/>
    <d v="2017-08-14T00:00:00"/>
    <n v="8.2191780821917817"/>
    <n v="8"/>
    <s v="G1-1층"/>
    <s v="자사"/>
    <s v="설정"/>
    <n v="3"/>
    <n v="1240"/>
    <n v="1550"/>
    <n v="1960"/>
    <n v="189376573"/>
    <m/>
    <m/>
    <m/>
    <n v="189375573"/>
    <n v="1819776"/>
    <n v="1000"/>
    <n v="1000"/>
    <m/>
    <m/>
    <m/>
    <s v="완료"/>
    <s v="D-SAW"/>
    <s v="COF(Assy_FT)"/>
    <s v="COF(Assy_FT)"/>
    <s v="기계장치"/>
    <n v="3787531.46"/>
    <n v="118360.358125"/>
    <n v="39453.452708333331"/>
    <m/>
    <m/>
    <m/>
    <m/>
    <m/>
    <m/>
    <m/>
    <n v="118360.358125"/>
    <n v="118360.358125"/>
    <n v="236720.71625"/>
    <n v="118360.358125"/>
    <n v="118360.358125"/>
    <n v="118360.358125"/>
    <n v="118360.358125"/>
    <n v="473441.4325"/>
    <n v="118360.358125"/>
    <n v="118360.358125"/>
    <n v="118360.358125"/>
    <n v="118360.358125"/>
    <n v="473441.4325"/>
    <n v="118360.358125"/>
    <n v="118360.358125"/>
    <n v="118360.358125"/>
    <n v="118360.358125"/>
    <n v="473441.4325"/>
    <m/>
    <m/>
    <m/>
    <n v="3787531.46"/>
  </r>
  <r>
    <n v="389"/>
    <x v="0"/>
    <m/>
    <s v="구용근"/>
    <s v="구미"/>
    <s v="PKG"/>
    <s v="O"/>
    <s v="8&quot;&amp;12&quot;"/>
    <s v="DDI"/>
    <x v="4"/>
    <s v="COF"/>
    <x v="17"/>
    <n v="1005112"/>
    <s v="MC"/>
    <s v="PCB-06 : PRCⅡ-2000ACD-SS(CO2 Bubbler)_NGK"/>
    <s v="PRCⅡ-2000ACD"/>
    <x v="75"/>
    <m/>
    <s v="DR17-3002"/>
    <x v="0"/>
    <s v="가동"/>
    <s v="일본"/>
    <s v="NGK 엔지니어"/>
    <x v="2"/>
    <s v="3차"/>
    <s v="3차"/>
    <s v="일반장비(비통제)"/>
    <s v="CO2 주입기"/>
    <m/>
    <m/>
    <m/>
    <s v="EAR99"/>
    <s v="8486.90-0000"/>
    <m/>
    <m/>
    <d v="2017-04-26T00:00:00"/>
    <d v="2017-08-14T00:00:00"/>
    <n v="8.2191780821917817"/>
    <n v="8"/>
    <s v="G1-1층"/>
    <s v="자사"/>
    <s v="설정"/>
    <n v="3"/>
    <n v="520"/>
    <n v="400"/>
    <n v="1150"/>
    <n v="18554203"/>
    <m/>
    <m/>
    <m/>
    <n v="18553203"/>
    <n v="177049"/>
    <n v="1000"/>
    <n v="1000"/>
    <m/>
    <m/>
    <m/>
    <s v="완료"/>
    <s v="D-SAW"/>
    <s v="COF(Assy_FT)"/>
    <s v="COF(Assy_FT)"/>
    <s v="기계장치"/>
    <n v="371084.06"/>
    <n v="11596.376875"/>
    <n v="3865.4589583333332"/>
    <m/>
    <m/>
    <m/>
    <m/>
    <m/>
    <m/>
    <m/>
    <n v="11596.376875"/>
    <n v="11596.376875"/>
    <n v="23192.75375"/>
    <n v="11596.376875"/>
    <n v="11596.376875"/>
    <n v="11596.376875"/>
    <n v="11596.376875"/>
    <n v="46385.5075"/>
    <n v="11596.376875"/>
    <n v="11596.376875"/>
    <n v="11596.376875"/>
    <n v="11596.376875"/>
    <n v="46385.5075"/>
    <n v="11596.376875"/>
    <n v="11596.376875"/>
    <n v="11596.376875"/>
    <n v="11596.376875"/>
    <n v="46385.5075"/>
    <m/>
    <m/>
    <m/>
    <n v="371084.06"/>
  </r>
  <r>
    <n v="390"/>
    <x v="0"/>
    <m/>
    <s v="구용근"/>
    <s v="구미"/>
    <s v="PKG"/>
    <s v="O"/>
    <s v="8&quot;&amp;12&quot;"/>
    <s v="DDI"/>
    <x v="4"/>
    <s v="COF"/>
    <x v="17"/>
    <n v="1005165"/>
    <s v="MC"/>
    <s v="PSA-16 : DFD6560_Dicing SAW_DISCO"/>
    <s v="DFD6560"/>
    <x v="31"/>
    <m/>
    <s v="PUA185"/>
    <x v="0"/>
    <s v="가동"/>
    <s v="일본"/>
    <s v="Disco"/>
    <x v="2"/>
    <s v="3차"/>
    <s v="3차"/>
    <s v="해당"/>
    <s v="Wafer Sicing Saw"/>
    <s v="Wafer Sicing Saw"/>
    <m/>
    <m/>
    <s v="3B001"/>
    <s v="8486.40-0000"/>
    <s v="전략물자수출입고시"/>
    <m/>
    <d v="2017-08-25T00:00:00"/>
    <d v="2017-09-04T00:00:00"/>
    <n v="8.161643835616438"/>
    <n v="8"/>
    <s v="G1-1층"/>
    <s v="자사"/>
    <s v="설정"/>
    <n v="3"/>
    <n v="1240"/>
    <n v="1550"/>
    <n v="1960"/>
    <n v="194000362"/>
    <m/>
    <m/>
    <m/>
    <n v="192111438"/>
    <n v="1888892"/>
    <n v="1000"/>
    <n v="1000"/>
    <m/>
    <m/>
    <n v="1.0000169411485675"/>
    <s v="미완료"/>
    <s v="D-SAW"/>
    <s v="COF(Assy_FT)"/>
    <s v="COF(Assy_FT)"/>
    <s v="기계장치"/>
    <n v="3880007.24"/>
    <n v="121250.22625000001"/>
    <n v="40416.742083333338"/>
    <m/>
    <m/>
    <m/>
    <m/>
    <m/>
    <m/>
    <m/>
    <n v="121250.22625000001"/>
    <n v="121250.22625000001"/>
    <n v="242500.45250000001"/>
    <n v="121250.22625000001"/>
    <n v="121250.22625000001"/>
    <n v="121250.22625000001"/>
    <n v="121250.22625000001"/>
    <n v="485000.90500000003"/>
    <n v="121250.22625000001"/>
    <n v="121250.22625000001"/>
    <n v="121250.22625000001"/>
    <n v="121250.22625000001"/>
    <n v="485000.90500000003"/>
    <n v="121250.22625000001"/>
    <n v="121250.22625000001"/>
    <n v="121250.22625000001"/>
    <n v="121250.22625000001"/>
    <n v="485000.90500000003"/>
    <m/>
    <m/>
    <m/>
    <n v="3880007.24"/>
  </r>
  <r>
    <n v="391"/>
    <x v="0"/>
    <m/>
    <s v="구용근"/>
    <s v="구미"/>
    <s v="PKG"/>
    <s v="O"/>
    <s v="8&quot;&amp;12&quot;"/>
    <s v="DDI"/>
    <x v="4"/>
    <s v="COF"/>
    <x v="31"/>
    <n v="1005166"/>
    <s v="MC"/>
    <s v="PPT-39 : Potting System 4Head(쎄크)"/>
    <s v="TCP-435A"/>
    <x v="82"/>
    <m/>
    <s v="TCP-435A-2017004"/>
    <x v="0"/>
    <s v="가동"/>
    <s v="한국"/>
    <s v="SEC"/>
    <x v="0"/>
    <s v="1차"/>
    <s v="1차"/>
    <s v="일반장비(비통제)"/>
    <s v="에폭시 도포기"/>
    <m/>
    <m/>
    <m/>
    <s v="EAR99"/>
    <s v="8486.40-0000"/>
    <m/>
    <m/>
    <d v="2017-08-14T00:00:00"/>
    <d v="2017-08-14T00:00:00"/>
    <n v="8.2191780821917817"/>
    <n v="8"/>
    <s v="G1-1층"/>
    <s v="자사"/>
    <s v="설정"/>
    <n v="3"/>
    <n v="7100"/>
    <n v="820"/>
    <n v="1860"/>
    <n v="294360000"/>
    <m/>
    <m/>
    <m/>
    <n v="286312135"/>
    <n v="2851548"/>
    <n v="1000"/>
    <n v="1000"/>
    <m/>
    <m/>
    <n v="2.8222793373984936"/>
    <s v="미완료"/>
    <s v="D-POT"/>
    <s v="COF(Assy_FT)"/>
    <s v="COF(Assy_FT)"/>
    <s v="기계장치"/>
    <n v="5887200"/>
    <n v="561219.22778880526"/>
    <n v="187073.07592960176"/>
    <m/>
    <m/>
    <m/>
    <m/>
    <m/>
    <m/>
    <m/>
    <n v="561219.22778880526"/>
    <n v="561219.22778880526"/>
    <n v="1122438.4555776105"/>
    <n v="561219.22778880526"/>
    <n v="561219.22778880526"/>
    <n v="561219.22778880526"/>
    <n v="561219.22778880526"/>
    <n v="2244876.9111552211"/>
    <n v="561219.22778880526"/>
    <n v="561219.22778880526"/>
    <n v="561219.22778880526"/>
    <n v="561219.22778880526"/>
    <n v="2244876.9111552211"/>
    <n v="561219.22778880526"/>
    <n v="561219.22778880526"/>
    <n v="561219.22778880526"/>
    <n v="561219.22778880526"/>
    <n v="2244876.9111552211"/>
    <m/>
    <n v="5.7484834710675077E-4"/>
    <n v="12071815.289241767"/>
    <n v="17959015.289241768"/>
  </r>
  <r>
    <n v="392"/>
    <x v="0"/>
    <m/>
    <s v="구용근"/>
    <s v="구미"/>
    <s v="PKG"/>
    <s v="O"/>
    <s v="8&quot;&amp;12&quot;"/>
    <s v="DDI"/>
    <x v="4"/>
    <s v="COF"/>
    <x v="31"/>
    <n v="1005168"/>
    <s v="MC"/>
    <s v="PPT-40 : Potting System 4Head(쎄크)"/>
    <s v="TCP-435A"/>
    <x v="82"/>
    <m/>
    <s v="TCP-435A-2017005"/>
    <x v="0"/>
    <s v="가동"/>
    <s v="한국"/>
    <s v="SEC"/>
    <x v="0"/>
    <s v="1차"/>
    <s v="1차"/>
    <s v="일반장비(비통제)"/>
    <s v="에폭시 도포기"/>
    <m/>
    <m/>
    <m/>
    <s v="EAR99"/>
    <s v="8486.40-0000"/>
    <m/>
    <m/>
    <d v="2017-09-15T00:00:00"/>
    <d v="2017-09-15T00:00:00"/>
    <n v="8.131506849315068"/>
    <n v="8"/>
    <s v="G1-1층"/>
    <s v="자사"/>
    <s v="설정"/>
    <n v="3"/>
    <n v="7100"/>
    <n v="820"/>
    <n v="1860"/>
    <n v="297342500"/>
    <m/>
    <m/>
    <m/>
    <n v="294119212"/>
    <n v="2938973"/>
    <n v="1000"/>
    <n v="1000"/>
    <m/>
    <m/>
    <n v="1.0967395753550646"/>
    <s v="미완료"/>
    <s v="D-POT"/>
    <s v="COF(Assy_FT)"/>
    <s v="COF(Assy_FT)"/>
    <s v="기계장치"/>
    <n v="5946850"/>
    <n v="566905.58580918878"/>
    <n v="188968.52860306294"/>
    <m/>
    <m/>
    <m/>
    <m/>
    <m/>
    <m/>
    <m/>
    <n v="566905.58580918878"/>
    <n v="566905.58580918878"/>
    <n v="1133811.1716183776"/>
    <n v="566905.58580918878"/>
    <n v="566905.58580918878"/>
    <n v="566905.58580918878"/>
    <n v="566905.58580918878"/>
    <n v="2267622.3432367551"/>
    <n v="566905.58580918878"/>
    <n v="566905.58580918878"/>
    <n v="566905.58580918878"/>
    <n v="566905.58580918878"/>
    <n v="2267622.3432367551"/>
    <n v="566905.58580918878"/>
    <n v="566905.58580918878"/>
    <n v="566905.58580918878"/>
    <n v="566905.58580918878"/>
    <n v="2267622.3432367551"/>
    <m/>
    <n v="5.8067279742352572E-4"/>
    <n v="12194128.745894041"/>
    <n v="18140978.745894041"/>
  </r>
  <r>
    <n v="393"/>
    <x v="0"/>
    <m/>
    <s v="구용근"/>
    <s v="구미"/>
    <s v="PKG"/>
    <s v="O"/>
    <s v="8&quot;&amp;12&quot;"/>
    <s v="DDI"/>
    <x v="4"/>
    <s v="COF"/>
    <x v="31"/>
    <n v="1005169"/>
    <s v="MC"/>
    <s v="PPT-41 : Potting System 4Head(쎄크)"/>
    <s v="TCP-435A"/>
    <x v="82"/>
    <m/>
    <s v="TCP-435A-2017006"/>
    <x v="0"/>
    <s v="가동"/>
    <s v="한국"/>
    <s v="SEC"/>
    <x v="0"/>
    <s v="1차"/>
    <s v="1차"/>
    <s v="일반장비(비통제)"/>
    <s v="에폭시 도포기"/>
    <m/>
    <m/>
    <m/>
    <s v="EAR99"/>
    <s v="8486.40-0000"/>
    <m/>
    <m/>
    <d v="2017-09-15T00:00:00"/>
    <d v="2017-09-15T00:00:00"/>
    <n v="8.131506849315068"/>
    <n v="8"/>
    <s v="G1-1층"/>
    <s v="자사"/>
    <s v="설정"/>
    <n v="3"/>
    <n v="7100"/>
    <n v="820"/>
    <n v="1860"/>
    <n v="263330000"/>
    <m/>
    <m/>
    <m/>
    <n v="260484602"/>
    <n v="2561056"/>
    <n v="1000"/>
    <n v="1000"/>
    <m/>
    <m/>
    <n v="1.111025295815476"/>
    <s v="미완료"/>
    <s v="D-POT"/>
    <s v="COF(Assy_FT)"/>
    <s v="COF(Assy_FT)"/>
    <s v="기계장치"/>
    <n v="5266600"/>
    <n v="502058.22548452939"/>
    <n v="167352.74182817645"/>
    <m/>
    <m/>
    <m/>
    <m/>
    <m/>
    <m/>
    <m/>
    <n v="502058.22548452939"/>
    <n v="502058.22548452939"/>
    <n v="1004116.4509690588"/>
    <n v="502058.22548452939"/>
    <n v="502058.22548452939"/>
    <n v="502058.22548452939"/>
    <n v="502058.22548452939"/>
    <n v="2008232.9019381176"/>
    <n v="502058.22548452939"/>
    <n v="502058.22548452939"/>
    <n v="502058.22548452939"/>
    <n v="502058.22548452939"/>
    <n v="2008232.9019381176"/>
    <n v="502058.22548452939"/>
    <n v="502058.22548452939"/>
    <n v="502058.22548452939"/>
    <n v="502058.22548452939"/>
    <n v="2008232.9019381176"/>
    <m/>
    <n v="5.1425062930975909E-4"/>
    <n v="10799263.215504941"/>
    <n v="16065863.215504941"/>
  </r>
  <r>
    <n v="394"/>
    <x v="0"/>
    <m/>
    <s v="구용근"/>
    <s v="구미"/>
    <s v="PKG"/>
    <s v="O"/>
    <s v="8&quot;"/>
    <s v="DDI"/>
    <x v="4"/>
    <s v="COF"/>
    <x v="32"/>
    <n v="1002188"/>
    <s v="MC"/>
    <s v="PIL-52 : LTB-4100(TOP)"/>
    <s v="LTB-4100"/>
    <x v="78"/>
    <s v="2세대"/>
    <n v="10051706"/>
    <x v="167"/>
    <s v="가동"/>
    <s v="한국"/>
    <s v="TOP ENG"/>
    <x v="1"/>
    <s v="2차"/>
    <s v="2차"/>
    <s v="해당"/>
    <s v="COF 본딩"/>
    <s v="COF 본딩"/>
    <m/>
    <m/>
    <s v="3B991"/>
    <s v="8486.20-0000"/>
    <s v="반도체제조장비"/>
    <m/>
    <d v="2010-05-31T00:00:00"/>
    <d v="2010-05-31T00:00:00"/>
    <n v="15.43013698630137"/>
    <n v="8"/>
    <s v="G1-1층"/>
    <s v="자사"/>
    <s v="미설정"/>
    <n v="3"/>
    <n v="3000"/>
    <n v="1400"/>
    <n v="2050"/>
    <n v="247363333"/>
    <m/>
    <m/>
    <m/>
    <n v="247362333"/>
    <n v="1873127"/>
    <n v="1000"/>
    <n v="1000"/>
    <m/>
    <m/>
    <m/>
    <s v="완료"/>
    <s v="D-ILB"/>
    <s v="COF(Assy_FT)"/>
    <s v="COF(Assy_FT)"/>
    <s v="기계장치"/>
    <n v="4947266.66"/>
    <n v="471616.58761219279"/>
    <n v="157205.52920406425"/>
    <m/>
    <m/>
    <n v="471616.58761219273"/>
    <n v="471616.58761219273"/>
    <n v="943233.17522438546"/>
    <n v="471616.58761219273"/>
    <n v="471616.58761219273"/>
    <n v="471616.58761219273"/>
    <n v="471616.58761219273"/>
    <n v="1886466.3504487709"/>
    <n v="471616.58761219273"/>
    <n v="471616.58761219273"/>
    <n v="471616.58761219273"/>
    <n v="471616.58761219273"/>
    <n v="1886466.3504487709"/>
    <n v="471616.58761219273"/>
    <n v="471616.58761219273"/>
    <n v="471616.58761219273"/>
    <n v="471616.58761219273"/>
    <n v="1886466.3504487709"/>
    <n v="471616.58761219273"/>
    <n v="471616.58761219273"/>
    <n v="471616.58761219273"/>
    <n v="471616.58761219273"/>
    <n v="1886466.3504487709"/>
    <m/>
    <n v="4.8306972112334141E-4"/>
    <n v="10144464.143590169"/>
    <n v="15091730.803590169"/>
  </r>
  <r>
    <n v="395"/>
    <x v="0"/>
    <m/>
    <s v="구용근"/>
    <s v="구미"/>
    <s v="PKG"/>
    <s v="O"/>
    <s v="8&quot;&amp;12&quot;"/>
    <s v="DDI"/>
    <x v="4"/>
    <s v="COF"/>
    <x v="33"/>
    <n v="1005243"/>
    <s v="MC"/>
    <s v="PRW-04 : AUTO REWINDER-04(SWT-RWIN100-000)"/>
    <s v="SWLU-RWA-100"/>
    <x v="65"/>
    <m/>
    <s v="A17-04"/>
    <x v="0"/>
    <s v="가동"/>
    <s v="한국"/>
    <s v="서우테크"/>
    <x v="2"/>
    <s v="2차"/>
    <s v="2차"/>
    <s v="일반장비(비통제)"/>
    <s v="reel 자재를 자동 풀림→정렬→재권취"/>
    <s v="eel 자재를 자동 풀림→정렬→재권취"/>
    <m/>
    <m/>
    <s v="EAR99"/>
    <s v="8479.89-0000"/>
    <m/>
    <m/>
    <d v="2017-10-31T00:00:00"/>
    <d v="2017-10-31T00:00:00"/>
    <n v="8.0054794520547947"/>
    <n v="8"/>
    <s v="G1-1층"/>
    <s v="자사"/>
    <s v="설정"/>
    <n v="3"/>
    <n v="1760"/>
    <n v="700"/>
    <n v="1695"/>
    <n v="23000000"/>
    <m/>
    <m/>
    <m/>
    <n v="22547129"/>
    <n v="226419"/>
    <n v="1000"/>
    <n v="1000"/>
    <m/>
    <m/>
    <n v="2.0001457474858557"/>
    <s v="미완료"/>
    <s v="공통(DA)"/>
    <s v="COF(Assy_FT)"/>
    <s v="COF(Assy_FT)"/>
    <s v="기계장치"/>
    <n v="460000"/>
    <n v="14375"/>
    <n v="4791.666666666667"/>
    <m/>
    <m/>
    <m/>
    <m/>
    <m/>
    <m/>
    <m/>
    <n v="14375"/>
    <n v="14375"/>
    <n v="28750"/>
    <n v="14375"/>
    <n v="14375"/>
    <n v="14375"/>
    <n v="14375"/>
    <n v="57500"/>
    <n v="14375"/>
    <n v="14375"/>
    <n v="14375"/>
    <n v="14375"/>
    <n v="57500"/>
    <n v="14375"/>
    <n v="14375"/>
    <n v="14375"/>
    <n v="14375"/>
    <n v="57500"/>
    <m/>
    <m/>
    <m/>
    <n v="460000"/>
  </r>
  <r>
    <n v="396"/>
    <x v="0"/>
    <m/>
    <s v="구용근"/>
    <s v="구미"/>
    <s v="PKG"/>
    <s v="O"/>
    <s v="8&quot;&amp;12&quot;"/>
    <s v="DDI"/>
    <x v="4"/>
    <s v="COF"/>
    <x v="31"/>
    <n v="1005267"/>
    <s v="Upgrade"/>
    <s v="POT 자동화 Parts(AOI)(PPT-05,06,07,08,17,38)"/>
    <m/>
    <x v="6"/>
    <m/>
    <m/>
    <x v="0"/>
    <s v="가동"/>
    <s v="한국"/>
    <s v="워프비전"/>
    <x v="2"/>
    <s v="1차"/>
    <s v="1차"/>
    <s v="일반장비(비통제)"/>
    <s v="제조 가공 장비"/>
    <m/>
    <m/>
    <m/>
    <s v="EAR99"/>
    <s v="8486.40-0000"/>
    <m/>
    <m/>
    <d v="2017-11-30T00:00:00"/>
    <d v="2017-11-30T00:00:00"/>
    <n v="7.9232876712328766"/>
    <n v="8"/>
    <s v="G1-1층"/>
    <s v="자사"/>
    <s v="미설정"/>
    <n v="3"/>
    <m/>
    <m/>
    <m/>
    <n v="206000000"/>
    <m/>
    <m/>
    <m/>
    <n v="199842373"/>
    <n v="2052536"/>
    <n v="1000"/>
    <n v="1000"/>
    <m/>
    <m/>
    <n v="3.000009256841293"/>
    <s v="미완료"/>
    <s v="D-POT"/>
    <s v="COF(Assy_FT)"/>
    <s v="COF(Assy_FT)"/>
    <s v="기계장치"/>
    <n v="4120000"/>
    <n v="128750"/>
    <n v="42916.666666666664"/>
    <m/>
    <m/>
    <m/>
    <m/>
    <m/>
    <m/>
    <m/>
    <n v="128750"/>
    <n v="128750"/>
    <n v="257500"/>
    <n v="128750"/>
    <n v="128750"/>
    <n v="128750"/>
    <n v="128750"/>
    <n v="515000"/>
    <n v="128750"/>
    <n v="128750"/>
    <n v="128750"/>
    <n v="128750"/>
    <n v="515000"/>
    <n v="128750"/>
    <n v="128750"/>
    <n v="128750"/>
    <n v="128750"/>
    <n v="515000"/>
    <m/>
    <m/>
    <m/>
    <n v="4120000"/>
  </r>
  <r>
    <n v="397"/>
    <x v="0"/>
    <m/>
    <s v="구용근"/>
    <s v="구미"/>
    <s v="PKG"/>
    <s v="O"/>
    <s v="8&quot;&amp;12&quot;"/>
    <s v="DDI"/>
    <x v="4"/>
    <s v="COF"/>
    <x v="31"/>
    <n v="1005282"/>
    <s v="MC"/>
    <s v="PPT-42 : Potting System 4Head(쎄크)"/>
    <s v="TCP-435A"/>
    <x v="82"/>
    <m/>
    <s v="TCP-435A-2017007"/>
    <x v="0"/>
    <s v="가동"/>
    <s v="한국"/>
    <s v="SEC"/>
    <x v="2"/>
    <s v="1차"/>
    <s v="1차"/>
    <s v="일반장비(비통제)"/>
    <s v="에폭시 도포기"/>
    <m/>
    <m/>
    <m/>
    <s v="EAR99"/>
    <s v="8486.40-0000"/>
    <m/>
    <m/>
    <d v="2017-12-19T00:00:00"/>
    <d v="2017-12-19T00:00:00"/>
    <n v="7.8712328767123285"/>
    <n v="8"/>
    <s v="G1-1층"/>
    <s v="자사"/>
    <s v="설정"/>
    <n v="3"/>
    <n v="7100"/>
    <n v="820"/>
    <n v="1860"/>
    <n v="282072500"/>
    <m/>
    <m/>
    <m/>
    <n v="270612588"/>
    <n v="2864987"/>
    <n v="2864951"/>
    <n v="1000"/>
    <m/>
    <m/>
    <n v="3.9999874344979576"/>
    <s v="미완료"/>
    <s v="D-POT"/>
    <s v="COF(Assy_FT)"/>
    <s v="COF(Assy_FT)"/>
    <s v="기계장치"/>
    <n v="3008198.5500000003"/>
    <n v="94006.204687500009"/>
    <n v="31335.401562500003"/>
    <m/>
    <m/>
    <m/>
    <m/>
    <m/>
    <m/>
    <m/>
    <n v="94006.204687500009"/>
    <n v="94006.204687500009"/>
    <n v="188012.40937500002"/>
    <n v="94006.204687500009"/>
    <n v="94006.204687500009"/>
    <n v="94006.204687500009"/>
    <n v="94006.204687500009"/>
    <n v="376024.81875000003"/>
    <n v="94006.204687500009"/>
    <n v="94006.204687500009"/>
    <n v="94006.204687500009"/>
    <n v="94006.204687500009"/>
    <n v="376024.81875000003"/>
    <n v="94006.204687500009"/>
    <n v="94006.204687500009"/>
    <n v="94006.204687500009"/>
    <n v="94006.204687500009"/>
    <n v="376024.81875000003"/>
    <m/>
    <m/>
    <m/>
    <n v="3008198.5500000003"/>
  </r>
  <r>
    <n v="398"/>
    <x v="0"/>
    <m/>
    <s v="구용근"/>
    <s v="구미"/>
    <s v="PKG"/>
    <s v="O"/>
    <s v="8&quot;&amp;12&quot;"/>
    <s v="DDI"/>
    <x v="4"/>
    <s v="COF"/>
    <x v="31"/>
    <n v="1005283"/>
    <s v="MC"/>
    <s v="PPT-43 : Potting System 4Head(쎄크)"/>
    <s v="TCP-435A"/>
    <x v="82"/>
    <m/>
    <s v="TCP-435A-2017008"/>
    <x v="0"/>
    <s v="가동"/>
    <s v="한국"/>
    <s v="SEC"/>
    <x v="2"/>
    <s v="2차"/>
    <s v="2차"/>
    <s v="일반장비(비통제)"/>
    <s v="에폭시 도포기"/>
    <m/>
    <m/>
    <m/>
    <s v="EAR99"/>
    <s v="8486.40-0000"/>
    <m/>
    <m/>
    <d v="2018-04-18T00:00:00"/>
    <d v="2018-04-18T00:00:00"/>
    <n v="7.5424657534246577"/>
    <n v="8"/>
    <s v="G1-1층"/>
    <s v="자사"/>
    <s v="미설정"/>
    <n v="3"/>
    <n v="7100"/>
    <n v="820"/>
    <n v="1860"/>
    <n v="282012500"/>
    <m/>
    <m/>
    <m/>
    <n v="258511452"/>
    <n v="2937630"/>
    <n v="14688158"/>
    <n v="1000"/>
    <m/>
    <m/>
    <n v="8.0000027232837354"/>
    <s v="미완료"/>
    <s v="D-POT"/>
    <s v="COF(Assy_FT)"/>
    <s v="COF(Assy_FT)"/>
    <s v="기계장치"/>
    <n v="15422565.9"/>
    <n v="481955.18437500001"/>
    <n v="160651.72812499999"/>
    <m/>
    <m/>
    <m/>
    <m/>
    <m/>
    <m/>
    <m/>
    <n v="481955.18437499995"/>
    <n v="481955.18437499995"/>
    <n v="963910.36874999991"/>
    <n v="481955.18437499995"/>
    <n v="481955.18437499995"/>
    <n v="481955.18437499995"/>
    <n v="481955.18437499995"/>
    <n v="1927820.7374999998"/>
    <n v="481955.18437499995"/>
    <n v="481955.18437499995"/>
    <n v="481955.18437499995"/>
    <n v="481955.18437499995"/>
    <n v="1927820.7374999998"/>
    <n v="481955.18437499995"/>
    <n v="481955.18437499995"/>
    <n v="481955.18437499995"/>
    <n v="481955.18437499995"/>
    <n v="1927820.7374999998"/>
    <m/>
    <m/>
    <m/>
    <n v="15422565.9"/>
  </r>
  <r>
    <n v="399"/>
    <x v="0"/>
    <m/>
    <s v="구용근"/>
    <s v="구미"/>
    <s v="PKG"/>
    <s v="O"/>
    <s v="8&quot;&amp;12&quot;"/>
    <s v="DDI"/>
    <x v="4"/>
    <s v="COF"/>
    <x v="31"/>
    <n v="1005284"/>
    <s v="MC"/>
    <s v="PPT-44 : Potting System 4Head(쎄크)"/>
    <s v="TCP-435A"/>
    <x v="82"/>
    <m/>
    <s v="TCP-435A-2017009"/>
    <x v="0"/>
    <s v="가동"/>
    <s v="한국"/>
    <s v="SEC"/>
    <x v="2"/>
    <s v="2차"/>
    <s v="2차"/>
    <s v="일반장비(비통제)"/>
    <s v="에폭시 도포기"/>
    <m/>
    <m/>
    <m/>
    <s v="EAR99"/>
    <s v="8486.40-0000"/>
    <m/>
    <m/>
    <d v="2018-04-18T00:00:00"/>
    <d v="2018-04-18T00:00:00"/>
    <n v="7.5424657534246577"/>
    <n v="8"/>
    <s v="G1-1층"/>
    <s v="자사"/>
    <s v="미설정"/>
    <n v="3"/>
    <n v="7100"/>
    <n v="820"/>
    <n v="1860"/>
    <n v="321812500"/>
    <m/>
    <m/>
    <m/>
    <n v="284919804"/>
    <n v="3352214"/>
    <n v="26836054"/>
    <n v="1000"/>
    <m/>
    <m/>
    <n v="11.005471607719555"/>
    <s v="미완료"/>
    <s v="D-POT"/>
    <s v="COF(Assy_FT)"/>
    <s v="COF(Assy_FT)"/>
    <s v="기계장치"/>
    <n v="28177856.700000003"/>
    <n v="880558.02187500009"/>
    <n v="293519.34062500001"/>
    <m/>
    <m/>
    <m/>
    <m/>
    <m/>
    <m/>
    <m/>
    <n v="880558.02187500009"/>
    <n v="880558.02187500009"/>
    <n v="1761116.0437500002"/>
    <n v="880558.02187500009"/>
    <n v="880558.02187500009"/>
    <n v="880558.02187500009"/>
    <n v="880558.02187500009"/>
    <n v="3522232.0875000004"/>
    <n v="880558.02187500009"/>
    <n v="880558.02187500009"/>
    <n v="880558.02187500009"/>
    <n v="880558.02187500009"/>
    <n v="3522232.0875000004"/>
    <n v="880558.02187500009"/>
    <n v="880558.02187500009"/>
    <n v="880558.02187500009"/>
    <n v="880558.02187500009"/>
    <n v="3522232.0875000004"/>
    <m/>
    <m/>
    <m/>
    <n v="28177856.700000003"/>
  </r>
  <r>
    <n v="400"/>
    <x v="0"/>
    <m/>
    <s v="구용근"/>
    <s v="구미"/>
    <s v="PKG"/>
    <s v="O"/>
    <s v="8&quot;&amp;12&quot;"/>
    <s v="DDI"/>
    <x v="4"/>
    <s v="COF"/>
    <x v="17"/>
    <n v="1005362"/>
    <s v="MC"/>
    <s v="PCB-07 : PRCⅡ-2000ACD-SS(CO2 Bubbler)_NGK"/>
    <s v="PRCⅡ-2000ACD"/>
    <x v="75"/>
    <m/>
    <s v="DR17-3058"/>
    <x v="0"/>
    <s v="가동"/>
    <s v="일본"/>
    <s v="NGK 엔지니어"/>
    <x v="2"/>
    <s v="3차"/>
    <s v="3차"/>
    <s v="일반장비(비통제)"/>
    <s v="CO2 주입기"/>
    <m/>
    <m/>
    <m/>
    <s v="EAR99"/>
    <s v="8486.90-0000"/>
    <m/>
    <m/>
    <d v="2017-07-25T00:00:00"/>
    <d v="2018-03-20T00:00:00"/>
    <n v="7.6219178082191785"/>
    <n v="8"/>
    <s v="G1-1층"/>
    <s v="자사"/>
    <s v="설정"/>
    <n v="3"/>
    <n v="520"/>
    <n v="400"/>
    <n v="1150"/>
    <n v="18344031"/>
    <m/>
    <m/>
    <m/>
    <n v="17006446"/>
    <n v="191084"/>
    <n v="764333"/>
    <n v="1000"/>
    <m/>
    <m/>
    <n v="6.9999843000983857"/>
    <s v="미완료"/>
    <s v="D-SAW"/>
    <s v="COF(Assy_FT)"/>
    <s v="COF(Assy_FT)"/>
    <s v="기계장치"/>
    <n v="802549.65"/>
    <n v="25079.676562500001"/>
    <n v="8359.8921874999996"/>
    <m/>
    <m/>
    <m/>
    <m/>
    <m/>
    <m/>
    <m/>
    <n v="25079.676562499997"/>
    <n v="25079.676562499997"/>
    <n v="50159.353124999994"/>
    <n v="25079.676562499997"/>
    <n v="25079.676562499997"/>
    <n v="25079.676562499997"/>
    <n v="25079.676562499997"/>
    <n v="100318.70624999999"/>
    <n v="25079.676562499997"/>
    <n v="25079.676562499997"/>
    <n v="25079.676562499997"/>
    <n v="25079.676562499997"/>
    <n v="100318.70624999999"/>
    <n v="25079.676562499997"/>
    <n v="25079.676562499997"/>
    <n v="25079.676562499997"/>
    <n v="25079.676562499997"/>
    <n v="100318.70624999999"/>
    <m/>
    <m/>
    <m/>
    <n v="802549.65"/>
  </r>
  <r>
    <n v="401"/>
    <x v="0"/>
    <m/>
    <s v="구용근"/>
    <s v="구미"/>
    <s v="PKG"/>
    <s v="O"/>
    <s v="8&quot;"/>
    <s v="DDI"/>
    <x v="4"/>
    <s v="COF"/>
    <x v="32"/>
    <n v="1002437"/>
    <s v="MC"/>
    <s v="PIL-53 : LTB-4100(TOP)"/>
    <s v="LTB-4100"/>
    <x v="78"/>
    <s v="2세대"/>
    <n v="10080602"/>
    <x v="167"/>
    <s v="가동"/>
    <s v="한국"/>
    <s v="TOP ENG"/>
    <x v="1"/>
    <s v="2차"/>
    <s v="2차"/>
    <s v="해당"/>
    <s v="COF 본딩"/>
    <s v="COF 본딩"/>
    <m/>
    <m/>
    <s v="3B991"/>
    <s v="8486.20-0000"/>
    <s v="반도체제조장비"/>
    <m/>
    <d v="2010-08-31T00:00:00"/>
    <d v="2010-08-31T00:00:00"/>
    <n v="15.178082191780822"/>
    <n v="8"/>
    <s v="G1-1층"/>
    <s v="자사"/>
    <s v="미설정"/>
    <n v="3"/>
    <n v="3000"/>
    <n v="1400"/>
    <n v="2050"/>
    <n v="257353333"/>
    <m/>
    <m/>
    <m/>
    <n v="257352333"/>
    <n v="1248749"/>
    <n v="1000"/>
    <n v="1000"/>
    <m/>
    <m/>
    <m/>
    <s v="완료"/>
    <s v="D-ILB"/>
    <s v="COF(Assy_FT)"/>
    <s v="COF(Assy_FT)"/>
    <s v="기계장치"/>
    <n v="5147066.66"/>
    <n v="490663.26544073666"/>
    <n v="163554.4218135789"/>
    <m/>
    <m/>
    <n v="490663.26544073666"/>
    <n v="490663.26544073666"/>
    <n v="981326.53088147333"/>
    <n v="490663.26544073666"/>
    <n v="490663.26544073666"/>
    <n v="490663.26544073666"/>
    <n v="490663.26544073666"/>
    <n v="1962653.0617629467"/>
    <n v="490663.26544073666"/>
    <n v="490663.26544073666"/>
    <n v="490663.26544073666"/>
    <n v="490663.26544073666"/>
    <n v="1962653.0617629467"/>
    <n v="490663.26544073666"/>
    <n v="490663.26544073666"/>
    <n v="490663.26544073666"/>
    <n v="490663.26544073666"/>
    <n v="1962653.0617629467"/>
    <n v="490663.26544073666"/>
    <n v="490663.26544073666"/>
    <n v="490663.26544073666"/>
    <n v="490663.26544073666"/>
    <n v="1962653.0617629467"/>
    <m/>
    <n v="5.0257894448112249E-4"/>
    <n v="10554157.834103573"/>
    <n v="15701224.494103573"/>
  </r>
  <r>
    <n v="402"/>
    <x v="0"/>
    <m/>
    <s v="구용근"/>
    <s v="구미"/>
    <s v="PKG"/>
    <s v="O"/>
    <s v="8&quot;"/>
    <s v="DDI"/>
    <x v="4"/>
    <s v="COF"/>
    <x v="32"/>
    <n v="1002438"/>
    <s v="MC"/>
    <s v="PIL-55 : LTB-4100(TOP)"/>
    <s v="LTB-4100"/>
    <x v="78"/>
    <s v="2세대"/>
    <n v="10080603"/>
    <x v="167"/>
    <s v="가동"/>
    <s v="한국"/>
    <s v="TOP ENG"/>
    <x v="1"/>
    <s v="2차"/>
    <s v="2차"/>
    <s v="해당"/>
    <s v="COF 본딩"/>
    <s v="COF 본딩"/>
    <m/>
    <m/>
    <s v="3B991"/>
    <s v="8486.20-0000"/>
    <s v="반도체제조장비"/>
    <m/>
    <d v="2010-08-31T00:00:00"/>
    <d v="2010-08-31T00:00:00"/>
    <n v="15.178082191780822"/>
    <n v="8"/>
    <s v="G1-1층"/>
    <s v="자사"/>
    <s v="미설정"/>
    <n v="3"/>
    <n v="3000"/>
    <n v="1400"/>
    <n v="2050"/>
    <n v="257353333"/>
    <m/>
    <m/>
    <m/>
    <n v="257352333"/>
    <n v="1248749"/>
    <n v="1000"/>
    <n v="1000"/>
    <m/>
    <m/>
    <m/>
    <s v="완료"/>
    <s v="D-ILB"/>
    <s v="COF(Assy_FT)"/>
    <s v="COF(Assy_FT)"/>
    <s v="기계장치"/>
    <n v="5147066.66"/>
    <n v="490663.26544073666"/>
    <n v="163554.4218135789"/>
    <m/>
    <m/>
    <n v="490663.26544073666"/>
    <n v="490663.26544073666"/>
    <n v="981326.53088147333"/>
    <n v="490663.26544073666"/>
    <n v="490663.26544073666"/>
    <n v="490663.26544073666"/>
    <n v="490663.26544073666"/>
    <n v="1962653.0617629467"/>
    <n v="490663.26544073666"/>
    <n v="490663.26544073666"/>
    <n v="490663.26544073666"/>
    <n v="490663.26544073666"/>
    <n v="1962653.0617629467"/>
    <n v="490663.26544073666"/>
    <n v="490663.26544073666"/>
    <n v="490663.26544073666"/>
    <n v="490663.26544073666"/>
    <n v="1962653.0617629467"/>
    <n v="490663.26544073666"/>
    <n v="490663.26544073666"/>
    <n v="490663.26544073666"/>
    <n v="490663.26544073666"/>
    <n v="1962653.0617629467"/>
    <m/>
    <n v="5.0257894448112249E-4"/>
    <n v="10554157.834103573"/>
    <n v="15701224.494103573"/>
  </r>
  <r>
    <n v="403"/>
    <x v="0"/>
    <m/>
    <s v="구용근"/>
    <s v="구미"/>
    <s v="PKG"/>
    <s v="O"/>
    <s v="8&quot;&amp;12&quot;"/>
    <s v="DDI"/>
    <x v="4"/>
    <s v="COF"/>
    <x v="31"/>
    <n v="1005382"/>
    <s v="MC"/>
    <s v="Buffer Cure(Mini Oven)"/>
    <m/>
    <x v="17"/>
    <m/>
    <m/>
    <x v="0"/>
    <s v="비가동"/>
    <s v="한국"/>
    <m/>
    <x v="2"/>
    <s v="3차"/>
    <s v="3차"/>
    <s v="일반장비(비통제)"/>
    <s v="에폭시 경화기"/>
    <m/>
    <m/>
    <m/>
    <s v="EAR99"/>
    <s v="8486.40-0000"/>
    <m/>
    <m/>
    <d v="2018-04-20T00:00:00"/>
    <d v="2018-04-20T00:00:00"/>
    <n v="7.536986301369863"/>
    <n v="8"/>
    <s v="G1-1층"/>
    <s v="자사"/>
    <s v="미설정"/>
    <n v="3"/>
    <m/>
    <m/>
    <m/>
    <n v="47500000"/>
    <m/>
    <m/>
    <m/>
    <n v="43541672"/>
    <n v="494792"/>
    <n v="2473952"/>
    <n v="1000"/>
    <m/>
    <m/>
    <n v="7.9999838315898399"/>
    <s v="미완료"/>
    <s v="D-POT"/>
    <s v="COF(Assy_FT)"/>
    <s v="COF(Assy_FT)"/>
    <s v="기계장치"/>
    <n v="2597649.6"/>
    <n v="81176.55"/>
    <n v="27058.850000000002"/>
    <m/>
    <m/>
    <m/>
    <m/>
    <m/>
    <m/>
    <m/>
    <n v="81176.55"/>
    <n v="81176.55"/>
    <n v="162353.1"/>
    <n v="81176.55"/>
    <n v="81176.55"/>
    <n v="81176.55"/>
    <n v="81176.55"/>
    <n v="324706.2"/>
    <n v="81176.55"/>
    <n v="81176.55"/>
    <n v="81176.55"/>
    <n v="81176.55"/>
    <n v="324706.2"/>
    <n v="81176.55"/>
    <n v="81176.55"/>
    <n v="81176.55"/>
    <n v="81176.55"/>
    <n v="324706.2"/>
    <m/>
    <m/>
    <m/>
    <n v="2597649.6"/>
  </r>
  <r>
    <n v="404"/>
    <x v="0"/>
    <m/>
    <s v="구용근"/>
    <s v="구미"/>
    <s v="PKG"/>
    <s v="O"/>
    <s v="8&quot;"/>
    <s v="DDI"/>
    <x v="4"/>
    <s v="COF"/>
    <x v="32"/>
    <n v="1002504"/>
    <s v="MC"/>
    <s v="PIL-56 : LTB-4100(TOP)"/>
    <s v="LTB-4100"/>
    <x v="78"/>
    <s v="2세대"/>
    <n v="10090601"/>
    <x v="167"/>
    <s v="가동"/>
    <s v="한국"/>
    <s v="TOP ENG"/>
    <x v="1"/>
    <s v="2차"/>
    <s v="2차"/>
    <s v="해당"/>
    <s v="COF 본딩"/>
    <s v="COF 본딩"/>
    <m/>
    <m/>
    <s v="3B991"/>
    <s v="8486.20-0000"/>
    <s v="반도체제조장비"/>
    <m/>
    <d v="2010-09-30T00:00:00"/>
    <d v="2010-09-30T00:00:00"/>
    <n v="15.095890410958905"/>
    <n v="8"/>
    <s v="G1-1층"/>
    <s v="자사"/>
    <s v="미설정"/>
    <n v="3"/>
    <n v="3000"/>
    <n v="1400"/>
    <n v="2050"/>
    <n v="257373333"/>
    <m/>
    <m/>
    <m/>
    <n v="257372333"/>
    <n v="1247501"/>
    <n v="1000"/>
    <n v="1000"/>
    <m/>
    <m/>
    <m/>
    <s v="완료"/>
    <s v="D-ILB"/>
    <s v="COF(Assy_FT)"/>
    <s v="COF(Assy_FT)"/>
    <s v="기계장치"/>
    <n v="5147466.66"/>
    <n v="490701.39692788088"/>
    <n v="163567.13230929364"/>
    <m/>
    <m/>
    <n v="490701.39692788094"/>
    <n v="490701.39692788094"/>
    <n v="981402.79385576188"/>
    <n v="490701.39692788094"/>
    <n v="490701.39692788094"/>
    <n v="490701.39692788094"/>
    <n v="490701.39692788094"/>
    <n v="1962805.5877115238"/>
    <n v="490701.39692788094"/>
    <n v="490701.39692788094"/>
    <n v="490701.39692788094"/>
    <n v="490701.39692788094"/>
    <n v="1962805.5877115238"/>
    <n v="490701.39692788094"/>
    <n v="490701.39692788094"/>
    <n v="490701.39692788094"/>
    <n v="490701.39692788094"/>
    <n v="1962805.5877115238"/>
    <n v="490701.39692788094"/>
    <n v="490701.39692788094"/>
    <n v="490701.39692788094"/>
    <n v="490701.39692788094"/>
    <n v="1962805.5877115238"/>
    <m/>
    <n v="5.0261800198534226E-4"/>
    <n v="10554978.041692188"/>
    <n v="15702444.701692188"/>
  </r>
  <r>
    <n v="405"/>
    <x v="0"/>
    <m/>
    <s v="구용근"/>
    <s v="구미"/>
    <s v="PKG"/>
    <s v="O"/>
    <s v="8&quot;"/>
    <s v="DDI"/>
    <x v="4"/>
    <s v="COF"/>
    <x v="32"/>
    <n v="1003042"/>
    <s v="MC"/>
    <s v="PIL-57 : INNER LEAD BONDER_COF-1000 (USED)"/>
    <s v="COF-1000"/>
    <x v="74"/>
    <s v="2세대"/>
    <m/>
    <x v="167"/>
    <s v="가동"/>
    <s v="일본"/>
    <s v="Shinkawa"/>
    <x v="0"/>
    <s v="2차"/>
    <s v="2차"/>
    <s v="해당"/>
    <s v="COF 본딩"/>
    <s v="COF 본딩"/>
    <m/>
    <m/>
    <s v="3B991"/>
    <s v="8486.20-0000"/>
    <s v="반도체제조장비"/>
    <m/>
    <d v="2012-01-31T00:00:00"/>
    <d v="2012-01-31T00:00:00"/>
    <n v="13.758904109589041"/>
    <n v="8"/>
    <s v="G1-1층"/>
    <s v="자사"/>
    <s v="미설정"/>
    <n v="3"/>
    <n v="2500"/>
    <n v="1400"/>
    <n v="1980"/>
    <n v="309135176"/>
    <m/>
    <m/>
    <m/>
    <n v="309134176"/>
    <n v="2599210"/>
    <n v="1000"/>
    <n v="1000"/>
    <m/>
    <m/>
    <m/>
    <s v="완료"/>
    <s v="D-ILB"/>
    <s v="COF(Assy_FT)"/>
    <s v="COF(Assy_FT)"/>
    <s v="기계장치"/>
    <n v="6182703.5200000005"/>
    <n v="589389.1994736935"/>
    <n v="196463.06649123118"/>
    <m/>
    <m/>
    <m/>
    <m/>
    <m/>
    <m/>
    <m/>
    <n v="589389.1994736935"/>
    <n v="589389.1994736935"/>
    <n v="1178778.398947387"/>
    <n v="589389.1994736935"/>
    <n v="589389.1994736935"/>
    <n v="589389.1994736935"/>
    <n v="589389.1994736935"/>
    <n v="2357556.797894774"/>
    <n v="589389.1994736935"/>
    <n v="589389.1994736935"/>
    <n v="589389.1994736935"/>
    <n v="589389.1994736935"/>
    <n v="2357556.797894774"/>
    <n v="589389.1994736935"/>
    <n v="589389.1994736935"/>
    <n v="589389.1994736935"/>
    <n v="589389.1994736935"/>
    <n v="2357556.797894774"/>
    <m/>
    <n v="6.0370242205515191E-4"/>
    <n v="12677750.863158191"/>
    <n v="18860454.383158192"/>
  </r>
  <r>
    <n v="406"/>
    <x v="0"/>
    <m/>
    <s v="구용근"/>
    <s v="구미"/>
    <s v="PKG"/>
    <s v="O"/>
    <s v="8&quot;"/>
    <s v="DDI"/>
    <x v="4"/>
    <s v="COF"/>
    <x v="32"/>
    <n v="1003043"/>
    <s v="MC"/>
    <s v="PIL-58 : INNER LEAD BONDER_COF-1000 (USED)"/>
    <s v="COF-1000"/>
    <x v="74"/>
    <s v="2세대"/>
    <m/>
    <x v="167"/>
    <s v="가동"/>
    <s v="일본"/>
    <s v="Shinkawa"/>
    <x v="0"/>
    <s v="2차"/>
    <s v="2차"/>
    <s v="해당"/>
    <s v="COF 본딩"/>
    <s v="COF 본딩"/>
    <m/>
    <m/>
    <s v="3B991"/>
    <s v="8486.20-0000"/>
    <s v="반도체제조장비"/>
    <m/>
    <d v="2012-02-24T00:00:00"/>
    <d v="2012-02-24T00:00:00"/>
    <n v="13.693150684931506"/>
    <n v="8"/>
    <s v="G1-1층"/>
    <s v="자사"/>
    <s v="미설정"/>
    <n v="3"/>
    <n v="2500"/>
    <n v="1400"/>
    <n v="1980"/>
    <n v="309135176"/>
    <m/>
    <m/>
    <m/>
    <n v="309134176"/>
    <n v="2599210"/>
    <n v="1000"/>
    <n v="1000"/>
    <m/>
    <m/>
    <m/>
    <s v="완료"/>
    <s v="D-ILB"/>
    <s v="COF(Assy_FT)"/>
    <s v="COF(Assy_FT)"/>
    <s v="기계장치"/>
    <n v="6182703.5200000005"/>
    <n v="589389.1994736935"/>
    <n v="196463.06649123118"/>
    <m/>
    <m/>
    <m/>
    <m/>
    <m/>
    <m/>
    <m/>
    <n v="589389.1994736935"/>
    <n v="589389.1994736935"/>
    <n v="1178778.398947387"/>
    <n v="589389.1994736935"/>
    <n v="589389.1994736935"/>
    <n v="589389.1994736935"/>
    <n v="589389.1994736935"/>
    <n v="2357556.797894774"/>
    <n v="589389.1994736935"/>
    <n v="589389.1994736935"/>
    <n v="589389.1994736935"/>
    <n v="589389.1994736935"/>
    <n v="2357556.797894774"/>
    <n v="589389.1994736935"/>
    <n v="589389.1994736935"/>
    <n v="589389.1994736935"/>
    <n v="589389.1994736935"/>
    <n v="2357556.797894774"/>
    <m/>
    <n v="6.0370242205515191E-4"/>
    <n v="12677750.863158191"/>
    <n v="18860454.383158192"/>
  </r>
  <r>
    <n v="407"/>
    <x v="0"/>
    <m/>
    <s v="구용근"/>
    <s v="구미"/>
    <s v="PKG"/>
    <s v="O"/>
    <s v="8&quot;&amp;12&quot;"/>
    <s v="DDI"/>
    <x v="4"/>
    <s v="COF"/>
    <x v="31"/>
    <n v="1005422"/>
    <s v="MC"/>
    <s v="PPT-45 : Potting System 4Head(쎄크)"/>
    <s v="TCP-435A"/>
    <x v="82"/>
    <m/>
    <s v="POTTING-010BJ01"/>
    <x v="0"/>
    <s v="가동"/>
    <s v="한국"/>
    <s v="SEC"/>
    <x v="2"/>
    <s v="2차"/>
    <s v="2차"/>
    <s v="일반장비(비통제)"/>
    <s v="에폭시 도포기"/>
    <m/>
    <m/>
    <m/>
    <s v="EAR99"/>
    <s v="8486.40-0000"/>
    <m/>
    <m/>
    <d v="2018-04-20T00:00:00"/>
    <d v="2018-04-20T00:00:00"/>
    <n v="7.536986301369863"/>
    <n v="8"/>
    <s v="G1-1층"/>
    <s v="자사"/>
    <s v="설정"/>
    <n v="3"/>
    <n v="7100"/>
    <n v="820"/>
    <n v="1860"/>
    <n v="319812500"/>
    <m/>
    <m/>
    <m/>
    <n v="283086452"/>
    <n v="3331380"/>
    <n v="26731908"/>
    <n v="1000"/>
    <m/>
    <m/>
    <n v="11.024274624930209"/>
    <s v="미완료"/>
    <s v="D-POT"/>
    <s v="COF(Assy_FT)"/>
    <s v="COF(Assy_FT)"/>
    <s v="기계장치"/>
    <n v="28068503.400000002"/>
    <n v="877140.73125000007"/>
    <n v="292380.24375000002"/>
    <m/>
    <m/>
    <m/>
    <m/>
    <m/>
    <m/>
    <m/>
    <n v="877140.73125000007"/>
    <n v="877140.73125000007"/>
    <n v="1754281.4625000001"/>
    <n v="877140.73125000007"/>
    <n v="877140.73125000007"/>
    <n v="877140.73125000007"/>
    <n v="877140.73125000007"/>
    <n v="3508562.9250000003"/>
    <n v="877140.73125000007"/>
    <n v="877140.73125000007"/>
    <n v="877140.73125000007"/>
    <n v="877140.73125000007"/>
    <n v="3508562.9250000003"/>
    <n v="877140.73125000007"/>
    <n v="877140.73125000007"/>
    <n v="877140.73125000007"/>
    <n v="877140.73125000007"/>
    <n v="3508562.9250000003"/>
    <m/>
    <m/>
    <m/>
    <n v="28068503.400000002"/>
  </r>
  <r>
    <n v="408"/>
    <x v="0"/>
    <m/>
    <s v="구용근"/>
    <s v="구미"/>
    <s v="PKG"/>
    <s v="O"/>
    <s v="8&quot;&amp;12&quot;"/>
    <s v="DDI"/>
    <x v="4"/>
    <s v="COF"/>
    <x v="31"/>
    <n v="1005423"/>
    <s v="MC"/>
    <s v="PPT-46 : Potting System 4Head(쎄크)"/>
    <s v="TCP-435A"/>
    <x v="82"/>
    <m/>
    <s v="POTTING-011BJ02"/>
    <x v="0"/>
    <s v="가동"/>
    <s v="한국"/>
    <s v="SEC"/>
    <x v="2"/>
    <s v="1차"/>
    <s v="1차"/>
    <s v="일반장비(비통제)"/>
    <s v="에폭시 도포기"/>
    <m/>
    <m/>
    <m/>
    <s v="EAR99"/>
    <s v="8486.40-0000"/>
    <m/>
    <m/>
    <d v="2018-04-20T00:00:00"/>
    <d v="2018-04-20T00:00:00"/>
    <n v="7.536986301369863"/>
    <n v="8"/>
    <s v="G1-1층"/>
    <s v="자사"/>
    <s v="설정"/>
    <n v="3"/>
    <n v="7100"/>
    <n v="820"/>
    <n v="1860"/>
    <n v="287800000"/>
    <m/>
    <m/>
    <m/>
    <n v="253741676"/>
    <n v="2997917"/>
    <n v="25064573"/>
    <n v="1000"/>
    <m/>
    <m/>
    <n v="11.360662753505183"/>
    <s v="미완료"/>
    <s v="D-POT"/>
    <s v="COF(Assy_FT)"/>
    <s v="COF(Assy_FT)"/>
    <s v="기계장치"/>
    <n v="26317801.650000002"/>
    <n v="822431.30156250007"/>
    <n v="274143.76718750002"/>
    <m/>
    <m/>
    <m/>
    <m/>
    <m/>
    <m/>
    <m/>
    <n v="822431.30156250007"/>
    <n v="822431.30156250007"/>
    <n v="1644862.6031250001"/>
    <n v="822431.30156250007"/>
    <n v="822431.30156250007"/>
    <n v="822431.30156250007"/>
    <n v="822431.30156250007"/>
    <n v="3289725.2062500003"/>
    <n v="822431.30156250007"/>
    <n v="822431.30156250007"/>
    <n v="822431.30156250007"/>
    <n v="822431.30156250007"/>
    <n v="3289725.2062500003"/>
    <n v="822431.30156250007"/>
    <n v="822431.30156250007"/>
    <n v="822431.30156250007"/>
    <n v="822431.30156250007"/>
    <n v="3289725.2062500003"/>
    <m/>
    <m/>
    <m/>
    <n v="26317801.650000002"/>
  </r>
  <r>
    <n v="409"/>
    <x v="0"/>
    <m/>
    <s v="구용근"/>
    <s v="구미"/>
    <s v="PKG"/>
    <s v="O"/>
    <s v="8&quot;&amp;12&quot;"/>
    <s v="DDI"/>
    <x v="4"/>
    <s v="COF"/>
    <x v="31"/>
    <n v="1005424"/>
    <s v="MC"/>
    <s v="PPT-47 : Potting System 4Head(쎄크)"/>
    <s v="TCP-435A"/>
    <x v="82"/>
    <m/>
    <s v="POTTING-012BJ03"/>
    <x v="0"/>
    <s v="가동"/>
    <s v="한국"/>
    <s v="SEC"/>
    <x v="2"/>
    <s v="2차"/>
    <s v="2차"/>
    <s v="일반장비(비통제)"/>
    <s v="에폭시 도포기"/>
    <m/>
    <m/>
    <m/>
    <s v="EAR99"/>
    <s v="8486.40-0000"/>
    <m/>
    <m/>
    <d v="2018-04-20T00:00:00"/>
    <d v="2018-04-20T00:00:00"/>
    <n v="7.536986301369863"/>
    <n v="8"/>
    <s v="G1-1층"/>
    <s v="자사"/>
    <s v="설정"/>
    <n v="3"/>
    <n v="7100"/>
    <n v="820"/>
    <n v="1860"/>
    <n v="319812500"/>
    <m/>
    <m/>
    <m/>
    <n v="283086452"/>
    <n v="3331380"/>
    <n v="26731908"/>
    <n v="1000"/>
    <m/>
    <m/>
    <n v="11.024274624930209"/>
    <s v="미완료"/>
    <s v="D-POT"/>
    <s v="COF(Assy_FT)"/>
    <s v="COF(Assy_FT)"/>
    <s v="기계장치"/>
    <n v="28068503.400000002"/>
    <n v="877140.73125000007"/>
    <n v="292380.24375000002"/>
    <m/>
    <m/>
    <m/>
    <m/>
    <m/>
    <m/>
    <m/>
    <n v="877140.73125000007"/>
    <n v="877140.73125000007"/>
    <n v="1754281.4625000001"/>
    <n v="877140.73125000007"/>
    <n v="877140.73125000007"/>
    <n v="877140.73125000007"/>
    <n v="877140.73125000007"/>
    <n v="3508562.9250000003"/>
    <n v="877140.73125000007"/>
    <n v="877140.73125000007"/>
    <n v="877140.73125000007"/>
    <n v="877140.73125000007"/>
    <n v="3508562.9250000003"/>
    <n v="877140.73125000007"/>
    <n v="877140.73125000007"/>
    <n v="877140.73125000007"/>
    <n v="877140.73125000007"/>
    <n v="3508562.9250000003"/>
    <m/>
    <m/>
    <m/>
    <n v="28068503.400000002"/>
  </r>
  <r>
    <n v="410"/>
    <x v="0"/>
    <m/>
    <s v="구용근"/>
    <s v="구미"/>
    <s v="PKG"/>
    <s v="O"/>
    <s v="8&quot;"/>
    <s v="DDI"/>
    <x v="4"/>
    <s v="COF"/>
    <x v="32"/>
    <n v="1003444"/>
    <s v="MC"/>
    <s v="PIL-59 : COF Bonder (Used)"/>
    <s v="COF-300"/>
    <x v="64"/>
    <s v="1세대"/>
    <s v="A2-53628"/>
    <x v="164"/>
    <s v="가동"/>
    <s v="일본"/>
    <s v="Shinkawa"/>
    <x v="1"/>
    <s v="3차"/>
    <s v="3차"/>
    <s v="해당"/>
    <s v="COF 본딩"/>
    <s v="COF 본딩"/>
    <m/>
    <m/>
    <s v="3B991"/>
    <s v="8486.20-0000"/>
    <s v="반도체제조장비"/>
    <m/>
    <d v="2012-07-05T00:00:00"/>
    <d v="2012-07-05T00:00:00"/>
    <n v="13.331506849315069"/>
    <n v="8"/>
    <s v="G1-1층"/>
    <s v="자사"/>
    <s v="미설정"/>
    <n v="3"/>
    <n v="2700"/>
    <n v="1350"/>
    <n v="2000"/>
    <n v="131420463"/>
    <m/>
    <m/>
    <m/>
    <n v="131419463"/>
    <n v="1072444"/>
    <n v="1000"/>
    <n v="1000"/>
    <m/>
    <m/>
    <m/>
    <s v="완료"/>
    <s v="D-ILB"/>
    <s v="COF(Assy_FT)"/>
    <s v="COF(Assy_FT)"/>
    <s v="기계장치"/>
    <n v="2628409.2600000002"/>
    <n v="250562.88476867526"/>
    <n v="83520.961589558414"/>
    <m/>
    <m/>
    <n v="250562.88476867526"/>
    <n v="250562.88476867526"/>
    <n v="501125.76953735051"/>
    <n v="250562.88476867526"/>
    <n v="250562.88476867526"/>
    <n v="250562.88476867526"/>
    <n v="250562.88476867526"/>
    <n v="1002251.539074701"/>
    <n v="250562.88476867526"/>
    <n v="250562.88476867526"/>
    <n v="250562.88476867526"/>
    <n v="250562.88476867526"/>
    <n v="1002251.539074701"/>
    <n v="250562.88476867526"/>
    <n v="250562.88476867526"/>
    <n v="250562.88476867526"/>
    <n v="250562.88476867526"/>
    <n v="1002251.539074701"/>
    <n v="250562.88476867526"/>
    <n v="250562.88476867526"/>
    <n v="250562.88476867526"/>
    <n v="250562.88476867526"/>
    <n v="1002251.539074701"/>
    <m/>
    <n v="2.5664776440940994E-4"/>
    <n v="5389603.0525976084"/>
    <n v="8018012.3125976082"/>
  </r>
  <r>
    <n v="411"/>
    <x v="0"/>
    <m/>
    <s v="구용근"/>
    <s v="구미"/>
    <s v="PKG"/>
    <s v="O"/>
    <s v="8&quot;"/>
    <s v="DDI"/>
    <x v="4"/>
    <s v="COF"/>
    <x v="32"/>
    <n v="1003443"/>
    <s v="MC"/>
    <s v="PIL-60 : COF Bonder (Used)"/>
    <s v="COF-300"/>
    <x v="64"/>
    <s v="1세대"/>
    <s v="A4-54694"/>
    <x v="164"/>
    <s v="가동"/>
    <s v="일본"/>
    <s v="Shinkawa"/>
    <x v="1"/>
    <s v="3차"/>
    <s v="3차"/>
    <s v="해당"/>
    <s v="COF 본딩"/>
    <s v="COF 본딩"/>
    <m/>
    <m/>
    <s v="3B991"/>
    <s v="8486.20-0000"/>
    <s v="반도체제조장비"/>
    <m/>
    <d v="2012-07-05T00:00:00"/>
    <d v="2012-07-05T00:00:00"/>
    <n v="13.331506849315069"/>
    <n v="8"/>
    <s v="G1-1층"/>
    <s v="자사"/>
    <s v="미설정"/>
    <n v="3"/>
    <n v="2700"/>
    <n v="1350"/>
    <n v="2000"/>
    <n v="131420463"/>
    <m/>
    <m/>
    <m/>
    <n v="131419463"/>
    <n v="1072444"/>
    <n v="1000"/>
    <n v="1000"/>
    <m/>
    <m/>
    <m/>
    <s v="완료"/>
    <s v="D-ILB"/>
    <s v="COF(Assy_FT)"/>
    <s v="COF(Assy_FT)"/>
    <s v="기계장치"/>
    <n v="2628409.2600000002"/>
    <n v="250562.88476867526"/>
    <n v="83520.961589558414"/>
    <m/>
    <m/>
    <n v="250562.88476867526"/>
    <n v="250562.88476867526"/>
    <n v="501125.76953735051"/>
    <n v="250562.88476867526"/>
    <n v="250562.88476867526"/>
    <n v="250562.88476867526"/>
    <n v="250562.88476867526"/>
    <n v="1002251.539074701"/>
    <n v="250562.88476867526"/>
    <n v="250562.88476867526"/>
    <n v="250562.88476867526"/>
    <n v="250562.88476867526"/>
    <n v="1002251.539074701"/>
    <n v="250562.88476867526"/>
    <n v="250562.88476867526"/>
    <n v="250562.88476867526"/>
    <n v="250562.88476867526"/>
    <n v="1002251.539074701"/>
    <n v="250562.88476867526"/>
    <n v="250562.88476867526"/>
    <n v="250562.88476867526"/>
    <n v="250562.88476867526"/>
    <n v="1002251.539074701"/>
    <m/>
    <n v="2.5664776440940994E-4"/>
    <n v="5389603.0525976084"/>
    <n v="8018012.3125976082"/>
  </r>
  <r>
    <n v="412"/>
    <x v="0"/>
    <m/>
    <s v="구용근"/>
    <s v="구미"/>
    <s v="PKG"/>
    <s v="O"/>
    <s v="8&quot;&amp;12&quot;"/>
    <s v="DDI"/>
    <x v="4"/>
    <s v="COF"/>
    <x v="32"/>
    <n v="1005866"/>
    <s v="MC"/>
    <s v="PIL-86 : TFC-3600-300(SHIBAURA)"/>
    <s v="TFC-3600"/>
    <x v="67"/>
    <s v="3세대"/>
    <s v="E184"/>
    <x v="165"/>
    <s v="가동"/>
    <s v="일본"/>
    <s v="Shibaura"/>
    <x v="0"/>
    <s v="2차"/>
    <s v="2차"/>
    <s v="해당"/>
    <s v="칩 본딩 장비"/>
    <s v="칩 본딩 장비"/>
    <m/>
    <m/>
    <s v="3B991"/>
    <s v="8486.40-0000"/>
    <s v="반도체 제조 공정용"/>
    <m/>
    <d v="2019-04-02T00:00:00"/>
    <d v="2019-04-02T00:00:00"/>
    <n v="6.5863013698630137"/>
    <n v="8"/>
    <s v="G1-1층"/>
    <s v="자사"/>
    <s v="미설정"/>
    <n v="3.6"/>
    <n v="2820"/>
    <n v="1154"/>
    <n v="2020"/>
    <n v="447860307"/>
    <m/>
    <m/>
    <m/>
    <n v="351334213"/>
    <n v="4665212"/>
    <n v="82530458"/>
    <n v="6173526"/>
    <m/>
    <m/>
    <n v="20.690612559514982"/>
    <s v="미완료"/>
    <s v="D-ILB"/>
    <s v="COF(Assy_FT)"/>
    <s v="COF(Assy_FT)"/>
    <s v="기계장치"/>
    <n v="86656980.900000006"/>
    <n v="8260898.8828657502"/>
    <n v="2753632.9609552501"/>
    <m/>
    <m/>
    <m/>
    <m/>
    <m/>
    <m/>
    <m/>
    <n v="8260898.8828657502"/>
    <n v="8260898.8828657502"/>
    <n v="16521797.7657315"/>
    <n v="8260898.8828657502"/>
    <n v="8260898.8828657502"/>
    <n v="8260898.8828657502"/>
    <n v="8260898.8828657502"/>
    <n v="33043595.531463001"/>
    <n v="8260898.8828657502"/>
    <n v="8260898.8828657502"/>
    <n v="8260898.8828657502"/>
    <n v="8260898.8828657502"/>
    <n v="33043595.531463001"/>
    <n v="8260898.8828657502"/>
    <n v="8260898.8828657502"/>
    <n v="8260898.8828657502"/>
    <n v="8260898.8828657502"/>
    <n v="33043595.531463001"/>
    <m/>
    <n v="8.461513492938286E-3"/>
    <n v="177691783.351704"/>
    <n v="264348764.25170401"/>
  </r>
  <r>
    <n v="413"/>
    <x v="0"/>
    <m/>
    <s v="구용근"/>
    <s v="구미"/>
    <s v="PKG"/>
    <s v="O"/>
    <s v="8&quot;&amp;12&quot;"/>
    <s v="DDI"/>
    <x v="4"/>
    <s v="COF"/>
    <x v="32"/>
    <n v="1005865"/>
    <s v="MC"/>
    <s v="PIL-85 : TFC-3600-300(SHIBAURA)"/>
    <s v="TFC-3600"/>
    <x v="67"/>
    <s v="3세대"/>
    <s v="E183"/>
    <x v="165"/>
    <s v="가동"/>
    <s v="일본"/>
    <s v="Shibaura"/>
    <x v="2"/>
    <s v="2차"/>
    <s v="2차"/>
    <s v="해당"/>
    <s v="칩 본딩 장비"/>
    <s v="칩 본딩 장비"/>
    <m/>
    <m/>
    <s v="3B991"/>
    <s v="8486.40-0000"/>
    <s v="반도체 제조 공정용"/>
    <m/>
    <d v="2019-04-02T00:00:00"/>
    <d v="2019-04-02T00:00:00"/>
    <n v="6.5863013698630137"/>
    <n v="8"/>
    <s v="G1-1층"/>
    <s v="자사"/>
    <s v="미설정"/>
    <n v="3.6"/>
    <n v="2820"/>
    <n v="1154"/>
    <n v="2020"/>
    <n v="445460299"/>
    <m/>
    <m/>
    <m/>
    <n v="349484185"/>
    <n v="4640211"/>
    <n v="82055481"/>
    <n v="6137681"/>
    <m/>
    <m/>
    <n v="20.683566760218447"/>
    <s v="미완료"/>
    <s v="D-ILB"/>
    <s v="COF(Assy_FT)"/>
    <s v="COF(Assy_FT)"/>
    <s v="기계장치"/>
    <n v="86158255.049999997"/>
    <n v="2692445.4703124999"/>
    <n v="897481.82343749993"/>
    <m/>
    <m/>
    <m/>
    <m/>
    <m/>
    <m/>
    <m/>
    <n v="2692445.4703124999"/>
    <n v="2692445.4703124999"/>
    <n v="5384890.9406249998"/>
    <n v="2692445.4703124999"/>
    <n v="2692445.4703124999"/>
    <n v="2692445.4703124999"/>
    <n v="2692445.4703124999"/>
    <n v="10769781.88125"/>
    <n v="2692445.4703124999"/>
    <n v="2692445.4703124999"/>
    <n v="2692445.4703124999"/>
    <n v="2692445.4703124999"/>
    <n v="10769781.88125"/>
    <n v="2692445.4703124999"/>
    <n v="2692445.4703124999"/>
    <n v="2692445.4703124999"/>
    <n v="2692445.4703124999"/>
    <n v="10769781.88125"/>
    <m/>
    <m/>
    <m/>
    <n v="86158255.049999997"/>
  </r>
  <r>
    <n v="414"/>
    <x v="0"/>
    <m/>
    <s v="구용근"/>
    <s v="구미"/>
    <s v="PKG"/>
    <s v="O"/>
    <s v="8&quot;&amp;12&quot;"/>
    <s v="DDI"/>
    <x v="4"/>
    <s v="COF"/>
    <x v="32"/>
    <n v="1005864"/>
    <s v="MC"/>
    <s v="PIL-84 : TFC-3600-300(SHIBAURA)"/>
    <s v="TFC-3600"/>
    <x v="67"/>
    <s v="3세대"/>
    <s v="E182"/>
    <x v="165"/>
    <s v="가동"/>
    <s v="일본"/>
    <s v="Shibaura"/>
    <x v="2"/>
    <s v="2차"/>
    <s v="2차"/>
    <s v="해당"/>
    <s v="칩 본딩 장비"/>
    <s v="칩 본딩 장비"/>
    <m/>
    <m/>
    <s v="3B991"/>
    <s v="8486.40-0000"/>
    <s v="반도체 제조 공정용"/>
    <m/>
    <d v="2019-04-02T00:00:00"/>
    <d v="2019-04-02T00:00:00"/>
    <n v="6.5863013698630137"/>
    <n v="8"/>
    <s v="G1-1층"/>
    <s v="자사"/>
    <s v="미설정"/>
    <n v="3.6"/>
    <n v="2820"/>
    <n v="1154"/>
    <n v="2020"/>
    <n v="460360299"/>
    <m/>
    <m/>
    <m/>
    <n v="354339395"/>
    <n v="4795420"/>
    <n v="91634644"/>
    <n v="6919387"/>
    <m/>
    <m/>
    <n v="22.108783797873805"/>
    <s v="미완료"/>
    <s v="D-ILB"/>
    <s v="COF(Assy_FT)"/>
    <s v="COF(Assy_FT)"/>
    <s v="기계장치"/>
    <n v="96216376.200000003"/>
    <n v="3006761.7562500001"/>
    <n v="1002253.9187500001"/>
    <m/>
    <m/>
    <m/>
    <m/>
    <m/>
    <m/>
    <m/>
    <n v="3006761.7562500001"/>
    <n v="3006761.7562500001"/>
    <n v="6013523.5125000002"/>
    <n v="3006761.7562500001"/>
    <n v="3006761.7562500001"/>
    <n v="3006761.7562500001"/>
    <n v="3006761.7562500001"/>
    <n v="12027047.025"/>
    <n v="3006761.7562500001"/>
    <n v="3006761.7562500001"/>
    <n v="3006761.7562500001"/>
    <n v="3006761.7562500001"/>
    <n v="12027047.025"/>
    <n v="3006761.7562500001"/>
    <n v="3006761.7562500001"/>
    <n v="3006761.7562500001"/>
    <n v="3006761.7562500001"/>
    <n v="12027047.025"/>
    <m/>
    <m/>
    <m/>
    <n v="96216376.200000003"/>
  </r>
  <r>
    <n v="415"/>
    <x v="0"/>
    <m/>
    <s v="구용근"/>
    <s v="구미"/>
    <s v="PKG"/>
    <s v="O"/>
    <s v="8&quot;&amp;12&quot;"/>
    <s v="DDI"/>
    <x v="4"/>
    <s v="COF"/>
    <x v="31"/>
    <n v="1005469"/>
    <s v="MC"/>
    <s v="PPT-48 : Potting System 4Head(쎄크)"/>
    <s v="TCP-435A"/>
    <x v="82"/>
    <m/>
    <s v="POTTING-013BJ04"/>
    <x v="0"/>
    <s v="가동"/>
    <s v="한국"/>
    <s v="SEC"/>
    <x v="2"/>
    <s v="2차"/>
    <s v="2차"/>
    <s v="일반장비(비통제)"/>
    <s v="에폭시 도포기"/>
    <m/>
    <m/>
    <m/>
    <s v="EAR99"/>
    <s v="8486.40-0000"/>
    <m/>
    <m/>
    <d v="2018-05-29T00:00:00"/>
    <d v="2018-05-29T00:00:00"/>
    <n v="7.4301369863013695"/>
    <n v="8"/>
    <s v="G1-1층"/>
    <s v="자사"/>
    <s v="설정"/>
    <n v="6.6"/>
    <n v="7100"/>
    <n v="820"/>
    <n v="1860"/>
    <n v="282330000"/>
    <m/>
    <m/>
    <m/>
    <n v="250841775"/>
    <n v="2940938"/>
    <n v="22665411"/>
    <n v="443090"/>
    <m/>
    <m/>
    <n v="10.706864612582788"/>
    <s v="미완료"/>
    <s v="D-POT"/>
    <s v="COF(Assy_FT)"/>
    <s v="COF(Assy_FT)"/>
    <s v="기계장치"/>
    <n v="23798681.550000001"/>
    <n v="743708.79843750002"/>
    <n v="247902.93281250002"/>
    <m/>
    <m/>
    <m/>
    <m/>
    <m/>
    <m/>
    <m/>
    <n v="743708.79843750002"/>
    <n v="743708.79843750002"/>
    <n v="1487417.596875"/>
    <n v="743708.79843750002"/>
    <n v="743708.79843750002"/>
    <n v="743708.79843750002"/>
    <n v="743708.79843750002"/>
    <n v="2974835.1937500001"/>
    <n v="743708.79843750002"/>
    <n v="743708.79843750002"/>
    <n v="743708.79843750002"/>
    <n v="743708.79843750002"/>
    <n v="2974835.1937500001"/>
    <n v="743708.79843750002"/>
    <n v="743708.79843750002"/>
    <n v="743708.79843750002"/>
    <n v="743708.79843750002"/>
    <n v="2974835.1937500001"/>
    <m/>
    <m/>
    <m/>
    <n v="23798681.550000001"/>
  </r>
  <r>
    <n v="416"/>
    <x v="0"/>
    <m/>
    <s v="구용근"/>
    <s v="구미"/>
    <s v="PKG"/>
    <s v="O"/>
    <s v="8&quot;&amp;12&quot;"/>
    <s v="DDI"/>
    <x v="4"/>
    <s v="COF"/>
    <x v="31"/>
    <n v="1005470"/>
    <s v="MC"/>
    <s v="PPT-49 : Potting System 4Head(쎄크)"/>
    <s v="TCP-435A"/>
    <x v="82"/>
    <m/>
    <s v="POTTING-014BJ05"/>
    <x v="0"/>
    <s v="가동"/>
    <s v="한국"/>
    <s v="SEC"/>
    <x v="2"/>
    <s v="2차"/>
    <s v="2차"/>
    <s v="일반장비(비통제)"/>
    <s v="에폭시 도포기"/>
    <m/>
    <m/>
    <m/>
    <s v="EAR99"/>
    <s v="8486.40-0000"/>
    <m/>
    <m/>
    <d v="2018-05-29T00:00:00"/>
    <d v="2018-05-29T00:00:00"/>
    <n v="7.4301369863013695"/>
    <n v="8"/>
    <s v="G1-1층"/>
    <s v="자사"/>
    <s v="설정"/>
    <n v="6.6"/>
    <n v="7100"/>
    <n v="820"/>
    <n v="1860"/>
    <n v="318830000"/>
    <m/>
    <m/>
    <m/>
    <n v="274794901"/>
    <n v="3321146"/>
    <n v="34071661"/>
    <n v="723665"/>
    <m/>
    <m/>
    <n v="13.259007282426007"/>
    <s v="미완료"/>
    <s v="D-POT"/>
    <s v="COF(Assy_FT)"/>
    <s v="COF(Assy_FT)"/>
    <s v="기계장치"/>
    <n v="35775244.050000004"/>
    <n v="1117976.3765625001"/>
    <n v="372658.79218750005"/>
    <m/>
    <m/>
    <m/>
    <m/>
    <m/>
    <m/>
    <m/>
    <n v="1117976.3765625001"/>
    <n v="1117976.3765625001"/>
    <n v="2235952.7531250003"/>
    <n v="1117976.3765625001"/>
    <n v="1117976.3765625001"/>
    <n v="1117976.3765625001"/>
    <n v="1117976.3765625001"/>
    <n v="4471905.5062500006"/>
    <n v="1117976.3765625001"/>
    <n v="1117976.3765625001"/>
    <n v="1117976.3765625001"/>
    <n v="1117976.3765625001"/>
    <n v="4471905.5062500006"/>
    <n v="1117976.3765625001"/>
    <n v="1117976.3765625001"/>
    <n v="1117976.3765625001"/>
    <n v="1117976.3765625001"/>
    <n v="4471905.5062500006"/>
    <m/>
    <m/>
    <m/>
    <n v="35775244.050000004"/>
  </r>
  <r>
    <n v="417"/>
    <x v="0"/>
    <m/>
    <s v="구용근"/>
    <s v="구미"/>
    <s v="PKG"/>
    <s v="O"/>
    <s v="8&quot;&amp;12&quot;"/>
    <s v="DDI"/>
    <x v="4"/>
    <s v="COF"/>
    <x v="31"/>
    <n v="1005483"/>
    <s v="MC"/>
    <s v="PPT-50 : Potting System 4Head(쎄크)"/>
    <s v="TCP-435A"/>
    <x v="82"/>
    <m/>
    <s v="POTTING-015BJ06"/>
    <x v="0"/>
    <s v="가동"/>
    <s v="한국"/>
    <s v="SEC"/>
    <x v="2"/>
    <s v="2차"/>
    <s v="2차"/>
    <s v="일반장비(비통제)"/>
    <s v="에폭시 도포기"/>
    <m/>
    <m/>
    <m/>
    <s v="EAR99"/>
    <s v="8486.40-0000"/>
    <m/>
    <m/>
    <d v="2018-06-27T00:00:00"/>
    <d v="2018-06-27T00:00:00"/>
    <n v="7.3506849315068497"/>
    <n v="8"/>
    <s v="G1-1층"/>
    <s v="자사"/>
    <s v="설정"/>
    <n v="6.6"/>
    <n v="7100"/>
    <n v="820"/>
    <n v="1860"/>
    <n v="286560000"/>
    <m/>
    <m/>
    <m/>
    <n v="248725628"/>
    <n v="2985000"/>
    <n v="28879372"/>
    <n v="966662"/>
    <m/>
    <m/>
    <n v="12.67483149078727"/>
    <s v="미완료"/>
    <s v="D-POT"/>
    <s v="COF(Assy_FT)"/>
    <s v="COF(Assy_FT)"/>
    <s v="기계장치"/>
    <n v="30323340.600000001"/>
    <n v="947604.39375000005"/>
    <n v="315868.13125000003"/>
    <m/>
    <m/>
    <m/>
    <m/>
    <m/>
    <m/>
    <m/>
    <n v="947604.39375000005"/>
    <n v="947604.39375000005"/>
    <n v="1895208.7875000001"/>
    <n v="947604.39375000005"/>
    <n v="947604.39375000005"/>
    <n v="947604.39375000005"/>
    <n v="947604.39375000005"/>
    <n v="3790417.5750000002"/>
    <n v="947604.39375000005"/>
    <n v="947604.39375000005"/>
    <n v="947604.39375000005"/>
    <n v="947604.39375000005"/>
    <n v="3790417.5750000002"/>
    <n v="947604.39375000005"/>
    <n v="947604.39375000005"/>
    <n v="947604.39375000005"/>
    <n v="947604.39375000005"/>
    <n v="3790417.5750000002"/>
    <m/>
    <m/>
    <m/>
    <n v="30323340.600000001"/>
  </r>
  <r>
    <n v="418"/>
    <x v="0"/>
    <m/>
    <s v="구용근"/>
    <s v="구미"/>
    <s v="PKG"/>
    <s v="O"/>
    <s v="8&quot;&amp;12&quot;"/>
    <s v="DDI"/>
    <x v="4"/>
    <s v="COF"/>
    <x v="32"/>
    <n v="1005863"/>
    <s v="MC"/>
    <s v="PIL-83 : TFC-3600-300(SHIBAURA)"/>
    <s v="TFC-3600"/>
    <x v="67"/>
    <s v="3세대"/>
    <s v="E181"/>
    <x v="165"/>
    <s v="가동"/>
    <s v="일본"/>
    <s v="Shibaura"/>
    <x v="2"/>
    <s v="2차"/>
    <s v="2차"/>
    <s v="해당"/>
    <s v="칩 본딩 장비"/>
    <s v="칩 본딩 장비"/>
    <m/>
    <m/>
    <s v="3B991"/>
    <s v="8486.40-0000"/>
    <s v="반도체 제조 공정용"/>
    <m/>
    <d v="2019-04-02T00:00:00"/>
    <d v="2019-04-02T00:00:00"/>
    <n v="6.5863013698630137"/>
    <n v="8"/>
    <s v="G1-1층"/>
    <s v="자사"/>
    <s v="미설정"/>
    <n v="3.6"/>
    <n v="2820"/>
    <n v="1154"/>
    <n v="2020"/>
    <n v="434960299"/>
    <m/>
    <m/>
    <m/>
    <n v="344343565"/>
    <n v="4530836"/>
    <n v="77024226"/>
    <n v="5731806"/>
    <m/>
    <m/>
    <n v="20.000003089937486"/>
    <s v="미완료"/>
    <s v="D-ILB"/>
    <s v="COF(Assy_FT)"/>
    <s v="COF(Assy_FT)"/>
    <s v="기계장치"/>
    <n v="80875437.299999997"/>
    <n v="2527357.4156249999"/>
    <n v="842452.47187499993"/>
    <m/>
    <m/>
    <m/>
    <m/>
    <m/>
    <m/>
    <m/>
    <n v="2527357.4156249999"/>
    <n v="2527357.4156249999"/>
    <n v="5054714.8312499998"/>
    <n v="2527357.4156249999"/>
    <n v="2527357.4156249999"/>
    <n v="2527357.4156249999"/>
    <n v="2527357.4156249999"/>
    <n v="10109429.6625"/>
    <n v="2527357.4156249999"/>
    <n v="2527357.4156249999"/>
    <n v="2527357.4156249999"/>
    <n v="2527357.4156249999"/>
    <n v="10109429.6625"/>
    <n v="2527357.4156249999"/>
    <n v="2527357.4156249999"/>
    <n v="2527357.4156249999"/>
    <n v="2527357.4156249999"/>
    <n v="10109429.6625"/>
    <m/>
    <m/>
    <m/>
    <n v="80875437.299999997"/>
  </r>
  <r>
    <n v="419"/>
    <x v="0"/>
    <m/>
    <s v="구용근"/>
    <s v="구미"/>
    <s v="PKG"/>
    <s v="O"/>
    <s v="8&quot;&amp;12&quot;"/>
    <s v="DDI"/>
    <x v="4"/>
    <s v="COF"/>
    <x v="32"/>
    <n v="1005862"/>
    <s v="MC"/>
    <s v="PIL-82 : TFC-3600-300(SHIBAURA)"/>
    <s v="TFC-3600"/>
    <x v="67"/>
    <s v="3세대"/>
    <s v="E180"/>
    <x v="165"/>
    <s v="가동"/>
    <s v="일본"/>
    <s v="Shibaura"/>
    <x v="2"/>
    <s v="2차"/>
    <s v="2차"/>
    <s v="해당"/>
    <s v="칩 본딩 장비"/>
    <s v="칩 본딩 장비"/>
    <m/>
    <m/>
    <s v="3B991"/>
    <s v="8486.40-0000"/>
    <s v="반도체 제조 공정용"/>
    <m/>
    <d v="2019-04-02T00:00:00"/>
    <d v="2019-04-02T00:00:00"/>
    <n v="6.5863013698630137"/>
    <n v="8"/>
    <s v="G1-1층"/>
    <s v="자사"/>
    <s v="미설정"/>
    <n v="3.6"/>
    <n v="2820"/>
    <n v="1154"/>
    <n v="2020"/>
    <n v="434960299"/>
    <m/>
    <m/>
    <m/>
    <n v="344343565"/>
    <n v="4530836"/>
    <n v="77024226"/>
    <n v="5731806"/>
    <m/>
    <m/>
    <n v="20.000003089937486"/>
    <s v="미완료"/>
    <s v="D-ILB"/>
    <s v="COF(Assy_FT)"/>
    <s v="COF(Assy_FT)"/>
    <s v="기계장치"/>
    <n v="80875437.299999997"/>
    <n v="2527357.4156249999"/>
    <n v="842452.47187499993"/>
    <m/>
    <m/>
    <m/>
    <m/>
    <m/>
    <m/>
    <m/>
    <n v="2527357.4156249999"/>
    <n v="2527357.4156249999"/>
    <n v="5054714.8312499998"/>
    <n v="2527357.4156249999"/>
    <n v="2527357.4156249999"/>
    <n v="2527357.4156249999"/>
    <n v="2527357.4156249999"/>
    <n v="10109429.6625"/>
    <n v="2527357.4156249999"/>
    <n v="2527357.4156249999"/>
    <n v="2527357.4156249999"/>
    <n v="2527357.4156249999"/>
    <n v="10109429.6625"/>
    <n v="2527357.4156249999"/>
    <n v="2527357.4156249999"/>
    <n v="2527357.4156249999"/>
    <n v="2527357.4156249999"/>
    <n v="10109429.6625"/>
    <m/>
    <m/>
    <m/>
    <n v="80875437.299999997"/>
  </r>
  <r>
    <n v="420"/>
    <x v="0"/>
    <m/>
    <s v="구용근"/>
    <s v="구미"/>
    <s v="PKG"/>
    <s v="O"/>
    <s v="8&quot;&amp;12&quot;"/>
    <s v="DDI"/>
    <x v="4"/>
    <s v="COF"/>
    <x v="32"/>
    <n v="1005614"/>
    <s v="MC"/>
    <s v="PIL-81 : TFC-3600-300(SHIBAURA)"/>
    <s v="TFC-3600"/>
    <x v="67"/>
    <s v="3세대"/>
    <s v="E118"/>
    <x v="165"/>
    <s v="가동"/>
    <s v="일본"/>
    <s v="Shibaura"/>
    <x v="2"/>
    <s v="2차"/>
    <s v="2차"/>
    <s v="해당"/>
    <s v="칩 본딩 장비"/>
    <s v="칩 본딩 장비"/>
    <m/>
    <m/>
    <s v="3B991"/>
    <s v="8486.40-0000"/>
    <s v="반도체 제조 공정용"/>
    <m/>
    <d v="2018-09-01T00:00:00"/>
    <d v="2018-09-01T00:00:00"/>
    <n v="7.1698630136986301"/>
    <n v="8"/>
    <s v="G1-1층"/>
    <s v="자사"/>
    <s v="설정"/>
    <n v="3.6"/>
    <n v="2820"/>
    <n v="1154"/>
    <n v="2020"/>
    <n v="448153431"/>
    <m/>
    <m/>
    <m/>
    <n v="375726406"/>
    <n v="4668265"/>
    <n v="58422230"/>
    <n v="3234576"/>
    <m/>
    <m/>
    <n v="15.514762979393844"/>
    <s v="미완료"/>
    <s v="D-ILB"/>
    <s v="COF(Assy_FT)"/>
    <s v="COF(Assy_FT)"/>
    <s v="기계장치"/>
    <n v="61343341.5"/>
    <n v="1916979.421875"/>
    <n v="638993.140625"/>
    <m/>
    <m/>
    <m/>
    <m/>
    <m/>
    <m/>
    <m/>
    <n v="1916979.421875"/>
    <n v="1916979.421875"/>
    <n v="3833958.84375"/>
    <n v="1916979.421875"/>
    <n v="1916979.421875"/>
    <n v="1916979.421875"/>
    <n v="1916979.421875"/>
    <n v="7667917.6875"/>
    <n v="1916979.421875"/>
    <n v="1916979.421875"/>
    <n v="1916979.421875"/>
    <n v="1916979.421875"/>
    <n v="7667917.6875"/>
    <n v="1916979.421875"/>
    <n v="1916979.421875"/>
    <n v="1916979.421875"/>
    <n v="1916979.421875"/>
    <n v="7667917.6875"/>
    <m/>
    <m/>
    <m/>
    <n v="61343341.5"/>
  </r>
  <r>
    <n v="421"/>
    <x v="0"/>
    <m/>
    <s v="구용근"/>
    <s v="구미"/>
    <s v="PKG"/>
    <s v="O"/>
    <s v="8&quot;&amp;12&quot;"/>
    <s v="DDI"/>
    <x v="4"/>
    <s v="COF"/>
    <x v="32"/>
    <n v="1005613"/>
    <s v="MC"/>
    <s v="PIL-80 : TFC-3600-300(SHIBAURA)"/>
    <s v="TFC-3600"/>
    <x v="67"/>
    <s v="3세대"/>
    <s v="E117"/>
    <x v="165"/>
    <s v="가동"/>
    <s v="일본"/>
    <s v="Shibaura"/>
    <x v="2"/>
    <s v="2차"/>
    <s v="2차"/>
    <s v="해당"/>
    <s v="칩 본딩 장비"/>
    <s v="칩 본딩 장비"/>
    <m/>
    <m/>
    <s v="3B991"/>
    <s v="8486.40-0000"/>
    <s v="반도체 제조 공정용"/>
    <m/>
    <d v="2018-09-01T00:00:00"/>
    <d v="2018-09-01T00:00:00"/>
    <n v="7.1698630136986301"/>
    <n v="8"/>
    <s v="G1-1층"/>
    <s v="자사"/>
    <s v="설정"/>
    <n v="3.6"/>
    <n v="2820"/>
    <n v="1154"/>
    <n v="2020"/>
    <n v="475153427"/>
    <m/>
    <m/>
    <m/>
    <n v="399070156"/>
    <n v="4949515"/>
    <n v="61234726"/>
    <n v="3382825"/>
    <m/>
    <m/>
    <n v="15.371863909898243"/>
    <s v="미완료"/>
    <s v="D-ILB"/>
    <s v="COF(Assy_FT)"/>
    <s v="COF(Assy_FT)"/>
    <s v="기계장치"/>
    <n v="64296462.300000004"/>
    <n v="2009264.4468750001"/>
    <n v="669754.81562500005"/>
    <m/>
    <m/>
    <m/>
    <m/>
    <m/>
    <m/>
    <m/>
    <n v="2009264.4468750001"/>
    <n v="2009264.4468750001"/>
    <n v="4018528.8937500003"/>
    <n v="2009264.4468750001"/>
    <n v="2009264.4468750001"/>
    <n v="2009264.4468750001"/>
    <n v="2009264.4468750001"/>
    <n v="8037057.7875000006"/>
    <n v="2009264.4468750001"/>
    <n v="2009264.4468750001"/>
    <n v="2009264.4468750001"/>
    <n v="2009264.4468750001"/>
    <n v="8037057.7875000006"/>
    <n v="2009264.4468750001"/>
    <n v="2009264.4468750001"/>
    <n v="2009264.4468750001"/>
    <n v="2009264.4468750001"/>
    <n v="8037057.7875000006"/>
    <m/>
    <m/>
    <m/>
    <n v="64296462.300000004"/>
  </r>
  <r>
    <n v="422"/>
    <x v="0"/>
    <m/>
    <s v="구용근"/>
    <s v="구미"/>
    <s v="PKG"/>
    <s v="O"/>
    <s v="8&quot;&amp;12&quot;"/>
    <s v="DDI"/>
    <x v="4"/>
    <s v="COF"/>
    <x v="32"/>
    <n v="1005612"/>
    <s v="MC"/>
    <s v="PIL-79 : TFC-3600-300(SHIBAURA)"/>
    <s v="TFC-3600"/>
    <x v="67"/>
    <s v="3세대"/>
    <s v="E116"/>
    <x v="165"/>
    <s v="가동"/>
    <s v="일본"/>
    <s v="Shibaura"/>
    <x v="2"/>
    <s v="2차"/>
    <s v="2차"/>
    <s v="해당"/>
    <s v="칩 본딩 장비"/>
    <s v="칩 본딩 장비"/>
    <m/>
    <m/>
    <s v="3B991"/>
    <s v="8486.40-0000"/>
    <s v="반도체 제조 공정용"/>
    <m/>
    <d v="2018-08-23T00:00:00"/>
    <d v="2018-08-23T00:00:00"/>
    <n v="7.1945205479452055"/>
    <n v="8"/>
    <s v="G1-1층"/>
    <s v="자사"/>
    <s v="설정"/>
    <n v="3.6"/>
    <n v="2820"/>
    <n v="1154"/>
    <n v="2020"/>
    <n v="448153427"/>
    <m/>
    <m/>
    <m/>
    <n v="380155088"/>
    <n v="4668265"/>
    <n v="53993544"/>
    <n v="2690621"/>
    <m/>
    <m/>
    <n v="14.566083759169627"/>
    <s v="미완료"/>
    <s v="D-ILB"/>
    <s v="COF(Assy_FT)"/>
    <s v="COF(Assy_FT)"/>
    <s v="기계장치"/>
    <n v="56693221.200000003"/>
    <n v="1771663.1625000001"/>
    <n v="590554.38750000007"/>
    <m/>
    <m/>
    <m/>
    <m/>
    <m/>
    <m/>
    <m/>
    <n v="1771663.1625000001"/>
    <n v="1771663.1625000001"/>
    <n v="3543326.3250000002"/>
    <n v="1771663.1625000001"/>
    <n v="1771663.1625000001"/>
    <n v="1771663.1625000001"/>
    <n v="1771663.1625000001"/>
    <n v="7086652.6500000004"/>
    <n v="1771663.1625000001"/>
    <n v="1771663.1625000001"/>
    <n v="1771663.1625000001"/>
    <n v="1771663.1625000001"/>
    <n v="7086652.6500000004"/>
    <n v="1771663.1625000001"/>
    <n v="1771663.1625000001"/>
    <n v="1771663.1625000001"/>
    <n v="1771663.1625000001"/>
    <n v="7086652.6500000004"/>
    <m/>
    <m/>
    <m/>
    <n v="56693221.200000003"/>
  </r>
  <r>
    <n v="423"/>
    <x v="0"/>
    <m/>
    <s v="구용근"/>
    <s v="구미"/>
    <s v="PKG"/>
    <s v="O"/>
    <s v="8&quot;&amp;12&quot;"/>
    <s v="DDI"/>
    <x v="4"/>
    <s v="COF"/>
    <x v="31"/>
    <n v="1005506"/>
    <s v="Part"/>
    <s v="TOP 설비 Resin Holder 비금속화"/>
    <m/>
    <x v="6"/>
    <m/>
    <m/>
    <x v="0"/>
    <s v="가동"/>
    <s v="한국"/>
    <m/>
    <x v="0"/>
    <s v="1차"/>
    <s v="1차"/>
    <s v="일반장비(비통제)"/>
    <s v="제조 가공 장비"/>
    <m/>
    <m/>
    <m/>
    <s v="EAR99"/>
    <s v="8486.40-0000"/>
    <m/>
    <m/>
    <d v="2018-06-27T00:00:00"/>
    <d v="2018-06-27T00:00:00"/>
    <n v="7.3506849315068497"/>
    <n v="8"/>
    <s v="G1-1층"/>
    <s v="자사"/>
    <s v="미설정"/>
    <n v="0"/>
    <m/>
    <m/>
    <m/>
    <n v="1260000"/>
    <m/>
    <m/>
    <m/>
    <n v="1128750"/>
    <n v="13125"/>
    <n v="91875"/>
    <n v="3366"/>
    <m/>
    <m/>
    <n v="10"/>
    <s v="미완료"/>
    <s v="D-POT"/>
    <s v="COF(Assy_FT)"/>
    <s v="COF(Assy_FT)"/>
    <s v="기계장치"/>
    <n v="96468.75"/>
    <n v="9196.2422511128043"/>
    <n v="3065.4140837042683"/>
    <m/>
    <m/>
    <m/>
    <m/>
    <m/>
    <m/>
    <m/>
    <n v="9196.2422511128043"/>
    <n v="9196.2422511128043"/>
    <n v="18392.484502225609"/>
    <n v="9196.2422511128043"/>
    <n v="9196.2422511128043"/>
    <n v="9196.2422511128043"/>
    <n v="9196.2422511128043"/>
    <n v="36784.969004451217"/>
    <n v="9196.2422511128043"/>
    <n v="9196.2422511128043"/>
    <n v="9196.2422511128043"/>
    <n v="9196.2422511128043"/>
    <n v="36784.969004451217"/>
    <n v="9196.2422511128043"/>
    <n v="9196.2422511128043"/>
    <n v="9196.2422511128043"/>
    <n v="9196.2422511128043"/>
    <n v="36784.969004451217"/>
    <m/>
    <n v="9.419571525505225E-6"/>
    <n v="197811.00203560974"/>
    <n v="294279.75203560974"/>
  </r>
  <r>
    <n v="424"/>
    <x v="0"/>
    <m/>
    <s v="구용근"/>
    <s v="구미"/>
    <s v="PKG"/>
    <s v="O"/>
    <s v="8&quot;&amp;12&quot;"/>
    <s v="DDI"/>
    <x v="4"/>
    <s v="COF"/>
    <x v="31"/>
    <n v="1005507"/>
    <s v="Upgrade"/>
    <s v="구형 설비 Reel Guide 구조개선"/>
    <m/>
    <x v="6"/>
    <m/>
    <m/>
    <x v="0"/>
    <s v="가동"/>
    <s v="한국"/>
    <m/>
    <x v="0"/>
    <s v="1차"/>
    <s v="1차"/>
    <s v="일반장비(비통제)"/>
    <s v="제조 가공 장비"/>
    <m/>
    <m/>
    <m/>
    <s v="EAR99"/>
    <s v="8486.40-0000"/>
    <m/>
    <m/>
    <d v="2018-06-27T00:00:00"/>
    <d v="2018-06-27T00:00:00"/>
    <n v="7.3506849315068497"/>
    <n v="8"/>
    <s v="G1-1층"/>
    <s v="자사"/>
    <s v="미설정"/>
    <n v="0"/>
    <m/>
    <m/>
    <m/>
    <n v="2400000"/>
    <m/>
    <m/>
    <m/>
    <n v="2150000"/>
    <n v="25000"/>
    <n v="175000"/>
    <n v="5870"/>
    <m/>
    <m/>
    <n v="10"/>
    <s v="미완료"/>
    <s v="D-POT"/>
    <s v="COF(Assy_FT)"/>
    <s v="COF(Assy_FT)"/>
    <s v="기계장치"/>
    <n v="183750"/>
    <n v="17516.651906881532"/>
    <n v="5838.8839689605111"/>
    <m/>
    <m/>
    <m/>
    <m/>
    <m/>
    <m/>
    <m/>
    <n v="17516.651906881532"/>
    <n v="17516.651906881532"/>
    <n v="35033.303813763065"/>
    <n v="17516.651906881532"/>
    <n v="17516.651906881532"/>
    <n v="17516.651906881532"/>
    <n v="17516.651906881532"/>
    <n v="70066.607627526129"/>
    <n v="17516.651906881532"/>
    <n v="17516.651906881532"/>
    <n v="17516.651906881532"/>
    <n v="17516.651906881532"/>
    <n v="70066.607627526129"/>
    <n v="17516.651906881532"/>
    <n v="17516.651906881532"/>
    <n v="17516.651906881532"/>
    <n v="17516.651906881532"/>
    <n v="70066.607627526129"/>
    <m/>
    <n v="1.7942041000962335E-5"/>
    <n v="376782.86102020903"/>
    <n v="560532.86102020903"/>
  </r>
  <r>
    <n v="425"/>
    <x v="0"/>
    <m/>
    <s v="구용근"/>
    <s v="구미"/>
    <s v="PKG"/>
    <s v="O"/>
    <s v="8&quot;&amp;12&quot;"/>
    <s v="DDI"/>
    <x v="4"/>
    <s v="COF"/>
    <x v="31"/>
    <n v="1005508"/>
    <s v="Upgrade"/>
    <s v="TOP POT Z axis Cover 분리형"/>
    <m/>
    <x v="6"/>
    <m/>
    <m/>
    <x v="0"/>
    <s v="가동"/>
    <s v="한국"/>
    <m/>
    <x v="0"/>
    <s v="1차"/>
    <s v="1차"/>
    <s v="일반장비(비통제)"/>
    <s v="제조 가공 장비"/>
    <m/>
    <m/>
    <m/>
    <s v="EAR99"/>
    <s v="8486.40-0000"/>
    <m/>
    <m/>
    <d v="2018-06-27T00:00:00"/>
    <d v="2018-06-27T00:00:00"/>
    <n v="7.3506849315068497"/>
    <n v="8"/>
    <s v="G1-1층"/>
    <s v="자사"/>
    <s v="미설정"/>
    <n v="0"/>
    <m/>
    <m/>
    <m/>
    <n v="8400000"/>
    <m/>
    <m/>
    <m/>
    <n v="7525000"/>
    <n v="87500"/>
    <n v="612500"/>
    <n v="19050"/>
    <m/>
    <m/>
    <n v="10"/>
    <s v="미완료"/>
    <s v="D-POT"/>
    <s v="COF(Assy_FT)"/>
    <s v="COF(Assy_FT)"/>
    <s v="기계장치"/>
    <n v="643125"/>
    <n v="61308.28167408536"/>
    <n v="20436.093891361787"/>
    <m/>
    <m/>
    <m/>
    <m/>
    <m/>
    <m/>
    <m/>
    <n v="61308.28167408536"/>
    <n v="61308.28167408536"/>
    <n v="122616.56334817072"/>
    <n v="61308.28167408536"/>
    <n v="61308.28167408536"/>
    <n v="61308.28167408536"/>
    <n v="61308.28167408536"/>
    <n v="245233.12669634144"/>
    <n v="61308.28167408536"/>
    <n v="61308.28167408536"/>
    <n v="61308.28167408536"/>
    <n v="61308.28167408536"/>
    <n v="245233.12669634144"/>
    <n v="61308.28167408536"/>
    <n v="61308.28167408536"/>
    <n v="61308.28167408536"/>
    <n v="61308.28167408536"/>
    <n v="245233.12669634144"/>
    <m/>
    <n v="6.2797143503368167E-5"/>
    <n v="1318740.0135707315"/>
    <n v="1961865.0135707315"/>
  </r>
  <r>
    <n v="426"/>
    <x v="0"/>
    <m/>
    <s v="구용근"/>
    <s v="구미"/>
    <s v="PKG"/>
    <s v="O"/>
    <s v="8&quot;&amp;12&quot;"/>
    <s v="DDI"/>
    <x v="4"/>
    <s v="COF"/>
    <x v="31"/>
    <n v="1005509"/>
    <s v="Upgrade"/>
    <s v="신형 설비 Reel Guide 구조개선"/>
    <m/>
    <x v="6"/>
    <m/>
    <m/>
    <x v="0"/>
    <s v="가동"/>
    <s v="한국"/>
    <m/>
    <x v="0"/>
    <s v="1차"/>
    <s v="1차"/>
    <s v="일반장비(비통제)"/>
    <s v="제조 가공 장비"/>
    <m/>
    <m/>
    <m/>
    <s v="EAR99"/>
    <s v="8486.40-0000"/>
    <m/>
    <m/>
    <d v="2018-06-27T00:00:00"/>
    <d v="2018-06-27T00:00:00"/>
    <n v="7.3506849315068497"/>
    <n v="8"/>
    <s v="G1-1층"/>
    <s v="자사"/>
    <s v="미설정"/>
    <n v="0"/>
    <m/>
    <m/>
    <m/>
    <n v="1080000"/>
    <m/>
    <m/>
    <m/>
    <n v="967500"/>
    <n v="11250"/>
    <n v="78750"/>
    <n v="2972"/>
    <m/>
    <m/>
    <n v="10"/>
    <s v="미완료"/>
    <s v="D-POT"/>
    <s v="COF(Assy_FT)"/>
    <s v="COF(Assy_FT)"/>
    <s v="기계장치"/>
    <n v="82687.5"/>
    <n v="7882.4933580966899"/>
    <n v="2627.4977860322301"/>
    <m/>
    <m/>
    <m/>
    <m/>
    <m/>
    <m/>
    <m/>
    <n v="7882.4933580966899"/>
    <n v="7882.4933580966899"/>
    <n v="15764.98671619338"/>
    <n v="7882.4933580966899"/>
    <n v="7882.4933580966899"/>
    <n v="7882.4933580966899"/>
    <n v="7882.4933580966899"/>
    <n v="31529.97343238676"/>
    <n v="7882.4933580966899"/>
    <n v="7882.4933580966899"/>
    <n v="7882.4933580966899"/>
    <n v="7882.4933580966899"/>
    <n v="31529.97343238676"/>
    <n v="7882.4933580966899"/>
    <n v="7882.4933580966899"/>
    <n v="7882.4933580966899"/>
    <n v="7882.4933580966899"/>
    <n v="31529.97343238676"/>
    <m/>
    <n v="8.0739184504330512E-6"/>
    <n v="169552.28745909408"/>
    <n v="252239.78745909408"/>
  </r>
  <r>
    <n v="427"/>
    <x v="0"/>
    <m/>
    <s v="구용근"/>
    <s v="구미"/>
    <s v="PKG"/>
    <s v="O"/>
    <s v="8&quot;&amp;12&quot;"/>
    <s v="DDI"/>
    <x v="4"/>
    <s v="COF"/>
    <x v="31"/>
    <n v="1005510"/>
    <s v="Part"/>
    <s v="SEC 설비 Resin Holder"/>
    <m/>
    <x v="83"/>
    <m/>
    <m/>
    <x v="0"/>
    <s v="가동"/>
    <s v="한국"/>
    <m/>
    <x v="0"/>
    <s v="1차"/>
    <s v="1차"/>
    <s v="일반장비(비통제)"/>
    <s v="에폭시 본딩기 부품"/>
    <m/>
    <m/>
    <m/>
    <s v="EAR99"/>
    <s v="8486.40-0000"/>
    <m/>
    <m/>
    <d v="2018-06-27T00:00:00"/>
    <d v="2018-06-27T00:00:00"/>
    <n v="7.3506849315068497"/>
    <n v="8"/>
    <s v="G1-1층"/>
    <s v="자사"/>
    <s v="미설정"/>
    <n v="0"/>
    <m/>
    <m/>
    <m/>
    <n v="10800000"/>
    <m/>
    <m/>
    <m/>
    <n v="9675000"/>
    <n v="112500"/>
    <n v="787500"/>
    <n v="24320"/>
    <m/>
    <m/>
    <n v="10"/>
    <s v="미완료"/>
    <s v="D-POT"/>
    <s v="COF(Assy_FT)"/>
    <s v="COF(Assy_FT)"/>
    <s v="기계장치"/>
    <n v="826875"/>
    <n v="78824.933580966899"/>
    <n v="26274.977860322299"/>
    <m/>
    <m/>
    <m/>
    <m/>
    <m/>
    <m/>
    <m/>
    <n v="78824.933580966899"/>
    <n v="78824.933580966899"/>
    <n v="157649.8671619338"/>
    <n v="78824.933580966899"/>
    <n v="78824.933580966899"/>
    <n v="78824.933580966899"/>
    <n v="78824.933580966899"/>
    <n v="315299.7343238676"/>
    <n v="78824.933580966899"/>
    <n v="78824.933580966899"/>
    <n v="78824.933580966899"/>
    <n v="78824.933580966899"/>
    <n v="315299.7343238676"/>
    <n v="78824.933580966899"/>
    <n v="78824.933580966899"/>
    <n v="78824.933580966899"/>
    <n v="78824.933580966899"/>
    <n v="315299.7343238676"/>
    <m/>
    <n v="8.0739184504330502E-5"/>
    <n v="1695522.8745909405"/>
    <n v="2522397.8745909408"/>
  </r>
  <r>
    <n v="428"/>
    <x v="0"/>
    <m/>
    <s v="구용근"/>
    <s v="구미"/>
    <s v="PKG"/>
    <s v="O"/>
    <s v="8&quot;&amp;12&quot;"/>
    <s v="DDI"/>
    <x v="4"/>
    <s v="COF"/>
    <x v="30"/>
    <n v="1005540"/>
    <s v="MC"/>
    <s v="PCU-17 : BAKE OVEN(오성에스티)"/>
    <s v="OS-OVN11-BK02"/>
    <x v="17"/>
    <m/>
    <s v="OSST-18050903120-1"/>
    <x v="0"/>
    <s v="가동"/>
    <s v="한국"/>
    <s v="오성에스티"/>
    <x v="0"/>
    <s v="2차"/>
    <s v="2차"/>
    <s v="일반장비(비통제)"/>
    <s v="접착제 경화"/>
    <s v="접착제 경화"/>
    <s v="일반 산업 장비"/>
    <m/>
    <s v="EAR99"/>
    <s v="8486.40-0000"/>
    <s v="후공정/Assembly oven"/>
    <m/>
    <d v="2018-07-26T00:00:00"/>
    <d v="2018-07-26T00:00:00"/>
    <n v="7.2712328767123289"/>
    <n v="8"/>
    <s v="G1-1층"/>
    <s v="자사"/>
    <s v="미설정"/>
    <n v="5.28"/>
    <n v="1470"/>
    <n v="960"/>
    <n v="1675"/>
    <n v="7912000"/>
    <m/>
    <m/>
    <m/>
    <n v="7005421"/>
    <n v="82417"/>
    <n v="659328"/>
    <n v="26565"/>
    <m/>
    <m/>
    <n v="10.999902932647391"/>
    <s v="미완료"/>
    <s v="D-POT"/>
    <s v="COF(Assy_FT)"/>
    <s v="COF(Assy_FT)"/>
    <s v="기계장치"/>
    <n v="692294.4"/>
    <n v="65995.537534059345"/>
    <n v="21998.512511353114"/>
    <m/>
    <m/>
    <m/>
    <m/>
    <m/>
    <m/>
    <m/>
    <n v="65995.537534059345"/>
    <n v="65995.537534059345"/>
    <n v="131991.07506811869"/>
    <n v="65995.537534059345"/>
    <n v="65995.537534059345"/>
    <n v="65995.537534059345"/>
    <n v="65995.537534059345"/>
    <n v="263982.15013623738"/>
    <n v="65995.537534059345"/>
    <n v="65995.537534059345"/>
    <n v="65995.537534059345"/>
    <n v="65995.537534059345"/>
    <n v="263982.15013623738"/>
    <n v="65995.537534059345"/>
    <n v="65995.537534059345"/>
    <n v="65995.537534059345"/>
    <n v="65995.537534059345"/>
    <n v="263982.15013623738"/>
    <m/>
    <n v="6.7598228623328533E-5"/>
    <n v="1419562.8010898991"/>
    <n v="2111857.2010898991"/>
  </r>
  <r>
    <n v="429"/>
    <x v="0"/>
    <m/>
    <s v="구용근"/>
    <s v="구미"/>
    <s v="PKG"/>
    <s v="O"/>
    <s v="8&quot;&amp;12&quot;"/>
    <s v="DDI"/>
    <x v="4"/>
    <s v="COF"/>
    <x v="30"/>
    <n v="1005541"/>
    <s v="MC"/>
    <s v="PCU-18 : BAKE OVEN(오성에스티)"/>
    <s v="OS-OVN11-BK02"/>
    <x v="17"/>
    <m/>
    <s v="OSST-18050903120-2"/>
    <x v="0"/>
    <s v="가동"/>
    <s v="한국"/>
    <s v="오성에스티"/>
    <x v="0"/>
    <s v="2차"/>
    <s v="2차"/>
    <s v="일반장비(비통제)"/>
    <s v="접착제 경화"/>
    <s v="접착제 경화"/>
    <s v="일반 산업 장비"/>
    <m/>
    <s v="EAR99"/>
    <s v="8486.40-0000"/>
    <s v="후공정/Assembly oven"/>
    <m/>
    <d v="2018-07-26T00:00:00"/>
    <d v="2018-07-26T00:00:00"/>
    <n v="7.2712328767123289"/>
    <n v="8"/>
    <s v="G1-1층"/>
    <s v="자사"/>
    <s v="미설정"/>
    <n v="5.28"/>
    <n v="1470"/>
    <n v="960"/>
    <n v="1675"/>
    <n v="7912000"/>
    <m/>
    <m/>
    <m/>
    <n v="7005421"/>
    <n v="82417"/>
    <n v="659328"/>
    <n v="26565"/>
    <m/>
    <m/>
    <n v="10.999902932647391"/>
    <s v="미완료"/>
    <s v="D-POT"/>
    <s v="COF(Assy_FT)"/>
    <s v="COF(Assy_FT)"/>
    <s v="기계장치"/>
    <n v="692294.4"/>
    <n v="65995.537534059345"/>
    <n v="21998.512511353114"/>
    <m/>
    <m/>
    <m/>
    <m/>
    <m/>
    <m/>
    <m/>
    <n v="65995.537534059345"/>
    <n v="65995.537534059345"/>
    <n v="131991.07506811869"/>
    <n v="65995.537534059345"/>
    <n v="65995.537534059345"/>
    <n v="65995.537534059345"/>
    <n v="65995.537534059345"/>
    <n v="263982.15013623738"/>
    <n v="65995.537534059345"/>
    <n v="65995.537534059345"/>
    <n v="65995.537534059345"/>
    <n v="65995.537534059345"/>
    <n v="263982.15013623738"/>
    <n v="65995.537534059345"/>
    <n v="65995.537534059345"/>
    <n v="65995.537534059345"/>
    <n v="65995.537534059345"/>
    <n v="263982.15013623738"/>
    <m/>
    <n v="6.7598228623328533E-5"/>
    <n v="1419562.8010898991"/>
    <n v="2111857.2010898991"/>
  </r>
  <r>
    <n v="430"/>
    <x v="0"/>
    <m/>
    <s v="구용근"/>
    <s v="구미"/>
    <s v="PKG"/>
    <s v="O"/>
    <s v="8&quot;&amp;12&quot;"/>
    <s v="DDI"/>
    <x v="4"/>
    <s v="COF"/>
    <x v="30"/>
    <n v="1005542"/>
    <s v="MC"/>
    <s v="PCU-19 : BAKE OVEN(오성에스티)"/>
    <s v="OS-OVN11-BK02"/>
    <x v="17"/>
    <m/>
    <s v="OSST-18050903120-3"/>
    <x v="0"/>
    <s v="가동"/>
    <s v="한국"/>
    <s v="오성에스티"/>
    <x v="2"/>
    <s v="2차"/>
    <s v="2차"/>
    <s v="일반장비(비통제)"/>
    <s v="접착제 경화"/>
    <s v="접착제 경화"/>
    <s v="일반 산업 장비"/>
    <m/>
    <s v="EAR99"/>
    <s v="8486.40-0000"/>
    <s v="후공정/Assembly oven"/>
    <m/>
    <d v="2018-07-26T00:00:00"/>
    <d v="2018-07-26T00:00:00"/>
    <n v="7.2712328767123289"/>
    <n v="8"/>
    <s v="G1-1층"/>
    <s v="자사"/>
    <s v="미설정"/>
    <n v="5.28"/>
    <n v="1470"/>
    <n v="960"/>
    <n v="1675"/>
    <n v="7912000"/>
    <m/>
    <m/>
    <m/>
    <n v="7005421"/>
    <n v="82417"/>
    <n v="659328"/>
    <n v="26565"/>
    <m/>
    <m/>
    <n v="10.999902932647391"/>
    <s v="미완료"/>
    <s v="D-POT"/>
    <s v="COF(Assy_FT)"/>
    <s v="COF(Assy_FT)"/>
    <s v="기계장치"/>
    <n v="692294.4"/>
    <n v="21634.2"/>
    <n v="7211.4000000000005"/>
    <m/>
    <m/>
    <m/>
    <m/>
    <m/>
    <m/>
    <m/>
    <n v="21634.2"/>
    <n v="21634.2"/>
    <n v="43268.4"/>
    <n v="21634.2"/>
    <n v="21634.2"/>
    <n v="21634.2"/>
    <n v="21634.2"/>
    <n v="86536.8"/>
    <n v="21634.2"/>
    <n v="21634.2"/>
    <n v="21634.2"/>
    <n v="21634.2"/>
    <n v="86536.8"/>
    <n v="21634.2"/>
    <n v="21634.2"/>
    <n v="21634.2"/>
    <n v="21634.2"/>
    <n v="86536.8"/>
    <m/>
    <m/>
    <m/>
    <n v="692294.4"/>
  </r>
  <r>
    <n v="431"/>
    <x v="0"/>
    <m/>
    <s v="구용근"/>
    <s v="구미"/>
    <s v="PKG"/>
    <s v="O"/>
    <s v="8&quot;&amp;12&quot;"/>
    <s v="DDI"/>
    <x v="4"/>
    <s v="COF"/>
    <x v="30"/>
    <n v="1005543"/>
    <s v="MC"/>
    <s v="PCU-20 : BAKE OVEN(오성에스티)"/>
    <s v="OS-OVN11-BK02"/>
    <x v="17"/>
    <m/>
    <s v="OSST-18050903120-4"/>
    <x v="0"/>
    <s v="가동"/>
    <s v="한국"/>
    <s v="오성에스티"/>
    <x v="2"/>
    <s v="2차"/>
    <s v="2차"/>
    <s v="일반장비(비통제)"/>
    <s v="접착제 경화"/>
    <s v="접착제 경화"/>
    <s v="일반 산업 장비"/>
    <m/>
    <s v="EAR99"/>
    <s v="8486.40-0000"/>
    <s v="후공정/Assembly oven"/>
    <m/>
    <d v="2018-07-26T00:00:00"/>
    <d v="2018-07-26T00:00:00"/>
    <n v="7.2712328767123289"/>
    <n v="8"/>
    <s v="G1-1층"/>
    <s v="자사"/>
    <s v="미설정"/>
    <n v="5.28"/>
    <n v="1470"/>
    <n v="960"/>
    <n v="1675"/>
    <n v="7912000"/>
    <m/>
    <m/>
    <m/>
    <n v="7005421"/>
    <n v="82417"/>
    <n v="659328"/>
    <n v="26565"/>
    <m/>
    <m/>
    <n v="10.999902932647391"/>
    <s v="미완료"/>
    <s v="D-POT"/>
    <s v="COF(Assy_FT)"/>
    <s v="COF(Assy_FT)"/>
    <s v="기계장치"/>
    <n v="692294.4"/>
    <n v="21634.2"/>
    <n v="7211.4000000000005"/>
    <m/>
    <m/>
    <m/>
    <m/>
    <m/>
    <m/>
    <m/>
    <n v="21634.2"/>
    <n v="21634.2"/>
    <n v="43268.4"/>
    <n v="21634.2"/>
    <n v="21634.2"/>
    <n v="21634.2"/>
    <n v="21634.2"/>
    <n v="86536.8"/>
    <n v="21634.2"/>
    <n v="21634.2"/>
    <n v="21634.2"/>
    <n v="21634.2"/>
    <n v="86536.8"/>
    <n v="21634.2"/>
    <n v="21634.2"/>
    <n v="21634.2"/>
    <n v="21634.2"/>
    <n v="86536.8"/>
    <m/>
    <m/>
    <m/>
    <n v="692294.4"/>
  </r>
  <r>
    <n v="432"/>
    <x v="0"/>
    <m/>
    <s v="구용근"/>
    <s v="구미"/>
    <s v="PKG"/>
    <s v="O"/>
    <s v="8&quot;&amp;12&quot;"/>
    <s v="DDI"/>
    <x v="4"/>
    <s v="COF"/>
    <x v="30"/>
    <n v="1005544"/>
    <s v="MC"/>
    <s v="PCU-21 : BAKE OVEN(오성에스티)"/>
    <s v="OS-OVN11-BK02"/>
    <x v="17"/>
    <m/>
    <s v="OSST-18050903120-5"/>
    <x v="0"/>
    <s v="가동"/>
    <s v="한국"/>
    <s v="오성에스티"/>
    <x v="2"/>
    <s v="2차"/>
    <s v="2차"/>
    <s v="일반장비(비통제)"/>
    <s v="접착제 경화"/>
    <s v="접착제 경화"/>
    <s v="일반 산업 장비"/>
    <m/>
    <s v="EAR99"/>
    <s v="8486.40-0000"/>
    <s v="후공정/Assembly oven"/>
    <m/>
    <d v="2018-07-26T00:00:00"/>
    <d v="2018-07-26T00:00:00"/>
    <n v="7.2712328767123289"/>
    <n v="8"/>
    <s v="G1-1층"/>
    <s v="자사"/>
    <s v="미설정"/>
    <n v="5.28"/>
    <n v="1470"/>
    <n v="960"/>
    <n v="1675"/>
    <n v="7912000"/>
    <m/>
    <m/>
    <m/>
    <n v="7005421"/>
    <n v="82417"/>
    <n v="659328"/>
    <n v="26565"/>
    <m/>
    <m/>
    <n v="10.999902932647391"/>
    <s v="미완료"/>
    <s v="D-POT"/>
    <s v="COF(Assy_FT)"/>
    <s v="COF(Assy_FT)"/>
    <s v="기계장치"/>
    <n v="692294.4"/>
    <n v="21634.2"/>
    <n v="7211.4000000000005"/>
    <m/>
    <m/>
    <m/>
    <m/>
    <m/>
    <m/>
    <m/>
    <n v="21634.2"/>
    <n v="21634.2"/>
    <n v="43268.4"/>
    <n v="21634.2"/>
    <n v="21634.2"/>
    <n v="21634.2"/>
    <n v="21634.2"/>
    <n v="86536.8"/>
    <n v="21634.2"/>
    <n v="21634.2"/>
    <n v="21634.2"/>
    <n v="21634.2"/>
    <n v="86536.8"/>
    <n v="21634.2"/>
    <n v="21634.2"/>
    <n v="21634.2"/>
    <n v="21634.2"/>
    <n v="86536.8"/>
    <m/>
    <m/>
    <m/>
    <n v="692294.4"/>
  </r>
  <r>
    <n v="433"/>
    <x v="0"/>
    <m/>
    <s v="구용근"/>
    <s v="구미"/>
    <s v="PKG"/>
    <s v="O"/>
    <s v="8&quot;&amp;12&quot;"/>
    <s v="DDI"/>
    <x v="4"/>
    <s v="COF"/>
    <x v="32"/>
    <n v="1005556"/>
    <s v="MC"/>
    <s v="PIL-78 : TFC-3600-300(SHIBAURA)"/>
    <s v="TFC-3600"/>
    <x v="67"/>
    <s v="3세대"/>
    <s v="E115"/>
    <x v="165"/>
    <s v="가동"/>
    <s v="일본"/>
    <s v="Shibaura"/>
    <x v="2"/>
    <s v="2차"/>
    <s v="2차"/>
    <s v="해당"/>
    <s v="칩 본딩 장비"/>
    <s v="칩 본딩 장비"/>
    <m/>
    <m/>
    <s v="3B991"/>
    <s v="8486.40-0000"/>
    <s v="반도체 제조 공정용"/>
    <m/>
    <d v="2018-08-02T00:00:00"/>
    <d v="2018-08-02T00:00:00"/>
    <n v="7.2520547945205482"/>
    <n v="8"/>
    <s v="G1-1층"/>
    <s v="자사"/>
    <s v="설정"/>
    <n v="3.6"/>
    <n v="2820"/>
    <n v="1154"/>
    <n v="2020"/>
    <n v="435413760"/>
    <m/>
    <m/>
    <m/>
    <n v="369007878"/>
    <n v="4535560"/>
    <n v="52799202"/>
    <n v="2634661"/>
    <m/>
    <m/>
    <n v="14.641164927814867"/>
    <s v="미완료"/>
    <s v="D-ILB"/>
    <s v="COF(Assy_FT)"/>
    <s v="COF(Assy_FT)"/>
    <s v="기계장치"/>
    <n v="55439162.100000001"/>
    <n v="1732473.815625"/>
    <n v="577491.27187499998"/>
    <m/>
    <m/>
    <m/>
    <m/>
    <m/>
    <m/>
    <m/>
    <n v="1732473.8156249998"/>
    <n v="1732473.8156249998"/>
    <n v="3464947.6312499996"/>
    <n v="1732473.8156249998"/>
    <n v="1732473.8156249998"/>
    <n v="1732473.8156249998"/>
    <n v="1732473.8156249998"/>
    <n v="6929895.2624999993"/>
    <n v="1732473.8156249998"/>
    <n v="1732473.8156249998"/>
    <n v="1732473.8156249998"/>
    <n v="1732473.8156249998"/>
    <n v="6929895.2624999993"/>
    <n v="1732473.8156249998"/>
    <n v="1732473.8156249998"/>
    <n v="1732473.8156249998"/>
    <n v="1732473.8156249998"/>
    <n v="6929895.2624999993"/>
    <m/>
    <m/>
    <m/>
    <n v="55439162.100000001"/>
  </r>
  <r>
    <n v="434"/>
    <x v="0"/>
    <m/>
    <s v="구용근"/>
    <s v="구미"/>
    <s v="PKG"/>
    <s v="O"/>
    <s v="8&quot;&amp;12&quot;"/>
    <s v="DDI"/>
    <x v="4"/>
    <s v="COF"/>
    <x v="32"/>
    <n v="1005555"/>
    <s v="MC"/>
    <s v="PIL-77 : TFC-3600-300(SHIBAURA)"/>
    <s v="TFC-3600"/>
    <x v="67"/>
    <s v="3세대"/>
    <s v="E114"/>
    <x v="165"/>
    <s v="가동"/>
    <s v="일본"/>
    <s v="Shibaura"/>
    <x v="2"/>
    <s v="2차"/>
    <s v="2차"/>
    <s v="해당"/>
    <s v="칩 본딩 장비"/>
    <s v="칩 본딩 장비"/>
    <m/>
    <m/>
    <s v="3B991"/>
    <s v="8486.40-0000"/>
    <s v="반도체 제조 공정용"/>
    <m/>
    <d v="2018-08-02T00:00:00"/>
    <d v="2018-08-02T00:00:00"/>
    <n v="7.2520547945205482"/>
    <n v="8"/>
    <s v="G1-1층"/>
    <s v="자사"/>
    <s v="설정"/>
    <n v="3.6"/>
    <n v="2820"/>
    <n v="1154"/>
    <n v="2020"/>
    <n v="435413759"/>
    <m/>
    <m/>
    <m/>
    <n v="369007873"/>
    <n v="4535560"/>
    <n v="52799206"/>
    <n v="2634661"/>
    <m/>
    <m/>
    <n v="14.64116580973463"/>
    <s v="미완료"/>
    <s v="D-ILB"/>
    <s v="COF(Assy_FT)"/>
    <s v="COF(Assy_FT)"/>
    <s v="기계장치"/>
    <n v="55439166.300000004"/>
    <n v="1732473.9468750001"/>
    <n v="577491.31562500005"/>
    <m/>
    <m/>
    <m/>
    <m/>
    <m/>
    <m/>
    <m/>
    <n v="1732473.9468750001"/>
    <n v="1732473.9468750001"/>
    <n v="3464947.8937500003"/>
    <n v="1732473.9468750001"/>
    <n v="1732473.9468750001"/>
    <n v="1732473.9468750001"/>
    <n v="1732473.9468750001"/>
    <n v="6929895.7875000006"/>
    <n v="1732473.9468750001"/>
    <n v="1732473.9468750001"/>
    <n v="1732473.9468750001"/>
    <n v="1732473.9468750001"/>
    <n v="6929895.7875000006"/>
    <n v="1732473.9468750001"/>
    <n v="1732473.9468750001"/>
    <n v="1732473.9468750001"/>
    <n v="1732473.9468750001"/>
    <n v="6929895.7875000006"/>
    <m/>
    <m/>
    <m/>
    <n v="55439166.300000004"/>
  </r>
  <r>
    <n v="435"/>
    <x v="0"/>
    <m/>
    <s v="구용근"/>
    <s v="구미"/>
    <s v="PKG"/>
    <s v="O"/>
    <s v="8&quot;&amp;12&quot;"/>
    <s v="DDI"/>
    <x v="4"/>
    <s v="COF"/>
    <x v="31"/>
    <n v="1005598"/>
    <s v="MC"/>
    <s v="PPT-51 : Potting System 4Head(쎄크)"/>
    <s v="TCP-435A"/>
    <x v="82"/>
    <m/>
    <s v="POTTING-016BJ07"/>
    <x v="0"/>
    <s v="가동"/>
    <s v="한국"/>
    <s v="SEC"/>
    <x v="2"/>
    <s v="2차"/>
    <s v="2차"/>
    <s v="일반장비(비통제)"/>
    <s v="에폭시 도포기"/>
    <m/>
    <m/>
    <m/>
    <s v="EAR99"/>
    <s v="8486.40-0000"/>
    <m/>
    <m/>
    <d v="2018-08-21T00:00:00"/>
    <d v="2018-08-21T00:00:00"/>
    <n v="7.2"/>
    <n v="8"/>
    <s v="G1-1층"/>
    <s v="자사"/>
    <s v="설정"/>
    <n v="6.6"/>
    <n v="7100"/>
    <n v="820"/>
    <n v="1860"/>
    <n v="315020000"/>
    <m/>
    <m/>
    <m/>
    <n v="263783116"/>
    <n v="3281458"/>
    <n v="41392510"/>
    <n v="2098605"/>
    <m/>
    <m/>
    <n v="15.614060579169381"/>
    <s v="미완료"/>
    <s v="D-POT"/>
    <s v="COF(Assy_FT)"/>
    <s v="COF(Assy_FT)"/>
    <s v="기계장치"/>
    <n v="43462135.5"/>
    <n v="1358191.734375"/>
    <n v="452730.578125"/>
    <m/>
    <m/>
    <m/>
    <m/>
    <m/>
    <m/>
    <m/>
    <n v="1358191.734375"/>
    <n v="1358191.734375"/>
    <n v="2716383.46875"/>
    <n v="1358191.734375"/>
    <n v="1358191.734375"/>
    <n v="1358191.734375"/>
    <n v="1358191.734375"/>
    <n v="5432766.9375"/>
    <n v="1358191.734375"/>
    <n v="1358191.734375"/>
    <n v="1358191.734375"/>
    <n v="1358191.734375"/>
    <n v="5432766.9375"/>
    <n v="1358191.734375"/>
    <n v="1358191.734375"/>
    <n v="1358191.734375"/>
    <n v="1358191.734375"/>
    <n v="5432766.9375"/>
    <m/>
    <m/>
    <m/>
    <n v="43462135.5"/>
  </r>
  <r>
    <n v="436"/>
    <x v="0"/>
    <m/>
    <s v="구용근"/>
    <s v="구미"/>
    <s v="PKG"/>
    <s v="O"/>
    <s v="8&quot;&amp;12&quot;"/>
    <s v="DDI"/>
    <x v="4"/>
    <s v="COF"/>
    <x v="31"/>
    <n v="1005599"/>
    <s v="MC"/>
    <s v="PPT-52 : Potting System 4Head(쎄크)"/>
    <s v="TCP-435A"/>
    <x v="82"/>
    <m/>
    <s v="POTTING-017BJ08"/>
    <x v="0"/>
    <s v="가동"/>
    <s v="한국"/>
    <s v="SEC"/>
    <x v="2"/>
    <s v="3차"/>
    <s v="3차"/>
    <s v="일반장비(비통제)"/>
    <s v="에폭시 도포기"/>
    <m/>
    <m/>
    <m/>
    <s v="EAR99"/>
    <s v="8486.40-0000"/>
    <m/>
    <m/>
    <d v="2018-08-21T00:00:00"/>
    <d v="2018-08-21T00:00:00"/>
    <n v="7.2"/>
    <n v="8"/>
    <s v="G1-1층"/>
    <s v="자사"/>
    <s v="설정"/>
    <n v="6.6"/>
    <n v="7100"/>
    <n v="820"/>
    <n v="1860"/>
    <n v="247520000"/>
    <m/>
    <m/>
    <m/>
    <n v="216579996"/>
    <n v="2578333"/>
    <n v="23205005"/>
    <n v="1087681"/>
    <m/>
    <m/>
    <n v="12.000003102779974"/>
    <s v="미완료"/>
    <s v="D-POT"/>
    <s v="COF(Assy_FT)"/>
    <s v="COF(Assy_FT)"/>
    <s v="기계장치"/>
    <n v="24365255.25"/>
    <n v="761414.2265625"/>
    <n v="253804.7421875"/>
    <m/>
    <m/>
    <m/>
    <m/>
    <m/>
    <m/>
    <m/>
    <n v="761414.2265625"/>
    <n v="761414.2265625"/>
    <n v="1522828.453125"/>
    <n v="761414.2265625"/>
    <n v="761414.2265625"/>
    <n v="761414.2265625"/>
    <n v="761414.2265625"/>
    <n v="3045656.90625"/>
    <n v="761414.2265625"/>
    <n v="761414.2265625"/>
    <n v="761414.2265625"/>
    <n v="761414.2265625"/>
    <n v="3045656.90625"/>
    <n v="761414.2265625"/>
    <n v="761414.2265625"/>
    <n v="761414.2265625"/>
    <n v="761414.2265625"/>
    <n v="3045656.90625"/>
    <m/>
    <m/>
    <m/>
    <n v="24365255.25"/>
  </r>
  <r>
    <n v="437"/>
    <x v="0"/>
    <m/>
    <s v="구용근"/>
    <s v="구미"/>
    <s v="PKG"/>
    <s v="O"/>
    <s v="8&quot;&amp;12&quot;"/>
    <s v="DDI"/>
    <x v="4"/>
    <s v="COF"/>
    <x v="31"/>
    <n v="1005600"/>
    <s v="MC"/>
    <s v="PPT-53 : Potting System 4Head(쎄크)"/>
    <s v="TCP-435A"/>
    <x v="82"/>
    <m/>
    <s v="POTTING-018BJ09"/>
    <x v="0"/>
    <s v="가동"/>
    <s v="한국"/>
    <s v="SEC"/>
    <x v="2"/>
    <s v="3차"/>
    <s v="3차"/>
    <s v="일반장비(비통제)"/>
    <s v="에폭시 도포기"/>
    <m/>
    <m/>
    <m/>
    <s v="EAR99"/>
    <s v="8486.40-0000"/>
    <m/>
    <m/>
    <d v="2018-08-21T00:00:00"/>
    <d v="2018-08-21T00:00:00"/>
    <n v="7.2"/>
    <n v="8"/>
    <s v="G1-1층"/>
    <s v="자사"/>
    <s v="설정"/>
    <n v="6.6"/>
    <n v="7100"/>
    <n v="820"/>
    <n v="1860"/>
    <n v="247520000"/>
    <m/>
    <m/>
    <m/>
    <n v="216579996"/>
    <n v="2578333"/>
    <n v="23205005"/>
    <n v="1087681"/>
    <m/>
    <m/>
    <n v="12.000003102779974"/>
    <s v="미완료"/>
    <s v="D-POT"/>
    <s v="COF(Assy_FT)"/>
    <s v="COF(Assy_FT)"/>
    <s v="기계장치"/>
    <n v="24365255.25"/>
    <n v="761414.2265625"/>
    <n v="253804.7421875"/>
    <m/>
    <m/>
    <m/>
    <m/>
    <m/>
    <m/>
    <m/>
    <n v="761414.2265625"/>
    <n v="761414.2265625"/>
    <n v="1522828.453125"/>
    <n v="761414.2265625"/>
    <n v="761414.2265625"/>
    <n v="761414.2265625"/>
    <n v="761414.2265625"/>
    <n v="3045656.90625"/>
    <n v="761414.2265625"/>
    <n v="761414.2265625"/>
    <n v="761414.2265625"/>
    <n v="761414.2265625"/>
    <n v="3045656.90625"/>
    <n v="761414.2265625"/>
    <n v="761414.2265625"/>
    <n v="761414.2265625"/>
    <n v="761414.2265625"/>
    <n v="3045656.90625"/>
    <m/>
    <m/>
    <m/>
    <n v="24365255.25"/>
  </r>
  <r>
    <n v="438"/>
    <x v="0"/>
    <m/>
    <s v="구용근"/>
    <s v="구미"/>
    <s v="PKG"/>
    <s v="O"/>
    <s v="8&quot;&amp;12&quot;"/>
    <s v="DDI"/>
    <x v="4"/>
    <s v="COF"/>
    <x v="30"/>
    <n v="1005604"/>
    <s v="MC"/>
    <s v="PCU-22 : BAKE OVEN(오성에스티)"/>
    <s v="OS-OVN11-BK02"/>
    <x v="17"/>
    <m/>
    <s v="OSST-18080103132-1"/>
    <x v="0"/>
    <s v="가동"/>
    <s v="한국"/>
    <s v="오성에스티"/>
    <x v="0"/>
    <s v="2차"/>
    <s v="2차"/>
    <s v="일반장비(비통제)"/>
    <s v="접착제 경화"/>
    <s v="접착제 경화"/>
    <s v="일반 산업 장비"/>
    <m/>
    <s v="EAR99"/>
    <s v="8486.40-0000"/>
    <s v="후공정/Assembly oven"/>
    <m/>
    <d v="2018-09-10T00:00:00"/>
    <d v="2018-09-10T00:00:00"/>
    <n v="7.1452054794520548"/>
    <n v="8"/>
    <s v="G1-1층"/>
    <s v="자사"/>
    <s v="미설정"/>
    <n v="5.28"/>
    <n v="1470"/>
    <n v="960"/>
    <n v="1675"/>
    <n v="7915000"/>
    <m/>
    <m/>
    <m/>
    <n v="6843178"/>
    <n v="82448"/>
    <n v="824478"/>
    <n v="43834"/>
    <m/>
    <m/>
    <n v="12.999975742286047"/>
    <s v="미완료"/>
    <s v="D-POT"/>
    <s v="COF(Assy_FT)"/>
    <s v="COF(Assy_FT)"/>
    <s v="기계장치"/>
    <n v="865701.9"/>
    <n v="82526.252176467839"/>
    <n v="27508.750725489281"/>
    <m/>
    <m/>
    <m/>
    <m/>
    <m/>
    <m/>
    <m/>
    <n v="82526.252176467839"/>
    <n v="82526.252176467839"/>
    <n v="165052.50435293568"/>
    <n v="82526.252176467839"/>
    <n v="82526.252176467839"/>
    <n v="82526.252176467839"/>
    <n v="82526.252176467839"/>
    <n v="330105.00870587135"/>
    <n v="82526.252176467839"/>
    <n v="82526.252176467839"/>
    <n v="82526.252176467839"/>
    <n v="82526.252176467839"/>
    <n v="330105.00870587135"/>
    <n v="82526.252176467839"/>
    <n v="82526.252176467839"/>
    <n v="82526.252176467839"/>
    <n v="82526.252176467839"/>
    <n v="330105.00870587135"/>
    <m/>
    <n v="8.4530389030808143E-5"/>
    <n v="1775138.1696469709"/>
    <n v="2640840.0696469708"/>
  </r>
  <r>
    <n v="439"/>
    <x v="0"/>
    <m/>
    <s v="구용근"/>
    <s v="구미"/>
    <s v="PKG"/>
    <s v="O"/>
    <s v="8&quot;&amp;12&quot;"/>
    <s v="DDI"/>
    <x v="4"/>
    <s v="COF"/>
    <x v="30"/>
    <n v="1005605"/>
    <s v="MC"/>
    <s v="PCU-23 : BAKE OVEN(오성에스티)"/>
    <s v="OS-OVN11-BK02"/>
    <x v="17"/>
    <m/>
    <s v="OSST-18080103132-2"/>
    <x v="0"/>
    <s v="가동"/>
    <s v="한국"/>
    <s v="오성에스티"/>
    <x v="0"/>
    <s v="2차"/>
    <s v="2차"/>
    <s v="일반장비(비통제)"/>
    <s v="접착제 경화"/>
    <s v="접착제 경화"/>
    <s v="일반 산업 장비"/>
    <m/>
    <s v="EAR99"/>
    <s v="8486.40-0000"/>
    <s v="후공정/Assembly oven"/>
    <m/>
    <d v="2018-09-10T00:00:00"/>
    <d v="2018-09-10T00:00:00"/>
    <n v="7.1452054794520548"/>
    <n v="8"/>
    <s v="G1-1층"/>
    <s v="자사"/>
    <s v="미설정"/>
    <n v="5.28"/>
    <n v="1470"/>
    <n v="960"/>
    <n v="1675"/>
    <n v="7915000"/>
    <m/>
    <m/>
    <m/>
    <n v="6843178"/>
    <n v="82448"/>
    <n v="824478"/>
    <n v="43834"/>
    <m/>
    <m/>
    <n v="12.999975742286047"/>
    <s v="미완료"/>
    <s v="D-POT"/>
    <s v="COF(Assy_FT)"/>
    <s v="COF(Assy_FT)"/>
    <s v="기계장치"/>
    <n v="865701.9"/>
    <n v="82526.252176467839"/>
    <n v="27508.750725489281"/>
    <m/>
    <m/>
    <m/>
    <m/>
    <m/>
    <m/>
    <m/>
    <n v="82526.252176467839"/>
    <n v="82526.252176467839"/>
    <n v="165052.50435293568"/>
    <n v="82526.252176467839"/>
    <n v="82526.252176467839"/>
    <n v="82526.252176467839"/>
    <n v="82526.252176467839"/>
    <n v="330105.00870587135"/>
    <n v="82526.252176467839"/>
    <n v="82526.252176467839"/>
    <n v="82526.252176467839"/>
    <n v="82526.252176467839"/>
    <n v="330105.00870587135"/>
    <n v="82526.252176467839"/>
    <n v="82526.252176467839"/>
    <n v="82526.252176467839"/>
    <n v="82526.252176467839"/>
    <n v="330105.00870587135"/>
    <m/>
    <n v="8.4530389030808143E-5"/>
    <n v="1775138.1696469709"/>
    <n v="2640840.0696469708"/>
  </r>
  <r>
    <n v="440"/>
    <x v="0"/>
    <m/>
    <s v="구용근"/>
    <s v="구미"/>
    <s v="PKG"/>
    <s v="O"/>
    <s v="8&quot;&amp;12&quot;"/>
    <s v="DDI"/>
    <x v="4"/>
    <s v="COF"/>
    <x v="30"/>
    <n v="1005606"/>
    <s v="MC"/>
    <s v="PCU-24 : BAKE OVEN(오성에스티)"/>
    <s v="OS-OVN11-BK02"/>
    <x v="17"/>
    <m/>
    <s v="OSST-18080103132-3"/>
    <x v="0"/>
    <s v="가동"/>
    <s v="한국"/>
    <s v="오성에스티"/>
    <x v="2"/>
    <s v="2차"/>
    <s v="2차"/>
    <s v="일반장비(비통제)"/>
    <s v="접착제 경화"/>
    <s v="접착제 경화"/>
    <s v="일반 산업 장비"/>
    <m/>
    <s v="EAR99"/>
    <s v="8486.40-0000"/>
    <s v="후공정/Assembly oven"/>
    <m/>
    <d v="2018-09-10T00:00:00"/>
    <d v="2018-09-10T00:00:00"/>
    <n v="7.1452054794520548"/>
    <n v="8"/>
    <s v="G1-1층"/>
    <s v="자사"/>
    <s v="미설정"/>
    <n v="5.28"/>
    <n v="1470"/>
    <n v="960"/>
    <n v="1675"/>
    <n v="7915000"/>
    <m/>
    <m/>
    <m/>
    <n v="6843178"/>
    <n v="82448"/>
    <n v="824478"/>
    <n v="43834"/>
    <m/>
    <m/>
    <n v="12.999975742286047"/>
    <s v="미완료"/>
    <s v="D-POT"/>
    <s v="COF(Assy_FT)"/>
    <s v="COF(Assy_FT)"/>
    <s v="기계장치"/>
    <n v="865701.9"/>
    <n v="27053.184375000001"/>
    <n v="9017.7281249999996"/>
    <m/>
    <m/>
    <m/>
    <m/>
    <m/>
    <m/>
    <m/>
    <n v="27053.184374999997"/>
    <n v="27053.184374999997"/>
    <n v="54106.368749999994"/>
    <n v="27053.184374999997"/>
    <n v="27053.184374999997"/>
    <n v="27053.184374999997"/>
    <n v="27053.184374999997"/>
    <n v="108212.73749999999"/>
    <n v="27053.184374999997"/>
    <n v="27053.184374999997"/>
    <n v="27053.184374999997"/>
    <n v="27053.184374999997"/>
    <n v="108212.73749999999"/>
    <n v="27053.184374999997"/>
    <n v="27053.184374999997"/>
    <n v="27053.184374999997"/>
    <n v="27053.184374999997"/>
    <n v="108212.73749999999"/>
    <m/>
    <m/>
    <m/>
    <n v="865701.9"/>
  </r>
  <r>
    <n v="441"/>
    <x v="0"/>
    <m/>
    <s v="구용근"/>
    <s v="구미"/>
    <s v="PKG"/>
    <s v="O"/>
    <s v="8&quot;&amp;12&quot;"/>
    <s v="DDI"/>
    <x v="4"/>
    <s v="COF"/>
    <x v="30"/>
    <n v="1005607"/>
    <s v="MC"/>
    <s v="PCU-25 : BAKE OVEN(오성에스티)"/>
    <s v="OS-OVN11-BK02"/>
    <x v="17"/>
    <m/>
    <s v="OSST-18080103132-4"/>
    <x v="0"/>
    <s v="가동"/>
    <s v="한국"/>
    <s v="오성에스티"/>
    <x v="2"/>
    <s v="2차"/>
    <s v="2차"/>
    <s v="일반장비(비통제)"/>
    <s v="접착제 경화"/>
    <s v="접착제 경화"/>
    <s v="일반 산업 장비"/>
    <m/>
    <s v="EAR99"/>
    <s v="8486.40-0000"/>
    <s v="후공정/Assembly oven"/>
    <m/>
    <d v="2018-09-10T00:00:00"/>
    <d v="2018-09-10T00:00:00"/>
    <n v="7.1452054794520548"/>
    <n v="8"/>
    <s v="G1-1층"/>
    <s v="자사"/>
    <s v="미설정"/>
    <n v="5.28"/>
    <n v="1470"/>
    <n v="960"/>
    <n v="1675"/>
    <n v="7915000"/>
    <m/>
    <m/>
    <m/>
    <n v="6843178"/>
    <n v="82448"/>
    <n v="824478"/>
    <n v="43834"/>
    <m/>
    <m/>
    <n v="12.999975742286047"/>
    <s v="미완료"/>
    <s v="D-POT"/>
    <s v="COF(Assy_FT)"/>
    <s v="COF(Assy_FT)"/>
    <s v="기계장치"/>
    <n v="865701.9"/>
    <n v="27053.184375000001"/>
    <n v="9017.7281249999996"/>
    <m/>
    <m/>
    <m/>
    <m/>
    <m/>
    <m/>
    <m/>
    <n v="27053.184374999997"/>
    <n v="27053.184374999997"/>
    <n v="54106.368749999994"/>
    <n v="27053.184374999997"/>
    <n v="27053.184374999997"/>
    <n v="27053.184374999997"/>
    <n v="27053.184374999997"/>
    <n v="108212.73749999999"/>
    <n v="27053.184374999997"/>
    <n v="27053.184374999997"/>
    <n v="27053.184374999997"/>
    <n v="27053.184374999997"/>
    <n v="108212.73749999999"/>
    <n v="27053.184374999997"/>
    <n v="27053.184374999997"/>
    <n v="27053.184374999997"/>
    <n v="27053.184374999997"/>
    <n v="108212.73749999999"/>
    <m/>
    <m/>
    <m/>
    <n v="865701.9"/>
  </r>
  <r>
    <n v="442"/>
    <x v="0"/>
    <m/>
    <s v="구용근"/>
    <s v="구미"/>
    <s v="PKG"/>
    <s v="O"/>
    <s v="8&quot;&amp;12&quot;"/>
    <s v="DDI"/>
    <x v="4"/>
    <s v="COF"/>
    <x v="32"/>
    <n v="1005431"/>
    <s v="MC"/>
    <s v="PIL-76 : TFC-3600-300(SHIBAURA)"/>
    <s v="TFC-3600"/>
    <x v="67"/>
    <s v="3세대"/>
    <s v="E088"/>
    <x v="165"/>
    <s v="가동"/>
    <s v="일본"/>
    <s v="Shibaura"/>
    <x v="2"/>
    <s v="2차"/>
    <s v="2차"/>
    <s v="해당"/>
    <s v="칩 본딩 장비"/>
    <s v="칩 본딩 장비"/>
    <m/>
    <m/>
    <s v="3B991"/>
    <s v="8486.40-0000"/>
    <s v="반도체 제조 공정용"/>
    <m/>
    <d v="2018-05-31T00:00:00"/>
    <d v="2018-05-31T00:00:00"/>
    <n v="7.4246575342465757"/>
    <n v="8"/>
    <s v="G1-1층"/>
    <s v="자사"/>
    <s v="설정"/>
    <n v="3.6"/>
    <n v="2820"/>
    <n v="1154"/>
    <n v="2020"/>
    <n v="435350287"/>
    <m/>
    <m/>
    <m/>
    <n v="381513264"/>
    <n v="4534899"/>
    <n v="40232326"/>
    <n v="822056"/>
    <m/>
    <m/>
    <n v="11.8717137912002"/>
    <s v="미완료"/>
    <s v="D-ILB"/>
    <s v="COF(Assy_FT)"/>
    <s v="COF(Assy_FT)"/>
    <s v="기계장치"/>
    <n v="42243942.300000004"/>
    <n v="1320123.1968750001"/>
    <n v="440041.06562500005"/>
    <m/>
    <m/>
    <m/>
    <m/>
    <m/>
    <m/>
    <m/>
    <n v="1320123.1968750001"/>
    <n v="1320123.1968750001"/>
    <n v="2640246.3937500003"/>
    <n v="1320123.1968750001"/>
    <n v="1320123.1968750001"/>
    <n v="1320123.1968750001"/>
    <n v="1320123.1968750001"/>
    <n v="5280492.7875000006"/>
    <n v="1320123.1968750001"/>
    <n v="1320123.1968750001"/>
    <n v="1320123.1968750001"/>
    <n v="1320123.1968750001"/>
    <n v="5280492.7875000006"/>
    <n v="1320123.1968750001"/>
    <n v="1320123.1968750001"/>
    <n v="1320123.1968750001"/>
    <n v="1320123.1968750001"/>
    <n v="5280492.7875000006"/>
    <m/>
    <m/>
    <m/>
    <n v="42243942.300000004"/>
  </r>
  <r>
    <n v="443"/>
    <x v="0"/>
    <m/>
    <s v="구용근"/>
    <s v="구미"/>
    <s v="PKG"/>
    <s v="O"/>
    <s v="8&quot;&amp;12&quot;"/>
    <s v="DDI"/>
    <x v="4"/>
    <s v="COF"/>
    <x v="32"/>
    <n v="1005430"/>
    <s v="MC"/>
    <s v="PIL-75 : TFC-3600-300(SHIBAURA)"/>
    <s v="TFC-3600"/>
    <x v="67"/>
    <s v="3세대"/>
    <s v="E091"/>
    <x v="165"/>
    <s v="가동"/>
    <s v="일본"/>
    <s v="Shibaura"/>
    <x v="2"/>
    <s v="2차"/>
    <s v="2차"/>
    <s v="해당"/>
    <s v="칩 본딩 장비"/>
    <s v="칩 본딩 장비"/>
    <m/>
    <m/>
    <s v="3B991"/>
    <s v="8486.40-0000"/>
    <s v="반도체 제조 공정용"/>
    <m/>
    <d v="2018-05-31T00:00:00"/>
    <d v="2018-05-31T00:00:00"/>
    <n v="7.4246575342465757"/>
    <n v="8"/>
    <s v="G1-1층"/>
    <s v="자사"/>
    <s v="설정"/>
    <n v="3.6"/>
    <n v="2820"/>
    <n v="1154"/>
    <n v="2020"/>
    <n v="435350284"/>
    <m/>
    <m/>
    <m/>
    <n v="381513264"/>
    <n v="4534899"/>
    <n v="40232323"/>
    <n v="822056"/>
    <m/>
    <m/>
    <n v="11.871713129663968"/>
    <s v="미완료"/>
    <s v="D-ILB"/>
    <s v="COF(Assy_FT)"/>
    <s v="COF(Assy_FT)"/>
    <s v="기계장치"/>
    <n v="42243939.149999999"/>
    <n v="1320123.0984375"/>
    <n v="440041.03281249997"/>
    <m/>
    <m/>
    <m/>
    <m/>
    <m/>
    <m/>
    <m/>
    <n v="1320123.0984375"/>
    <n v="1320123.0984375"/>
    <n v="2640246.1968749999"/>
    <n v="1320123.0984375"/>
    <n v="1320123.0984375"/>
    <n v="1320123.0984375"/>
    <n v="1320123.0984375"/>
    <n v="5280492.3937499998"/>
    <n v="1320123.0984375"/>
    <n v="1320123.0984375"/>
    <n v="1320123.0984375"/>
    <n v="1320123.0984375"/>
    <n v="5280492.3937499998"/>
    <n v="1320123.0984375"/>
    <n v="1320123.0984375"/>
    <n v="1320123.0984375"/>
    <n v="1320123.0984375"/>
    <n v="5280492.3937499998"/>
    <m/>
    <m/>
    <m/>
    <n v="42243939.149999999"/>
  </r>
  <r>
    <n v="444"/>
    <x v="0"/>
    <m/>
    <s v="구용근"/>
    <s v="구미"/>
    <s v="PKG"/>
    <s v="O"/>
    <s v="8&quot;&amp;12&quot;"/>
    <s v="DDI"/>
    <x v="4"/>
    <s v="COF"/>
    <x v="32"/>
    <n v="1005429"/>
    <s v="MC"/>
    <s v="PIL-74 : TFC-3600-300(SHIBAURA)"/>
    <s v="TFC-3600"/>
    <x v="67"/>
    <s v="3세대"/>
    <s v="E090"/>
    <x v="165"/>
    <s v="가동"/>
    <s v="일본"/>
    <s v="Shibaura"/>
    <x v="2"/>
    <s v="2차"/>
    <s v="2차"/>
    <s v="해당"/>
    <s v="칩 본딩 장비"/>
    <s v="칩 본딩 장비"/>
    <m/>
    <m/>
    <s v="3B991"/>
    <s v="8486.40-0000"/>
    <s v="반도체 제조 공정용"/>
    <m/>
    <d v="2018-05-31T00:00:00"/>
    <d v="2018-05-31T00:00:00"/>
    <n v="7.4246575342465757"/>
    <n v="8"/>
    <s v="G1-1층"/>
    <s v="자사"/>
    <s v="설정"/>
    <n v="3.6"/>
    <n v="2820"/>
    <n v="1154"/>
    <n v="2020"/>
    <n v="435350284"/>
    <m/>
    <m/>
    <m/>
    <n v="381513264"/>
    <n v="4534899"/>
    <n v="40232323"/>
    <n v="822056"/>
    <m/>
    <m/>
    <n v="11.871713129663968"/>
    <s v="미완료"/>
    <s v="D-ILB"/>
    <s v="COF(Assy_FT)"/>
    <s v="COF(Assy_FT)"/>
    <s v="기계장치"/>
    <n v="42243939.149999999"/>
    <n v="1320123.0984375"/>
    <n v="440041.03281249997"/>
    <m/>
    <m/>
    <m/>
    <m/>
    <m/>
    <m/>
    <m/>
    <n v="1320123.0984375"/>
    <n v="1320123.0984375"/>
    <n v="2640246.1968749999"/>
    <n v="1320123.0984375"/>
    <n v="1320123.0984375"/>
    <n v="1320123.0984375"/>
    <n v="1320123.0984375"/>
    <n v="5280492.3937499998"/>
    <n v="1320123.0984375"/>
    <n v="1320123.0984375"/>
    <n v="1320123.0984375"/>
    <n v="1320123.0984375"/>
    <n v="5280492.3937499998"/>
    <n v="1320123.0984375"/>
    <n v="1320123.0984375"/>
    <n v="1320123.0984375"/>
    <n v="1320123.0984375"/>
    <n v="5280492.3937499998"/>
    <m/>
    <m/>
    <m/>
    <n v="42243939.149999999"/>
  </r>
  <r>
    <n v="445"/>
    <x v="0"/>
    <m/>
    <s v="구용근"/>
    <s v="구미"/>
    <s v="PKG"/>
    <s v="O"/>
    <s v="8&quot;&amp;12&quot;"/>
    <s v="DDI"/>
    <x v="4"/>
    <s v="COF"/>
    <x v="35"/>
    <n v="1005648"/>
    <s v="MC"/>
    <s v="PRK-01 : R to R Laser Marking"/>
    <s v="Reelstar-800LM"/>
    <x v="84"/>
    <m/>
    <s v="R2018089LK"/>
    <x v="0"/>
    <s v="가동"/>
    <s v="대만"/>
    <s v="E&amp;R"/>
    <x v="1"/>
    <s v="1차"/>
    <s v="1차"/>
    <s v="일반장비(비통제)"/>
    <s v="릴 마킹"/>
    <s v="릴 마킹"/>
    <m/>
    <m/>
    <s v="EAR99"/>
    <s v="8486.40-0000"/>
    <m/>
    <m/>
    <d v="2018-10-04T00:00:00"/>
    <d v="2018-10-04T00:00:00"/>
    <n v="7.0794520547945208"/>
    <n v="8"/>
    <s v="G1-1층"/>
    <s v="자사"/>
    <s v="미설정"/>
    <n v="4.22"/>
    <n v="2812"/>
    <n v="1208"/>
    <n v="2208"/>
    <n v="678892003"/>
    <m/>
    <m/>
    <m/>
    <n v="356067113"/>
    <n v="7071792"/>
    <n v="301609514"/>
    <n v="20203853"/>
    <m/>
    <m/>
    <n v="45.649658530680767"/>
    <s v="미완료"/>
    <s v="D-LMARK"/>
    <s v="COF(Assy_FT)"/>
    <s v="COF(Assy_FT)"/>
    <s v="기계장치"/>
    <n v="316689989.69999999"/>
    <n v="30189650.67738121"/>
    <n v="10063216.892460404"/>
    <m/>
    <m/>
    <n v="30189650.67738121"/>
    <n v="30189650.67738121"/>
    <n v="60379301.35476242"/>
    <n v="30189650.67738121"/>
    <n v="30189650.67738121"/>
    <n v="30189650.67738121"/>
    <n v="30189650.67738121"/>
    <n v="120758602.70952484"/>
    <n v="30189650.67738121"/>
    <n v="30189650.67738121"/>
    <n v="30189650.67738121"/>
    <n v="30189650.67738121"/>
    <n v="120758602.70952484"/>
    <n v="30189650.67738121"/>
    <n v="30189650.67738121"/>
    <n v="30189650.67738121"/>
    <n v="30189650.67738121"/>
    <n v="120758602.70952484"/>
    <n v="30189650.67738121"/>
    <n v="30189650.67738121"/>
    <n v="30189650.67738121"/>
    <n v="30189650.67738121"/>
    <n v="120758602.70952484"/>
    <m/>
    <n v="3.0922801522676131E-2"/>
    <n v="649378831.97619879"/>
    <n v="966068821.67619872"/>
  </r>
  <r>
    <n v="446"/>
    <x v="0"/>
    <m/>
    <s v="구용근"/>
    <s v="구미"/>
    <s v="PKG"/>
    <s v="O"/>
    <s v="8&quot;&amp;12&quot;"/>
    <s v="DDI"/>
    <x v="4"/>
    <s v="COF"/>
    <x v="31"/>
    <n v="1005651"/>
    <s v="MC"/>
    <s v="PPT-54 : Potting System 4Head(쎄크)"/>
    <s v="TCP-435A"/>
    <x v="82"/>
    <m/>
    <s v="POTTING-024BJ11"/>
    <x v="0"/>
    <s v="가동"/>
    <s v="한국"/>
    <s v="SEC"/>
    <x v="2"/>
    <s v="3차"/>
    <s v="3차"/>
    <s v="일반장비(비통제)"/>
    <s v="에폭시 도포기"/>
    <m/>
    <m/>
    <m/>
    <s v="EAR99"/>
    <s v="8486.40-0000"/>
    <m/>
    <m/>
    <d v="2018-09-21T00:00:00"/>
    <d v="2018-09-21T00:00:00"/>
    <n v="7.1150684931506847"/>
    <n v="8"/>
    <s v="G1-1층"/>
    <s v="자사"/>
    <s v="설정"/>
    <n v="6.6"/>
    <n v="7100"/>
    <n v="820"/>
    <n v="1860"/>
    <n v="247522500"/>
    <m/>
    <m/>
    <m/>
    <n v="214003821"/>
    <n v="2578359"/>
    <n v="25783602"/>
    <n v="1359457"/>
    <m/>
    <m/>
    <n v="13.00000465412303"/>
    <s v="미완료"/>
    <s v="D-POT"/>
    <s v="COF(Assy_FT)"/>
    <s v="COF(Assy_FT)"/>
    <s v="기계장치"/>
    <n v="27072782.100000001"/>
    <n v="846024.44062500005"/>
    <n v="282008.14687500003"/>
    <m/>
    <m/>
    <m/>
    <m/>
    <m/>
    <m/>
    <m/>
    <n v="846024.44062500005"/>
    <n v="846024.44062500005"/>
    <n v="1692048.8812500001"/>
    <n v="846024.44062500005"/>
    <n v="846024.44062500005"/>
    <n v="846024.44062500005"/>
    <n v="846024.44062500005"/>
    <n v="3384097.7625000002"/>
    <n v="846024.44062500005"/>
    <n v="846024.44062500005"/>
    <n v="846024.44062500005"/>
    <n v="846024.44062500005"/>
    <n v="3384097.7625000002"/>
    <n v="846024.44062500005"/>
    <n v="846024.44062500005"/>
    <n v="846024.44062500005"/>
    <n v="846024.44062500005"/>
    <n v="3384097.7625000002"/>
    <m/>
    <m/>
    <m/>
    <n v="27072782.100000001"/>
  </r>
  <r>
    <n v="447"/>
    <x v="0"/>
    <m/>
    <s v="구용근"/>
    <s v="구미"/>
    <s v="PKG"/>
    <s v="O"/>
    <s v="8&quot;&amp;12&quot;"/>
    <s v="DDI"/>
    <x v="4"/>
    <s v="COF"/>
    <x v="31"/>
    <n v="1005652"/>
    <s v="MC"/>
    <s v="PPT-55 : Potting System 4Head(쎄크)"/>
    <s v="TCP-435A"/>
    <x v="82"/>
    <m/>
    <s v="POTTING-025BJ12"/>
    <x v="0"/>
    <s v="가동"/>
    <s v="한국"/>
    <s v="SEC"/>
    <x v="2"/>
    <s v="3차"/>
    <s v="3차"/>
    <s v="일반장비(비통제)"/>
    <s v="에폭시 도포기"/>
    <m/>
    <m/>
    <m/>
    <s v="EAR99"/>
    <s v="8486.40-0000"/>
    <m/>
    <m/>
    <d v="2018-09-21T00:00:00"/>
    <d v="2018-09-21T00:00:00"/>
    <n v="7.1150684931506847"/>
    <n v="8"/>
    <s v="G1-1층"/>
    <s v="자사"/>
    <s v="설정"/>
    <n v="6.6"/>
    <n v="7100"/>
    <n v="820"/>
    <n v="1860"/>
    <n v="247522500"/>
    <m/>
    <m/>
    <m/>
    <n v="214003821"/>
    <n v="2578359"/>
    <n v="25783602"/>
    <n v="1359457"/>
    <m/>
    <m/>
    <n v="13.00000465412303"/>
    <s v="미완료"/>
    <s v="D-POT"/>
    <s v="COF(Assy_FT)"/>
    <s v="COF(Assy_FT)"/>
    <s v="기계장치"/>
    <n v="27072782.100000001"/>
    <n v="846024.44062500005"/>
    <n v="282008.14687500003"/>
    <m/>
    <m/>
    <m/>
    <m/>
    <m/>
    <m/>
    <m/>
    <n v="846024.44062500005"/>
    <n v="846024.44062500005"/>
    <n v="1692048.8812500001"/>
    <n v="846024.44062500005"/>
    <n v="846024.44062500005"/>
    <n v="846024.44062500005"/>
    <n v="846024.44062500005"/>
    <n v="3384097.7625000002"/>
    <n v="846024.44062500005"/>
    <n v="846024.44062500005"/>
    <n v="846024.44062500005"/>
    <n v="846024.44062500005"/>
    <n v="3384097.7625000002"/>
    <n v="846024.44062500005"/>
    <n v="846024.44062500005"/>
    <n v="846024.44062500005"/>
    <n v="846024.44062500005"/>
    <n v="3384097.7625000002"/>
    <m/>
    <m/>
    <m/>
    <n v="27072782.100000001"/>
  </r>
  <r>
    <n v="448"/>
    <x v="0"/>
    <m/>
    <s v="구용근"/>
    <s v="구미"/>
    <s v="PKG"/>
    <s v="O"/>
    <s v="8&quot;&amp;12&quot;"/>
    <s v="DDI"/>
    <x v="4"/>
    <s v="COF"/>
    <x v="31"/>
    <n v="1005653"/>
    <s v="MC"/>
    <s v="PPT-56 : Potting System 4Head(쎄크)"/>
    <s v="TCP-435A"/>
    <x v="82"/>
    <m/>
    <s v="POTTING-026BJ13"/>
    <x v="0"/>
    <s v="가동"/>
    <s v="한국"/>
    <s v="SEC"/>
    <x v="2"/>
    <s v="3차"/>
    <s v="3차"/>
    <s v="일반장비(비통제)"/>
    <s v="에폭시 도포기"/>
    <m/>
    <m/>
    <m/>
    <s v="EAR99"/>
    <s v="8486.40-0000"/>
    <m/>
    <m/>
    <d v="2018-09-21T00:00:00"/>
    <d v="2018-09-21T00:00:00"/>
    <n v="7.1150684931506847"/>
    <n v="8"/>
    <s v="G1-1층"/>
    <s v="자사"/>
    <s v="설정"/>
    <n v="6.6"/>
    <n v="7100"/>
    <n v="820"/>
    <n v="1860"/>
    <n v="247522500"/>
    <m/>
    <m/>
    <m/>
    <n v="214003821"/>
    <n v="2578359"/>
    <n v="25783602"/>
    <n v="1359457"/>
    <m/>
    <m/>
    <n v="13.00000465412303"/>
    <s v="미완료"/>
    <s v="D-POT"/>
    <s v="COF(Assy_FT)"/>
    <s v="COF(Assy_FT)"/>
    <s v="기계장치"/>
    <n v="27072782.100000001"/>
    <n v="846024.44062500005"/>
    <n v="282008.14687500003"/>
    <m/>
    <m/>
    <m/>
    <m/>
    <m/>
    <m/>
    <m/>
    <n v="846024.44062500005"/>
    <n v="846024.44062500005"/>
    <n v="1692048.8812500001"/>
    <n v="846024.44062500005"/>
    <n v="846024.44062500005"/>
    <n v="846024.44062500005"/>
    <n v="846024.44062500005"/>
    <n v="3384097.7625000002"/>
    <n v="846024.44062500005"/>
    <n v="846024.44062500005"/>
    <n v="846024.44062500005"/>
    <n v="846024.44062500005"/>
    <n v="3384097.7625000002"/>
    <n v="846024.44062500005"/>
    <n v="846024.44062500005"/>
    <n v="846024.44062500005"/>
    <n v="846024.44062500005"/>
    <n v="3384097.7625000002"/>
    <m/>
    <m/>
    <m/>
    <n v="27072782.100000001"/>
  </r>
  <r>
    <n v="449"/>
    <x v="0"/>
    <m/>
    <s v="구용근"/>
    <s v="구미"/>
    <s v="PKG"/>
    <s v="O"/>
    <s v="8&quot;&amp;12&quot;"/>
    <s v="DDI"/>
    <x v="4"/>
    <s v="COF"/>
    <x v="31"/>
    <n v="1005654"/>
    <s v="MC"/>
    <s v="PPT-57 : Potting System 4Head(쎄크)"/>
    <s v="TCP-435A"/>
    <x v="82"/>
    <m/>
    <s v="POTTING-027BJ14"/>
    <x v="0"/>
    <s v="가동"/>
    <s v="한국"/>
    <s v="SEC"/>
    <x v="2"/>
    <s v="3차"/>
    <s v="3차"/>
    <s v="일반장비(비통제)"/>
    <s v="에폭시 도포기"/>
    <m/>
    <m/>
    <m/>
    <s v="EAR99"/>
    <s v="8486.40-0000"/>
    <m/>
    <m/>
    <d v="2018-09-21T00:00:00"/>
    <d v="2018-09-21T00:00:00"/>
    <n v="7.1150684931506847"/>
    <n v="8"/>
    <s v="G1-1층"/>
    <s v="자사"/>
    <s v="설정"/>
    <n v="6.6"/>
    <n v="7100"/>
    <n v="820"/>
    <n v="1860"/>
    <n v="247522500"/>
    <m/>
    <m/>
    <m/>
    <n v="214003821"/>
    <n v="2578359"/>
    <n v="25783602"/>
    <n v="1359457"/>
    <m/>
    <m/>
    <n v="13.00000465412303"/>
    <s v="미완료"/>
    <s v="D-POT"/>
    <s v="COF(Assy_FT)"/>
    <s v="COF(Assy_FT)"/>
    <s v="기계장치"/>
    <n v="27072782.100000001"/>
    <n v="846024.44062500005"/>
    <n v="282008.14687500003"/>
    <m/>
    <m/>
    <m/>
    <m/>
    <m/>
    <m/>
    <m/>
    <n v="846024.44062500005"/>
    <n v="846024.44062500005"/>
    <n v="1692048.8812500001"/>
    <n v="846024.44062500005"/>
    <n v="846024.44062500005"/>
    <n v="846024.44062500005"/>
    <n v="846024.44062500005"/>
    <n v="3384097.7625000002"/>
    <n v="846024.44062500005"/>
    <n v="846024.44062500005"/>
    <n v="846024.44062500005"/>
    <n v="846024.44062500005"/>
    <n v="3384097.7625000002"/>
    <n v="846024.44062500005"/>
    <n v="846024.44062500005"/>
    <n v="846024.44062500005"/>
    <n v="846024.44062500005"/>
    <n v="3384097.7625000002"/>
    <m/>
    <m/>
    <m/>
    <n v="27072782.100000001"/>
  </r>
  <r>
    <n v="450"/>
    <x v="0"/>
    <m/>
    <s v="구용근"/>
    <s v="구미"/>
    <s v="PKG"/>
    <s v="O"/>
    <s v="8&quot;&amp;12&quot;"/>
    <s v="DDI"/>
    <x v="4"/>
    <s v="COF"/>
    <x v="35"/>
    <n v="1005722"/>
    <s v="MC"/>
    <s v="PRK-02 : R to R Laser Marking"/>
    <s v="Reelstar-800LM"/>
    <x v="84"/>
    <m/>
    <s v="R2018149LK"/>
    <x v="0"/>
    <s v="가동"/>
    <s v="대만"/>
    <s v="E&amp;R"/>
    <x v="0"/>
    <s v="1차"/>
    <s v="1차"/>
    <s v="일반장비(비통제)"/>
    <s v="릴 마킹"/>
    <s v="릴 마킹"/>
    <m/>
    <m/>
    <s v="EAR99"/>
    <s v="8486.40-0000"/>
    <m/>
    <m/>
    <d v="2019-01-16T00:00:00"/>
    <d v="2019-01-16T00:00:00"/>
    <n v="6.7945205479452051"/>
    <n v="8"/>
    <s v="G1-1층"/>
    <s v="자사"/>
    <s v="미설정"/>
    <n v="4.22"/>
    <n v="2812"/>
    <n v="1208"/>
    <n v="2208"/>
    <n v="340427001"/>
    <m/>
    <m/>
    <m/>
    <n v="280143055"/>
    <n v="3546115"/>
    <n v="49645601"/>
    <n v="3364801"/>
    <m/>
    <m/>
    <n v="16.999997462011244"/>
    <s v="미완료"/>
    <s v="D-LMARK"/>
    <s v="COF(Assy_FT)"/>
    <s v="COF(Assy_FT)"/>
    <s v="기계장치"/>
    <n v="52127881.050000004"/>
    <n v="4969284.0652853129"/>
    <n v="1656428.0217617711"/>
    <m/>
    <m/>
    <m/>
    <m/>
    <m/>
    <m/>
    <m/>
    <n v="4969284.0652853129"/>
    <n v="4969284.0652853129"/>
    <n v="9938568.1305706259"/>
    <n v="4969284.0652853129"/>
    <n v="4969284.0652853129"/>
    <n v="4969284.0652853129"/>
    <n v="4969284.0652853129"/>
    <n v="19877136.261141252"/>
    <n v="4969284.0652853129"/>
    <n v="4969284.0652853129"/>
    <n v="4969284.0652853129"/>
    <n v="4969284.0652853129"/>
    <n v="19877136.261141252"/>
    <n v="4969284.0652853129"/>
    <n v="4969284.0652853129"/>
    <n v="4969284.0652853129"/>
    <n v="4969284.0652853129"/>
    <n v="19877136.261141252"/>
    <m/>
    <n v="5.0899623351966673E-3"/>
    <n v="106889209.03913002"/>
    <n v="159017090.08913001"/>
  </r>
  <r>
    <n v="451"/>
    <x v="0"/>
    <m/>
    <s v="구용근"/>
    <s v="구미"/>
    <s v="PKG"/>
    <s v="O"/>
    <s v="8&quot;&amp;12&quot;"/>
    <s v="DDI"/>
    <x v="4"/>
    <s v="COF"/>
    <x v="35"/>
    <n v="1005723"/>
    <s v="MC"/>
    <s v="PRK-03 : R to R Laser Marking"/>
    <s v="Reelstar-800LM"/>
    <x v="84"/>
    <m/>
    <s v="R2018150LK"/>
    <x v="0"/>
    <s v="가동"/>
    <s v="대만"/>
    <s v="E&amp;R"/>
    <x v="0"/>
    <s v="2차"/>
    <s v="2차"/>
    <s v="일반장비(비통제)"/>
    <s v="릴 마킹"/>
    <s v="릴 마킹"/>
    <m/>
    <m/>
    <s v="EAR99"/>
    <s v="8486.40-0000"/>
    <m/>
    <m/>
    <d v="2019-01-16T00:00:00"/>
    <d v="2019-01-16T00:00:00"/>
    <n v="6.7945205479452051"/>
    <n v="8"/>
    <s v="G1-1층"/>
    <s v="자사"/>
    <s v="미설정"/>
    <n v="4.22"/>
    <n v="2812"/>
    <n v="1208"/>
    <n v="2208"/>
    <n v="340427001"/>
    <m/>
    <m/>
    <m/>
    <n v="280143055"/>
    <n v="3546115"/>
    <n v="49645601"/>
    <n v="3364801"/>
    <m/>
    <m/>
    <n v="16.999997462011244"/>
    <s v="미완료"/>
    <s v="D-LMARK"/>
    <s v="COF(Assy_FT)"/>
    <s v="COF(Assy_FT)"/>
    <s v="기계장치"/>
    <n v="52127881.050000004"/>
    <n v="4969284.0652853129"/>
    <n v="1656428.0217617711"/>
    <m/>
    <m/>
    <m/>
    <m/>
    <m/>
    <m/>
    <m/>
    <n v="4969284.0652853129"/>
    <n v="4969284.0652853129"/>
    <n v="9938568.1305706259"/>
    <n v="4969284.0652853129"/>
    <n v="4969284.0652853129"/>
    <n v="4969284.0652853129"/>
    <n v="4969284.0652853129"/>
    <n v="19877136.261141252"/>
    <n v="4969284.0652853129"/>
    <n v="4969284.0652853129"/>
    <n v="4969284.0652853129"/>
    <n v="4969284.0652853129"/>
    <n v="19877136.261141252"/>
    <n v="4969284.0652853129"/>
    <n v="4969284.0652853129"/>
    <n v="4969284.0652853129"/>
    <n v="4969284.0652853129"/>
    <n v="19877136.261141252"/>
    <m/>
    <n v="5.0899623351966673E-3"/>
    <n v="106889209.03913002"/>
    <n v="159017090.08913001"/>
  </r>
  <r>
    <n v="452"/>
    <x v="0"/>
    <m/>
    <s v="구용근"/>
    <s v="구미"/>
    <s v="PKG"/>
    <s v="O"/>
    <s v="8&quot;&amp;12&quot;"/>
    <s v="DDI"/>
    <x v="4"/>
    <s v="COF"/>
    <x v="30"/>
    <n v="1005822"/>
    <s v="MC"/>
    <s v="PCU-26 : BAKE OVEN(오성에스티)"/>
    <s v="OS-OVN11-BK02"/>
    <x v="17"/>
    <m/>
    <s v="OSST-19010903101-1"/>
    <x v="0"/>
    <s v="가동"/>
    <s v="한국"/>
    <s v="오성에스티"/>
    <x v="2"/>
    <s v="3차"/>
    <s v="3차"/>
    <s v="일반장비(비통제)"/>
    <s v="접착제 경화"/>
    <s v="접착제 경화"/>
    <s v="일반 산업 장비"/>
    <m/>
    <s v="EAR99"/>
    <s v="8486.40-0000"/>
    <s v="후공정/Assembly oven"/>
    <m/>
    <d v="2019-02-26T00:00:00"/>
    <d v="2019-02-26T00:00:00"/>
    <n v="6.6821917808219178"/>
    <n v="8"/>
    <s v="G1-1층"/>
    <s v="자사"/>
    <s v="미설정"/>
    <n v="5.28"/>
    <n v="1470"/>
    <n v="960"/>
    <n v="1675"/>
    <n v="8830000"/>
    <m/>
    <m/>
    <m/>
    <n v="7174373"/>
    <n v="91979"/>
    <n v="1379690"/>
    <n v="96965"/>
    <m/>
    <m/>
    <n v="18.000054360234401"/>
    <s v="미완료"/>
    <s v="D-POT"/>
    <s v="COF(Assy_FT)"/>
    <s v="COF(Assy_FT)"/>
    <s v="기계장치"/>
    <n v="1448674.5"/>
    <n v="45271.078125"/>
    <n v="15090.359375"/>
    <m/>
    <m/>
    <m/>
    <m/>
    <m/>
    <m/>
    <m/>
    <n v="45271.078125"/>
    <n v="45271.078125"/>
    <n v="90542.15625"/>
    <n v="45271.078125"/>
    <n v="45271.078125"/>
    <n v="45271.078125"/>
    <n v="45271.078125"/>
    <n v="181084.3125"/>
    <n v="45271.078125"/>
    <n v="45271.078125"/>
    <n v="45271.078125"/>
    <n v="45271.078125"/>
    <n v="181084.3125"/>
    <n v="45271.078125"/>
    <n v="45271.078125"/>
    <n v="45271.078125"/>
    <n v="45271.078125"/>
    <n v="181084.3125"/>
    <m/>
    <m/>
    <m/>
    <n v="1448674.5"/>
  </r>
  <r>
    <n v="453"/>
    <x v="0"/>
    <m/>
    <s v="구용근"/>
    <s v="구미"/>
    <s v="PKG"/>
    <s v="O"/>
    <s v="8&quot;&amp;12&quot;"/>
    <s v="DDI"/>
    <x v="4"/>
    <s v="COF"/>
    <x v="31"/>
    <n v="1005823"/>
    <s v="MC"/>
    <s v="PPT-58 : Potting System 4Head(쎄크)"/>
    <s v="TCP-435A"/>
    <x v="82"/>
    <m/>
    <s v="POTTING-032BK02"/>
    <x v="0"/>
    <s v="가동"/>
    <s v="한국"/>
    <s v="SEC"/>
    <x v="2"/>
    <s v="3차"/>
    <s v="3차"/>
    <s v="일반장비(비통제)"/>
    <s v="에폭시 도포기"/>
    <m/>
    <m/>
    <m/>
    <s v="EAR99"/>
    <s v="8486.40-0000"/>
    <m/>
    <m/>
    <d v="2019-03-13T00:00:00"/>
    <d v="2019-03-13T00:00:00"/>
    <n v="6.6410958904109592"/>
    <n v="8"/>
    <s v="G1-1층"/>
    <s v="자사"/>
    <s v="미설정"/>
    <n v="6.6"/>
    <n v="7100"/>
    <n v="820"/>
    <n v="1860"/>
    <n v="241022500"/>
    <m/>
    <m/>
    <m/>
    <n v="193320127"/>
    <n v="2510651"/>
    <n v="40170420"/>
    <n v="2911462"/>
    <m/>
    <m/>
    <n v="19.000001593212279"/>
    <s v="미완료"/>
    <s v="D-POT"/>
    <s v="COF(Assy_FT)"/>
    <s v="COF(Assy_FT)"/>
    <s v="기계장치"/>
    <n v="42178941"/>
    <n v="1318091.90625"/>
    <n v="439363.96875"/>
    <m/>
    <m/>
    <m/>
    <m/>
    <m/>
    <m/>
    <m/>
    <n v="1318091.90625"/>
    <n v="1318091.90625"/>
    <n v="2636183.8125"/>
    <n v="1318091.90625"/>
    <n v="1318091.90625"/>
    <n v="1318091.90625"/>
    <n v="1318091.90625"/>
    <n v="5272367.625"/>
    <n v="1318091.90625"/>
    <n v="1318091.90625"/>
    <n v="1318091.90625"/>
    <n v="1318091.90625"/>
    <n v="5272367.625"/>
    <n v="1318091.90625"/>
    <n v="1318091.90625"/>
    <n v="1318091.90625"/>
    <n v="1318091.90625"/>
    <n v="5272367.625"/>
    <m/>
    <m/>
    <m/>
    <n v="42178941"/>
  </r>
  <r>
    <n v="454"/>
    <x v="0"/>
    <m/>
    <s v="구용근"/>
    <s v="구미"/>
    <s v="PKG"/>
    <s v="O"/>
    <s v="8&quot;&amp;12&quot;"/>
    <s v="DDI"/>
    <x v="4"/>
    <s v="COF"/>
    <x v="31"/>
    <n v="1005824"/>
    <s v="MC"/>
    <s v="PPT-59 : Potting System 4Head(쎄크)"/>
    <s v="TCP-435A"/>
    <x v="82"/>
    <m/>
    <s v="POTTING-033BK03"/>
    <x v="0"/>
    <s v="가동"/>
    <s v="한국"/>
    <s v="SEC"/>
    <x v="2"/>
    <s v="3차"/>
    <s v="3차"/>
    <s v="일반장비(비통제)"/>
    <s v="에폭시 도포기"/>
    <m/>
    <m/>
    <m/>
    <s v="EAR99"/>
    <s v="8486.40-0000"/>
    <m/>
    <m/>
    <d v="2019-03-13T00:00:00"/>
    <d v="2019-03-13T00:00:00"/>
    <n v="6.6410958904109592"/>
    <n v="8"/>
    <s v="G1-1층"/>
    <s v="자사"/>
    <s v="미설정"/>
    <n v="6.6"/>
    <n v="7100"/>
    <n v="820"/>
    <n v="1860"/>
    <n v="241022500"/>
    <m/>
    <m/>
    <m/>
    <n v="193320127"/>
    <n v="2510651"/>
    <n v="40170420"/>
    <n v="2911462"/>
    <m/>
    <m/>
    <n v="19.000001593212279"/>
    <s v="미완료"/>
    <s v="D-POT"/>
    <s v="COF(Assy_FT)"/>
    <s v="COF(Assy_FT)"/>
    <s v="기계장치"/>
    <n v="42178941"/>
    <n v="1318091.90625"/>
    <n v="439363.96875"/>
    <m/>
    <m/>
    <m/>
    <m/>
    <m/>
    <m/>
    <m/>
    <n v="1318091.90625"/>
    <n v="1318091.90625"/>
    <n v="2636183.8125"/>
    <n v="1318091.90625"/>
    <n v="1318091.90625"/>
    <n v="1318091.90625"/>
    <n v="1318091.90625"/>
    <n v="5272367.625"/>
    <n v="1318091.90625"/>
    <n v="1318091.90625"/>
    <n v="1318091.90625"/>
    <n v="1318091.90625"/>
    <n v="5272367.625"/>
    <n v="1318091.90625"/>
    <n v="1318091.90625"/>
    <n v="1318091.90625"/>
    <n v="1318091.90625"/>
    <n v="5272367.625"/>
    <m/>
    <m/>
    <m/>
    <n v="42178941"/>
  </r>
  <r>
    <n v="455"/>
    <x v="0"/>
    <m/>
    <s v="구용근"/>
    <s v="구미"/>
    <s v="PKG"/>
    <s v="O"/>
    <s v="8&quot;&amp;12&quot;"/>
    <s v="DDI"/>
    <x v="4"/>
    <s v="COF"/>
    <x v="31"/>
    <n v="1005825"/>
    <s v="MC"/>
    <s v="PPT-60 : Potting System 4Head(쎄크)"/>
    <s v="TCP-435A"/>
    <x v="82"/>
    <m/>
    <s v="POTTING-034BK04"/>
    <x v="0"/>
    <s v="가동"/>
    <s v="한국"/>
    <s v="SEC"/>
    <x v="2"/>
    <s v="3차"/>
    <s v="3차"/>
    <s v="일반장비(비통제)"/>
    <s v="에폭시 도포기"/>
    <m/>
    <m/>
    <m/>
    <s v="EAR99"/>
    <s v="8486.40-0000"/>
    <m/>
    <m/>
    <d v="2019-03-13T00:00:00"/>
    <d v="2019-03-13T00:00:00"/>
    <n v="6.6410958904109592"/>
    <n v="8"/>
    <s v="G1-1층"/>
    <s v="자사"/>
    <s v="미설정"/>
    <n v="6.6"/>
    <n v="7100"/>
    <n v="820"/>
    <n v="1860"/>
    <n v="241022500"/>
    <m/>
    <m/>
    <m/>
    <n v="193320127"/>
    <n v="2510651"/>
    <n v="40170420"/>
    <n v="2911462"/>
    <m/>
    <m/>
    <n v="19.000001593212279"/>
    <s v="미완료"/>
    <s v="D-POT"/>
    <s v="COF(Assy_FT)"/>
    <s v="COF(Assy_FT)"/>
    <s v="기계장치"/>
    <n v="42178941"/>
    <n v="1318091.90625"/>
    <n v="439363.96875"/>
    <m/>
    <m/>
    <m/>
    <m/>
    <m/>
    <m/>
    <m/>
    <n v="1318091.90625"/>
    <n v="1318091.90625"/>
    <n v="2636183.8125"/>
    <n v="1318091.90625"/>
    <n v="1318091.90625"/>
    <n v="1318091.90625"/>
    <n v="1318091.90625"/>
    <n v="5272367.625"/>
    <n v="1318091.90625"/>
    <n v="1318091.90625"/>
    <n v="1318091.90625"/>
    <n v="1318091.90625"/>
    <n v="5272367.625"/>
    <n v="1318091.90625"/>
    <n v="1318091.90625"/>
    <n v="1318091.90625"/>
    <n v="1318091.90625"/>
    <n v="5272367.625"/>
    <m/>
    <m/>
    <m/>
    <n v="42178941"/>
  </r>
  <r>
    <n v="456"/>
    <x v="0"/>
    <m/>
    <s v="구용근"/>
    <s v="구미"/>
    <s v="PKG"/>
    <s v="O"/>
    <s v="8&quot;&amp;12&quot;"/>
    <s v="DDI"/>
    <x v="4"/>
    <s v="COF"/>
    <x v="31"/>
    <n v="1005826"/>
    <s v="MC"/>
    <s v="PPT-61 : Potting System 4Head(쎄크)"/>
    <s v="TCP-435A"/>
    <x v="82"/>
    <m/>
    <s v="POTTING-035BK05"/>
    <x v="0"/>
    <s v="가동"/>
    <s v="한국"/>
    <s v="SEC"/>
    <x v="2"/>
    <s v="3차"/>
    <s v="3차"/>
    <s v="일반장비(비통제)"/>
    <s v="에폭시 도포기"/>
    <m/>
    <m/>
    <m/>
    <s v="EAR99"/>
    <s v="8486.40-0000"/>
    <m/>
    <m/>
    <d v="2019-03-13T00:00:00"/>
    <d v="2019-03-13T00:00:00"/>
    <n v="6.6410958904109592"/>
    <n v="8"/>
    <s v="G1-1층"/>
    <s v="자사"/>
    <s v="미설정"/>
    <n v="6.6"/>
    <n v="7100"/>
    <n v="820"/>
    <n v="1860"/>
    <n v="241022500"/>
    <m/>
    <m/>
    <m/>
    <n v="193320127"/>
    <n v="2510651"/>
    <n v="40170420"/>
    <n v="2911462"/>
    <m/>
    <m/>
    <n v="19.000001593212279"/>
    <s v="미완료"/>
    <s v="D-POT"/>
    <s v="COF(Assy_FT)"/>
    <s v="COF(Assy_FT)"/>
    <s v="기계장치"/>
    <n v="42178941"/>
    <n v="1318091.90625"/>
    <n v="439363.96875"/>
    <m/>
    <m/>
    <m/>
    <m/>
    <m/>
    <m/>
    <m/>
    <n v="1318091.90625"/>
    <n v="1318091.90625"/>
    <n v="2636183.8125"/>
    <n v="1318091.90625"/>
    <n v="1318091.90625"/>
    <n v="1318091.90625"/>
    <n v="1318091.90625"/>
    <n v="5272367.625"/>
    <n v="1318091.90625"/>
    <n v="1318091.90625"/>
    <n v="1318091.90625"/>
    <n v="1318091.90625"/>
    <n v="5272367.625"/>
    <n v="1318091.90625"/>
    <n v="1318091.90625"/>
    <n v="1318091.90625"/>
    <n v="1318091.90625"/>
    <n v="5272367.625"/>
    <m/>
    <m/>
    <m/>
    <n v="42178941"/>
  </r>
  <r>
    <n v="457"/>
    <x v="0"/>
    <m/>
    <s v="구용근"/>
    <s v="구미"/>
    <s v="PKG"/>
    <s v="O"/>
    <s v="8&quot;&amp;12&quot;"/>
    <s v="DDI"/>
    <x v="4"/>
    <s v="COF"/>
    <x v="31"/>
    <n v="1005827"/>
    <s v="MC"/>
    <s v="PPT-62 : Potting System 4Head(쎄크)"/>
    <s v="TCP-435A"/>
    <x v="82"/>
    <m/>
    <s v="POTTING-036BK06"/>
    <x v="0"/>
    <s v="가동"/>
    <s v="한국"/>
    <s v="SEC"/>
    <x v="2"/>
    <s v="3차"/>
    <s v="3차"/>
    <s v="일반장비(비통제)"/>
    <s v="에폭시 도포기"/>
    <m/>
    <m/>
    <m/>
    <s v="EAR99"/>
    <s v="8486.40-0000"/>
    <m/>
    <m/>
    <d v="2019-03-13T00:00:00"/>
    <d v="2019-03-13T00:00:00"/>
    <n v="6.6410958904109592"/>
    <n v="8"/>
    <s v="G1-1층"/>
    <s v="자사"/>
    <s v="미설정"/>
    <n v="6.6"/>
    <n v="7100"/>
    <n v="820"/>
    <n v="1860"/>
    <n v="242160000"/>
    <m/>
    <m/>
    <m/>
    <n v="194198126"/>
    <n v="2522500"/>
    <n v="40394374"/>
    <n v="2928049"/>
    <m/>
    <m/>
    <n v="19.013626957383547"/>
    <s v="미완료"/>
    <s v="D-POT"/>
    <s v="COF(Assy_FT)"/>
    <s v="COF(Assy_FT)"/>
    <s v="기계장치"/>
    <n v="42414092.700000003"/>
    <n v="1325440.3968750001"/>
    <n v="441813.46562500001"/>
    <m/>
    <m/>
    <m/>
    <m/>
    <m/>
    <m/>
    <m/>
    <n v="1325440.3968750001"/>
    <n v="1325440.3968750001"/>
    <n v="2650880.7937500002"/>
    <n v="1325440.3968750001"/>
    <n v="1325440.3968750001"/>
    <n v="1325440.3968750001"/>
    <n v="1325440.3968750001"/>
    <n v="5301761.5875000004"/>
    <n v="1325440.3968750001"/>
    <n v="1325440.3968750001"/>
    <n v="1325440.3968750001"/>
    <n v="1325440.3968750001"/>
    <n v="5301761.5875000004"/>
    <n v="1325440.3968750001"/>
    <n v="1325440.3968750001"/>
    <n v="1325440.3968750001"/>
    <n v="1325440.3968750001"/>
    <n v="5301761.5875000004"/>
    <m/>
    <m/>
    <m/>
    <n v="42414092.700000003"/>
  </r>
  <r>
    <n v="458"/>
    <x v="0"/>
    <m/>
    <s v="구용근"/>
    <s v="구미"/>
    <s v="PKG"/>
    <s v="O"/>
    <s v="8&quot;&amp;12&quot;"/>
    <s v="DDI"/>
    <x v="4"/>
    <s v="COF"/>
    <x v="30"/>
    <n v="1005828"/>
    <s v="MC"/>
    <s v="PCU-27 : BAKE OVEN(오성에스티)"/>
    <s v="OS-OVN11-BK02"/>
    <x v="17"/>
    <m/>
    <s v="OSST-19010903101-2"/>
    <x v="0"/>
    <s v="가동"/>
    <s v="한국"/>
    <s v="오성에스티"/>
    <x v="2"/>
    <s v="3차"/>
    <s v="3차"/>
    <s v="일반장비(비통제)"/>
    <s v="접착제 경화"/>
    <s v="접착제 경화"/>
    <s v="일반 산업 장비"/>
    <m/>
    <s v="EAR99"/>
    <s v="8486.40-0000"/>
    <s v="후공정/Assembly oven"/>
    <m/>
    <d v="2019-02-26T00:00:00"/>
    <d v="2019-02-26T00:00:00"/>
    <n v="6.6821917808219178"/>
    <n v="8"/>
    <s v="G1-1층"/>
    <s v="자사"/>
    <s v="미설정"/>
    <n v="5.28"/>
    <n v="1470"/>
    <n v="960"/>
    <n v="1675"/>
    <n v="8830000"/>
    <m/>
    <m/>
    <m/>
    <n v="7174373"/>
    <n v="91979"/>
    <n v="1379690"/>
    <n v="96965"/>
    <m/>
    <m/>
    <n v="18.000054360234401"/>
    <s v="미완료"/>
    <s v="D-POT"/>
    <s v="COF(Assy_FT)"/>
    <s v="COF(Assy_FT)"/>
    <s v="기계장치"/>
    <n v="1448674.5"/>
    <n v="45271.078125"/>
    <n v="15090.359375"/>
    <m/>
    <m/>
    <m/>
    <m/>
    <m/>
    <m/>
    <m/>
    <n v="45271.078125"/>
    <n v="45271.078125"/>
    <n v="90542.15625"/>
    <n v="45271.078125"/>
    <n v="45271.078125"/>
    <n v="45271.078125"/>
    <n v="45271.078125"/>
    <n v="181084.3125"/>
    <n v="45271.078125"/>
    <n v="45271.078125"/>
    <n v="45271.078125"/>
    <n v="45271.078125"/>
    <n v="181084.3125"/>
    <n v="45271.078125"/>
    <n v="45271.078125"/>
    <n v="45271.078125"/>
    <n v="45271.078125"/>
    <n v="181084.3125"/>
    <m/>
    <m/>
    <m/>
    <n v="1448674.5"/>
  </r>
  <r>
    <n v="459"/>
    <x v="0"/>
    <m/>
    <s v="구용근"/>
    <s v="구미"/>
    <s v="PKG"/>
    <s v="O"/>
    <s v="8&quot;&amp;12&quot;"/>
    <s v="DDI"/>
    <x v="4"/>
    <s v="COF"/>
    <x v="32"/>
    <n v="1005428"/>
    <s v="MC"/>
    <s v="PIL-73 : TFC-3600-300(SHIBAURA)"/>
    <s v="TFC-3600"/>
    <x v="67"/>
    <s v="3세대"/>
    <s v="E089"/>
    <x v="165"/>
    <s v="가동"/>
    <s v="일본"/>
    <s v="Shibaura"/>
    <x v="0"/>
    <s v="3차"/>
    <s v="3차"/>
    <s v="해당"/>
    <s v="칩 본딩 장비"/>
    <s v="칩 본딩 장비"/>
    <m/>
    <m/>
    <s v="3B991"/>
    <s v="8486.40-0000"/>
    <s v="반도체 제조 공정용"/>
    <m/>
    <d v="2018-05-31T00:00:00"/>
    <d v="2018-05-31T00:00:00"/>
    <n v="7.4246575342465757"/>
    <n v="8"/>
    <s v="G1-1층"/>
    <s v="자사"/>
    <s v="설정"/>
    <n v="3.6"/>
    <n v="2820"/>
    <n v="1154"/>
    <n v="2020"/>
    <n v="445850284"/>
    <m/>
    <m/>
    <m/>
    <n v="386653884"/>
    <n v="4644274"/>
    <n v="45263578"/>
    <n v="948890"/>
    <m/>
    <m/>
    <n v="12.746104127361994"/>
    <s v="미완료"/>
    <s v="D-ILB"/>
    <s v="COF(Assy_FT)"/>
    <s v="COF(Assy_FT)"/>
    <s v="기계장치"/>
    <n v="47526756.899999999"/>
    <n v="4530664.7993484624"/>
    <n v="1510221.5997828208"/>
    <m/>
    <m/>
    <m/>
    <m/>
    <m/>
    <m/>
    <m/>
    <n v="4530664.7993484624"/>
    <n v="4530664.7993484624"/>
    <n v="9061329.5986969247"/>
    <n v="4530664.7993484624"/>
    <n v="4530664.7993484624"/>
    <n v="4530664.7993484624"/>
    <n v="4530664.7993484624"/>
    <n v="18122659.197393849"/>
    <n v="4530664.7993484624"/>
    <n v="4530664.7993484624"/>
    <n v="4530664.7993484624"/>
    <n v="4530664.7993484624"/>
    <n v="18122659.197393849"/>
    <n v="4530664.7993484624"/>
    <n v="4530664.7993484624"/>
    <n v="4530664.7993484624"/>
    <n v="4530664.7993484624"/>
    <n v="18122659.197393849"/>
    <m/>
    <n v="4.6406912704357525E-3"/>
    <n v="97454516.679150805"/>
    <n v="144981273.5791508"/>
  </r>
  <r>
    <n v="460"/>
    <x v="0"/>
    <m/>
    <s v="구용근"/>
    <s v="구미"/>
    <s v="PKG"/>
    <s v="O"/>
    <s v="8&quot;&amp;12&quot;"/>
    <s v="DDI"/>
    <x v="4"/>
    <s v="COF"/>
    <x v="32"/>
    <n v="1005427"/>
    <s v="MC"/>
    <s v="PIL-72 : TFC-3600-300(SHIBAURA)"/>
    <s v="TFC-3600"/>
    <x v="67"/>
    <s v="3세대"/>
    <s v="E087"/>
    <x v="165"/>
    <s v="가동"/>
    <s v="일본"/>
    <s v="Shibaura"/>
    <x v="0"/>
    <s v="3차"/>
    <s v="3차"/>
    <s v="해당"/>
    <s v="칩 본딩 장비"/>
    <s v="칩 본딩 장비"/>
    <m/>
    <m/>
    <s v="3B991"/>
    <s v="8486.40-0000"/>
    <s v="반도체 제조 공정용"/>
    <m/>
    <d v="2018-05-31T00:00:00"/>
    <d v="2018-05-31T00:00:00"/>
    <n v="7.4246575342465757"/>
    <n v="8"/>
    <s v="G1-1층"/>
    <s v="자사"/>
    <s v="설정"/>
    <n v="3.6"/>
    <n v="2820"/>
    <n v="1154"/>
    <n v="2020"/>
    <n v="435350284"/>
    <m/>
    <m/>
    <m/>
    <n v="381513264"/>
    <n v="4534899"/>
    <n v="40232323"/>
    <n v="822056"/>
    <m/>
    <m/>
    <n v="11.871713129663968"/>
    <s v="미완료"/>
    <s v="D-ILB"/>
    <s v="COF(Assy_FT)"/>
    <s v="COF(Assy_FT)"/>
    <s v="기계장치"/>
    <n v="42243939.149999999"/>
    <n v="4027060.556549849"/>
    <n v="1342353.5188499496"/>
    <m/>
    <m/>
    <m/>
    <m/>
    <m/>
    <m/>
    <m/>
    <n v="4027060.556549849"/>
    <n v="4027060.556549849"/>
    <n v="8054121.113099698"/>
    <n v="4027060.556549849"/>
    <n v="4027060.556549849"/>
    <n v="4027060.556549849"/>
    <n v="4027060.556549849"/>
    <n v="16108242.226199396"/>
    <n v="4027060.556549849"/>
    <n v="4027060.556549849"/>
    <n v="4027060.556549849"/>
    <n v="4027060.556549849"/>
    <n v="16108242.226199396"/>
    <n v="4027060.556549849"/>
    <n v="4027060.556549849"/>
    <n v="4027060.556549849"/>
    <n v="4027060.556549849"/>
    <n v="16108242.226199396"/>
    <m/>
    <n v="4.124857079028342E-3"/>
    <n v="86621998.659595177"/>
    <n v="128865937.80959517"/>
  </r>
  <r>
    <n v="461"/>
    <x v="0"/>
    <m/>
    <s v="구용근"/>
    <s v="구미"/>
    <s v="PKG"/>
    <s v="O"/>
    <s v="8&quot;&amp;12&quot;"/>
    <s v="DDI"/>
    <x v="4"/>
    <s v="COF"/>
    <x v="32"/>
    <n v="1005390"/>
    <s v="MC"/>
    <s v="PIL-71 : TFC-3600-300(SHIBAURA)"/>
    <s v="TFC-3600"/>
    <x v="67"/>
    <s v="3세대"/>
    <s v="E086"/>
    <x v="165"/>
    <s v="가동"/>
    <s v="일본"/>
    <s v="Shibaura"/>
    <x v="0"/>
    <s v="3차"/>
    <s v="3차"/>
    <s v="해당"/>
    <s v="칩 본딩 장비"/>
    <s v="칩 본딩 장비"/>
    <m/>
    <m/>
    <s v="3B991"/>
    <s v="8486.40-0000"/>
    <s v="반도체 제조 공정용"/>
    <m/>
    <d v="2018-04-06T00:00:00"/>
    <d v="2018-04-06T00:00:00"/>
    <n v="7.5753424657534243"/>
    <n v="8"/>
    <s v="G1-1층"/>
    <s v="자사"/>
    <s v="설정"/>
    <n v="3.6"/>
    <n v="2820"/>
    <n v="1154"/>
    <n v="2020"/>
    <n v="436631161"/>
    <m/>
    <m/>
    <m/>
    <n v="386957730"/>
    <n v="4548241"/>
    <n v="36028708"/>
    <n v="1000"/>
    <m/>
    <m/>
    <n v="10.92145974674605"/>
    <s v="미완료"/>
    <s v="D-ILB"/>
    <s v="COF(Assy_FT)"/>
    <s v="COF(Assy_FT)"/>
    <s v="기계장치"/>
    <n v="37830143.399999999"/>
    <n v="3606299.0668038735"/>
    <n v="1202099.6889346244"/>
    <m/>
    <m/>
    <m/>
    <m/>
    <m/>
    <m/>
    <m/>
    <n v="3606299.0668038735"/>
    <n v="3606299.0668038735"/>
    <n v="7212598.133607747"/>
    <n v="3606299.0668038735"/>
    <n v="3606299.0668038735"/>
    <n v="3606299.0668038735"/>
    <n v="3606299.0668038735"/>
    <n v="14425196.267215494"/>
    <n v="3606299.0668038735"/>
    <n v="3606299.0668038735"/>
    <n v="3606299.0668038735"/>
    <n v="3606299.0668038735"/>
    <n v="14425196.267215494"/>
    <n v="3606299.0668038735"/>
    <n v="3606299.0668038735"/>
    <n v="3606299.0668038735"/>
    <n v="3606299.0668038735"/>
    <n v="14425196.267215494"/>
    <m/>
    <n v="3.6938774637011408E-3"/>
    <n v="77571426.737723961"/>
    <n v="115401570.13772395"/>
  </r>
  <r>
    <n v="462"/>
    <x v="0"/>
    <m/>
    <s v="구용근"/>
    <s v="구미"/>
    <s v="PKG"/>
    <s v="O"/>
    <s v="8&quot;&amp;12&quot;"/>
    <s v="DDI"/>
    <x v="4"/>
    <s v="COF"/>
    <x v="32"/>
    <n v="1005389"/>
    <s v="MC"/>
    <s v="PIL-70 : TFC-3600-300(SHIBAURA)"/>
    <s v="TFC-3600"/>
    <x v="67"/>
    <s v="3세대"/>
    <s v="E085"/>
    <x v="165"/>
    <s v="가동"/>
    <s v="일본"/>
    <s v="Shibaura"/>
    <x v="2"/>
    <s v="3차"/>
    <s v="3차"/>
    <s v="해당"/>
    <s v="칩 본딩 장비"/>
    <s v="칩 본딩 장비"/>
    <m/>
    <m/>
    <s v="3B991"/>
    <s v="8486.40-0000"/>
    <s v="반도체 제조 공정용"/>
    <m/>
    <d v="2018-04-06T00:00:00"/>
    <d v="2018-04-06T00:00:00"/>
    <n v="7.5753424657534243"/>
    <n v="8"/>
    <s v="G1-1층"/>
    <s v="자사"/>
    <s v="설정"/>
    <n v="3.6"/>
    <n v="2820"/>
    <n v="1154"/>
    <n v="2020"/>
    <n v="438231161"/>
    <m/>
    <m/>
    <m/>
    <n v="401711898"/>
    <n v="4564908"/>
    <n v="22824539"/>
    <n v="1000"/>
    <m/>
    <m/>
    <n v="7.9999997809375349"/>
    <s v="미완료"/>
    <s v="D-ILB"/>
    <s v="COF(Assy_FT)"/>
    <s v="COF(Assy_FT)"/>
    <s v="기계장치"/>
    <n v="23965765.949999999"/>
    <n v="748930.18593749998"/>
    <n v="249643.39531249998"/>
    <m/>
    <m/>
    <m/>
    <m/>
    <m/>
    <m/>
    <m/>
    <n v="748930.18593749998"/>
    <n v="748930.18593749998"/>
    <n v="1497860.371875"/>
    <n v="748930.18593749998"/>
    <n v="748930.18593749998"/>
    <n v="748930.18593749998"/>
    <n v="748930.18593749998"/>
    <n v="2995720.7437499999"/>
    <n v="748930.18593749998"/>
    <n v="748930.18593749998"/>
    <n v="748930.18593749998"/>
    <n v="748930.18593749998"/>
    <n v="2995720.7437499999"/>
    <n v="748930.18593749998"/>
    <n v="748930.18593749998"/>
    <n v="748930.18593749998"/>
    <n v="748930.18593749998"/>
    <n v="2995720.7437499999"/>
    <m/>
    <m/>
    <m/>
    <n v="23965765.949999999"/>
  </r>
  <r>
    <n v="463"/>
    <x v="0"/>
    <m/>
    <s v="구용근"/>
    <s v="구미"/>
    <s v="PKG"/>
    <s v="O"/>
    <s v="8&quot;&amp;12&quot;"/>
    <s v="DDI"/>
    <x v="4"/>
    <s v="COF"/>
    <x v="32"/>
    <n v="1005388"/>
    <s v="MC"/>
    <s v="PIL-69 : TFC-3600-300(SHIBAURA)"/>
    <s v="TFC-3600"/>
    <x v="67"/>
    <s v="3세대"/>
    <s v="E084"/>
    <x v="165"/>
    <s v="가동"/>
    <s v="일본"/>
    <s v="Shibaura"/>
    <x v="2"/>
    <s v="3차"/>
    <s v="3차"/>
    <s v="해당"/>
    <s v="칩 본딩 장비"/>
    <s v="칩 본딩 장비"/>
    <m/>
    <m/>
    <s v="3B991"/>
    <s v="8486.40-0000"/>
    <s v="반도체 제조 공정용"/>
    <m/>
    <d v="2018-04-06T00:00:00"/>
    <d v="2018-04-06T00:00:00"/>
    <n v="7.5753424657534243"/>
    <n v="8"/>
    <s v="G1-1층"/>
    <s v="자사"/>
    <s v="설정"/>
    <n v="3.6"/>
    <n v="2820"/>
    <n v="1154"/>
    <n v="2020"/>
    <n v="436231161"/>
    <m/>
    <m/>
    <m/>
    <n v="396753571"/>
    <n v="4544075"/>
    <n v="25845365"/>
    <n v="1000"/>
    <m/>
    <m/>
    <n v="8.6877065189284952"/>
    <s v="미완료"/>
    <s v="D-ILB"/>
    <s v="COF(Assy_FT)"/>
    <s v="COF(Assy_FT)"/>
    <s v="기계장치"/>
    <n v="27137633.25"/>
    <n v="848051.0390625"/>
    <n v="282683.6796875"/>
    <m/>
    <m/>
    <m/>
    <m/>
    <m/>
    <m/>
    <m/>
    <n v="848051.0390625"/>
    <n v="848051.0390625"/>
    <n v="1696102.078125"/>
    <n v="848051.0390625"/>
    <n v="848051.0390625"/>
    <n v="848051.0390625"/>
    <n v="848051.0390625"/>
    <n v="3392204.15625"/>
    <n v="848051.0390625"/>
    <n v="848051.0390625"/>
    <n v="848051.0390625"/>
    <n v="848051.0390625"/>
    <n v="3392204.15625"/>
    <n v="848051.0390625"/>
    <n v="848051.0390625"/>
    <n v="848051.0390625"/>
    <n v="848051.0390625"/>
    <n v="3392204.15625"/>
    <m/>
    <m/>
    <m/>
    <n v="27137633.25"/>
  </r>
  <r>
    <n v="464"/>
    <x v="0"/>
    <m/>
    <s v="구용근"/>
    <s v="구미"/>
    <s v="PKG"/>
    <s v="O"/>
    <s v="8&quot;&amp;12&quot;"/>
    <s v="DDI"/>
    <x v="4"/>
    <s v="COF"/>
    <x v="33"/>
    <n v="1005903"/>
    <s v="MC"/>
    <s v="PRW-05 : AUTO REWINDER-04(SWLU-RWA-100)"/>
    <s v="SWLU-RWA-100"/>
    <x v="65"/>
    <m/>
    <s v="A19-05"/>
    <x v="0"/>
    <s v="가동"/>
    <s v="한국"/>
    <s v="서우테크"/>
    <x v="2"/>
    <s v="3차"/>
    <s v="3차"/>
    <s v="일반장비(비통제)"/>
    <s v="reel 자재를 자동 풀림→정렬→재권취"/>
    <s v="eel 자재를 자동 풀림→정렬→재권취"/>
    <m/>
    <m/>
    <s v="EAR99"/>
    <s v="8479.89-0000"/>
    <m/>
    <m/>
    <d v="2019-04-29T00:00:00"/>
    <d v="2019-04-29T00:00:00"/>
    <n v="6.5123287671232877"/>
    <n v="8"/>
    <s v="G1-1층"/>
    <s v="자사"/>
    <s v="미설정"/>
    <n v="2.11"/>
    <n v="1470"/>
    <n v="960"/>
    <n v="1675"/>
    <n v="25050000"/>
    <m/>
    <m/>
    <m/>
    <n v="19831246"/>
    <n v="260937"/>
    <n v="4435943"/>
    <n v="330102"/>
    <m/>
    <m/>
    <n v="20.000053652797419"/>
    <s v="미완료"/>
    <s v="공통(DA)"/>
    <s v="COF(Assy_FT)"/>
    <s v="COF(Assy_FT)"/>
    <s v="기계장치"/>
    <n v="4657740.1500000004"/>
    <n v="145554.37968750001"/>
    <n v="48518.126562500001"/>
    <m/>
    <m/>
    <m/>
    <m/>
    <m/>
    <m/>
    <m/>
    <n v="145554.37968750001"/>
    <n v="145554.37968750001"/>
    <n v="291108.75937500002"/>
    <n v="145554.37968750001"/>
    <n v="145554.37968750001"/>
    <n v="145554.37968750001"/>
    <n v="145554.37968750001"/>
    <n v="582217.51875000005"/>
    <n v="145554.37968750001"/>
    <n v="145554.37968750001"/>
    <n v="145554.37968750001"/>
    <n v="145554.37968750001"/>
    <n v="582217.51875000005"/>
    <n v="145554.37968750001"/>
    <n v="145554.37968750001"/>
    <n v="145554.37968750001"/>
    <n v="145554.37968750001"/>
    <n v="582217.51875000005"/>
    <m/>
    <m/>
    <m/>
    <n v="4657740.1500000004"/>
  </r>
  <r>
    <n v="465"/>
    <x v="0"/>
    <m/>
    <s v="구용근"/>
    <s v="구미"/>
    <s v="PKG"/>
    <s v="O"/>
    <s v="8&quot;&amp;12&quot;"/>
    <s v="DDI"/>
    <x v="4"/>
    <s v="COF"/>
    <x v="31"/>
    <n v="1005904"/>
    <s v="MC"/>
    <s v="PPT-63 : Potting System 4Head(쎄크)"/>
    <s v="TCP-435A"/>
    <x v="82"/>
    <m/>
    <s v="POTTING-038BK08"/>
    <x v="0"/>
    <s v="가동"/>
    <s v="한국"/>
    <s v="SEC"/>
    <x v="0"/>
    <s v="3차"/>
    <s v="3차"/>
    <s v="일반장비(비통제)"/>
    <s v="에폭시 도포기"/>
    <m/>
    <m/>
    <m/>
    <s v="EAR99"/>
    <s v="8486.40-0000"/>
    <m/>
    <m/>
    <d v="2019-04-30T00:00:00"/>
    <d v="2019-04-30T00:00:00"/>
    <n v="6.5095890410958903"/>
    <n v="8"/>
    <s v="G1-1층"/>
    <s v="자사"/>
    <s v="미설정"/>
    <n v="6.6"/>
    <n v="7100"/>
    <n v="820"/>
    <n v="1860"/>
    <n v="242124000"/>
    <m/>
    <m/>
    <m/>
    <n v="191658584"/>
    <n v="2522125"/>
    <n v="42899041"/>
    <n v="3192587"/>
    <m/>
    <m/>
    <n v="20.009085988997374"/>
    <s v="미완료"/>
    <s v="D-POT"/>
    <s v="COF(Assy_FT)"/>
    <s v="COF(Assy_FT)"/>
    <s v="기계장치"/>
    <n v="45043993.050000004"/>
    <n v="4293986.1047773669"/>
    <n v="1431328.7015924556"/>
    <m/>
    <m/>
    <m/>
    <m/>
    <m/>
    <m/>
    <m/>
    <n v="4293986.1047773669"/>
    <n v="4293986.1047773669"/>
    <n v="8587972.2095547337"/>
    <n v="4293986.1047773669"/>
    <n v="4293986.1047773669"/>
    <n v="4293986.1047773669"/>
    <n v="4293986.1047773669"/>
    <n v="17175944.419109467"/>
    <n v="4293986.1047773669"/>
    <n v="4293986.1047773669"/>
    <n v="4293986.1047773669"/>
    <n v="4293986.1047773669"/>
    <n v="17175944.419109467"/>
    <n v="4293986.1047773669"/>
    <n v="4293986.1047773669"/>
    <n v="4293986.1047773669"/>
    <n v="4293986.1047773669"/>
    <n v="17175944.419109467"/>
    <m/>
    <n v="4.3982648715655106E-3"/>
    <n v="92363562.302875727"/>
    <n v="137407555.35287574"/>
  </r>
  <r>
    <n v="466"/>
    <x v="0"/>
    <m/>
    <s v="구용근"/>
    <s v="구미"/>
    <s v="PKG"/>
    <s v="O"/>
    <s v="8&quot;&amp;12&quot;"/>
    <s v="DDI"/>
    <x v="4"/>
    <s v="COF"/>
    <x v="31"/>
    <n v="1005905"/>
    <s v="MC"/>
    <s v="PPT-64 : Potting System 4Head(쎄크)"/>
    <s v="TCP-435A"/>
    <x v="82"/>
    <m/>
    <s v="POTTING-039BK09"/>
    <x v="0"/>
    <s v="가동"/>
    <s v="한국"/>
    <s v="SEC"/>
    <x v="0"/>
    <s v="3차"/>
    <s v="3차"/>
    <s v="일반장비(비통제)"/>
    <s v="에폭시 도포기"/>
    <m/>
    <m/>
    <m/>
    <s v="EAR99"/>
    <s v="8486.40-0000"/>
    <m/>
    <m/>
    <d v="2019-04-30T00:00:00"/>
    <d v="2019-04-30T00:00:00"/>
    <n v="6.5095890410958903"/>
    <n v="8"/>
    <s v="G1-1층"/>
    <s v="자사"/>
    <s v="미설정"/>
    <n v="6.6"/>
    <n v="7100"/>
    <n v="820"/>
    <n v="1860"/>
    <n v="242124000"/>
    <m/>
    <m/>
    <m/>
    <n v="191658584"/>
    <n v="2522125"/>
    <n v="42899041"/>
    <n v="3192587"/>
    <m/>
    <m/>
    <n v="20.009085988997374"/>
    <s v="미완료"/>
    <s v="D-POT"/>
    <s v="COF(Assy_FT)"/>
    <s v="COF(Assy_FT)"/>
    <s v="기계장치"/>
    <n v="45043993.050000004"/>
    <n v="4293986.1047773669"/>
    <n v="1431328.7015924556"/>
    <m/>
    <m/>
    <m/>
    <m/>
    <m/>
    <m/>
    <m/>
    <n v="4293986.1047773669"/>
    <n v="4293986.1047773669"/>
    <n v="8587972.2095547337"/>
    <n v="4293986.1047773669"/>
    <n v="4293986.1047773669"/>
    <n v="4293986.1047773669"/>
    <n v="4293986.1047773669"/>
    <n v="17175944.419109467"/>
    <n v="4293986.1047773669"/>
    <n v="4293986.1047773669"/>
    <n v="4293986.1047773669"/>
    <n v="4293986.1047773669"/>
    <n v="17175944.419109467"/>
    <n v="4293986.1047773669"/>
    <n v="4293986.1047773669"/>
    <n v="4293986.1047773669"/>
    <n v="4293986.1047773669"/>
    <n v="17175944.419109467"/>
    <m/>
    <n v="4.3982648715655106E-3"/>
    <n v="92363562.302875727"/>
    <n v="137407555.35287574"/>
  </r>
  <r>
    <n v="467"/>
    <x v="0"/>
    <m/>
    <s v="구용근"/>
    <s v="구미"/>
    <s v="PKG"/>
    <s v="O"/>
    <s v="8&quot;&amp;12&quot;"/>
    <s v="DDI"/>
    <x v="4"/>
    <s v="COF"/>
    <x v="31"/>
    <n v="1005906"/>
    <s v="MC"/>
    <s v="PPT-65 : Potting System 4Head(쎄크)"/>
    <s v="TCP-435A"/>
    <x v="82"/>
    <m/>
    <s v="POTTING-040BK10"/>
    <x v="0"/>
    <s v="가동"/>
    <s v="한국"/>
    <s v="SEC"/>
    <x v="0"/>
    <s v="3차"/>
    <s v="3차"/>
    <s v="일반장비(비통제)"/>
    <s v="에폭시 도포기"/>
    <m/>
    <m/>
    <m/>
    <s v="EAR99"/>
    <s v="8486.40-0000"/>
    <m/>
    <m/>
    <d v="2019-04-30T00:00:00"/>
    <d v="2019-04-30T00:00:00"/>
    <n v="6.5095890410958903"/>
    <n v="8"/>
    <s v="G1-1층"/>
    <s v="자사"/>
    <s v="미설정"/>
    <n v="6.6"/>
    <n v="7100"/>
    <n v="820"/>
    <n v="1860"/>
    <n v="242124000"/>
    <m/>
    <m/>
    <m/>
    <n v="191658584"/>
    <n v="2522125"/>
    <n v="42899041"/>
    <n v="3192587"/>
    <m/>
    <m/>
    <n v="20.009085988997374"/>
    <s v="미완료"/>
    <s v="D-POT"/>
    <s v="COF(Assy_FT)"/>
    <s v="COF(Assy_FT)"/>
    <s v="기계장치"/>
    <n v="45043993.050000004"/>
    <n v="4293986.1047773669"/>
    <n v="1431328.7015924556"/>
    <m/>
    <m/>
    <m/>
    <m/>
    <m/>
    <m/>
    <m/>
    <n v="4293986.1047773669"/>
    <n v="4293986.1047773669"/>
    <n v="8587972.2095547337"/>
    <n v="4293986.1047773669"/>
    <n v="4293986.1047773669"/>
    <n v="4293986.1047773669"/>
    <n v="4293986.1047773669"/>
    <n v="17175944.419109467"/>
    <n v="4293986.1047773669"/>
    <n v="4293986.1047773669"/>
    <n v="4293986.1047773669"/>
    <n v="4293986.1047773669"/>
    <n v="17175944.419109467"/>
    <n v="4293986.1047773669"/>
    <n v="4293986.1047773669"/>
    <n v="4293986.1047773669"/>
    <n v="4293986.1047773669"/>
    <n v="17175944.419109467"/>
    <m/>
    <n v="4.3982648715655106E-3"/>
    <n v="92363562.302875727"/>
    <n v="137407555.35287574"/>
  </r>
  <r>
    <n v="468"/>
    <x v="0"/>
    <m/>
    <s v="구용근"/>
    <s v="구미"/>
    <s v="PKG"/>
    <s v="O"/>
    <s v="8&quot;&amp;12&quot;"/>
    <s v="DDI"/>
    <x v="4"/>
    <s v="COF"/>
    <x v="31"/>
    <n v="1005907"/>
    <s v="MC"/>
    <s v="PPT-66 : Potting System 4Head(쎄크)"/>
    <s v="TCP-435A"/>
    <x v="82"/>
    <m/>
    <s v="POTTING-041BK11"/>
    <x v="0"/>
    <s v="가동"/>
    <s v="한국"/>
    <s v="SEC"/>
    <x v="2"/>
    <s v="3차"/>
    <s v="3차"/>
    <s v="일반장비(비통제)"/>
    <s v="에폭시 도포기"/>
    <m/>
    <m/>
    <m/>
    <s v="EAR99"/>
    <s v="8486.40-0000"/>
    <m/>
    <m/>
    <d v="2019-04-30T00:00:00"/>
    <d v="2019-04-30T00:00:00"/>
    <n v="6.5095890410958903"/>
    <n v="8"/>
    <s v="G1-1층"/>
    <s v="자사"/>
    <s v="미설정"/>
    <n v="6.6"/>
    <n v="7100"/>
    <n v="820"/>
    <n v="1860"/>
    <n v="242124000"/>
    <m/>
    <m/>
    <m/>
    <n v="191658584"/>
    <n v="2522125"/>
    <n v="42899041"/>
    <n v="3192587"/>
    <m/>
    <m/>
    <n v="20.009085988997374"/>
    <s v="미완료"/>
    <s v="D-POT"/>
    <s v="COF(Assy_FT)"/>
    <s v="COF(Assy_FT)"/>
    <s v="기계장치"/>
    <n v="45043993.050000004"/>
    <n v="1407624.7828125001"/>
    <n v="469208.26093750005"/>
    <m/>
    <m/>
    <m/>
    <m/>
    <m/>
    <m/>
    <m/>
    <n v="1407624.7828125001"/>
    <n v="1407624.7828125001"/>
    <n v="2815249.5656250003"/>
    <n v="1407624.7828125001"/>
    <n v="1407624.7828125001"/>
    <n v="1407624.7828125001"/>
    <n v="1407624.7828125001"/>
    <n v="5630499.1312500006"/>
    <n v="1407624.7828125001"/>
    <n v="1407624.7828125001"/>
    <n v="1407624.7828125001"/>
    <n v="1407624.7828125001"/>
    <n v="5630499.1312500006"/>
    <n v="1407624.7828125001"/>
    <n v="1407624.7828125001"/>
    <n v="1407624.7828125001"/>
    <n v="1407624.7828125001"/>
    <n v="5630499.1312500006"/>
    <m/>
    <m/>
    <m/>
    <n v="45043993.050000004"/>
  </r>
  <r>
    <n v="469"/>
    <x v="0"/>
    <m/>
    <s v="구용근"/>
    <s v="구미"/>
    <s v="PKG"/>
    <s v="O"/>
    <s v="8&quot;&amp;12&quot;"/>
    <s v="DDI"/>
    <x v="4"/>
    <s v="COF"/>
    <x v="31"/>
    <n v="1005908"/>
    <s v="MC"/>
    <s v="PPT-67 : Potting System 4Head(쎄크)"/>
    <s v="TCP-435A"/>
    <x v="82"/>
    <m/>
    <s v="POTTING-042BK12"/>
    <x v="0"/>
    <s v="가동"/>
    <s v="한국"/>
    <s v="SEC"/>
    <x v="2"/>
    <s v="3차"/>
    <s v="3차"/>
    <s v="일반장비(비통제)"/>
    <s v="에폭시 도포기"/>
    <m/>
    <m/>
    <m/>
    <s v="EAR99"/>
    <s v="8486.40-0000"/>
    <m/>
    <m/>
    <d v="2019-04-30T00:00:00"/>
    <d v="2019-04-30T00:00:00"/>
    <n v="6.5095890410958903"/>
    <n v="8"/>
    <s v="G1-1층"/>
    <s v="자사"/>
    <s v="미설정"/>
    <n v="6.6"/>
    <n v="7100"/>
    <n v="820"/>
    <n v="1860"/>
    <n v="241024000"/>
    <m/>
    <m/>
    <m/>
    <n v="190810669"/>
    <n v="2510667"/>
    <n v="42681330"/>
    <n v="3176158"/>
    <m/>
    <m/>
    <n v="19.999996415295218"/>
    <s v="미완료"/>
    <s v="D-POT"/>
    <s v="COF(Assy_FT)"/>
    <s v="COF(Assy_FT)"/>
    <s v="기계장치"/>
    <n v="44815396.5"/>
    <n v="1400481.140625"/>
    <n v="466827.046875"/>
    <m/>
    <m/>
    <m/>
    <m/>
    <m/>
    <m/>
    <m/>
    <n v="1400481.140625"/>
    <n v="1400481.140625"/>
    <n v="2800962.28125"/>
    <n v="1400481.140625"/>
    <n v="1400481.140625"/>
    <n v="1400481.140625"/>
    <n v="1400481.140625"/>
    <n v="5601924.5625"/>
    <n v="1400481.140625"/>
    <n v="1400481.140625"/>
    <n v="1400481.140625"/>
    <n v="1400481.140625"/>
    <n v="5601924.5625"/>
    <n v="1400481.140625"/>
    <n v="1400481.140625"/>
    <n v="1400481.140625"/>
    <n v="1400481.140625"/>
    <n v="5601924.5625"/>
    <m/>
    <m/>
    <m/>
    <n v="44815396.5"/>
  </r>
  <r>
    <n v="470"/>
    <x v="0"/>
    <m/>
    <s v="구용근"/>
    <s v="구미"/>
    <s v="PKG"/>
    <s v="O"/>
    <s v="8&quot;&amp;12&quot;"/>
    <s v="DDI"/>
    <x v="4"/>
    <s v="COF"/>
    <x v="30"/>
    <n v="1005913"/>
    <s v="MC"/>
    <s v="PCU-28 : BAKE OVEN(오성에스티)"/>
    <s v="OS-OVN11-BK02"/>
    <x v="17"/>
    <m/>
    <s v="OSST-190202503111-1"/>
    <x v="0"/>
    <s v="가동"/>
    <s v="한국"/>
    <s v="오성에스티"/>
    <x v="0"/>
    <s v="3차"/>
    <s v="3차"/>
    <s v="일반장비(비통제)"/>
    <s v="접착제 경화"/>
    <s v="접착제 경화"/>
    <s v="일반 산업 장비"/>
    <m/>
    <s v="EAR99"/>
    <s v="8486.40-0000"/>
    <s v="후공정/Assembly oven"/>
    <m/>
    <d v="2019-04-11T00:00:00"/>
    <d v="2019-04-11T00:00:00"/>
    <n v="6.5616438356164384"/>
    <n v="8"/>
    <s v="G1-1층"/>
    <s v="자사"/>
    <s v="미설정"/>
    <n v="5.28"/>
    <n v="1470"/>
    <n v="960"/>
    <n v="1675"/>
    <n v="8812000"/>
    <m/>
    <m/>
    <m/>
    <n v="6976169"/>
    <n v="91792"/>
    <n v="1560455"/>
    <n v="116122"/>
    <m/>
    <m/>
    <n v="19.999901952239846"/>
    <s v="미완료"/>
    <s v="D-POT"/>
    <s v="COF(Assy_FT)"/>
    <s v="COF(Assy_FT)"/>
    <s v="기계장치"/>
    <n v="1638477.75"/>
    <n v="156193.98315058753"/>
    <n v="52064.661050195842"/>
    <m/>
    <m/>
    <m/>
    <m/>
    <m/>
    <m/>
    <m/>
    <n v="156193.98315058753"/>
    <n v="156193.98315058753"/>
    <n v="312387.96630117507"/>
    <n v="156193.98315058753"/>
    <n v="156193.98315058753"/>
    <n v="156193.98315058753"/>
    <n v="156193.98315058753"/>
    <n v="624775.93260235013"/>
    <n v="156193.98315058753"/>
    <n v="156193.98315058753"/>
    <n v="156193.98315058753"/>
    <n v="156193.98315058753"/>
    <n v="624775.93260235013"/>
    <n v="156193.98315058753"/>
    <n v="156193.98315058753"/>
    <n v="156193.98315058753"/>
    <n v="156193.98315058753"/>
    <n v="624775.93260235013"/>
    <m/>
    <n v="1.5998712908660959E-4"/>
    <n v="3359729.7108188015"/>
    <n v="4998207.4608188011"/>
  </r>
  <r>
    <n v="471"/>
    <x v="0"/>
    <m/>
    <s v="구용근"/>
    <s v="구미"/>
    <s v="PKG"/>
    <s v="O"/>
    <s v="8&quot;&amp;12&quot;"/>
    <s v="DDI"/>
    <x v="4"/>
    <s v="COF"/>
    <x v="30"/>
    <n v="1005914"/>
    <s v="MC"/>
    <s v="PCU-29 : BAKE OVEN(오성에스티)"/>
    <s v="OS-OVN11-BK02"/>
    <x v="17"/>
    <m/>
    <s v="OSST-190202503111-2"/>
    <x v="0"/>
    <s v="가동"/>
    <s v="한국"/>
    <s v="오성에스티"/>
    <x v="0"/>
    <s v="3차"/>
    <s v="3차"/>
    <s v="일반장비(비통제)"/>
    <s v="접착제 경화"/>
    <s v="접착제 경화"/>
    <s v="일반 산업 장비"/>
    <m/>
    <s v="EAR99"/>
    <s v="8486.40-0000"/>
    <s v="후공정/Assembly oven"/>
    <m/>
    <d v="2019-04-11T00:00:00"/>
    <d v="2019-04-11T00:00:00"/>
    <n v="6.5616438356164384"/>
    <n v="8"/>
    <s v="G1-1층"/>
    <s v="자사"/>
    <s v="미설정"/>
    <n v="5.28"/>
    <n v="1470"/>
    <n v="960"/>
    <n v="1675"/>
    <n v="8812000"/>
    <m/>
    <m/>
    <m/>
    <n v="6976169"/>
    <n v="91792"/>
    <n v="1560455"/>
    <n v="116122"/>
    <m/>
    <m/>
    <n v="19.999901952239846"/>
    <s v="미완료"/>
    <s v="D-POT"/>
    <s v="COF(Assy_FT)"/>
    <s v="COF(Assy_FT)"/>
    <s v="기계장치"/>
    <n v="1638477.75"/>
    <n v="156193.98315058753"/>
    <n v="52064.661050195842"/>
    <m/>
    <m/>
    <m/>
    <m/>
    <m/>
    <m/>
    <m/>
    <n v="156193.98315058753"/>
    <n v="156193.98315058753"/>
    <n v="312387.96630117507"/>
    <n v="156193.98315058753"/>
    <n v="156193.98315058753"/>
    <n v="156193.98315058753"/>
    <n v="156193.98315058753"/>
    <n v="624775.93260235013"/>
    <n v="156193.98315058753"/>
    <n v="156193.98315058753"/>
    <n v="156193.98315058753"/>
    <n v="156193.98315058753"/>
    <n v="624775.93260235013"/>
    <n v="156193.98315058753"/>
    <n v="156193.98315058753"/>
    <n v="156193.98315058753"/>
    <n v="156193.98315058753"/>
    <n v="624775.93260235013"/>
    <m/>
    <n v="1.5998712908660959E-4"/>
    <n v="3359729.7108188015"/>
    <n v="4998207.4608188011"/>
  </r>
  <r>
    <n v="472"/>
    <x v="0"/>
    <m/>
    <s v="구용근"/>
    <s v="구미"/>
    <s v="PKG"/>
    <s v="O"/>
    <s v="8&quot;&amp;12&quot;"/>
    <s v="DDI"/>
    <x v="4"/>
    <s v="COF"/>
    <x v="30"/>
    <n v="1005915"/>
    <s v="MC"/>
    <s v="PCU-30 : BAKE OVEN(오성에스티)"/>
    <s v="OS-OVN11-BK02"/>
    <x v="17"/>
    <m/>
    <s v="OSST-190202503111-3"/>
    <x v="0"/>
    <s v="가동"/>
    <s v="한국"/>
    <s v="오성에스티"/>
    <x v="2"/>
    <s v="3차"/>
    <s v="3차"/>
    <s v="일반장비(비통제)"/>
    <s v="접착제 경화"/>
    <s v="접착제 경화"/>
    <s v="일반 산업 장비"/>
    <m/>
    <s v="EAR99"/>
    <s v="8486.40-0000"/>
    <s v="후공정/Assembly oven"/>
    <m/>
    <d v="2019-04-11T00:00:00"/>
    <d v="2019-04-11T00:00:00"/>
    <n v="6.5616438356164384"/>
    <n v="8"/>
    <s v="G1-1층"/>
    <s v="자사"/>
    <s v="미설정"/>
    <n v="5.28"/>
    <n v="1470"/>
    <n v="960"/>
    <n v="1675"/>
    <n v="8812000"/>
    <m/>
    <m/>
    <m/>
    <n v="6976169"/>
    <n v="91792"/>
    <n v="1560455"/>
    <n v="116122"/>
    <m/>
    <m/>
    <n v="19.999901952239846"/>
    <s v="미완료"/>
    <s v="D-POT"/>
    <s v="COF(Assy_FT)"/>
    <s v="COF(Assy_FT)"/>
    <s v="기계장치"/>
    <n v="1638477.75"/>
    <n v="51202.4296875"/>
    <n v="17067.4765625"/>
    <m/>
    <m/>
    <m/>
    <m/>
    <m/>
    <m/>
    <m/>
    <n v="51202.4296875"/>
    <n v="51202.4296875"/>
    <n v="102404.859375"/>
    <n v="51202.4296875"/>
    <n v="51202.4296875"/>
    <n v="51202.4296875"/>
    <n v="51202.4296875"/>
    <n v="204809.71875"/>
    <n v="51202.4296875"/>
    <n v="51202.4296875"/>
    <n v="51202.4296875"/>
    <n v="51202.4296875"/>
    <n v="204809.71875"/>
    <n v="51202.4296875"/>
    <n v="51202.4296875"/>
    <n v="51202.4296875"/>
    <n v="51202.4296875"/>
    <n v="204809.71875"/>
    <m/>
    <m/>
    <m/>
    <n v="1638477.75"/>
  </r>
  <r>
    <n v="473"/>
    <x v="0"/>
    <m/>
    <s v="구용근"/>
    <s v="구미"/>
    <s v="PKG"/>
    <s v="O"/>
    <s v="8&quot;&amp;12&quot;"/>
    <s v="DDI"/>
    <x v="4"/>
    <s v="COF"/>
    <x v="30"/>
    <n v="1005916"/>
    <s v="MC"/>
    <s v="PCU-31 : BAKE OVEN(오성에스티)"/>
    <s v="OS-OVN11-BK02"/>
    <x v="17"/>
    <m/>
    <s v="OSST-190202503111-4"/>
    <x v="0"/>
    <s v="가동"/>
    <s v="한국"/>
    <s v="오성에스티"/>
    <x v="2"/>
    <s v="3차"/>
    <s v="3차"/>
    <s v="일반장비(비통제)"/>
    <s v="접착제 경화"/>
    <s v="접착제 경화"/>
    <s v="일반 산업 장비"/>
    <m/>
    <s v="EAR99"/>
    <s v="8486.40-0000"/>
    <s v="후공정/Assembly oven"/>
    <m/>
    <d v="2019-04-11T00:00:00"/>
    <d v="2019-04-11T00:00:00"/>
    <n v="6.5616438356164384"/>
    <n v="8"/>
    <s v="G1-1층"/>
    <s v="자사"/>
    <s v="미설정"/>
    <n v="5.28"/>
    <n v="1470"/>
    <n v="960"/>
    <n v="1675"/>
    <n v="8812000"/>
    <m/>
    <m/>
    <m/>
    <n v="6976169"/>
    <n v="91792"/>
    <n v="1560455"/>
    <n v="116122"/>
    <m/>
    <m/>
    <n v="19.999901952239846"/>
    <s v="미완료"/>
    <s v="D-POT"/>
    <s v="COF(Assy_FT)"/>
    <s v="COF(Assy_FT)"/>
    <s v="기계장치"/>
    <n v="1638477.75"/>
    <n v="51202.4296875"/>
    <n v="17067.4765625"/>
    <m/>
    <m/>
    <m/>
    <m/>
    <m/>
    <m/>
    <m/>
    <n v="51202.4296875"/>
    <n v="51202.4296875"/>
    <n v="102404.859375"/>
    <n v="51202.4296875"/>
    <n v="51202.4296875"/>
    <n v="51202.4296875"/>
    <n v="51202.4296875"/>
    <n v="204809.71875"/>
    <n v="51202.4296875"/>
    <n v="51202.4296875"/>
    <n v="51202.4296875"/>
    <n v="51202.4296875"/>
    <n v="204809.71875"/>
    <n v="51202.4296875"/>
    <n v="51202.4296875"/>
    <n v="51202.4296875"/>
    <n v="51202.4296875"/>
    <n v="204809.71875"/>
    <m/>
    <m/>
    <m/>
    <n v="1638477.75"/>
  </r>
  <r>
    <n v="474"/>
    <x v="0"/>
    <m/>
    <s v="구용근"/>
    <s v="구미"/>
    <s v="PKG"/>
    <s v="O"/>
    <s v="8&quot;&amp;12&quot;"/>
    <s v="DDI"/>
    <x v="4"/>
    <s v="COF"/>
    <x v="30"/>
    <n v="1005917"/>
    <s v="MC"/>
    <s v="PCU-32 : BAKE OVEN(오성에스티)"/>
    <s v="OS-OVN11-BK02"/>
    <x v="17"/>
    <m/>
    <s v="OSST-190202503111-5"/>
    <x v="0"/>
    <s v="가동"/>
    <s v="한국"/>
    <s v="오성에스티"/>
    <x v="2"/>
    <s v="3차"/>
    <s v="3차"/>
    <s v="일반장비(비통제)"/>
    <s v="접착제 경화"/>
    <s v="접착제 경화"/>
    <s v="일반 산업 장비"/>
    <m/>
    <s v="EAR99"/>
    <s v="8486.40-0000"/>
    <s v="후공정/Assembly oven"/>
    <m/>
    <d v="2019-04-11T00:00:00"/>
    <d v="2019-04-11T00:00:00"/>
    <n v="6.5616438356164384"/>
    <n v="8"/>
    <s v="G1-1층"/>
    <s v="자사"/>
    <s v="미설정"/>
    <n v="5.28"/>
    <n v="1470"/>
    <n v="960"/>
    <n v="1675"/>
    <n v="8812000"/>
    <m/>
    <m/>
    <m/>
    <n v="6976169"/>
    <n v="91792"/>
    <n v="1560455"/>
    <n v="116122"/>
    <m/>
    <m/>
    <n v="19.999901952239846"/>
    <s v="미완료"/>
    <s v="D-POT"/>
    <s v="COF(Assy_FT)"/>
    <s v="COF(Assy_FT)"/>
    <s v="기계장치"/>
    <n v="1638477.75"/>
    <n v="51202.4296875"/>
    <n v="17067.4765625"/>
    <m/>
    <m/>
    <m/>
    <m/>
    <m/>
    <m/>
    <m/>
    <n v="51202.4296875"/>
    <n v="51202.4296875"/>
    <n v="102404.859375"/>
    <n v="51202.4296875"/>
    <n v="51202.4296875"/>
    <n v="51202.4296875"/>
    <n v="51202.4296875"/>
    <n v="204809.71875"/>
    <n v="51202.4296875"/>
    <n v="51202.4296875"/>
    <n v="51202.4296875"/>
    <n v="51202.4296875"/>
    <n v="204809.71875"/>
    <n v="51202.4296875"/>
    <n v="51202.4296875"/>
    <n v="51202.4296875"/>
    <n v="51202.4296875"/>
    <n v="204809.71875"/>
    <m/>
    <m/>
    <m/>
    <n v="1638477.75"/>
  </r>
  <r>
    <n v="475"/>
    <x v="0"/>
    <m/>
    <s v="구용근"/>
    <s v="구미"/>
    <s v="PKG"/>
    <s v="O"/>
    <s v="8&quot;&amp;12&quot;"/>
    <s v="DDI"/>
    <x v="4"/>
    <s v="COF"/>
    <x v="32"/>
    <n v="1005366"/>
    <s v="MC"/>
    <s v="PIL-68 : TFC-3600-300(SHIBAURA)"/>
    <s v="TFC-3600"/>
    <x v="67"/>
    <s v="3세대"/>
    <s v="E078"/>
    <x v="165"/>
    <s v="가동"/>
    <s v="일본"/>
    <s v="Shibaura"/>
    <x v="2"/>
    <s v="3차"/>
    <s v="3차"/>
    <s v="해당"/>
    <s v="칩 본딩 장비"/>
    <s v="칩 본딩 장비"/>
    <m/>
    <m/>
    <s v="3B991"/>
    <s v="8486.40-0000"/>
    <s v="반도체 제조 공정용"/>
    <m/>
    <d v="2018-02-23T00:00:00"/>
    <d v="2018-02-23T00:00:00"/>
    <n v="7.6904109589041099"/>
    <n v="8"/>
    <s v="G1-1층"/>
    <s v="자사"/>
    <s v="설정"/>
    <n v="3.6"/>
    <n v="2820"/>
    <n v="1154"/>
    <n v="2020"/>
    <n v="439835152"/>
    <m/>
    <m/>
    <m/>
    <n v="399020218"/>
    <n v="4566381"/>
    <n v="27115791"/>
    <n v="1000"/>
    <m/>
    <m/>
    <n v="8.9381359111296224"/>
    <s v="미완료"/>
    <s v="D-ILB"/>
    <s v="COF(Assy_FT)"/>
    <s v="COF(Assy_FT)"/>
    <s v="기계장치"/>
    <n v="28471580.550000001"/>
    <n v="889736.89218750002"/>
    <n v="296578.96406249999"/>
    <m/>
    <m/>
    <m/>
    <m/>
    <m/>
    <m/>
    <m/>
    <n v="889736.89218749991"/>
    <n v="889736.89218749991"/>
    <n v="1779473.7843749998"/>
    <n v="889736.89218749991"/>
    <n v="889736.89218749991"/>
    <n v="889736.89218749991"/>
    <n v="889736.89218749991"/>
    <n v="3558947.5687499996"/>
    <n v="889736.89218749991"/>
    <n v="889736.89218749991"/>
    <n v="889736.89218749991"/>
    <n v="889736.89218749991"/>
    <n v="3558947.5687499996"/>
    <n v="889736.89218749991"/>
    <n v="889736.89218749991"/>
    <n v="889736.89218749991"/>
    <n v="889736.89218749991"/>
    <n v="3558947.5687499996"/>
    <m/>
    <m/>
    <m/>
    <n v="28471580.550000001"/>
  </r>
  <r>
    <n v="476"/>
    <x v="0"/>
    <m/>
    <s v="구용근"/>
    <s v="구미"/>
    <s v="PKG"/>
    <s v="O"/>
    <s v="8&quot;&amp;12&quot;"/>
    <s v="DDI"/>
    <x v="4"/>
    <s v="COF"/>
    <x v="32"/>
    <n v="1005365"/>
    <s v="MC"/>
    <s v="PIL-67 : TFC-3600-300(SHIBAURA)"/>
    <s v="TFC-3600"/>
    <x v="67"/>
    <s v="3세대"/>
    <s v="E077"/>
    <x v="165"/>
    <s v="가동"/>
    <s v="일본"/>
    <s v="Shibaura"/>
    <x v="2"/>
    <s v="3차"/>
    <s v="3차"/>
    <s v="해당"/>
    <s v="칩 본딩 장비"/>
    <s v="칩 본딩 장비"/>
    <m/>
    <m/>
    <s v="3B991"/>
    <s v="8486.40-0000"/>
    <s v="반도체 제조 공정용"/>
    <m/>
    <d v="2018-02-23T00:00:00"/>
    <d v="2018-02-23T00:00:00"/>
    <n v="7.6904109589041099"/>
    <n v="8"/>
    <s v="G1-1층"/>
    <s v="자사"/>
    <s v="설정"/>
    <n v="3.6"/>
    <n v="2820"/>
    <n v="1154"/>
    <n v="2020"/>
    <n v="439835152"/>
    <m/>
    <m/>
    <m/>
    <n v="399020218"/>
    <n v="4566381"/>
    <n v="27115791"/>
    <n v="1000"/>
    <m/>
    <m/>
    <n v="8.9381359111296224"/>
    <s v="미완료"/>
    <s v="D-ILB"/>
    <s v="COF(Assy_FT)"/>
    <s v="COF(Assy_FT)"/>
    <s v="기계장치"/>
    <n v="28471580.550000001"/>
    <n v="889736.89218750002"/>
    <n v="296578.96406249999"/>
    <m/>
    <m/>
    <m/>
    <m/>
    <m/>
    <m/>
    <m/>
    <n v="889736.89218749991"/>
    <n v="889736.89218749991"/>
    <n v="1779473.7843749998"/>
    <n v="889736.89218749991"/>
    <n v="889736.89218749991"/>
    <n v="889736.89218749991"/>
    <n v="889736.89218749991"/>
    <n v="3558947.5687499996"/>
    <n v="889736.89218749991"/>
    <n v="889736.89218749991"/>
    <n v="889736.89218749991"/>
    <n v="889736.89218749991"/>
    <n v="3558947.5687499996"/>
    <n v="889736.89218749991"/>
    <n v="889736.89218749991"/>
    <n v="889736.89218749991"/>
    <n v="889736.89218749991"/>
    <n v="3558947.5687499996"/>
    <m/>
    <m/>
    <m/>
    <n v="28471580.550000001"/>
  </r>
  <r>
    <n v="477"/>
    <x v="0"/>
    <m/>
    <s v="구용근"/>
    <s v="구미"/>
    <s v="PKG"/>
    <s v="O"/>
    <s v="8&quot;&amp;12&quot;"/>
    <s v="DDI"/>
    <x v="4"/>
    <s v="COF"/>
    <x v="32"/>
    <n v="1005202"/>
    <s v="MC"/>
    <s v="PIL-66 : TFC-3600-300(SHIBAURA)"/>
    <s v="TFC-3600"/>
    <x v="67"/>
    <s v="3세대"/>
    <s v="E061"/>
    <x v="165"/>
    <s v="가동"/>
    <s v="일본"/>
    <s v="Shibaura"/>
    <x v="2"/>
    <s v="3차"/>
    <s v="3차"/>
    <s v="해당"/>
    <s v="칩 본딩 장비"/>
    <s v="칩 본딩 장비"/>
    <m/>
    <m/>
    <s v="3B991"/>
    <s v="8486.40-0000"/>
    <s v="반도체 제조 공정용"/>
    <m/>
    <d v="2017-09-19T00:00:00"/>
    <d v="2017-09-19T00:00:00"/>
    <n v="8.1205479452054803"/>
    <n v="8"/>
    <s v="G1-1층"/>
    <s v="자사"/>
    <s v="설정"/>
    <n v="3.6"/>
    <n v="2820"/>
    <n v="1154"/>
    <n v="2020"/>
    <n v="452084746"/>
    <m/>
    <m/>
    <m/>
    <n v="432860291"/>
    <n v="4609891"/>
    <n v="5394782"/>
    <n v="1000"/>
    <m/>
    <m/>
    <n v="4.1702623771364662"/>
    <s v="미완료"/>
    <s v="D-ILB"/>
    <s v="COF(Assy_FT)"/>
    <s v="COF(Assy_FT)"/>
    <s v="기계장치"/>
    <n v="5664521.1000000006"/>
    <n v="177016.28437500002"/>
    <n v="59005.428125000006"/>
    <m/>
    <m/>
    <m/>
    <m/>
    <m/>
    <m/>
    <m/>
    <n v="177016.28437500002"/>
    <n v="177016.28437500002"/>
    <n v="354032.56875000003"/>
    <n v="177016.28437500002"/>
    <n v="177016.28437500002"/>
    <n v="177016.28437500002"/>
    <n v="177016.28437500002"/>
    <n v="708065.13750000007"/>
    <n v="177016.28437500002"/>
    <n v="177016.28437500002"/>
    <n v="177016.28437500002"/>
    <n v="177016.28437500002"/>
    <n v="708065.13750000007"/>
    <n v="177016.28437500002"/>
    <n v="177016.28437500002"/>
    <n v="177016.28437500002"/>
    <n v="177016.28437500002"/>
    <n v="708065.13750000007"/>
    <m/>
    <m/>
    <m/>
    <n v="5664521.1000000006"/>
  </r>
  <r>
    <n v="478"/>
    <x v="0"/>
    <m/>
    <s v="구용근"/>
    <s v="구미"/>
    <s v="PKG"/>
    <s v="O"/>
    <s v="8&quot;&amp;12&quot;"/>
    <s v="DDI"/>
    <x v="4"/>
    <s v="COF"/>
    <x v="32"/>
    <n v="1005106"/>
    <s v="MC"/>
    <s v="PIL-65 : TFC-3600-300(SHIBAURA)"/>
    <s v="TFC-3600"/>
    <x v="67"/>
    <s v="3세대"/>
    <s v="E060"/>
    <x v="165"/>
    <s v="가동"/>
    <s v="일본"/>
    <s v="Shibaura"/>
    <x v="2"/>
    <s v="3차"/>
    <s v="3차"/>
    <s v="해당"/>
    <s v="칩 본딩 장비"/>
    <s v="칩 본딩 장비"/>
    <m/>
    <m/>
    <s v="3B991"/>
    <s v="8486.40-0000"/>
    <s v="반도체 제조 공정용"/>
    <m/>
    <d v="2017-08-25T00:00:00"/>
    <d v="2017-08-25T00:00:00"/>
    <n v="8.1890410958904116"/>
    <n v="8"/>
    <s v="G1-1층"/>
    <s v="자사"/>
    <s v="설정"/>
    <n v="3.6"/>
    <n v="2820"/>
    <n v="1154"/>
    <n v="2020"/>
    <n v="447034453"/>
    <m/>
    <m/>
    <m/>
    <n v="432180242"/>
    <n v="4540806"/>
    <n v="1231793"/>
    <n v="1000"/>
    <m/>
    <m/>
    <n v="3.2712718843306674"/>
    <s v="미완료"/>
    <s v="D-ILB"/>
    <s v="COF(Assy_FT)"/>
    <s v="COF(Assy_FT)"/>
    <s v="기계장치"/>
    <n v="1293382.6500000001"/>
    <n v="40418.207812500004"/>
    <n v="13472.735937500001"/>
    <m/>
    <m/>
    <m/>
    <m/>
    <m/>
    <m/>
    <m/>
    <n v="40418.207812500004"/>
    <n v="40418.207812500004"/>
    <n v="80836.415625000009"/>
    <n v="40418.207812500004"/>
    <n v="40418.207812500004"/>
    <n v="40418.207812500004"/>
    <n v="40418.207812500004"/>
    <n v="161672.83125000002"/>
    <n v="40418.207812500004"/>
    <n v="40418.207812500004"/>
    <n v="40418.207812500004"/>
    <n v="40418.207812500004"/>
    <n v="161672.83125000002"/>
    <n v="40418.207812500004"/>
    <n v="40418.207812500004"/>
    <n v="40418.207812500004"/>
    <n v="40418.207812500004"/>
    <n v="161672.83125000002"/>
    <m/>
    <m/>
    <m/>
    <n v="1293382.6500000001"/>
  </r>
  <r>
    <n v="479"/>
    <x v="0"/>
    <m/>
    <s v="구용근"/>
    <s v="구미"/>
    <s v="PKG"/>
    <s v="O"/>
    <s v="8&quot;&amp;12&quot;"/>
    <s v="DDI"/>
    <x v="4"/>
    <s v="COF"/>
    <x v="32"/>
    <n v="1005023"/>
    <s v="MC"/>
    <s v="PIL-64 : TFC-3600-300(SHIBAURA)"/>
    <s v="TFC-3600"/>
    <x v="67"/>
    <s v="3세대"/>
    <s v="E039"/>
    <x v="165"/>
    <s v="가동"/>
    <s v="일본"/>
    <s v="Shibaura"/>
    <x v="2"/>
    <s v="3차"/>
    <s v="3차"/>
    <s v="해당"/>
    <s v="칩 본딩 장비"/>
    <s v="칩 본딩 장비"/>
    <m/>
    <m/>
    <s v="3B991"/>
    <s v="8486.40-0000"/>
    <s v="반도체 제조 공정용"/>
    <m/>
    <d v="2017-04-21T00:00:00"/>
    <d v="2017-04-21T00:00:00"/>
    <n v="8.5342465753424666"/>
    <n v="8"/>
    <s v="G1-1층"/>
    <s v="자사"/>
    <s v="설정"/>
    <n v="3.6"/>
    <n v="2820"/>
    <n v="1154"/>
    <n v="2020"/>
    <n v="438492276"/>
    <m/>
    <m/>
    <m/>
    <n v="438491276"/>
    <n v="2668695"/>
    <n v="1000"/>
    <n v="1000"/>
    <m/>
    <m/>
    <m/>
    <s v="완료"/>
    <s v="D-ILB"/>
    <s v="COF(Assy_FT)"/>
    <s v="COF(Assy_FT)"/>
    <s v="기계장치"/>
    <n v="8769845.5199999996"/>
    <n v="274057.67249999999"/>
    <n v="91352.557499999995"/>
    <m/>
    <m/>
    <m/>
    <m/>
    <m/>
    <m/>
    <m/>
    <n v="274057.67249999999"/>
    <n v="274057.67249999999"/>
    <n v="548115.34499999997"/>
    <n v="274057.67249999999"/>
    <n v="274057.67249999999"/>
    <n v="274057.67249999999"/>
    <n v="274057.67249999999"/>
    <n v="1096230.69"/>
    <n v="274057.67249999999"/>
    <n v="274057.67249999999"/>
    <n v="274057.67249999999"/>
    <n v="274057.67249999999"/>
    <n v="1096230.69"/>
    <n v="274057.67249999999"/>
    <n v="274057.67249999999"/>
    <n v="274057.67249999999"/>
    <n v="274057.67249999999"/>
    <n v="1096230.69"/>
    <m/>
    <m/>
    <m/>
    <n v="8769845.5199999996"/>
  </r>
  <r>
    <n v="480"/>
    <x v="0"/>
    <m/>
    <s v="구용근"/>
    <s v="구미"/>
    <s v="PKG"/>
    <s v="O"/>
    <s v="8&quot;&amp;12&quot;"/>
    <s v="DDI"/>
    <x v="4"/>
    <s v="COF"/>
    <x v="32"/>
    <n v="1004825"/>
    <s v="MC"/>
    <s v="PIL-63 : TFC-3600-300(SHIBAURA)"/>
    <s v="TFC-3600"/>
    <x v="67"/>
    <s v="3세대"/>
    <s v="E035"/>
    <x v="165"/>
    <s v="가동"/>
    <s v="일본"/>
    <s v="Shibaura"/>
    <x v="1"/>
    <s v="3차"/>
    <s v="3차"/>
    <s v="해당"/>
    <s v="칩 본딩 장비"/>
    <s v="칩 본딩 장비"/>
    <m/>
    <m/>
    <s v="3B991"/>
    <s v="8486.40-0000"/>
    <s v="반도체 제조 공정용"/>
    <m/>
    <d v="2016-07-15T00:00:00"/>
    <d v="2016-07-15T00:00:00"/>
    <n v="9.3013698630136989"/>
    <n v="8"/>
    <s v="G1-1층"/>
    <s v="자사"/>
    <s v="설정"/>
    <n v="3.6"/>
    <n v="2820"/>
    <n v="1154"/>
    <n v="2020"/>
    <n v="443018889"/>
    <m/>
    <m/>
    <m/>
    <n v="443017889"/>
    <n v="1033935"/>
    <n v="1000"/>
    <n v="1000"/>
    <m/>
    <m/>
    <m/>
    <s v="완료"/>
    <s v="D-ILB"/>
    <s v="COF(Assy_FT)"/>
    <s v="COF(Assy_FT)"/>
    <s v="기계장치"/>
    <n v="8860377.7799999993"/>
    <n v="844648.45352777001"/>
    <n v="281549.48450925667"/>
    <m/>
    <m/>
    <n v="844648.45352777001"/>
    <n v="844648.45352777001"/>
    <n v="1689296.90705554"/>
    <n v="844648.45352777001"/>
    <n v="844648.45352777001"/>
    <n v="844648.45352777001"/>
    <n v="844648.45352777001"/>
    <n v="3378593.81411108"/>
    <n v="844648.45352777001"/>
    <n v="844648.45352777001"/>
    <n v="844648.45352777001"/>
    <n v="844648.45352777001"/>
    <n v="3378593.81411108"/>
    <n v="844648.45352777001"/>
    <n v="844648.45352777001"/>
    <n v="844648.45352777001"/>
    <n v="844648.45352777001"/>
    <n v="3378593.81411108"/>
    <n v="844648.45352777001"/>
    <n v="844648.45352777001"/>
    <n v="844648.45352777001"/>
    <n v="844648.45352777001"/>
    <n v="3378593.81411108"/>
    <m/>
    <n v="8.6516060632803055E-4"/>
    <n v="18168372.732888643"/>
    <n v="27028750.51288864"/>
  </r>
  <r>
    <n v="481"/>
    <x v="0"/>
    <m/>
    <s v="구용근"/>
    <s v="구미"/>
    <s v="PKG"/>
    <s v="O"/>
    <s v="8&quot;"/>
    <s v="DDI"/>
    <x v="4"/>
    <s v="COF"/>
    <x v="32"/>
    <n v="1004587"/>
    <s v="MC"/>
    <s v="PIL-62 : COF Flip Chip Bonder(TFC-3600-300)(Shlbaura)"/>
    <s v="TFC-3600"/>
    <x v="67"/>
    <s v="3세대"/>
    <s v="E027"/>
    <x v="165"/>
    <s v="가동"/>
    <s v="일본"/>
    <s v="Shibaura"/>
    <x v="1"/>
    <s v="3차"/>
    <s v="3차"/>
    <s v="해당"/>
    <s v="칩 본딩 장비"/>
    <s v="칩 본딩 장비"/>
    <m/>
    <m/>
    <s v="3B991"/>
    <s v="8486.40-0000"/>
    <s v="반도체 제조 공정용"/>
    <m/>
    <d v="2015-04-22T00:00:00"/>
    <d v="2015-04-22T00:00:00"/>
    <n v="10.534246575342467"/>
    <n v="8"/>
    <s v="G1-1층"/>
    <s v="자사"/>
    <s v="미설정"/>
    <n v="3.6"/>
    <n v="2820"/>
    <n v="1154"/>
    <n v="2020"/>
    <n v="425381508"/>
    <m/>
    <m/>
    <m/>
    <n v="425380508"/>
    <n v="1590352"/>
    <n v="1000"/>
    <n v="1000"/>
    <m/>
    <m/>
    <m/>
    <s v="완료"/>
    <s v="D-ILB"/>
    <s v="COF(Assy_FT)"/>
    <s v="COF(Assy_FT)"/>
    <s v="기계장치"/>
    <n v="8507630.1600000001"/>
    <n v="811021.47518479906"/>
    <n v="270340.49172826635"/>
    <m/>
    <m/>
    <n v="811021.47518479906"/>
    <n v="811021.47518479906"/>
    <n v="1622042.9503695981"/>
    <n v="811021.47518479906"/>
    <n v="811021.47518479906"/>
    <n v="811021.47518479906"/>
    <n v="811021.47518479906"/>
    <n v="3244085.9007391962"/>
    <n v="811021.47518479906"/>
    <n v="811021.47518479906"/>
    <n v="811021.47518479906"/>
    <n v="811021.47518479906"/>
    <n v="3244085.9007391962"/>
    <n v="811021.47518479906"/>
    <n v="811021.47518479906"/>
    <n v="811021.47518479906"/>
    <n v="811021.47518479906"/>
    <n v="3244085.9007391962"/>
    <n v="811021.47518479906"/>
    <n v="811021.47518479906"/>
    <n v="811021.47518479906"/>
    <n v="811021.47518479906"/>
    <n v="3244085.9007391962"/>
    <m/>
    <n v="8.3071700218636049E-4"/>
    <n v="17445057.04591357"/>
    <n v="25952687.20591357"/>
  </r>
  <r>
    <n v="482"/>
    <x v="0"/>
    <m/>
    <s v="구용근"/>
    <s v="구미"/>
    <s v="PKG"/>
    <s v="O"/>
    <s v="8&quot;&amp;12&quot;"/>
    <s v="DDI"/>
    <x v="4"/>
    <s v="COF"/>
    <x v="32"/>
    <n v="1007024"/>
    <s v="MC"/>
    <s v="PIL-109 : TFC-3600-300(SHIBAURA)"/>
    <s v="TFC-3600"/>
    <x v="67"/>
    <s v="3세대"/>
    <s v="E313"/>
    <x v="165"/>
    <s v="가동"/>
    <s v="일본"/>
    <s v="Shibaura"/>
    <x v="2"/>
    <s v="3차"/>
    <s v="3차"/>
    <s v="해당"/>
    <s v="칩 본딩 장비"/>
    <s v="칩 본딩 장비"/>
    <m/>
    <m/>
    <s v="3B991"/>
    <s v="8486.40-0000"/>
    <s v="반도체 제조 공정용"/>
    <m/>
    <d v="2022-08-22T00:00:00"/>
    <d v="2022-08-22T00:00:00"/>
    <n v="3.1945205479452055"/>
    <n v="8"/>
    <s v="G1-1층"/>
    <s v="자사"/>
    <s v="설정"/>
    <n v="3.6"/>
    <n v="2820"/>
    <n v="1154"/>
    <n v="2020"/>
    <n v="407491008"/>
    <m/>
    <m/>
    <m/>
    <n v="152809128"/>
    <n v="4244698"/>
    <n v="241947786"/>
    <n v="23269232"/>
    <m/>
    <m/>
    <n v="60"/>
    <s v="미완료"/>
    <s v="D-ILB"/>
    <s v="COF(Assy_FT)"/>
    <s v="COF(Assy_FT)"/>
    <s v="기계장치"/>
    <n v="254045175.30000001"/>
    <n v="7938911.7281250004"/>
    <n v="2646303.9093750003"/>
    <m/>
    <m/>
    <m/>
    <m/>
    <m/>
    <m/>
    <m/>
    <n v="7938911.7281250004"/>
    <n v="7938911.7281250004"/>
    <n v="15877823.456250001"/>
    <n v="7938911.7281250004"/>
    <n v="7938911.7281250004"/>
    <n v="7938911.7281250004"/>
    <n v="7938911.7281250004"/>
    <n v="31755646.912500001"/>
    <n v="7938911.7281250004"/>
    <n v="7938911.7281250004"/>
    <n v="7938911.7281250004"/>
    <n v="7938911.7281250004"/>
    <n v="31755646.912500001"/>
    <n v="7938911.7281250004"/>
    <n v="7938911.7281250004"/>
    <n v="7938911.7281250004"/>
    <n v="7938911.7281250004"/>
    <n v="31755646.912500001"/>
    <m/>
    <m/>
    <m/>
    <n v="254045175.30000001"/>
  </r>
  <r>
    <n v="483"/>
    <x v="0"/>
    <m/>
    <s v="구용근"/>
    <s v="구미"/>
    <s v="PKG"/>
    <s v="O"/>
    <s v="8&quot;&amp;12&quot;"/>
    <s v="DDI"/>
    <x v="4"/>
    <s v="COF"/>
    <x v="17"/>
    <n v="1006022"/>
    <s v="MC"/>
    <s v="PRF-01 : Ring Frame 자동 세정기"/>
    <s v="DWD-RCL4000"/>
    <x v="85"/>
    <m/>
    <n v="35020070001"/>
    <x v="0"/>
    <s v="가동"/>
    <s v="한국"/>
    <s v="다원엔지니어링"/>
    <x v="2"/>
    <s v="3차"/>
    <s v="3차"/>
    <s v="일반장비(비통제)"/>
    <s v="세정기"/>
    <m/>
    <m/>
    <m/>
    <s v="EAR99"/>
    <s v="8421.22-0000"/>
    <m/>
    <m/>
    <d v="2019-07-31T00:00:00"/>
    <d v="2019-07-31T00:00:00"/>
    <n v="6.2575342465753421"/>
    <n v="8"/>
    <s v="G1-1층"/>
    <s v="자사"/>
    <s v="미설정"/>
    <n v="7.9"/>
    <n v="1360"/>
    <n v="1390"/>
    <n v="1810"/>
    <n v="97000000"/>
    <m/>
    <m/>
    <m/>
    <n v="64656255"/>
    <n v="1010417"/>
    <n v="29312494"/>
    <n v="2397623"/>
    <m/>
    <m/>
    <n v="32.010293769799993"/>
    <s v="미완료"/>
    <s v="D-SAW"/>
    <s v="COF(Assy_FT)"/>
    <s v="COF(Assy_FT)"/>
    <s v="기계장치"/>
    <n v="30778118.700000003"/>
    <n v="961816.20937500009"/>
    <n v="320605.40312500001"/>
    <m/>
    <m/>
    <m/>
    <m/>
    <m/>
    <m/>
    <m/>
    <n v="961816.20937500009"/>
    <n v="961816.20937500009"/>
    <n v="1923632.4187500002"/>
    <n v="961816.20937500009"/>
    <n v="961816.20937500009"/>
    <n v="961816.20937500009"/>
    <n v="961816.20937500009"/>
    <n v="3847264.8375000004"/>
    <n v="961816.20937500009"/>
    <n v="961816.20937500009"/>
    <n v="961816.20937500009"/>
    <n v="961816.20937500009"/>
    <n v="3847264.8375000004"/>
    <n v="961816.20937500009"/>
    <n v="961816.20937500009"/>
    <n v="961816.20937500009"/>
    <n v="961816.20937500009"/>
    <n v="3847264.8375000004"/>
    <m/>
    <m/>
    <m/>
    <n v="30778118.700000003"/>
  </r>
  <r>
    <n v="484"/>
    <x v="0"/>
    <m/>
    <s v="구용근"/>
    <s v="구미"/>
    <s v="PKG"/>
    <s v="O"/>
    <s v="8&quot;&amp;12&quot;"/>
    <s v="DDI"/>
    <x v="4"/>
    <s v="COF"/>
    <x v="30"/>
    <n v="1006032"/>
    <s v="MC"/>
    <s v="PCU-33 : BAKE OVEN(오성에스티)"/>
    <s v="OS-OVN11-BK02"/>
    <x v="17"/>
    <m/>
    <s v="OSST-19052203132-1"/>
    <x v="0"/>
    <s v="가동"/>
    <s v="한국"/>
    <s v="오성에스티"/>
    <x v="2"/>
    <s v="3차"/>
    <s v="3차"/>
    <s v="일반장비(비통제)"/>
    <s v="접착제 경화"/>
    <s v="접착제 경화"/>
    <s v="일반 산업 장비"/>
    <m/>
    <s v="EAR99"/>
    <s v="8486.40-0000"/>
    <s v="후공정/Assembly oven"/>
    <m/>
    <d v="2019-07-25T00:00:00"/>
    <d v="2019-07-25T00:00:00"/>
    <n v="6.2739726027397262"/>
    <n v="8"/>
    <s v="G1-1층"/>
    <s v="자사"/>
    <s v="미설정"/>
    <n v="5.28"/>
    <n v="1470"/>
    <n v="960"/>
    <n v="1675"/>
    <n v="8800000"/>
    <m/>
    <m/>
    <m/>
    <n v="6691669"/>
    <n v="91667"/>
    <n v="1833330"/>
    <n v="144955"/>
    <m/>
    <m/>
    <n v="22.999890909487601"/>
    <s v="미완료"/>
    <s v="D-POT"/>
    <s v="COF(Assy_FT)"/>
    <s v="COF(Assy_FT)"/>
    <s v="기계장치"/>
    <n v="1924996.5"/>
    <n v="60156.140625"/>
    <n v="20052.046875"/>
    <m/>
    <m/>
    <m/>
    <m/>
    <m/>
    <m/>
    <m/>
    <n v="60156.140625"/>
    <n v="60156.140625"/>
    <n v="120312.28125"/>
    <n v="60156.140625"/>
    <n v="60156.140625"/>
    <n v="60156.140625"/>
    <n v="60156.140625"/>
    <n v="240624.5625"/>
    <n v="60156.140625"/>
    <n v="60156.140625"/>
    <n v="60156.140625"/>
    <n v="60156.140625"/>
    <n v="240624.5625"/>
    <n v="60156.140625"/>
    <n v="60156.140625"/>
    <n v="60156.140625"/>
    <n v="60156.140625"/>
    <n v="240624.5625"/>
    <m/>
    <m/>
    <m/>
    <n v="1924996.5"/>
  </r>
  <r>
    <n v="485"/>
    <x v="0"/>
    <m/>
    <s v="구용근"/>
    <s v="구미"/>
    <s v="PKG"/>
    <s v="O"/>
    <s v="8&quot;&amp;12&quot;"/>
    <s v="DDI"/>
    <x v="4"/>
    <s v="COF"/>
    <x v="30"/>
    <n v="1006023"/>
    <s v="MC"/>
    <s v="PCU-34 : BAKE OVEN(오성에스티)"/>
    <s v="OS-OVN11-BK02"/>
    <x v="17"/>
    <m/>
    <s v="OSST-19052203132-2"/>
    <x v="0"/>
    <s v="가동"/>
    <s v="한국"/>
    <s v="오성에스티"/>
    <x v="2"/>
    <s v="3차"/>
    <s v="3차"/>
    <s v="일반장비(비통제)"/>
    <s v="접착제 경화"/>
    <s v="접착제 경화"/>
    <s v="일반 산업 장비"/>
    <m/>
    <s v="EAR99"/>
    <s v="8486.40-0000"/>
    <s v="후공정/Assembly oven"/>
    <m/>
    <d v="2019-07-25T00:00:00"/>
    <d v="2019-07-25T00:00:00"/>
    <n v="6.2739726027397262"/>
    <n v="8"/>
    <s v="G1-1층"/>
    <s v="자사"/>
    <s v="미설정"/>
    <n v="5.28"/>
    <n v="1470"/>
    <n v="960"/>
    <n v="1675"/>
    <n v="8800000"/>
    <m/>
    <m/>
    <m/>
    <n v="6691669"/>
    <n v="91667"/>
    <n v="1833330"/>
    <n v="144955"/>
    <m/>
    <m/>
    <n v="22.999890909487601"/>
    <s v="미완료"/>
    <s v="D-POT"/>
    <s v="COF(Assy_FT)"/>
    <s v="COF(Assy_FT)"/>
    <s v="기계장치"/>
    <n v="1924996.5"/>
    <n v="60156.140625"/>
    <n v="20052.046875"/>
    <m/>
    <m/>
    <m/>
    <m/>
    <m/>
    <m/>
    <m/>
    <n v="60156.140625"/>
    <n v="60156.140625"/>
    <n v="120312.28125"/>
    <n v="60156.140625"/>
    <n v="60156.140625"/>
    <n v="60156.140625"/>
    <n v="60156.140625"/>
    <n v="240624.5625"/>
    <n v="60156.140625"/>
    <n v="60156.140625"/>
    <n v="60156.140625"/>
    <n v="60156.140625"/>
    <n v="240624.5625"/>
    <n v="60156.140625"/>
    <n v="60156.140625"/>
    <n v="60156.140625"/>
    <n v="60156.140625"/>
    <n v="240624.5625"/>
    <m/>
    <m/>
    <m/>
    <n v="1924996.5"/>
  </r>
  <r>
    <n v="486"/>
    <x v="0"/>
    <m/>
    <s v="구용근"/>
    <s v="구미"/>
    <s v="PKG"/>
    <s v="O"/>
    <s v="8&quot;&amp;12&quot;"/>
    <s v="DDI"/>
    <x v="4"/>
    <s v="COF"/>
    <x v="20"/>
    <n v="1005322"/>
    <s v="MC"/>
    <s v="PBG-02 : FULLY AUTOMATIC GRINDER(DGP8761)(=MPBG-02)"/>
    <s v="DGP8761"/>
    <x v="86"/>
    <m/>
    <s v="NN2760"/>
    <x v="0"/>
    <s v="가동"/>
    <s v="일본"/>
    <s v="Disco"/>
    <x v="2"/>
    <s v="1차"/>
    <s v="1차"/>
    <s v="해당"/>
    <s v="웨이퍼 평탄화, 그라인딩"/>
    <s v="웨이퍼 평탄화, 그라인딩"/>
    <m/>
    <m/>
    <s v="3B001"/>
    <s v="8486.40-0000"/>
    <s v="웨이퍼 후처리 제조 장비"/>
    <m/>
    <d v="2018-03-31T00:00:00"/>
    <d v="2018-03-31T00:00:00"/>
    <n v="7.5917808219178085"/>
    <n v="8"/>
    <s v="G1-1층"/>
    <s v="자사"/>
    <s v="설정"/>
    <n v="10.8"/>
    <n v="1690"/>
    <n v="3315"/>
    <n v="1800"/>
    <n v="1584346053"/>
    <m/>
    <m/>
    <m/>
    <n v="1416364902"/>
    <n v="16503605"/>
    <n v="118470336"/>
    <n v="35952311"/>
    <m/>
    <m/>
    <n v="10.178451980643016"/>
    <s v="미완료"/>
    <s v="M-GRIND"/>
    <s v="COF(Assy_FT)"/>
    <s v="COF(Assy_FT)"/>
    <s v="기계장치"/>
    <n v="124393852.80000001"/>
    <n v="3887307.9000000004"/>
    <n v="1295769.3"/>
    <m/>
    <m/>
    <m/>
    <m/>
    <m/>
    <m/>
    <m/>
    <n v="3887307.9000000004"/>
    <n v="3887307.9000000004"/>
    <n v="7774615.8000000007"/>
    <n v="3887307.9000000004"/>
    <n v="3887307.9000000004"/>
    <n v="3887307.9000000004"/>
    <n v="3887307.9000000004"/>
    <n v="15549231.600000001"/>
    <n v="3887307.9000000004"/>
    <n v="3887307.9000000004"/>
    <n v="3887307.9000000004"/>
    <n v="3887307.9000000004"/>
    <n v="15549231.600000001"/>
    <n v="3887307.9000000004"/>
    <n v="3887307.9000000004"/>
    <n v="3887307.9000000004"/>
    <n v="3887307.9000000004"/>
    <n v="15549231.600000001"/>
    <m/>
    <m/>
    <m/>
    <n v="124393852.80000001"/>
  </r>
  <r>
    <n v="487"/>
    <x v="0"/>
    <m/>
    <s v="구용근"/>
    <s v="구미"/>
    <s v="PKG"/>
    <s v="O"/>
    <s v="8&quot;&amp;12&quot;"/>
    <s v="DDI"/>
    <x v="4"/>
    <s v="COF"/>
    <x v="32"/>
    <n v="1007004"/>
    <s v="MC"/>
    <s v="PIL-108 : TFC-3600-300(SHIBAURA)"/>
    <s v="TFC-3600"/>
    <x v="67"/>
    <s v="3세대"/>
    <s v="E312"/>
    <x v="165"/>
    <s v="가동"/>
    <s v="일본"/>
    <s v="Shibaura"/>
    <x v="2"/>
    <s v="3차"/>
    <s v="3차"/>
    <s v="해당"/>
    <s v="칩 본딩 장비"/>
    <s v="칩 본딩 장비"/>
    <m/>
    <m/>
    <s v="3B991"/>
    <s v="8486.40-0000"/>
    <s v="반도체 제조 공정용"/>
    <m/>
    <d v="2022-08-22T00:00:00"/>
    <d v="2022-08-22T00:00:00"/>
    <n v="3.1945205479452055"/>
    <n v="8"/>
    <s v="G1-1층"/>
    <s v="자사"/>
    <s v="설정"/>
    <n v="3.6"/>
    <n v="2820"/>
    <n v="1154"/>
    <n v="2020"/>
    <n v="407471136"/>
    <m/>
    <m/>
    <m/>
    <n v="152801676"/>
    <n v="4244491"/>
    <n v="241935987"/>
    <n v="23268098"/>
    <m/>
    <m/>
    <n v="60"/>
    <s v="미완료"/>
    <s v="D-ILB"/>
    <s v="COF(Assy_FT)"/>
    <s v="COF(Assy_FT)"/>
    <s v="기계장치"/>
    <n v="254032786.35000002"/>
    <n v="7938524.5734375007"/>
    <n v="2646174.8578125001"/>
    <m/>
    <m/>
    <m/>
    <m/>
    <m/>
    <m/>
    <m/>
    <n v="7938524.5734375007"/>
    <n v="7938524.5734375007"/>
    <n v="15877049.146875001"/>
    <n v="7938524.5734375007"/>
    <n v="7938524.5734375007"/>
    <n v="7938524.5734375007"/>
    <n v="7938524.5734375007"/>
    <n v="31754098.293750003"/>
    <n v="7938524.5734375007"/>
    <n v="7938524.5734375007"/>
    <n v="7938524.5734375007"/>
    <n v="7938524.5734375007"/>
    <n v="31754098.293750003"/>
    <n v="7938524.5734375007"/>
    <n v="7938524.5734375007"/>
    <n v="7938524.5734375007"/>
    <n v="7938524.5734375007"/>
    <n v="31754098.293750003"/>
    <m/>
    <m/>
    <m/>
    <n v="254032786.35000002"/>
  </r>
  <r>
    <n v="488"/>
    <x v="0"/>
    <m/>
    <s v="구용근"/>
    <s v="구미"/>
    <s v="PKG"/>
    <s v="O"/>
    <s v="8&quot;&amp;12&quot;"/>
    <s v="DDI"/>
    <x v="4"/>
    <s v="COF"/>
    <x v="17"/>
    <n v="1006352"/>
    <s v="MC"/>
    <s v="PCC-01 : Wafer Cassette 자동 세정기"/>
    <s v="DWD-CCL1000"/>
    <x v="87"/>
    <m/>
    <m/>
    <x v="0"/>
    <s v="가동"/>
    <s v="한국"/>
    <s v="다원엔지니어링"/>
    <x v="2"/>
    <s v="3차"/>
    <s v="3차"/>
    <s v="일반장비(비통제)"/>
    <s v="세정기"/>
    <m/>
    <m/>
    <m/>
    <s v="EAR99"/>
    <s v="8421.22-0000"/>
    <m/>
    <m/>
    <d v="2020-06-09T00:00:00"/>
    <d v="2020-06-09T00:00:00"/>
    <n v="5.397260273972603"/>
    <n v="8"/>
    <s v="G1-1층"/>
    <s v="자사"/>
    <s v="미설정"/>
    <n v="1.8"/>
    <n v="1800"/>
    <n v="1360"/>
    <n v="2030"/>
    <n v="65000000"/>
    <m/>
    <m/>
    <m/>
    <n v="41979164"/>
    <n v="677083"/>
    <n v="20989587"/>
    <n v="1855868"/>
    <m/>
    <m/>
    <n v="34.000020676933254"/>
    <s v="미완료"/>
    <s v="D-SAW"/>
    <s v="COF(Assy_FT)"/>
    <s v="COF(Assy_FT)"/>
    <s v="기계장치"/>
    <n v="22039066.350000001"/>
    <n v="688720.82343750005"/>
    <n v="229573.60781250001"/>
    <m/>
    <m/>
    <m/>
    <m/>
    <m/>
    <m/>
    <m/>
    <n v="688720.82343750005"/>
    <n v="688720.82343750005"/>
    <n v="1377441.6468750001"/>
    <n v="688720.82343750005"/>
    <n v="688720.82343750005"/>
    <n v="688720.82343750005"/>
    <n v="688720.82343750005"/>
    <n v="2754883.2937500002"/>
    <n v="688720.82343750005"/>
    <n v="688720.82343750005"/>
    <n v="688720.82343750005"/>
    <n v="688720.82343750005"/>
    <n v="2754883.2937500002"/>
    <n v="688720.82343750005"/>
    <n v="688720.82343750005"/>
    <n v="688720.82343750005"/>
    <n v="688720.82343750005"/>
    <n v="2754883.2937500002"/>
    <m/>
    <m/>
    <m/>
    <n v="22039066.350000001"/>
  </r>
  <r>
    <n v="489"/>
    <x v="0"/>
    <m/>
    <s v="구용근"/>
    <s v="구미"/>
    <s v="PKG"/>
    <s v="O"/>
    <s v="8&quot;&amp;12&quot;"/>
    <s v="DDI"/>
    <x v="4"/>
    <s v="COF"/>
    <x v="35"/>
    <n v="1006388"/>
    <s v="MC"/>
    <s v="PRK-04 : R to R Laser Marking"/>
    <s v="Reelstar-800LM"/>
    <x v="84"/>
    <m/>
    <s v="R2020020LK"/>
    <x v="0"/>
    <s v="가동"/>
    <s v="대만"/>
    <s v="E&amp;R"/>
    <x v="2"/>
    <s v="2차"/>
    <s v="2차"/>
    <s v="일반장비(비통제)"/>
    <s v="릴 마킹"/>
    <s v="릴 마킹"/>
    <m/>
    <m/>
    <s v="EAR99"/>
    <s v="8486.40-0000"/>
    <m/>
    <m/>
    <d v="2020-09-11T00:00:00"/>
    <d v="2020-09-11T00:00:00"/>
    <n v="5.13972602739726"/>
    <n v="8"/>
    <s v="G1-1층"/>
    <s v="자사"/>
    <s v="설정"/>
    <n v="4.22"/>
    <n v="2812"/>
    <n v="1208"/>
    <n v="2208"/>
    <n v="350453371"/>
    <m/>
    <m/>
    <m/>
    <n v="215382799"/>
    <n v="3650556"/>
    <n v="124118904"/>
    <n v="11160634"/>
    <m/>
    <m/>
    <n v="37"/>
    <s v="미완료"/>
    <s v="D-LMARK"/>
    <s v="COF(Assy_FT)"/>
    <s v="COF(Assy_FT)"/>
    <s v="기계장치"/>
    <n v="130324849.2"/>
    <n v="4072651.5375000001"/>
    <n v="1357550.5125"/>
    <m/>
    <m/>
    <m/>
    <m/>
    <m/>
    <m/>
    <m/>
    <n v="4072651.5374999996"/>
    <n v="4072651.5374999996"/>
    <n v="8145303.0749999993"/>
    <n v="4072651.5374999996"/>
    <n v="4072651.5374999996"/>
    <n v="4072651.5374999996"/>
    <n v="4072651.5374999996"/>
    <n v="16290606.149999999"/>
    <n v="4072651.5374999996"/>
    <n v="4072651.5374999996"/>
    <n v="4072651.5374999996"/>
    <n v="4072651.5374999996"/>
    <n v="16290606.149999999"/>
    <n v="4072651.5374999996"/>
    <n v="4072651.5374999996"/>
    <n v="4072651.5374999996"/>
    <n v="4072651.5374999996"/>
    <n v="16290606.149999999"/>
    <m/>
    <m/>
    <m/>
    <n v="130324849.2"/>
  </r>
  <r>
    <n v="490"/>
    <x v="0"/>
    <m/>
    <s v="구용근"/>
    <s v="구미"/>
    <s v="PKG"/>
    <s v="O"/>
    <s v="8&quot;&amp;12&quot;"/>
    <s v="DDI"/>
    <x v="4"/>
    <s v="COF"/>
    <x v="5"/>
    <n v="1006465"/>
    <s v="MC"/>
    <s v="Cure Tape 세정기"/>
    <m/>
    <x v="52"/>
    <m/>
    <m/>
    <x v="0"/>
    <s v="가동"/>
    <s v="한국"/>
    <s v="다원엔지니어링"/>
    <x v="2"/>
    <s v="3차"/>
    <s v="3차"/>
    <s v="일반장비(비통제)"/>
    <s v="제조 가공 장비"/>
    <m/>
    <m/>
    <m/>
    <m/>
    <m/>
    <m/>
    <m/>
    <d v="2020-11-16T00:00:00"/>
    <d v="2020-11-16T00:00:00"/>
    <n v="4.9589041095890414"/>
    <n v="8"/>
    <s v="G1-1층"/>
    <s v="자사"/>
    <s v="미설정"/>
    <n v="0"/>
    <m/>
    <m/>
    <m/>
    <n v="55000000"/>
    <m/>
    <m/>
    <m/>
    <n v="32656252"/>
    <n v="572917"/>
    <n v="20624997"/>
    <n v="1872342"/>
    <m/>
    <m/>
    <n v="38.999973818197049"/>
    <s v="미완료"/>
    <s v="D-POT"/>
    <s v="COF(Assy_FT)"/>
    <s v="COF(Assy_FT)"/>
    <s v="기계장치"/>
    <n v="21656246.850000001"/>
    <n v="676757.71406250005"/>
    <n v="225585.90468750001"/>
    <m/>
    <m/>
    <m/>
    <m/>
    <m/>
    <m/>
    <m/>
    <n v="676757.71406250005"/>
    <n v="676757.71406250005"/>
    <n v="1353515.4281250001"/>
    <n v="676757.71406250005"/>
    <n v="676757.71406250005"/>
    <n v="676757.71406250005"/>
    <n v="676757.71406250005"/>
    <n v="2707030.8562500002"/>
    <n v="676757.71406250005"/>
    <n v="676757.71406250005"/>
    <n v="676757.71406250005"/>
    <n v="676757.71406250005"/>
    <n v="2707030.8562500002"/>
    <n v="676757.71406250005"/>
    <n v="676757.71406250005"/>
    <n v="676757.71406250005"/>
    <n v="676757.71406250005"/>
    <n v="2707030.8562500002"/>
    <m/>
    <m/>
    <m/>
    <n v="21656246.850000001"/>
  </r>
  <r>
    <n v="491"/>
    <x v="0"/>
    <m/>
    <s v="구용근"/>
    <s v="구미"/>
    <s v="PKG"/>
    <s v="O"/>
    <s v="8&quot;&amp;12&quot;"/>
    <s v="DDI"/>
    <x v="4"/>
    <s v="COF"/>
    <x v="36"/>
    <n v="1006493"/>
    <s v="MC"/>
    <s v="PTA-06 : Tape Attach Single head(쿠온솔루션)"/>
    <s v="CUMAA-080S"/>
    <x v="88"/>
    <m/>
    <s v="CU20385"/>
    <x v="0"/>
    <s v="가동"/>
    <s v="한국"/>
    <s v="쿠온솔루션"/>
    <x v="0"/>
    <s v="2차"/>
    <s v="1차"/>
    <s v="일반장비(비통제)"/>
    <s v="방열 tape 부착"/>
    <m/>
    <m/>
    <m/>
    <s v="EAR99"/>
    <s v="8486.40-0000"/>
    <m/>
    <m/>
    <d v="2020-11-20T00:00:00"/>
    <d v="2020-11-20T00:00:00"/>
    <n v="4.9479452054794519"/>
    <n v="8"/>
    <s v="G1-1층"/>
    <s v="자사"/>
    <s v="설정"/>
    <n v="3.96"/>
    <n v="3225"/>
    <n v="1240"/>
    <n v="2365"/>
    <n v="328505000"/>
    <m/>
    <m/>
    <m/>
    <n v="191429068"/>
    <n v="3421927"/>
    <n v="126810151"/>
    <n v="11531184"/>
    <m/>
    <m/>
    <n v="40.0581111169233"/>
    <s v="미완료"/>
    <s v="D-ATTACH"/>
    <s v="COF(Assy_FT)"/>
    <s v="COF(Assy_FT)"/>
    <s v="기계장치"/>
    <n v="133150658.55000001"/>
    <n v="12693081.561863344"/>
    <n v="4231027.1872877814"/>
    <m/>
    <m/>
    <m/>
    <n v="0"/>
    <n v="0"/>
    <m/>
    <m/>
    <n v="16837255.82463447"/>
    <n v="16837255.82463447"/>
    <n v="33674511.64926894"/>
    <n v="16837255.82463447"/>
    <n v="16837255.82463447"/>
    <n v="16837255.82463447"/>
    <n v="16837255.82463447"/>
    <n v="67349023.29853788"/>
    <n v="16837255.82463447"/>
    <n v="16837255.82463447"/>
    <n v="16837255.82463447"/>
    <n v="16837255.82463447"/>
    <n v="67349023.29853788"/>
    <n v="16837255.82463447"/>
    <n v="16837255.82463447"/>
    <n v="16837255.82463447"/>
    <n v="16837255.82463447"/>
    <n v="67349023.29853788"/>
    <m/>
    <n v="1.3001331020458428E-2"/>
    <n v="273027951.429627"/>
    <n v="406178609.97962701"/>
  </r>
  <r>
    <n v="492"/>
    <x v="0"/>
    <m/>
    <s v="구용근"/>
    <s v="구미"/>
    <s v="PKG"/>
    <s v="O"/>
    <s v="8&quot;&amp;12&quot;"/>
    <s v="DDI"/>
    <x v="4"/>
    <s v="COF"/>
    <x v="36"/>
    <n v="1006584"/>
    <s v="MC"/>
    <s v="PTA-07 : Tape Attach Dual head(쿠온솔루션)"/>
    <s v="CUMAA-080R"/>
    <x v="89"/>
    <m/>
    <s v="CU20723-1"/>
    <x v="0"/>
    <s v="가동"/>
    <s v="한국"/>
    <s v="쿠온솔루션"/>
    <x v="0"/>
    <s v="2차"/>
    <s v="1차"/>
    <s v="일반장비(비통제)"/>
    <s v="방열 tape 부착"/>
    <m/>
    <m/>
    <m/>
    <s v="EAR99"/>
    <s v="8486.40-0000"/>
    <m/>
    <m/>
    <d v="2021-03-31T00:00:00"/>
    <d v="2021-03-31T00:00:00"/>
    <n v="4.5890410958904111"/>
    <n v="8"/>
    <s v="G1-1층"/>
    <s v="자사"/>
    <s v="설정"/>
    <n v="6.6"/>
    <n v="4784"/>
    <n v="1986"/>
    <n v="1324"/>
    <n v="420000000"/>
    <m/>
    <m/>
    <m/>
    <n v="231875000"/>
    <n v="4375000"/>
    <n v="175000000"/>
    <n v="16142768"/>
    <m/>
    <m/>
    <n v="43"/>
    <s v="미완료"/>
    <s v="D-ATTACH"/>
    <s v="COF(Assy_FT)"/>
    <s v="COF(Assy_FT)"/>
    <s v="기계장치"/>
    <n v="183750000"/>
    <n v="17516651.906881534"/>
    <n v="5838883.9689605115"/>
    <m/>
    <m/>
    <m/>
    <m/>
    <n v="0"/>
    <m/>
    <m/>
    <n v="23235677.475938275"/>
    <n v="23235677.475938275"/>
    <n v="46471354.951876551"/>
    <n v="23235677.475938275"/>
    <n v="23235677.475938275"/>
    <n v="23235677.475938275"/>
    <n v="23235677.475938275"/>
    <n v="92942709.903753102"/>
    <n v="23235677.475938275"/>
    <n v="23235677.475938275"/>
    <n v="23235677.475938275"/>
    <n v="23235677.475938275"/>
    <n v="92942709.903753102"/>
    <n v="23235677.475938275"/>
    <n v="23235677.475938275"/>
    <n v="23235677.475938275"/>
    <n v="23235677.475938275"/>
    <n v="92942709.903753102"/>
    <m/>
    <n v="1.7942041000962333E-2"/>
    <n v="376782861.02020901"/>
    <n v="560532861.02020907"/>
  </r>
  <r>
    <n v="493"/>
    <x v="0"/>
    <m/>
    <s v="구용근"/>
    <s v="구미"/>
    <s v="PKG"/>
    <s v="O"/>
    <s v="8&quot;&amp;12&quot;"/>
    <s v="DDI"/>
    <x v="4"/>
    <s v="COF"/>
    <x v="36"/>
    <n v="1006585"/>
    <s v="MC"/>
    <s v="PTA-08 : Tape Attach Dual head(쿠온솔루션)"/>
    <s v="CUMAA-080R"/>
    <x v="89"/>
    <m/>
    <s v="CU20723-2"/>
    <x v="0"/>
    <s v="가동"/>
    <s v="한국"/>
    <s v="쿠온솔루션"/>
    <x v="5"/>
    <s v="1차"/>
    <s v="1차"/>
    <s v="일반장비(비통제)"/>
    <s v="방열 tape 부착"/>
    <m/>
    <m/>
    <m/>
    <s v="EAR99"/>
    <s v="8486.40-0000"/>
    <m/>
    <m/>
    <d v="2021-03-31T00:00:00"/>
    <d v="2021-03-31T00:00:00"/>
    <n v="4.5890410958904111"/>
    <n v="8"/>
    <s v="G1-1층"/>
    <s v="자사"/>
    <s v="설정"/>
    <n v="6.6"/>
    <n v="4784"/>
    <n v="1986"/>
    <n v="1324"/>
    <n v="420000000"/>
    <m/>
    <m/>
    <m/>
    <n v="231875000"/>
    <n v="4375000"/>
    <n v="175000000"/>
    <n v="16142768"/>
    <m/>
    <m/>
    <n v="43"/>
    <s v="미완료"/>
    <s v="D-ATTACH"/>
    <s v="COF(Assy_FT)"/>
    <s v="COF(Assy_FT)"/>
    <s v="기계장치"/>
    <n v="183750000"/>
    <n v="5742187.5"/>
    <n v="1914062.5"/>
    <m/>
    <m/>
    <m/>
    <m/>
    <m/>
    <m/>
    <m/>
    <n v="5742187.5"/>
    <n v="5742187.5"/>
    <n v="11484375"/>
    <n v="5742187.5"/>
    <n v="5742187.5"/>
    <n v="5742187.5"/>
    <n v="5742187.5"/>
    <n v="22968750"/>
    <n v="5742187.5"/>
    <n v="5742187.5"/>
    <n v="5742187.5"/>
    <n v="5742187.5"/>
    <n v="22968750"/>
    <n v="5742187.5"/>
    <n v="5742187.5"/>
    <n v="5742187.5"/>
    <n v="5742187.5"/>
    <n v="22968750"/>
    <m/>
    <m/>
    <m/>
    <n v="183750000"/>
  </r>
  <r>
    <n v="494"/>
    <x v="0"/>
    <m/>
    <s v="구용근"/>
    <s v="구미"/>
    <s v="PKG"/>
    <s v="O"/>
    <s v="8&quot;&amp;12&quot;"/>
    <s v="DDI"/>
    <x v="4"/>
    <s v="COF"/>
    <x v="36"/>
    <n v="1006645"/>
    <s v="MC"/>
    <s v="PTA-09 : Tape Attach Dual head(쿠온솔루션)"/>
    <s v="CUMAA-080R"/>
    <x v="89"/>
    <m/>
    <s v="CU21020"/>
    <x v="0"/>
    <s v="가동"/>
    <s v="한국"/>
    <s v="쿠온솔루션"/>
    <x v="5"/>
    <s v="2차"/>
    <s v="2차"/>
    <s v="일반장비(비통제)"/>
    <s v="방열 tape 부착"/>
    <m/>
    <m/>
    <m/>
    <s v="EAR99"/>
    <s v="8486.40-0000"/>
    <m/>
    <m/>
    <d v="2021-04-29T00:00:00"/>
    <d v="2021-04-29T00:00:00"/>
    <n v="4.5095890410958903"/>
    <n v="8"/>
    <s v="G1-1층"/>
    <s v="자사"/>
    <s v="설정"/>
    <n v="6.6"/>
    <n v="4784"/>
    <n v="1986"/>
    <n v="1324"/>
    <n v="420000000"/>
    <m/>
    <m/>
    <m/>
    <n v="227500000"/>
    <n v="4375000"/>
    <n v="179375000"/>
    <n v="16603990"/>
    <m/>
    <m/>
    <n v="44"/>
    <s v="미완료"/>
    <s v="D-ATTACH"/>
    <s v="COF(Assy_FT)"/>
    <s v="COF(Assy_FT)"/>
    <s v="기계장치"/>
    <n v="188343750"/>
    <n v="5885742.1875"/>
    <n v="1961914.0625"/>
    <m/>
    <m/>
    <m/>
    <m/>
    <m/>
    <m/>
    <m/>
    <n v="5885742.1875"/>
    <n v="5885742.1875"/>
    <n v="11771484.375"/>
    <n v="5885742.1875"/>
    <n v="5885742.1875"/>
    <n v="5885742.1875"/>
    <n v="5885742.1875"/>
    <n v="23542968.75"/>
    <n v="5885742.1875"/>
    <n v="5885742.1875"/>
    <n v="5885742.1875"/>
    <n v="5885742.1875"/>
    <n v="23542968.75"/>
    <n v="5885742.1875"/>
    <n v="5885742.1875"/>
    <n v="5885742.1875"/>
    <n v="5885742.1875"/>
    <n v="23542968.75"/>
    <m/>
    <m/>
    <m/>
    <n v="188343750"/>
  </r>
  <r>
    <n v="495"/>
    <x v="0"/>
    <m/>
    <s v="구용근"/>
    <s v="구미"/>
    <s v="PKG"/>
    <s v="O"/>
    <s v="8&quot;&amp;12&quot;"/>
    <s v="DDI"/>
    <x v="4"/>
    <s v="COF"/>
    <x v="31"/>
    <n v="1006650"/>
    <s v="Part"/>
    <s v="POT Pre-cure Support Roller(20ea)"/>
    <m/>
    <x v="52"/>
    <m/>
    <m/>
    <x v="0"/>
    <s v="가동"/>
    <s v="한국"/>
    <m/>
    <x v="2"/>
    <s v="1차"/>
    <s v="1차"/>
    <s v="일반장비(비통제)"/>
    <s v="제조 가공 장비"/>
    <m/>
    <m/>
    <m/>
    <s v="EAR99"/>
    <s v="8486.40-0000"/>
    <m/>
    <m/>
    <d v="2021-04-30T00:00:00"/>
    <d v="2021-04-30T00:00:00"/>
    <n v="4.506849315068493"/>
    <n v="8"/>
    <s v="G1-1층"/>
    <s v="자사"/>
    <s v="미설정"/>
    <n v="0"/>
    <m/>
    <m/>
    <m/>
    <n v="34000000"/>
    <m/>
    <m/>
    <m/>
    <n v="18416669"/>
    <n v="354167"/>
    <n v="14520830"/>
    <n v="1344133"/>
    <m/>
    <m/>
    <n v="43.999952000045177"/>
    <s v="미완료"/>
    <s v="D-POT"/>
    <s v="COF(Assy_FT)"/>
    <s v="COF(Assy_FT)"/>
    <s v="기계장치"/>
    <n v="15246871.5"/>
    <n v="476464.734375"/>
    <n v="158821.578125"/>
    <m/>
    <m/>
    <m/>
    <m/>
    <m/>
    <m/>
    <m/>
    <n v="476464.734375"/>
    <n v="476464.734375"/>
    <n v="952929.46875"/>
    <n v="476464.734375"/>
    <n v="476464.734375"/>
    <n v="476464.734375"/>
    <n v="476464.734375"/>
    <n v="1905858.9375"/>
    <n v="476464.734375"/>
    <n v="476464.734375"/>
    <n v="476464.734375"/>
    <n v="476464.734375"/>
    <n v="1905858.9375"/>
    <n v="476464.734375"/>
    <n v="476464.734375"/>
    <n v="476464.734375"/>
    <n v="476464.734375"/>
    <n v="1905858.9375"/>
    <m/>
    <m/>
    <m/>
    <n v="15246871.5"/>
  </r>
  <r>
    <n v="496"/>
    <x v="0"/>
    <m/>
    <s v="구용근"/>
    <s v="구미"/>
    <s v="PKG"/>
    <s v="O"/>
    <s v="8&quot;&amp;12&quot;"/>
    <s v="DDI"/>
    <x v="4"/>
    <s v="COF"/>
    <x v="33"/>
    <n v="1006703"/>
    <s v="MC"/>
    <s v="PRW-06 : AUTO REWINDER(AAR-2101)"/>
    <s v="AAR2101"/>
    <x v="90"/>
    <m/>
    <s v="AR-001"/>
    <x v="0"/>
    <s v="가동"/>
    <s v="한국"/>
    <s v="A-TEK"/>
    <x v="2"/>
    <s v="3차"/>
    <s v="3차"/>
    <s v="일반장비(비통제)"/>
    <s v="릴(Reel) 자재를 풀어 검사·재정렬 후 다시 권취(Rewinding)"/>
    <m/>
    <m/>
    <m/>
    <s v="EAR99"/>
    <s v="8479.89-0000"/>
    <m/>
    <m/>
    <d v="2021-06-21T00:00:00"/>
    <d v="2021-06-21T00:00:00"/>
    <n v="4.3643835616438356"/>
    <n v="8"/>
    <s v="G1-1층"/>
    <s v="자사"/>
    <s v="미설정"/>
    <n v="2.11"/>
    <n v="1760"/>
    <n v="700"/>
    <n v="1695"/>
    <n v="34000000"/>
    <m/>
    <m/>
    <m/>
    <n v="17708335"/>
    <n v="354167"/>
    <n v="15229164"/>
    <n v="1418807"/>
    <m/>
    <m/>
    <n v="45.999952000045177"/>
    <s v="미완료"/>
    <s v="공통(DA)"/>
    <s v="COF(Assy_FT)"/>
    <s v="COF(Assy_FT)"/>
    <s v="기계장치"/>
    <n v="15990622.200000001"/>
    <n v="499706.94375000003"/>
    <n v="166568.98125000001"/>
    <m/>
    <m/>
    <m/>
    <m/>
    <m/>
    <m/>
    <m/>
    <n v="499706.94375000003"/>
    <n v="499706.94375000003"/>
    <n v="999413.88750000007"/>
    <n v="499706.94375000003"/>
    <n v="499706.94375000003"/>
    <n v="499706.94375000003"/>
    <n v="499706.94375000003"/>
    <n v="1998827.7750000001"/>
    <n v="499706.94375000003"/>
    <n v="499706.94375000003"/>
    <n v="499706.94375000003"/>
    <n v="499706.94375000003"/>
    <n v="1998827.7750000001"/>
    <n v="499706.94375000003"/>
    <n v="499706.94375000003"/>
    <n v="499706.94375000003"/>
    <n v="499706.94375000003"/>
    <n v="1998827.7750000001"/>
    <m/>
    <m/>
    <m/>
    <n v="15990622.200000001"/>
  </r>
  <r>
    <n v="497"/>
    <x v="0"/>
    <m/>
    <s v="구용근"/>
    <s v="구미"/>
    <s v="PKG"/>
    <s v="O"/>
    <s v="8&quot;&amp;12&quot;"/>
    <s v="DDI"/>
    <x v="4"/>
    <s v="COF"/>
    <x v="32"/>
    <n v="1006987"/>
    <s v="MC"/>
    <s v="PIL-107 : TFC-3600-300(SHIBAURA)"/>
    <s v="TFC-3600"/>
    <x v="67"/>
    <s v="3세대"/>
    <s v="E311"/>
    <x v="165"/>
    <s v="가동"/>
    <s v="일본"/>
    <s v="Shibaura"/>
    <x v="2"/>
    <s v="3차"/>
    <s v="3차"/>
    <s v="해당"/>
    <s v="칩 본딩 장비"/>
    <s v="칩 본딩 장비"/>
    <m/>
    <m/>
    <s v="3B991"/>
    <s v="8486.40-0000"/>
    <s v="반도체 제조 공정용"/>
    <m/>
    <d v="2022-07-05T00:00:00"/>
    <d v="2022-07-05T00:00:00"/>
    <n v="3.3260273972602739"/>
    <n v="8"/>
    <s v="G1-1층"/>
    <s v="자사"/>
    <s v="설정"/>
    <n v="3.6"/>
    <n v="2820"/>
    <n v="1154"/>
    <n v="2020"/>
    <n v="404705919"/>
    <m/>
    <m/>
    <m/>
    <n v="155584574"/>
    <n v="4215687"/>
    <n v="236474284"/>
    <n v="22705176"/>
    <m/>
    <m/>
    <n v="59.093890272214232"/>
    <s v="미완료"/>
    <s v="D-ILB"/>
    <s v="COF(Assy_FT)"/>
    <s v="COF(Assy_FT)"/>
    <s v="기계장치"/>
    <n v="248297998.20000002"/>
    <n v="7759312.4437500006"/>
    <n v="2586437.4812500002"/>
    <m/>
    <m/>
    <m/>
    <m/>
    <m/>
    <m/>
    <m/>
    <n v="7759312.4437500006"/>
    <n v="7759312.4437500006"/>
    <n v="15518624.887500001"/>
    <n v="7759312.4437500006"/>
    <n v="7759312.4437500006"/>
    <n v="7759312.4437500006"/>
    <n v="7759312.4437500006"/>
    <n v="31037249.775000002"/>
    <n v="7759312.4437500006"/>
    <n v="7759312.4437500006"/>
    <n v="7759312.4437500006"/>
    <n v="7759312.4437500006"/>
    <n v="31037249.775000002"/>
    <n v="7759312.4437500006"/>
    <n v="7759312.4437500006"/>
    <n v="7759312.4437500006"/>
    <n v="7759312.4437500006"/>
    <n v="31037249.775000002"/>
    <m/>
    <m/>
    <m/>
    <n v="248297998.20000002"/>
  </r>
  <r>
    <n v="498"/>
    <x v="0"/>
    <m/>
    <s v="구용근"/>
    <s v="구미"/>
    <s v="PKG"/>
    <s v="O"/>
    <s v="8&quot;&amp;12&quot;"/>
    <s v="DDI"/>
    <x v="4"/>
    <s v="COF"/>
    <x v="32"/>
    <n v="1006973"/>
    <s v="MC"/>
    <s v="PIL-106 : TFC-3600-300(SHIBAURA)"/>
    <s v="TFC-3600"/>
    <x v="67"/>
    <s v="3세대"/>
    <s v="E308"/>
    <x v="165"/>
    <s v="가동"/>
    <s v="일본"/>
    <s v="Shibaura"/>
    <x v="2"/>
    <s v="3차"/>
    <s v="3차"/>
    <s v="해당"/>
    <s v="칩 본딩 장비"/>
    <s v="칩 본딩 장비"/>
    <m/>
    <m/>
    <s v="3B991"/>
    <s v="8486.40-0000"/>
    <s v="반도체 제조 공정용"/>
    <m/>
    <d v="2022-06-30T00:00:00"/>
    <d v="2022-06-30T00:00:00"/>
    <n v="3.3397260273972602"/>
    <n v="8"/>
    <s v="G1-1층"/>
    <s v="자사"/>
    <s v="설정"/>
    <n v="3.6"/>
    <n v="2820"/>
    <n v="1154"/>
    <n v="2020"/>
    <n v="405648490"/>
    <m/>
    <m/>
    <m/>
    <n v="160569192"/>
    <n v="4225505"/>
    <n v="232402783"/>
    <n v="22273093"/>
    <m/>
    <m/>
    <n v="58.00000189326483"/>
    <s v="미완료"/>
    <s v="D-ILB"/>
    <s v="COF(Assy_FT)"/>
    <s v="COF(Assy_FT)"/>
    <s v="기계장치"/>
    <n v="244022922.15000001"/>
    <n v="7625716.3171875002"/>
    <n v="2541905.4390624999"/>
    <m/>
    <m/>
    <m/>
    <m/>
    <m/>
    <m/>
    <m/>
    <n v="7625716.3171874993"/>
    <n v="7625716.3171874993"/>
    <n v="15251432.634374999"/>
    <n v="7625716.3171874993"/>
    <n v="7625716.3171874993"/>
    <n v="7625716.3171874993"/>
    <n v="7625716.3171874993"/>
    <n v="30502865.268749997"/>
    <n v="7625716.3171874993"/>
    <n v="7625716.3171874993"/>
    <n v="7625716.3171874993"/>
    <n v="7625716.3171874993"/>
    <n v="30502865.268749997"/>
    <n v="7625716.3171874993"/>
    <n v="7625716.3171874993"/>
    <n v="7625716.3171874993"/>
    <n v="7625716.3171874993"/>
    <n v="30502865.268749997"/>
    <m/>
    <m/>
    <m/>
    <n v="244022922.15000001"/>
  </r>
  <r>
    <n v="499"/>
    <x v="0"/>
    <m/>
    <s v="구용근"/>
    <s v="구미"/>
    <s v="PKG"/>
    <s v="O"/>
    <s v="8&quot;&amp;12&quot;"/>
    <s v="DDI"/>
    <x v="4"/>
    <s v="COF"/>
    <x v="32"/>
    <n v="1006970"/>
    <s v="MC"/>
    <s v="PIL-105 : TFC-3600-300(SHIBAURA)"/>
    <s v="TFC-3600"/>
    <x v="67"/>
    <s v="3세대"/>
    <s v="E307"/>
    <x v="165"/>
    <s v="가동"/>
    <s v="일본"/>
    <s v="Shibaura"/>
    <x v="2"/>
    <s v="3차"/>
    <s v="3차"/>
    <s v="해당"/>
    <s v="칩 본딩 장비"/>
    <s v="칩 본딩 장비"/>
    <m/>
    <m/>
    <s v="3B991"/>
    <s v="8486.40-0000"/>
    <s v="반도체 제조 공정용"/>
    <m/>
    <d v="2022-06-03T00:00:00"/>
    <d v="2022-06-03T00:00:00"/>
    <n v="3.4136986301369863"/>
    <n v="8"/>
    <s v="G1-1층"/>
    <s v="자사"/>
    <s v="설정"/>
    <n v="3.6"/>
    <n v="2820"/>
    <n v="1154"/>
    <n v="2020"/>
    <n v="419940320"/>
    <m/>
    <m/>
    <m/>
    <n v="166226372"/>
    <n v="4374378"/>
    <n v="240590814"/>
    <n v="23057822"/>
    <m/>
    <m/>
    <n v="58.00000548649431"/>
    <s v="미완료"/>
    <s v="D-ILB"/>
    <s v="COF(Assy_FT)"/>
    <s v="COF(Assy_FT)"/>
    <s v="기계장치"/>
    <n v="252620354.70000002"/>
    <n v="7894386.0843750006"/>
    <n v="2631462.0281250002"/>
    <m/>
    <m/>
    <m/>
    <m/>
    <m/>
    <m/>
    <m/>
    <n v="7894386.0843750006"/>
    <n v="7894386.0843750006"/>
    <n v="15788772.168750001"/>
    <n v="7894386.0843750006"/>
    <n v="7894386.0843750006"/>
    <n v="7894386.0843750006"/>
    <n v="7894386.0843750006"/>
    <n v="31577544.337500002"/>
    <n v="7894386.0843750006"/>
    <n v="7894386.0843750006"/>
    <n v="7894386.0843750006"/>
    <n v="7894386.0843750006"/>
    <n v="31577544.337500002"/>
    <n v="7894386.0843750006"/>
    <n v="7894386.0843750006"/>
    <n v="7894386.0843750006"/>
    <n v="7894386.0843750006"/>
    <n v="31577544.337500002"/>
    <m/>
    <m/>
    <m/>
    <n v="252620354.70000002"/>
  </r>
  <r>
    <n v="500"/>
    <x v="0"/>
    <m/>
    <s v="구용근"/>
    <s v="구미"/>
    <s v="PKG"/>
    <s v="O"/>
    <s v="8&quot;&amp;12&quot;"/>
    <s v="DDI"/>
    <x v="4"/>
    <s v="COF"/>
    <x v="32"/>
    <n v="1006964"/>
    <s v="MC"/>
    <s v="PIL-104 : TFC-3600-300(SHIBAURA)"/>
    <s v="TFC-3600"/>
    <x v="67"/>
    <s v="3세대"/>
    <s v="E306"/>
    <x v="165"/>
    <s v="가동"/>
    <s v="일본"/>
    <s v="Shibaura"/>
    <x v="2"/>
    <s v="3차"/>
    <s v="3차"/>
    <s v="해당"/>
    <s v="칩 본딩 장비"/>
    <s v="칩 본딩 장비"/>
    <m/>
    <m/>
    <s v="3B991"/>
    <s v="8486.40-0000"/>
    <s v="반도체 제조 공정용"/>
    <m/>
    <d v="2022-06-03T00:00:00"/>
    <d v="2022-06-03T00:00:00"/>
    <n v="3.4136986301369863"/>
    <n v="8"/>
    <s v="G1-1층"/>
    <s v="자사"/>
    <s v="설정"/>
    <n v="3.6"/>
    <n v="2820"/>
    <n v="1154"/>
    <n v="2020"/>
    <n v="419940320"/>
    <m/>
    <m/>
    <m/>
    <n v="166226372"/>
    <n v="4374378"/>
    <n v="240590814"/>
    <n v="23057822"/>
    <m/>
    <m/>
    <n v="58.00000548649431"/>
    <s v="미완료"/>
    <s v="D-ILB"/>
    <s v="COF(Assy_FT)"/>
    <s v="COF(Assy_FT)"/>
    <s v="기계장치"/>
    <n v="252620354.70000002"/>
    <n v="7894386.0843750006"/>
    <n v="2631462.0281250002"/>
    <m/>
    <m/>
    <m/>
    <m/>
    <m/>
    <m/>
    <m/>
    <n v="7894386.0843750006"/>
    <n v="7894386.0843750006"/>
    <n v="15788772.168750001"/>
    <n v="7894386.0843750006"/>
    <n v="7894386.0843750006"/>
    <n v="7894386.0843750006"/>
    <n v="7894386.0843750006"/>
    <n v="31577544.337500002"/>
    <n v="7894386.0843750006"/>
    <n v="7894386.0843750006"/>
    <n v="7894386.0843750006"/>
    <n v="7894386.0843750006"/>
    <n v="31577544.337500002"/>
    <n v="7894386.0843750006"/>
    <n v="7894386.0843750006"/>
    <n v="7894386.0843750006"/>
    <n v="7894386.0843750006"/>
    <n v="31577544.337500002"/>
    <m/>
    <m/>
    <m/>
    <n v="252620354.70000002"/>
  </r>
  <r>
    <n v="501"/>
    <x v="0"/>
    <m/>
    <s v="구용근"/>
    <s v="구미"/>
    <s v="PKG"/>
    <s v="O"/>
    <s v="8&quot;&amp;12&quot;"/>
    <s v="DDI"/>
    <x v="4"/>
    <s v="COF"/>
    <x v="35"/>
    <n v="1006751"/>
    <s v="MC"/>
    <s v="PRK-05 : R to R Laser Marking"/>
    <s v="TFC-3600"/>
    <x v="67"/>
    <m/>
    <s v="R2020021LK"/>
    <x v="0"/>
    <s v="가동"/>
    <s v="대만"/>
    <s v="E&amp;R"/>
    <x v="2"/>
    <s v="3차"/>
    <s v="3차"/>
    <s v="일반장비(비통제)"/>
    <s v="릴 마킹"/>
    <s v="릴 마킹"/>
    <m/>
    <m/>
    <s v="EAR99"/>
    <s v="8486.40-0000"/>
    <s v="반도체 제조 공정용"/>
    <m/>
    <d v="2021-09-02T00:00:00"/>
    <d v="2021-09-02T00:00:00"/>
    <n v="4.1643835616438354"/>
    <n v="8"/>
    <s v="G1-1층"/>
    <s v="자사"/>
    <s v="설정"/>
    <n v="4.22"/>
    <n v="2812"/>
    <n v="1208"/>
    <n v="2208"/>
    <n v="335972462"/>
    <m/>
    <m/>
    <m/>
    <n v="164486514"/>
    <n v="3499713"/>
    <n v="160986809"/>
    <n v="15126841"/>
    <m/>
    <m/>
    <n v="49.000003143114881"/>
    <s v="미완료"/>
    <s v="D-LMARK"/>
    <s v="COF(Assy_FT)"/>
    <s v="COF(Assy_FT)"/>
    <s v="기계장치"/>
    <n v="169036149.45000002"/>
    <n v="5282379.6703125006"/>
    <n v="1760793.2234375002"/>
    <m/>
    <m/>
    <m/>
    <m/>
    <m/>
    <m/>
    <m/>
    <n v="5282379.6703125006"/>
    <n v="5282379.6703125006"/>
    <n v="10564759.340625001"/>
    <n v="5282379.6703125006"/>
    <n v="5282379.6703125006"/>
    <n v="5282379.6703125006"/>
    <n v="5282379.6703125006"/>
    <n v="21129518.681250002"/>
    <n v="5282379.6703125006"/>
    <n v="5282379.6703125006"/>
    <n v="5282379.6703125006"/>
    <n v="5282379.6703125006"/>
    <n v="21129518.681250002"/>
    <n v="5282379.6703125006"/>
    <n v="5282379.6703125006"/>
    <n v="5282379.6703125006"/>
    <n v="5282379.6703125006"/>
    <n v="21129518.681250002"/>
    <m/>
    <m/>
    <m/>
    <n v="169036149.45000002"/>
  </r>
  <r>
    <n v="502"/>
    <x v="0"/>
    <m/>
    <s v="구용근"/>
    <s v="구미"/>
    <s v="PKG"/>
    <s v="O"/>
    <s v="8&quot;&amp;12&quot;"/>
    <s v="DDI"/>
    <x v="4"/>
    <s v="COF"/>
    <x v="31"/>
    <n v="1006752"/>
    <s v="MC"/>
    <s v="교반기-02 : POT2 Resin(SY-8V)"/>
    <m/>
    <x v="52"/>
    <m/>
    <m/>
    <x v="0"/>
    <s v="가동"/>
    <s v="한국"/>
    <m/>
    <x v="2"/>
    <s v="1차"/>
    <s v="1차"/>
    <s v="일반장비(비통제)"/>
    <s v="제조 가공 장비"/>
    <m/>
    <m/>
    <m/>
    <s v="EAR99"/>
    <s v="8486.40-0000"/>
    <m/>
    <m/>
    <d v="2021-09-17T00:00:00"/>
    <d v="2021-09-17T00:00:00"/>
    <n v="4.1232876712328768"/>
    <n v="8"/>
    <s v="G1-1층"/>
    <s v="자사"/>
    <s v="미설정"/>
    <n v="2.11"/>
    <m/>
    <m/>
    <m/>
    <n v="54897357"/>
    <m/>
    <m/>
    <m/>
    <n v="26876825"/>
    <n v="571847"/>
    <n v="26304991"/>
    <n v="2471703"/>
    <m/>
    <m/>
    <n v="49.000050712865502"/>
    <s v="미완료"/>
    <s v="D-POT"/>
    <s v="COF(Assy_FT)"/>
    <s v="COF(Assy_FT)"/>
    <s v="기계장치"/>
    <n v="27620240.550000001"/>
    <n v="863132.51718750002"/>
    <n v="287710.83906249999"/>
    <m/>
    <m/>
    <m/>
    <m/>
    <m/>
    <m/>
    <m/>
    <n v="863132.51718749991"/>
    <n v="863132.51718749991"/>
    <n v="1726265.0343749998"/>
    <n v="863132.51718749991"/>
    <n v="863132.51718749991"/>
    <n v="863132.51718749991"/>
    <n v="863132.51718749991"/>
    <n v="3452530.0687499996"/>
    <n v="863132.51718749991"/>
    <n v="863132.51718749991"/>
    <n v="863132.51718749991"/>
    <n v="863132.51718749991"/>
    <n v="3452530.0687499996"/>
    <n v="863132.51718749991"/>
    <n v="863132.51718749991"/>
    <n v="863132.51718749991"/>
    <n v="863132.51718749991"/>
    <n v="3452530.0687499996"/>
    <m/>
    <m/>
    <m/>
    <n v="27620240.550000001"/>
  </r>
  <r>
    <n v="503"/>
    <x v="0"/>
    <m/>
    <s v="구용근"/>
    <s v="구미"/>
    <s v="PKG"/>
    <s v="O"/>
    <s v="8&quot;&amp;12&quot;"/>
    <s v="DDI"/>
    <x v="4"/>
    <s v="COF"/>
    <x v="31"/>
    <n v="1006753"/>
    <s v="MC"/>
    <s v="PPT-74 : Potting System 4Head(쎄크)"/>
    <s v="TCP-435A"/>
    <x v="82"/>
    <m/>
    <s v="POTTING-049CB01"/>
    <x v="0"/>
    <s v="가동"/>
    <s v="한국"/>
    <s v="SEC"/>
    <x v="0"/>
    <s v="3차"/>
    <s v="3차"/>
    <s v="일반장비(비통제)"/>
    <s v="에폭시 도포기"/>
    <m/>
    <m/>
    <m/>
    <s v="EAR99"/>
    <s v="8486.40-0000"/>
    <m/>
    <m/>
    <d v="2021-09-13T00:00:00"/>
    <d v="2021-09-13T00:00:00"/>
    <n v="4.1342465753424653"/>
    <n v="8"/>
    <s v="G1-1층"/>
    <s v="자사"/>
    <s v="설정"/>
    <n v="6.6"/>
    <n v="7100"/>
    <n v="820"/>
    <n v="1860"/>
    <n v="260000000"/>
    <m/>
    <m/>
    <m/>
    <n v="127291664"/>
    <n v="2708333"/>
    <n v="124583337"/>
    <n v="11706253"/>
    <m/>
    <m/>
    <n v="49.000007015385478"/>
    <s v="미완료"/>
    <s v="D-POT"/>
    <s v="COF(Assy_FT)"/>
    <s v="COF(Assy_FT)"/>
    <s v="기계장치"/>
    <n v="130812503.85000001"/>
    <n v="12470188.272152655"/>
    <n v="4156729.4240508848"/>
    <m/>
    <m/>
    <m/>
    <m/>
    <m/>
    <m/>
    <m/>
    <n v="12470188.272152655"/>
    <n v="12470188.272152655"/>
    <n v="24940376.54430531"/>
    <n v="12470188.272152655"/>
    <n v="12470188.272152655"/>
    <n v="12470188.272152655"/>
    <n v="12470188.272152655"/>
    <n v="49880753.088610619"/>
    <n v="12470188.272152655"/>
    <n v="12470188.272152655"/>
    <n v="12470188.272152655"/>
    <n v="12470188.272152655"/>
    <n v="49880753.088610619"/>
    <n v="12470188.272152655"/>
    <n v="12470188.272152655"/>
    <n v="12470188.272152655"/>
    <n v="12470188.272152655"/>
    <n v="49880753.088610619"/>
    <m/>
    <n v="1.2773024802804046E-2"/>
    <n v="268233520.85888496"/>
    <n v="399046024.70888495"/>
  </r>
  <r>
    <n v="504"/>
    <x v="0"/>
    <m/>
    <s v="구용근"/>
    <s v="구미"/>
    <s v="PKG"/>
    <s v="O"/>
    <s v="8&quot;&amp;12&quot;"/>
    <s v="DDI"/>
    <x v="4"/>
    <s v="COF"/>
    <x v="31"/>
    <n v="1006759"/>
    <s v="MC"/>
    <s v="PPT-73 : Potting System 4Head(쎄크)"/>
    <s v="TCP-435A"/>
    <x v="82"/>
    <m/>
    <s v="POTTING-050CB02"/>
    <x v="0"/>
    <s v="가동"/>
    <s v="한국"/>
    <s v="SEC"/>
    <x v="0"/>
    <s v="3차"/>
    <s v="3차"/>
    <s v="일반장비(비통제)"/>
    <s v="에폭시 도포기"/>
    <m/>
    <m/>
    <m/>
    <s v="EAR99"/>
    <s v="8486.40-0000"/>
    <m/>
    <m/>
    <d v="2021-09-13T00:00:00"/>
    <d v="2021-09-13T00:00:00"/>
    <n v="4.1342465753424653"/>
    <n v="8"/>
    <s v="G1-1층"/>
    <s v="자사"/>
    <s v="설정"/>
    <n v="6.6"/>
    <n v="7100"/>
    <n v="820"/>
    <n v="1860"/>
    <n v="260000000"/>
    <m/>
    <m/>
    <m/>
    <n v="127291664"/>
    <n v="2708333"/>
    <n v="124583337"/>
    <n v="11706253"/>
    <m/>
    <m/>
    <n v="49.000007015385478"/>
    <s v="미완료"/>
    <s v="D-POT"/>
    <s v="COF(Assy_FT)"/>
    <s v="COF(Assy_FT)"/>
    <s v="기계장치"/>
    <n v="130812503.85000001"/>
    <n v="12470188.272152655"/>
    <n v="4156729.4240508848"/>
    <m/>
    <m/>
    <m/>
    <m/>
    <m/>
    <m/>
    <m/>
    <n v="12470188.272152655"/>
    <n v="12470188.272152655"/>
    <n v="24940376.54430531"/>
    <n v="12470188.272152655"/>
    <n v="12470188.272152655"/>
    <n v="12470188.272152655"/>
    <n v="12470188.272152655"/>
    <n v="49880753.088610619"/>
    <n v="12470188.272152655"/>
    <n v="12470188.272152655"/>
    <n v="12470188.272152655"/>
    <n v="12470188.272152655"/>
    <n v="49880753.088610619"/>
    <n v="12470188.272152655"/>
    <n v="12470188.272152655"/>
    <n v="12470188.272152655"/>
    <n v="12470188.272152655"/>
    <n v="49880753.088610619"/>
    <m/>
    <n v="1.2773024802804046E-2"/>
    <n v="268233520.85888496"/>
    <n v="399046024.70888495"/>
  </r>
  <r>
    <n v="505"/>
    <x v="0"/>
    <m/>
    <s v="구용근"/>
    <s v="구미"/>
    <s v="PKG"/>
    <s v="O"/>
    <s v="8&quot;&amp;12&quot;"/>
    <s v="DDI"/>
    <x v="4"/>
    <s v="COF"/>
    <x v="31"/>
    <n v="1006760"/>
    <s v="MC"/>
    <s v="PPT-75 : Potting System 4Head(쎄크)"/>
    <s v="TCP-435A"/>
    <x v="82"/>
    <m/>
    <s v="POTTING-051CB03"/>
    <x v="0"/>
    <s v="가동"/>
    <s v="한국"/>
    <s v="SEC"/>
    <x v="0"/>
    <s v="3차"/>
    <s v="3차"/>
    <s v="일반장비(비통제)"/>
    <s v="에폭시 도포기"/>
    <m/>
    <m/>
    <m/>
    <s v="EAR99"/>
    <s v="8486.40-0000"/>
    <m/>
    <m/>
    <d v="2021-09-13T00:00:00"/>
    <d v="2021-09-13T00:00:00"/>
    <n v="4.1342465753424653"/>
    <n v="8"/>
    <s v="G1-1층"/>
    <s v="자사"/>
    <s v="설정"/>
    <n v="6.6"/>
    <n v="7100"/>
    <n v="820"/>
    <n v="1860"/>
    <n v="260000000"/>
    <m/>
    <m/>
    <m/>
    <n v="127291664"/>
    <n v="2708333"/>
    <n v="124583337"/>
    <n v="11706253"/>
    <m/>
    <m/>
    <n v="49.000007015385478"/>
    <s v="미완료"/>
    <s v="D-POT"/>
    <s v="COF(Assy_FT)"/>
    <s v="COF(Assy_FT)"/>
    <s v="기계장치"/>
    <n v="130812503.85000001"/>
    <n v="12470188.272152655"/>
    <n v="4156729.4240508848"/>
    <m/>
    <m/>
    <m/>
    <m/>
    <m/>
    <m/>
    <m/>
    <n v="12470188.272152655"/>
    <n v="12470188.272152655"/>
    <n v="24940376.54430531"/>
    <n v="12470188.272152655"/>
    <n v="12470188.272152655"/>
    <n v="12470188.272152655"/>
    <n v="12470188.272152655"/>
    <n v="49880753.088610619"/>
    <n v="12470188.272152655"/>
    <n v="12470188.272152655"/>
    <n v="12470188.272152655"/>
    <n v="12470188.272152655"/>
    <n v="49880753.088610619"/>
    <n v="12470188.272152655"/>
    <n v="12470188.272152655"/>
    <n v="12470188.272152655"/>
    <n v="12470188.272152655"/>
    <n v="49880753.088610619"/>
    <m/>
    <n v="1.2773024802804046E-2"/>
    <n v="268233520.85888496"/>
    <n v="399046024.70888495"/>
  </r>
  <r>
    <n v="506"/>
    <x v="0"/>
    <m/>
    <s v="구용근"/>
    <s v="구미"/>
    <s v="PKG"/>
    <s v="O"/>
    <s v="8&quot;&amp;12&quot;"/>
    <s v="DDI"/>
    <x v="4"/>
    <s v="COF"/>
    <x v="32"/>
    <n v="1006768"/>
    <s v="MC"/>
    <s v="PIL-103 : TFC-3600-300(SHIBAURA)"/>
    <s v="TFC-3600"/>
    <x v="67"/>
    <s v="3세대"/>
    <s v="E301"/>
    <x v="165"/>
    <s v="가동"/>
    <s v="일본"/>
    <s v="Shibaura"/>
    <x v="0"/>
    <s v="3차"/>
    <s v="3차"/>
    <s v="해당"/>
    <s v="칩 본딩 장비"/>
    <s v="칩 본딩 장비"/>
    <m/>
    <m/>
    <s v="3B991"/>
    <s v="8486.40-0000"/>
    <s v="반도체 제조 공정용"/>
    <m/>
    <d v="2021-09-15T00:00:00"/>
    <d v="2021-09-15T00:00:00"/>
    <n v="4.1287671232876715"/>
    <n v="8"/>
    <s v="G1-1층"/>
    <s v="자사"/>
    <s v="설정"/>
    <n v="3.6"/>
    <n v="2820"/>
    <n v="1154"/>
    <n v="2020"/>
    <n v="433463226"/>
    <m/>
    <m/>
    <m/>
    <n v="209101791"/>
    <n v="4515242"/>
    <n v="210815709"/>
    <n v="19822227"/>
    <m/>
    <m/>
    <n v="49.689791820682039"/>
    <s v="미완료"/>
    <s v="D-ILB"/>
    <s v="COF(Assy_FT)"/>
    <s v="COF(Assy_FT)"/>
    <s v="기계장치"/>
    <n v="221356494.45000002"/>
    <n v="21101630.806031041"/>
    <n v="7033876.93534368"/>
    <m/>
    <m/>
    <m/>
    <m/>
    <m/>
    <m/>
    <m/>
    <n v="21101630.806031041"/>
    <n v="21101630.806031041"/>
    <n v="42203261.612062082"/>
    <n v="21101630.806031041"/>
    <n v="21101630.806031041"/>
    <n v="21101630.806031041"/>
    <n v="21101630.806031041"/>
    <n v="84406523.224124163"/>
    <n v="21101630.806031041"/>
    <n v="21101630.806031041"/>
    <n v="21101630.806031041"/>
    <n v="21101630.806031041"/>
    <n v="84406523.224124163"/>
    <n v="21101630.806031041"/>
    <n v="21101630.806031041"/>
    <n v="21101630.806031041"/>
    <n v="21101630.806031041"/>
    <n v="84406523.224124163"/>
    <m/>
    <n v="2.1614080540142539E-2"/>
    <n v="453895691.34299332"/>
    <n v="675252185.79299331"/>
  </r>
  <r>
    <n v="507"/>
    <x v="0"/>
    <m/>
    <s v="구용근"/>
    <s v="구미"/>
    <s v="PKG"/>
    <s v="O"/>
    <s v="8&quot;&amp;12&quot;"/>
    <s v="DDI"/>
    <x v="4"/>
    <s v="COF"/>
    <x v="35"/>
    <n v="1006771"/>
    <s v="MC"/>
    <s v="PRK-07 : R to R Laser Marking"/>
    <s v="Reelstar-800LM"/>
    <x v="84"/>
    <m/>
    <s v="J2021M0149LKK"/>
    <x v="0"/>
    <s v="가동"/>
    <s v="대만"/>
    <s v="E&amp;R"/>
    <x v="2"/>
    <s v="3차"/>
    <s v="3차"/>
    <s v="일반장비(비통제)"/>
    <s v="릴 마킹"/>
    <s v="릴 마킹"/>
    <m/>
    <m/>
    <s v="EAR99"/>
    <s v="8486.40-0000"/>
    <m/>
    <m/>
    <d v="2021-10-22T00:00:00"/>
    <d v="2021-10-22T00:00:00"/>
    <n v="4.0273972602739727"/>
    <n v="8"/>
    <s v="G1-1층"/>
    <s v="자사"/>
    <s v="설정"/>
    <n v="4.22"/>
    <n v="2812"/>
    <n v="1208"/>
    <n v="2208"/>
    <n v="333929825"/>
    <m/>
    <m/>
    <m/>
    <n v="160008043"/>
    <n v="3478436"/>
    <n v="163486474"/>
    <n v="15401577"/>
    <m/>
    <m/>
    <n v="49.999994825260551"/>
    <s v="미완료"/>
    <s v="D-LMARK"/>
    <s v="COF(Assy_FT)"/>
    <s v="COF(Assy_FT)"/>
    <s v="기계장치"/>
    <n v="171660797.70000002"/>
    <n v="5364399.9281250006"/>
    <n v="1788133.3093750002"/>
    <m/>
    <m/>
    <m/>
    <m/>
    <m/>
    <m/>
    <m/>
    <n v="5364399.9281250006"/>
    <n v="5364399.9281250006"/>
    <n v="10728799.856250001"/>
    <n v="5364399.9281250006"/>
    <n v="5364399.9281250006"/>
    <n v="5364399.9281250006"/>
    <n v="5364399.9281250006"/>
    <n v="21457599.712500002"/>
    <n v="5364399.9281250006"/>
    <n v="5364399.9281250006"/>
    <n v="5364399.9281250006"/>
    <n v="5364399.9281250006"/>
    <n v="21457599.712500002"/>
    <n v="5364399.9281250006"/>
    <n v="5364399.9281250006"/>
    <n v="5364399.9281250006"/>
    <n v="5364399.9281250006"/>
    <n v="21457599.712500002"/>
    <m/>
    <m/>
    <m/>
    <n v="171660797.70000002"/>
  </r>
  <r>
    <n v="508"/>
    <x v="0"/>
    <m/>
    <s v="구용근"/>
    <s v="구미"/>
    <s v="PKG"/>
    <s v="O"/>
    <s v="8&quot;&amp;12&quot;"/>
    <s v="DDI"/>
    <x v="4"/>
    <s v="COF"/>
    <x v="32"/>
    <n v="1006772"/>
    <s v="MC"/>
    <s v="PIL-102 : TFC-3600-300(SHIBAURA)"/>
    <s v="TFC-3600"/>
    <x v="67"/>
    <s v="3세대"/>
    <s v="E300"/>
    <x v="165"/>
    <s v="가동"/>
    <s v="일본"/>
    <s v="Shibaura"/>
    <x v="2"/>
    <s v="3차"/>
    <s v="3차"/>
    <s v="해당"/>
    <s v="칩 본딩 장비"/>
    <s v="칩 본딩 장비"/>
    <m/>
    <m/>
    <s v="3B991"/>
    <s v="8486.40-0000"/>
    <s v="반도체 제조 공정용"/>
    <m/>
    <d v="2021-09-15T00:00:00"/>
    <d v="2021-09-15T00:00:00"/>
    <n v="4.1287671232876715"/>
    <n v="8"/>
    <s v="G1-1층"/>
    <s v="자사"/>
    <s v="설정"/>
    <n v="3.6"/>
    <n v="2820"/>
    <n v="1154"/>
    <n v="2020"/>
    <n v="451463226"/>
    <m/>
    <m/>
    <m/>
    <n v="217914291"/>
    <n v="4702742"/>
    <n v="219440709"/>
    <n v="20632659"/>
    <m/>
    <m/>
    <n v="49.662289574890565"/>
    <s v="미완료"/>
    <s v="D-ILB"/>
    <s v="COF(Assy_FT)"/>
    <s v="COF(Assy_FT)"/>
    <s v="기계장치"/>
    <n v="230412744.45000002"/>
    <n v="7200398.2640625006"/>
    <n v="2400132.7546875002"/>
    <m/>
    <m/>
    <m/>
    <m/>
    <m/>
    <m/>
    <m/>
    <n v="7200398.2640625006"/>
    <n v="7200398.2640625006"/>
    <n v="14400796.528125001"/>
    <n v="7200398.2640625006"/>
    <n v="7200398.2640625006"/>
    <n v="7200398.2640625006"/>
    <n v="7200398.2640625006"/>
    <n v="28801593.056250002"/>
    <n v="7200398.2640625006"/>
    <n v="7200398.2640625006"/>
    <n v="7200398.2640625006"/>
    <n v="7200398.2640625006"/>
    <n v="28801593.056250002"/>
    <n v="7200398.2640625006"/>
    <n v="7200398.2640625006"/>
    <n v="7200398.2640625006"/>
    <n v="7200398.2640625006"/>
    <n v="28801593.056250002"/>
    <m/>
    <m/>
    <m/>
    <n v="230412744.45000002"/>
  </r>
  <r>
    <n v="509"/>
    <x v="0"/>
    <m/>
    <s v="구용근"/>
    <s v="구미"/>
    <s v="PKG"/>
    <s v="O"/>
    <s v="8&quot;&amp;12&quot;"/>
    <s v="DDI"/>
    <x v="4"/>
    <s v="COF"/>
    <x v="35"/>
    <n v="1006774"/>
    <s v="MC"/>
    <s v="PRK-06 : R to R Laser Marking"/>
    <s v="Reelstar-800LM"/>
    <x v="84"/>
    <m/>
    <s v="J2021M0148LKK"/>
    <x v="0"/>
    <s v="가동"/>
    <s v="대만"/>
    <s v="E&amp;R"/>
    <x v="0"/>
    <s v="2차"/>
    <s v="2차"/>
    <s v="일반장비(비통제)"/>
    <s v="릴 마킹"/>
    <s v="릴 마킹"/>
    <m/>
    <m/>
    <s v="EAR99"/>
    <s v="8486.40-0000"/>
    <m/>
    <m/>
    <d v="2021-10-22T00:00:00"/>
    <d v="2021-10-22T00:00:00"/>
    <n v="4.0273972602739727"/>
    <n v="8"/>
    <s v="G1-1층"/>
    <s v="자사"/>
    <s v="설정"/>
    <n v="4.22"/>
    <n v="2812"/>
    <n v="1208"/>
    <n v="2208"/>
    <n v="333929825"/>
    <m/>
    <m/>
    <m/>
    <n v="160008043"/>
    <n v="3478436"/>
    <n v="163486474"/>
    <n v="15401577"/>
    <m/>
    <m/>
    <n v="49.999994825260551"/>
    <s v="미완료"/>
    <s v="D-LMARK"/>
    <s v="COF(Assy_FT)"/>
    <s v="COF(Assy_FT)"/>
    <s v="기계장치"/>
    <n v="171660797.70000002"/>
    <n v="16364203.751665361"/>
    <n v="5454734.5838884534"/>
    <m/>
    <m/>
    <m/>
    <m/>
    <m/>
    <m/>
    <m/>
    <n v="16364203.751665361"/>
    <n v="16364203.751665361"/>
    <n v="32728407.503330722"/>
    <n v="16364203.751665361"/>
    <n v="16364203.751665361"/>
    <n v="16364203.751665361"/>
    <n v="16364203.751665361"/>
    <n v="65456815.006661445"/>
    <n v="16364203.751665361"/>
    <n v="16364203.751665361"/>
    <n v="16364203.751665361"/>
    <n v="16364203.751665361"/>
    <n v="65456815.006661445"/>
    <n v="16364203.751665361"/>
    <n v="16364203.751665361"/>
    <n v="16364203.751665361"/>
    <n v="16364203.751665361"/>
    <n v="65456815.006661445"/>
    <m/>
    <n v="1.6761605826347219E-2"/>
    <n v="351993722.35329157"/>
    <n v="523654520.05329156"/>
  </r>
  <r>
    <n v="510"/>
    <x v="0"/>
    <m/>
    <s v="구용근"/>
    <s v="구미"/>
    <s v="PKG"/>
    <s v="O"/>
    <s v="8&quot;&amp;12&quot;"/>
    <s v="DDI"/>
    <x v="4"/>
    <s v="COF"/>
    <x v="34"/>
    <n v="1006842"/>
    <s v="MC"/>
    <s v="PMA-20 : KRM200(고려반도체)(USED)"/>
    <s v="KRM200"/>
    <x v="73"/>
    <m/>
    <s v="69-05-125-MC"/>
    <x v="0"/>
    <s v="가동"/>
    <s v="한국"/>
    <s v="고려반도체"/>
    <x v="0"/>
    <s v="3차"/>
    <s v="3차"/>
    <s v="일반장비(비통제)"/>
    <s v="잉크 마킹"/>
    <s v="잉크 마킹"/>
    <m/>
    <m/>
    <s v="EAR99"/>
    <s v="8443.99-0000"/>
    <m/>
    <m/>
    <d v="2021-12-27T00:00:00"/>
    <d v="2021-12-27T00:00:00"/>
    <n v="3.8465753424657536"/>
    <n v="8"/>
    <s v="G1-1층"/>
    <s v="자사"/>
    <s v="미설정"/>
    <n v="2.11"/>
    <n v="2640"/>
    <n v="1050"/>
    <n v="1880"/>
    <n v="30000000"/>
    <m/>
    <m/>
    <m/>
    <n v="13750000"/>
    <n v="312500"/>
    <n v="15312500"/>
    <n v="1449556"/>
    <m/>
    <m/>
    <n v="52"/>
    <s v="미완료"/>
    <s v="D-IMARK"/>
    <s v="COF(Assy_FT)"/>
    <s v="COF(Assy_FT)"/>
    <s v="기계장치"/>
    <n v="16078125"/>
    <n v="1532707.041852134"/>
    <n v="510902.34728404466"/>
    <m/>
    <m/>
    <m/>
    <m/>
    <m/>
    <m/>
    <m/>
    <n v="1532707.041852134"/>
    <n v="1532707.041852134"/>
    <n v="3065414.0837042681"/>
    <n v="1532707.041852134"/>
    <n v="1532707.041852134"/>
    <n v="1532707.041852134"/>
    <n v="1532707.041852134"/>
    <n v="6130828.1674085362"/>
    <n v="1532707.041852134"/>
    <n v="1532707.041852134"/>
    <n v="1532707.041852134"/>
    <n v="1532707.041852134"/>
    <n v="6130828.1674085362"/>
    <n v="1532707.041852134"/>
    <n v="1532707.041852134"/>
    <n v="1532707.041852134"/>
    <n v="1532707.041852134"/>
    <n v="6130828.1674085362"/>
    <m/>
    <n v="1.5699285875842043E-3"/>
    <n v="32968500.33926829"/>
    <n v="49046625.33926829"/>
  </r>
  <r>
    <n v="511"/>
    <x v="0"/>
    <m/>
    <s v="구용근"/>
    <s v="구미"/>
    <s v="PKG"/>
    <s v="O"/>
    <s v="8&quot;&amp;12&quot;"/>
    <s v="DDI"/>
    <x v="4"/>
    <s v="COF"/>
    <x v="34"/>
    <n v="1006850"/>
    <s v="MC"/>
    <s v="PMA-21 : KRM200(고려반도체)(USED)"/>
    <s v="KRM200"/>
    <x v="73"/>
    <m/>
    <s v="69-05-126-MC"/>
    <x v="0"/>
    <s v="가동"/>
    <s v="한국"/>
    <s v="고려반도체"/>
    <x v="0"/>
    <s v="2차"/>
    <s v="2차"/>
    <s v="일반장비(비통제)"/>
    <s v="잉크 마킹"/>
    <s v="잉크 마킹"/>
    <m/>
    <m/>
    <s v="EAR99"/>
    <s v="8443.99-0000"/>
    <m/>
    <m/>
    <d v="2021-12-27T00:00:00"/>
    <d v="2021-12-27T00:00:00"/>
    <n v="3.8465753424657536"/>
    <n v="8"/>
    <s v="G1-1층"/>
    <s v="자사"/>
    <s v="미설정"/>
    <n v="2.11"/>
    <n v="2640"/>
    <n v="1050"/>
    <n v="1880"/>
    <n v="30000000"/>
    <m/>
    <m/>
    <m/>
    <n v="13750000"/>
    <n v="312500"/>
    <n v="15312500"/>
    <n v="1449556"/>
    <m/>
    <m/>
    <n v="52"/>
    <s v="미완료"/>
    <s v="D-IMARK"/>
    <s v="COF(Assy_FT)"/>
    <s v="COF(Assy_FT)"/>
    <s v="기계장치"/>
    <n v="16078125"/>
    <n v="1532707.041852134"/>
    <n v="510902.34728404466"/>
    <m/>
    <m/>
    <m/>
    <m/>
    <m/>
    <m/>
    <m/>
    <n v="1532707.041852134"/>
    <n v="1532707.041852134"/>
    <n v="3065414.0837042681"/>
    <n v="1532707.041852134"/>
    <n v="1532707.041852134"/>
    <n v="1532707.041852134"/>
    <n v="1532707.041852134"/>
    <n v="6130828.1674085362"/>
    <n v="1532707.041852134"/>
    <n v="1532707.041852134"/>
    <n v="1532707.041852134"/>
    <n v="1532707.041852134"/>
    <n v="6130828.1674085362"/>
    <n v="1532707.041852134"/>
    <n v="1532707.041852134"/>
    <n v="1532707.041852134"/>
    <n v="1532707.041852134"/>
    <n v="6130828.1674085362"/>
    <m/>
    <n v="1.5699285875842043E-3"/>
    <n v="32968500.33926829"/>
    <n v="49046625.33926829"/>
  </r>
  <r>
    <n v="512"/>
    <x v="0"/>
    <m/>
    <s v="구용근"/>
    <s v="구미"/>
    <s v="PKG"/>
    <s v="O"/>
    <s v="8&quot;&amp;12&quot;"/>
    <s v="DDI"/>
    <x v="4"/>
    <s v="COF"/>
    <x v="36"/>
    <n v="1006962"/>
    <s v="MC"/>
    <s v="PTA-10 : Tape Attach Single head(쿠온솔루션)"/>
    <s v="CUMAA-080S"/>
    <x v="88"/>
    <m/>
    <s v="CU22053"/>
    <x v="0"/>
    <s v="가동"/>
    <s v="한국"/>
    <s v="쿠온솔루션"/>
    <x v="5"/>
    <s v="2차"/>
    <s v="2차"/>
    <s v="일반장비(비통제)"/>
    <s v="방열 tape 부착"/>
    <m/>
    <m/>
    <m/>
    <s v="EAR99"/>
    <s v="8486.40-0000"/>
    <m/>
    <m/>
    <d v="2022-05-30T00:00:00"/>
    <d v="2022-05-30T00:00:00"/>
    <n v="3.4246575342465753"/>
    <n v="8"/>
    <s v="G1-1층"/>
    <s v="자사"/>
    <s v="설정"/>
    <n v="3.96"/>
    <n v="3226"/>
    <n v="2366"/>
    <n v="1240"/>
    <n v="350000000"/>
    <m/>
    <m/>
    <m/>
    <n v="142187497"/>
    <n v="3645833"/>
    <n v="196875004"/>
    <n v="18833228"/>
    <m/>
    <m/>
    <n v="57.000006034286265"/>
    <s v="미완료"/>
    <s v="D-ATTACH"/>
    <s v="COF(Assy_FT)"/>
    <s v="COF(Assy_FT)"/>
    <s v="기계장치"/>
    <n v="206718754.20000002"/>
    <n v="6459961.0687500006"/>
    <n v="2153320.3562500002"/>
    <m/>
    <m/>
    <m/>
    <m/>
    <m/>
    <m/>
    <m/>
    <n v="6459961.0687500006"/>
    <n v="6459961.0687500006"/>
    <n v="12919922.137500001"/>
    <n v="6459961.0687500006"/>
    <n v="6459961.0687500006"/>
    <n v="6459961.0687500006"/>
    <n v="6459961.0687500006"/>
    <n v="25839844.275000002"/>
    <n v="6459961.0687500006"/>
    <n v="6459961.0687500006"/>
    <n v="6459961.0687500006"/>
    <n v="6459961.0687500006"/>
    <n v="25839844.275000002"/>
    <n v="6459961.0687500006"/>
    <n v="6459961.0687500006"/>
    <n v="6459961.0687500006"/>
    <n v="6459961.0687500006"/>
    <n v="25839844.275000002"/>
    <m/>
    <m/>
    <m/>
    <n v="206718754.20000002"/>
  </r>
  <r>
    <n v="513"/>
    <x v="0"/>
    <m/>
    <s v="구용근"/>
    <s v="구미"/>
    <s v="PKG"/>
    <s v="O"/>
    <s v="8&quot;&amp;12&quot;"/>
    <s v="DDI"/>
    <x v="4"/>
    <s v="COF"/>
    <x v="32"/>
    <n v="1006750"/>
    <s v="MC"/>
    <s v="PIL-101 : TFC-3600-300(SHIBAURA)"/>
    <s v="TFC-3600"/>
    <x v="67"/>
    <s v="3세대"/>
    <s v="E297"/>
    <x v="165"/>
    <s v="가동"/>
    <s v="일본"/>
    <s v="Shibaura"/>
    <x v="2"/>
    <s v="3차"/>
    <s v="3차"/>
    <s v="해당"/>
    <s v="칩 본딩 장비"/>
    <s v="칩 본딩 장비"/>
    <m/>
    <m/>
    <s v="3B991"/>
    <s v="8486.40-0000"/>
    <s v="반도체 제조 공정용"/>
    <m/>
    <d v="2021-08-25T00:00:00"/>
    <d v="2021-08-25T00:00:00"/>
    <n v="4.1863013698630134"/>
    <n v="8"/>
    <s v="G1-1층"/>
    <s v="자사"/>
    <s v="설정"/>
    <n v="3.6"/>
    <n v="2820"/>
    <n v="1154"/>
    <n v="2020"/>
    <n v="454056148"/>
    <m/>
    <m/>
    <m/>
    <n v="223673908"/>
    <n v="4729752"/>
    <n v="216192984"/>
    <n v="20273758"/>
    <m/>
    <m/>
    <n v="48.709158535162096"/>
    <s v="미완료"/>
    <s v="D-ILB"/>
    <s v="COF(Assy_FT)"/>
    <s v="COF(Assy_FT)"/>
    <s v="기계장치"/>
    <n v="227002633.20000002"/>
    <n v="7093832.2875000006"/>
    <n v="2364610.7625000002"/>
    <m/>
    <m/>
    <m/>
    <m/>
    <m/>
    <m/>
    <m/>
    <n v="7093832.2875000006"/>
    <n v="7093832.2875000006"/>
    <n v="14187664.575000001"/>
    <n v="7093832.2875000006"/>
    <n v="7093832.2875000006"/>
    <n v="7093832.2875000006"/>
    <n v="7093832.2875000006"/>
    <n v="28375329.150000002"/>
    <n v="7093832.2875000006"/>
    <n v="7093832.2875000006"/>
    <n v="7093832.2875000006"/>
    <n v="7093832.2875000006"/>
    <n v="28375329.150000002"/>
    <n v="7093832.2875000006"/>
    <n v="7093832.2875000006"/>
    <n v="7093832.2875000006"/>
    <n v="7093832.2875000006"/>
    <n v="28375329.150000002"/>
    <m/>
    <m/>
    <m/>
    <n v="227002633.20000002"/>
  </r>
  <r>
    <n v="514"/>
    <x v="0"/>
    <m/>
    <s v="구용근"/>
    <s v="구미"/>
    <s v="PKG"/>
    <s v="O"/>
    <s v="8&quot;&amp;12&quot;"/>
    <s v="DDI"/>
    <x v="4"/>
    <s v="COF"/>
    <x v="32"/>
    <n v="1006748"/>
    <s v="MC"/>
    <s v="PIL-100 : TFC-3600-300(SHIBAURA)"/>
    <s v="TFC-3600"/>
    <x v="67"/>
    <s v="3세대"/>
    <s v="E296"/>
    <x v="165"/>
    <s v="가동"/>
    <s v="일본"/>
    <s v="Shibaura"/>
    <x v="2"/>
    <s v="3차"/>
    <s v="3차"/>
    <s v="해당"/>
    <s v="칩 본딩 장비"/>
    <s v="칩 본딩 장비"/>
    <m/>
    <m/>
    <s v="3B991"/>
    <s v="8486.40-0000"/>
    <s v="반도체 제조 공정용"/>
    <m/>
    <d v="2021-08-25T00:00:00"/>
    <d v="2021-08-25T00:00:00"/>
    <n v="4.1863013698630134"/>
    <n v="8"/>
    <s v="G1-1층"/>
    <s v="자사"/>
    <s v="설정"/>
    <n v="3.6"/>
    <n v="2820"/>
    <n v="1154"/>
    <n v="2020"/>
    <n v="454056149"/>
    <m/>
    <m/>
    <m/>
    <n v="223673908"/>
    <n v="4729752"/>
    <n v="216192985"/>
    <n v="20273758"/>
    <m/>
    <m/>
    <n v="48.709158746589672"/>
    <s v="미완료"/>
    <s v="D-ILB"/>
    <s v="COF(Assy_FT)"/>
    <s v="COF(Assy_FT)"/>
    <s v="기계장치"/>
    <n v="227002634.25"/>
    <n v="7093832.3203125"/>
    <n v="2364610.7734375"/>
    <m/>
    <m/>
    <m/>
    <m/>
    <m/>
    <m/>
    <m/>
    <n v="7093832.3203125"/>
    <n v="7093832.3203125"/>
    <n v="14187664.640625"/>
    <n v="7093832.3203125"/>
    <n v="7093832.3203125"/>
    <n v="7093832.3203125"/>
    <n v="7093832.3203125"/>
    <n v="28375329.28125"/>
    <n v="7093832.3203125"/>
    <n v="7093832.3203125"/>
    <n v="7093832.3203125"/>
    <n v="7093832.3203125"/>
    <n v="28375329.28125"/>
    <n v="7093832.3203125"/>
    <n v="7093832.3203125"/>
    <n v="7093832.3203125"/>
    <n v="7093832.3203125"/>
    <n v="28375329.28125"/>
    <m/>
    <m/>
    <m/>
    <n v="227002634.25"/>
  </r>
  <r>
    <n v="515"/>
    <x v="0"/>
    <m/>
    <s v="구용근"/>
    <s v="구미"/>
    <s v="PKG"/>
    <s v="O"/>
    <s v="8&quot;&amp;12&quot;"/>
    <s v="DDI"/>
    <x v="4"/>
    <s v="COF"/>
    <x v="32"/>
    <n v="1005501"/>
    <s v="Part"/>
    <s v="Rail Cover 변경"/>
    <m/>
    <x v="52"/>
    <m/>
    <m/>
    <x v="0"/>
    <s v="가동"/>
    <s v="한국"/>
    <m/>
    <x v="0"/>
    <s v="1차"/>
    <s v="1차"/>
    <s v="일반장비(비통제)"/>
    <m/>
    <m/>
    <m/>
    <m/>
    <m/>
    <m/>
    <m/>
    <m/>
    <d v="2018-06-28T00:00:00"/>
    <d v="2018-06-28T00:00:00"/>
    <n v="7.3479452054794523"/>
    <n v="8"/>
    <s v="G1-1층"/>
    <s v="자사"/>
    <s v="미설정"/>
    <n v="0"/>
    <m/>
    <m/>
    <m/>
    <n v="22100000"/>
    <m/>
    <m/>
    <m/>
    <n v="19797912"/>
    <n v="230208"/>
    <n v="1611464"/>
    <n v="49139"/>
    <m/>
    <m/>
    <n v="10.00003475118154"/>
    <s v="미완료"/>
    <s v="D-ILB"/>
    <s v="COF(Assy_FT)"/>
    <s v="COF(Assy_FT)"/>
    <s v="기계장치"/>
    <n v="1692037.2000000002"/>
    <n v="161299.73684840539"/>
    <n v="53766.578949468465"/>
    <m/>
    <m/>
    <m/>
    <m/>
    <m/>
    <m/>
    <m/>
    <n v="161299.73684840539"/>
    <n v="161299.73684840539"/>
    <n v="322599.47369681078"/>
    <n v="161299.73684840539"/>
    <n v="161299.73684840539"/>
    <n v="161299.73684840539"/>
    <n v="161299.73684840539"/>
    <n v="645198.94739362155"/>
    <n v="161299.73684840539"/>
    <n v="161299.73684840539"/>
    <n v="161299.73684840539"/>
    <n v="161299.73684840539"/>
    <n v="645198.94739362155"/>
    <n v="161299.73684840539"/>
    <n v="161299.73684840539"/>
    <n v="161299.73684840539"/>
    <n v="161299.73684840539"/>
    <n v="645198.94739362155"/>
    <m/>
    <n v="1.6521687519757011E-4"/>
    <n v="3469554.3791489722"/>
    <n v="5161591.5791489724"/>
  </r>
  <r>
    <n v="516"/>
    <x v="0"/>
    <m/>
    <s v="구용근"/>
    <s v="구미"/>
    <s v="PKG"/>
    <s v="O"/>
    <s v="8&quot;&amp;12&quot;"/>
    <s v="DDI"/>
    <x v="4"/>
    <s v="COF"/>
    <x v="32"/>
    <n v="1005503"/>
    <s v="Part"/>
    <s v="Reel Guide 금속재질 개선"/>
    <m/>
    <x v="52"/>
    <m/>
    <m/>
    <x v="0"/>
    <s v="가동"/>
    <s v="한국"/>
    <m/>
    <x v="0"/>
    <s v="1차"/>
    <s v="1차"/>
    <s v="일반장비(비통제)"/>
    <m/>
    <m/>
    <m/>
    <m/>
    <m/>
    <m/>
    <m/>
    <m/>
    <d v="2018-06-28T00:00:00"/>
    <d v="2018-06-28T00:00:00"/>
    <n v="7.3479452054794523"/>
    <n v="8"/>
    <s v="G1-1층"/>
    <s v="자사"/>
    <s v="미설정"/>
    <n v="0"/>
    <m/>
    <m/>
    <m/>
    <n v="4320000"/>
    <m/>
    <m/>
    <m/>
    <n v="3870000"/>
    <n v="45000"/>
    <n v="315000"/>
    <n v="10088"/>
    <m/>
    <m/>
    <n v="10"/>
    <s v="미완료"/>
    <s v="D-ILB"/>
    <s v="COF(Assy_FT)"/>
    <s v="COF(Assy_FT)"/>
    <s v="기계장치"/>
    <n v="330750"/>
    <n v="31529.97343238676"/>
    <n v="10509.99114412892"/>
    <m/>
    <m/>
    <m/>
    <m/>
    <m/>
    <m/>
    <m/>
    <n v="31529.97343238676"/>
    <n v="31529.97343238676"/>
    <n v="63059.946864773519"/>
    <n v="31529.97343238676"/>
    <n v="31529.97343238676"/>
    <n v="31529.97343238676"/>
    <n v="31529.97343238676"/>
    <n v="126119.89372954704"/>
    <n v="31529.97343238676"/>
    <n v="31529.97343238676"/>
    <n v="31529.97343238676"/>
    <n v="31529.97343238676"/>
    <n v="126119.89372954704"/>
    <n v="31529.97343238676"/>
    <n v="31529.97343238676"/>
    <n v="31529.97343238676"/>
    <n v="31529.97343238676"/>
    <n v="126119.89372954704"/>
    <m/>
    <n v="3.2295673801732205E-5"/>
    <n v="678209.14983637631"/>
    <n v="1008959.1498363763"/>
  </r>
  <r>
    <n v="517"/>
    <x v="0"/>
    <m/>
    <s v="구용근"/>
    <s v="구미"/>
    <s v="PKG"/>
    <s v="O"/>
    <s v="8&quot;&amp;12&quot;"/>
    <s v="DDI"/>
    <x v="4"/>
    <s v="COF"/>
    <x v="36"/>
    <n v="1007002"/>
    <s v="MC"/>
    <s v="PTA-12 : Tape Attach Dual head(쿠온솔루션)"/>
    <s v="CUMAA-080R"/>
    <x v="89"/>
    <m/>
    <s v="CU22214-4"/>
    <x v="0"/>
    <s v="가동"/>
    <s v="한국"/>
    <s v="쿠온솔루션"/>
    <x v="5"/>
    <s v="2차"/>
    <s v="2차"/>
    <s v="일반장비(비통제)"/>
    <s v="방열 tape 부착"/>
    <m/>
    <m/>
    <m/>
    <s v="EAR99"/>
    <s v="8486.40-0000"/>
    <m/>
    <m/>
    <d v="2022-08-23T00:00:00"/>
    <d v="2022-08-23T00:00:00"/>
    <n v="3.1917808219178081"/>
    <n v="8"/>
    <s v="G1-1층"/>
    <s v="자사"/>
    <s v="설정"/>
    <n v="6.6"/>
    <n v="4784"/>
    <n v="1986"/>
    <n v="1324"/>
    <n v="421280000"/>
    <m/>
    <m/>
    <m/>
    <n v="157979997"/>
    <n v="4388333"/>
    <n v="250135004"/>
    <n v="24056632"/>
    <m/>
    <m/>
    <n v="60.000005241170165"/>
    <s v="미완료"/>
    <s v="D-ATTACH"/>
    <s v="COF(Assy_FT)"/>
    <s v="COF(Assy_FT)"/>
    <s v="기계장치"/>
    <n v="262641754.20000002"/>
    <n v="8207554.8187500006"/>
    <n v="2735851.6062500002"/>
    <m/>
    <m/>
    <m/>
    <m/>
    <m/>
    <m/>
    <m/>
    <n v="8207554.8187500006"/>
    <n v="8207554.8187500006"/>
    <n v="16415109.637500001"/>
    <n v="8207554.8187500006"/>
    <n v="8207554.8187500006"/>
    <n v="8207554.8187500006"/>
    <n v="8207554.8187500006"/>
    <n v="32830219.275000002"/>
    <n v="8207554.8187500006"/>
    <n v="8207554.8187500006"/>
    <n v="8207554.8187500006"/>
    <n v="8207554.8187500006"/>
    <n v="32830219.275000002"/>
    <n v="8207554.8187500006"/>
    <n v="8207554.8187500006"/>
    <n v="8207554.8187500006"/>
    <n v="8207554.8187500006"/>
    <n v="32830219.275000002"/>
    <m/>
    <m/>
    <m/>
    <n v="262641754.20000002"/>
  </r>
  <r>
    <n v="518"/>
    <x v="0"/>
    <m/>
    <s v="구용근"/>
    <s v="구미"/>
    <s v="PKG"/>
    <s v="O"/>
    <s v="8&quot;&amp;12&quot;"/>
    <s v="DDI"/>
    <x v="4"/>
    <s v="COF"/>
    <x v="36"/>
    <n v="1007003"/>
    <s v="MC"/>
    <s v="PTA-14 : Tape Attach Dual head(쿠온솔루션)"/>
    <s v="CUMAA-080R"/>
    <x v="89"/>
    <m/>
    <s v="CU22214-3"/>
    <x v="0"/>
    <s v="가동"/>
    <s v="한국"/>
    <s v="쿠온솔루션"/>
    <x v="5"/>
    <s v="2차"/>
    <s v="2차"/>
    <s v="일반장비(비통제)"/>
    <s v="방열 tape 부착"/>
    <m/>
    <m/>
    <m/>
    <s v="EAR99"/>
    <s v="8486.40-0000"/>
    <m/>
    <m/>
    <d v="2022-08-23T00:00:00"/>
    <d v="2022-08-23T00:00:00"/>
    <n v="3.1917808219178081"/>
    <n v="8"/>
    <s v="G1-1층"/>
    <s v="자사"/>
    <s v="설정"/>
    <n v="6.6"/>
    <n v="4784"/>
    <n v="1986"/>
    <n v="1324"/>
    <n v="421280000"/>
    <m/>
    <m/>
    <m/>
    <n v="157979997"/>
    <n v="4388333"/>
    <n v="250135004"/>
    <n v="24056632"/>
    <m/>
    <m/>
    <n v="60.000005241170165"/>
    <s v="미완료"/>
    <s v="D-ATTACH"/>
    <s v="COF(Assy_FT)"/>
    <s v="COF(Assy_FT)"/>
    <s v="기계장치"/>
    <n v="262641754.20000002"/>
    <n v="8207554.8187500006"/>
    <n v="2735851.6062500002"/>
    <m/>
    <m/>
    <m/>
    <m/>
    <m/>
    <m/>
    <m/>
    <n v="8207554.8187500006"/>
    <n v="8207554.8187500006"/>
    <n v="16415109.637500001"/>
    <n v="8207554.8187500006"/>
    <n v="8207554.8187500006"/>
    <n v="8207554.8187500006"/>
    <n v="8207554.8187500006"/>
    <n v="32830219.275000002"/>
    <n v="8207554.8187500006"/>
    <n v="8207554.8187500006"/>
    <n v="8207554.8187500006"/>
    <n v="8207554.8187500006"/>
    <n v="32830219.275000002"/>
    <n v="8207554.8187500006"/>
    <n v="8207554.8187500006"/>
    <n v="8207554.8187500006"/>
    <n v="8207554.8187500006"/>
    <n v="32830219.275000002"/>
    <m/>
    <m/>
    <m/>
    <n v="262641754.20000002"/>
  </r>
  <r>
    <n v="519"/>
    <x v="0"/>
    <m/>
    <s v="구용근"/>
    <s v="구미"/>
    <s v="PKG"/>
    <s v="O"/>
    <s v="8&quot;&amp;12&quot;"/>
    <s v="DDI"/>
    <x v="4"/>
    <s v="COF"/>
    <x v="32"/>
    <n v="1005502"/>
    <s v="Part"/>
    <s v="Reel Guide(TFC-3600) 구조 변경"/>
    <m/>
    <x v="52"/>
    <m/>
    <m/>
    <x v="0"/>
    <s v="가동"/>
    <s v="한국"/>
    <m/>
    <x v="0"/>
    <s v="1차"/>
    <s v="1차"/>
    <s v="일반장비(비통제)"/>
    <m/>
    <m/>
    <m/>
    <m/>
    <m/>
    <m/>
    <m/>
    <m/>
    <d v="2018-06-28T00:00:00"/>
    <d v="2018-06-28T00:00:00"/>
    <n v="7.3479452054794523"/>
    <n v="8"/>
    <s v="G1-1층"/>
    <s v="자사"/>
    <s v="미설정"/>
    <n v="0"/>
    <m/>
    <m/>
    <m/>
    <n v="10600000"/>
    <m/>
    <m/>
    <m/>
    <n v="9495838"/>
    <n v="110417"/>
    <n v="772911"/>
    <n v="23882"/>
    <m/>
    <m/>
    <n v="9.9999275473885358"/>
    <s v="미완료"/>
    <s v="D-ILB"/>
    <s v="COF(Assy_FT)"/>
    <s v="COF(Assy_FT)"/>
    <s v="기계장치"/>
    <n v="811556.55"/>
    <n v="77364.645382855495"/>
    <n v="25788.2151276185"/>
    <m/>
    <m/>
    <m/>
    <m/>
    <m/>
    <m/>
    <m/>
    <n v="77364.645382855495"/>
    <n v="77364.645382855495"/>
    <n v="154729.29076571099"/>
    <n v="77364.645382855495"/>
    <n v="77364.645382855495"/>
    <n v="77364.645382855495"/>
    <n v="77364.645382855495"/>
    <n v="309458.58153142198"/>
    <n v="77364.645382855495"/>
    <n v="77364.645382855495"/>
    <n v="77364.645382855495"/>
    <n v="77364.645382855495"/>
    <n v="309458.58153142198"/>
    <n v="77364.645382855495"/>
    <n v="77364.645382855495"/>
    <n v="77364.645382855495"/>
    <n v="77364.645382855495"/>
    <n v="309458.58153142198"/>
    <m/>
    <n v="7.9243433440541719E-5"/>
    <n v="1664112.102251376"/>
    <n v="2475668.6522513758"/>
  </r>
  <r>
    <n v="520"/>
    <x v="0"/>
    <m/>
    <s v="구용근"/>
    <s v="구미"/>
    <s v="PKG"/>
    <s v="O"/>
    <s v="8&quot;&amp;12&quot;"/>
    <s v="DDI"/>
    <x v="4"/>
    <s v="COF"/>
    <x v="32"/>
    <n v="1007384"/>
    <s v="Upgrade"/>
    <s v="TFC-3600 설비 Software 개선"/>
    <m/>
    <x v="52"/>
    <m/>
    <m/>
    <x v="0"/>
    <s v="가동"/>
    <s v="일본"/>
    <m/>
    <x v="0"/>
    <s v="1차"/>
    <s v="1차"/>
    <s v="일반장비(비통제)"/>
    <m/>
    <m/>
    <m/>
    <m/>
    <m/>
    <m/>
    <m/>
    <m/>
    <d v="2023-08-31T00:00:00"/>
    <d v="2023-08-31T00:00:00"/>
    <n v="2.1698630136986301"/>
    <n v="8"/>
    <s v="G1-1층"/>
    <s v="자사"/>
    <s v="미설정"/>
    <n v="0"/>
    <m/>
    <m/>
    <m/>
    <n v="49800000"/>
    <m/>
    <m/>
    <m/>
    <n v="12450000"/>
    <n v="518750"/>
    <n v="35793750"/>
    <n v="3500015"/>
    <m/>
    <m/>
    <n v="72"/>
    <s v="미완료"/>
    <s v="D-ILB"/>
    <s v="COF(Assy_FT)"/>
    <s v="COF(Assy_FT)"/>
    <s v="기계장치"/>
    <n v="37583437.5"/>
    <n v="3582780.9096682332"/>
    <n v="1194260.3032227445"/>
    <m/>
    <m/>
    <m/>
    <m/>
    <m/>
    <m/>
    <m/>
    <n v="3582780.9096682332"/>
    <n v="3582780.9096682332"/>
    <n v="7165561.8193364665"/>
    <n v="3582780.9096682332"/>
    <n v="3582780.9096682332"/>
    <n v="3582780.9096682332"/>
    <n v="3582780.9096682332"/>
    <n v="14331123.638672933"/>
    <n v="3582780.9096682332"/>
    <n v="3582780.9096682332"/>
    <n v="3582780.9096682332"/>
    <n v="3582780.9096682332"/>
    <n v="14331123.638672933"/>
    <n v="3582780.9096682332"/>
    <n v="3582780.9096682332"/>
    <n v="3582780.9096682332"/>
    <n v="3582780.9096682332"/>
    <n v="14331123.638672933"/>
    <m/>
    <n v="3.669788171875403E-3"/>
    <n v="77065551.609383464"/>
    <n v="114648989.10938346"/>
  </r>
  <r>
    <n v="521"/>
    <x v="0"/>
    <m/>
    <s v="구용근"/>
    <s v="구미"/>
    <s v="PKG"/>
    <s v="O"/>
    <s v="8&quot;&amp;12&quot;"/>
    <s v="DDI"/>
    <x v="4"/>
    <s v="COF"/>
    <x v="36"/>
    <n v="1007025"/>
    <s v="MC"/>
    <s v="PTA-11 : Tape Attach Dual head(쿠온솔루션)"/>
    <s v="CUMAA-080R"/>
    <x v="89"/>
    <m/>
    <s v="CU22214-1"/>
    <x v="0"/>
    <s v="가동"/>
    <s v="한국"/>
    <s v="쿠온솔루션"/>
    <x v="2"/>
    <s v="3차"/>
    <s v="3차"/>
    <s v="일반장비(비통제)"/>
    <s v="방열 tape 부착"/>
    <m/>
    <m/>
    <m/>
    <s v="EAR99"/>
    <s v="8486.40-0000"/>
    <m/>
    <m/>
    <d v="2022-08-23T00:00:00"/>
    <d v="2022-08-23T00:00:00"/>
    <n v="3.1917808219178081"/>
    <n v="8"/>
    <s v="G1-1층"/>
    <s v="자사"/>
    <s v="설정"/>
    <n v="6.6"/>
    <n v="4784"/>
    <n v="1986"/>
    <n v="1324"/>
    <n v="421280000"/>
    <m/>
    <m/>
    <m/>
    <n v="157979997"/>
    <n v="4388333"/>
    <n v="250135004"/>
    <n v="24056632"/>
    <m/>
    <m/>
    <n v="60.000005241170165"/>
    <s v="미완료"/>
    <s v="D-ATTACH"/>
    <s v="COF(Assy_FT)"/>
    <s v="COF(Assy_FT)"/>
    <s v="기계장치"/>
    <n v="262641754.20000002"/>
    <n v="8207554.8187500006"/>
    <n v="2735851.6062500002"/>
    <m/>
    <m/>
    <m/>
    <m/>
    <m/>
    <m/>
    <m/>
    <n v="8207554.8187500006"/>
    <n v="8207554.8187500006"/>
    <n v="16415109.637500001"/>
    <n v="8207554.8187500006"/>
    <n v="8207554.8187500006"/>
    <n v="8207554.8187500006"/>
    <n v="8207554.8187500006"/>
    <n v="32830219.275000002"/>
    <n v="8207554.8187500006"/>
    <n v="8207554.8187500006"/>
    <n v="8207554.8187500006"/>
    <n v="8207554.8187500006"/>
    <n v="32830219.275000002"/>
    <n v="8207554.8187500006"/>
    <n v="8207554.8187500006"/>
    <n v="8207554.8187500006"/>
    <n v="8207554.8187500006"/>
    <n v="32830219.275000002"/>
    <m/>
    <m/>
    <m/>
    <n v="262641754.20000002"/>
  </r>
  <r>
    <n v="522"/>
    <x v="0"/>
    <m/>
    <s v="구용근"/>
    <s v="구미"/>
    <s v="PKG"/>
    <s v="O"/>
    <s v="8&quot;&amp;12&quot;"/>
    <s v="DDI"/>
    <x v="4"/>
    <s v="COF"/>
    <x v="36"/>
    <n v="1007026"/>
    <s v="MC"/>
    <s v="PTA-13 : Tape Attach Dual head(쿠온솔루션)"/>
    <s v="CUMAA-080R"/>
    <x v="89"/>
    <m/>
    <s v="CU22214-2"/>
    <x v="0"/>
    <s v="가동"/>
    <s v="한국"/>
    <s v="쿠온솔루션"/>
    <x v="2"/>
    <s v="3차"/>
    <s v="3차"/>
    <s v="일반장비(비통제)"/>
    <s v="방열 tape 부착"/>
    <m/>
    <m/>
    <m/>
    <s v="EAR99"/>
    <s v="8486.40-0000"/>
    <m/>
    <m/>
    <d v="2022-08-23T00:00:00"/>
    <d v="2022-08-23T00:00:00"/>
    <n v="3.1917808219178081"/>
    <n v="8"/>
    <s v="G1-1층"/>
    <s v="자사"/>
    <s v="설정"/>
    <n v="6.6"/>
    <n v="4784"/>
    <n v="1986"/>
    <n v="1324"/>
    <n v="421280000"/>
    <m/>
    <m/>
    <m/>
    <n v="157979997"/>
    <n v="4388333"/>
    <n v="250135004"/>
    <n v="24056632"/>
    <m/>
    <m/>
    <n v="60.000005241170165"/>
    <s v="미완료"/>
    <s v="D-ATTACH"/>
    <s v="COF(Assy_FT)"/>
    <s v="COF(Assy_FT)"/>
    <s v="기계장치"/>
    <n v="262641754.20000002"/>
    <n v="8207554.8187500006"/>
    <n v="2735851.6062500002"/>
    <m/>
    <m/>
    <m/>
    <m/>
    <m/>
    <m/>
    <m/>
    <n v="8207554.8187500006"/>
    <n v="8207554.8187500006"/>
    <n v="16415109.637500001"/>
    <n v="8207554.8187500006"/>
    <n v="8207554.8187500006"/>
    <n v="8207554.8187500006"/>
    <n v="8207554.8187500006"/>
    <n v="32830219.275000002"/>
    <n v="8207554.8187500006"/>
    <n v="8207554.8187500006"/>
    <n v="8207554.8187500006"/>
    <n v="8207554.8187500006"/>
    <n v="32830219.275000002"/>
    <n v="8207554.8187500006"/>
    <n v="8207554.8187500006"/>
    <n v="8207554.8187500006"/>
    <n v="8207554.8187500006"/>
    <n v="32830219.275000002"/>
    <m/>
    <m/>
    <m/>
    <n v="262641754.20000002"/>
  </r>
  <r>
    <n v="523"/>
    <x v="0"/>
    <m/>
    <s v="구용근"/>
    <s v="구미"/>
    <s v="PKG"/>
    <s v="O"/>
    <s v="8&quot;&amp;12&quot;"/>
    <s v="DDI"/>
    <x v="4"/>
    <s v="COF"/>
    <x v="17"/>
    <n v="1007055"/>
    <s v="MC"/>
    <s v="PBC-01 : UV Tape 자동 포장 설비"/>
    <s v="DWD-SWE1000"/>
    <x v="91"/>
    <m/>
    <m/>
    <x v="0"/>
    <s v="가동"/>
    <s v="한국"/>
    <s v="다원엔지니어링"/>
    <x v="2"/>
    <s v="3차"/>
    <s v="3차"/>
    <s v="일반장비(비통제)"/>
    <s v="Tape 부착기"/>
    <m/>
    <m/>
    <m/>
    <s v="EAR99"/>
    <s v="8422.40-0000"/>
    <m/>
    <m/>
    <d v="2022-08-31T00:00:00"/>
    <d v="2022-08-31T00:00:00"/>
    <n v="3.1698630136986301"/>
    <n v="8"/>
    <s v="G1-1층"/>
    <s v="자사"/>
    <s v="설정"/>
    <n v="6"/>
    <n v="2200"/>
    <n v="1200"/>
    <n v="1750"/>
    <n v="115000000"/>
    <m/>
    <m/>
    <m/>
    <n v="43125002"/>
    <n v="1197917"/>
    <n v="68281247"/>
    <n v="6566922"/>
    <m/>
    <m/>
    <n v="59.999981634787716"/>
    <s v="미완료"/>
    <s v="D-SAW"/>
    <s v="COF(Assy_FT)"/>
    <s v="COF(Assy_FT)"/>
    <s v="기계장치"/>
    <n v="71695309.350000009"/>
    <n v="2240478.4171875003"/>
    <n v="746826.13906250009"/>
    <m/>
    <m/>
    <m/>
    <m/>
    <m/>
    <m/>
    <m/>
    <n v="2240478.4171875003"/>
    <n v="2240478.4171875003"/>
    <n v="4480956.8343750006"/>
    <n v="2240478.4171875003"/>
    <n v="2240478.4171875003"/>
    <n v="2240478.4171875003"/>
    <n v="2240478.4171875003"/>
    <n v="8961913.6687500011"/>
    <n v="2240478.4171875003"/>
    <n v="2240478.4171875003"/>
    <n v="2240478.4171875003"/>
    <n v="2240478.4171875003"/>
    <n v="8961913.6687500011"/>
    <n v="2240478.4171875003"/>
    <n v="2240478.4171875003"/>
    <n v="2240478.4171875003"/>
    <n v="2240478.4171875003"/>
    <n v="8961913.6687500011"/>
    <m/>
    <m/>
    <m/>
    <n v="71695309.350000009"/>
  </r>
  <r>
    <n v="524"/>
    <x v="0"/>
    <m/>
    <s v="구용근"/>
    <s v="구미"/>
    <s v="PKG"/>
    <s v="O"/>
    <s v="8&quot;&amp;12&quot;"/>
    <s v="DDI"/>
    <x v="4"/>
    <s v="COF"/>
    <x v="5"/>
    <n v="1007095"/>
    <s v="Upgrade"/>
    <s v="Auto AMI"/>
    <m/>
    <x v="52"/>
    <m/>
    <m/>
    <x v="0"/>
    <s v="가동"/>
    <s v="한국"/>
    <s v="워프비전"/>
    <x v="2"/>
    <s v="3차"/>
    <s v="3차"/>
    <s v="일반장비(비통제)"/>
    <m/>
    <m/>
    <m/>
    <m/>
    <m/>
    <m/>
    <m/>
    <m/>
    <d v="2022-12-14T00:00:00"/>
    <d v="2022-12-14T00:00:00"/>
    <n v="2.882191780821918"/>
    <n v="8"/>
    <s v="G1-1층"/>
    <s v="자사"/>
    <s v="설정"/>
    <n v="0"/>
    <m/>
    <m/>
    <m/>
    <n v="280800000"/>
    <m/>
    <m/>
    <m/>
    <n v="93600000"/>
    <n v="2925000"/>
    <n v="178425000"/>
    <n v="17268149"/>
    <m/>
    <m/>
    <n v="64"/>
    <s v="미완료"/>
    <s v="D-ILB"/>
    <s v="COF(Assy_FT)"/>
    <s v="COF(Assy_FT)"/>
    <s v="기계장치"/>
    <n v="187346250"/>
    <n v="5854570.3125"/>
    <n v="1951523.4375"/>
    <m/>
    <m/>
    <m/>
    <m/>
    <m/>
    <m/>
    <m/>
    <n v="5854570.3125"/>
    <n v="5854570.3125"/>
    <n v="11709140.625"/>
    <n v="5854570.3125"/>
    <n v="5854570.3125"/>
    <n v="5854570.3125"/>
    <n v="5854570.3125"/>
    <n v="23418281.25"/>
    <n v="5854570.3125"/>
    <n v="5854570.3125"/>
    <n v="5854570.3125"/>
    <n v="5854570.3125"/>
    <n v="23418281.25"/>
    <n v="5854570.3125"/>
    <n v="5854570.3125"/>
    <n v="5854570.3125"/>
    <n v="5854570.3125"/>
    <n v="23418281.25"/>
    <m/>
    <m/>
    <m/>
    <n v="187346250"/>
  </r>
  <r>
    <n v="525"/>
    <x v="0"/>
    <m/>
    <s v="구용근"/>
    <s v="구미"/>
    <s v="PKG"/>
    <s v="O"/>
    <s v="8&quot;&amp;12&quot;"/>
    <s v="DDI"/>
    <x v="4"/>
    <s v="COF"/>
    <x v="32"/>
    <n v="1007684"/>
    <s v="Upgrade"/>
    <s v="TFC-3600 설비 Software 개선"/>
    <m/>
    <x v="52"/>
    <m/>
    <m/>
    <x v="0"/>
    <s v="가동"/>
    <s v="일본"/>
    <m/>
    <x v="0"/>
    <s v="1차"/>
    <s v="1차"/>
    <s v="일반장비(비통제)"/>
    <m/>
    <m/>
    <m/>
    <m/>
    <m/>
    <m/>
    <m/>
    <m/>
    <d v="2024-07-31T00:00:00"/>
    <d v="2024-07-31T00:00:00"/>
    <n v="1.252054794520548"/>
    <n v="8"/>
    <s v="G1-1층"/>
    <s v="자사"/>
    <s v="미설정"/>
    <n v="0"/>
    <m/>
    <m/>
    <m/>
    <n v="20550000"/>
    <m/>
    <m/>
    <m/>
    <n v="2782809"/>
    <n v="214062"/>
    <n v="17125005"/>
    <n v="1692520"/>
    <m/>
    <m/>
    <n v="83.000210219469125"/>
    <s v="미완료"/>
    <s v="D-ILB"/>
    <s v="COF(Assy_FT)"/>
    <s v="COF(Assy_FT)"/>
    <s v="기계장치"/>
    <n v="17981255.25"/>
    <n v="1714130.0085063188"/>
    <n v="571376.66950210626"/>
    <m/>
    <m/>
    <m/>
    <m/>
    <m/>
    <m/>
    <m/>
    <n v="1714130.0085063188"/>
    <n v="1714130.0085063188"/>
    <n v="3428260.0170126376"/>
    <n v="1714130.0085063188"/>
    <n v="1714130.0085063188"/>
    <n v="1714130.0085063188"/>
    <n v="1714130.0085063188"/>
    <n v="6856520.0340252751"/>
    <n v="1714130.0085063188"/>
    <n v="1714130.0085063188"/>
    <n v="1714130.0085063188"/>
    <n v="1714130.0085063188"/>
    <n v="6856520.0340252751"/>
    <n v="1714130.0085063188"/>
    <n v="1714130.0085063188"/>
    <n v="1714130.0085063188"/>
    <n v="1714130.0085063188"/>
    <n v="6856520.0340252751"/>
    <m/>
    <n v="1.7557573820096285E-3"/>
    <n v="36870905.022202201"/>
    <n v="54852160.272202201"/>
  </r>
  <r>
    <n v="526"/>
    <x v="0"/>
    <m/>
    <s v="구용근"/>
    <s v="구미"/>
    <s v="PKG"/>
    <s v="O"/>
    <s v="8&quot;&amp;12&quot;"/>
    <s v="DDI"/>
    <x v="4"/>
    <s v="COF"/>
    <x v="5"/>
    <n v="1007402"/>
    <s v="Upgrade"/>
    <s v="Al Reel 내부폭 자동 측정기"/>
    <m/>
    <x v="52"/>
    <m/>
    <m/>
    <x v="0"/>
    <s v="가동"/>
    <s v="한국"/>
    <s v="다원엔지니어링"/>
    <x v="2"/>
    <s v="3차"/>
    <s v="3차"/>
    <s v="일반장비(비통제)"/>
    <m/>
    <m/>
    <m/>
    <m/>
    <m/>
    <m/>
    <m/>
    <m/>
    <d v="2023-09-30T00:00:00"/>
    <d v="2023-09-30T00:00:00"/>
    <n v="2.0876712328767124"/>
    <n v="8"/>
    <s v="G1-1층"/>
    <s v="자사"/>
    <s v="미설정"/>
    <n v="0"/>
    <m/>
    <m/>
    <m/>
    <n v="22500000"/>
    <m/>
    <m/>
    <m/>
    <n v="5390625"/>
    <n v="234375"/>
    <n v="16406250"/>
    <n v="1606042"/>
    <m/>
    <m/>
    <n v="73"/>
    <s v="미완료"/>
    <s v="D-POT"/>
    <s v="COF(Assy_FT)"/>
    <s v="COF(Assy_FT)"/>
    <s v="기계장치"/>
    <n v="17226562.5"/>
    <n v="538330.078125"/>
    <n v="179443.359375"/>
    <m/>
    <m/>
    <m/>
    <m/>
    <m/>
    <m/>
    <m/>
    <n v="538330.078125"/>
    <n v="538330.078125"/>
    <n v="1076660.15625"/>
    <n v="538330.078125"/>
    <n v="538330.078125"/>
    <n v="538330.078125"/>
    <n v="538330.078125"/>
    <n v="2153320.3125"/>
    <n v="538330.078125"/>
    <n v="538330.078125"/>
    <n v="538330.078125"/>
    <n v="538330.078125"/>
    <n v="2153320.3125"/>
    <n v="538330.078125"/>
    <n v="538330.078125"/>
    <n v="538330.078125"/>
    <n v="538330.078125"/>
    <n v="2153320.3125"/>
    <m/>
    <m/>
    <m/>
    <n v="17226562.5"/>
  </r>
  <r>
    <n v="527"/>
    <x v="0"/>
    <m/>
    <s v="구용근"/>
    <s v="구미"/>
    <s v="PKG"/>
    <s v="O"/>
    <s v="8&quot;&amp;12&quot;"/>
    <s v="DDI"/>
    <x v="4"/>
    <s v="COF"/>
    <x v="5"/>
    <n v="1007423"/>
    <s v="MC"/>
    <s v="POT-OVEN 공정 AMR"/>
    <s v="LX-90"/>
    <x v="92"/>
    <m/>
    <m/>
    <x v="0"/>
    <s v="가동"/>
    <s v="한국"/>
    <s v="성준전기"/>
    <x v="2"/>
    <s v="3차"/>
    <s v="3차"/>
    <s v="일반장비(비통제)"/>
    <s v="물류이송로봇"/>
    <m/>
    <m/>
    <m/>
    <s v="EAR99"/>
    <s v="8428.90-0000"/>
    <m/>
    <m/>
    <d v="2023-11-28T00:00:00"/>
    <d v="2023-11-28T00:00:00"/>
    <n v="1.9260273972602739"/>
    <n v="8"/>
    <s v="G1-1층"/>
    <s v="자사"/>
    <s v="미설정"/>
    <n v="0"/>
    <m/>
    <m/>
    <m/>
    <n v="180000000"/>
    <m/>
    <m/>
    <m/>
    <n v="39375000"/>
    <n v="1875000"/>
    <n v="135000000"/>
    <n v="13243657"/>
    <m/>
    <m/>
    <n v="75"/>
    <s v="미완료"/>
    <s v="D-POT"/>
    <s v="COF(Assy_FT)"/>
    <s v="COF(Assy_FT)"/>
    <s v="기계장치"/>
    <n v="141750000"/>
    <n v="4429687.5"/>
    <n v="1476562.5"/>
    <m/>
    <m/>
    <m/>
    <m/>
    <m/>
    <m/>
    <m/>
    <n v="4429687.5"/>
    <n v="4429687.5"/>
    <n v="8859375"/>
    <n v="4429687.5"/>
    <n v="4429687.5"/>
    <n v="4429687.5"/>
    <n v="4429687.5"/>
    <n v="17718750"/>
    <n v="4429687.5"/>
    <n v="4429687.5"/>
    <n v="4429687.5"/>
    <n v="4429687.5"/>
    <n v="17718750"/>
    <n v="4429687.5"/>
    <n v="4429687.5"/>
    <n v="4429687.5"/>
    <n v="4429687.5"/>
    <n v="17718750"/>
    <m/>
    <m/>
    <m/>
    <n v="141750000"/>
  </r>
  <r>
    <n v="528"/>
    <x v="0"/>
    <m/>
    <s v="구용근"/>
    <s v="구미"/>
    <s v="PKG"/>
    <s v="O"/>
    <s v="8&quot;&amp;12&quot;"/>
    <s v="DDI"/>
    <x v="4"/>
    <s v="COF"/>
    <x v="32"/>
    <n v="1007825"/>
    <s v="Upgrade"/>
    <s v="TFC-3600 설비 Software 개선(7건)"/>
    <m/>
    <x v="52"/>
    <m/>
    <m/>
    <x v="0"/>
    <s v="가동"/>
    <s v="일본"/>
    <m/>
    <x v="0"/>
    <s v="1차"/>
    <s v="1차"/>
    <s v="일반장비(비통제)"/>
    <m/>
    <m/>
    <m/>
    <m/>
    <m/>
    <m/>
    <m/>
    <m/>
    <d v="2024-12-27T00:00:00"/>
    <d v="2024-12-27T00:00:00"/>
    <n v="0.84383561643835614"/>
    <n v="8"/>
    <s v="G1-1층"/>
    <s v="자사"/>
    <s v="미설정"/>
    <n v="0"/>
    <m/>
    <m/>
    <m/>
    <n v="80000000"/>
    <m/>
    <m/>
    <m/>
    <n v="6666664"/>
    <n v="833333"/>
    <n v="70833337"/>
    <n v="7028143"/>
    <m/>
    <m/>
    <n v="88.000038400015356"/>
    <s v="미완료"/>
    <s v="D-ILB"/>
    <s v="COF(Assy_FT)"/>
    <s v="COF(Assy_FT)"/>
    <s v="기계장치"/>
    <n v="74375003.850000009"/>
    <n v="7090073.7578961849"/>
    <n v="2363357.9192987285"/>
    <m/>
    <m/>
    <m/>
    <m/>
    <m/>
    <m/>
    <m/>
    <n v="7090073.7578961849"/>
    <n v="7090073.7578961849"/>
    <n v="14180147.51579237"/>
    <n v="7090073.7578961849"/>
    <n v="7090073.7578961849"/>
    <n v="7090073.7578961849"/>
    <n v="7090073.7578961849"/>
    <n v="28360295.03158474"/>
    <n v="7090073.7578961849"/>
    <n v="7090073.7578961849"/>
    <n v="7090073.7578961849"/>
    <n v="7090073.7578961849"/>
    <n v="28360295.03158474"/>
    <n v="7090073.7578961849"/>
    <n v="7090073.7578961849"/>
    <n v="7090073.7578961849"/>
    <n v="7090073.7578961849"/>
    <n v="28360295.03158474"/>
    <m/>
    <n v="7.2622550667941861E-3"/>
    <n v="152507356.40267789"/>
    <n v="226882360.25267792"/>
  </r>
  <r>
    <n v="529"/>
    <x v="0"/>
    <m/>
    <s v="구용근"/>
    <s v="구미"/>
    <s v="PKG"/>
    <s v="O"/>
    <s v="8&quot;&amp;12&quot;"/>
    <s v="DDI"/>
    <x v="4"/>
    <s v="COF"/>
    <x v="32"/>
    <n v="1005505"/>
    <s v="Part"/>
    <s v="U/L Space tape 자석바"/>
    <m/>
    <x v="52"/>
    <m/>
    <m/>
    <x v="0"/>
    <s v="가동"/>
    <s v="한국"/>
    <m/>
    <x v="0"/>
    <s v="1차"/>
    <s v="1차"/>
    <s v="일반장비(비통제)"/>
    <m/>
    <m/>
    <m/>
    <m/>
    <m/>
    <m/>
    <m/>
    <m/>
    <d v="2018-06-28T00:00:00"/>
    <d v="2018-06-28T00:00:00"/>
    <n v="7.3479452054794523"/>
    <n v="8"/>
    <s v="G1-1층"/>
    <s v="자사"/>
    <s v="미설정"/>
    <n v="0"/>
    <m/>
    <m/>
    <m/>
    <n v="21080000"/>
    <m/>
    <m/>
    <m/>
    <n v="18884162"/>
    <n v="219583"/>
    <n v="1537089"/>
    <n v="46898"/>
    <m/>
    <m/>
    <n v="10.000036432692877"/>
    <s v="미완료"/>
    <s v="D-ILB"/>
    <s v="COF(Assy_FT)"/>
    <s v="COF(Assy_FT)"/>
    <s v="기계장치"/>
    <n v="1613943.45"/>
    <n v="153855.15978798072"/>
    <n v="51285.053262660243"/>
    <m/>
    <m/>
    <m/>
    <m/>
    <m/>
    <m/>
    <m/>
    <n v="153855.15978798072"/>
    <n v="153855.15978798072"/>
    <n v="307710.31957596145"/>
    <n v="153855.15978798072"/>
    <n v="153855.15978798072"/>
    <n v="153855.15978798072"/>
    <n v="153855.15978798072"/>
    <n v="615420.63915192289"/>
    <n v="153855.15978798072"/>
    <n v="153855.15978798072"/>
    <n v="153855.15978798072"/>
    <n v="153855.15978798072"/>
    <n v="615420.63915192289"/>
    <n v="153855.15978798072"/>
    <n v="153855.15978798072"/>
    <n v="153855.15978798072"/>
    <n v="153855.15978798072"/>
    <n v="615420.63915192289"/>
    <m/>
    <n v="1.575915077721611E-4"/>
    <n v="3309421.663215383"/>
    <n v="4923365.1132153831"/>
  </r>
  <r>
    <n v="530"/>
    <x v="0"/>
    <m/>
    <s v="구용근"/>
    <s v="구미"/>
    <s v="PKG"/>
    <s v="O"/>
    <s v="8&quot;&amp;12&quot;"/>
    <s v="DDI"/>
    <x v="4"/>
    <s v="COF"/>
    <x v="17"/>
    <n v="1007704"/>
    <s v="MC"/>
    <s v="PWM-04 : Tape Auto Mount(DT-NWM-1050DM)(Used)"/>
    <s v="DT-NWM-1050M"/>
    <x v="93"/>
    <m/>
    <s v="DT-09165"/>
    <x v="168"/>
    <s v="가동"/>
    <s v="한국"/>
    <s v="DYNATECH"/>
    <x v="2"/>
    <s v="3차"/>
    <s v="3차"/>
    <s v="일반장비(비통제)"/>
    <s v="제조 가공 장비"/>
    <m/>
    <m/>
    <m/>
    <s v="EAR99"/>
    <s v="8479.89-9099"/>
    <m/>
    <m/>
    <d v="2024-08-26T00:00:00"/>
    <d v="2024-09-02T00:00:00"/>
    <n v="1.1616438356164382"/>
    <n v="8"/>
    <s v="G1-1층"/>
    <s v="자사"/>
    <s v="미설정"/>
    <n v="2.4"/>
    <n v="2269"/>
    <n v="1124"/>
    <n v="1986"/>
    <n v="21300000"/>
    <m/>
    <m/>
    <m/>
    <n v="2440625"/>
    <n v="221875"/>
    <n v="18193750"/>
    <n v="1801070"/>
    <m/>
    <m/>
    <n v="85"/>
    <s v="미완료"/>
    <s v="D-SAW"/>
    <s v="COF(Assy_FT)"/>
    <s v="COF(Assy_FT)"/>
    <s v="기계장치"/>
    <n v="19103437.5"/>
    <n v="596982.421875"/>
    <n v="198994.140625"/>
    <m/>
    <m/>
    <m/>
    <m/>
    <m/>
    <m/>
    <m/>
    <n v="596982.421875"/>
    <n v="596982.421875"/>
    <n v="1193964.84375"/>
    <n v="596982.421875"/>
    <n v="596982.421875"/>
    <n v="596982.421875"/>
    <n v="596982.421875"/>
    <n v="2387929.6875"/>
    <n v="596982.421875"/>
    <n v="596982.421875"/>
    <n v="596982.421875"/>
    <n v="596982.421875"/>
    <n v="2387929.6875"/>
    <n v="596982.421875"/>
    <n v="596982.421875"/>
    <n v="596982.421875"/>
    <n v="596982.421875"/>
    <n v="2387929.6875"/>
    <m/>
    <m/>
    <m/>
    <n v="19103437.5"/>
  </r>
  <r>
    <n v="531"/>
    <x v="0"/>
    <m/>
    <s v="구용근"/>
    <s v="구미"/>
    <s v="PKG"/>
    <s v="O"/>
    <s v="8&quot;&amp;12&quot;"/>
    <s v="DDI"/>
    <x v="4"/>
    <s v="COF"/>
    <x v="36"/>
    <n v="1007705"/>
    <s v="MC"/>
    <s v="PTA-15 : Tape Attach Dual Type(쿠온솔루션)"/>
    <s v="CUMAA-080R"/>
    <x v="89"/>
    <m/>
    <s v="CU24304"/>
    <x v="0"/>
    <s v="가동"/>
    <s v="한국"/>
    <s v="쿠온솔루션"/>
    <x v="2"/>
    <s v="3차"/>
    <s v="3차"/>
    <s v="일반장비(비통제)"/>
    <s v="방열 tape 부착"/>
    <m/>
    <m/>
    <m/>
    <s v="EAR99"/>
    <s v="8486.40-0000"/>
    <m/>
    <m/>
    <d v="2024-09-23T00:00:00"/>
    <d v="2024-09-23T00:00:00"/>
    <n v="1.1041095890410959"/>
    <n v="8"/>
    <s v="G1-1층"/>
    <s v="자사"/>
    <s v="미설정"/>
    <n v="6.6"/>
    <n v="4784"/>
    <n v="1986"/>
    <n v="1324"/>
    <n v="602000000"/>
    <m/>
    <m/>
    <m/>
    <n v="63479165"/>
    <n v="6270833"/>
    <n v="519708336"/>
    <n v="51461606"/>
    <m/>
    <m/>
    <n v="85.877081242635555"/>
    <s v="미완료"/>
    <s v="D-ATTACH"/>
    <s v="COF(Assy_FT)"/>
    <s v="COF(Assy_FT)"/>
    <s v="기계장치"/>
    <n v="545693752.80000007"/>
    <n v="17052929.775000002"/>
    <n v="5684309.9250000007"/>
    <m/>
    <m/>
    <m/>
    <m/>
    <m/>
    <m/>
    <m/>
    <n v="17052929.775000002"/>
    <n v="17052929.775000002"/>
    <n v="34105859.550000004"/>
    <n v="17052929.775000002"/>
    <n v="17052929.775000002"/>
    <n v="17052929.775000002"/>
    <n v="17052929.775000002"/>
    <n v="68211719.100000009"/>
    <n v="17052929.775000002"/>
    <n v="17052929.775000002"/>
    <n v="17052929.775000002"/>
    <n v="17052929.775000002"/>
    <n v="68211719.100000009"/>
    <n v="17052929.775000002"/>
    <n v="17052929.775000002"/>
    <n v="17052929.775000002"/>
    <n v="17052929.775000002"/>
    <n v="68211719.100000009"/>
    <m/>
    <m/>
    <m/>
    <n v="545693752.80000007"/>
  </r>
  <r>
    <n v="532"/>
    <x v="0"/>
    <m/>
    <s v="구용근"/>
    <s v="구미"/>
    <s v="PKG"/>
    <s v="O"/>
    <s v="8&quot;&amp;12&quot;"/>
    <s v="DDI"/>
    <x v="4"/>
    <s v="COF"/>
    <x v="32"/>
    <n v="1005504"/>
    <s v="Part"/>
    <s v="Wafer gripper"/>
    <m/>
    <x v="52"/>
    <m/>
    <m/>
    <x v="0"/>
    <s v="가동"/>
    <s v="한국"/>
    <m/>
    <x v="0"/>
    <s v="1차"/>
    <s v="1차"/>
    <s v="일반장비(비통제)"/>
    <m/>
    <m/>
    <m/>
    <m/>
    <m/>
    <m/>
    <m/>
    <m/>
    <d v="2018-06-28T00:00:00"/>
    <d v="2018-06-28T00:00:00"/>
    <n v="7.3479452054794523"/>
    <n v="8"/>
    <s v="G1-1층"/>
    <s v="자사"/>
    <s v="미설정"/>
    <n v="0"/>
    <m/>
    <m/>
    <m/>
    <n v="7344000"/>
    <m/>
    <m/>
    <m/>
    <n v="6579000"/>
    <n v="76500"/>
    <n v="535500"/>
    <n v="16729"/>
    <m/>
    <m/>
    <n v="10"/>
    <s v="미완료"/>
    <s v="D-ILB"/>
    <s v="COF(Assy_FT)"/>
    <s v="COF(Assy_FT)"/>
    <s v="기계장치"/>
    <n v="562275"/>
    <n v="53600.954835057484"/>
    <n v="17866.984945019161"/>
    <m/>
    <m/>
    <m/>
    <m/>
    <m/>
    <m/>
    <m/>
    <n v="53600.954835057484"/>
    <n v="53600.954835057484"/>
    <n v="107201.90967011497"/>
    <n v="53600.954835057484"/>
    <n v="53600.954835057484"/>
    <n v="53600.954835057484"/>
    <n v="53600.954835057484"/>
    <n v="214403.81934022994"/>
    <n v="53600.954835057484"/>
    <n v="53600.954835057484"/>
    <n v="53600.954835057484"/>
    <n v="53600.954835057484"/>
    <n v="214403.81934022994"/>
    <n v="53600.954835057484"/>
    <n v="53600.954835057484"/>
    <n v="53600.954835057484"/>
    <n v="53600.954835057484"/>
    <n v="214403.81934022994"/>
    <m/>
    <n v="5.4902645462944741E-5"/>
    <n v="1152955.5547218395"/>
    <n v="1715230.5547218395"/>
  </r>
  <r>
    <n v="533"/>
    <x v="0"/>
    <m/>
    <s v="이종희"/>
    <s v="구미"/>
    <s v="PKG"/>
    <s v="O"/>
    <m/>
    <s v="DDI"/>
    <x v="2"/>
    <s v="Au bump"/>
    <x v="37"/>
    <n v="1007171"/>
    <s v="검사"/>
    <s v="COF Bump Paticle 검사기(TSI KOREA)"/>
    <s v="COF054"/>
    <x v="94"/>
    <m/>
    <s v="COF-2202790395-001"/>
    <x v="0"/>
    <s v="가동"/>
    <s v="한국"/>
    <s v="TSI KOREA"/>
    <x v="1"/>
    <s v="1차"/>
    <s v="1차"/>
    <s v="일반장비(비통제)"/>
    <s v="파티클 검사기"/>
    <m/>
    <m/>
    <m/>
    <s v="EAR99"/>
    <s v="9031.49-0000"/>
    <m/>
    <m/>
    <m/>
    <d v="2023-03-24T00:00:00"/>
    <n v="2.6082191780821917"/>
    <n v="8"/>
    <m/>
    <s v="자사"/>
    <s v="설정"/>
    <m/>
    <n v="2000"/>
    <n v="500"/>
    <n v="1700"/>
    <n v="451300000"/>
    <m/>
    <m/>
    <m/>
    <n v="136330210"/>
    <n v="4701042"/>
    <n v="300866664"/>
    <n v="29240043"/>
    <m/>
    <m/>
    <m/>
    <s v="미완료"/>
    <s v="D-VI"/>
    <s v="Bump"/>
    <s v="Bump"/>
    <s v="기계장치"/>
    <n v="315909997.19999999"/>
    <n v="30115294.992415346"/>
    <n v="10038431.664138449"/>
    <m/>
    <m/>
    <n v="30115294.992415346"/>
    <n v="30115294.992415346"/>
    <n v="60230589.984830692"/>
    <n v="30115294.992415346"/>
    <n v="30115294.992415346"/>
    <n v="30115294.992415346"/>
    <n v="30115294.992415346"/>
    <n v="120461179.96966138"/>
    <n v="30115294.992415346"/>
    <n v="30115294.992415346"/>
    <n v="30115294.992415346"/>
    <n v="30115294.992415346"/>
    <n v="120461179.96966138"/>
    <n v="30115294.992415346"/>
    <n v="30115294.992415346"/>
    <n v="30115294.992415346"/>
    <n v="30115294.992415346"/>
    <n v="120461179.96966138"/>
    <n v="30115294.992415346"/>
    <n v="30115294.992415346"/>
    <n v="30115294.992415346"/>
    <n v="30115294.992415346"/>
    <n v="120461179.96966138"/>
    <m/>
    <n v="3.0846640121775761E-2"/>
    <n v="647779442.55729103"/>
    <n v="963689439.75729108"/>
  </r>
  <r>
    <n v="534"/>
    <x v="0"/>
    <m/>
    <s v="이종희"/>
    <s v="구미"/>
    <s v="PKG"/>
    <s v="O"/>
    <m/>
    <s v="DDI"/>
    <x v="0"/>
    <s v="PT"/>
    <x v="0"/>
    <n v="1003965"/>
    <s v="MC"/>
    <s v="DIK-02 : Automatic Wafer INK Prober"/>
    <s v="UF3000LX"/>
    <x v="11"/>
    <s v="Prober"/>
    <s v="F25017GH"/>
    <x v="0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13-08-07T00:00:00"/>
    <n v="12.241095890410959"/>
    <n v="8"/>
    <m/>
    <s v="자사"/>
    <s v="미설정"/>
    <n v="0.66"/>
    <n v="1487"/>
    <n v="1622"/>
    <n v="1423"/>
    <n v="142580096"/>
    <m/>
    <m/>
    <m/>
    <n v="142579096"/>
    <n v="0"/>
    <n v="1000"/>
    <n v="1000"/>
    <m/>
    <m/>
    <m/>
    <s v="완료"/>
    <s v="P-PT"/>
    <s v="Test"/>
    <s v="Test"/>
    <s v="기계장치"/>
    <n v="2851601.92"/>
    <n v="271839.55488236749"/>
    <n v="90613.184960789164"/>
    <m/>
    <m/>
    <n v="271839.55488236749"/>
    <n v="271839.55488236749"/>
    <n v="543679.10976473498"/>
    <n v="271839.55488236749"/>
    <n v="271839.55488236749"/>
    <n v="271839.55488236749"/>
    <n v="271839.55488236749"/>
    <n v="1087358.21952947"/>
    <n v="271839.55488236749"/>
    <n v="271839.55488236749"/>
    <n v="271839.55488236749"/>
    <n v="271839.55488236749"/>
    <n v="1087358.21952947"/>
    <n v="271839.55488236749"/>
    <n v="271839.55488236749"/>
    <n v="271839.55488236749"/>
    <n v="271839.55488236749"/>
    <n v="1087358.21952947"/>
    <n v="271839.55488236749"/>
    <n v="271839.55488236749"/>
    <n v="271839.55488236749"/>
    <n v="271839.55488236749"/>
    <n v="1087358.21952947"/>
    <m/>
    <n v="2.7844113505884577E-4"/>
    <n v="5847263.8362357607"/>
    <n v="8698865.7562357597"/>
  </r>
  <r>
    <n v="535"/>
    <x v="0"/>
    <m/>
    <s v="이종희"/>
    <s v="구미"/>
    <s v="PKG"/>
    <s v="O"/>
    <m/>
    <s v="DDI"/>
    <x v="0"/>
    <s v="PT"/>
    <x v="0"/>
    <n v="1004325"/>
    <s v="MC"/>
    <s v="DIK-03 : Ink Wafer Prober Model_UF-3000LX_Tokyo Seimitsu"/>
    <s v="UF3000LX"/>
    <x v="11"/>
    <s v="Prober"/>
    <s v="F25001EJ"/>
    <x v="0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14-05-14T00:00:00"/>
    <n v="11.473972602739726"/>
    <n v="8"/>
    <m/>
    <s v="자사"/>
    <s v="미설정"/>
    <n v="0.66"/>
    <n v="1487"/>
    <n v="1622"/>
    <n v="1423"/>
    <n v="121761491"/>
    <m/>
    <m/>
    <m/>
    <n v="121760491"/>
    <n v="100466"/>
    <n v="1000"/>
    <n v="1000"/>
    <m/>
    <m/>
    <m/>
    <s v="완료"/>
    <s v="P-PT"/>
    <s v="Test"/>
    <s v="Test"/>
    <s v="기계장치"/>
    <n v="2435229.8199999998"/>
    <n v="232147.33643645042"/>
    <n v="77382.445478816808"/>
    <m/>
    <m/>
    <n v="232147.33643645042"/>
    <n v="232147.33643645042"/>
    <n v="464294.67287290085"/>
    <n v="232147.33643645042"/>
    <n v="232147.33643645042"/>
    <n v="232147.33643645042"/>
    <n v="232147.33643645042"/>
    <n v="928589.34574580169"/>
    <n v="232147.33643645042"/>
    <n v="232147.33643645042"/>
    <n v="232147.33643645042"/>
    <n v="232147.33643645042"/>
    <n v="928589.34574580169"/>
    <n v="232147.33643645042"/>
    <n v="232147.33643645042"/>
    <n v="232147.33643645042"/>
    <n v="232147.33643645042"/>
    <n v="928589.34574580169"/>
    <n v="232147.33643645042"/>
    <n v="232147.33643645042"/>
    <n v="232147.33643645042"/>
    <n v="232147.33643645042"/>
    <n v="928589.34574580169"/>
    <m/>
    <n v="2.377849974269721E-4"/>
    <n v="4993484.9459664142"/>
    <n v="7428714.7659664135"/>
  </r>
  <r>
    <n v="536"/>
    <x v="0"/>
    <m/>
    <s v="이종희"/>
    <s v="구미"/>
    <s v="PKG"/>
    <s v="O"/>
    <m/>
    <s v="DDI"/>
    <x v="0"/>
    <s v="PT"/>
    <x v="0"/>
    <n v="1002882"/>
    <s v="MC"/>
    <s v="DPP-02 : WAFER PROBER SYSTEM(UF-2000)(F22012EF)"/>
    <s v="UF2000"/>
    <x v="3"/>
    <s v="Prober"/>
    <s v="F22012EF"/>
    <x v="169"/>
    <s v="운휴"/>
    <s v="일본"/>
    <s v="ACCRETECH"/>
    <x v="2"/>
    <s v="1차"/>
    <s v="1차"/>
    <s v="해당"/>
    <s v="Wafer Test Prober"/>
    <s v="Wafer Die Test"/>
    <m/>
    <m/>
    <s v="3A992"/>
    <s v="9030.82-0000"/>
    <s v="반도체 제조 및 검사장비"/>
    <m/>
    <m/>
    <d v="2012-06-07T00:00:00"/>
    <n v="13.408219178082192"/>
    <n v="8"/>
    <m/>
    <s v="자사"/>
    <s v="미설정"/>
    <n v="0.56320000000000003"/>
    <n v="1229"/>
    <n v="1142"/>
    <n v="933"/>
    <n v="194614122"/>
    <m/>
    <m/>
    <m/>
    <n v="194613122"/>
    <n v="0"/>
    <n v="1000"/>
    <n v="1000"/>
    <m/>
    <m/>
    <m/>
    <s v="완료"/>
    <s v="P-PT"/>
    <s v="Test"/>
    <s v="Test"/>
    <s v="기계장치"/>
    <n v="3892282.44"/>
    <n v="121633.82625"/>
    <n v="40544.608749999999"/>
    <m/>
    <m/>
    <m/>
    <m/>
    <m/>
    <m/>
    <m/>
    <n v="121633.82625"/>
    <n v="121633.82625"/>
    <n v="243267.6525"/>
    <n v="121633.82625"/>
    <n v="121633.82625"/>
    <n v="121633.82625"/>
    <n v="121633.82625"/>
    <n v="486535.30499999999"/>
    <n v="121633.82625"/>
    <n v="121633.82625"/>
    <n v="121633.82625"/>
    <n v="121633.82625"/>
    <n v="486535.30499999999"/>
    <n v="121633.82625"/>
    <n v="121633.82625"/>
    <n v="121633.82625"/>
    <n v="121633.82625"/>
    <n v="486535.30499999999"/>
    <m/>
    <m/>
    <m/>
    <n v="3892282.44"/>
  </r>
  <r>
    <n v="537"/>
    <x v="0"/>
    <m/>
    <s v="이종희"/>
    <s v="구미"/>
    <s v="PKG"/>
    <s v="O"/>
    <m/>
    <s v="DDI"/>
    <x v="0"/>
    <s v="PT"/>
    <x v="0"/>
    <n v="1003850"/>
    <s v="MC"/>
    <s v="DPP-03 : UF3000LX : Automatic Wafer Prober Machine(F25008DH)"/>
    <s v="UF3000LX"/>
    <x v="11"/>
    <s v="Prober"/>
    <s v="F25008DH"/>
    <x v="170"/>
    <s v="가동"/>
    <s v="일본"/>
    <s v="ACCRETECH"/>
    <x v="0"/>
    <s v="1차"/>
    <s v="1차"/>
    <s v="해당"/>
    <s v="Wafer Test Prober"/>
    <s v="Wafer Die Test"/>
    <m/>
    <m/>
    <s v="3A992"/>
    <s v="9030.82-0000"/>
    <m/>
    <m/>
    <m/>
    <d v="2013-04-16T00:00:00"/>
    <n v="12.550684931506849"/>
    <n v="8"/>
    <m/>
    <s v="자사"/>
    <s v="미설정"/>
    <n v="0.66"/>
    <n v="1487"/>
    <n v="1622"/>
    <n v="1423"/>
    <n v="162628035"/>
    <m/>
    <m/>
    <m/>
    <n v="162627035"/>
    <n v="0"/>
    <n v="1000"/>
    <n v="1000"/>
    <m/>
    <m/>
    <m/>
    <s v="완료"/>
    <s v="P-PT"/>
    <s v="Test"/>
    <s v="Test"/>
    <s v="기계장치"/>
    <n v="3252560.7"/>
    <n v="310062.4412947098"/>
    <n v="103354.1470982366"/>
    <m/>
    <m/>
    <m/>
    <m/>
    <m/>
    <m/>
    <m/>
    <n v="310062.4412947098"/>
    <n v="310062.4412947098"/>
    <n v="620124.88258941961"/>
    <n v="310062.4412947098"/>
    <n v="310062.4412947098"/>
    <n v="310062.4412947098"/>
    <n v="310062.4412947098"/>
    <n v="1240249.7651788392"/>
    <n v="310062.4412947098"/>
    <n v="310062.4412947098"/>
    <n v="310062.4412947098"/>
    <n v="310062.4412947098"/>
    <n v="1240249.7651788392"/>
    <n v="310062.4412947098"/>
    <n v="310062.4412947098"/>
    <n v="310062.4412947098"/>
    <n v="310062.4412947098"/>
    <n v="1240249.7651788392"/>
    <m/>
    <n v="3.1759225816336737E-4"/>
    <n v="6669437.4214307144"/>
    <n v="9921998.1214307137"/>
  </r>
  <r>
    <n v="538"/>
    <x v="0"/>
    <m/>
    <s v="이종희"/>
    <s v="구미"/>
    <s v="PKG"/>
    <s v="O"/>
    <m/>
    <s v="DDI"/>
    <x v="0"/>
    <s v="PT"/>
    <x v="0"/>
    <n v="1002892"/>
    <s v="MC"/>
    <s v="DPP-05 : WAFER PROBER SYSTEM:UF-2000(FOR ST6730A)(F22013EF)"/>
    <s v="UF2000"/>
    <x v="3"/>
    <s v="Prober"/>
    <s v="F22013EF"/>
    <x v="0"/>
    <s v="임대"/>
    <s v="일본"/>
    <s v="ACCRETECH"/>
    <x v="2"/>
    <s v="1차"/>
    <s v="1차"/>
    <s v="해당"/>
    <s v="Wafer Test Prober"/>
    <s v="Wafer Die Test"/>
    <m/>
    <m/>
    <s v="3A992"/>
    <s v="9030.82-0000"/>
    <s v="반도체 제조 및 검사장비"/>
    <m/>
    <m/>
    <d v="2012-06-07T00:00:00"/>
    <n v="13.408219178082192"/>
    <n v="8"/>
    <m/>
    <s v="자사"/>
    <s v="미설정"/>
    <n v="0.56320000000000003"/>
    <n v="1229"/>
    <n v="1142"/>
    <n v="933"/>
    <n v="172509649"/>
    <m/>
    <m/>
    <m/>
    <n v="172508649"/>
    <n v="0"/>
    <n v="1000"/>
    <n v="1000"/>
    <m/>
    <m/>
    <m/>
    <s v="완료"/>
    <s v="공통(L)"/>
    <s v="Test"/>
    <s v="Test"/>
    <s v="기계장치"/>
    <n v="3450192.98"/>
    <n v="107818.530625"/>
    <n v="35939.510208333333"/>
    <m/>
    <m/>
    <m/>
    <m/>
    <m/>
    <m/>
    <m/>
    <n v="107818.530625"/>
    <n v="107818.530625"/>
    <n v="215637.06125"/>
    <n v="107818.530625"/>
    <n v="107818.530625"/>
    <n v="107818.530625"/>
    <n v="107818.530625"/>
    <n v="431274.1225"/>
    <n v="107818.530625"/>
    <n v="107818.530625"/>
    <n v="107818.530625"/>
    <n v="107818.530625"/>
    <n v="431274.1225"/>
    <n v="107818.530625"/>
    <n v="107818.530625"/>
    <n v="107818.530625"/>
    <n v="107818.530625"/>
    <n v="431274.1225"/>
    <m/>
    <m/>
    <m/>
    <n v="3450192.98"/>
  </r>
  <r>
    <n v="539"/>
    <x v="0"/>
    <m/>
    <s v="이종희"/>
    <s v="구미"/>
    <s v="PKG"/>
    <s v="O"/>
    <m/>
    <s v="DDI"/>
    <x v="0"/>
    <s v="PT"/>
    <x v="0"/>
    <n v="1003925"/>
    <s v="MC"/>
    <s v="DPP-08 : UF3000LX(Automatic Wafer Prober Machine)(F25008GH)"/>
    <s v="UF3000LX"/>
    <x v="11"/>
    <s v="Prober"/>
    <s v="F25008GH"/>
    <x v="171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13-07-09T00:00:00"/>
    <n v="12.32054794520548"/>
    <n v="8"/>
    <m/>
    <s v="자사"/>
    <s v="미설정"/>
    <n v="0.66"/>
    <n v="1487"/>
    <n v="1622"/>
    <n v="1423"/>
    <n v="160053504"/>
    <m/>
    <m/>
    <m/>
    <n v="160052504"/>
    <n v="0"/>
    <n v="1000"/>
    <n v="1000"/>
    <m/>
    <m/>
    <m/>
    <s v="완료"/>
    <s v="P-PT"/>
    <s v="Test"/>
    <s v="Test"/>
    <s v="기계장치"/>
    <n v="3201070.08"/>
    <n v="305153.90650826349"/>
    <n v="101717.96883608784"/>
    <m/>
    <m/>
    <n v="305153.90650826349"/>
    <n v="305153.90650826349"/>
    <n v="610307.81301652698"/>
    <n v="305153.90650826349"/>
    <n v="305153.90650826349"/>
    <n v="305153.90650826349"/>
    <n v="305153.90650826349"/>
    <n v="1220615.626033054"/>
    <n v="305153.90650826349"/>
    <n v="305153.90650826349"/>
    <n v="305153.90650826349"/>
    <n v="305153.90650826349"/>
    <n v="1220615.626033054"/>
    <n v="305153.90650826349"/>
    <n v="305153.90650826349"/>
    <n v="305153.90650826349"/>
    <n v="305153.90650826349"/>
    <n v="1220615.626033054"/>
    <n v="305153.90650826349"/>
    <n v="305153.90650826349"/>
    <n v="305153.90650826349"/>
    <n v="305153.90650826349"/>
    <n v="1220615.626033054"/>
    <m/>
    <n v="3.1256452039354438E-4"/>
    <n v="6563854.9282644317"/>
    <n v="9764925.0082644317"/>
  </r>
  <r>
    <n v="540"/>
    <x v="0"/>
    <m/>
    <s v="이종희"/>
    <s v="구미"/>
    <s v="PKG"/>
    <s v="O"/>
    <m/>
    <s v="DDI"/>
    <x v="0"/>
    <s v="PT"/>
    <x v="0"/>
    <n v="1003966"/>
    <s v="MC"/>
    <s v="DPP-13 : Automatic Wafer Prober Machine(UF3000LX)(F25016GH)"/>
    <s v="UF3000LX"/>
    <x v="11"/>
    <s v="Prober"/>
    <s v="F25016GH"/>
    <x v="169"/>
    <s v="가동"/>
    <s v="일본"/>
    <s v="ACCRETECH"/>
    <x v="0"/>
    <s v="1차"/>
    <s v="1차"/>
    <s v="해당"/>
    <s v="Wafer Test Prober"/>
    <s v="Wafer Die Test"/>
    <m/>
    <m/>
    <s v="3A992"/>
    <s v="9030.82-0000"/>
    <m/>
    <m/>
    <m/>
    <d v="2013-08-07T00:00:00"/>
    <n v="12.241095890410959"/>
    <n v="8"/>
    <m/>
    <s v="자사"/>
    <s v="미설정"/>
    <n v="0.66"/>
    <n v="1487"/>
    <n v="1622"/>
    <n v="1423"/>
    <n v="160930647"/>
    <m/>
    <m/>
    <m/>
    <n v="160929647"/>
    <n v="0"/>
    <n v="1000"/>
    <n v="1000"/>
    <m/>
    <m/>
    <m/>
    <s v="완료"/>
    <s v="P-PT"/>
    <s v="Test"/>
    <s v="Test"/>
    <s v="기계장치"/>
    <n v="3218612.94"/>
    <n v="306826.24485967116"/>
    <n v="102275.41495322372"/>
    <m/>
    <m/>
    <m/>
    <m/>
    <m/>
    <m/>
    <m/>
    <n v="306826.24485967116"/>
    <n v="306826.24485967116"/>
    <n v="613652.48971934232"/>
    <n v="306826.24485967116"/>
    <n v="306826.24485967116"/>
    <n v="306826.24485967116"/>
    <n v="306826.24485967116"/>
    <n v="1227304.9794386846"/>
    <n v="306826.24485967116"/>
    <n v="306826.24485967116"/>
    <n v="306826.24485967116"/>
    <n v="306826.24485967116"/>
    <n v="1227304.9794386846"/>
    <n v="306826.24485967116"/>
    <n v="306826.24485967116"/>
    <n v="306826.24485967116"/>
    <n v="306826.24485967116"/>
    <n v="1227304.9794386846"/>
    <m/>
    <n v="3.14277471214737E-4"/>
    <n v="6599826.8955094768"/>
    <n v="9818439.8355094772"/>
  </r>
  <r>
    <n v="541"/>
    <x v="0"/>
    <m/>
    <s v="이종희"/>
    <s v="구미"/>
    <s v="PKG"/>
    <s v="O"/>
    <m/>
    <s v="DDI"/>
    <x v="0"/>
    <s v="PT"/>
    <x v="0"/>
    <n v="1003967"/>
    <s v="MC"/>
    <s v="DPP-14 : Automatic Wafer Prober Machine(UF3000LX)(F25018GH)"/>
    <s v="UF3000LX"/>
    <x v="11"/>
    <s v="Prober"/>
    <s v="F25018GH"/>
    <x v="169"/>
    <s v="가동"/>
    <s v="일본"/>
    <s v="ACCRETECH"/>
    <x v="0"/>
    <s v="1차"/>
    <s v="1차"/>
    <s v="해당"/>
    <s v="Wafer Test Prober"/>
    <s v="Wafer Die Test"/>
    <m/>
    <m/>
    <s v="3A992"/>
    <s v="9030.82-0000"/>
    <m/>
    <m/>
    <m/>
    <d v="2013-08-07T00:00:00"/>
    <n v="12.241095890410959"/>
    <n v="8"/>
    <m/>
    <s v="자사"/>
    <s v="미설정"/>
    <n v="0.66"/>
    <n v="1487"/>
    <n v="1622"/>
    <n v="1423"/>
    <n v="160930647"/>
    <m/>
    <m/>
    <m/>
    <n v="160929647"/>
    <n v="0"/>
    <n v="1000"/>
    <n v="1000"/>
    <m/>
    <m/>
    <m/>
    <s v="완료"/>
    <s v="P-PT"/>
    <s v="Test"/>
    <s v="Test"/>
    <s v="기계장치"/>
    <n v="3218612.94"/>
    <n v="306826.24485967116"/>
    <n v="102275.41495322372"/>
    <m/>
    <m/>
    <m/>
    <m/>
    <m/>
    <m/>
    <m/>
    <n v="306826.24485967116"/>
    <n v="306826.24485967116"/>
    <n v="613652.48971934232"/>
    <n v="306826.24485967116"/>
    <n v="306826.24485967116"/>
    <n v="306826.24485967116"/>
    <n v="306826.24485967116"/>
    <n v="1227304.9794386846"/>
    <n v="306826.24485967116"/>
    <n v="306826.24485967116"/>
    <n v="306826.24485967116"/>
    <n v="306826.24485967116"/>
    <n v="1227304.9794386846"/>
    <n v="306826.24485967116"/>
    <n v="306826.24485967116"/>
    <n v="306826.24485967116"/>
    <n v="306826.24485967116"/>
    <n v="1227304.9794386846"/>
    <m/>
    <n v="3.14277471214737E-4"/>
    <n v="6599826.8955094768"/>
    <n v="9818439.8355094772"/>
  </r>
  <r>
    <n v="542"/>
    <x v="0"/>
    <m/>
    <s v="이종희"/>
    <s v="구미"/>
    <s v="PKG"/>
    <s v="O"/>
    <m/>
    <s v="DDI"/>
    <x v="0"/>
    <s v="PT"/>
    <x v="0"/>
    <n v="1003924"/>
    <s v="MC"/>
    <s v="DPP-15 : UF3000LX(Automatic Wafer Prober Machine)(F25007GH)"/>
    <s v="UF3000LX"/>
    <x v="11"/>
    <s v="Prober"/>
    <s v="F25007GH"/>
    <x v="172"/>
    <s v="가동"/>
    <s v="일본"/>
    <s v="ACCRETECH"/>
    <x v="0"/>
    <s v="1차"/>
    <s v="1차"/>
    <s v="해당"/>
    <s v="Wafer Test Prober"/>
    <s v="Wafer Die Test"/>
    <m/>
    <m/>
    <s v="3A992"/>
    <s v="9030.82-0000"/>
    <m/>
    <m/>
    <m/>
    <d v="2013-07-12T00:00:00"/>
    <n v="12.312328767123288"/>
    <n v="8"/>
    <m/>
    <s v="자사"/>
    <s v="미설정"/>
    <n v="0.66"/>
    <n v="1487"/>
    <n v="1622"/>
    <n v="1423"/>
    <n v="159285452"/>
    <m/>
    <m/>
    <m/>
    <n v="159284452"/>
    <n v="0"/>
    <n v="1000"/>
    <n v="1000"/>
    <m/>
    <m/>
    <m/>
    <s v="완료"/>
    <s v="P-PT"/>
    <s v="Test"/>
    <s v="Test"/>
    <s v="기계장치"/>
    <n v="3185709.04"/>
    <n v="303689.5582600584"/>
    <n v="101229.8527533528"/>
    <m/>
    <m/>
    <m/>
    <m/>
    <m/>
    <m/>
    <m/>
    <n v="303689.5582600584"/>
    <n v="303689.5582600584"/>
    <n v="607379.1165201168"/>
    <n v="303689.5582600584"/>
    <n v="303689.5582600584"/>
    <n v="303689.5582600584"/>
    <n v="303689.5582600584"/>
    <n v="1214758.2330402336"/>
    <n v="303689.5582600584"/>
    <n v="303689.5582600584"/>
    <n v="303689.5582600584"/>
    <n v="303689.5582600584"/>
    <n v="1214758.2330402336"/>
    <n v="303689.5582600584"/>
    <n v="303689.5582600584"/>
    <n v="303689.5582600584"/>
    <n v="303689.5582600584"/>
    <n v="1214758.2330402336"/>
    <m/>
    <n v="3.110646106819938E-4"/>
    <n v="6532356.8243218698"/>
    <n v="9718065.8643218689"/>
  </r>
  <r>
    <n v="543"/>
    <x v="0"/>
    <m/>
    <s v="이종희"/>
    <s v="구미"/>
    <s v="PKG"/>
    <s v="O"/>
    <m/>
    <s v="DDI"/>
    <x v="0"/>
    <s v="PT"/>
    <x v="0"/>
    <n v="1004522"/>
    <s v="MC"/>
    <s v="DPP-16 : PROBER_Tokyo Semitsu(UF3000LX)(F25005AK)"/>
    <s v="UF3000LX"/>
    <x v="11"/>
    <s v="Prober"/>
    <s v="F25005AK"/>
    <x v="169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15-01-29T00:00:00"/>
    <n v="10.761643835616438"/>
    <n v="8"/>
    <m/>
    <s v="자사"/>
    <s v="미설정"/>
    <n v="0.66"/>
    <n v="1487"/>
    <n v="1622"/>
    <n v="1423"/>
    <n v="126206983"/>
    <m/>
    <m/>
    <m/>
    <n v="126205983"/>
    <n v="452316"/>
    <n v="1000"/>
    <n v="1000"/>
    <m/>
    <m/>
    <m/>
    <s v="완료"/>
    <s v="P-PT"/>
    <s v="Test"/>
    <s v="Test"/>
    <s v="기계장치"/>
    <n v="2524139.66"/>
    <n v="240622.99748883976"/>
    <n v="80207.665829613252"/>
    <m/>
    <m/>
    <n v="240622.99748883976"/>
    <n v="240622.99748883976"/>
    <n v="481245.99497767951"/>
    <n v="240622.99748883976"/>
    <n v="240622.99748883976"/>
    <n v="240622.99748883976"/>
    <n v="240622.99748883976"/>
    <n v="962491.98995535902"/>
    <n v="240622.99748883976"/>
    <n v="240622.99748883976"/>
    <n v="240622.99748883976"/>
    <n v="240622.99748883976"/>
    <n v="962491.98995535902"/>
    <n v="240622.99748883976"/>
    <n v="240622.99748883976"/>
    <n v="240622.99748883976"/>
    <n v="240622.99748883976"/>
    <n v="962491.98995535902"/>
    <n v="240622.99748883976"/>
    <n v="240622.99748883976"/>
    <n v="240622.99748883976"/>
    <n v="240622.99748883976"/>
    <n v="962491.98995535902"/>
    <m/>
    <n v="2.4646648855442248E-4"/>
    <n v="5175796.259642872"/>
    <n v="7699935.9196428722"/>
  </r>
  <r>
    <n v="544"/>
    <x v="0"/>
    <m/>
    <s v="이종희"/>
    <s v="구미"/>
    <s v="PKG"/>
    <s v="O"/>
    <m/>
    <s v="DDI"/>
    <x v="0"/>
    <s v="PT"/>
    <x v="0"/>
    <n v="1004163"/>
    <s v="MC"/>
    <s v="DPP-20 : Prober_UF2000_TOKYO Semiitsu(F22002LH)"/>
    <s v="UF2000"/>
    <x v="3"/>
    <s v="Prober"/>
    <s v="F22002LH"/>
    <x v="169"/>
    <s v="운휴"/>
    <s v="일본"/>
    <s v="ACCRETECH"/>
    <x v="2"/>
    <s v="1차"/>
    <s v="1차"/>
    <s v="해당"/>
    <s v="Wafer Test Prober"/>
    <s v="Wafer Die Test"/>
    <m/>
    <m/>
    <s v="3A992"/>
    <s v="9030.82-0000"/>
    <s v="반도체 제조 및 검사장비"/>
    <m/>
    <m/>
    <d v="2014-01-29T00:00:00"/>
    <n v="11.761643835616438"/>
    <n v="8"/>
    <m/>
    <s v="자사"/>
    <s v="미설정"/>
    <n v="0.56320000000000003"/>
    <n v="1229"/>
    <n v="1142"/>
    <n v="933"/>
    <n v="130501250"/>
    <m/>
    <m/>
    <m/>
    <n v="130500250"/>
    <n v="0"/>
    <n v="1000"/>
    <n v="1000"/>
    <m/>
    <m/>
    <m/>
    <s v="완료"/>
    <s v="P-PT"/>
    <s v="Test"/>
    <s v="Test"/>
    <s v="기계장치"/>
    <n v="2610025"/>
    <n v="81563.28125"/>
    <n v="27187.760416666668"/>
    <m/>
    <m/>
    <m/>
    <m/>
    <m/>
    <m/>
    <m/>
    <n v="81563.28125"/>
    <n v="81563.28125"/>
    <n v="163126.5625"/>
    <n v="81563.28125"/>
    <n v="81563.28125"/>
    <n v="81563.28125"/>
    <n v="81563.28125"/>
    <n v="326253.125"/>
    <n v="81563.28125"/>
    <n v="81563.28125"/>
    <n v="81563.28125"/>
    <n v="81563.28125"/>
    <n v="326253.125"/>
    <n v="81563.28125"/>
    <n v="81563.28125"/>
    <n v="81563.28125"/>
    <n v="81563.28125"/>
    <n v="326253.125"/>
    <m/>
    <m/>
    <m/>
    <n v="2610025"/>
  </r>
  <r>
    <n v="545"/>
    <x v="0"/>
    <m/>
    <s v="이종희"/>
    <s v="구미"/>
    <s v="PKG"/>
    <s v="O"/>
    <m/>
    <s v="DDI"/>
    <x v="0"/>
    <s v="PT"/>
    <x v="0"/>
    <n v="1004164"/>
    <s v="MC"/>
    <s v="DPP-21 : Prober_UF3000LX_TOKYO Semiitsu(F25001AJ)"/>
    <s v="UF3000LX"/>
    <x v="11"/>
    <s v="Prober"/>
    <s v="F25001AJ"/>
    <x v="169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14-02-07T00:00:00"/>
    <n v="11.736986301369862"/>
    <n v="8"/>
    <m/>
    <s v="자사"/>
    <s v="미설정"/>
    <n v="0.66"/>
    <n v="1487"/>
    <n v="1622"/>
    <n v="1423"/>
    <n v="213381987"/>
    <m/>
    <m/>
    <m/>
    <n v="213380987"/>
    <n v="0"/>
    <n v="1000"/>
    <n v="1000"/>
    <m/>
    <m/>
    <m/>
    <s v="완료"/>
    <s v="P-PT"/>
    <s v="Test"/>
    <s v="Test"/>
    <s v="기계장치"/>
    <n v="4267639.74"/>
    <n v="406828.624705058"/>
    <n v="135609.54156835267"/>
    <m/>
    <m/>
    <n v="406828.624705058"/>
    <n v="406828.624705058"/>
    <n v="813657.249410116"/>
    <n v="406828.624705058"/>
    <n v="406828.624705058"/>
    <n v="406828.624705058"/>
    <n v="406828.624705058"/>
    <n v="1627314.498820232"/>
    <n v="406828.624705058"/>
    <n v="406828.624705058"/>
    <n v="406828.624705058"/>
    <n v="406828.624705058"/>
    <n v="1627314.498820232"/>
    <n v="406828.624705058"/>
    <n v="406828.624705058"/>
    <n v="406828.624705058"/>
    <n v="406828.624705058"/>
    <n v="1627314.498820232"/>
    <n v="406828.624705058"/>
    <n v="406828.624705058"/>
    <n v="406828.624705058"/>
    <n v="406828.624705058"/>
    <n v="1627314.498820232"/>
    <m/>
    <n v="4.167083928838979E-4"/>
    <n v="8750876.2505618557"/>
    <n v="13018515.990561856"/>
  </r>
  <r>
    <n v="546"/>
    <x v="0"/>
    <m/>
    <s v="이종희"/>
    <s v="구미"/>
    <s v="PKG"/>
    <s v="O"/>
    <m/>
    <s v="DDI"/>
    <x v="0"/>
    <s v="PT"/>
    <x v="0"/>
    <n v="1006665"/>
    <s v="MC"/>
    <s v="DPP-34 : PROBER_Tokyo Semitsu(UF3000LX)(F25008DJ)"/>
    <s v="UF3000LX"/>
    <x v="11"/>
    <s v="Prober"/>
    <s v="F25008DJ"/>
    <x v="173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21-09-07T00:00:00"/>
    <n v="4.1506849315068495"/>
    <n v="8"/>
    <m/>
    <s v="자사"/>
    <s v="설정"/>
    <n v="0.66"/>
    <n v="1487"/>
    <n v="1622"/>
    <n v="1423"/>
    <n v="166295808"/>
    <m/>
    <m/>
    <m/>
    <n v="81415656"/>
    <n v="1732248"/>
    <n v="79683408"/>
    <n v="16382328"/>
    <m/>
    <m/>
    <m/>
    <s v="미완료"/>
    <s v="P-PT"/>
    <s v="Test"/>
    <s v="Test"/>
    <s v="기계장치"/>
    <n v="83667578.400000006"/>
    <n v="7975922.9753715387"/>
    <n v="2658640.991790513"/>
    <m/>
    <m/>
    <n v="7975922.9753715396"/>
    <n v="7975922.9753715396"/>
    <n v="15951845.950743079"/>
    <n v="7975922.9753715396"/>
    <n v="7975922.9753715396"/>
    <n v="7975922.9753715396"/>
    <n v="7975922.9753715396"/>
    <n v="31903691.901486158"/>
    <n v="7975922.9753715396"/>
    <n v="7975922.9753715396"/>
    <n v="7975922.9753715396"/>
    <n v="7975922.9753715396"/>
    <n v="31903691.901486158"/>
    <n v="7975922.9753715396"/>
    <n v="7975922.9753715396"/>
    <n v="7975922.9753715396"/>
    <n v="7975922.9753715396"/>
    <n v="31903691.901486158"/>
    <n v="7975922.9753715396"/>
    <n v="7975922.9753715396"/>
    <n v="7975922.9753715396"/>
    <n v="7975922.9753715396"/>
    <n v="31903691.901486158"/>
    <m/>
    <n v="8.1696169910423447E-3"/>
    <n v="171561956.81188923"/>
    <n v="255229535.21188924"/>
  </r>
  <r>
    <n v="547"/>
    <x v="0"/>
    <m/>
    <s v="이종희"/>
    <s v="구미"/>
    <s v="PKG"/>
    <s v="O"/>
    <m/>
    <s v="DDI"/>
    <x v="0"/>
    <s v="PT"/>
    <x v="0"/>
    <n v="1005162"/>
    <s v="MC"/>
    <s v="DPP-37 : PROBER(UF3000LX)(ND4)_Tokyo Seimitsu(F25001HM)"/>
    <s v="UF3000LX"/>
    <x v="11"/>
    <s v="Prober"/>
    <s v="F25001HM"/>
    <x v="173"/>
    <s v="가동"/>
    <s v="일본"/>
    <s v="ACCRETECH"/>
    <x v="0"/>
    <s v="1차"/>
    <s v="1차"/>
    <s v="해당"/>
    <s v="Wafer Test Prober"/>
    <s v="Wafer Die Test"/>
    <m/>
    <m/>
    <s v="3A992"/>
    <s v="9030.82-0000"/>
    <m/>
    <m/>
    <m/>
    <d v="2017-08-17T00:00:00"/>
    <n v="8.2109589041095887"/>
    <n v="8"/>
    <m/>
    <s v="자사"/>
    <s v="미설정"/>
    <n v="0.66"/>
    <n v="1487"/>
    <n v="1622"/>
    <n v="1423"/>
    <n v="195424482"/>
    <m/>
    <m/>
    <m/>
    <n v="180555930"/>
    <n v="1990776"/>
    <n v="8896224"/>
    <n v="1000"/>
    <m/>
    <m/>
    <m/>
    <s v="미완료"/>
    <s v="P-PT"/>
    <s v="Test"/>
    <s v="Test"/>
    <s v="기계장치"/>
    <n v="9341035.2000000011"/>
    <n v="890468.90910654445"/>
    <n v="296822.96970218146"/>
    <m/>
    <m/>
    <m/>
    <m/>
    <m/>
    <m/>
    <m/>
    <n v="890468.90910654445"/>
    <n v="890468.90910654445"/>
    <n v="1780937.8182130889"/>
    <n v="890468.90910654445"/>
    <n v="890468.90910654445"/>
    <n v="890468.90910654445"/>
    <n v="890468.90910654445"/>
    <n v="3561875.6364261778"/>
    <n v="890468.90910654445"/>
    <n v="890468.90910654445"/>
    <n v="890468.90910654445"/>
    <n v="890468.90910654445"/>
    <n v="3561875.6364261778"/>
    <n v="890468.90910654445"/>
    <n v="890468.90910654445"/>
    <n v="890468.90910654445"/>
    <n v="890468.90910654445"/>
    <n v="3561875.6364261778"/>
    <m/>
    <n v="9.1209380435282946E-4"/>
    <n v="19153969.891409419"/>
    <n v="28495005.091409422"/>
  </r>
  <r>
    <n v="548"/>
    <x v="0"/>
    <m/>
    <s v="이종희"/>
    <s v="구미"/>
    <s v="PKG"/>
    <s v="O"/>
    <m/>
    <s v="DDI"/>
    <x v="0"/>
    <s v="PT"/>
    <x v="0"/>
    <n v="1004523"/>
    <s v="MC"/>
    <s v="DPP-38 : PROBER_Tokyo Semitsu(UF3000LX)(F25002AK)"/>
    <s v="UF3000LX"/>
    <x v="11"/>
    <s v="Prober"/>
    <s v="F25002AK"/>
    <x v="173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15-01-29T00:00:00"/>
    <n v="10.761643835616438"/>
    <n v="8"/>
    <m/>
    <s v="자사"/>
    <s v="미설정"/>
    <n v="0.66"/>
    <n v="1487"/>
    <n v="1622"/>
    <n v="1423"/>
    <n v="126206983"/>
    <m/>
    <m/>
    <m/>
    <n v="126205983"/>
    <n v="452316"/>
    <n v="1000"/>
    <n v="1000"/>
    <m/>
    <m/>
    <m/>
    <s v="완료"/>
    <s v="P-PT"/>
    <s v="Test"/>
    <s v="Test"/>
    <s v="기계장치"/>
    <n v="2524139.66"/>
    <n v="240622.99748883976"/>
    <n v="80207.665829613252"/>
    <m/>
    <m/>
    <n v="240622.99748883976"/>
    <n v="240622.99748883976"/>
    <n v="481245.99497767951"/>
    <n v="240622.99748883976"/>
    <n v="240622.99748883976"/>
    <n v="240622.99748883976"/>
    <n v="240622.99748883976"/>
    <n v="962491.98995535902"/>
    <n v="240622.99748883976"/>
    <n v="240622.99748883976"/>
    <n v="240622.99748883976"/>
    <n v="240622.99748883976"/>
    <n v="962491.98995535902"/>
    <n v="240622.99748883976"/>
    <n v="240622.99748883976"/>
    <n v="240622.99748883976"/>
    <n v="240622.99748883976"/>
    <n v="962491.98995535902"/>
    <n v="240622.99748883976"/>
    <n v="240622.99748883976"/>
    <n v="240622.99748883976"/>
    <n v="240622.99748883976"/>
    <n v="962491.98995535902"/>
    <m/>
    <n v="2.4646648855442248E-4"/>
    <n v="5175796.259642872"/>
    <n v="7699935.9196428722"/>
  </r>
  <r>
    <n v="549"/>
    <x v="0"/>
    <m/>
    <s v="이종희"/>
    <s v="구미"/>
    <s v="PKG"/>
    <s v="O"/>
    <m/>
    <s v="DDI"/>
    <x v="0"/>
    <s v="PT"/>
    <x v="0"/>
    <n v="1004236"/>
    <s v="MC"/>
    <s v="DPP-39 : PROBER_Tokyo Semitsu (UF3000LX)(F25004CJ)"/>
    <s v="UF3000LX"/>
    <x v="11"/>
    <s v="Prober"/>
    <s v="F25004CJ"/>
    <x v="173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14-03-18T00:00:00"/>
    <n v="11.63013698630137"/>
    <n v="8"/>
    <m/>
    <s v="자사"/>
    <s v="미설정"/>
    <n v="0.66"/>
    <n v="1487"/>
    <n v="1622"/>
    <n v="1423"/>
    <n v="223010685"/>
    <m/>
    <m/>
    <m/>
    <n v="223009685"/>
    <n v="1660165"/>
    <n v="1000"/>
    <n v="1000"/>
    <m/>
    <m/>
    <m/>
    <s v="완료"/>
    <s v="P-PT"/>
    <s v="Test"/>
    <s v="Test"/>
    <s v="기계장치"/>
    <n v="4460213.7"/>
    <n v="425186.45340519259"/>
    <n v="141728.81780173085"/>
    <m/>
    <m/>
    <n v="425186.45340519259"/>
    <n v="425186.45340519259"/>
    <n v="850372.90681038518"/>
    <n v="425186.45340519259"/>
    <n v="425186.45340519259"/>
    <n v="425186.45340519259"/>
    <n v="425186.45340519259"/>
    <n v="1700745.8136207704"/>
    <n v="425186.45340519259"/>
    <n v="425186.45340519259"/>
    <n v="425186.45340519259"/>
    <n v="425186.45340519259"/>
    <n v="1700745.8136207704"/>
    <n v="425186.45340519259"/>
    <n v="425186.45340519259"/>
    <n v="425186.45340519259"/>
    <n v="425186.45340519259"/>
    <n v="1700745.8136207704"/>
    <n v="425186.45340519259"/>
    <n v="425186.45340519259"/>
    <n v="425186.45340519259"/>
    <n v="425186.45340519259"/>
    <n v="1700745.8136207704"/>
    <m/>
    <n v="4.3551203852219822E-4"/>
    <n v="9145752.8089661635"/>
    <n v="13605966.508966163"/>
  </r>
  <r>
    <n v="550"/>
    <x v="0"/>
    <m/>
    <s v="이종희"/>
    <s v="구미"/>
    <s v="PKG"/>
    <s v="O"/>
    <m/>
    <s v="DDI"/>
    <x v="0"/>
    <s v="PT"/>
    <x v="0"/>
    <n v="1004524"/>
    <s v="MC"/>
    <s v="DPP-41 : PROBER_Tokyo Semitsu(UF3000LX)(F25004AK)"/>
    <s v="UF3000LX"/>
    <x v="11"/>
    <s v="Prober"/>
    <s v="F25004AK"/>
    <x v="173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15-02-28T00:00:00"/>
    <n v="10.67945205479452"/>
    <n v="8"/>
    <m/>
    <s v="자사"/>
    <s v="미설정"/>
    <n v="0.66"/>
    <n v="1487"/>
    <n v="1622"/>
    <n v="1423"/>
    <n v="194456302"/>
    <m/>
    <m/>
    <m/>
    <n v="194455302"/>
    <n v="1645974"/>
    <n v="1000"/>
    <n v="1000"/>
    <m/>
    <m/>
    <m/>
    <s v="완료"/>
    <s v="P-PT"/>
    <s v="Test"/>
    <s v="Test"/>
    <s v="기계장치"/>
    <n v="3889126.04"/>
    <n v="370745.39899139386"/>
    <n v="123581.79966379795"/>
    <m/>
    <m/>
    <n v="370745.39899139386"/>
    <n v="370745.39899139386"/>
    <n v="741490.79798278771"/>
    <n v="370745.39899139386"/>
    <n v="370745.39899139386"/>
    <n v="370745.39899139386"/>
    <n v="370745.39899139386"/>
    <n v="1482981.5959655754"/>
    <n v="370745.39899139386"/>
    <n v="370745.39899139386"/>
    <n v="370745.39899139386"/>
    <n v="370745.39899139386"/>
    <n v="1482981.5959655754"/>
    <n v="370745.39899139386"/>
    <n v="370745.39899139386"/>
    <n v="370745.39899139386"/>
    <n v="370745.39899139386"/>
    <n v="1482981.5959655754"/>
    <n v="370745.39899139386"/>
    <n v="370745.39899139386"/>
    <n v="370745.39899139386"/>
    <n v="370745.39899139386"/>
    <n v="1482981.5959655754"/>
    <m/>
    <n v="3.7974889179640968E-4"/>
    <n v="7974726.7277246034"/>
    <n v="11863852.767724603"/>
  </r>
  <r>
    <n v="551"/>
    <x v="0"/>
    <m/>
    <s v="이종희"/>
    <s v="구미"/>
    <s v="PKG"/>
    <s v="O"/>
    <m/>
    <s v="DDI"/>
    <x v="0"/>
    <s v="PT"/>
    <x v="0"/>
    <n v="1004282"/>
    <s v="MC"/>
    <s v="DPP-42 : UF3000LX_Tokyo Seimitsu(F25006EV)"/>
    <s v="UF3000LX"/>
    <x v="11"/>
    <s v="Prober"/>
    <s v="F25006EV"/>
    <x v="173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14-04-22T00:00:00"/>
    <n v="11.534246575342467"/>
    <n v="8"/>
    <m/>
    <s v="자사"/>
    <s v="미설정"/>
    <n v="0.66"/>
    <n v="1487"/>
    <n v="1622"/>
    <n v="1423"/>
    <n v="206254510"/>
    <m/>
    <m/>
    <m/>
    <n v="206253510"/>
    <n v="1450518"/>
    <n v="1000"/>
    <n v="1000"/>
    <m/>
    <m/>
    <m/>
    <s v="완료"/>
    <s v="P-PT"/>
    <s v="Test"/>
    <s v="Test"/>
    <s v="기계장치"/>
    <n v="4125090.2"/>
    <n v="393239.55982524261"/>
    <n v="131079.85327508088"/>
    <m/>
    <m/>
    <n v="393239.55982524261"/>
    <n v="393239.55982524261"/>
    <n v="786479.11965048523"/>
    <n v="393239.55982524261"/>
    <n v="393239.55982524261"/>
    <n v="393239.55982524261"/>
    <n v="393239.55982524261"/>
    <n v="1572958.2393009705"/>
    <n v="393239.55982524261"/>
    <n v="393239.55982524261"/>
    <n v="393239.55982524261"/>
    <n v="393239.55982524261"/>
    <n v="1572958.2393009705"/>
    <n v="393239.55982524261"/>
    <n v="393239.55982524261"/>
    <n v="393239.55982524261"/>
    <n v="393239.55982524261"/>
    <n v="1572958.2393009705"/>
    <n v="393239.55982524261"/>
    <n v="393239.55982524261"/>
    <n v="393239.55982524261"/>
    <n v="393239.55982524261"/>
    <n v="1572958.2393009705"/>
    <m/>
    <n v="4.0278931973370297E-4"/>
    <n v="8458575.7144077625"/>
    <n v="12583665.914407764"/>
  </r>
  <r>
    <n v="552"/>
    <x v="0"/>
    <m/>
    <s v="이종희"/>
    <s v="구미"/>
    <s v="PKG"/>
    <s v="O"/>
    <m/>
    <s v="DDI"/>
    <x v="0"/>
    <s v="PT"/>
    <x v="0"/>
    <n v="1004232"/>
    <s v="MC"/>
    <s v="DPP-43 : PROBER_Tokyo Semitsu (UF3000LX)(F25004EV)"/>
    <s v="UF3000LX"/>
    <x v="11"/>
    <s v="Prober"/>
    <s v="F25004EV"/>
    <x v="173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14-03-18T00:00:00"/>
    <n v="11.63013698630137"/>
    <n v="8"/>
    <m/>
    <s v="자사"/>
    <s v="미설정"/>
    <n v="0.66"/>
    <n v="1487"/>
    <n v="1622"/>
    <n v="1423"/>
    <n v="212756467"/>
    <m/>
    <m/>
    <m/>
    <n v="212755467"/>
    <n v="0"/>
    <n v="1000"/>
    <n v="1000"/>
    <m/>
    <m/>
    <m/>
    <s v="완료"/>
    <s v="P-PT"/>
    <s v="Test"/>
    <s v="Test"/>
    <s v="기계장치"/>
    <n v="4255129.34"/>
    <n v="405636.02431313496"/>
    <n v="135212.00810437833"/>
    <m/>
    <m/>
    <n v="405636.02431313496"/>
    <n v="405636.02431313496"/>
    <n v="811272.04862626991"/>
    <n v="405636.02431313496"/>
    <n v="405636.02431313496"/>
    <n v="405636.02431313496"/>
    <n v="405636.02431313496"/>
    <n v="1622544.0972525398"/>
    <n v="405636.02431313496"/>
    <n v="405636.02431313496"/>
    <n v="405636.02431313496"/>
    <n v="405636.02431313496"/>
    <n v="1622544.0972525398"/>
    <n v="405636.02431313496"/>
    <n v="405636.02431313496"/>
    <n v="405636.02431313496"/>
    <n v="405636.02431313496"/>
    <n v="1622544.0972525398"/>
    <n v="405636.02431313496"/>
    <n v="405636.02431313496"/>
    <n v="405636.02431313496"/>
    <n v="405636.02431313496"/>
    <n v="1622544.0972525398"/>
    <m/>
    <n v="4.1548683038191998E-4"/>
    <n v="8725223.4380203187"/>
    <n v="12980352.778020319"/>
  </r>
  <r>
    <n v="553"/>
    <x v="0"/>
    <m/>
    <s v="이종희"/>
    <s v="구미"/>
    <s v="PKG"/>
    <s v="O"/>
    <m/>
    <s v="DDI"/>
    <x v="0"/>
    <s v="PT"/>
    <x v="0"/>
    <n v="1004237"/>
    <s v="MC"/>
    <s v="DPP-44 : PROBER_Tokyo Semitsu (UF3000LX)(F25002CJ)"/>
    <s v="UF3000LX"/>
    <x v="11"/>
    <s v="Prober"/>
    <s v="F25002CJ"/>
    <x v="173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14-03-18T00:00:00"/>
    <n v="11.63013698630137"/>
    <n v="8"/>
    <m/>
    <s v="자사"/>
    <s v="미설정"/>
    <n v="0.66"/>
    <n v="1487"/>
    <n v="1622"/>
    <n v="1423"/>
    <n v="212756468"/>
    <m/>
    <m/>
    <m/>
    <n v="212755468"/>
    <n v="1446554"/>
    <n v="1000"/>
    <n v="1000"/>
    <m/>
    <m/>
    <m/>
    <s v="완료"/>
    <s v="P-PT"/>
    <s v="Test"/>
    <s v="Test"/>
    <s v="기계장치"/>
    <n v="4255129.3600000003"/>
    <n v="405636.02621970943"/>
    <n v="135212.00873990313"/>
    <m/>
    <m/>
    <n v="405636.02621970943"/>
    <n v="405636.02621970943"/>
    <n v="811272.05243941885"/>
    <n v="405636.02621970943"/>
    <n v="405636.02621970943"/>
    <n v="405636.02621970943"/>
    <n v="405636.02621970943"/>
    <n v="1622544.1048788377"/>
    <n v="405636.02621970943"/>
    <n v="405636.02621970943"/>
    <n v="405636.02621970943"/>
    <n v="405636.02621970943"/>
    <n v="1622544.1048788377"/>
    <n v="405636.02621970943"/>
    <n v="405636.02621970943"/>
    <n v="405636.02621970943"/>
    <n v="405636.02621970943"/>
    <n v="1622544.1048788377"/>
    <n v="405636.02621970943"/>
    <n v="405636.02621970943"/>
    <n v="405636.02621970943"/>
    <n v="405636.02621970943"/>
    <n v="1622544.1048788377"/>
    <m/>
    <n v="4.1548683233479523E-4"/>
    <n v="8725223.4790307004"/>
    <n v="12980352.839030702"/>
  </r>
  <r>
    <n v="554"/>
    <x v="0"/>
    <m/>
    <s v="이종희"/>
    <s v="구미"/>
    <s v="PKG"/>
    <s v="O"/>
    <m/>
    <s v="DDI"/>
    <x v="0"/>
    <s v="PT"/>
    <x v="0"/>
    <n v="1004231"/>
    <s v="MC"/>
    <s v="DPP-45 : PROBER_Tokyo Semitsu (UF3000LX)(F25003CJ)"/>
    <s v="UF3000LX"/>
    <x v="11"/>
    <s v="Prober"/>
    <s v="F25003CJ"/>
    <x v="173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14-03-18T00:00:00"/>
    <n v="11.63013698630137"/>
    <n v="8"/>
    <m/>
    <s v="자사"/>
    <s v="설정"/>
    <n v="0.66"/>
    <n v="1487"/>
    <n v="1622"/>
    <n v="1423"/>
    <n v="367051028"/>
    <m/>
    <m/>
    <m/>
    <n v="323635466"/>
    <n v="3823448"/>
    <n v="31945218"/>
    <n v="1000"/>
    <m/>
    <m/>
    <m/>
    <s v="미완료"/>
    <s v="P-PT"/>
    <s v="Test"/>
    <s v="Test"/>
    <s v="기계장치"/>
    <n v="33542478.900000002"/>
    <n v="3197561.5074025504"/>
    <n v="1065853.8358008501"/>
    <m/>
    <m/>
    <n v="3197561.5074025504"/>
    <n v="3197561.5074025504"/>
    <n v="6395123.0148051009"/>
    <n v="3197561.5074025504"/>
    <n v="3197561.5074025504"/>
    <n v="3197561.5074025504"/>
    <n v="3197561.5074025504"/>
    <n v="12790246.029610202"/>
    <n v="3197561.5074025504"/>
    <n v="3197561.5074025504"/>
    <n v="3197561.5074025504"/>
    <n v="3197561.5074025504"/>
    <n v="12790246.029610202"/>
    <n v="3197561.5074025504"/>
    <n v="3197561.5074025504"/>
    <n v="3197561.5074025504"/>
    <n v="3197561.5074025504"/>
    <n v="12790246.029610202"/>
    <n v="3197561.5074025504"/>
    <n v="3197561.5074025504"/>
    <n v="3197561.5074025504"/>
    <n v="3197561.5074025504"/>
    <n v="12790246.029610202"/>
    <m/>
    <n v="3.275213777946743E-3"/>
    <n v="68779489.336881608"/>
    <n v="102321968.23688161"/>
  </r>
  <r>
    <n v="555"/>
    <x v="0"/>
    <m/>
    <s v="이종희"/>
    <s v="구미"/>
    <s v="PKG"/>
    <s v="O"/>
    <m/>
    <s v="DDI"/>
    <x v="0"/>
    <s v="PT"/>
    <x v="0"/>
    <n v="1003884"/>
    <s v="MC"/>
    <s v="DPP-46 : UF3000LX(F25005EV)"/>
    <s v="UF3000LX"/>
    <x v="11"/>
    <s v="Prober"/>
    <s v="F25005EV"/>
    <x v="173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13-06-14T00:00:00"/>
    <n v="12.389041095890411"/>
    <n v="8"/>
    <m/>
    <s v="자사"/>
    <s v="미설정"/>
    <n v="0.66"/>
    <n v="1487"/>
    <n v="1622"/>
    <n v="1423"/>
    <n v="233986676"/>
    <m/>
    <m/>
    <m/>
    <n v="233985676"/>
    <n v="0"/>
    <n v="1000"/>
    <n v="1000"/>
    <m/>
    <m/>
    <m/>
    <s v="완료"/>
    <s v="P-PT"/>
    <s v="Test"/>
    <s v="Test"/>
    <s v="기계장치"/>
    <n v="4679733.5200000005"/>
    <n v="446112.99639077787"/>
    <n v="148704.33213025928"/>
    <m/>
    <m/>
    <n v="446112.99639077787"/>
    <n v="446112.99639077787"/>
    <n v="892225.99278155575"/>
    <n v="446112.99639077787"/>
    <n v="446112.99639077787"/>
    <n v="446112.99639077787"/>
    <n v="446112.99639077787"/>
    <n v="1784451.9855631115"/>
    <n v="446112.99639077787"/>
    <n v="446112.99639077787"/>
    <n v="446112.99639077787"/>
    <n v="446112.99639077787"/>
    <n v="1784451.9855631115"/>
    <n v="446112.99639077787"/>
    <n v="446112.99639077787"/>
    <n v="446112.99639077787"/>
    <n v="446112.99639077787"/>
    <n v="1784451.9855631115"/>
    <n v="446112.99639077787"/>
    <n v="446112.99639077787"/>
    <n v="446112.99639077787"/>
    <n v="446112.99639077787"/>
    <n v="1784451.9855631115"/>
    <m/>
    <n v="4.5694677926213769E-4"/>
    <n v="9595882.3645048905"/>
    <n v="14275615.884504892"/>
  </r>
  <r>
    <n v="556"/>
    <x v="0"/>
    <m/>
    <s v="이종희"/>
    <s v="구미"/>
    <s v="PKG"/>
    <s v="O"/>
    <m/>
    <s v="DDI"/>
    <x v="0"/>
    <s v="PT"/>
    <x v="0"/>
    <n v="1004746"/>
    <s v="MC"/>
    <s v="DPP-47 : Prober(UF3000LX)(ND4)_Tokyo Semitsu(F25002MK)"/>
    <s v="UF3000LX"/>
    <x v="11"/>
    <s v="Prober"/>
    <s v="F25002MK"/>
    <x v="173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16-04-01T00:00:00"/>
    <n v="9.5890410958904102"/>
    <n v="8"/>
    <m/>
    <s v="자사"/>
    <s v="미설정"/>
    <n v="0.66"/>
    <n v="1487"/>
    <n v="1622"/>
    <n v="1423"/>
    <n v="196938700"/>
    <m/>
    <m/>
    <m/>
    <n v="196937700"/>
    <n v="1339753"/>
    <n v="1000"/>
    <n v="1000"/>
    <m/>
    <m/>
    <m/>
    <s v="완료"/>
    <s v="P-PT"/>
    <s v="Test"/>
    <s v="Test"/>
    <s v="기계장치"/>
    <n v="3938774"/>
    <n v="375478.27536258718"/>
    <n v="125159.42512086239"/>
    <m/>
    <m/>
    <n v="375478.27536258718"/>
    <n v="375478.27536258718"/>
    <n v="750956.55072517437"/>
    <n v="375478.27536258718"/>
    <n v="375478.27536258718"/>
    <n v="375478.27536258718"/>
    <n v="375478.27536258718"/>
    <n v="1501913.1014503487"/>
    <n v="375478.27536258718"/>
    <n v="375478.27536258718"/>
    <n v="375478.27536258718"/>
    <n v="375478.27536258718"/>
    <n v="1501913.1014503487"/>
    <n v="375478.27536258718"/>
    <n v="375478.27536258718"/>
    <n v="375478.27536258718"/>
    <n v="375478.27536258718"/>
    <n v="1501913.1014503487"/>
    <n v="375478.27536258718"/>
    <n v="375478.27536258718"/>
    <n v="375478.27536258718"/>
    <n v="375478.27536258718"/>
    <n v="1501913.1014503487"/>
    <m/>
    <n v="3.8459670531441859E-4"/>
    <n v="8076530.8116027908"/>
    <n v="12015304.81160279"/>
  </r>
  <r>
    <n v="557"/>
    <x v="0"/>
    <m/>
    <s v="이종희"/>
    <s v="구미"/>
    <s v="PKG"/>
    <s v="O"/>
    <m/>
    <s v="DDI"/>
    <x v="0"/>
    <s v="PT"/>
    <x v="0"/>
    <n v="1004525"/>
    <s v="MC"/>
    <s v="DPP-48 : PROBER_Tokyo Semitsu(UF3000LX)(F25003AK)"/>
    <s v="UF3000LX"/>
    <x v="11"/>
    <s v="Prober"/>
    <s v="F25003AK"/>
    <x v="173"/>
    <s v="가동"/>
    <s v="일본"/>
    <s v="ACCRETECH"/>
    <x v="0"/>
    <s v="1차"/>
    <s v="1차"/>
    <s v="해당"/>
    <s v="Wafer Test Prober"/>
    <s v="Wafer Die Test"/>
    <m/>
    <m/>
    <s v="3A992"/>
    <s v="9030.82-0000"/>
    <m/>
    <m/>
    <m/>
    <d v="2015-02-28T00:00:00"/>
    <n v="10.67945205479452"/>
    <n v="8"/>
    <m/>
    <s v="자사"/>
    <s v="미설정"/>
    <n v="0.66"/>
    <n v="1487"/>
    <n v="1622"/>
    <n v="1423"/>
    <n v="208970696"/>
    <m/>
    <m/>
    <m/>
    <n v="208969696"/>
    <n v="1877422"/>
    <n v="1000"/>
    <n v="1000"/>
    <m/>
    <m/>
    <m/>
    <s v="완료"/>
    <s v="P-PT"/>
    <s v="Test"/>
    <s v="Test"/>
    <s v="기계장치"/>
    <n v="4179413.92"/>
    <n v="398418.17040225968"/>
    <n v="132806.05680075323"/>
    <m/>
    <m/>
    <m/>
    <m/>
    <m/>
    <m/>
    <m/>
    <n v="398418.17040225968"/>
    <n v="398418.17040225968"/>
    <n v="796836.34080451936"/>
    <n v="398418.17040225968"/>
    <n v="398418.17040225968"/>
    <n v="398418.17040225968"/>
    <n v="398418.17040225968"/>
    <n v="1593672.6816090387"/>
    <n v="398418.17040225968"/>
    <n v="398418.17040225968"/>
    <n v="398418.17040225968"/>
    <n v="398418.17040225968"/>
    <n v="1593672.6816090387"/>
    <n v="398418.17040225968"/>
    <n v="398418.17040225968"/>
    <n v="398418.17040225968"/>
    <n v="398418.17040225968"/>
    <n v="1593672.6816090387"/>
    <m/>
    <n v="4.0809369204153855E-4"/>
    <n v="8569967.5328723099"/>
    <n v="12749381.45287231"/>
  </r>
  <r>
    <n v="558"/>
    <x v="0"/>
    <m/>
    <s v="이종희"/>
    <s v="구미"/>
    <s v="PKG"/>
    <s v="O"/>
    <m/>
    <s v="DDI"/>
    <x v="0"/>
    <s v="PT"/>
    <x v="0"/>
    <n v="1004162"/>
    <s v="MC"/>
    <s v="DPP-49 : Prober_UF2000_TOKYO Semiitsu(F22001LH)"/>
    <s v="UF2000"/>
    <x v="3"/>
    <s v="Prober"/>
    <s v="F22001LH"/>
    <x v="174"/>
    <s v="운휴"/>
    <s v="일본"/>
    <s v="ACCRETECH"/>
    <x v="2"/>
    <s v="1차"/>
    <s v="1차"/>
    <s v="해당"/>
    <s v="Wafer Test Prober"/>
    <s v="Wafer Die Test"/>
    <m/>
    <m/>
    <s v="3A992"/>
    <s v="9030.82-0000"/>
    <s v="반도체 제조 및 검사장비"/>
    <m/>
    <m/>
    <d v="2014-01-29T00:00:00"/>
    <n v="11.761643835616438"/>
    <n v="8"/>
    <m/>
    <s v="자사"/>
    <s v="미설정"/>
    <n v="0.56320000000000003"/>
    <n v="1229"/>
    <n v="1142"/>
    <n v="933"/>
    <n v="139336250"/>
    <m/>
    <m/>
    <m/>
    <n v="139335250"/>
    <n v="126486"/>
    <n v="1000"/>
    <n v="66261188"/>
    <m/>
    <m/>
    <m/>
    <s v="완료"/>
    <s v="P-PT"/>
    <s v="Test"/>
    <s v="Test"/>
    <s v="기계장치"/>
    <n v="2786725"/>
    <n v="87085.15625"/>
    <n v="29028.385416666668"/>
    <m/>
    <m/>
    <m/>
    <m/>
    <m/>
    <m/>
    <m/>
    <n v="87085.15625"/>
    <n v="87085.15625"/>
    <n v="174170.3125"/>
    <n v="87085.15625"/>
    <n v="87085.15625"/>
    <n v="87085.15625"/>
    <n v="87085.15625"/>
    <n v="348340.625"/>
    <n v="87085.15625"/>
    <n v="87085.15625"/>
    <n v="87085.15625"/>
    <n v="87085.15625"/>
    <n v="348340.625"/>
    <n v="87085.15625"/>
    <n v="87085.15625"/>
    <n v="87085.15625"/>
    <n v="87085.15625"/>
    <n v="348340.625"/>
    <m/>
    <m/>
    <m/>
    <n v="2786725"/>
  </r>
  <r>
    <n v="559"/>
    <x v="0"/>
    <m/>
    <s v="이종희"/>
    <s v="구미"/>
    <s v="PKG"/>
    <s v="O"/>
    <m/>
    <s v="DDI"/>
    <x v="0"/>
    <s v="PT"/>
    <x v="0"/>
    <n v="1006660"/>
    <s v="MC"/>
    <s v="DPP-50 : PROBER_Tokyo Semitsu(UF3000LX)(F25016DV)"/>
    <s v="UF3000LX"/>
    <x v="11"/>
    <s v="Prober"/>
    <s v="F25016DV"/>
    <x v="173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21-09-07T00:00:00"/>
    <n v="4.1506849315068495"/>
    <n v="8"/>
    <m/>
    <s v="자사"/>
    <s v="설정"/>
    <n v="0.66"/>
    <n v="1487"/>
    <n v="1622"/>
    <n v="1423"/>
    <n v="165106042"/>
    <m/>
    <m/>
    <m/>
    <n v="80833168"/>
    <n v="1719855"/>
    <n v="79113309"/>
    <n v="16265122"/>
    <m/>
    <m/>
    <m/>
    <s v="미완료"/>
    <s v="P-PT"/>
    <s v="Test"/>
    <s v="Test"/>
    <s v="기계장치"/>
    <n v="83068974.450000003"/>
    <n v="7918858.82831176"/>
    <n v="2639619.6094372533"/>
    <m/>
    <m/>
    <n v="7918858.82831176"/>
    <n v="7918858.82831176"/>
    <n v="15837717.65662352"/>
    <n v="7918858.82831176"/>
    <n v="7918858.82831176"/>
    <n v="7918858.82831176"/>
    <n v="7918858.82831176"/>
    <n v="31675435.31324704"/>
    <n v="7918858.82831176"/>
    <n v="7918858.82831176"/>
    <n v="7918858.82831176"/>
    <n v="7918858.82831176"/>
    <n v="31675435.31324704"/>
    <n v="7918858.82831176"/>
    <n v="7918858.82831176"/>
    <n v="7918858.82831176"/>
    <n v="7918858.82831176"/>
    <n v="31675435.31324704"/>
    <n v="7918858.82831176"/>
    <n v="7918858.82831176"/>
    <n v="7918858.82831176"/>
    <n v="7918858.82831176"/>
    <n v="31675435.31324704"/>
    <m/>
    <n v="8.1111670502845862E-3"/>
    <n v="170334508.0559763"/>
    <n v="253403482.50597632"/>
  </r>
  <r>
    <n v="560"/>
    <x v="0"/>
    <m/>
    <s v="이종희"/>
    <s v="구미"/>
    <s v="PKG"/>
    <s v="O"/>
    <m/>
    <s v="DDI"/>
    <x v="0"/>
    <s v="PT"/>
    <x v="0"/>
    <n v="1006662"/>
    <s v="MC"/>
    <s v="DPP-51 : PROBER_Tokyo Semitsu(UF3000LX)(F25003EV)"/>
    <s v="UF3000LX"/>
    <x v="11"/>
    <s v="Prober"/>
    <s v="F25003EV"/>
    <x v="173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21-09-07T00:00:00"/>
    <n v="4.1506849315068495"/>
    <n v="8"/>
    <m/>
    <s v="자사"/>
    <s v="설정"/>
    <n v="0.66"/>
    <n v="1487"/>
    <n v="1622"/>
    <n v="1423"/>
    <n v="166281563"/>
    <m/>
    <m/>
    <m/>
    <n v="81408683"/>
    <n v="1732100"/>
    <n v="79676580"/>
    <n v="16380924"/>
    <m/>
    <m/>
    <m/>
    <s v="미완료"/>
    <s v="P-PT"/>
    <s v="Test"/>
    <s v="Test"/>
    <s v="기계장치"/>
    <n v="83660409"/>
    <n v="7975239.5256617079"/>
    <n v="2658413.1752205691"/>
    <m/>
    <m/>
    <n v="7975239.5256617069"/>
    <n v="7975239.5256617069"/>
    <n v="15950479.051323414"/>
    <n v="7975239.5256617069"/>
    <n v="7975239.5256617069"/>
    <n v="7975239.5256617069"/>
    <n v="7975239.5256617069"/>
    <n v="31900958.102646828"/>
    <n v="7975239.5256617069"/>
    <n v="7975239.5256617069"/>
    <n v="7975239.5256617069"/>
    <n v="7975239.5256617069"/>
    <n v="31900958.102646828"/>
    <n v="7975239.5256617069"/>
    <n v="7975239.5256617069"/>
    <n v="7975239.5256617069"/>
    <n v="7975239.5256617069"/>
    <n v="31900958.102646828"/>
    <n v="7975239.5256617069"/>
    <n v="7975239.5256617069"/>
    <n v="7975239.5256617069"/>
    <n v="7975239.5256617069"/>
    <n v="31900958.102646828"/>
    <m/>
    <n v="8.1689169438654598E-3"/>
    <n v="171547255.82117465"/>
    <n v="255207664.82117465"/>
  </r>
  <r>
    <n v="561"/>
    <x v="0"/>
    <m/>
    <s v="이종희"/>
    <s v="구미"/>
    <s v="PKG"/>
    <s v="O"/>
    <m/>
    <s v="DDI"/>
    <x v="0"/>
    <s v="PT"/>
    <x v="0"/>
    <n v="1006677"/>
    <s v="MC"/>
    <s v="DPP-52 : PROBER_Tokyo Semitsu(UF3000LX)(F25001EV)"/>
    <s v="UF3000LX"/>
    <x v="11"/>
    <s v="Prober"/>
    <s v="F25001EV"/>
    <x v="173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21-09-07T00:00:00"/>
    <n v="4.1506849315068495"/>
    <n v="8"/>
    <m/>
    <s v="자사"/>
    <s v="설정"/>
    <n v="0.66"/>
    <n v="1487"/>
    <n v="1622"/>
    <n v="1423"/>
    <n v="166281563"/>
    <m/>
    <m/>
    <m/>
    <n v="81408683"/>
    <n v="1732100"/>
    <n v="79676580"/>
    <n v="16380924"/>
    <m/>
    <m/>
    <m/>
    <s v="미완료"/>
    <s v="P-PT"/>
    <s v="Test"/>
    <s v="Test"/>
    <s v="기계장치"/>
    <n v="83660409"/>
    <n v="7975239.5256617079"/>
    <n v="2658413.1752205691"/>
    <m/>
    <m/>
    <n v="7975239.5256617069"/>
    <n v="7975239.5256617069"/>
    <n v="15950479.051323414"/>
    <n v="7975239.5256617069"/>
    <n v="7975239.5256617069"/>
    <n v="7975239.5256617069"/>
    <n v="7975239.5256617069"/>
    <n v="31900958.102646828"/>
    <n v="7975239.5256617069"/>
    <n v="7975239.5256617069"/>
    <n v="7975239.5256617069"/>
    <n v="7975239.5256617069"/>
    <n v="31900958.102646828"/>
    <n v="7975239.5256617069"/>
    <n v="7975239.5256617069"/>
    <n v="7975239.5256617069"/>
    <n v="7975239.5256617069"/>
    <n v="31900958.102646828"/>
    <n v="7975239.5256617069"/>
    <n v="7975239.5256617069"/>
    <n v="7975239.5256617069"/>
    <n v="7975239.5256617069"/>
    <n v="31900958.102646828"/>
    <m/>
    <n v="8.1689169438654598E-3"/>
    <n v="171547255.82117465"/>
    <n v="255207664.82117465"/>
  </r>
  <r>
    <n v="562"/>
    <x v="0"/>
    <m/>
    <s v="이종희"/>
    <s v="구미"/>
    <s v="PKG"/>
    <s v="O"/>
    <m/>
    <s v="DDI"/>
    <x v="0"/>
    <s v="PT"/>
    <x v="0"/>
    <n v="1006679"/>
    <s v="MC"/>
    <s v="DPP-53 : PROBER_Tokyo Semitsu(UF3000LX)(F25001CJ)"/>
    <s v="UF3000LX"/>
    <x v="11"/>
    <s v="Prober"/>
    <s v="F25001CJ"/>
    <x v="173"/>
    <s v="가동"/>
    <s v="일본"/>
    <s v="ACCRETECH"/>
    <x v="0"/>
    <s v="1차"/>
    <s v="1차"/>
    <s v="해당"/>
    <s v="Wafer Test Prober"/>
    <s v="Wafer Die Test"/>
    <m/>
    <m/>
    <s v="3A992"/>
    <s v="9030.82-0000"/>
    <m/>
    <m/>
    <m/>
    <d v="2021-09-07T00:00:00"/>
    <n v="4.1506849315068495"/>
    <n v="8"/>
    <m/>
    <s v="자사"/>
    <s v="설정"/>
    <n v="0.66"/>
    <n v="1487"/>
    <n v="1622"/>
    <n v="1423"/>
    <n v="166768203"/>
    <m/>
    <m/>
    <m/>
    <n v="81646933"/>
    <n v="1737169"/>
    <n v="79909763"/>
    <n v="16428866"/>
    <m/>
    <m/>
    <m/>
    <s v="미완료"/>
    <s v="P-PT"/>
    <s v="Test"/>
    <s v="Test"/>
    <s v="기계장치"/>
    <n v="83905251.150000006"/>
    <n v="7998580.0138994362"/>
    <n v="2666193.3379664789"/>
    <m/>
    <m/>
    <m/>
    <m/>
    <m/>
    <m/>
    <m/>
    <n v="7998580.0138994362"/>
    <n v="7998580.0138994362"/>
    <n v="15997160.027798872"/>
    <n v="7998580.0138994362"/>
    <n v="7998580.0138994362"/>
    <n v="7998580.0138994362"/>
    <n v="7998580.0138994362"/>
    <n v="31994320.055597745"/>
    <n v="7998580.0138994362"/>
    <n v="7998580.0138994362"/>
    <n v="7998580.0138994362"/>
    <n v="7998580.0138994362"/>
    <n v="31994320.055597745"/>
    <n v="7998580.0138994362"/>
    <n v="7998580.0138994362"/>
    <n v="7998580.0138994362"/>
    <n v="7998580.0138994362"/>
    <n v="31994320.055597745"/>
    <m/>
    <n v="8.1928242521324742E-3"/>
    <n v="172049309.29478195"/>
    <n v="255954560.44478196"/>
  </r>
  <r>
    <n v="563"/>
    <x v="0"/>
    <m/>
    <s v="이종희"/>
    <s v="구미"/>
    <s v="PKG"/>
    <s v="O"/>
    <m/>
    <s v="DDI"/>
    <x v="0"/>
    <s v="PT"/>
    <x v="0"/>
    <n v="1007938"/>
    <s v="MC"/>
    <s v="DPP-54 : Automatic Wafer Prober(ND4)(AP#139)(F25004DN)(2100523)"/>
    <s v="UF3000LX"/>
    <x v="11"/>
    <s v="Prober"/>
    <s v="F25004DN"/>
    <x v="173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18-04-30T00:00:00"/>
    <n v="7.5095890410958903"/>
    <n v="8"/>
    <m/>
    <s v="자사"/>
    <s v="설정"/>
    <n v="0.66"/>
    <n v="1487"/>
    <n v="1622"/>
    <n v="1423"/>
    <n v="156857552"/>
    <m/>
    <m/>
    <m/>
    <n v="142940490"/>
    <n v="1630630"/>
    <n v="9025172"/>
    <n v="1000"/>
    <m/>
    <m/>
    <m/>
    <s v="미완료"/>
    <s v="P-PT"/>
    <s v="Test"/>
    <s v="Test"/>
    <s v="기계장치"/>
    <n v="9476430.5999999996"/>
    <n v="903375.97899276461"/>
    <n v="301125.32633092155"/>
    <m/>
    <m/>
    <n v="903375.97899276461"/>
    <n v="903375.97899276461"/>
    <n v="1806751.9579855292"/>
    <n v="903375.97899276461"/>
    <n v="903375.97899276461"/>
    <n v="903375.97899276461"/>
    <n v="903375.97899276461"/>
    <n v="3613503.9159710584"/>
    <n v="903375.97899276461"/>
    <n v="903375.97899276461"/>
    <n v="903375.97899276461"/>
    <n v="903375.97899276461"/>
    <n v="3613503.9159710584"/>
    <n v="903375.97899276461"/>
    <n v="903375.97899276461"/>
    <n v="903375.97899276461"/>
    <n v="903375.97899276461"/>
    <n v="3613503.9159710584"/>
    <n v="903375.97899276461"/>
    <n v="903375.97899276461"/>
    <n v="903375.97899276461"/>
    <n v="903375.97899276461"/>
    <n v="3613503.9159710584"/>
    <m/>
    <n v="9.2531432036992698E-4"/>
    <n v="19431600.727768466"/>
    <n v="28908031.327768467"/>
  </r>
  <r>
    <n v="564"/>
    <x v="0"/>
    <m/>
    <s v="이종희"/>
    <s v="구미"/>
    <s v="PKG"/>
    <s v="O"/>
    <m/>
    <s v="DDI"/>
    <x v="0"/>
    <s v="PT"/>
    <x v="0"/>
    <n v="1004283"/>
    <s v="MC"/>
    <s v="DPP-55 : UF3000LX_Tokyo Seimitsu(F25007DJ)"/>
    <s v="UF3000LX"/>
    <x v="11"/>
    <s v="Prober"/>
    <s v="F25007DJ"/>
    <x v="173"/>
    <s v="가동"/>
    <s v="일본"/>
    <s v="ACCRETECH"/>
    <x v="1"/>
    <s v="1차"/>
    <s v="1차"/>
    <s v="해당"/>
    <s v="Wafer Test Prober"/>
    <s v="Wafer Die Test"/>
    <m/>
    <m/>
    <s v="3A992"/>
    <s v="9030.82-0000"/>
    <m/>
    <m/>
    <m/>
    <d v="2014-04-22T00:00:00"/>
    <n v="11.534246575342467"/>
    <n v="8"/>
    <m/>
    <s v="자사"/>
    <s v="미설정"/>
    <n v="0.66"/>
    <n v="1487"/>
    <n v="1622"/>
    <n v="1423"/>
    <n v="217740485"/>
    <m/>
    <m/>
    <m/>
    <n v="217739485"/>
    <n v="1684912"/>
    <n v="1000"/>
    <n v="1000"/>
    <m/>
    <m/>
    <m/>
    <s v="완료"/>
    <s v="P-PT"/>
    <s v="Test"/>
    <s v="Test"/>
    <s v="기계장치"/>
    <n v="4354809.7"/>
    <n v="415138.4252278161"/>
    <n v="138379.47507593871"/>
    <m/>
    <m/>
    <n v="415138.4252278161"/>
    <n v="415138.4252278161"/>
    <n v="830276.8504556322"/>
    <n v="415138.4252278161"/>
    <n v="415138.4252278161"/>
    <n v="415138.4252278161"/>
    <n v="415138.4252278161"/>
    <n v="1660553.7009112644"/>
    <n v="415138.4252278161"/>
    <n v="415138.4252278161"/>
    <n v="415138.4252278161"/>
    <n v="415138.4252278161"/>
    <n v="1660553.7009112644"/>
    <n v="415138.4252278161"/>
    <n v="415138.4252278161"/>
    <n v="415138.4252278161"/>
    <n v="415138.4252278161"/>
    <n v="1660553.7009112644"/>
    <n v="415138.4252278161"/>
    <n v="415138.4252278161"/>
    <n v="415138.4252278161"/>
    <n v="415138.4252278161"/>
    <n v="1660553.7009112644"/>
    <m/>
    <n v="4.2521999558524349E-4"/>
    <n v="8929619.9072901141"/>
    <n v="13284429.607290115"/>
  </r>
  <r>
    <n v="565"/>
    <x v="0"/>
    <m/>
    <s v="이종희"/>
    <s v="구미"/>
    <s v="PKG"/>
    <s v="O"/>
    <m/>
    <s v="DDI"/>
    <x v="0"/>
    <s v="PT"/>
    <x v="0"/>
    <n v="1007939"/>
    <s v="MC"/>
    <s v="DPP-56 : AUTO WAFER PROBER M/C(AP#12)(F25013CJ)(2100373)"/>
    <s v="UF3000LX"/>
    <x v="11"/>
    <s v="Prober"/>
    <s v="F25013CJ"/>
    <x v="173"/>
    <s v="가동"/>
    <s v="일본"/>
    <s v="ACCRETECH"/>
    <x v="0"/>
    <s v="1차"/>
    <s v="1차"/>
    <s v="해당"/>
    <s v="Wafer Test Prober"/>
    <s v="Wafer Die Test"/>
    <m/>
    <m/>
    <s v="3A992"/>
    <s v="9030.82-0000"/>
    <m/>
    <m/>
    <m/>
    <d v="2014-06-30T00:00:00"/>
    <n v="11.345205479452055"/>
    <n v="8"/>
    <m/>
    <s v="자사"/>
    <s v="설정"/>
    <n v="0.66"/>
    <n v="1487"/>
    <n v="1622"/>
    <n v="1423"/>
    <n v="169732704"/>
    <m/>
    <m/>
    <m/>
    <n v="156035851"/>
    <n v="1768049"/>
    <n v="8392706"/>
    <n v="1000"/>
    <m/>
    <m/>
    <m/>
    <s v="미완료"/>
    <s v="P-PT"/>
    <s v="Test"/>
    <s v="Test"/>
    <s v="기계장치"/>
    <n v="8812341.3000000007"/>
    <n v="840069.19747883477"/>
    <n v="280023.06582627824"/>
    <m/>
    <m/>
    <m/>
    <m/>
    <m/>
    <m/>
    <m/>
    <n v="840069.19747883477"/>
    <n v="840069.19747883477"/>
    <n v="1680138.3949576695"/>
    <n v="840069.19747883477"/>
    <n v="840069.19747883477"/>
    <n v="840069.19747883477"/>
    <n v="840069.19747883477"/>
    <n v="3360276.7899153391"/>
    <n v="840069.19747883477"/>
    <n v="840069.19747883477"/>
    <n v="840069.19747883477"/>
    <n v="840069.19747883477"/>
    <n v="3360276.7899153391"/>
    <n v="840069.19747883477"/>
    <n v="840069.19747883477"/>
    <n v="840069.19747883477"/>
    <n v="840069.19747883477"/>
    <n v="3360276.7899153391"/>
    <m/>
    <n v="8.60470143777272E-4"/>
    <n v="18069873.019322712"/>
    <n v="26882214.319322713"/>
  </r>
  <r>
    <n v="566"/>
    <x v="0"/>
    <m/>
    <s v="이종희"/>
    <s v="구미"/>
    <s v="PKG"/>
    <s v="O"/>
    <m/>
    <s v="DDI"/>
    <x v="0"/>
    <s v="PT"/>
    <x v="0"/>
    <n v="1007940"/>
    <s v="MC"/>
    <s v="DPP-57 : AUTO WAFER PROBER M/C(AP#14)(F25014CJ)(2100372)"/>
    <s v="UF3000LX"/>
    <x v="11"/>
    <s v="Prober"/>
    <s v="F25014CJ"/>
    <x v="173"/>
    <s v="가동"/>
    <s v="일본"/>
    <s v="ACCRETECH"/>
    <x v="2"/>
    <s v="1차"/>
    <s v="1차"/>
    <s v="해당"/>
    <s v="Wafer Test Prober"/>
    <s v="Wafer Die Test"/>
    <m/>
    <m/>
    <s v="3A992"/>
    <s v="9030.82-0000"/>
    <m/>
    <m/>
    <m/>
    <d v="2014-06-30T00:00:00"/>
    <n v="11.345205479452055"/>
    <n v="8"/>
    <m/>
    <s v="자사"/>
    <s v="설정"/>
    <n v="0.66"/>
    <n v="1487"/>
    <n v="1622"/>
    <n v="1423"/>
    <n v="169732704"/>
    <m/>
    <m/>
    <m/>
    <n v="156035851"/>
    <n v="1768049"/>
    <n v="8392706"/>
    <n v="1000"/>
    <m/>
    <m/>
    <m/>
    <s v="미완료"/>
    <s v="P-PT"/>
    <s v="Test"/>
    <s v="Test"/>
    <s v="기계장치"/>
    <n v="8812341.3000000007"/>
    <n v="275385.66562500002"/>
    <n v="91795.221875000003"/>
    <m/>
    <m/>
    <m/>
    <m/>
    <m/>
    <m/>
    <m/>
    <n v="275385.66562500002"/>
    <n v="275385.66562500002"/>
    <n v="550771.33125000005"/>
    <n v="275385.66562500002"/>
    <n v="275385.66562500002"/>
    <n v="275385.66562500002"/>
    <n v="275385.66562500002"/>
    <n v="1101542.6625000001"/>
    <n v="275385.66562500002"/>
    <n v="275385.66562500002"/>
    <n v="275385.66562500002"/>
    <n v="275385.66562500002"/>
    <n v="1101542.6625000001"/>
    <n v="275385.66562500002"/>
    <n v="275385.66562500002"/>
    <n v="275385.66562500002"/>
    <n v="275385.66562500002"/>
    <n v="1101542.6625000001"/>
    <m/>
    <m/>
    <m/>
    <n v="8812341.3000000007"/>
  </r>
  <r>
    <n v="567"/>
    <x v="0"/>
    <m/>
    <s v="이종희"/>
    <s v="구미"/>
    <s v="PKG"/>
    <s v="O"/>
    <m/>
    <s v="DDI"/>
    <x v="0"/>
    <s v="PT"/>
    <x v="0"/>
    <n v="1003483"/>
    <s v="MC"/>
    <s v="DPT-02 : TESTER_ND3(310597715)"/>
    <s v="T6373"/>
    <x v="5"/>
    <s v="Tester"/>
    <n v="310597715"/>
    <x v="169"/>
    <s v="운휴"/>
    <s v="일본"/>
    <s v="ADVANTEST"/>
    <x v="2"/>
    <s v="1차"/>
    <s v="1차"/>
    <s v="해당"/>
    <s v="Wafer Tester"/>
    <s v="Wafer Die Test"/>
    <m/>
    <m/>
    <s v="3B992"/>
    <s v="9030.82-0000"/>
    <s v="반도체 Test 장비"/>
    <m/>
    <m/>
    <d v="2012-07-26T00:00:00"/>
    <n v="13.273972602739725"/>
    <n v="8"/>
    <m/>
    <s v="자사"/>
    <s v="미설정"/>
    <n v="9.83"/>
    <n v="1250"/>
    <n v="950"/>
    <n v="1800"/>
    <n v="830435902"/>
    <m/>
    <m/>
    <m/>
    <n v="830434902"/>
    <n v="0"/>
    <n v="1000"/>
    <n v="1000"/>
    <m/>
    <m/>
    <m/>
    <s v="완료"/>
    <s v="P-PT"/>
    <s v="Test"/>
    <s v="Test"/>
    <s v="기계장치"/>
    <n v="16608718.040000001"/>
    <n v="519022.43875000003"/>
    <n v="173007.47958333333"/>
    <m/>
    <m/>
    <m/>
    <m/>
    <m/>
    <m/>
    <m/>
    <n v="519022.43874999997"/>
    <n v="519022.43874999997"/>
    <n v="1038044.8774999999"/>
    <n v="519022.43874999997"/>
    <n v="519022.43874999997"/>
    <n v="519022.43874999997"/>
    <n v="519022.43874999997"/>
    <n v="2076089.7549999999"/>
    <n v="519022.43874999997"/>
    <n v="519022.43874999997"/>
    <n v="519022.43874999997"/>
    <n v="519022.43874999997"/>
    <n v="2076089.7549999999"/>
    <n v="519022.43874999997"/>
    <n v="519022.43874999997"/>
    <n v="519022.43874999997"/>
    <n v="519022.43874999997"/>
    <n v="2076089.7549999999"/>
    <m/>
    <m/>
    <m/>
    <n v="16608718.040000001"/>
  </r>
  <r>
    <n v="568"/>
    <x v="0"/>
    <m/>
    <s v="이종희"/>
    <s v="구미"/>
    <s v="PKG"/>
    <s v="O"/>
    <m/>
    <s v="DDI"/>
    <x v="0"/>
    <s v="PT"/>
    <x v="0"/>
    <n v="1000588"/>
    <s v="MC"/>
    <s v="DPT-03 : TESTER_ND2(310277436)"/>
    <s v="T6372"/>
    <x v="1"/>
    <s v="Tester"/>
    <n v="310277436"/>
    <x v="170"/>
    <s v="가동"/>
    <s v="일본"/>
    <s v="ADVANTEST"/>
    <x v="0"/>
    <s v="1차"/>
    <s v="1차"/>
    <s v="해당"/>
    <s v="Wafer Tester"/>
    <s v="Wafer Die Test"/>
    <m/>
    <m/>
    <s v="3B992"/>
    <s v="9030.82-0000"/>
    <s v="반도체 Test 장비"/>
    <m/>
    <m/>
    <d v="2006-04-30T00:00:00"/>
    <n v="19.517808219178082"/>
    <n v="8"/>
    <m/>
    <s v="자사"/>
    <s v="미설정"/>
    <n v="9.9451440000000009"/>
    <n v="950"/>
    <n v="1250"/>
    <n v="1800"/>
    <n v="489119878"/>
    <m/>
    <m/>
    <m/>
    <n v="489118878"/>
    <n v="0"/>
    <n v="1000"/>
    <n v="1000"/>
    <m/>
    <m/>
    <m/>
    <s v="완료"/>
    <s v="P-PT"/>
    <s v="Test"/>
    <s v="Test"/>
    <s v="기계장치"/>
    <n v="9782397.5600000005"/>
    <n v="932543.41699726391"/>
    <n v="310847.80566575465"/>
    <m/>
    <m/>
    <m/>
    <m/>
    <m/>
    <m/>
    <m/>
    <n v="932543.41699726391"/>
    <n v="932543.41699726391"/>
    <n v="1865086.8339945278"/>
    <n v="932543.41699726391"/>
    <n v="932543.41699726391"/>
    <n v="932543.41699726391"/>
    <n v="932543.41699726391"/>
    <n v="3730173.6679890556"/>
    <n v="932543.41699726391"/>
    <n v="932543.41699726391"/>
    <n v="932543.41699726391"/>
    <n v="932543.41699726391"/>
    <n v="3730173.6679890556"/>
    <n v="932543.41699726391"/>
    <n v="932543.41699726391"/>
    <n v="932543.41699726391"/>
    <n v="932543.41699726391"/>
    <n v="3730173.6679890556"/>
    <m/>
    <n v="9.5519008494821173E-4"/>
    <n v="20058991.783912446"/>
    <n v="29841389.343912445"/>
  </r>
  <r>
    <n v="569"/>
    <x v="0"/>
    <m/>
    <s v="이종희"/>
    <s v="구미"/>
    <s v="PKG"/>
    <s v="O"/>
    <s v="8&quot;"/>
    <s v="DDI"/>
    <x v="0"/>
    <s v="PT"/>
    <x v="0"/>
    <n v="1001964"/>
    <s v="MC"/>
    <s v="DPT-08 : TESTER_ST6730A(320B17001M)"/>
    <s v="ST6730A"/>
    <x v="2"/>
    <s v="Tester"/>
    <s v="320B17001M"/>
    <x v="171"/>
    <s v="가동"/>
    <s v="일본"/>
    <s v="YOKOGAWA"/>
    <x v="1"/>
    <s v="1차"/>
    <s v="1차"/>
    <s v="해당"/>
    <s v="Wafer Tester"/>
    <s v="Wafer Die Test"/>
    <s v="375Mhz"/>
    <m/>
    <s v="3B992"/>
    <s v="9030.82-0000"/>
    <s v="반도체 Test 장비"/>
    <m/>
    <m/>
    <d v="2010-03-08T00:00:00"/>
    <n v="15.66027397260274"/>
    <n v="8"/>
    <m/>
    <s v="자사"/>
    <s v="미설정"/>
    <n v="6.1347440000000004"/>
    <n v="960"/>
    <n v="840"/>
    <n v="1860"/>
    <n v="522439580"/>
    <m/>
    <m/>
    <m/>
    <n v="522438580"/>
    <n v="0"/>
    <n v="1000"/>
    <n v="1000"/>
    <m/>
    <m/>
    <m/>
    <s v="완료"/>
    <s v="P-PT"/>
    <s v="Test"/>
    <s v="Test"/>
    <s v="기계장치"/>
    <n v="10448791.6"/>
    <n v="996069.90642039571"/>
    <n v="332023.30214013188"/>
    <m/>
    <m/>
    <n v="996069.90642039571"/>
    <n v="996069.90642039571"/>
    <n v="1992139.8128407914"/>
    <n v="996069.90642039571"/>
    <n v="996069.90642039571"/>
    <n v="996069.90642039571"/>
    <n v="996069.90642039571"/>
    <n v="3984279.6256815828"/>
    <n v="996069.90642039571"/>
    <n v="996069.90642039571"/>
    <n v="996069.90642039571"/>
    <n v="996069.90642039571"/>
    <n v="3984279.6256815828"/>
    <n v="996069.90642039571"/>
    <n v="996069.90642039571"/>
    <n v="996069.90642039571"/>
    <n v="996069.90642039571"/>
    <n v="3984279.6256815828"/>
    <n v="996069.90642039571"/>
    <n v="996069.90642039571"/>
    <n v="996069.90642039571"/>
    <n v="996069.90642039571"/>
    <n v="3984279.6256815828"/>
    <m/>
    <n v="1.0202593050215555E-3"/>
    <n v="21425445.405452665"/>
    <n v="31874237.005452663"/>
  </r>
  <r>
    <n v="570"/>
    <x v="0"/>
    <m/>
    <s v="이종희"/>
    <s v="구미"/>
    <s v="PKG"/>
    <s v="O"/>
    <m/>
    <s v="DDI"/>
    <x v="0"/>
    <s v="PT"/>
    <x v="0"/>
    <n v="1003962"/>
    <s v="MC"/>
    <s v="DPT-13 : TESTER_ND3(310646162)"/>
    <s v="T6373"/>
    <x v="5"/>
    <s v="Tester"/>
    <n v="310646162"/>
    <x v="169"/>
    <s v="가동"/>
    <s v="일본"/>
    <s v="ADVANTEST"/>
    <x v="2"/>
    <s v="1차"/>
    <s v="1차"/>
    <s v="해당"/>
    <s v="Wafer Tester"/>
    <s v="Wafer Die Test"/>
    <m/>
    <m/>
    <s v="3B992"/>
    <s v="9030.82-0000"/>
    <s v="반도체 Test 장비"/>
    <m/>
    <m/>
    <d v="2013-08-12T00:00:00"/>
    <n v="12.227397260273973"/>
    <n v="8"/>
    <m/>
    <s v="자사"/>
    <s v="미설정"/>
    <n v="9.83"/>
    <n v="1250"/>
    <n v="950"/>
    <n v="1800"/>
    <n v="683670711"/>
    <m/>
    <m/>
    <m/>
    <n v="683669711"/>
    <n v="0"/>
    <n v="1000"/>
    <n v="1000"/>
    <m/>
    <m/>
    <m/>
    <s v="완료"/>
    <s v="P-PT"/>
    <s v="Test"/>
    <s v="Test"/>
    <s v="기계장치"/>
    <n v="13673414.220000001"/>
    <n v="427294.19437500002"/>
    <n v="142431.39812500001"/>
    <m/>
    <m/>
    <m/>
    <m/>
    <m/>
    <m/>
    <m/>
    <n v="427294.19437500002"/>
    <n v="427294.19437500002"/>
    <n v="854588.38875000004"/>
    <n v="427294.19437500002"/>
    <n v="427294.19437500002"/>
    <n v="427294.19437500002"/>
    <n v="427294.19437500002"/>
    <n v="1709176.7775000001"/>
    <n v="427294.19437500002"/>
    <n v="427294.19437500002"/>
    <n v="427294.19437500002"/>
    <n v="427294.19437500002"/>
    <n v="1709176.7775000001"/>
    <n v="427294.19437500002"/>
    <n v="427294.19437500002"/>
    <n v="427294.19437500002"/>
    <n v="427294.19437500002"/>
    <n v="1709176.7775000001"/>
    <m/>
    <m/>
    <m/>
    <n v="13673414.220000001"/>
  </r>
  <r>
    <n v="571"/>
    <x v="0"/>
    <m/>
    <s v="이종희"/>
    <s v="구미"/>
    <s v="PKG"/>
    <s v="O"/>
    <m/>
    <s v="DDI"/>
    <x v="0"/>
    <s v="PT"/>
    <x v="0"/>
    <n v="1003963"/>
    <s v="MC"/>
    <s v="DPT-14 : TESTER_ND3(310646163)"/>
    <s v="T6373"/>
    <x v="5"/>
    <s v="Tester"/>
    <n v="310646163"/>
    <x v="169"/>
    <s v="가동"/>
    <s v="일본"/>
    <s v="ADVANTEST"/>
    <x v="2"/>
    <s v="1차"/>
    <s v="1차"/>
    <s v="해당"/>
    <s v="Wafer Tester"/>
    <s v="Wafer Die Test"/>
    <m/>
    <m/>
    <s v="3B992"/>
    <s v="9030.82-0000"/>
    <s v="반도체 Test 장비"/>
    <m/>
    <m/>
    <d v="2013-08-12T00:00:00"/>
    <n v="12.227397260273973"/>
    <n v="8"/>
    <m/>
    <s v="자사"/>
    <s v="미설정"/>
    <n v="9.83"/>
    <n v="1250"/>
    <n v="950"/>
    <n v="1800"/>
    <n v="683670710"/>
    <m/>
    <m/>
    <m/>
    <n v="683669710"/>
    <n v="0"/>
    <n v="1000"/>
    <n v="1000"/>
    <m/>
    <m/>
    <m/>
    <s v="완료"/>
    <s v="P-PT"/>
    <s v="Test"/>
    <s v="Test"/>
    <s v="기계장치"/>
    <n v="13673414.200000001"/>
    <n v="427294.19375000003"/>
    <n v="142431.39791666667"/>
    <m/>
    <m/>
    <m/>
    <m/>
    <m/>
    <m/>
    <m/>
    <n v="427294.19374999998"/>
    <n v="427294.19374999998"/>
    <n v="854588.38749999995"/>
    <n v="427294.19374999998"/>
    <n v="427294.19374999998"/>
    <n v="427294.19374999998"/>
    <n v="427294.19374999998"/>
    <n v="1709176.7749999999"/>
    <n v="427294.19374999998"/>
    <n v="427294.19374999998"/>
    <n v="427294.19374999998"/>
    <n v="427294.19374999998"/>
    <n v="1709176.7749999999"/>
    <n v="427294.19374999998"/>
    <n v="427294.19374999998"/>
    <n v="427294.19374999998"/>
    <n v="427294.19374999998"/>
    <n v="1709176.7749999999"/>
    <m/>
    <m/>
    <m/>
    <n v="13673414.200000001"/>
  </r>
  <r>
    <n v="572"/>
    <x v="0"/>
    <m/>
    <s v="이종희"/>
    <s v="구미"/>
    <s v="PKG"/>
    <s v="O"/>
    <s v="8&quot;"/>
    <s v="DDI"/>
    <x v="0"/>
    <s v="PT"/>
    <x v="0"/>
    <n v="1002887"/>
    <s v="MC"/>
    <s v="DPT-15 : TESTER_ST6731A(322A27001M)"/>
    <s v="ST6731A"/>
    <x v="95"/>
    <s v="Tester"/>
    <s v="322A27001M"/>
    <x v="172"/>
    <s v="가동"/>
    <s v="일본"/>
    <s v="YOKOGAWA"/>
    <x v="0"/>
    <s v="1차"/>
    <s v="1차"/>
    <s v="해당"/>
    <s v="Wafer Tester"/>
    <s v="Wafer Die Test"/>
    <s v="1.25Ghz"/>
    <m/>
    <s v="3B992"/>
    <s v="9030.82-0000"/>
    <s v="반도체 Test 장비"/>
    <m/>
    <m/>
    <d v="2012-06-07T00:00:00"/>
    <n v="13.408219178082192"/>
    <n v="8"/>
    <m/>
    <s v="자사"/>
    <s v="미설정"/>
    <n v="6.1347440000000004"/>
    <n v="960"/>
    <n v="840"/>
    <n v="1860"/>
    <n v="652197895"/>
    <m/>
    <m/>
    <m/>
    <n v="652196895"/>
    <n v="0"/>
    <n v="1000"/>
    <n v="1000"/>
    <m/>
    <m/>
    <m/>
    <s v="완료"/>
    <s v="P-PT"/>
    <s v="Test"/>
    <s v="Test"/>
    <s v="기계장치"/>
    <n v="13043957.9"/>
    <n v="1243463.7824343806"/>
    <n v="414487.92747812689"/>
    <m/>
    <m/>
    <m/>
    <m/>
    <m/>
    <m/>
    <m/>
    <n v="1243463.7824343806"/>
    <n v="1243463.7824343806"/>
    <n v="2486927.5648687612"/>
    <n v="1243463.7824343806"/>
    <n v="1243463.7824343806"/>
    <n v="1243463.7824343806"/>
    <n v="1243463.7824343806"/>
    <n v="4973855.1297375225"/>
    <n v="1243463.7824343806"/>
    <n v="1243463.7824343806"/>
    <n v="1243463.7824343806"/>
    <n v="1243463.7824343806"/>
    <n v="4973855.1297375225"/>
    <n v="1243463.7824343806"/>
    <n v="1243463.7824343806"/>
    <n v="1243463.7824343806"/>
    <n v="1243463.7824343806"/>
    <n v="4973855.1297375225"/>
    <m/>
    <n v="1.2736611018047703E-3"/>
    <n v="26746883.137900177"/>
    <n v="39790841.03790018"/>
  </r>
  <r>
    <n v="573"/>
    <x v="0"/>
    <m/>
    <s v="이종희"/>
    <s v="구미"/>
    <s v="PKG"/>
    <s v="O"/>
    <m/>
    <s v="DDI"/>
    <x v="0"/>
    <s v="PT"/>
    <x v="0"/>
    <n v="1004527"/>
    <s v="MC"/>
    <s v="DPT-16 : TESTER_ND3(310703460)"/>
    <s v="T6373"/>
    <x v="5"/>
    <s v="Tester"/>
    <n v="310703460"/>
    <x v="169"/>
    <s v="가동"/>
    <s v="일본"/>
    <s v="ADVANTEST"/>
    <x v="2"/>
    <s v="1차"/>
    <s v="1차"/>
    <s v="해당"/>
    <s v="Wafer Tester"/>
    <s v="Wafer Die Test"/>
    <m/>
    <m/>
    <s v="3B992"/>
    <s v="9030.82-0000"/>
    <s v="반도체 Test 장비"/>
    <m/>
    <m/>
    <d v="2015-01-29T00:00:00"/>
    <n v="10.761643835616438"/>
    <n v="8"/>
    <m/>
    <s v="자사"/>
    <s v="미설정"/>
    <n v="9.83"/>
    <n v="1250"/>
    <n v="950"/>
    <n v="1800"/>
    <n v="518768803"/>
    <m/>
    <m/>
    <m/>
    <n v="518767803"/>
    <n v="1862381"/>
    <n v="1000"/>
    <n v="1000"/>
    <m/>
    <m/>
    <m/>
    <s v="완료"/>
    <s v="P-PT"/>
    <s v="Test"/>
    <s v="Test"/>
    <s v="기계장치"/>
    <n v="10375376.060000001"/>
    <n v="324230.50187500002"/>
    <n v="108076.83395833334"/>
    <m/>
    <m/>
    <n v="324230.50187500002"/>
    <n v="324230.50187500002"/>
    <n v="648461.00375000003"/>
    <n v="324230.50187500002"/>
    <n v="324230.50187500002"/>
    <n v="324230.50187500002"/>
    <n v="324230.50187500002"/>
    <n v="1296922.0075000001"/>
    <n v="324230.50187500002"/>
    <n v="324230.50187500002"/>
    <n v="324230.50187500002"/>
    <n v="324230.50187500002"/>
    <n v="1296922.0075000001"/>
    <n v="324230.50187500002"/>
    <n v="324230.50187500002"/>
    <n v="324230.50187500002"/>
    <n v="324230.50187500002"/>
    <n v="1296922.0075000001"/>
    <n v="324230.50187500002"/>
    <n v="324230.50187500002"/>
    <n v="324230.50187500002"/>
    <n v="324230.50187500002"/>
    <n v="1296922.0075000001"/>
    <m/>
    <m/>
    <m/>
    <n v="10375376.060000001"/>
  </r>
  <r>
    <n v="574"/>
    <x v="0"/>
    <m/>
    <s v="이종희"/>
    <s v="구미"/>
    <s v="PKG"/>
    <s v="O"/>
    <m/>
    <s v="DDI"/>
    <x v="0"/>
    <s v="PT"/>
    <x v="0"/>
    <n v="1004167"/>
    <s v="MC"/>
    <s v="DPT-20 : TESTER_ND3(310653463)"/>
    <s v="T6373"/>
    <x v="5"/>
    <s v="Tester"/>
    <n v="310653463"/>
    <x v="169"/>
    <s v="운휴"/>
    <s v="일본"/>
    <s v="ADVANTEST"/>
    <x v="2"/>
    <s v="1차"/>
    <s v="1차"/>
    <s v="해당"/>
    <s v="Wafer Tester"/>
    <s v="Wafer Die Test"/>
    <m/>
    <m/>
    <s v="3B992"/>
    <s v="9030.82-0000"/>
    <s v="반도체 Test 장비"/>
    <m/>
    <m/>
    <d v="2014-01-31T00:00:00"/>
    <n v="11.756164383561643"/>
    <n v="8"/>
    <m/>
    <s v="자사"/>
    <s v="미설정"/>
    <n v="9.83"/>
    <n v="1250"/>
    <n v="950"/>
    <n v="1800"/>
    <n v="616361521"/>
    <m/>
    <m/>
    <m/>
    <n v="616360521"/>
    <n v="0"/>
    <n v="1000"/>
    <n v="1000"/>
    <m/>
    <m/>
    <m/>
    <s v="완료"/>
    <s v="P-PT"/>
    <s v="Test"/>
    <s v="Test"/>
    <s v="기계장치"/>
    <n v="12327230.42"/>
    <n v="385225.950625"/>
    <n v="128408.65020833333"/>
    <m/>
    <m/>
    <m/>
    <m/>
    <m/>
    <m/>
    <m/>
    <n v="385225.950625"/>
    <n v="385225.950625"/>
    <n v="770451.90125"/>
    <n v="385225.950625"/>
    <n v="385225.950625"/>
    <n v="385225.950625"/>
    <n v="385225.950625"/>
    <n v="1540903.8025"/>
    <n v="385225.950625"/>
    <n v="385225.950625"/>
    <n v="385225.950625"/>
    <n v="385225.950625"/>
    <n v="1540903.8025"/>
    <n v="385225.950625"/>
    <n v="385225.950625"/>
    <n v="385225.950625"/>
    <n v="385225.950625"/>
    <n v="1540903.8025"/>
    <m/>
    <m/>
    <m/>
    <n v="12327230.42"/>
  </r>
  <r>
    <n v="575"/>
    <x v="0"/>
    <m/>
    <s v="이종희"/>
    <s v="구미"/>
    <s v="PKG"/>
    <s v="O"/>
    <m/>
    <s v="DDI"/>
    <x v="0"/>
    <s v="PT"/>
    <x v="0"/>
    <n v="1003488"/>
    <s v="MC"/>
    <s v="DPT-21 : TESTER_ND3(310602700)"/>
    <s v="T6373"/>
    <x v="5"/>
    <s v="Tester"/>
    <n v="310602700"/>
    <x v="169"/>
    <s v="가동"/>
    <s v="일본"/>
    <s v="ADVANTEST"/>
    <x v="2"/>
    <s v="1차"/>
    <s v="1차"/>
    <s v="해당"/>
    <s v="Wafer Tester"/>
    <s v="Wafer Die Test"/>
    <m/>
    <m/>
    <s v="3B992"/>
    <s v="9030.82-0000"/>
    <s v="반도체 Test 장비"/>
    <m/>
    <m/>
    <d v="2012-08-06T00:00:00"/>
    <n v="13.243835616438357"/>
    <n v="8"/>
    <m/>
    <s v="자사"/>
    <s v="미설정"/>
    <n v="9.83"/>
    <n v="1250"/>
    <n v="950"/>
    <n v="1800"/>
    <n v="865819615"/>
    <m/>
    <m/>
    <m/>
    <n v="865818615"/>
    <n v="0"/>
    <n v="1000"/>
    <n v="1000"/>
    <m/>
    <m/>
    <m/>
    <s v="완료"/>
    <s v="P-PT"/>
    <s v="Test"/>
    <s v="Test"/>
    <s v="기계장치"/>
    <n v="17316392.300000001"/>
    <n v="541137.25937500002"/>
    <n v="180379.08645833333"/>
    <m/>
    <m/>
    <n v="541137.25937500002"/>
    <n v="541137.25937500002"/>
    <n v="1082274.51875"/>
    <n v="541137.25937500002"/>
    <n v="541137.25937500002"/>
    <n v="541137.25937500002"/>
    <n v="541137.25937500002"/>
    <n v="2164549.0375000001"/>
    <n v="541137.25937500002"/>
    <n v="541137.25937500002"/>
    <n v="541137.25937500002"/>
    <n v="541137.25937500002"/>
    <n v="2164549.0375000001"/>
    <n v="541137.25937500002"/>
    <n v="541137.25937500002"/>
    <n v="541137.25937500002"/>
    <n v="541137.25937500002"/>
    <n v="2164549.0375000001"/>
    <n v="541137.25937500002"/>
    <n v="541137.25937500002"/>
    <n v="541137.25937500002"/>
    <n v="541137.25937500002"/>
    <n v="2164549.0375000001"/>
    <m/>
    <m/>
    <m/>
    <n v="17316392.300000001"/>
  </r>
  <r>
    <n v="576"/>
    <x v="0"/>
    <m/>
    <s v="이종희"/>
    <s v="구미"/>
    <s v="PKG"/>
    <s v="O"/>
    <m/>
    <s v="DDI"/>
    <x v="0"/>
    <s v="PT"/>
    <x v="0"/>
    <n v="1004745"/>
    <s v="MC"/>
    <s v="DPT-34 : TESTER_ND4(310745903)"/>
    <s v="T6391"/>
    <x v="14"/>
    <s v="Tester"/>
    <n v="310745903"/>
    <x v="173"/>
    <s v="가동"/>
    <s v="일본"/>
    <s v="ADVANTEST"/>
    <x v="1"/>
    <s v="1차"/>
    <s v="1차"/>
    <s v="해당"/>
    <s v="Wafer Tester"/>
    <s v="반도체 Tester"/>
    <m/>
    <m/>
    <s v="3B992"/>
    <s v="9030.82-0000"/>
    <s v="Enduser 중국"/>
    <m/>
    <m/>
    <d v="2016-04-01T00:00:00"/>
    <n v="9.5890410958904102"/>
    <n v="8"/>
    <m/>
    <s v="자사"/>
    <s v="미설정"/>
    <n v="13.3"/>
    <n v="1050"/>
    <n v="800"/>
    <n v="1600"/>
    <n v="781860327"/>
    <m/>
    <m/>
    <m/>
    <n v="781859327"/>
    <n v="7288017"/>
    <n v="1000"/>
    <n v="1000"/>
    <m/>
    <m/>
    <m/>
    <s v="완료"/>
    <s v="P-PT"/>
    <s v="Test"/>
    <s v="Test"/>
    <s v="기계장치"/>
    <n v="15637206.540000001"/>
    <n v="1490674.8503792728"/>
    <n v="496891.61679309094"/>
    <m/>
    <m/>
    <n v="1490674.8503792728"/>
    <n v="1490674.8503792728"/>
    <n v="2981349.7007585457"/>
    <n v="1490674.8503792728"/>
    <n v="1490674.8503792728"/>
    <n v="1490674.8503792728"/>
    <n v="1490674.8503792728"/>
    <n v="5962699.4015170913"/>
    <n v="1490674.8503792728"/>
    <n v="1490674.8503792728"/>
    <n v="1490674.8503792728"/>
    <n v="1490674.8503792728"/>
    <n v="5962699.4015170913"/>
    <n v="1490674.8503792728"/>
    <n v="1490674.8503792728"/>
    <n v="1490674.8503792728"/>
    <n v="1490674.8503792728"/>
    <n v="5962699.4015170913"/>
    <n v="1490674.8503792728"/>
    <n v="1490674.8503792728"/>
    <n v="1490674.8503792728"/>
    <n v="1490674.8503792728"/>
    <n v="5962699.4015170913"/>
    <m/>
    <n v="1.5268756510541299E-3"/>
    <n v="32064388.672136728"/>
    <n v="47701595.212136731"/>
  </r>
  <r>
    <n v="577"/>
    <x v="0"/>
    <m/>
    <s v="이종희"/>
    <s v="구미"/>
    <s v="PKG"/>
    <s v="O"/>
    <m/>
    <s v="DDI"/>
    <x v="0"/>
    <s v="PT"/>
    <x v="0"/>
    <n v="1005164"/>
    <s v="MC"/>
    <s v="DPT-37 : TESTER_ND4(310843593)"/>
    <s v="T6391"/>
    <x v="14"/>
    <s v="Tester"/>
    <n v="310843593"/>
    <x v="173"/>
    <s v="가동"/>
    <s v="일본"/>
    <s v="ADVANTEST"/>
    <x v="2"/>
    <s v="1차"/>
    <s v="1차"/>
    <s v="해당"/>
    <s v="Wafer Tester"/>
    <s v="반도체 Tester"/>
    <m/>
    <m/>
    <s v="3B992"/>
    <s v="9030.82-0000"/>
    <s v="Enduser 중국"/>
    <m/>
    <m/>
    <d v="2017-08-17T00:00:00"/>
    <n v="8.2109589041095887"/>
    <n v="8"/>
    <m/>
    <s v="자사"/>
    <s v="설정"/>
    <n v="13.3"/>
    <n v="1050"/>
    <n v="800"/>
    <n v="1600"/>
    <n v="836164314"/>
    <m/>
    <m/>
    <m/>
    <n v="799478988"/>
    <n v="8497993"/>
    <n v="11191347"/>
    <n v="1000"/>
    <m/>
    <m/>
    <m/>
    <s v="미완료"/>
    <s v="P-PT"/>
    <s v="Test"/>
    <s v="Test"/>
    <s v="기계장치"/>
    <n v="11750914.35"/>
    <n v="367216.07343749999"/>
    <n v="122405.35781249999"/>
    <m/>
    <m/>
    <m/>
    <m/>
    <m/>
    <m/>
    <m/>
    <n v="367216.07343749999"/>
    <n v="367216.07343749999"/>
    <n v="734432.14687499998"/>
    <n v="367216.07343749999"/>
    <n v="367216.07343749999"/>
    <n v="367216.07343749999"/>
    <n v="367216.07343749999"/>
    <n v="1468864.29375"/>
    <n v="367216.07343749999"/>
    <n v="367216.07343749999"/>
    <n v="367216.07343749999"/>
    <n v="367216.07343749999"/>
    <n v="1468864.29375"/>
    <n v="367216.07343749999"/>
    <n v="367216.07343749999"/>
    <n v="367216.07343749999"/>
    <n v="367216.07343749999"/>
    <n v="1468864.29375"/>
    <m/>
    <m/>
    <m/>
    <n v="11750914.35"/>
  </r>
  <r>
    <n v="578"/>
    <x v="0"/>
    <m/>
    <s v="이종희"/>
    <s v="구미"/>
    <s v="PKG"/>
    <s v="O"/>
    <m/>
    <s v="DDI"/>
    <x v="0"/>
    <s v="PT"/>
    <x v="0"/>
    <n v="1005467"/>
    <s v="MC"/>
    <s v="DPT-38 : TESTER_ND4(310940682)"/>
    <s v="T6391"/>
    <x v="14"/>
    <s v="Tester"/>
    <n v="310940682"/>
    <x v="173"/>
    <s v="가동"/>
    <s v="일본"/>
    <s v="ADVANTEST"/>
    <x v="1"/>
    <s v="1차"/>
    <s v="1차"/>
    <s v="해당"/>
    <s v="Wafer Tester"/>
    <s v="반도체 Tester"/>
    <m/>
    <m/>
    <s v="3B992"/>
    <s v="9030.82-0000"/>
    <s v="Enduser 중국"/>
    <m/>
    <m/>
    <d v="2018-06-20T00:00:00"/>
    <n v="7.3698630136986303"/>
    <n v="8"/>
    <m/>
    <s v="자사"/>
    <s v="설정"/>
    <n v="13.3"/>
    <n v="1050"/>
    <n v="800"/>
    <n v="1600"/>
    <n v="772399860"/>
    <m/>
    <m/>
    <m/>
    <n v="688719398"/>
    <n v="8045832"/>
    <n v="59542966"/>
    <n v="4009678"/>
    <m/>
    <m/>
    <m/>
    <s v="미완료"/>
    <s v="P-PT"/>
    <s v="Test"/>
    <s v="Test"/>
    <s v="기계장치"/>
    <n v="62520114.300000004"/>
    <n v="5959962.3367158985"/>
    <n v="1986654.1122386327"/>
    <m/>
    <m/>
    <n v="5959962.3367158985"/>
    <n v="5959962.3367158985"/>
    <n v="11919924.673431797"/>
    <n v="5959962.3367158985"/>
    <n v="5959962.3367158985"/>
    <n v="5959962.3367158985"/>
    <n v="5959962.3367158985"/>
    <n v="23839849.346863594"/>
    <n v="5959962.3367158985"/>
    <n v="5959962.3367158985"/>
    <n v="5959962.3367158985"/>
    <n v="5959962.3367158985"/>
    <n v="23839849.346863594"/>
    <n v="5959962.3367158985"/>
    <n v="5959962.3367158985"/>
    <n v="5959962.3367158985"/>
    <n v="5959962.3367158985"/>
    <n v="23839849.346863594"/>
    <n v="5959962.3367158985"/>
    <n v="5959962.3367158985"/>
    <n v="5959962.3367158985"/>
    <n v="5959962.3367158985"/>
    <n v="23839849.346863594"/>
    <m/>
    <n v="6.1046990702337501E-3"/>
    <n v="128198680.47490875"/>
    <n v="190718794.77490875"/>
  </r>
  <r>
    <n v="579"/>
    <x v="0"/>
    <m/>
    <s v="이종희"/>
    <s v="구미"/>
    <s v="PKG"/>
    <s v="O"/>
    <m/>
    <s v="DDI"/>
    <x v="0"/>
    <s v="PT"/>
    <x v="0"/>
    <n v="1005522"/>
    <s v="MC"/>
    <s v="DPT-39 : TESTER_ND4(310953138)"/>
    <s v="T6391"/>
    <x v="14"/>
    <s v="Tester"/>
    <n v="310953138"/>
    <x v="173"/>
    <s v="가동"/>
    <s v="일본"/>
    <s v="ADVANTEST"/>
    <x v="1"/>
    <s v="1차"/>
    <s v="1차"/>
    <s v="해당"/>
    <s v="Wafer Tester"/>
    <s v="반도체 Tester"/>
    <m/>
    <m/>
    <s v="3B992"/>
    <s v="9030.82-0000"/>
    <s v="Enduser 중국"/>
    <m/>
    <m/>
    <d v="2018-07-23T00:00:00"/>
    <n v="7.279452054794521"/>
    <n v="8"/>
    <m/>
    <s v="자사"/>
    <s v="설정"/>
    <n v="13.3"/>
    <n v="1050"/>
    <n v="800"/>
    <n v="1600"/>
    <n v="708187271"/>
    <m/>
    <m/>
    <m/>
    <n v="627040811"/>
    <n v="7376951"/>
    <n v="59015607"/>
    <n v="5105313"/>
    <m/>
    <m/>
    <m/>
    <s v="미완료"/>
    <s v="P-PT"/>
    <s v="Test"/>
    <s v="Test"/>
    <s v="기계장치"/>
    <n v="61966387.350000001"/>
    <n v="5907176.2565275496"/>
    <n v="1969058.7521758499"/>
    <m/>
    <m/>
    <n v="5907176.2565275496"/>
    <n v="5907176.2565275496"/>
    <n v="11814352.513055099"/>
    <n v="5907176.2565275496"/>
    <n v="5907176.2565275496"/>
    <n v="5907176.2565275496"/>
    <n v="5907176.2565275496"/>
    <n v="23628705.026110198"/>
    <n v="5907176.2565275496"/>
    <n v="5907176.2565275496"/>
    <n v="5907176.2565275496"/>
    <n v="5907176.2565275496"/>
    <n v="23628705.026110198"/>
    <n v="5907176.2565275496"/>
    <n v="5907176.2565275496"/>
    <n v="5907176.2565275496"/>
    <n v="5907176.2565275496"/>
    <n v="23628705.026110198"/>
    <n v="5907176.2565275496"/>
    <n v="5907176.2565275496"/>
    <n v="5907176.2565275496"/>
    <n v="5907176.2565275496"/>
    <n v="23628705.026110198"/>
    <m/>
    <n v="6.0506310885181701E-3"/>
    <n v="127063252.85888158"/>
    <n v="189029640.20888159"/>
  </r>
  <r>
    <n v="580"/>
    <x v="0"/>
    <m/>
    <s v="이종희"/>
    <s v="구미"/>
    <s v="PKG"/>
    <s v="O"/>
    <m/>
    <s v="DDI"/>
    <x v="0"/>
    <s v="PT"/>
    <x v="0"/>
    <n v="1005524"/>
    <s v="MC"/>
    <s v="DPT-41 : TESTER_ND4(310953194)"/>
    <s v="T6391"/>
    <x v="14"/>
    <s v="Tester"/>
    <n v="310953194"/>
    <x v="173"/>
    <s v="가동"/>
    <s v="일본"/>
    <s v="ADVANTEST"/>
    <x v="1"/>
    <s v="1차"/>
    <s v="1차"/>
    <s v="해당"/>
    <s v="Wafer Tester"/>
    <s v="반도체 Tester"/>
    <m/>
    <m/>
    <s v="3B992"/>
    <s v="9030.82-0000"/>
    <s v="Enduser 중국"/>
    <m/>
    <m/>
    <d v="2018-07-23T00:00:00"/>
    <n v="7.279452054794521"/>
    <n v="8"/>
    <m/>
    <s v="자사"/>
    <s v="설정"/>
    <n v="13.3"/>
    <n v="1050"/>
    <n v="800"/>
    <n v="1600"/>
    <n v="708679271"/>
    <m/>
    <m/>
    <m/>
    <n v="627476436"/>
    <n v="7382076"/>
    <n v="59056607"/>
    <n v="5108860"/>
    <m/>
    <m/>
    <m/>
    <s v="미완료"/>
    <s v="P-PT"/>
    <s v="Test"/>
    <s v="Test"/>
    <s v="기계장치"/>
    <n v="62009437.350000001"/>
    <n v="5911280.1578314472"/>
    <n v="1970426.7192771491"/>
    <m/>
    <m/>
    <n v="5911280.1578314472"/>
    <n v="5911280.1578314472"/>
    <n v="11822560.315662894"/>
    <n v="5911280.1578314472"/>
    <n v="5911280.1578314472"/>
    <n v="5911280.1578314472"/>
    <n v="5911280.1578314472"/>
    <n v="23645120.631325789"/>
    <n v="5911280.1578314472"/>
    <n v="5911280.1578314472"/>
    <n v="5911280.1578314472"/>
    <n v="5911280.1578314472"/>
    <n v="23645120.631325789"/>
    <n v="5911280.1578314472"/>
    <n v="5911280.1578314472"/>
    <n v="5911280.1578314472"/>
    <n v="5911280.1578314472"/>
    <n v="23645120.631325789"/>
    <n v="5911280.1578314472"/>
    <n v="5911280.1578314472"/>
    <n v="5911280.1578314472"/>
    <n v="5911280.1578314472"/>
    <n v="23645120.631325789"/>
    <m/>
    <n v="6.0548346524098243E-3"/>
    <n v="127151527.70060632"/>
    <n v="189160965.05060631"/>
  </r>
  <r>
    <n v="581"/>
    <x v="0"/>
    <m/>
    <s v="이종희"/>
    <s v="구미"/>
    <s v="PKG"/>
    <s v="O"/>
    <m/>
    <s v="DDI"/>
    <x v="0"/>
    <s v="PT"/>
    <x v="0"/>
    <n v="1005525"/>
    <s v="MC"/>
    <s v="DPT-42 : TESTER_ND4(310953207)"/>
    <s v="T6391"/>
    <x v="14"/>
    <s v="Tester"/>
    <n v="310953207"/>
    <x v="173"/>
    <s v="가동"/>
    <s v="일본"/>
    <s v="ADVANTEST"/>
    <x v="2"/>
    <s v="1차"/>
    <s v="1차"/>
    <s v="해당"/>
    <s v="Wafer Tester"/>
    <s v="반도체 Tester"/>
    <m/>
    <m/>
    <s v="3B992"/>
    <s v="9030.82-0000"/>
    <s v="Enduser 중국"/>
    <m/>
    <m/>
    <d v="2018-07-23T00:00:00"/>
    <n v="7.279452054794521"/>
    <n v="8"/>
    <m/>
    <s v="자사"/>
    <s v="설정"/>
    <n v="13.3"/>
    <n v="1050"/>
    <n v="800"/>
    <n v="1600"/>
    <n v="708679271"/>
    <m/>
    <m/>
    <m/>
    <n v="627476436"/>
    <n v="7382076"/>
    <n v="59056607"/>
    <n v="5108860"/>
    <m/>
    <m/>
    <m/>
    <s v="미완료"/>
    <s v="P-PT"/>
    <s v="Test"/>
    <s v="Test"/>
    <s v="기계장치"/>
    <n v="62009437.350000001"/>
    <n v="1937794.9171875"/>
    <n v="645931.63906249998"/>
    <m/>
    <m/>
    <n v="1937794.9171874998"/>
    <n v="1937794.9171874998"/>
    <n v="3875589.8343749996"/>
    <n v="1937794.9171874998"/>
    <n v="1937794.9171874998"/>
    <n v="1937794.9171874998"/>
    <n v="1937794.9171874998"/>
    <n v="7751179.6687499993"/>
    <n v="1937794.9171874998"/>
    <n v="1937794.9171874998"/>
    <n v="1937794.9171874998"/>
    <n v="1937794.9171874998"/>
    <n v="7751179.6687499993"/>
    <n v="1937794.9171874998"/>
    <n v="1937794.9171874998"/>
    <n v="1937794.9171874998"/>
    <n v="1937794.9171874998"/>
    <n v="7751179.6687499993"/>
    <n v="1937794.9171874998"/>
    <n v="1937794.9171874998"/>
    <n v="1937794.9171874998"/>
    <n v="1937794.9171874998"/>
    <n v="7751179.6687499993"/>
    <m/>
    <m/>
    <m/>
    <n v="62009437.350000001"/>
  </r>
  <r>
    <n v="582"/>
    <x v="0"/>
    <m/>
    <s v="이종희"/>
    <s v="구미"/>
    <s v="PKG"/>
    <s v="O"/>
    <m/>
    <s v="DDI"/>
    <x v="0"/>
    <s v="PT"/>
    <x v="0"/>
    <n v="1005557"/>
    <s v="MC"/>
    <s v="DPT-43 : TESTER_ND4(310959629)"/>
    <s v="T6391"/>
    <x v="14"/>
    <s v="Tester"/>
    <n v="310959629"/>
    <x v="173"/>
    <s v="가동"/>
    <s v="일본"/>
    <s v="ADVANTEST"/>
    <x v="2"/>
    <s v="1차"/>
    <s v="1차"/>
    <s v="해당"/>
    <s v="Wafer Tester"/>
    <s v="반도체 Tester"/>
    <m/>
    <m/>
    <s v="3B992"/>
    <s v="9030.82-0000"/>
    <s v="Enduser 중국"/>
    <m/>
    <m/>
    <d v="2018-07-31T00:00:00"/>
    <n v="7.2575342465753421"/>
    <n v="8"/>
    <m/>
    <s v="자사"/>
    <s v="설정"/>
    <n v="13.3"/>
    <n v="1050"/>
    <n v="800"/>
    <n v="1600"/>
    <n v="702963326"/>
    <m/>
    <m/>
    <m/>
    <n v="622415445"/>
    <n v="7322535"/>
    <n v="58580276"/>
    <n v="5067657"/>
    <m/>
    <m/>
    <m/>
    <s v="미완료"/>
    <s v="P-PT"/>
    <s v="Test"/>
    <s v="Test"/>
    <s v="기계장치"/>
    <n v="61509289.800000004"/>
    <n v="1922165.3062500001"/>
    <n v="640721.76875000005"/>
    <m/>
    <m/>
    <n v="1922165.3062500001"/>
    <n v="1922165.3062500001"/>
    <n v="3844330.6125000003"/>
    <n v="1922165.3062500001"/>
    <n v="1922165.3062500001"/>
    <n v="1922165.3062500001"/>
    <n v="1922165.3062500001"/>
    <n v="7688661.2250000006"/>
    <n v="1922165.3062500001"/>
    <n v="1922165.3062500001"/>
    <n v="1922165.3062500001"/>
    <n v="1922165.3062500001"/>
    <n v="7688661.2250000006"/>
    <n v="1922165.3062500001"/>
    <n v="1922165.3062500001"/>
    <n v="1922165.3062500001"/>
    <n v="1922165.3062500001"/>
    <n v="7688661.2250000006"/>
    <n v="1922165.3062500001"/>
    <n v="1922165.3062500001"/>
    <n v="1922165.3062500001"/>
    <n v="1922165.3062500001"/>
    <n v="7688661.2250000006"/>
    <m/>
    <m/>
    <m/>
    <n v="61509289.800000004"/>
  </r>
  <r>
    <n v="583"/>
    <x v="0"/>
    <m/>
    <s v="이종희"/>
    <s v="구미"/>
    <s v="PKG"/>
    <s v="O"/>
    <m/>
    <s v="DDI"/>
    <x v="0"/>
    <s v="PT"/>
    <x v="0"/>
    <n v="1005558"/>
    <s v="MC"/>
    <s v="DPT-44 : TESTER_ND4(310973304)"/>
    <s v="T6391"/>
    <x v="14"/>
    <s v="Tester"/>
    <n v="310973304"/>
    <x v="173"/>
    <s v="가동"/>
    <s v="일본"/>
    <s v="ADVANTEST"/>
    <x v="2"/>
    <s v="1차"/>
    <s v="1차"/>
    <s v="해당"/>
    <s v="Wafer Tester"/>
    <s v="반도체 Tester"/>
    <m/>
    <m/>
    <s v="3B992"/>
    <s v="9030.82-0000"/>
    <s v="Enduser 중국"/>
    <m/>
    <m/>
    <d v="2018-07-31T00:00:00"/>
    <n v="7.2575342465753421"/>
    <n v="8"/>
    <m/>
    <s v="자사"/>
    <s v="설정"/>
    <n v="13.3"/>
    <n v="1050"/>
    <n v="800"/>
    <n v="1600"/>
    <n v="764789098"/>
    <m/>
    <m/>
    <m/>
    <n v="642521588"/>
    <n v="7966553"/>
    <n v="98367851"/>
    <n v="9507906"/>
    <m/>
    <m/>
    <m/>
    <s v="미완료"/>
    <s v="P-PT"/>
    <s v="Test"/>
    <s v="Test"/>
    <s v="기계장치"/>
    <n v="103286243.55"/>
    <n v="3227695.1109374999"/>
    <n v="1075898.3703125"/>
    <m/>
    <m/>
    <n v="3227695.1109375004"/>
    <n v="3227695.1109375004"/>
    <n v="6455390.2218750007"/>
    <n v="3227695.1109375004"/>
    <n v="3227695.1109375004"/>
    <n v="3227695.1109375004"/>
    <n v="3227695.1109375004"/>
    <n v="12910780.443750001"/>
    <n v="3227695.1109375004"/>
    <n v="3227695.1109375004"/>
    <n v="3227695.1109375004"/>
    <n v="3227695.1109375004"/>
    <n v="12910780.443750001"/>
    <n v="3227695.1109375004"/>
    <n v="3227695.1109375004"/>
    <n v="3227695.1109375004"/>
    <n v="3227695.1109375004"/>
    <n v="12910780.443750001"/>
    <n v="3227695.1109375004"/>
    <n v="3227695.1109375004"/>
    <n v="3227695.1109375004"/>
    <n v="3227695.1109375004"/>
    <n v="12910780.443750001"/>
    <m/>
    <m/>
    <m/>
    <n v="103286243.55"/>
  </r>
  <r>
    <n v="584"/>
    <x v="0"/>
    <m/>
    <s v="이종희"/>
    <s v="구미"/>
    <s v="PKG"/>
    <s v="O"/>
    <m/>
    <s v="DDI"/>
    <x v="0"/>
    <s v="PT"/>
    <x v="0"/>
    <n v="1005608"/>
    <s v="MC"/>
    <s v="DPT-45 : TESTER_ND4(310973320)"/>
    <s v="T6391"/>
    <x v="14"/>
    <s v="Tester"/>
    <n v="310973320"/>
    <x v="173"/>
    <s v="가동"/>
    <s v="일본"/>
    <s v="ADVANTEST"/>
    <x v="2"/>
    <s v="1차"/>
    <s v="1차"/>
    <s v="해당"/>
    <s v="Wafer Tester"/>
    <s v="반도체 Tester"/>
    <m/>
    <m/>
    <s v="3B992"/>
    <s v="9030.82-0000"/>
    <s v="Enduser 중국"/>
    <m/>
    <m/>
    <d v="2018-08-01T00:00:00"/>
    <n v="7.2547945205479456"/>
    <n v="8"/>
    <m/>
    <s v="자사"/>
    <s v="설정"/>
    <n v="13.3"/>
    <n v="1050"/>
    <n v="800"/>
    <n v="1600"/>
    <n v="729447160"/>
    <m/>
    <m/>
    <m/>
    <n v="633324293"/>
    <n v="7598408"/>
    <n v="73327643"/>
    <n v="7662571"/>
    <m/>
    <m/>
    <m/>
    <s v="미완료"/>
    <s v="P-PT"/>
    <s v="Test"/>
    <s v="Test"/>
    <s v="기계장치"/>
    <n v="76994025.150000006"/>
    <n v="2406063.2859375002"/>
    <n v="802021.09531250002"/>
    <m/>
    <m/>
    <n v="2406063.2859375002"/>
    <n v="2406063.2859375002"/>
    <n v="4812126.5718750004"/>
    <n v="2406063.2859375002"/>
    <n v="2406063.2859375002"/>
    <n v="2406063.2859375002"/>
    <n v="2406063.2859375002"/>
    <n v="9624253.1437500007"/>
    <n v="2406063.2859375002"/>
    <n v="2406063.2859375002"/>
    <n v="2406063.2859375002"/>
    <n v="2406063.2859375002"/>
    <n v="9624253.1437500007"/>
    <n v="2406063.2859375002"/>
    <n v="2406063.2859375002"/>
    <n v="2406063.2859375002"/>
    <n v="2406063.2859375002"/>
    <n v="9624253.1437500007"/>
    <n v="2406063.2859375002"/>
    <n v="2406063.2859375002"/>
    <n v="2406063.2859375002"/>
    <n v="2406063.2859375002"/>
    <n v="9624253.1437500007"/>
    <m/>
    <m/>
    <m/>
    <n v="76994025.150000006"/>
  </r>
  <r>
    <n v="585"/>
    <x v="0"/>
    <m/>
    <s v="이종희"/>
    <s v="구미"/>
    <s v="PKG"/>
    <s v="O"/>
    <m/>
    <s v="DDI"/>
    <x v="0"/>
    <s v="PT"/>
    <x v="0"/>
    <n v="1005619"/>
    <s v="MC"/>
    <s v="DPT-46 : TESTER_ND4(310911282)"/>
    <s v="T6391"/>
    <x v="14"/>
    <s v="Tester"/>
    <n v="310911282"/>
    <x v="173"/>
    <s v="가동"/>
    <s v="일본"/>
    <s v="ADVANTEST"/>
    <x v="2"/>
    <s v="1차"/>
    <s v="1차"/>
    <s v="해당"/>
    <s v="Wafer Tester"/>
    <s v="반도체 Tester"/>
    <m/>
    <m/>
    <s v="3B992"/>
    <s v="9030.82-0000"/>
    <s v="Enduser 중국"/>
    <m/>
    <m/>
    <d v="2018-08-15T00:00:00"/>
    <n v="7.2164383561643834"/>
    <n v="8"/>
    <m/>
    <s v="자사"/>
    <s v="설정"/>
    <n v="13.3"/>
    <n v="1050"/>
    <n v="800"/>
    <n v="1600"/>
    <n v="708903187"/>
    <m/>
    <m/>
    <m/>
    <n v="620290284"/>
    <n v="7384408"/>
    <n v="66459679"/>
    <n v="6813726"/>
    <m/>
    <m/>
    <m/>
    <s v="미완료"/>
    <s v="P-PT"/>
    <s v="Test"/>
    <s v="Test"/>
    <s v="기계장치"/>
    <n v="69782662.950000003"/>
    <n v="2180708.2171875001"/>
    <n v="726902.73906250007"/>
    <m/>
    <m/>
    <n v="2180708.2171875001"/>
    <n v="2180708.2171875001"/>
    <n v="4361416.4343750002"/>
    <n v="2180708.2171875001"/>
    <n v="2180708.2171875001"/>
    <n v="2180708.2171875001"/>
    <n v="2180708.2171875001"/>
    <n v="8722832.8687500004"/>
    <n v="2180708.2171875001"/>
    <n v="2180708.2171875001"/>
    <n v="2180708.2171875001"/>
    <n v="2180708.2171875001"/>
    <n v="8722832.8687500004"/>
    <n v="2180708.2171875001"/>
    <n v="2180708.2171875001"/>
    <n v="2180708.2171875001"/>
    <n v="2180708.2171875001"/>
    <n v="8722832.8687500004"/>
    <n v="2180708.2171875001"/>
    <n v="2180708.2171875001"/>
    <n v="2180708.2171875001"/>
    <n v="2180708.2171875001"/>
    <n v="8722832.8687500004"/>
    <m/>
    <m/>
    <m/>
    <n v="69782662.950000003"/>
  </r>
  <r>
    <n v="586"/>
    <x v="0"/>
    <m/>
    <s v="이종희"/>
    <s v="구미"/>
    <s v="PKG"/>
    <s v="O"/>
    <m/>
    <s v="DDI"/>
    <x v="0"/>
    <s v="PT"/>
    <x v="0"/>
    <n v="1005649"/>
    <s v="MC"/>
    <s v="DPT-47 : TESTER_ND4(310990955)"/>
    <s v="T6391"/>
    <x v="14"/>
    <s v="Tester"/>
    <n v="310990955"/>
    <x v="173"/>
    <s v="가동"/>
    <s v="일본"/>
    <s v="ADVANTEST"/>
    <x v="2"/>
    <s v="1차"/>
    <s v="1차"/>
    <s v="해당"/>
    <s v="Wafer Tester"/>
    <s v="반도체 Tester"/>
    <m/>
    <m/>
    <s v="3B992"/>
    <s v="9030.82-0000"/>
    <s v="Enduser 중국"/>
    <m/>
    <m/>
    <d v="2018-09-15T00:00:00"/>
    <n v="7.1315068493150688"/>
    <n v="8"/>
    <m/>
    <s v="자사"/>
    <s v="설정"/>
    <n v="13.3"/>
    <n v="1050"/>
    <n v="800"/>
    <n v="1600"/>
    <n v="738817772"/>
    <m/>
    <m/>
    <m/>
    <n v="626727905"/>
    <n v="7696018"/>
    <n v="89001813"/>
    <n v="10612373"/>
    <m/>
    <m/>
    <m/>
    <s v="미완료"/>
    <s v="P-PT"/>
    <s v="Test"/>
    <s v="Test"/>
    <s v="기계장치"/>
    <n v="93451903.650000006"/>
    <n v="2920371.9890625002"/>
    <n v="973457.32968750002"/>
    <m/>
    <m/>
    <n v="2920371.9890625002"/>
    <n v="2920371.9890625002"/>
    <n v="5840743.9781250004"/>
    <n v="2920371.9890625002"/>
    <n v="2920371.9890625002"/>
    <n v="2920371.9890625002"/>
    <n v="2920371.9890625002"/>
    <n v="11681487.956250001"/>
    <n v="2920371.9890625002"/>
    <n v="2920371.9890625002"/>
    <n v="2920371.9890625002"/>
    <n v="2920371.9890625002"/>
    <n v="11681487.956250001"/>
    <n v="2920371.9890625002"/>
    <n v="2920371.9890625002"/>
    <n v="2920371.9890625002"/>
    <n v="2920371.9890625002"/>
    <n v="11681487.956250001"/>
    <n v="2920371.9890625002"/>
    <n v="2920371.9890625002"/>
    <n v="2920371.9890625002"/>
    <n v="2920371.9890625002"/>
    <n v="11681487.956250001"/>
    <m/>
    <m/>
    <m/>
    <n v="93451903.650000006"/>
  </r>
  <r>
    <n v="587"/>
    <x v="0"/>
    <m/>
    <s v="이종희"/>
    <s v="구미"/>
    <s v="PKG"/>
    <s v="O"/>
    <m/>
    <s v="DDI"/>
    <x v="0"/>
    <s v="PT"/>
    <x v="0"/>
    <n v="1005697"/>
    <s v="MC"/>
    <s v="DPT-48 : TESTER_ND4(311002249)"/>
    <s v="T6391"/>
    <x v="14"/>
    <s v="Tester"/>
    <n v="311002249"/>
    <x v="173"/>
    <s v="가동"/>
    <s v="일본"/>
    <s v="ADVANTEST"/>
    <x v="2"/>
    <s v="1차"/>
    <s v="1차"/>
    <s v="해당"/>
    <s v="Wafer Tester"/>
    <s v="반도체 Tester"/>
    <m/>
    <m/>
    <s v="3B992"/>
    <s v="9030.82-0000"/>
    <s v="Enduser 중국"/>
    <m/>
    <m/>
    <d v="2018-10-12T00:00:00"/>
    <n v="7.0575342465753428"/>
    <n v="8"/>
    <m/>
    <s v="자사"/>
    <s v="설정"/>
    <n v="13.3"/>
    <n v="1050"/>
    <n v="800"/>
    <n v="1600"/>
    <n v="737625788"/>
    <m/>
    <m/>
    <m/>
    <n v="618378633"/>
    <n v="7683602"/>
    <n v="96196349"/>
    <n v="12429970"/>
    <m/>
    <m/>
    <m/>
    <s v="미완료"/>
    <s v="P-PT"/>
    <s v="Test"/>
    <s v="Test"/>
    <s v="기계장치"/>
    <n v="101006166.45"/>
    <n v="3156442.7015625001"/>
    <n v="1052147.5671875"/>
    <m/>
    <m/>
    <m/>
    <m/>
    <m/>
    <m/>
    <m/>
    <n v="3156442.7015624996"/>
    <n v="3156442.7015624996"/>
    <n v="6312885.4031249993"/>
    <n v="3156442.7015624996"/>
    <n v="3156442.7015624996"/>
    <n v="3156442.7015624996"/>
    <n v="3156442.7015624996"/>
    <n v="12625770.806249999"/>
    <n v="3156442.7015624996"/>
    <n v="3156442.7015624996"/>
    <n v="3156442.7015624996"/>
    <n v="3156442.7015624996"/>
    <n v="12625770.806249999"/>
    <n v="3156442.7015624996"/>
    <n v="3156442.7015624996"/>
    <n v="3156442.7015624996"/>
    <n v="3156442.7015624996"/>
    <n v="12625770.806249999"/>
    <m/>
    <m/>
    <m/>
    <n v="101006166.45"/>
  </r>
  <r>
    <n v="588"/>
    <x v="0"/>
    <m/>
    <s v="이종희"/>
    <s v="구미"/>
    <s v="PKG"/>
    <s v="O"/>
    <m/>
    <s v="DDI"/>
    <x v="0"/>
    <s v="PT"/>
    <x v="0"/>
    <n v="1006658"/>
    <s v="MC"/>
    <s v="DPT-50 : TESTER_ND4(311278890)"/>
    <s v="T6391"/>
    <x v="14"/>
    <s v="Tester"/>
    <n v="311278890"/>
    <x v="173"/>
    <s v="가동"/>
    <s v="일본"/>
    <s v="ADVANTEST"/>
    <x v="2"/>
    <s v="1차"/>
    <s v="1차"/>
    <s v="해당"/>
    <s v="Wafer Tester"/>
    <s v="반도체 Tester"/>
    <m/>
    <m/>
    <s v="3B992"/>
    <s v="9030.82-0000"/>
    <s v="Enduser 중국"/>
    <m/>
    <m/>
    <d v="2021-09-07T00:00:00"/>
    <n v="4.1506849315068495"/>
    <n v="8"/>
    <m/>
    <s v="자사"/>
    <s v="설정"/>
    <n v="13.3"/>
    <n v="1050"/>
    <n v="800"/>
    <n v="1600"/>
    <n v="919739946"/>
    <m/>
    <m/>
    <m/>
    <n v="448748877"/>
    <n v="9580624"/>
    <n v="442249197"/>
    <n v="90937609"/>
    <m/>
    <m/>
    <m/>
    <s v="미완료"/>
    <s v="P-PT"/>
    <s v="Test"/>
    <s v="Test"/>
    <s v="기계장치"/>
    <n v="464361656.85000002"/>
    <n v="14511301.776562501"/>
    <n v="4837100.5921875006"/>
    <m/>
    <m/>
    <n v="14511301.776562501"/>
    <n v="14511301.776562501"/>
    <n v="29022603.553125001"/>
    <n v="14511301.776562501"/>
    <n v="14511301.776562501"/>
    <n v="14511301.776562501"/>
    <n v="14511301.776562501"/>
    <n v="58045207.106250003"/>
    <n v="14511301.776562501"/>
    <n v="14511301.776562501"/>
    <n v="14511301.776562501"/>
    <n v="14511301.776562501"/>
    <n v="58045207.106250003"/>
    <n v="14511301.776562501"/>
    <n v="14511301.776562501"/>
    <n v="14511301.776562501"/>
    <n v="14511301.776562501"/>
    <n v="58045207.106250003"/>
    <n v="14511301.776562501"/>
    <n v="14511301.776562501"/>
    <n v="14511301.776562501"/>
    <n v="14511301.776562501"/>
    <n v="58045207.106250003"/>
    <m/>
    <m/>
    <m/>
    <n v="464361656.85000002"/>
  </r>
  <r>
    <n v="589"/>
    <x v="0"/>
    <m/>
    <s v="이종희"/>
    <s v="구미"/>
    <s v="PKG"/>
    <s v="O"/>
    <m/>
    <s v="DDI"/>
    <x v="0"/>
    <s v="PT"/>
    <x v="0"/>
    <n v="1006659"/>
    <s v="MC"/>
    <s v="DPT-51 : TESTER_ND4(311278891)"/>
    <s v="T6391"/>
    <x v="14"/>
    <s v="Tester"/>
    <n v="311278891"/>
    <x v="173"/>
    <s v="가동"/>
    <s v="일본"/>
    <s v="ADVANTEST"/>
    <x v="2"/>
    <s v="1차"/>
    <s v="1차"/>
    <s v="해당"/>
    <s v="Wafer Tester"/>
    <s v="반도체 Tester"/>
    <m/>
    <m/>
    <s v="3B992"/>
    <s v="9030.82-0000"/>
    <s v="Enduser 중국"/>
    <m/>
    <m/>
    <d v="2021-09-07T00:00:00"/>
    <n v="4.1506849315068495"/>
    <n v="8"/>
    <m/>
    <s v="자사"/>
    <s v="설정"/>
    <n v="13.3"/>
    <n v="1050"/>
    <n v="800"/>
    <n v="1600"/>
    <n v="919739947"/>
    <m/>
    <m/>
    <m/>
    <n v="448748877"/>
    <n v="9580624"/>
    <n v="442249198"/>
    <n v="90937609"/>
    <m/>
    <m/>
    <m/>
    <s v="미완료"/>
    <s v="P-PT"/>
    <s v="Test"/>
    <s v="Test"/>
    <s v="기계장치"/>
    <n v="464361657.90000004"/>
    <n v="14511301.809375001"/>
    <n v="4837100.6031250004"/>
    <m/>
    <m/>
    <n v="14511301.809375001"/>
    <n v="14511301.809375001"/>
    <n v="29022603.618750002"/>
    <n v="14511301.809375001"/>
    <n v="14511301.809375001"/>
    <n v="14511301.809375001"/>
    <n v="14511301.809375001"/>
    <n v="58045207.237500004"/>
    <n v="14511301.809375001"/>
    <n v="14511301.809375001"/>
    <n v="14511301.809375001"/>
    <n v="14511301.809375001"/>
    <n v="58045207.237500004"/>
    <n v="14511301.809375001"/>
    <n v="14511301.809375001"/>
    <n v="14511301.809375001"/>
    <n v="14511301.809375001"/>
    <n v="58045207.237500004"/>
    <n v="14511301.809375001"/>
    <n v="14511301.809375001"/>
    <n v="14511301.809375001"/>
    <n v="14511301.809375001"/>
    <n v="58045207.237500004"/>
    <m/>
    <m/>
    <m/>
    <n v="464361657.90000004"/>
  </r>
  <r>
    <n v="590"/>
    <x v="0"/>
    <m/>
    <s v="이종희"/>
    <s v="구미"/>
    <s v="PKG"/>
    <s v="O"/>
    <m/>
    <s v="DDI"/>
    <x v="0"/>
    <s v="PT"/>
    <x v="0"/>
    <n v="1006674"/>
    <s v="MC"/>
    <s v="DPT-52 : TESTER_ND4(311273588)"/>
    <s v="T6391"/>
    <x v="14"/>
    <s v="Tester"/>
    <n v="311273588"/>
    <x v="173"/>
    <s v="가동"/>
    <s v="일본"/>
    <s v="ADVANTEST"/>
    <x v="2"/>
    <s v="1차"/>
    <s v="1차"/>
    <s v="해당"/>
    <s v="Wafer Tester"/>
    <s v="반도체 Tester"/>
    <m/>
    <m/>
    <s v="3B992"/>
    <s v="9030.82-0000"/>
    <s v="Enduser 중국"/>
    <m/>
    <m/>
    <d v="2021-09-07T00:00:00"/>
    <n v="4.1506849315068495"/>
    <n v="8"/>
    <m/>
    <s v="자사"/>
    <s v="설정"/>
    <n v="13.3"/>
    <n v="1050"/>
    <n v="800"/>
    <n v="1600"/>
    <n v="915390390"/>
    <m/>
    <m/>
    <m/>
    <n v="448159879"/>
    <n v="9535317"/>
    <n v="438624560"/>
    <n v="90178014"/>
    <m/>
    <m/>
    <m/>
    <s v="미완료"/>
    <s v="P-PT"/>
    <s v="Test"/>
    <s v="Test"/>
    <s v="기계장치"/>
    <n v="460555788"/>
    <n v="14392368.375"/>
    <n v="4797456.125"/>
    <m/>
    <m/>
    <n v="14392368.375"/>
    <n v="14392368.375"/>
    <n v="28784736.75"/>
    <n v="14392368.375"/>
    <n v="14392368.375"/>
    <n v="14392368.375"/>
    <n v="14392368.375"/>
    <n v="57569473.5"/>
    <n v="14392368.375"/>
    <n v="14392368.375"/>
    <n v="14392368.375"/>
    <n v="14392368.375"/>
    <n v="57569473.5"/>
    <n v="14392368.375"/>
    <n v="14392368.375"/>
    <n v="14392368.375"/>
    <n v="14392368.375"/>
    <n v="57569473.5"/>
    <n v="14392368.375"/>
    <n v="14392368.375"/>
    <n v="14392368.375"/>
    <n v="14392368.375"/>
    <n v="57569473.5"/>
    <m/>
    <m/>
    <m/>
    <n v="460555788"/>
  </r>
  <r>
    <n v="591"/>
    <x v="0"/>
    <m/>
    <s v="이종희"/>
    <s v="구미"/>
    <s v="PKG"/>
    <s v="O"/>
    <m/>
    <s v="DDI"/>
    <x v="0"/>
    <s v="PT"/>
    <x v="0"/>
    <n v="1005699"/>
    <s v="MC"/>
    <s v="DPT-53 : TESTER_ND4(310993280)"/>
    <s v="T6391"/>
    <x v="14"/>
    <s v="Tester"/>
    <n v="310993280"/>
    <x v="173"/>
    <s v="가동"/>
    <s v="일본"/>
    <s v="ADVANTEST"/>
    <x v="2"/>
    <s v="1차"/>
    <s v="1차"/>
    <s v="해당"/>
    <s v="Wafer Tester"/>
    <s v="반도체 Tester"/>
    <m/>
    <m/>
    <s v="3B992"/>
    <s v="9030.82-0000"/>
    <s v="Enduser 중국"/>
    <m/>
    <m/>
    <d v="2018-10-20T00:00:00"/>
    <n v="7.0356164383561648"/>
    <n v="8"/>
    <m/>
    <s v="자사"/>
    <s v="설정"/>
    <n v="13.3"/>
    <n v="1050"/>
    <n v="800"/>
    <n v="1600"/>
    <n v="802301115"/>
    <m/>
    <m/>
    <m/>
    <n v="685298864"/>
    <n v="8357303"/>
    <n v="91930342"/>
    <n v="8658649"/>
    <m/>
    <m/>
    <m/>
    <s v="미완료"/>
    <s v="P-PT"/>
    <s v="Test"/>
    <s v="Test"/>
    <s v="기계장치"/>
    <n v="96526859.100000009"/>
    <n v="3016464.3468750003"/>
    <n v="1005488.1156250001"/>
    <m/>
    <m/>
    <m/>
    <m/>
    <m/>
    <m/>
    <m/>
    <n v="3016464.3468750003"/>
    <n v="3016464.3468750003"/>
    <n v="6032928.6937500006"/>
    <n v="3016464.3468750003"/>
    <n v="3016464.3468750003"/>
    <n v="3016464.3468750003"/>
    <n v="3016464.3468750003"/>
    <n v="12065857.387500001"/>
    <n v="3016464.3468750003"/>
    <n v="3016464.3468750003"/>
    <n v="3016464.3468750003"/>
    <n v="3016464.3468750003"/>
    <n v="12065857.387500001"/>
    <n v="3016464.3468750003"/>
    <n v="3016464.3468750003"/>
    <n v="3016464.3468750003"/>
    <n v="3016464.3468750003"/>
    <n v="12065857.387500001"/>
    <m/>
    <m/>
    <m/>
    <n v="96526859.100000009"/>
  </r>
  <r>
    <n v="592"/>
    <x v="0"/>
    <m/>
    <s v="이종희"/>
    <s v="구미"/>
    <s v="PKG"/>
    <s v="O"/>
    <m/>
    <s v="DDI"/>
    <x v="0"/>
    <s v="PT"/>
    <x v="0"/>
    <n v="1007934"/>
    <s v="MC"/>
    <s v="DPT-54 : LCD DRIVER TESTER T6391(ND4)(AT#139)(310919818)(2100511)"/>
    <s v="T6391"/>
    <x v="14"/>
    <s v="Tester"/>
    <n v="310919818"/>
    <x v="173"/>
    <s v="가동"/>
    <s v="일본"/>
    <s v="ADVANTEST"/>
    <x v="2"/>
    <s v="1차"/>
    <s v="1차"/>
    <s v="해당"/>
    <s v="Wafer Tester"/>
    <s v="반도체 Tester"/>
    <m/>
    <m/>
    <s v="3B992"/>
    <s v="9030.82-0000"/>
    <s v="Enduser 중국"/>
    <m/>
    <m/>
    <d v="2018-04-30T00:00:00"/>
    <n v="7.5095890410958903"/>
    <n v="8"/>
    <m/>
    <s v="자사"/>
    <s v="설정"/>
    <n v="13.3"/>
    <n v="1050"/>
    <n v="800"/>
    <n v="1600"/>
    <n v="696032681"/>
    <m/>
    <m/>
    <m/>
    <n v="637184356"/>
    <n v="7247037"/>
    <n v="37107214"/>
    <n v="1000"/>
    <m/>
    <m/>
    <m/>
    <s v="미완료"/>
    <s v="P-PT"/>
    <s v="Test"/>
    <s v="Test"/>
    <s v="기계장치"/>
    <n v="38962574.700000003"/>
    <n v="1217580.4593750001"/>
    <n v="405860.15312500001"/>
    <m/>
    <m/>
    <n v="1217580.4593750001"/>
    <n v="1217580.4593750001"/>
    <n v="2435160.9187500002"/>
    <n v="1217580.4593750001"/>
    <n v="1217580.4593750001"/>
    <n v="1217580.4593750001"/>
    <n v="1217580.4593750001"/>
    <n v="4870321.8375000004"/>
    <n v="1217580.4593750001"/>
    <n v="1217580.4593750001"/>
    <n v="1217580.4593750001"/>
    <n v="1217580.4593750001"/>
    <n v="4870321.8375000004"/>
    <n v="1217580.4593750001"/>
    <n v="1217580.4593750001"/>
    <n v="1217580.4593750001"/>
    <n v="1217580.4593750001"/>
    <n v="4870321.8375000004"/>
    <n v="1217580.4593750001"/>
    <n v="1217580.4593750001"/>
    <n v="1217580.4593750001"/>
    <n v="1217580.4593750001"/>
    <n v="4870321.8375000004"/>
    <m/>
    <m/>
    <m/>
    <n v="38962574.700000003"/>
  </r>
  <r>
    <n v="593"/>
    <x v="0"/>
    <m/>
    <s v="이종희"/>
    <s v="구미"/>
    <s v="PKG"/>
    <s v="O"/>
    <m/>
    <s v="DDI"/>
    <x v="0"/>
    <s v="PT"/>
    <x v="0"/>
    <n v="1007935"/>
    <s v="MC"/>
    <s v="DPT-55 : DDI TESTER T6391(ND4_C)#80(311253536)(2101134)"/>
    <s v="T6391"/>
    <x v="14"/>
    <s v="Tester"/>
    <n v="311253536"/>
    <x v="173"/>
    <s v="가동"/>
    <s v="일본"/>
    <s v="ADVANTEST"/>
    <x v="2"/>
    <s v="1차"/>
    <s v="1차"/>
    <s v="해당"/>
    <s v="Wafer Tester"/>
    <s v="반도체 Tester"/>
    <m/>
    <m/>
    <s v="3B992"/>
    <s v="9030.82-0000"/>
    <s v="Enduser 중국"/>
    <m/>
    <m/>
    <d v="2021-03-31T00:00:00"/>
    <n v="4.5890410958904111"/>
    <n v="8"/>
    <m/>
    <s v="자사"/>
    <s v="설정"/>
    <n v="13.3"/>
    <n v="1050"/>
    <n v="800"/>
    <n v="1600"/>
    <n v="843767808"/>
    <m/>
    <m/>
    <m/>
    <n v="465331369"/>
    <n v="8785944"/>
    <n v="352078607"/>
    <n v="71067491"/>
    <m/>
    <m/>
    <m/>
    <s v="미완료"/>
    <s v="P-PT"/>
    <s v="Test"/>
    <s v="Test"/>
    <s v="기계장치"/>
    <n v="369682537.35000002"/>
    <n v="11552579.292187501"/>
    <n v="3850859.7640625001"/>
    <m/>
    <m/>
    <n v="11552579.292187501"/>
    <n v="11552579.292187501"/>
    <n v="23105158.584375001"/>
    <n v="11552579.292187501"/>
    <n v="11552579.292187501"/>
    <n v="11552579.292187501"/>
    <n v="11552579.292187501"/>
    <n v="46210317.168750003"/>
    <n v="11552579.292187501"/>
    <n v="11552579.292187501"/>
    <n v="11552579.292187501"/>
    <n v="11552579.292187501"/>
    <n v="46210317.168750003"/>
    <n v="11552579.292187501"/>
    <n v="11552579.292187501"/>
    <n v="11552579.292187501"/>
    <n v="11552579.292187501"/>
    <n v="46210317.168750003"/>
    <n v="11552579.292187501"/>
    <n v="11552579.292187501"/>
    <n v="11552579.292187501"/>
    <n v="11552579.292187501"/>
    <n v="46210317.168750003"/>
    <m/>
    <m/>
    <m/>
    <n v="369682537.35000002"/>
  </r>
  <r>
    <n v="594"/>
    <x v="0"/>
    <m/>
    <s v="이종희"/>
    <s v="구미"/>
    <s v="PKG"/>
    <s v="O"/>
    <m/>
    <s v="DDI"/>
    <x v="0"/>
    <s v="PT"/>
    <x v="0"/>
    <n v="1007936"/>
    <s v="MC"/>
    <s v="DPT-56 : LCD DRIVER TESTER T6391(ND4)(AT#159)(311038548)(2100606)"/>
    <s v="T6391"/>
    <x v="14"/>
    <s v="Tester"/>
    <n v="311038548"/>
    <x v="173"/>
    <s v="가동"/>
    <s v="일본"/>
    <s v="ADVANTEST"/>
    <x v="2"/>
    <s v="1차"/>
    <s v="1차"/>
    <s v="해당"/>
    <s v="Wafer Tester"/>
    <s v="반도체 Tester"/>
    <m/>
    <m/>
    <s v="3B992"/>
    <s v="9030.82-0000"/>
    <s v="Enduser 중국"/>
    <m/>
    <m/>
    <d v="2019-02-28T00:00:00"/>
    <n v="6.6767123287671231"/>
    <n v="8"/>
    <m/>
    <s v="자사"/>
    <s v="설정"/>
    <n v="13.3"/>
    <n v="1050"/>
    <n v="800"/>
    <n v="1600"/>
    <n v="791174796"/>
    <m/>
    <m/>
    <m/>
    <n v="640893766"/>
    <n v="8239752"/>
    <n v="125561774"/>
    <n v="19354970"/>
    <m/>
    <m/>
    <m/>
    <s v="미완료"/>
    <s v="P-PT"/>
    <s v="Test"/>
    <s v="Test"/>
    <s v="기계장치"/>
    <n v="131839862.7"/>
    <n v="4119995.7093750001"/>
    <n v="1373331.903125"/>
    <m/>
    <m/>
    <m/>
    <m/>
    <m/>
    <m/>
    <m/>
    <n v="4119995.7093749996"/>
    <n v="4119995.7093749996"/>
    <n v="8239991.4187499993"/>
    <n v="4119995.7093749996"/>
    <n v="4119995.7093749996"/>
    <n v="4119995.7093749996"/>
    <n v="4119995.7093749996"/>
    <n v="16479982.837499999"/>
    <n v="4119995.7093749996"/>
    <n v="4119995.7093749996"/>
    <n v="4119995.7093749996"/>
    <n v="4119995.7093749996"/>
    <n v="16479982.837499999"/>
    <n v="4119995.7093749996"/>
    <n v="4119995.7093749996"/>
    <n v="4119995.7093749996"/>
    <n v="4119995.7093749996"/>
    <n v="16479982.837499999"/>
    <m/>
    <m/>
    <m/>
    <n v="131839862.7"/>
  </r>
  <r>
    <n v="595"/>
    <x v="0"/>
    <m/>
    <s v="이종희"/>
    <s v="구미"/>
    <s v="PKG"/>
    <s v="O"/>
    <m/>
    <s v="DDI"/>
    <x v="0"/>
    <s v="PT"/>
    <x v="0"/>
    <n v="1007937"/>
    <s v="MC"/>
    <s v="DPT-57 : LCD DRIVER TESTER T6391(ND4)(AT#165)(311044413)(2100612)"/>
    <s v="T6391"/>
    <x v="14"/>
    <s v="Tester"/>
    <n v="311044413"/>
    <x v="173"/>
    <s v="가동"/>
    <s v="일본"/>
    <s v="ADVANTEST"/>
    <x v="2"/>
    <s v="1차"/>
    <s v="1차"/>
    <s v="해당"/>
    <s v="Wafer Tester"/>
    <s v="반도체 Tester"/>
    <m/>
    <m/>
    <s v="3B992"/>
    <s v="9030.82-0000"/>
    <s v="Enduser 중국"/>
    <m/>
    <m/>
    <d v="2019-02-28T00:00:00"/>
    <n v="6.6767123287671231"/>
    <n v="8"/>
    <m/>
    <s v="자사"/>
    <s v="설정"/>
    <n v="13.3"/>
    <n v="1050"/>
    <n v="800"/>
    <n v="1600"/>
    <n v="785910635"/>
    <m/>
    <m/>
    <m/>
    <n v="636616635"/>
    <n v="8184917"/>
    <n v="124739249"/>
    <n v="19228484"/>
    <m/>
    <m/>
    <m/>
    <s v="미완료"/>
    <s v="P-PT"/>
    <s v="Test"/>
    <s v="Test"/>
    <s v="기계장치"/>
    <n v="130976211.45"/>
    <n v="4093006.6078125001"/>
    <n v="1364335.5359375"/>
    <m/>
    <m/>
    <m/>
    <m/>
    <m/>
    <m/>
    <m/>
    <n v="4093006.6078124996"/>
    <n v="4093006.6078124996"/>
    <n v="8186013.2156249993"/>
    <n v="4093006.6078124996"/>
    <n v="4093006.6078124996"/>
    <n v="4093006.6078124996"/>
    <n v="4093006.6078124996"/>
    <n v="16372026.431249999"/>
    <n v="4093006.6078124996"/>
    <n v="4093006.6078124996"/>
    <n v="4093006.6078124996"/>
    <n v="4093006.6078124996"/>
    <n v="16372026.431249999"/>
    <n v="4093006.6078124996"/>
    <n v="4093006.6078124996"/>
    <n v="4093006.6078124996"/>
    <n v="4093006.6078124996"/>
    <n v="16372026.431249999"/>
    <m/>
    <m/>
    <m/>
    <n v="130976211.45"/>
  </r>
  <r>
    <n v="596"/>
    <x v="0"/>
    <m/>
    <s v="이종희"/>
    <s v="구미"/>
    <s v="PKG"/>
    <s v="O"/>
    <s v="8&quot;"/>
    <s v="DDI"/>
    <x v="0"/>
    <s v="PT"/>
    <x v="0"/>
    <n v="1004785"/>
    <s v="MC"/>
    <s v="DUV-03 : UV Eraser(AER812S)"/>
    <s v="AER-812S"/>
    <x v="96"/>
    <s v="Prober"/>
    <s v="AER812S"/>
    <x v="0"/>
    <s v="가동"/>
    <m/>
    <s v="CEI"/>
    <x v="1"/>
    <s v="1차"/>
    <s v="1차"/>
    <s v="일반장비(비통제)"/>
    <s v="노광/식각 공정과 연계하여 포토레지스트를 제거하거나, 특정 재료의 상태를 자외선으로 처리하는 장비"/>
    <m/>
    <m/>
    <m/>
    <s v="EAR99"/>
    <s v="8479.89-0000"/>
    <m/>
    <m/>
    <m/>
    <d v="2016-04-07T00:00:00"/>
    <n v="9.5726027397260278"/>
    <n v="8"/>
    <m/>
    <s v="자사"/>
    <s v="미설정"/>
    <m/>
    <m/>
    <m/>
    <m/>
    <n v="145997679"/>
    <m/>
    <m/>
    <m/>
    <n v="145996679"/>
    <n v="1040659"/>
    <n v="1000"/>
    <n v="1000"/>
    <m/>
    <m/>
    <m/>
    <s v="완료"/>
    <s v="P-PT"/>
    <s v="Test"/>
    <s v="Test"/>
    <s v="기계장치"/>
    <n v="2919953.58"/>
    <n v="278355.43099380983"/>
    <n v="92785.143664603282"/>
    <m/>
    <m/>
    <n v="278355.43099380983"/>
    <n v="278355.43099380983"/>
    <n v="556710.86198761966"/>
    <n v="278355.43099380983"/>
    <n v="278355.43099380983"/>
    <n v="278355.43099380983"/>
    <n v="278355.43099380983"/>
    <n v="1113421.7239752393"/>
    <n v="278355.43099380983"/>
    <n v="278355.43099380983"/>
    <n v="278355.43099380983"/>
    <n v="278355.43099380983"/>
    <n v="1113421.7239752393"/>
    <n v="278355.43099380983"/>
    <n v="278355.43099380983"/>
    <n v="278355.43099380983"/>
    <n v="278355.43099380983"/>
    <n v="1113421.7239752393"/>
    <n v="278355.43099380983"/>
    <n v="278355.43099380983"/>
    <n v="278355.43099380983"/>
    <n v="278355.43099380983"/>
    <n v="1113421.7239752393"/>
    <m/>
    <n v="2.8511524818104354E-4"/>
    <n v="5987420.2118019145"/>
    <n v="8907373.7918019146"/>
  </r>
  <r>
    <n v="597"/>
    <x v="0"/>
    <m/>
    <s v="이종희"/>
    <s v="구미"/>
    <s v="PKG"/>
    <s v="O"/>
    <s v="8&quot;&amp;12&quot;"/>
    <s v="DDI"/>
    <x v="0"/>
    <s v="PT"/>
    <x v="0"/>
    <n v="1003342"/>
    <s v="MC"/>
    <s v="DVI-01 : P검 Wafer Loader(8inch + 12inch(겸용))"/>
    <s v="SFEM"/>
    <x v="97"/>
    <m/>
    <s v="P204634"/>
    <x v="0"/>
    <s v="가동"/>
    <s v="일본"/>
    <s v="G-ENG"/>
    <x v="0"/>
    <s v="1차"/>
    <s v="1차"/>
    <s v="일반장비(비통제)"/>
    <s v="장비 내부로 웨이퍼 자동 공급"/>
    <m/>
    <m/>
    <m/>
    <s v="EAR99"/>
    <s v="8479.89-0000"/>
    <m/>
    <m/>
    <m/>
    <d v="2012-06-07T00:00:00"/>
    <n v="13.408219178082192"/>
    <n v="8"/>
    <m/>
    <s v="자사"/>
    <s v="미설정"/>
    <m/>
    <m/>
    <m/>
    <m/>
    <n v="295521888"/>
    <m/>
    <m/>
    <m/>
    <n v="295520888"/>
    <n v="0"/>
    <n v="1000"/>
    <n v="1000"/>
    <m/>
    <m/>
    <m/>
    <s v="완료"/>
    <s v="P-VI"/>
    <s v="Test"/>
    <s v="Test"/>
    <s v="기계장치"/>
    <n v="5910437.7599999998"/>
    <n v="563434.45365555701"/>
    <n v="187811.48455185234"/>
    <m/>
    <m/>
    <m/>
    <m/>
    <m/>
    <m/>
    <m/>
    <n v="563434.45365555701"/>
    <n v="563434.45365555701"/>
    <n v="1126868.907311114"/>
    <n v="563434.45365555701"/>
    <n v="563434.45365555701"/>
    <n v="563434.45365555701"/>
    <n v="563434.45365555701"/>
    <n v="2253737.814622228"/>
    <n v="563434.45365555701"/>
    <n v="563434.45365555701"/>
    <n v="563434.45365555701"/>
    <n v="563434.45365555701"/>
    <n v="2253737.814622228"/>
    <n v="563434.45365555701"/>
    <n v="563434.45365555701"/>
    <n v="563434.45365555701"/>
    <n v="563434.45365555701"/>
    <n v="2253737.814622228"/>
    <m/>
    <n v="5.771173693798965E-4"/>
    <n v="12119464.756977826"/>
    <n v="18029902.516977824"/>
  </r>
  <r>
    <n v="598"/>
    <x v="0"/>
    <m/>
    <s v="이종희"/>
    <s v="구미"/>
    <s v="PKG"/>
    <s v="O"/>
    <m/>
    <s v="DDI"/>
    <x v="5"/>
    <s v="FT"/>
    <x v="38"/>
    <n v="1005026"/>
    <s v="MC"/>
    <s v="Handler(AH9610)(PFH-51) Modify"/>
    <m/>
    <x v="98"/>
    <s v="Handler"/>
    <m/>
    <x v="170"/>
    <s v="가동"/>
    <s v="한국"/>
    <s v="유어스"/>
    <x v="1"/>
    <s v="1차"/>
    <s v="1차"/>
    <s v="해당"/>
    <s v="PGK(COF) Test Handler(FT)"/>
    <m/>
    <m/>
    <m/>
    <s v="3A992"/>
    <s v="9030.82-0000"/>
    <s v="해당 가능성은 있으나 가능성 낮음"/>
    <m/>
    <m/>
    <d v="2017-03-28T00:00:00"/>
    <n v="8.6"/>
    <n v="8"/>
    <m/>
    <s v="자사"/>
    <s v="미설정"/>
    <n v="1.5"/>
    <n v="1630"/>
    <n v="1380"/>
    <n v="2080"/>
    <n v="23030000"/>
    <m/>
    <m/>
    <m/>
    <n v="23029000"/>
    <n v="204625"/>
    <n v="1000"/>
    <n v="1000"/>
    <m/>
    <m/>
    <m/>
    <s v="완료"/>
    <s v="D-FT"/>
    <s v="COF(Assy_FT)"/>
    <s v="COF(Assy_FT)"/>
    <s v="기계장치"/>
    <n v="460600"/>
    <n v="43908.407446583034"/>
    <n v="14636.135815527678"/>
    <m/>
    <m/>
    <n v="43908.407446583034"/>
    <n v="43908.407446583034"/>
    <n v="87816.814893166069"/>
    <n v="43908.407446583034"/>
    <n v="43908.407446583034"/>
    <n v="43908.407446583034"/>
    <n v="43908.407446583034"/>
    <n v="175633.62978633214"/>
    <n v="43908.407446583034"/>
    <n v="43908.407446583034"/>
    <n v="43908.407446583034"/>
    <n v="43908.407446583034"/>
    <n v="175633.62978633214"/>
    <n v="43908.407446583034"/>
    <n v="43908.407446583034"/>
    <n v="43908.407446583034"/>
    <n v="43908.407446583034"/>
    <n v="175633.62978633214"/>
    <n v="43908.407446583034"/>
    <n v="43908.407446583034"/>
    <n v="43908.407446583034"/>
    <n v="43908.407446583034"/>
    <n v="175633.62978633214"/>
    <m/>
    <n v="4.4974716109078916E-5"/>
    <n v="944469.03829065722"/>
    <n v="1405069.0382906571"/>
  </r>
  <r>
    <n v="599"/>
    <x v="0"/>
    <m/>
    <s v="이종희"/>
    <s v="구미"/>
    <s v="PKG"/>
    <s v="O"/>
    <s v="8&quot;"/>
    <s v="DDI"/>
    <x v="0"/>
    <s v="PT"/>
    <x v="0"/>
    <n v="1004331"/>
    <s v="MC"/>
    <s v="MDPP-01 : PROBER_FP-2000_Tokyo Seimitsu(F26001EJ)"/>
    <s v="FP2000"/>
    <x v="99"/>
    <s v="Prober"/>
    <s v="F26001EJ"/>
    <x v="0"/>
    <s v="가동"/>
    <s v="일본"/>
    <s v="ACCRETECH"/>
    <x v="0"/>
    <s v="1차"/>
    <s v="1차"/>
    <s v="해당"/>
    <s v="Wafer Test Prober"/>
    <m/>
    <m/>
    <m/>
    <s v="3A992"/>
    <s v="9030.82-0000"/>
    <m/>
    <m/>
    <m/>
    <d v="2014-05-27T00:00:00"/>
    <n v="11.438356164383562"/>
    <n v="8"/>
    <m/>
    <s v="자사"/>
    <s v="미설정"/>
    <m/>
    <m/>
    <m/>
    <m/>
    <n v="239157791"/>
    <m/>
    <m/>
    <m/>
    <n v="230774098"/>
    <n v="643773"/>
    <n v="6452374"/>
    <n v="3233509"/>
    <m/>
    <m/>
    <m/>
    <s v="미완료"/>
    <s v="M-PT"/>
    <s v="Test"/>
    <s v="Test"/>
    <s v="기계장치"/>
    <n v="6774992.7000000002"/>
    <n v="645851.36760578759"/>
    <n v="215283.7892019292"/>
    <m/>
    <m/>
    <m/>
    <m/>
    <m/>
    <m/>
    <m/>
    <n v="645851.36760578759"/>
    <n v="645851.36760578759"/>
    <n v="1291702.7352115752"/>
    <n v="645851.36760578759"/>
    <n v="645851.36760578759"/>
    <n v="645851.36760578759"/>
    <n v="645851.36760578759"/>
    <n v="2583405.4704231503"/>
    <n v="645851.36760578759"/>
    <n v="645851.36760578759"/>
    <n v="645851.36760578759"/>
    <n v="645851.36760578759"/>
    <n v="2583405.4704231503"/>
    <n v="645851.36760578759"/>
    <n v="645851.36760578759"/>
    <n v="645851.36760578759"/>
    <n v="645851.36760578759"/>
    <n v="2583405.4704231503"/>
    <m/>
    <n v="6.6153576492310488E-4"/>
    <n v="13892251.063385202"/>
    <n v="20667243.763385203"/>
  </r>
  <r>
    <n v="600"/>
    <x v="0"/>
    <m/>
    <s v="이종희"/>
    <s v="구미"/>
    <s v="PKG"/>
    <s v="O"/>
    <s v="8&quot;"/>
    <s v="DDI"/>
    <x v="0"/>
    <s v="PT"/>
    <x v="0"/>
    <n v="1006614"/>
    <s v="MC"/>
    <s v="MDPP-02 : PROBER_FP-2000_Tokyo Seimitsu(F26001CV)"/>
    <s v="FP-2000"/>
    <x v="99"/>
    <s v="Prober"/>
    <s v="F26001CV"/>
    <x v="0"/>
    <s v="가동"/>
    <s v="일본"/>
    <s v="ACCRETECH"/>
    <x v="0"/>
    <s v="1차"/>
    <s v="1차"/>
    <s v="해당"/>
    <s v="Wafer Test Prober"/>
    <m/>
    <m/>
    <m/>
    <s v="3A992"/>
    <s v="9030.82-0000"/>
    <m/>
    <m/>
    <m/>
    <d v="2021-03-28T00:00:00"/>
    <n v="4.5972602739726032"/>
    <n v="8"/>
    <m/>
    <s v="자사"/>
    <s v="설정"/>
    <m/>
    <m/>
    <m/>
    <m/>
    <n v="188140488"/>
    <m/>
    <m/>
    <m/>
    <n v="103869229"/>
    <n v="1959797"/>
    <n v="78391868"/>
    <n v="68592886"/>
    <m/>
    <m/>
    <m/>
    <s v="미완료"/>
    <s v="M-PT"/>
    <s v="Test"/>
    <s v="Test"/>
    <s v="기계장치"/>
    <n v="82311461.400000006"/>
    <n v="7846646.0804926017"/>
    <n v="2615548.6934975339"/>
    <m/>
    <m/>
    <m/>
    <m/>
    <m/>
    <m/>
    <m/>
    <n v="7846646.0804926017"/>
    <n v="7846646.0804926017"/>
    <n v="15693292.160985203"/>
    <n v="7846646.0804926017"/>
    <n v="7846646.0804926017"/>
    <n v="7846646.0804926017"/>
    <n v="7846646.0804926017"/>
    <n v="31386584.321970407"/>
    <n v="7846646.0804926017"/>
    <n v="7846646.0804926017"/>
    <n v="7846646.0804926017"/>
    <n v="7846646.0804926017"/>
    <n v="31386584.321970407"/>
    <n v="7846646.0804926017"/>
    <n v="7846646.0804926017"/>
    <n v="7846646.0804926017"/>
    <n v="7846646.0804926017"/>
    <n v="31386584.321970407"/>
    <m/>
    <n v="8.0372006274172982E-3"/>
    <n v="168781213.17576325"/>
    <n v="251092674.57576326"/>
  </r>
  <r>
    <n v="601"/>
    <x v="0"/>
    <m/>
    <s v="이종희"/>
    <s v="구미"/>
    <s v="PKG"/>
    <s v="O"/>
    <m/>
    <s v="DDI"/>
    <x v="5"/>
    <s v="FT"/>
    <x v="37"/>
    <n v="1000329"/>
    <s v="MC"/>
    <s v="PAV-01"/>
    <s v="LISA-60B"/>
    <x v="100"/>
    <s v="AVI"/>
    <s v="SW1105-01"/>
    <x v="0"/>
    <s v="가동"/>
    <s v="일본"/>
    <s v="A-TEK"/>
    <x v="1"/>
    <s v="1차"/>
    <s v="1차"/>
    <s v="일반장비(비통제)"/>
    <s v="PKG(COF)외관 검사 장비"/>
    <m/>
    <m/>
    <m/>
    <s v="EAR99"/>
    <s v="9031.49-0000"/>
    <m/>
    <m/>
    <m/>
    <d v="2005-06-17T00:00:00"/>
    <n v="20.386301369863013"/>
    <n v="8"/>
    <m/>
    <s v="자사"/>
    <s v="미설정"/>
    <m/>
    <n v="1875"/>
    <n v="750"/>
    <n v="1760"/>
    <n v="229867000"/>
    <m/>
    <m/>
    <m/>
    <n v="229866000"/>
    <n v="1434676"/>
    <n v="1000"/>
    <n v="1000"/>
    <m/>
    <m/>
    <m/>
    <s v="완료"/>
    <s v="D-VI"/>
    <s v="COF(Assy_FT)"/>
    <s v="COF(Assy_FT)"/>
    <s v="기계장치"/>
    <n v="4597340"/>
    <n v="438258.52776915778"/>
    <n v="146086.17592305259"/>
    <m/>
    <m/>
    <n v="438258.52776915778"/>
    <n v="438258.52776915778"/>
    <n v="876517.05553831556"/>
    <n v="438258.52776915778"/>
    <n v="438258.52776915778"/>
    <n v="438258.52776915778"/>
    <n v="438258.52776915778"/>
    <n v="1753034.1110766311"/>
    <n v="438258.52776915778"/>
    <n v="438258.52776915778"/>
    <n v="438258.52776915778"/>
    <n v="438258.52776915778"/>
    <n v="1753034.1110766311"/>
    <n v="438258.52776915778"/>
    <n v="438258.52776915778"/>
    <n v="438258.52776915778"/>
    <n v="438258.52776915778"/>
    <n v="1753034.1110766311"/>
    <n v="438258.52776915778"/>
    <n v="438258.52776915778"/>
    <n v="438258.52776915778"/>
    <n v="438258.52776915778"/>
    <n v="1753034.1110766311"/>
    <m/>
    <n v="4.4890156612443089E-4"/>
    <n v="9426932.8886130489"/>
    <n v="14024272.888613049"/>
  </r>
  <r>
    <n v="602"/>
    <x v="0"/>
    <m/>
    <s v="이종희"/>
    <s v="구미"/>
    <s v="PKG"/>
    <s v="O"/>
    <m/>
    <s v="DDI"/>
    <x v="5"/>
    <s v="FT"/>
    <x v="37"/>
    <n v="1000184"/>
    <s v="MC"/>
    <s v="PAV-02"/>
    <s v="LISA-60B"/>
    <x v="100"/>
    <s v="AVI"/>
    <s v="SW1105-02"/>
    <x v="0"/>
    <s v="가동"/>
    <s v="한국"/>
    <s v="A-TEK"/>
    <x v="1"/>
    <s v="1차"/>
    <s v="1차"/>
    <s v="일반장비(비통제)"/>
    <s v="PKG(COF)외관 검사 장비"/>
    <m/>
    <m/>
    <m/>
    <s v="EAR99"/>
    <s v="9031.49-0000"/>
    <m/>
    <m/>
    <m/>
    <d v="2004-12-30T00:00:00"/>
    <n v="20.849315068493151"/>
    <n v="8"/>
    <m/>
    <s v="자사"/>
    <s v="미설정"/>
    <m/>
    <n v="1875"/>
    <n v="750"/>
    <n v="1760"/>
    <n v="242565788"/>
    <m/>
    <m/>
    <m/>
    <n v="242564788"/>
    <n v="2241776"/>
    <n v="1000"/>
    <n v="1000"/>
    <m/>
    <m/>
    <m/>
    <s v="완료"/>
    <s v="D-VI"/>
    <s v="COF(Assy_FT)"/>
    <s v="COF(Assy_FT)"/>
    <s v="기계장치"/>
    <n v="4851315.76"/>
    <n v="462469.71133762406"/>
    <n v="154156.57044587468"/>
    <m/>
    <m/>
    <n v="462469.711337624"/>
    <n v="462469.711337624"/>
    <n v="924939.422675248"/>
    <n v="462469.711337624"/>
    <n v="462469.711337624"/>
    <n v="462469.711337624"/>
    <n v="462469.711337624"/>
    <n v="1849878.845350496"/>
    <n v="462469.711337624"/>
    <n v="462469.711337624"/>
    <n v="462469.711337624"/>
    <n v="462469.711337624"/>
    <n v="1849878.845350496"/>
    <n v="462469.711337624"/>
    <n v="462469.711337624"/>
    <n v="462469.711337624"/>
    <n v="462469.711337624"/>
    <n v="1849878.845350496"/>
    <n v="462469.711337624"/>
    <n v="462469.711337624"/>
    <n v="462469.711337624"/>
    <n v="462469.711337624"/>
    <n v="1849878.845350496"/>
    <m/>
    <n v="4.7370071441923668E-4"/>
    <n v="9947715.0028039701"/>
    <n v="14799030.76280397"/>
  </r>
  <r>
    <n v="603"/>
    <x v="0"/>
    <m/>
    <s v="이종희"/>
    <s v="구미"/>
    <s v="PKG"/>
    <s v="O"/>
    <m/>
    <s v="DDI"/>
    <x v="5"/>
    <s v="FT"/>
    <x v="37"/>
    <n v="1000185"/>
    <s v="MC"/>
    <s v="PAV-03"/>
    <s v="LISA-60B"/>
    <x v="100"/>
    <s v="AVI"/>
    <s v="SW1105-03"/>
    <x v="0"/>
    <s v="가동"/>
    <s v="한국"/>
    <s v="A-TEK"/>
    <x v="0"/>
    <s v="1차"/>
    <s v="1차"/>
    <s v="일반장비(비통제)"/>
    <s v="PKG(COF)외관 검사 장비"/>
    <m/>
    <m/>
    <m/>
    <s v="EAR99"/>
    <s v="9031.49-0000"/>
    <m/>
    <m/>
    <m/>
    <d v="2004-12-30T00:00:00"/>
    <n v="20.849315068493151"/>
    <n v="8"/>
    <m/>
    <s v="자사"/>
    <s v="미설정"/>
    <m/>
    <n v="1875"/>
    <n v="750"/>
    <n v="1760"/>
    <n v="242565788"/>
    <m/>
    <m/>
    <m/>
    <n v="242564788"/>
    <n v="2241776"/>
    <n v="1000"/>
    <n v="1000"/>
    <m/>
    <m/>
    <m/>
    <s v="완료"/>
    <s v="D-VI"/>
    <s v="COF(Assy_FT)"/>
    <s v="COF(Assy_FT)"/>
    <s v="기계장치"/>
    <n v="4851315.76"/>
    <n v="462469.71133762406"/>
    <n v="154156.57044587468"/>
    <m/>
    <m/>
    <m/>
    <m/>
    <m/>
    <m/>
    <m/>
    <n v="462469.711337624"/>
    <n v="462469.711337624"/>
    <n v="924939.422675248"/>
    <n v="462469.711337624"/>
    <n v="462469.711337624"/>
    <n v="462469.711337624"/>
    <n v="462469.711337624"/>
    <n v="1849878.845350496"/>
    <n v="462469.711337624"/>
    <n v="462469.711337624"/>
    <n v="462469.711337624"/>
    <n v="462469.711337624"/>
    <n v="1849878.845350496"/>
    <n v="462469.711337624"/>
    <n v="462469.711337624"/>
    <n v="462469.711337624"/>
    <n v="462469.711337624"/>
    <n v="1849878.845350496"/>
    <m/>
    <n v="4.7370071441923668E-4"/>
    <n v="9947715.0028039701"/>
    <n v="14799030.76280397"/>
  </r>
  <r>
    <n v="604"/>
    <x v="0"/>
    <m/>
    <s v="이종희"/>
    <s v="구미"/>
    <s v="PKG"/>
    <s v="O"/>
    <m/>
    <s v="DDI"/>
    <x v="5"/>
    <s v="FT"/>
    <x v="37"/>
    <n v="1000785"/>
    <s v="MC"/>
    <s v="PAV-04"/>
    <s v="LISA-60B"/>
    <x v="100"/>
    <s v="AVI"/>
    <s v="SW1105-04"/>
    <x v="0"/>
    <s v="가동"/>
    <s v="일본"/>
    <s v="A-TEK"/>
    <x v="0"/>
    <s v="1차"/>
    <s v="1차"/>
    <s v="일반장비(비통제)"/>
    <s v="PKG(COF)외관 검사 장비"/>
    <m/>
    <m/>
    <m/>
    <s v="EAR99"/>
    <s v="9031.49-0000"/>
    <m/>
    <m/>
    <m/>
    <d v="2006-09-25T00:00:00"/>
    <n v="19.112328767123287"/>
    <n v="8"/>
    <m/>
    <s v="자사"/>
    <s v="미설정"/>
    <m/>
    <n v="1875"/>
    <n v="750"/>
    <n v="1760"/>
    <n v="240440334"/>
    <m/>
    <m/>
    <m/>
    <n v="240439334"/>
    <n v="2869"/>
    <n v="1000"/>
    <n v="1000"/>
    <m/>
    <m/>
    <m/>
    <s v="완료"/>
    <s v="D-VI"/>
    <s v="COF(Assy_FT)"/>
    <s v="COF(Assy_FT)"/>
    <s v="기계장치"/>
    <n v="4808806.68"/>
    <n v="458417.37524379126"/>
    <n v="152805.79174793043"/>
    <m/>
    <m/>
    <m/>
    <m/>
    <m/>
    <m/>
    <m/>
    <n v="458417.37524379126"/>
    <n v="458417.37524379126"/>
    <n v="916834.75048758253"/>
    <n v="458417.37524379126"/>
    <n v="458417.37524379126"/>
    <n v="458417.37524379126"/>
    <n v="458417.37524379126"/>
    <n v="1833669.5009751651"/>
    <n v="458417.37524379126"/>
    <n v="458417.37524379126"/>
    <n v="458417.37524379126"/>
    <n v="458417.37524379126"/>
    <n v="1833669.5009751651"/>
    <n v="458417.37524379126"/>
    <n v="458417.37524379126"/>
    <n v="458417.37524379126"/>
    <n v="458417.37524379126"/>
    <n v="1833669.5009751651"/>
    <m/>
    <n v="4.6954996799053906E-4"/>
    <n v="9860549.3278013207"/>
    <n v="14669356.00780132"/>
  </r>
  <r>
    <n v="605"/>
    <x v="0"/>
    <m/>
    <s v="이종희"/>
    <s v="구미"/>
    <s v="PKG"/>
    <s v="O"/>
    <m/>
    <s v="DDI"/>
    <x v="5"/>
    <s v="FT"/>
    <x v="37"/>
    <n v="1000182"/>
    <s v="MC"/>
    <s v="PAV-05"/>
    <s v="LISA-60B"/>
    <x v="100"/>
    <s v="AVI"/>
    <s v="SW1105-05"/>
    <x v="0"/>
    <s v="가동"/>
    <s v="한국"/>
    <s v="A-TEK"/>
    <x v="0"/>
    <s v="1차"/>
    <s v="1차"/>
    <s v="일반장비(비통제)"/>
    <s v="PKG(COF)외관 검사 장비"/>
    <m/>
    <m/>
    <m/>
    <s v="EAR99"/>
    <s v="9031.49-0000"/>
    <m/>
    <m/>
    <m/>
    <d v="2004-12-30T00:00:00"/>
    <n v="20.849315068493151"/>
    <n v="8"/>
    <m/>
    <s v="자사"/>
    <s v="미설정"/>
    <m/>
    <n v="1875"/>
    <n v="750"/>
    <n v="1760"/>
    <n v="328562455"/>
    <m/>
    <m/>
    <m/>
    <n v="269941663"/>
    <n v="3422526"/>
    <n v="48353214"/>
    <n v="1000"/>
    <m/>
    <m/>
    <m/>
    <s v="미완료"/>
    <s v="D-VI"/>
    <s v="COF(Assy_FT)"/>
    <s v="COF(Assy_FT)"/>
    <s v="기계장치"/>
    <n v="50770874.700000003"/>
    <n v="4839922.3898111479"/>
    <n v="1613307.4632703827"/>
    <m/>
    <m/>
    <m/>
    <m/>
    <m/>
    <m/>
    <m/>
    <n v="4839922.3898111479"/>
    <n v="4839922.3898111479"/>
    <n v="9679844.7796222959"/>
    <n v="4839922.3898111479"/>
    <n v="4839922.3898111479"/>
    <n v="4839922.3898111479"/>
    <n v="4839922.3898111479"/>
    <n v="19359689.559244592"/>
    <n v="4839922.3898111479"/>
    <n v="4839922.3898111479"/>
    <n v="4839922.3898111479"/>
    <n v="4839922.3898111479"/>
    <n v="19359689.559244592"/>
    <n v="4839922.3898111479"/>
    <n v="4839922.3898111479"/>
    <n v="4839922.3898111479"/>
    <n v="4839922.3898111479"/>
    <n v="19359689.559244592"/>
    <m/>
    <n v="4.9574591320931775E-3"/>
    <n v="104106641.77395673"/>
    <n v="154877516.47395673"/>
  </r>
  <r>
    <n v="606"/>
    <x v="0"/>
    <m/>
    <s v="이종희"/>
    <s v="구미"/>
    <s v="PKG"/>
    <s v="O"/>
    <m/>
    <s v="DDI"/>
    <x v="5"/>
    <s v="FT"/>
    <x v="37"/>
    <n v="1000328"/>
    <s v="MC"/>
    <s v="PAV-06"/>
    <s v="LISA-60B"/>
    <x v="100"/>
    <s v="AVI"/>
    <s v="SW1105-06"/>
    <x v="0"/>
    <s v="가동"/>
    <s v="한국"/>
    <s v="A-TEK"/>
    <x v="0"/>
    <s v="1차"/>
    <s v="1차"/>
    <s v="일반장비(비통제)"/>
    <s v="PKG(COF)외관 검사 장비"/>
    <m/>
    <m/>
    <m/>
    <s v="EAR99"/>
    <s v="9031.49-0000"/>
    <m/>
    <m/>
    <m/>
    <d v="2005-06-17T00:00:00"/>
    <n v="20.386301369863013"/>
    <n v="8"/>
    <m/>
    <s v="자사"/>
    <s v="미설정"/>
    <m/>
    <n v="1875"/>
    <n v="750"/>
    <n v="1760"/>
    <n v="241837000"/>
    <m/>
    <m/>
    <m/>
    <n v="241836000"/>
    <n v="2332880"/>
    <n v="1000"/>
    <n v="1000"/>
    <m/>
    <m/>
    <m/>
    <s v="완료"/>
    <s v="D-VI"/>
    <s v="COF(Assy_FT)"/>
    <s v="COF(Assy_FT)"/>
    <s v="기계장치"/>
    <n v="4836740"/>
    <n v="461080.22282498056"/>
    <n v="153693.40760832684"/>
    <m/>
    <m/>
    <m/>
    <m/>
    <m/>
    <m/>
    <m/>
    <n v="461080.2228249805"/>
    <n v="461080.2228249805"/>
    <n v="922160.44564996101"/>
    <n v="461080.2228249805"/>
    <n v="461080.2228249805"/>
    <n v="461080.2228249805"/>
    <n v="461080.2228249805"/>
    <n v="1844320.891299922"/>
    <n v="461080.2228249805"/>
    <n v="461080.2228249805"/>
    <n v="461080.2228249805"/>
    <n v="461080.2228249805"/>
    <n v="1844320.891299922"/>
    <n v="461080.2228249805"/>
    <n v="461080.2228249805"/>
    <n v="461080.2228249805"/>
    <n v="461080.2228249805"/>
    <n v="1844320.891299922"/>
    <m/>
    <n v="4.722774823999704E-4"/>
    <n v="9917827.130399378"/>
    <n v="14754567.130399378"/>
  </r>
  <r>
    <n v="607"/>
    <x v="0"/>
    <m/>
    <s v="이종희"/>
    <s v="구미"/>
    <s v="PKG"/>
    <s v="O"/>
    <m/>
    <s v="DDI"/>
    <x v="5"/>
    <s v="FT"/>
    <x v="37"/>
    <n v="1000183"/>
    <s v="MC"/>
    <s v="PAV-07"/>
    <s v="LISA-60B"/>
    <x v="100"/>
    <s v="AVI"/>
    <s v="SW1105-07"/>
    <x v="0"/>
    <s v="가동"/>
    <s v="한국"/>
    <s v="A-TEK"/>
    <x v="1"/>
    <s v="1차"/>
    <s v="1차"/>
    <s v="일반장비(비통제)"/>
    <s v="PKG(COF)외관 검사 장비"/>
    <m/>
    <m/>
    <m/>
    <s v="EAR99"/>
    <s v="9031.49-0000"/>
    <m/>
    <m/>
    <m/>
    <d v="2004-12-30T00:00:00"/>
    <n v="20.849315068493151"/>
    <n v="8"/>
    <m/>
    <s v="자사"/>
    <s v="미설정"/>
    <m/>
    <n v="1875"/>
    <n v="750"/>
    <n v="1760"/>
    <n v="432632455"/>
    <m/>
    <m/>
    <m/>
    <n v="299376264"/>
    <n v="4506588"/>
    <n v="119736427"/>
    <n v="1000"/>
    <m/>
    <m/>
    <m/>
    <s v="미완료"/>
    <s v="D-VI"/>
    <s v="COF(Assy_FT)"/>
    <s v="COF(Assy_FT)"/>
    <s v="기계장치"/>
    <n v="125723248.35000001"/>
    <n v="11985036.070472751"/>
    <n v="3995012.0234909169"/>
    <m/>
    <m/>
    <n v="11985036.070472751"/>
    <n v="11985036.070472751"/>
    <n v="23970072.140945502"/>
    <n v="11985036.070472751"/>
    <n v="11985036.070472751"/>
    <n v="11985036.070472751"/>
    <n v="11985036.070472751"/>
    <n v="47940144.281891003"/>
    <n v="11985036.070472751"/>
    <n v="11985036.070472751"/>
    <n v="11985036.070472751"/>
    <n v="11985036.070472751"/>
    <n v="47940144.281891003"/>
    <n v="11985036.070472751"/>
    <n v="11985036.070472751"/>
    <n v="11985036.070472751"/>
    <n v="11985036.070472751"/>
    <n v="47940144.281891003"/>
    <n v="11985036.070472751"/>
    <n v="11985036.070472751"/>
    <n v="11985036.070472751"/>
    <n v="11985036.070472751"/>
    <n v="47940144.281891003"/>
    <m/>
    <n v="1.2276090757387049E-2"/>
    <n v="257797905.90512803"/>
    <n v="383521154.25512803"/>
  </r>
  <r>
    <n v="608"/>
    <x v="0"/>
    <m/>
    <s v="이종희"/>
    <s v="구미"/>
    <s v="PKG"/>
    <s v="O"/>
    <m/>
    <s v="DDI"/>
    <x v="5"/>
    <s v="FT"/>
    <x v="38"/>
    <n v="1000237"/>
    <s v="MC"/>
    <s v="PAV-08"/>
    <s v="LISA-60B"/>
    <x v="100"/>
    <s v="AVI"/>
    <s v="SW1105-08"/>
    <x v="0"/>
    <s v="가동"/>
    <s v="한국"/>
    <s v="A-TEK"/>
    <x v="2"/>
    <s v="1차"/>
    <s v="1차"/>
    <s v="일반장비(비통제)"/>
    <s v="PKG(COF)외관 검사 장비"/>
    <m/>
    <m/>
    <m/>
    <s v="EAR99"/>
    <s v="9031.80-0000"/>
    <m/>
    <m/>
    <m/>
    <d v="2005-04-18T00:00:00"/>
    <n v="20.550684931506851"/>
    <n v="8"/>
    <m/>
    <s v="자사"/>
    <s v="미설정"/>
    <m/>
    <n v="1875"/>
    <n v="750"/>
    <n v="1760"/>
    <n v="241837000"/>
    <m/>
    <m/>
    <m/>
    <n v="241836000"/>
    <n v="2332880"/>
    <n v="1000"/>
    <n v="1000"/>
    <m/>
    <m/>
    <m/>
    <s v="완료"/>
    <s v="D-VI"/>
    <s v="COF(Assy_FT)"/>
    <s v="COF(Assy_FT)"/>
    <s v="기계장치"/>
    <n v="4836740"/>
    <n v="151148.125"/>
    <n v="50382.708333333336"/>
    <m/>
    <m/>
    <m/>
    <m/>
    <m/>
    <m/>
    <m/>
    <n v="151148.125"/>
    <n v="151148.125"/>
    <n v="302296.25"/>
    <n v="151148.125"/>
    <n v="151148.125"/>
    <n v="151148.125"/>
    <n v="151148.125"/>
    <n v="604592.5"/>
    <n v="151148.125"/>
    <n v="151148.125"/>
    <n v="151148.125"/>
    <n v="151148.125"/>
    <n v="604592.5"/>
    <n v="151148.125"/>
    <n v="151148.125"/>
    <n v="151148.125"/>
    <n v="151148.125"/>
    <n v="604592.5"/>
    <m/>
    <m/>
    <m/>
    <n v="4836740"/>
  </r>
  <r>
    <n v="609"/>
    <x v="0"/>
    <m/>
    <s v="이종희"/>
    <s v="구미"/>
    <s v="PKG"/>
    <s v="O"/>
    <m/>
    <s v="DDI"/>
    <x v="5"/>
    <s v="FT"/>
    <x v="37"/>
    <n v="1000326"/>
    <s v="MC"/>
    <s v="PAV-09"/>
    <s v="LISA-60B"/>
    <x v="100"/>
    <s v="AVI"/>
    <s v="SW1105-09"/>
    <x v="0"/>
    <s v="가동"/>
    <s v="한국"/>
    <s v="A-TEK"/>
    <x v="1"/>
    <s v="1차"/>
    <s v="1차"/>
    <s v="일반장비(비통제)"/>
    <s v="PKG(COF)외관 검사 장비"/>
    <m/>
    <m/>
    <m/>
    <s v="EAR99"/>
    <s v="9031.49-0000"/>
    <m/>
    <m/>
    <m/>
    <d v="2005-06-17T00:00:00"/>
    <n v="20.386301369863013"/>
    <n v="8"/>
    <m/>
    <s v="자사"/>
    <s v="미설정"/>
    <m/>
    <n v="1875"/>
    <n v="750"/>
    <n v="1760"/>
    <n v="237833666"/>
    <m/>
    <m/>
    <m/>
    <n v="237832666"/>
    <n v="355858"/>
    <n v="1000"/>
    <n v="1000"/>
    <m/>
    <m/>
    <m/>
    <s v="완료"/>
    <s v="D-VI"/>
    <s v="COF(Assy_FT)"/>
    <s v="COF(Assy_FT)"/>
    <s v="기계장치"/>
    <n v="4756673.32"/>
    <n v="453447.56887722731"/>
    <n v="151149.18962574244"/>
    <m/>
    <m/>
    <n v="453447.56887722731"/>
    <n v="453447.56887722731"/>
    <n v="906895.13775445463"/>
    <n v="453447.56887722731"/>
    <n v="453447.56887722731"/>
    <n v="453447.56887722731"/>
    <n v="453447.56887722731"/>
    <n v="1813790.2755089093"/>
    <n v="453447.56887722731"/>
    <n v="453447.56887722731"/>
    <n v="453447.56887722731"/>
    <n v="453447.56887722731"/>
    <n v="1813790.2755089093"/>
    <n v="453447.56887722731"/>
    <n v="453447.56887722731"/>
    <n v="453447.56887722731"/>
    <n v="453447.56887722731"/>
    <n v="1813790.2755089093"/>
    <n v="453447.56887722731"/>
    <n v="453447.56887722731"/>
    <n v="453447.56887722731"/>
    <n v="453447.56887722731"/>
    <n v="1813790.2755089093"/>
    <m/>
    <n v="4.6445947067006062E-4"/>
    <n v="9753648.8840712737"/>
    <n v="14510322.204071274"/>
  </r>
  <r>
    <n v="610"/>
    <x v="0"/>
    <m/>
    <s v="이종희"/>
    <s v="구미"/>
    <s v="PKG"/>
    <s v="O"/>
    <m/>
    <s v="DDI"/>
    <x v="5"/>
    <s v="FT"/>
    <x v="37"/>
    <n v="1000180"/>
    <s v="MC"/>
    <s v="PAV-10"/>
    <s v="LISA-60B"/>
    <x v="100"/>
    <s v="AVI"/>
    <s v="SW1105-10"/>
    <x v="0"/>
    <s v="가동"/>
    <s v="한국"/>
    <s v="A-TEK"/>
    <x v="1"/>
    <s v="1차"/>
    <s v="1차"/>
    <s v="일반장비(비통제)"/>
    <s v="PKG(COF)외관 검사 장비"/>
    <m/>
    <m/>
    <m/>
    <s v="EAR99"/>
    <s v="9031.49-0000"/>
    <m/>
    <m/>
    <m/>
    <d v="2004-12-30T00:00:00"/>
    <n v="20.849315068493151"/>
    <n v="8"/>
    <m/>
    <s v="자사"/>
    <s v="미설정"/>
    <m/>
    <n v="1875"/>
    <n v="750"/>
    <n v="1760"/>
    <n v="238559122"/>
    <m/>
    <m/>
    <m/>
    <n v="238558122"/>
    <n v="257617"/>
    <n v="1000"/>
    <n v="1000"/>
    <m/>
    <m/>
    <m/>
    <s v="완료"/>
    <s v="D-VI"/>
    <s v="COF(Assy_FT)"/>
    <s v="COF(Assy_FT)"/>
    <s v="기계장치"/>
    <n v="4771182.4400000004"/>
    <n v="454830.70468411257"/>
    <n v="151610.23489470419"/>
    <m/>
    <m/>
    <n v="454830.70468411257"/>
    <n v="454830.70468411257"/>
    <n v="909661.40936822514"/>
    <n v="454830.70468411257"/>
    <n v="454830.70468411257"/>
    <n v="454830.70468411257"/>
    <n v="454830.70468411257"/>
    <n v="1819322.8187364503"/>
    <n v="454830.70468411257"/>
    <n v="454830.70468411257"/>
    <n v="454830.70468411257"/>
    <n v="454830.70468411257"/>
    <n v="1819322.8187364503"/>
    <n v="454830.70468411257"/>
    <n v="454830.70468411257"/>
    <n v="454830.70468411257"/>
    <n v="454830.70468411257"/>
    <n v="1819322.8187364503"/>
    <n v="454830.70468411257"/>
    <n v="454830.70468411257"/>
    <n v="454830.70468411257"/>
    <n v="454830.70468411257"/>
    <n v="1819322.8187364503"/>
    <m/>
    <n v="4.6587619570912392E-4"/>
    <n v="9783400.1098916028"/>
    <n v="14554582.549891602"/>
  </r>
  <r>
    <n v="611"/>
    <x v="0"/>
    <m/>
    <s v="이종희"/>
    <s v="구미"/>
    <s v="PKG"/>
    <s v="O"/>
    <m/>
    <s v="DDI"/>
    <x v="5"/>
    <s v="FT"/>
    <x v="37"/>
    <n v="1000327"/>
    <s v="MC"/>
    <s v="PAV-11"/>
    <s v="LISA-60B"/>
    <x v="100"/>
    <s v="AVI"/>
    <s v="SW1105-11"/>
    <x v="0"/>
    <s v="가동"/>
    <s v="일본"/>
    <s v="A-TEK"/>
    <x v="2"/>
    <s v="2차"/>
    <s v="2차"/>
    <s v="일반장비(비통제)"/>
    <s v="PKG(COF)외관 검사 장비"/>
    <m/>
    <m/>
    <m/>
    <s v="EAR99"/>
    <s v="9031.49-0000"/>
    <m/>
    <m/>
    <m/>
    <d v="2005-06-17T00:00:00"/>
    <n v="20.386301369863013"/>
    <n v="8"/>
    <m/>
    <s v="자사"/>
    <s v="미설정"/>
    <m/>
    <n v="1875"/>
    <n v="750"/>
    <n v="1760"/>
    <n v="237833667"/>
    <m/>
    <m/>
    <m/>
    <n v="237832667"/>
    <n v="355858"/>
    <n v="1000"/>
    <n v="1000"/>
    <m/>
    <m/>
    <m/>
    <s v="완료"/>
    <s v="D-VI"/>
    <s v="COF(Assy_FT)"/>
    <s v="COF(Assy_FT)"/>
    <s v="기계장치"/>
    <n v="4756673.34"/>
    <n v="148646.041875"/>
    <n v="49548.680625000001"/>
    <m/>
    <m/>
    <m/>
    <m/>
    <m/>
    <m/>
    <m/>
    <n v="148646.041875"/>
    <n v="148646.041875"/>
    <n v="297292.08374999999"/>
    <n v="148646.041875"/>
    <n v="148646.041875"/>
    <n v="148646.041875"/>
    <n v="148646.041875"/>
    <n v="594584.16749999998"/>
    <n v="148646.041875"/>
    <n v="148646.041875"/>
    <n v="148646.041875"/>
    <n v="148646.041875"/>
    <n v="594584.16749999998"/>
    <n v="148646.041875"/>
    <n v="148646.041875"/>
    <n v="148646.041875"/>
    <n v="148646.041875"/>
    <n v="594584.16749999998"/>
    <m/>
    <m/>
    <m/>
    <n v="4756673.34"/>
  </r>
  <r>
    <n v="612"/>
    <x v="0"/>
    <m/>
    <s v="이종희"/>
    <s v="구미"/>
    <s v="PKG"/>
    <s v="O"/>
    <m/>
    <s v="DDI"/>
    <x v="5"/>
    <s v="FT"/>
    <x v="37"/>
    <n v="1000181"/>
    <s v="MC"/>
    <s v="PAV-12"/>
    <s v="LISA-60B"/>
    <x v="100"/>
    <s v="AVI"/>
    <s v="SW1105-12"/>
    <x v="0"/>
    <s v="가동"/>
    <s v="한국"/>
    <s v="A-TEK"/>
    <x v="2"/>
    <s v="2차"/>
    <s v="2차"/>
    <s v="일반장비(비통제)"/>
    <s v="PKG(COF)외관 검사 장비"/>
    <m/>
    <m/>
    <m/>
    <s v="EAR99"/>
    <s v="9031.49-0000"/>
    <m/>
    <m/>
    <m/>
    <d v="2004-12-30T00:00:00"/>
    <n v="20.849315068493151"/>
    <n v="8"/>
    <m/>
    <s v="자사"/>
    <s v="미설정"/>
    <m/>
    <n v="1875"/>
    <n v="750"/>
    <n v="1760"/>
    <n v="238559122"/>
    <m/>
    <m/>
    <m/>
    <n v="238558122"/>
    <n v="257617"/>
    <n v="1000"/>
    <n v="1000"/>
    <m/>
    <m/>
    <m/>
    <s v="완료"/>
    <s v="D-VI"/>
    <s v="COF(Assy_FT)"/>
    <s v="COF(Assy_FT)"/>
    <s v="기계장치"/>
    <n v="4771182.4400000004"/>
    <n v="149099.45125000001"/>
    <n v="49699.817083333335"/>
    <m/>
    <m/>
    <m/>
    <m/>
    <m/>
    <m/>
    <m/>
    <n v="149099.45125000001"/>
    <n v="149099.45125000001"/>
    <n v="298198.90250000003"/>
    <n v="149099.45125000001"/>
    <n v="149099.45125000001"/>
    <n v="149099.45125000001"/>
    <n v="149099.45125000001"/>
    <n v="596397.80500000005"/>
    <n v="149099.45125000001"/>
    <n v="149099.45125000001"/>
    <n v="149099.45125000001"/>
    <n v="149099.45125000001"/>
    <n v="596397.80500000005"/>
    <n v="149099.45125000001"/>
    <n v="149099.45125000001"/>
    <n v="149099.45125000001"/>
    <n v="149099.45125000001"/>
    <n v="596397.80500000005"/>
    <m/>
    <m/>
    <m/>
    <n v="4771182.4400000004"/>
  </r>
  <r>
    <n v="613"/>
    <x v="0"/>
    <m/>
    <s v="이종희"/>
    <s v="구미"/>
    <s v="PKG"/>
    <s v="O"/>
    <m/>
    <s v="DDI"/>
    <x v="5"/>
    <s v="FT"/>
    <x v="37"/>
    <n v="1000175"/>
    <s v="MC"/>
    <s v="PAV-13"/>
    <s v="LISA-60B"/>
    <x v="100"/>
    <s v="AVI"/>
    <s v="SW1105-13"/>
    <x v="0"/>
    <s v="가동"/>
    <s v="한국"/>
    <s v="A-TEK"/>
    <x v="2"/>
    <s v="2차"/>
    <s v="2차"/>
    <s v="일반장비(비통제)"/>
    <s v="PKG(COF)외관 검사 장비"/>
    <m/>
    <m/>
    <m/>
    <s v="EAR99"/>
    <s v="9031.49-0000"/>
    <m/>
    <m/>
    <m/>
    <d v="2004-12-30T00:00:00"/>
    <n v="20.849315068493151"/>
    <n v="8"/>
    <m/>
    <s v="자사"/>
    <s v="미설정"/>
    <m/>
    <n v="1875"/>
    <n v="750"/>
    <n v="1760"/>
    <n v="238559120"/>
    <m/>
    <m/>
    <m/>
    <n v="238558120"/>
    <n v="257617"/>
    <n v="1000"/>
    <n v="1000"/>
    <m/>
    <m/>
    <m/>
    <s v="완료"/>
    <s v="D-VI"/>
    <s v="COF(Assy_FT)"/>
    <s v="COF(Assy_FT)"/>
    <s v="기계장치"/>
    <n v="4771182.4000000004"/>
    <n v="149099.45000000001"/>
    <n v="49699.816666666673"/>
    <m/>
    <m/>
    <m/>
    <m/>
    <m/>
    <m/>
    <m/>
    <n v="149099.45000000001"/>
    <n v="149099.45000000001"/>
    <n v="298198.90000000002"/>
    <n v="149099.45000000001"/>
    <n v="149099.45000000001"/>
    <n v="149099.45000000001"/>
    <n v="149099.45000000001"/>
    <n v="596397.80000000005"/>
    <n v="149099.45000000001"/>
    <n v="149099.45000000001"/>
    <n v="149099.45000000001"/>
    <n v="149099.45000000001"/>
    <n v="596397.80000000005"/>
    <n v="149099.45000000001"/>
    <n v="149099.45000000001"/>
    <n v="149099.45000000001"/>
    <n v="149099.45000000001"/>
    <n v="596397.80000000005"/>
    <m/>
    <m/>
    <m/>
    <n v="4771182.4000000004"/>
  </r>
  <r>
    <n v="614"/>
    <x v="0"/>
    <m/>
    <s v="이종희"/>
    <s v="구미"/>
    <s v="PKG"/>
    <s v="O"/>
    <m/>
    <s v="DDI"/>
    <x v="5"/>
    <s v="FT"/>
    <x v="37"/>
    <n v="1000176"/>
    <s v="MC"/>
    <s v="PAV-14"/>
    <s v="LISA-60B"/>
    <x v="100"/>
    <s v="AVI"/>
    <s v="SW1105-14"/>
    <x v="0"/>
    <s v="가동"/>
    <s v="한국"/>
    <s v="A-TEK"/>
    <x v="2"/>
    <s v="2차"/>
    <s v="2차"/>
    <s v="일반장비(비통제)"/>
    <s v="PKG(COF)외관 검사 장비"/>
    <m/>
    <m/>
    <m/>
    <s v="EAR99"/>
    <s v="9031.49-0000"/>
    <m/>
    <m/>
    <m/>
    <d v="2004-12-30T00:00:00"/>
    <n v="20.849315068493151"/>
    <n v="8"/>
    <m/>
    <s v="자사"/>
    <s v="미설정"/>
    <m/>
    <n v="1875"/>
    <n v="750"/>
    <n v="1760"/>
    <n v="238571121"/>
    <m/>
    <m/>
    <m/>
    <n v="238570121"/>
    <n v="255992"/>
    <n v="1000"/>
    <n v="1000"/>
    <m/>
    <m/>
    <m/>
    <s v="완료"/>
    <s v="D-VI"/>
    <s v="COF(Assy_FT)"/>
    <s v="COF(Assy_FT)"/>
    <s v="기계장치"/>
    <n v="4771422.42"/>
    <n v="149106.950625"/>
    <n v="49702.316874999997"/>
    <m/>
    <m/>
    <m/>
    <m/>
    <m/>
    <m/>
    <m/>
    <n v="149106.950625"/>
    <n v="149106.950625"/>
    <n v="298213.90125"/>
    <n v="149106.950625"/>
    <n v="149106.950625"/>
    <n v="149106.950625"/>
    <n v="149106.950625"/>
    <n v="596427.80249999999"/>
    <n v="149106.950625"/>
    <n v="149106.950625"/>
    <n v="149106.950625"/>
    <n v="149106.950625"/>
    <n v="596427.80249999999"/>
    <n v="149106.950625"/>
    <n v="149106.950625"/>
    <n v="149106.950625"/>
    <n v="149106.950625"/>
    <n v="596427.80249999999"/>
    <m/>
    <m/>
    <m/>
    <n v="4771422.42"/>
  </r>
  <r>
    <n v="615"/>
    <x v="0"/>
    <m/>
    <s v="이종희"/>
    <s v="구미"/>
    <s v="PKG"/>
    <s v="O"/>
    <m/>
    <s v="DDI"/>
    <x v="5"/>
    <s v="FT"/>
    <x v="37"/>
    <n v="1005044"/>
    <s v="MC"/>
    <s v="PAV-15 (Used)"/>
    <s v="LISA-60B"/>
    <x v="100"/>
    <s v="AVI"/>
    <s v="SW1105-15"/>
    <x v="0"/>
    <s v="가동"/>
    <s v="한국"/>
    <s v="A-TEK"/>
    <x v="2"/>
    <s v="2차"/>
    <s v="2차"/>
    <s v="일반장비(비통제)"/>
    <s v="PKG(COF)외관 검사 장비"/>
    <m/>
    <m/>
    <m/>
    <s v="EAR99"/>
    <s v="9031.49-0000"/>
    <m/>
    <m/>
    <m/>
    <d v="2017-04-26T00:00:00"/>
    <n v="8.5205479452054789"/>
    <n v="8"/>
    <m/>
    <s v="자사"/>
    <s v="미설정"/>
    <m/>
    <n v="1875"/>
    <n v="750"/>
    <n v="1760"/>
    <n v="181315000"/>
    <m/>
    <m/>
    <m/>
    <n v="154779424"/>
    <n v="1792169"/>
    <n v="21159069"/>
    <n v="1000"/>
    <m/>
    <m/>
    <m/>
    <s v="미완료"/>
    <s v="D-VI"/>
    <s v="COF(Assy_FT)"/>
    <s v="COF(Assy_FT)"/>
    <s v="기계장치"/>
    <n v="22217022.449999999"/>
    <n v="694281.95156249998"/>
    <n v="231427.31718749998"/>
    <m/>
    <m/>
    <m/>
    <m/>
    <m/>
    <m/>
    <m/>
    <n v="694281.95156249998"/>
    <n v="694281.95156249998"/>
    <n v="1388563.903125"/>
    <n v="694281.95156249998"/>
    <n v="694281.95156249998"/>
    <n v="694281.95156249998"/>
    <n v="694281.95156249998"/>
    <n v="2777127.8062499999"/>
    <n v="694281.95156249998"/>
    <n v="694281.95156249998"/>
    <n v="694281.95156249998"/>
    <n v="694281.95156249998"/>
    <n v="2777127.8062499999"/>
    <n v="694281.95156249998"/>
    <n v="694281.95156249998"/>
    <n v="694281.95156249998"/>
    <n v="694281.95156249998"/>
    <n v="2777127.8062499999"/>
    <m/>
    <m/>
    <m/>
    <n v="22217022.449999999"/>
  </r>
  <r>
    <n v="616"/>
    <x v="0"/>
    <m/>
    <s v="이종희"/>
    <s v="구미"/>
    <s v="PKG"/>
    <s v="O"/>
    <m/>
    <s v="DDI"/>
    <x v="5"/>
    <s v="FT"/>
    <x v="37"/>
    <n v="1005045"/>
    <s v="MC"/>
    <s v="PAV-16 (Used)"/>
    <s v="LISA-60B"/>
    <x v="100"/>
    <s v="AVI"/>
    <s v="SW1105-16"/>
    <x v="0"/>
    <s v="가동"/>
    <s v="한국"/>
    <s v="A-TEK"/>
    <x v="2"/>
    <s v="2차"/>
    <s v="2차"/>
    <s v="일반장비(비통제)"/>
    <s v="PKG(COF)외관 검사 장비"/>
    <m/>
    <m/>
    <m/>
    <s v="EAR99"/>
    <s v="9031.49-0000"/>
    <m/>
    <m/>
    <m/>
    <d v="2017-04-26T00:00:00"/>
    <n v="8.5205479452054789"/>
    <n v="8"/>
    <m/>
    <s v="자사"/>
    <s v="미설정"/>
    <m/>
    <n v="1875"/>
    <n v="750"/>
    <n v="1760"/>
    <n v="181315000"/>
    <m/>
    <m/>
    <m/>
    <n v="154779424"/>
    <n v="1792169"/>
    <n v="21159069"/>
    <n v="1000"/>
    <m/>
    <m/>
    <m/>
    <s v="미완료"/>
    <s v="D-VI"/>
    <s v="COF(Assy_FT)"/>
    <s v="COF(Assy_FT)"/>
    <s v="기계장치"/>
    <n v="22217022.449999999"/>
    <n v="694281.95156249998"/>
    <n v="231427.31718749998"/>
    <m/>
    <m/>
    <m/>
    <m/>
    <m/>
    <m/>
    <m/>
    <n v="694281.95156249998"/>
    <n v="694281.95156249998"/>
    <n v="1388563.903125"/>
    <n v="694281.95156249998"/>
    <n v="694281.95156249998"/>
    <n v="694281.95156249998"/>
    <n v="694281.95156249998"/>
    <n v="2777127.8062499999"/>
    <n v="694281.95156249998"/>
    <n v="694281.95156249998"/>
    <n v="694281.95156249998"/>
    <n v="694281.95156249998"/>
    <n v="2777127.8062499999"/>
    <n v="694281.95156249998"/>
    <n v="694281.95156249998"/>
    <n v="694281.95156249998"/>
    <n v="694281.95156249998"/>
    <n v="2777127.8062499999"/>
    <m/>
    <m/>
    <m/>
    <n v="22217022.449999999"/>
  </r>
  <r>
    <n v="617"/>
    <x v="0"/>
    <m/>
    <s v="이종희"/>
    <s v="구미"/>
    <s v="PKG"/>
    <s v="O"/>
    <m/>
    <s v="DDI"/>
    <x v="5"/>
    <s v="FT"/>
    <x v="37"/>
    <n v="1005601"/>
    <s v="MC"/>
    <s v="PAV-18(아텍)"/>
    <s v="LISA-60C"/>
    <x v="101"/>
    <s v="AVI"/>
    <s v="SW1105-18"/>
    <x v="0"/>
    <s v="가동"/>
    <s v="한국"/>
    <s v="A-TEK"/>
    <x v="1"/>
    <s v="2차"/>
    <s v="2차"/>
    <s v="일반장비(비통제)"/>
    <s v="PKG(COF)외관 검사 장비"/>
    <m/>
    <m/>
    <m/>
    <s v="EAR99"/>
    <s v="9031.49-0000"/>
    <m/>
    <m/>
    <m/>
    <d v="2018-09-18T00:00:00"/>
    <n v="7.1232876712328768"/>
    <n v="8"/>
    <m/>
    <s v="자사"/>
    <s v="설정"/>
    <m/>
    <n v="2600"/>
    <n v="1000"/>
    <n v="2100"/>
    <n v="390812500"/>
    <m/>
    <m/>
    <m/>
    <n v="308151053"/>
    <n v="4070964"/>
    <n v="70448555"/>
    <n v="4105686"/>
    <m/>
    <m/>
    <m/>
    <s v="미완료"/>
    <s v="D-VI"/>
    <s v="COF(Assy_FT)"/>
    <s v="COF(Assy_FT)"/>
    <s v="기계장치"/>
    <n v="73970982.75"/>
    <n v="7051558.9444445632"/>
    <n v="2350519.6481481879"/>
    <m/>
    <m/>
    <n v="7051558.9444445632"/>
    <n v="7051558.9444445632"/>
    <n v="14103117.888889126"/>
    <n v="7051558.9444445632"/>
    <n v="7051558.9444445632"/>
    <n v="7051558.9444445632"/>
    <n v="7051558.9444445632"/>
    <n v="28206235.777778253"/>
    <n v="7051558.9444445632"/>
    <n v="7051558.9444445632"/>
    <n v="7051558.9444445632"/>
    <n v="7051558.9444445632"/>
    <n v="28206235.777778253"/>
    <n v="7051558.9444445632"/>
    <n v="7051558.9444445632"/>
    <n v="7051558.9444445632"/>
    <n v="7051558.9444445632"/>
    <n v="28206235.777778253"/>
    <n v="7051558.9444445632"/>
    <n v="7051558.9444445632"/>
    <n v="7051558.9444445632"/>
    <n v="7051558.9444445632"/>
    <n v="28206235.777778253"/>
    <m/>
    <n v="7.2228049272488578E-3"/>
    <n v="151678903.47222602"/>
    <n v="225649886.22222602"/>
  </r>
  <r>
    <n v="618"/>
    <x v="0"/>
    <m/>
    <s v="이종희"/>
    <s v="구미"/>
    <s v="PKG"/>
    <s v="O"/>
    <m/>
    <s v="DDI"/>
    <x v="5"/>
    <s v="FT"/>
    <x v="37"/>
    <n v="1005602"/>
    <s v="MC"/>
    <s v="PAV-19(아텍)"/>
    <s v="LISA-60C"/>
    <x v="101"/>
    <s v="AVI"/>
    <s v="SW1105-19"/>
    <x v="0"/>
    <s v="가동"/>
    <s v="한국"/>
    <s v="A-TEK"/>
    <x v="1"/>
    <s v="2차"/>
    <s v="2차"/>
    <s v="일반장비(비통제)"/>
    <s v="PKG(COF)외관 검사 장비"/>
    <m/>
    <m/>
    <m/>
    <s v="EAR99"/>
    <s v="9031.49-0000"/>
    <m/>
    <m/>
    <m/>
    <d v="2018-09-18T00:00:00"/>
    <n v="7.1232876712328768"/>
    <n v="8"/>
    <m/>
    <s v="자사"/>
    <s v="설정"/>
    <m/>
    <n v="2600"/>
    <n v="1000"/>
    <n v="2100"/>
    <n v="351812500"/>
    <m/>
    <m/>
    <m/>
    <n v="301651047"/>
    <n v="3664714"/>
    <n v="39167311"/>
    <n v="2098138"/>
    <m/>
    <m/>
    <m/>
    <s v="미완료"/>
    <s v="D-VI"/>
    <s v="COF(Assy_FT)"/>
    <s v="COF(Assy_FT)"/>
    <s v="기계장치"/>
    <n v="41125676.550000004"/>
    <n v="3920458.0166604118"/>
    <n v="1306819.3388868039"/>
    <m/>
    <m/>
    <n v="3920458.0166604118"/>
    <n v="3920458.0166604118"/>
    <n v="7840916.0333208237"/>
    <n v="3920458.0166604118"/>
    <n v="3920458.0166604118"/>
    <n v="3920458.0166604118"/>
    <n v="3920458.0166604118"/>
    <n v="15681832.066641647"/>
    <n v="3920458.0166604118"/>
    <n v="3920458.0166604118"/>
    <n v="3920458.0166604118"/>
    <n v="3920458.0166604118"/>
    <n v="15681832.066641647"/>
    <n v="3920458.0166604118"/>
    <n v="3920458.0166604118"/>
    <n v="3920458.0166604118"/>
    <n v="3920458.0166604118"/>
    <n v="15681832.066641647"/>
    <n v="3920458.0166604118"/>
    <n v="3920458.0166604118"/>
    <n v="3920458.0166604118"/>
    <n v="3920458.0166604118"/>
    <n v="15681832.066641647"/>
    <m/>
    <n v="4.0156657134825325E-3"/>
    <n v="84328979.983133182"/>
    <n v="125454656.53313318"/>
  </r>
  <r>
    <n v="619"/>
    <x v="0"/>
    <m/>
    <s v="이종희"/>
    <s v="구미"/>
    <s v="PKG"/>
    <s v="O"/>
    <m/>
    <s v="DDI"/>
    <x v="5"/>
    <s v="FT"/>
    <x v="37"/>
    <n v="1005603"/>
    <s v="MC"/>
    <s v="PAV-20(아텍)"/>
    <s v="LISA-60C"/>
    <x v="101"/>
    <s v="AVI"/>
    <s v="SW1105-20"/>
    <x v="0"/>
    <s v="가동"/>
    <s v="한국"/>
    <s v="A-TEK"/>
    <x v="1"/>
    <s v="2차"/>
    <s v="2차"/>
    <s v="일반장비(비통제)"/>
    <s v="PKG(COF)외관 검사 장비"/>
    <m/>
    <m/>
    <m/>
    <s v="EAR99"/>
    <s v="9031.49-0000"/>
    <m/>
    <m/>
    <m/>
    <d v="2018-09-18T00:00:00"/>
    <n v="7.1232876712328768"/>
    <n v="8"/>
    <m/>
    <s v="자사"/>
    <s v="설정"/>
    <m/>
    <n v="2600"/>
    <n v="1000"/>
    <n v="2100"/>
    <n v="390812500"/>
    <m/>
    <m/>
    <m/>
    <n v="308151053"/>
    <n v="4070964"/>
    <n v="70448555"/>
    <n v="4105686"/>
    <m/>
    <m/>
    <m/>
    <s v="미완료"/>
    <s v="D-VI"/>
    <s v="COF(Assy_FT)"/>
    <s v="COF(Assy_FT)"/>
    <s v="기계장치"/>
    <n v="73970982.75"/>
    <n v="7051558.9444445632"/>
    <n v="2350519.6481481879"/>
    <m/>
    <m/>
    <n v="7051558.9444445632"/>
    <n v="7051558.9444445632"/>
    <n v="14103117.888889126"/>
    <n v="7051558.9444445632"/>
    <n v="7051558.9444445632"/>
    <n v="7051558.9444445632"/>
    <n v="7051558.9444445632"/>
    <n v="28206235.777778253"/>
    <n v="7051558.9444445632"/>
    <n v="7051558.9444445632"/>
    <n v="7051558.9444445632"/>
    <n v="7051558.9444445632"/>
    <n v="28206235.777778253"/>
    <n v="7051558.9444445632"/>
    <n v="7051558.9444445632"/>
    <n v="7051558.9444445632"/>
    <n v="7051558.9444445632"/>
    <n v="28206235.777778253"/>
    <n v="7051558.9444445632"/>
    <n v="7051558.9444445632"/>
    <n v="7051558.9444445632"/>
    <n v="7051558.9444445632"/>
    <n v="28206235.777778253"/>
    <m/>
    <n v="7.2228049272488578E-3"/>
    <n v="151678903.47222602"/>
    <n v="225649886.22222602"/>
  </r>
  <r>
    <n v="620"/>
    <x v="0"/>
    <m/>
    <s v="이종희"/>
    <s v="구미"/>
    <s v="PKG"/>
    <s v="O"/>
    <m/>
    <s v="DDI"/>
    <x v="5"/>
    <s v="FT"/>
    <x v="37"/>
    <n v="1005964"/>
    <s v="MC"/>
    <s v="PAV-21(아텍)"/>
    <s v="LISA-60C"/>
    <x v="101"/>
    <s v="AVI"/>
    <s v="SW1105-21"/>
    <x v="0"/>
    <s v="가동"/>
    <s v="한국"/>
    <s v="A-TEK"/>
    <x v="0"/>
    <s v="2차"/>
    <s v="2차"/>
    <s v="일반장비(비통제)"/>
    <s v="PKG(COF)외관 검사 장비"/>
    <m/>
    <m/>
    <m/>
    <s v="EAR99"/>
    <s v="9031.49-0000"/>
    <m/>
    <m/>
    <m/>
    <d v="2019-05-22T00:00:00"/>
    <n v="6.4493150684931511"/>
    <n v="8"/>
    <m/>
    <s v="자사"/>
    <s v="미설정"/>
    <m/>
    <n v="2600"/>
    <n v="1000"/>
    <n v="2100"/>
    <n v="325842500"/>
    <m/>
    <m/>
    <m/>
    <n v="253778648"/>
    <n v="3394193"/>
    <n v="61881273"/>
    <n v="4719008"/>
    <m/>
    <m/>
    <m/>
    <s v="미완료"/>
    <s v="D-VI"/>
    <s v="COF(Assy_FT)"/>
    <s v="COF(Assy_FT)"/>
    <s v="기계장치"/>
    <n v="64975336.650000006"/>
    <n v="6194015.5354040386"/>
    <n v="2064671.8451346795"/>
    <m/>
    <m/>
    <m/>
    <m/>
    <m/>
    <m/>
    <m/>
    <n v="6194015.5354040386"/>
    <n v="6194015.5354040386"/>
    <n v="12388031.070808077"/>
    <n v="6194015.5354040386"/>
    <n v="6194015.5354040386"/>
    <n v="6194015.5354040386"/>
    <n v="6194015.5354040386"/>
    <n v="24776062.141616154"/>
    <n v="6194015.5354040386"/>
    <n v="6194015.5354040386"/>
    <n v="6194015.5354040386"/>
    <n v="6194015.5354040386"/>
    <n v="24776062.141616154"/>
    <n v="6194015.5354040386"/>
    <n v="6194015.5354040386"/>
    <n v="6194015.5354040386"/>
    <n v="6194015.5354040386"/>
    <n v="24776062.141616154"/>
    <m/>
    <n v="6.3444362134728203E-3"/>
    <n v="133233160.48292923"/>
    <n v="198208497.13292924"/>
  </r>
  <r>
    <n v="621"/>
    <x v="0"/>
    <m/>
    <s v="이종희"/>
    <s v="구미"/>
    <s v="PKG"/>
    <s v="O"/>
    <m/>
    <s v="DDI"/>
    <x v="5"/>
    <s v="FT"/>
    <x v="37"/>
    <n v="1005965"/>
    <s v="MC"/>
    <s v="PAV-22(아텍)"/>
    <s v="LISA-60C"/>
    <x v="101"/>
    <s v="AVI"/>
    <s v="SW1105-22"/>
    <x v="0"/>
    <s v="가동"/>
    <s v="한국"/>
    <s v="A-TEK"/>
    <x v="0"/>
    <s v="3차"/>
    <s v="3차"/>
    <s v="일반장비(비통제)"/>
    <s v="PKG(COF)외관 검사 장비"/>
    <m/>
    <m/>
    <m/>
    <s v="EAR99"/>
    <s v="9031.49-0000"/>
    <m/>
    <m/>
    <m/>
    <d v="2019-06-03T00:00:00"/>
    <n v="6.4164383561643836"/>
    <n v="8"/>
    <m/>
    <s v="자사"/>
    <s v="미설정"/>
    <m/>
    <n v="2600"/>
    <n v="1000"/>
    <n v="2100"/>
    <n v="325812500"/>
    <m/>
    <m/>
    <m/>
    <n v="250578120"/>
    <n v="3393880"/>
    <n v="65052740"/>
    <n v="5058463"/>
    <m/>
    <m/>
    <m/>
    <s v="미완료"/>
    <s v="D-VI"/>
    <s v="COF(Assy_FT)"/>
    <s v="COF(Assy_FT)"/>
    <s v="기계장치"/>
    <n v="68305377"/>
    <n v="6511464.0123935342"/>
    <n v="2170488.0041311779"/>
    <m/>
    <m/>
    <m/>
    <m/>
    <m/>
    <m/>
    <m/>
    <n v="6511464.0123935342"/>
    <n v="6511464.0123935342"/>
    <n v="13022928.024787068"/>
    <n v="6511464.0123935342"/>
    <n v="6511464.0123935342"/>
    <n v="6511464.0123935342"/>
    <n v="6511464.0123935342"/>
    <n v="26045856.049574137"/>
    <n v="6511464.0123935342"/>
    <n v="6511464.0123935342"/>
    <n v="6511464.0123935342"/>
    <n v="6511464.0123935342"/>
    <n v="26045856.049574137"/>
    <n v="6511464.0123935342"/>
    <n v="6511464.0123935342"/>
    <n v="6511464.0123935342"/>
    <n v="6511464.0123935342"/>
    <n v="26045856.049574137"/>
    <m/>
    <n v="6.6695938760282427E-3"/>
    <n v="140061471.39659309"/>
    <n v="208366848.39659309"/>
  </r>
  <r>
    <n v="622"/>
    <x v="0"/>
    <m/>
    <s v="이종희"/>
    <s v="구미"/>
    <s v="PKG"/>
    <s v="O"/>
    <m/>
    <s v="DDI"/>
    <x v="5"/>
    <s v="FT"/>
    <x v="37"/>
    <n v="1005967"/>
    <s v="MC"/>
    <s v="PAV-23(아텍)"/>
    <s v="LISA-60C"/>
    <x v="101"/>
    <s v="AVI"/>
    <s v="SW1105-23"/>
    <x v="0"/>
    <s v="가동"/>
    <s v="한국"/>
    <s v="A-TEK"/>
    <x v="0"/>
    <s v="3차"/>
    <s v="3차"/>
    <s v="일반장비(비통제)"/>
    <s v="PKG(COF)외관 검사 장비"/>
    <m/>
    <m/>
    <m/>
    <s v="EAR99"/>
    <s v="9031.49-0000"/>
    <m/>
    <m/>
    <m/>
    <d v="2019-06-03T00:00:00"/>
    <n v="6.4164383561643836"/>
    <n v="8"/>
    <m/>
    <s v="자사"/>
    <s v="미설정"/>
    <m/>
    <n v="2600"/>
    <n v="1000"/>
    <n v="2100"/>
    <n v="325812500"/>
    <m/>
    <m/>
    <m/>
    <n v="250578120"/>
    <n v="3393880"/>
    <n v="65052740"/>
    <n v="5058463"/>
    <m/>
    <m/>
    <m/>
    <s v="미완료"/>
    <s v="D-VI"/>
    <s v="COF(Assy_FT)"/>
    <s v="COF(Assy_FT)"/>
    <s v="기계장치"/>
    <n v="68305377"/>
    <n v="6511464.0123935342"/>
    <n v="2170488.0041311779"/>
    <m/>
    <m/>
    <m/>
    <m/>
    <m/>
    <m/>
    <m/>
    <n v="6511464.0123935342"/>
    <n v="6511464.0123935342"/>
    <n v="13022928.024787068"/>
    <n v="6511464.0123935342"/>
    <n v="6511464.0123935342"/>
    <n v="6511464.0123935342"/>
    <n v="6511464.0123935342"/>
    <n v="26045856.049574137"/>
    <n v="6511464.0123935342"/>
    <n v="6511464.0123935342"/>
    <n v="6511464.0123935342"/>
    <n v="6511464.0123935342"/>
    <n v="26045856.049574137"/>
    <n v="6511464.0123935342"/>
    <n v="6511464.0123935342"/>
    <n v="6511464.0123935342"/>
    <n v="6511464.0123935342"/>
    <n v="26045856.049574137"/>
    <m/>
    <n v="6.6695938760282427E-3"/>
    <n v="140061471.39659309"/>
    <n v="208366848.39659309"/>
  </r>
  <r>
    <n v="623"/>
    <x v="0"/>
    <m/>
    <s v="이종희"/>
    <s v="구미"/>
    <s v="PKG"/>
    <s v="O"/>
    <m/>
    <s v="DDI"/>
    <x v="5"/>
    <s v="FT"/>
    <x v="37"/>
    <n v="1006002"/>
    <s v="MC"/>
    <s v="PAV-24(아텍)"/>
    <s v="LISA-60C"/>
    <x v="101"/>
    <s v="AVI"/>
    <s v="SW1105-24"/>
    <x v="0"/>
    <s v="가동"/>
    <s v="한국"/>
    <s v="A-TEK"/>
    <x v="2"/>
    <s v="3차"/>
    <s v="3차"/>
    <s v="일반장비(비통제)"/>
    <s v="PKG(COF)외관 검사 장비"/>
    <m/>
    <m/>
    <m/>
    <s v="EAR99"/>
    <s v="9031.49-0000"/>
    <m/>
    <m/>
    <m/>
    <d v="2019-07-29T00:00:00"/>
    <n v="6.2630136986301368"/>
    <n v="8"/>
    <m/>
    <s v="자사"/>
    <s v="설정"/>
    <m/>
    <n v="2600"/>
    <n v="1000"/>
    <n v="2100"/>
    <n v="325812500"/>
    <m/>
    <m/>
    <m/>
    <n v="247401037"/>
    <n v="3393880"/>
    <n v="68229823"/>
    <n v="5397796"/>
    <m/>
    <m/>
    <m/>
    <s v="미완료"/>
    <s v="D-VI"/>
    <s v="COF(Assy_FT)"/>
    <s v="COF(Assy_FT)"/>
    <s v="기계장치"/>
    <n v="71641314.150000006"/>
    <n v="2238791.0671875002"/>
    <n v="746263.68906250002"/>
    <m/>
    <m/>
    <m/>
    <m/>
    <m/>
    <m/>
    <m/>
    <n v="2238791.0671875002"/>
    <n v="2238791.0671875002"/>
    <n v="4477582.1343750004"/>
    <n v="2238791.0671875002"/>
    <n v="2238791.0671875002"/>
    <n v="2238791.0671875002"/>
    <n v="2238791.0671875002"/>
    <n v="8955164.2687500007"/>
    <n v="2238791.0671875002"/>
    <n v="2238791.0671875002"/>
    <n v="2238791.0671875002"/>
    <n v="2238791.0671875002"/>
    <n v="8955164.2687500007"/>
    <n v="2238791.0671875002"/>
    <n v="2238791.0671875002"/>
    <n v="2238791.0671875002"/>
    <n v="2238791.0671875002"/>
    <n v="8955164.2687500007"/>
    <m/>
    <m/>
    <m/>
    <n v="71641314.150000006"/>
  </r>
  <r>
    <n v="624"/>
    <x v="0"/>
    <m/>
    <s v="이종희"/>
    <s v="구미"/>
    <s v="PKG"/>
    <s v="O"/>
    <m/>
    <s v="DDI"/>
    <x v="5"/>
    <s v="FT"/>
    <x v="37"/>
    <n v="1005966"/>
    <s v="MC"/>
    <s v="PAV-25(아텍)"/>
    <s v="LISA-60C"/>
    <x v="101"/>
    <s v="AVI"/>
    <s v="SW1105-25"/>
    <x v="0"/>
    <s v="가동"/>
    <s v="한국"/>
    <s v="A-TEK"/>
    <x v="2"/>
    <s v="3차"/>
    <s v="3차"/>
    <s v="일반장비(비통제)"/>
    <s v="PKG(COF)외관 검사 장비"/>
    <m/>
    <m/>
    <m/>
    <s v="EAR99"/>
    <s v="9031.49-0000"/>
    <m/>
    <m/>
    <m/>
    <d v="2019-05-29T00:00:00"/>
    <n v="6.4301369863013695"/>
    <n v="8"/>
    <m/>
    <s v="자사"/>
    <s v="미설정"/>
    <m/>
    <n v="2600"/>
    <n v="1000"/>
    <n v="2100"/>
    <n v="325842500"/>
    <m/>
    <m/>
    <m/>
    <n v="253778648"/>
    <n v="3394193"/>
    <n v="61881273"/>
    <n v="4719008"/>
    <m/>
    <m/>
    <m/>
    <s v="미완료"/>
    <s v="D-VI"/>
    <s v="COF(Assy_FT)"/>
    <s v="COF(Assy_FT)"/>
    <s v="기계장치"/>
    <n v="64975336.650000006"/>
    <n v="2030479.2703125002"/>
    <n v="676826.42343750002"/>
    <m/>
    <m/>
    <m/>
    <m/>
    <m/>
    <m/>
    <m/>
    <n v="2030479.2703125002"/>
    <n v="2030479.2703125002"/>
    <n v="4060958.5406250004"/>
    <n v="2030479.2703125002"/>
    <n v="2030479.2703125002"/>
    <n v="2030479.2703125002"/>
    <n v="2030479.2703125002"/>
    <n v="8121917.0812500007"/>
    <n v="2030479.2703125002"/>
    <n v="2030479.2703125002"/>
    <n v="2030479.2703125002"/>
    <n v="2030479.2703125002"/>
    <n v="8121917.0812500007"/>
    <n v="2030479.2703125002"/>
    <n v="2030479.2703125002"/>
    <n v="2030479.2703125002"/>
    <n v="2030479.2703125002"/>
    <n v="8121917.0812500007"/>
    <m/>
    <m/>
    <m/>
    <n v="64975336.650000006"/>
  </r>
  <r>
    <n v="625"/>
    <x v="0"/>
    <m/>
    <s v="이종희"/>
    <s v="구미"/>
    <s v="PKG"/>
    <s v="O"/>
    <m/>
    <s v="DDI"/>
    <x v="5"/>
    <s v="FT"/>
    <x v="37"/>
    <n v="1006702"/>
    <s v="MC"/>
    <s v="PAV-26(아텍)"/>
    <s v="LISA-60C"/>
    <x v="101"/>
    <s v="AVI"/>
    <s v="SW1105-26"/>
    <x v="0"/>
    <s v="가동"/>
    <s v="한국"/>
    <s v="A-TEK"/>
    <x v="2"/>
    <s v="3차"/>
    <s v="3차"/>
    <s v="일반장비(비통제)"/>
    <s v="PKG(COF)외관 검사 장비"/>
    <m/>
    <m/>
    <m/>
    <s v="EAR99"/>
    <s v="9031.49-0000"/>
    <m/>
    <m/>
    <m/>
    <d v="2021-06-21T00:00:00"/>
    <n v="4.3643835616438356"/>
    <n v="8"/>
    <m/>
    <s v="자사"/>
    <s v="설정"/>
    <m/>
    <n v="2600"/>
    <n v="1000"/>
    <n v="2100"/>
    <n v="305060000"/>
    <m/>
    <m/>
    <m/>
    <n v="158885414"/>
    <n v="3177708"/>
    <n v="136641462"/>
    <n v="12730033"/>
    <m/>
    <m/>
    <m/>
    <s v="미완료"/>
    <s v="D-VI"/>
    <s v="COF(Assy_FT)"/>
    <s v="COF(Assy_FT)"/>
    <s v="기계장치"/>
    <n v="143473535.09999999"/>
    <n v="4483547.9718749998"/>
    <n v="1494515.9906249999"/>
    <m/>
    <m/>
    <m/>
    <m/>
    <m/>
    <m/>
    <m/>
    <n v="4483547.9718749998"/>
    <n v="4483547.9718749998"/>
    <n v="8967095.9437499996"/>
    <n v="4483547.9718749998"/>
    <n v="4483547.9718749998"/>
    <n v="4483547.9718749998"/>
    <n v="4483547.9718749998"/>
    <n v="17934191.887499999"/>
    <n v="4483547.9718749998"/>
    <n v="4483547.9718749998"/>
    <n v="4483547.9718749998"/>
    <n v="4483547.9718749998"/>
    <n v="17934191.887499999"/>
    <n v="4483547.9718749998"/>
    <n v="4483547.9718749998"/>
    <n v="4483547.9718749998"/>
    <n v="4483547.9718749998"/>
    <n v="17934191.887499999"/>
    <m/>
    <m/>
    <m/>
    <n v="143473535.09999999"/>
  </r>
  <r>
    <n v="626"/>
    <x v="0"/>
    <m/>
    <s v="이종희"/>
    <s v="구미"/>
    <s v="PKG"/>
    <s v="O"/>
    <m/>
    <s v="DDI"/>
    <x v="5"/>
    <s v="FT"/>
    <x v="37"/>
    <n v="1006732"/>
    <s v="MC"/>
    <s v="PAV-27(아텍)"/>
    <s v="LISA-60C"/>
    <x v="101"/>
    <s v="AVI"/>
    <s v="SW1105-27"/>
    <x v="0"/>
    <s v="가동"/>
    <s v="한국"/>
    <s v="A-TEK"/>
    <x v="2"/>
    <s v="3차"/>
    <s v="3차"/>
    <s v="일반장비(비통제)"/>
    <s v="PKG(COF)외관 검사 장비"/>
    <m/>
    <m/>
    <m/>
    <s v="EAR99"/>
    <s v="9031.49-0000"/>
    <m/>
    <m/>
    <m/>
    <d v="2021-07-28T00:00:00"/>
    <n v="4.2630136986301368"/>
    <n v="8"/>
    <m/>
    <s v="자사"/>
    <s v="설정"/>
    <m/>
    <n v="2600"/>
    <n v="1000"/>
    <n v="2100"/>
    <n v="305060000"/>
    <m/>
    <m/>
    <m/>
    <n v="155707706"/>
    <n v="3177708"/>
    <n v="139819170"/>
    <n v="13065033"/>
    <m/>
    <m/>
    <m/>
    <s v="미완료"/>
    <s v="D-VI"/>
    <s v="COF(Assy_FT)"/>
    <s v="COF(Assy_FT)"/>
    <s v="기계장치"/>
    <n v="146810128.5"/>
    <n v="4587816.515625"/>
    <n v="1529272.171875"/>
    <m/>
    <m/>
    <m/>
    <m/>
    <m/>
    <m/>
    <m/>
    <n v="4587816.515625"/>
    <n v="4587816.515625"/>
    <n v="9175633.03125"/>
    <n v="4587816.515625"/>
    <n v="4587816.515625"/>
    <n v="4587816.515625"/>
    <n v="4587816.515625"/>
    <n v="18351266.0625"/>
    <n v="4587816.515625"/>
    <n v="4587816.515625"/>
    <n v="4587816.515625"/>
    <n v="4587816.515625"/>
    <n v="18351266.0625"/>
    <n v="4587816.515625"/>
    <n v="4587816.515625"/>
    <n v="4587816.515625"/>
    <n v="4587816.515625"/>
    <n v="18351266.0625"/>
    <m/>
    <m/>
    <m/>
    <n v="146810128.5"/>
  </r>
  <r>
    <n v="627"/>
    <x v="0"/>
    <m/>
    <s v="이종희"/>
    <s v="구미"/>
    <s v="PKG"/>
    <s v="O"/>
    <m/>
    <s v="DDI"/>
    <x v="5"/>
    <s v="FT"/>
    <x v="37"/>
    <n v="1006802"/>
    <s v="MC"/>
    <s v="PAV-28(아텍)"/>
    <s v="LISA-60C"/>
    <x v="101"/>
    <s v="AVI"/>
    <s v="SW1105-28"/>
    <x v="0"/>
    <s v="가동"/>
    <s v="한국"/>
    <s v="A-TEK"/>
    <x v="1"/>
    <s v="3차"/>
    <s v="3차"/>
    <s v="일반장비(비통제)"/>
    <s v="PKG(COF)외관 검사 장비"/>
    <m/>
    <m/>
    <m/>
    <s v="EAR99"/>
    <s v="9031.49-0000"/>
    <m/>
    <m/>
    <m/>
    <d v="2021-10-22T00:00:00"/>
    <n v="4.0273972602739727"/>
    <n v="8"/>
    <m/>
    <s v="자사"/>
    <s v="설정"/>
    <m/>
    <n v="2600"/>
    <n v="1000"/>
    <n v="2100"/>
    <n v="324060000"/>
    <m/>
    <m/>
    <m/>
    <n v="155278750"/>
    <n v="3375625"/>
    <n v="158654375"/>
    <n v="14946357"/>
    <m/>
    <m/>
    <m/>
    <s v="미완료"/>
    <s v="D-VI"/>
    <s v="COF(Assy_FT)"/>
    <s v="COF(Assy_FT)"/>
    <s v="기계장치"/>
    <n v="166587093.75"/>
    <n v="15880534.0593077"/>
    <n v="5293511.3531025667"/>
    <m/>
    <m/>
    <n v="15880534.0593077"/>
    <n v="15880534.0593077"/>
    <n v="31761068.1186154"/>
    <n v="15880534.0593077"/>
    <n v="15880534.0593077"/>
    <n v="15880534.0593077"/>
    <n v="15880534.0593077"/>
    <n v="63522136.2372308"/>
    <n v="15880534.0593077"/>
    <n v="15880534.0593077"/>
    <n v="15880534.0593077"/>
    <n v="15880534.0593077"/>
    <n v="63522136.2372308"/>
    <n v="15880534.0593077"/>
    <n v="15880534.0593077"/>
    <n v="15880534.0593077"/>
    <n v="15880534.0593077"/>
    <n v="63522136.2372308"/>
    <n v="15880534.0593077"/>
    <n v="15880534.0593077"/>
    <n v="15880534.0593077"/>
    <n v="15880534.0593077"/>
    <n v="63522136.2372308"/>
    <m/>
    <n v="1.6266190292754591E-2"/>
    <n v="341589996.1478464"/>
    <n v="508177089.8978464"/>
  </r>
  <r>
    <n v="628"/>
    <x v="0"/>
    <m/>
    <s v="이종희"/>
    <s v="구미"/>
    <s v="PKG"/>
    <s v="O"/>
    <m/>
    <s v="DDI"/>
    <x v="5"/>
    <s v="FT"/>
    <x v="38"/>
    <n v="1000385"/>
    <s v="MC"/>
    <s v="PFH-05 : HANDLER(T530)(TNP)"/>
    <s v="T530"/>
    <x v="102"/>
    <s v="Handler"/>
    <m/>
    <x v="175"/>
    <s v="가동"/>
    <s v="한국"/>
    <s v="TNP Solution"/>
    <x v="1"/>
    <s v="1차"/>
    <s v="1차"/>
    <s v="해당"/>
    <s v="PKG(COF)Tester"/>
    <s v="COF PKG Test"/>
    <m/>
    <m/>
    <s v="3B992"/>
    <s v="9030.82-0000"/>
    <s v="Enduser 중국"/>
    <m/>
    <m/>
    <d v="2005-07-29T00:00:00"/>
    <n v="20.271232876712329"/>
    <n v="8"/>
    <m/>
    <s v="자사"/>
    <s v="미설정"/>
    <n v="1.5"/>
    <n v="1630"/>
    <n v="1380"/>
    <n v="2080"/>
    <n v="138000000"/>
    <m/>
    <m/>
    <m/>
    <n v="137999000"/>
    <n v="0"/>
    <n v="1000"/>
    <n v="1000"/>
    <m/>
    <m/>
    <m/>
    <s v="완료"/>
    <s v="D-FT"/>
    <s v="COF(Assy_FT)"/>
    <s v="COF(Assy_FT)"/>
    <s v="기계장치"/>
    <n v="2760000"/>
    <n v="263107.26129520015"/>
    <n v="87702.420431733379"/>
    <m/>
    <m/>
    <n v="263107.26129520015"/>
    <n v="263107.26129520015"/>
    <n v="526214.5225904003"/>
    <n v="263107.26129520015"/>
    <n v="263107.26129520015"/>
    <n v="263107.26129520015"/>
    <n v="263107.26129520015"/>
    <n v="1052429.0451808006"/>
    <n v="263107.26129520015"/>
    <n v="263107.26129520015"/>
    <n v="263107.26129520015"/>
    <n v="263107.26129520015"/>
    <n v="1052429.0451808006"/>
    <n v="263107.26129520015"/>
    <n v="263107.26129520015"/>
    <n v="263107.26129520015"/>
    <n v="263107.26129520015"/>
    <n v="1052429.0451808006"/>
    <n v="263107.26129520015"/>
    <n v="263107.26129520015"/>
    <n v="263107.26129520015"/>
    <n v="263107.26129520015"/>
    <n v="1052429.0451808006"/>
    <m/>
    <n v="2.6949677911649548E-4"/>
    <n v="5659432.3614464048"/>
    <n v="8419432.3614464048"/>
  </r>
  <r>
    <n v="629"/>
    <x v="0"/>
    <m/>
    <s v="이종희"/>
    <s v="구미"/>
    <s v="PKG"/>
    <s v="O"/>
    <m/>
    <s v="DDI"/>
    <x v="5"/>
    <s v="FT"/>
    <x v="38"/>
    <n v="1006776"/>
    <s v="MC"/>
    <s v="PFH-100 : ND4 Handler(YM6401)(유어스)"/>
    <s v="YM6401"/>
    <x v="103"/>
    <s v="Handler"/>
    <m/>
    <x v="173"/>
    <s v="가동"/>
    <s v="한국"/>
    <s v="유어스"/>
    <x v="0"/>
    <s v="1차"/>
    <s v="1차"/>
    <s v="해당"/>
    <s v="PGK(COF) Test Handler(FT)"/>
    <m/>
    <m/>
    <m/>
    <s v="3A992"/>
    <s v="9030.82-0000"/>
    <s v="해당 가능성은 있으나 가능성 낮음"/>
    <m/>
    <m/>
    <d v="2021-09-27T00:00:00"/>
    <n v="4.095890410958904"/>
    <n v="8"/>
    <m/>
    <s v="자사"/>
    <s v="설정"/>
    <n v="1.5"/>
    <n v="1720"/>
    <n v="1550"/>
    <n v="2300"/>
    <n v="167832390"/>
    <m/>
    <m/>
    <m/>
    <n v="81960128"/>
    <n v="1748254"/>
    <n v="80627500"/>
    <n v="7576907"/>
    <m/>
    <m/>
    <m/>
    <s v="미완료"/>
    <s v="D-FT"/>
    <s v="COF(Assy_FT)"/>
    <s v="COF(Assy_FT)"/>
    <s v="기계장치"/>
    <n v="84658875"/>
    <n v="8070422.0092690904"/>
    <n v="2690140.6697563636"/>
    <m/>
    <m/>
    <m/>
    <m/>
    <m/>
    <m/>
    <m/>
    <n v="8070422.0092690904"/>
    <n v="8070422.0092690904"/>
    <n v="16140844.018538181"/>
    <n v="8070422.0092690904"/>
    <n v="8070422.0092690904"/>
    <n v="8070422.0092690904"/>
    <n v="8070422.0092690904"/>
    <n v="32281688.037076361"/>
    <n v="8070422.0092690904"/>
    <n v="8070422.0092690904"/>
    <n v="8070422.0092690904"/>
    <n v="8070422.0092690904"/>
    <n v="32281688.037076361"/>
    <n v="8070422.0092690904"/>
    <n v="8070422.0092690904"/>
    <n v="8070422.0092690904"/>
    <n v="8070422.0092690904"/>
    <n v="32281688.037076361"/>
    <m/>
    <n v="8.2664109188862328E-3"/>
    <n v="173594629.29661089"/>
    <n v="258253504.29661089"/>
  </r>
  <r>
    <n v="630"/>
    <x v="0"/>
    <m/>
    <s v="이종희"/>
    <s v="구미"/>
    <s v="PKG"/>
    <s v="O"/>
    <m/>
    <s v="DDI"/>
    <x v="5"/>
    <s v="FT"/>
    <x v="38"/>
    <n v="1006775"/>
    <s v="MC"/>
    <s v="PFH-101 : Handler(YM6401)(유어스)"/>
    <s v="YM6401"/>
    <x v="103"/>
    <s v="Handler"/>
    <m/>
    <x v="173"/>
    <s v="가동"/>
    <s v="한국"/>
    <s v="유어스"/>
    <x v="1"/>
    <s v="1차"/>
    <s v="1차"/>
    <s v="해당"/>
    <s v="PGK(COF) Test Handler(FT)"/>
    <m/>
    <m/>
    <m/>
    <s v="3A992"/>
    <s v="9030.82-0000"/>
    <s v="해당 가능성은 있으나 가능성 낮음"/>
    <m/>
    <m/>
    <d v="2021-09-27T00:00:00"/>
    <n v="4.095890410958904"/>
    <n v="8"/>
    <m/>
    <s v="자사"/>
    <s v="설정"/>
    <n v="1.5"/>
    <n v="1720"/>
    <n v="1550"/>
    <n v="2300"/>
    <n v="210982390"/>
    <m/>
    <m/>
    <m/>
    <n v="103293457"/>
    <n v="2197733"/>
    <n v="101095734"/>
    <n v="9499281"/>
    <m/>
    <m/>
    <m/>
    <s v="미완료"/>
    <s v="D-FT"/>
    <s v="COF(Assy_FT)"/>
    <s v="COF(Assy_FT)"/>
    <s v="기계장치"/>
    <n v="106150520.7"/>
    <n v="10119193.038563933"/>
    <n v="3373064.3461879776"/>
    <m/>
    <m/>
    <n v="10119193.038563933"/>
    <n v="10119193.038563933"/>
    <n v="20238386.077127866"/>
    <n v="10119193.038563933"/>
    <n v="10119193.038563933"/>
    <n v="10119193.038563933"/>
    <n v="10119193.038563933"/>
    <n v="40476772.154255733"/>
    <n v="10119193.038563933"/>
    <n v="10119193.038563933"/>
    <n v="10119193.038563933"/>
    <n v="10119193.038563933"/>
    <n v="40476772.154255733"/>
    <n v="10119193.038563933"/>
    <n v="10119193.038563933"/>
    <n v="10119193.038563933"/>
    <n v="10119193.038563933"/>
    <n v="40476772.154255733"/>
    <n v="10119193.038563933"/>
    <n v="10119193.038563933"/>
    <n v="10119193.038563933"/>
    <n v="10119193.038563933"/>
    <n v="40476772.154255733"/>
    <m/>
    <n v="1.0364936025430755E-2"/>
    <n v="217663656.53404585"/>
    <n v="323814177.23404586"/>
  </r>
  <r>
    <n v="631"/>
    <x v="0"/>
    <m/>
    <s v="이종희"/>
    <s v="구미"/>
    <s v="PKG"/>
    <s v="O"/>
    <m/>
    <s v="DDI"/>
    <x v="5"/>
    <s v="FT"/>
    <x v="38"/>
    <n v="1006583"/>
    <s v="MC"/>
    <s v="PFH-102 : Handler(YM6401)(유어스)"/>
    <s v="YM6401"/>
    <x v="103"/>
    <s v="Handler"/>
    <m/>
    <x v="173"/>
    <s v="가동"/>
    <s v="한국"/>
    <s v="유어스"/>
    <x v="0"/>
    <s v="1차"/>
    <s v="1차"/>
    <s v="해당"/>
    <s v="PGK(COF) Test Handler(FT)"/>
    <m/>
    <m/>
    <m/>
    <s v="3A992"/>
    <s v="9030.82-0000"/>
    <s v="해당 가능성은 있으나 가능성 낮음"/>
    <m/>
    <m/>
    <d v="2021-02-25T00:00:00"/>
    <n v="4.6821917808219178"/>
    <n v="8"/>
    <m/>
    <s v="자사"/>
    <s v="설정"/>
    <n v="1.5"/>
    <n v="1720"/>
    <n v="1550"/>
    <n v="2300"/>
    <n v="210000000"/>
    <m/>
    <m/>
    <m/>
    <n v="118125000"/>
    <n v="2187500"/>
    <n v="85312500"/>
    <n v="7840773"/>
    <m/>
    <m/>
    <m/>
    <s v="미완료"/>
    <s v="D-FT"/>
    <s v="COF(Assy_FT)"/>
    <s v="COF(Assy_FT)"/>
    <s v="기계장치"/>
    <n v="89578125"/>
    <n v="8539367.8046047464"/>
    <n v="2846455.9348682486"/>
    <m/>
    <m/>
    <m/>
    <m/>
    <m/>
    <m/>
    <m/>
    <n v="8539367.8046047464"/>
    <n v="8539367.8046047464"/>
    <n v="17078735.609209493"/>
    <n v="8539367.8046047464"/>
    <n v="8539367.8046047464"/>
    <n v="8539367.8046047464"/>
    <n v="8539367.8046047464"/>
    <n v="34157471.218418986"/>
    <n v="8539367.8046047464"/>
    <n v="8539367.8046047464"/>
    <n v="8539367.8046047464"/>
    <n v="8539367.8046047464"/>
    <n v="34157471.218418986"/>
    <n v="8539367.8046047464"/>
    <n v="8539367.8046047464"/>
    <n v="8539367.8046047464"/>
    <n v="8539367.8046047464"/>
    <n v="34157471.218418986"/>
    <m/>
    <n v="8.7467449879691378E-3"/>
    <n v="183681644.74735188"/>
    <n v="273259769.74735188"/>
  </r>
  <r>
    <n v="632"/>
    <x v="0"/>
    <m/>
    <s v="이종희"/>
    <s v="구미"/>
    <s v="PKG"/>
    <s v="O"/>
    <m/>
    <s v="DDI"/>
    <x v="5"/>
    <s v="FT"/>
    <x v="38"/>
    <n v="1006582"/>
    <s v="MC"/>
    <s v="PFH-103 : Handler(YM6401)(유어스)"/>
    <s v="YM6401"/>
    <x v="103"/>
    <s v="Handler"/>
    <m/>
    <x v="173"/>
    <s v="가동"/>
    <s v="한국"/>
    <s v="유어스"/>
    <x v="2"/>
    <s v="1차"/>
    <s v="1차"/>
    <s v="해당"/>
    <s v="PGK(COF) Test Handler(FT)"/>
    <m/>
    <m/>
    <m/>
    <s v="3A992"/>
    <s v="9030.82-0000"/>
    <s v="해당 가능성은 있으나 가능성 낮음"/>
    <m/>
    <m/>
    <d v="2021-02-25T00:00:00"/>
    <n v="4.6821917808219178"/>
    <n v="8"/>
    <m/>
    <s v="자사"/>
    <s v="설정"/>
    <n v="1.5"/>
    <n v="1720"/>
    <n v="1550"/>
    <n v="2300"/>
    <n v="210000000"/>
    <m/>
    <m/>
    <m/>
    <n v="118125000"/>
    <n v="2187500"/>
    <n v="85312500"/>
    <n v="7840773"/>
    <m/>
    <m/>
    <m/>
    <s v="미완료"/>
    <s v="D-FT"/>
    <s v="COF(Assy_FT)"/>
    <s v="COF(Assy_FT)"/>
    <s v="기계장치"/>
    <n v="89578125"/>
    <n v="2799316.40625"/>
    <n v="933105.46875"/>
    <m/>
    <m/>
    <m/>
    <m/>
    <m/>
    <m/>
    <m/>
    <n v="2799316.40625"/>
    <n v="2799316.40625"/>
    <n v="5598632.8125"/>
    <n v="2799316.40625"/>
    <n v="2799316.40625"/>
    <n v="2799316.40625"/>
    <n v="2799316.40625"/>
    <n v="11197265.625"/>
    <n v="2799316.40625"/>
    <n v="2799316.40625"/>
    <n v="2799316.40625"/>
    <n v="2799316.40625"/>
    <n v="11197265.625"/>
    <n v="2799316.40625"/>
    <n v="2799316.40625"/>
    <n v="2799316.40625"/>
    <n v="2799316.40625"/>
    <n v="11197265.625"/>
    <m/>
    <m/>
    <m/>
    <n v="89578125"/>
  </r>
  <r>
    <n v="633"/>
    <x v="0"/>
    <m/>
    <s v="이종희"/>
    <s v="구미"/>
    <s v="PKG"/>
    <s v="O"/>
    <m/>
    <s v="DDI"/>
    <x v="5"/>
    <s v="FT"/>
    <x v="38"/>
    <n v="1000314"/>
    <s v="MC"/>
    <s v="PFH-11 : ND3 Handler(YM630M)"/>
    <s v="YM630M"/>
    <x v="104"/>
    <s v="Handler"/>
    <n v="11"/>
    <x v="169"/>
    <s v="가동"/>
    <s v="한국"/>
    <s v="유어스"/>
    <x v="1"/>
    <s v="1차"/>
    <s v="1차"/>
    <s v="해당"/>
    <s v="PGK(COF) Test Handler(FT)"/>
    <m/>
    <m/>
    <m/>
    <s v="3A992"/>
    <s v="9030.82-0000"/>
    <s v="해당 가능성은 있으나 가능성 낮음"/>
    <m/>
    <m/>
    <d v="2005-06-08T00:00:00"/>
    <n v="20.410958904109588"/>
    <n v="8"/>
    <m/>
    <s v="자사"/>
    <s v="미설정"/>
    <n v="1.5"/>
    <n v="1760"/>
    <n v="1400"/>
    <n v="2100"/>
    <n v="171392723"/>
    <m/>
    <m/>
    <m/>
    <n v="171391723"/>
    <n v="0"/>
    <n v="1000"/>
    <n v="1000"/>
    <m/>
    <m/>
    <m/>
    <s v="완료"/>
    <s v="D-FT"/>
    <s v="COF(Assy_FT)"/>
    <s v="COF(Assy_FT)"/>
    <s v="기계장치"/>
    <n v="3427854.46"/>
    <n v="326772.97068447003"/>
    <n v="108924.32356149"/>
    <m/>
    <m/>
    <n v="326772.97068447003"/>
    <n v="326772.97068447003"/>
    <n v="653545.94136894005"/>
    <n v="326772.97068447003"/>
    <n v="326772.97068447003"/>
    <n v="326772.97068447003"/>
    <n v="326772.97068447003"/>
    <n v="1307091.8827378801"/>
    <n v="326772.97068447003"/>
    <n v="326772.97068447003"/>
    <n v="326772.97068447003"/>
    <n v="326772.97068447003"/>
    <n v="1307091.8827378801"/>
    <n v="326772.97068447003"/>
    <n v="326772.97068447003"/>
    <n v="326772.97068447003"/>
    <n v="326772.97068447003"/>
    <n v="1307091.8827378801"/>
    <n v="326772.97068447003"/>
    <n v="326772.97068447003"/>
    <n v="326772.97068447003"/>
    <n v="326772.97068447003"/>
    <n v="1307091.8827378801"/>
    <m/>
    <n v="3.3470860009062099E-4"/>
    <n v="7028880.6019030409"/>
    <n v="10456735.061903041"/>
  </r>
  <r>
    <n v="634"/>
    <x v="0"/>
    <m/>
    <s v="이종희"/>
    <s v="구미"/>
    <s v="PKG"/>
    <s v="O"/>
    <m/>
    <s v="DDI"/>
    <x v="5"/>
    <s v="FT"/>
    <x v="38"/>
    <n v="1000398"/>
    <s v="MC"/>
    <s v="PFH-21 : ND2 Handler(YM630)(유어스)"/>
    <s v="YM630"/>
    <x v="105"/>
    <s v="Handler"/>
    <n v="21"/>
    <x v="170"/>
    <s v="가동"/>
    <s v="일본"/>
    <s v="유어스"/>
    <x v="1"/>
    <s v="1차"/>
    <s v="1차"/>
    <s v="해당"/>
    <s v="PGK(COF) Test Handler(FT)"/>
    <m/>
    <m/>
    <m/>
    <s v="3A992"/>
    <s v="9030.82-0000"/>
    <s v="해당 가능성은 있으나 가능성 낮음"/>
    <m/>
    <m/>
    <d v="2005-09-09T00:00:00"/>
    <n v="20.156164383561645"/>
    <n v="8"/>
    <m/>
    <s v="자사"/>
    <s v="미설정"/>
    <n v="1.5"/>
    <n v="1630"/>
    <n v="1380"/>
    <n v="2080"/>
    <n v="200000000"/>
    <m/>
    <m/>
    <m/>
    <n v="199999000"/>
    <n v="333337"/>
    <n v="1000"/>
    <n v="1000"/>
    <m/>
    <m/>
    <m/>
    <s v="완료"/>
    <s v="D-FT"/>
    <s v="COF(Assy_FT)"/>
    <s v="COF(Assy_FT)"/>
    <s v="기계장치"/>
    <n v="4000000"/>
    <n v="381314.87144231901"/>
    <n v="127104.95714743967"/>
    <m/>
    <m/>
    <n v="381314.87144231901"/>
    <n v="381314.87144231901"/>
    <n v="762629.74288463802"/>
    <n v="381314.87144231901"/>
    <n v="381314.87144231901"/>
    <n v="381314.87144231901"/>
    <n v="381314.87144231901"/>
    <n v="1525259.485769276"/>
    <n v="381314.87144231901"/>
    <n v="381314.87144231901"/>
    <n v="381314.87144231901"/>
    <n v="381314.87144231901"/>
    <n v="1525259.485769276"/>
    <n v="381314.87144231901"/>
    <n v="381314.87144231901"/>
    <n v="381314.87144231901"/>
    <n v="381314.87144231901"/>
    <n v="1525259.485769276"/>
    <n v="381314.87144231901"/>
    <n v="381314.87144231901"/>
    <n v="381314.87144231901"/>
    <n v="381314.87144231901"/>
    <n v="1525259.485769276"/>
    <m/>
    <n v="3.9057504219781951E-4"/>
    <n v="8202075.8861542093"/>
    <n v="12202075.886154208"/>
  </r>
  <r>
    <n v="635"/>
    <x v="0"/>
    <m/>
    <s v="이종희"/>
    <s v="구미"/>
    <s v="PKG"/>
    <s v="O"/>
    <m/>
    <s v="DDI"/>
    <x v="5"/>
    <s v="FT"/>
    <x v="38"/>
    <n v="1001965"/>
    <s v="MC"/>
    <s v="PFH-24 : ND2 Handler(YM630)(유어스)"/>
    <s v="YM630"/>
    <x v="106"/>
    <s v="Handler"/>
    <n v="24"/>
    <x v="170"/>
    <s v="가동"/>
    <s v="한국"/>
    <s v="유어스"/>
    <x v="0"/>
    <s v="1차"/>
    <s v="1차"/>
    <s v="해당"/>
    <s v="PGK(COF) Test Handler(FT)"/>
    <m/>
    <m/>
    <m/>
    <s v="3A992"/>
    <s v="9030.82-0000"/>
    <s v="해당 가능성은 있으나 가능성 낮음"/>
    <m/>
    <m/>
    <d v="2010-03-17T00:00:00"/>
    <n v="15.635616438356164"/>
    <n v="8"/>
    <m/>
    <s v="자사"/>
    <s v="미설정"/>
    <n v="1.5"/>
    <n v="1630"/>
    <n v="1380"/>
    <n v="2080"/>
    <n v="209020000"/>
    <m/>
    <m/>
    <m/>
    <n v="209019000"/>
    <n v="0"/>
    <n v="1000"/>
    <n v="1000"/>
    <m/>
    <m/>
    <m/>
    <s v="완료"/>
    <s v="D-FT"/>
    <s v="COF(Assy_FT)"/>
    <s v="COF(Assy_FT)"/>
    <s v="기계장치"/>
    <n v="4180400"/>
    <n v="398512.17214436765"/>
    <n v="132837.39071478922"/>
    <m/>
    <m/>
    <m/>
    <m/>
    <m/>
    <m/>
    <m/>
    <n v="398512.17214436765"/>
    <n v="398512.17214436765"/>
    <n v="797024.3442887353"/>
    <n v="398512.17214436765"/>
    <n v="398512.17214436765"/>
    <n v="398512.17214436765"/>
    <n v="398512.17214436765"/>
    <n v="1594048.6885774706"/>
    <n v="398512.17214436765"/>
    <n v="398512.17214436765"/>
    <n v="398512.17214436765"/>
    <n v="398512.17214436765"/>
    <n v="1594048.6885774706"/>
    <n v="398512.17214436765"/>
    <n v="398512.17214436765"/>
    <n v="398512.17214436765"/>
    <n v="398512.17214436765"/>
    <n v="1594048.6885774706"/>
    <m/>
    <n v="4.0818997660094117E-4"/>
    <n v="8571989.5086197648"/>
    <n v="12752389.508619765"/>
  </r>
  <r>
    <n v="636"/>
    <x v="0"/>
    <m/>
    <s v="이종희"/>
    <s v="구미"/>
    <s v="PKG"/>
    <s v="O"/>
    <m/>
    <s v="DDI"/>
    <x v="5"/>
    <s v="FT"/>
    <x v="38"/>
    <n v="1002246"/>
    <s v="MC"/>
    <s v="PFH-27 : ND2 Handler(YM630)(유어스)"/>
    <s v="YM630"/>
    <x v="107"/>
    <s v="Handler"/>
    <n v="27"/>
    <x v="170"/>
    <s v="가동"/>
    <s v="한국"/>
    <s v="유어스"/>
    <x v="0"/>
    <s v="1차"/>
    <s v="1차"/>
    <s v="해당"/>
    <s v="PGK(COF) Test Handler(FT)"/>
    <m/>
    <m/>
    <m/>
    <s v="3A992"/>
    <s v="9030.82-0000"/>
    <s v="해당 가능성은 있으나 가능성 낮음"/>
    <m/>
    <m/>
    <d v="2010-06-30T00:00:00"/>
    <n v="15.347945205479451"/>
    <n v="8"/>
    <m/>
    <s v="자사"/>
    <s v="미설정"/>
    <n v="1.5"/>
    <n v="1630"/>
    <n v="1380"/>
    <n v="2080"/>
    <n v="174915000"/>
    <m/>
    <m/>
    <m/>
    <n v="174914000"/>
    <n v="0"/>
    <n v="1000"/>
    <n v="1000"/>
    <m/>
    <m/>
    <m/>
    <s v="완료"/>
    <s v="D-FT"/>
    <s v="COF(Assy_FT)"/>
    <s v="COF(Assy_FT)"/>
    <s v="기계장치"/>
    <n v="3498300"/>
    <n v="333488.45369166619"/>
    <n v="111162.81789722206"/>
    <m/>
    <m/>
    <m/>
    <m/>
    <m/>
    <m/>
    <m/>
    <n v="333488.45369166619"/>
    <n v="333488.45369166619"/>
    <n v="666976.90738333238"/>
    <n v="333488.45369166619"/>
    <n v="333488.45369166619"/>
    <n v="333488.45369166619"/>
    <n v="333488.45369166619"/>
    <n v="1333953.8147666648"/>
    <n v="333488.45369166619"/>
    <n v="333488.45369166619"/>
    <n v="333488.45369166619"/>
    <n v="333488.45369166619"/>
    <n v="1333953.8147666648"/>
    <n v="333488.45369166619"/>
    <n v="333488.45369166619"/>
    <n v="333488.45369166619"/>
    <n v="333488.45369166619"/>
    <n v="1333953.8147666648"/>
    <m/>
    <n v="3.4158716753015801E-4"/>
    <n v="7173330.5181333181"/>
    <n v="10671630.518133318"/>
  </r>
  <r>
    <n v="637"/>
    <x v="0"/>
    <m/>
    <s v="이종희"/>
    <s v="구미"/>
    <s v="PKG"/>
    <s v="O"/>
    <m/>
    <s v="DDI"/>
    <x v="5"/>
    <s v="FT"/>
    <x v="38"/>
    <n v="1000331"/>
    <s v="MC"/>
    <s v="PFH-28 : ND2 Handler(YM630M)"/>
    <s v="YM630M"/>
    <x v="104"/>
    <s v="Handler"/>
    <n v="28"/>
    <x v="170"/>
    <s v="가동"/>
    <s v="한국"/>
    <s v="유어스"/>
    <x v="0"/>
    <s v="1차"/>
    <s v="1차"/>
    <s v="해당"/>
    <s v="PGK(COF) Test Handler(FT)"/>
    <m/>
    <m/>
    <m/>
    <s v="3A992"/>
    <s v="9030.82-0000"/>
    <s v="해당 가능성은 있으나 가능성 낮음"/>
    <m/>
    <m/>
    <d v="2005-06-18T00:00:00"/>
    <n v="20.383561643835616"/>
    <n v="8"/>
    <m/>
    <s v="자사"/>
    <s v="미설정"/>
    <n v="1.5"/>
    <n v="1760"/>
    <n v="1400"/>
    <n v="2100"/>
    <n v="152685288"/>
    <m/>
    <m/>
    <m/>
    <n v="152684288"/>
    <n v="0"/>
    <n v="1000"/>
    <n v="1000"/>
    <m/>
    <m/>
    <m/>
    <s v="완료"/>
    <s v="D-FT"/>
    <s v="COF(Assy_FT)"/>
    <s v="COF(Assy_FT)"/>
    <s v="기계장치"/>
    <n v="3053705.7600000002"/>
    <n v="291105.85482426733"/>
    <n v="97035.284941422447"/>
    <m/>
    <m/>
    <m/>
    <m/>
    <m/>
    <m/>
    <m/>
    <n v="291105.85482426733"/>
    <n v="291105.85482426733"/>
    <n v="582211.70964853466"/>
    <n v="291105.85482426733"/>
    <n v="291105.85482426733"/>
    <n v="291105.85482426733"/>
    <n v="291105.85482426733"/>
    <n v="1164423.4192970693"/>
    <n v="291105.85482426733"/>
    <n v="291105.85482426733"/>
    <n v="291105.85482426733"/>
    <n v="291105.85482426733"/>
    <n v="1164423.4192970693"/>
    <n v="291105.85482426733"/>
    <n v="291105.85482426733"/>
    <n v="291105.85482426733"/>
    <n v="291105.85482426733"/>
    <n v="1164423.4192970693"/>
    <m/>
    <n v="2.9817531401793115E-4"/>
    <n v="6261681.5943765538"/>
    <n v="9315387.3543765545"/>
  </r>
  <r>
    <n v="638"/>
    <x v="0"/>
    <m/>
    <s v="이종희"/>
    <s v="구미"/>
    <s v="PKG"/>
    <s v="O"/>
    <m/>
    <s v="DDI"/>
    <x v="5"/>
    <s v="FT"/>
    <x v="38"/>
    <n v="1001456"/>
    <s v="MC"/>
    <s v="PFH-29 : YM630_TNP"/>
    <s v="YM630"/>
    <x v="105"/>
    <s v="Handler"/>
    <n v="29"/>
    <x v="169"/>
    <s v="가동"/>
    <s v="한국"/>
    <s v="유어스"/>
    <x v="1"/>
    <s v="1차"/>
    <s v="1차"/>
    <s v="해당"/>
    <s v="PGK(COF) Test Handler(FT)"/>
    <m/>
    <m/>
    <m/>
    <s v="3A992"/>
    <s v="9030.82-0000"/>
    <s v="해당 가능성은 있으나 가능성 낮음"/>
    <m/>
    <m/>
    <d v="2009-07-02T00:00:00"/>
    <n v="16.342465753424658"/>
    <n v="8"/>
    <m/>
    <s v="자사"/>
    <s v="미설정"/>
    <n v="1.5"/>
    <n v="1630"/>
    <n v="1380"/>
    <n v="2080"/>
    <n v="173515000"/>
    <m/>
    <m/>
    <m/>
    <n v="173514000"/>
    <n v="0"/>
    <n v="1000"/>
    <n v="1000"/>
    <m/>
    <m/>
    <m/>
    <s v="완료"/>
    <s v="D-FT"/>
    <s v="COF(Assy_FT)"/>
    <s v="COF(Assy_FT)"/>
    <s v="기계장치"/>
    <n v="3470300"/>
    <n v="330819.24959157"/>
    <n v="110273.08319719"/>
    <m/>
    <m/>
    <n v="330819.24959157"/>
    <n v="330819.24959157"/>
    <n v="661638.49918314"/>
    <n v="330819.24959157"/>
    <n v="330819.24959157"/>
    <n v="330819.24959157"/>
    <n v="330819.24959157"/>
    <n v="1323276.99836628"/>
    <n v="330819.24959157"/>
    <n v="330819.24959157"/>
    <n v="330819.24959157"/>
    <n v="330819.24959157"/>
    <n v="1323276.99836628"/>
    <n v="330819.24959157"/>
    <n v="330819.24959157"/>
    <n v="330819.24959157"/>
    <n v="330819.24959157"/>
    <n v="1323276.99836628"/>
    <n v="330819.24959157"/>
    <n v="330819.24959157"/>
    <n v="330819.24959157"/>
    <n v="330819.24959157"/>
    <n v="1323276.99836628"/>
    <m/>
    <n v="3.3885314223477329E-4"/>
    <n v="7115915.986930239"/>
    <n v="10586215.98693024"/>
  </r>
  <r>
    <n v="639"/>
    <x v="0"/>
    <m/>
    <s v="이종희"/>
    <s v="구미"/>
    <s v="PKG"/>
    <s v="O"/>
    <m/>
    <s v="DDI"/>
    <x v="5"/>
    <s v="FT"/>
    <x v="38"/>
    <n v="1000986"/>
    <s v="MC"/>
    <s v="PFH-30 : HANDLER(YM630)(YOKOGAWA)"/>
    <s v="YM630"/>
    <x v="105"/>
    <s v="Handler"/>
    <n v="30"/>
    <x v="0"/>
    <s v="가동"/>
    <s v="한국"/>
    <s v="유어스"/>
    <x v="0"/>
    <s v="1차"/>
    <s v="1차"/>
    <s v="해당"/>
    <s v="PGK(COF) Test Handler(FT)"/>
    <m/>
    <m/>
    <m/>
    <s v="3A992"/>
    <s v="9030.82-0000"/>
    <s v="해당 가능성은 있으나 가능성 낮음"/>
    <m/>
    <m/>
    <d v="2007-09-13T00:00:00"/>
    <n v="18.145205479452056"/>
    <n v="8"/>
    <m/>
    <s v="자사"/>
    <s v="미설정"/>
    <n v="1.5"/>
    <n v="1630"/>
    <n v="1380"/>
    <n v="2080"/>
    <n v="127124439"/>
    <m/>
    <m/>
    <m/>
    <n v="127123439"/>
    <n v="0"/>
    <n v="1000"/>
    <n v="1000"/>
    <m/>
    <m/>
    <m/>
    <s v="완료"/>
    <s v="D-FT"/>
    <s v="COF(Assy_FT)"/>
    <s v="COF(Assy_FT)"/>
    <s v="기계장치"/>
    <n v="2542488.7800000003"/>
    <n v="242372.19557230966"/>
    <n v="80790.731857436549"/>
    <m/>
    <m/>
    <m/>
    <m/>
    <m/>
    <m/>
    <m/>
    <n v="242372.19557230966"/>
    <n v="242372.19557230966"/>
    <n v="484744.39114461932"/>
    <n v="242372.19557230966"/>
    <n v="242372.19557230966"/>
    <n v="242372.19557230966"/>
    <n v="242372.19557230966"/>
    <n v="969488.78228923865"/>
    <n v="242372.19557230966"/>
    <n v="242372.19557230966"/>
    <n v="242372.19557230966"/>
    <n v="242372.19557230966"/>
    <n v="969488.78228923865"/>
    <n v="242372.19557230966"/>
    <n v="242372.19557230966"/>
    <n v="242372.19557230966"/>
    <n v="242372.19557230966"/>
    <n v="969488.78228923865"/>
    <m/>
    <n v="2.4825816563399568E-4"/>
    <n v="5213421.4783139089"/>
    <n v="7755910.2583139092"/>
  </r>
  <r>
    <n v="640"/>
    <x v="0"/>
    <m/>
    <s v="이종희"/>
    <s v="구미"/>
    <s v="PKG"/>
    <s v="O"/>
    <m/>
    <s v="DDI"/>
    <x v="5"/>
    <s v="FT"/>
    <x v="38"/>
    <n v="1000564"/>
    <s v="MC"/>
    <s v="PFH-33 : AH9610_YOKOGAWA"/>
    <s v="AH9610"/>
    <x v="98"/>
    <s v="Handler"/>
    <m/>
    <x v="0"/>
    <s v="가동"/>
    <s v="일본"/>
    <s v="YOKOGAWA"/>
    <x v="0"/>
    <s v="1차"/>
    <s v="1차"/>
    <s v="해당"/>
    <s v="PGK(COF) Test Handler(FT)"/>
    <m/>
    <m/>
    <m/>
    <s v="3A992"/>
    <s v="9030.82-0000"/>
    <s v="해당 가능성은 있으나 가능성 낮음"/>
    <m/>
    <m/>
    <d v="2006-04-30T00:00:00"/>
    <n v="19.517808219178082"/>
    <n v="8"/>
    <m/>
    <s v="자사"/>
    <s v="미설정"/>
    <n v="1.5"/>
    <n v="1630"/>
    <n v="1380"/>
    <n v="2080"/>
    <n v="128705833"/>
    <m/>
    <m/>
    <m/>
    <n v="128704833"/>
    <n v="0"/>
    <n v="1000"/>
    <n v="1000"/>
    <m/>
    <m/>
    <m/>
    <s v="완료"/>
    <s v="D-FT"/>
    <s v="COF(Assy_FT)"/>
    <s v="COF(Assy_FT)"/>
    <s v="기계장치"/>
    <n v="2574116.66"/>
    <n v="245387.24082135796"/>
    <n v="81795.746940452649"/>
    <m/>
    <m/>
    <m/>
    <m/>
    <m/>
    <m/>
    <m/>
    <n v="245387.24082135793"/>
    <n v="245387.24082135793"/>
    <n v="490774.48164271587"/>
    <n v="245387.24082135793"/>
    <n v="245387.24082135793"/>
    <n v="245387.24082135793"/>
    <n v="245387.24082135793"/>
    <n v="981548.96328543173"/>
    <n v="245387.24082135793"/>
    <n v="245387.24082135793"/>
    <n v="245387.24082135793"/>
    <n v="245387.24082135793"/>
    <n v="981548.96328543173"/>
    <n v="245387.24082135793"/>
    <n v="245387.24082135793"/>
    <n v="245387.24082135793"/>
    <n v="245387.24082135793"/>
    <n v="981548.96328543173"/>
    <m/>
    <n v="2.513464307754026E-4"/>
    <n v="5278275.0462834546"/>
    <n v="7852391.7062834548"/>
  </r>
  <r>
    <n v="641"/>
    <x v="0"/>
    <m/>
    <s v="이종희"/>
    <s v="구미"/>
    <s v="PKG"/>
    <s v="O"/>
    <m/>
    <s v="DDI"/>
    <x v="5"/>
    <s v="FT"/>
    <x v="38"/>
    <n v="1001967"/>
    <s v="MC"/>
    <s v="PFH-34 : HS800S_사람과기술"/>
    <s v="HS800S"/>
    <x v="108"/>
    <s v="Handler"/>
    <m/>
    <x v="169"/>
    <s v="가동"/>
    <s v="일본"/>
    <s v="PNT Solution"/>
    <x v="1"/>
    <s v="1차"/>
    <s v="1차"/>
    <s v="해당"/>
    <s v="PGK(COF) Test Handler(FT)"/>
    <m/>
    <m/>
    <m/>
    <s v="3A992"/>
    <s v="9030.82-0000"/>
    <s v="해당 가능성은 있으나 가능성 낮음"/>
    <m/>
    <m/>
    <d v="2010-03-17T00:00:00"/>
    <n v="15.635616438356164"/>
    <n v="8"/>
    <m/>
    <s v="자사"/>
    <s v="미설정"/>
    <n v="1.5"/>
    <n v="1760"/>
    <n v="1400"/>
    <n v="2100"/>
    <n v="174980000"/>
    <m/>
    <m/>
    <m/>
    <n v="174979000"/>
    <n v="0"/>
    <n v="1000"/>
    <n v="1000"/>
    <m/>
    <m/>
    <m/>
    <s v="완료"/>
    <s v="D-FT"/>
    <s v="COF(Assy_FT)"/>
    <s v="COF(Assy_FT)"/>
    <s v="기계장치"/>
    <n v="3499600"/>
    <n v="333612.38102488499"/>
    <n v="111204.12700829499"/>
    <m/>
    <m/>
    <n v="333612.38102488499"/>
    <n v="333612.38102488499"/>
    <n v="667224.76204976998"/>
    <n v="333612.38102488499"/>
    <n v="333612.38102488499"/>
    <n v="333612.38102488499"/>
    <n v="333612.38102488499"/>
    <n v="1334449.52409954"/>
    <n v="333612.38102488499"/>
    <n v="333612.38102488499"/>
    <n v="333612.38102488499"/>
    <n v="333612.38102488499"/>
    <n v="1334449.52409954"/>
    <n v="333612.38102488499"/>
    <n v="333612.38102488499"/>
    <n v="333612.38102488499"/>
    <n v="333612.38102488499"/>
    <n v="1334449.52409954"/>
    <n v="333612.38102488499"/>
    <n v="333612.38102488499"/>
    <n v="333612.38102488499"/>
    <n v="333612.38102488499"/>
    <n v="1334449.52409954"/>
    <m/>
    <n v="3.4171410441887233E-4"/>
    <n v="7175996.1927963188"/>
    <n v="10675596.19279632"/>
  </r>
  <r>
    <n v="642"/>
    <x v="0"/>
    <m/>
    <s v="이종희"/>
    <s v="구미"/>
    <s v="PKG"/>
    <s v="O"/>
    <m/>
    <s v="DDI"/>
    <x v="5"/>
    <s v="FT"/>
    <x v="38"/>
    <n v="1001952"/>
    <s v="MC"/>
    <s v="PFH-35 : YM630_사람과기술"/>
    <s v="YM630"/>
    <x v="105"/>
    <s v="Handler"/>
    <n v="35"/>
    <x v="169"/>
    <s v="가동"/>
    <s v="한국"/>
    <s v="유어스"/>
    <x v="1"/>
    <s v="1차"/>
    <s v="1차"/>
    <s v="해당"/>
    <s v="PGK(COF) Test Handler(FT)"/>
    <m/>
    <m/>
    <m/>
    <s v="3A992"/>
    <s v="9030.82-0000"/>
    <s v="해당 가능성은 있으나 가능성 낮음"/>
    <m/>
    <m/>
    <d v="2010-03-17T00:00:00"/>
    <n v="15.635616438356164"/>
    <n v="8"/>
    <m/>
    <s v="자사"/>
    <s v="미설정"/>
    <n v="1.5"/>
    <n v="1630"/>
    <n v="1380"/>
    <n v="2080"/>
    <n v="199110000"/>
    <m/>
    <m/>
    <m/>
    <n v="199109000"/>
    <n v="0"/>
    <n v="1000"/>
    <n v="1000"/>
    <m/>
    <m/>
    <m/>
    <s v="완료"/>
    <s v="D-FT"/>
    <s v="COF(Assy_FT)"/>
    <s v="COF(Assy_FT)"/>
    <s v="기계장치"/>
    <n v="3982200"/>
    <n v="379618.02026440075"/>
    <n v="126539.34008813358"/>
    <m/>
    <m/>
    <n v="379618.02026440075"/>
    <n v="379618.02026440075"/>
    <n v="759236.0405288015"/>
    <n v="379618.02026440075"/>
    <n v="379618.02026440075"/>
    <n v="379618.02026440075"/>
    <n v="379618.02026440075"/>
    <n v="1518472.081057603"/>
    <n v="379618.02026440075"/>
    <n v="379618.02026440075"/>
    <n v="379618.02026440075"/>
    <n v="379618.02026440075"/>
    <n v="1518472.081057603"/>
    <n v="379618.02026440075"/>
    <n v="379618.02026440075"/>
    <n v="379618.02026440075"/>
    <n v="379618.02026440075"/>
    <n v="1518472.081057603"/>
    <n v="379618.02026440075"/>
    <n v="379618.02026440075"/>
    <n v="379618.02026440075"/>
    <n v="379618.02026440075"/>
    <n v="1518472.081057603"/>
    <m/>
    <n v="3.8883698326003924E-4"/>
    <n v="8165576.648460824"/>
    <n v="12147776.648460824"/>
  </r>
  <r>
    <n v="643"/>
    <x v="0"/>
    <m/>
    <s v="이종희"/>
    <s v="구미"/>
    <s v="PKG"/>
    <s v="O"/>
    <m/>
    <s v="DDI"/>
    <x v="5"/>
    <s v="FT"/>
    <x v="38"/>
    <n v="1000569"/>
    <s v="MC"/>
    <s v="PFH-36 : YM630_TNP"/>
    <s v="YM630"/>
    <x v="105"/>
    <s v="Handler"/>
    <n v="36"/>
    <x v="169"/>
    <s v="가동"/>
    <s v="한국"/>
    <s v="유어스"/>
    <x v="1"/>
    <s v="1차"/>
    <s v="1차"/>
    <s v="해당"/>
    <s v="PGK(COF) Test Handler(FT)"/>
    <m/>
    <m/>
    <m/>
    <s v="3A992"/>
    <s v="9030.82-0000"/>
    <s v="해당 가능성은 있으나 가능성 낮음"/>
    <m/>
    <m/>
    <d v="2006-04-30T00:00:00"/>
    <n v="19.517808219178082"/>
    <n v="8"/>
    <m/>
    <s v="자사"/>
    <s v="미설정"/>
    <n v="1.5"/>
    <n v="1630"/>
    <n v="1380"/>
    <n v="2080"/>
    <n v="128705834"/>
    <m/>
    <m/>
    <m/>
    <n v="128704834"/>
    <n v="0"/>
    <n v="1000"/>
    <n v="1000"/>
    <m/>
    <m/>
    <m/>
    <s v="완료"/>
    <s v="D-FT"/>
    <s v="COF(Assy_FT)"/>
    <s v="COF(Assy_FT)"/>
    <s v="기계장치"/>
    <n v="2574116.6800000002"/>
    <n v="245387.24272793229"/>
    <n v="81795.747575977424"/>
    <m/>
    <m/>
    <n v="245387.24272793229"/>
    <n v="245387.24272793229"/>
    <n v="490774.48545586457"/>
    <n v="245387.24272793229"/>
    <n v="245387.24272793229"/>
    <n v="245387.24272793229"/>
    <n v="245387.24272793229"/>
    <n v="981548.97091172915"/>
    <n v="245387.24272793229"/>
    <n v="245387.24272793229"/>
    <n v="245387.24272793229"/>
    <n v="245387.24272793229"/>
    <n v="981548.97091172915"/>
    <n v="245387.24272793229"/>
    <n v="245387.24272793229"/>
    <n v="245387.24272793229"/>
    <n v="245387.24272793229"/>
    <n v="981548.97091172915"/>
    <n v="245387.24272793229"/>
    <n v="245387.24272793229"/>
    <n v="245387.24272793229"/>
    <n v="245387.24272793229"/>
    <n v="981548.97091172915"/>
    <m/>
    <n v="2.513464327282778E-4"/>
    <n v="5278275.0872938335"/>
    <n v="7852391.7672938332"/>
  </r>
  <r>
    <n v="644"/>
    <x v="0"/>
    <m/>
    <s v="이종희"/>
    <s v="구미"/>
    <s v="PKG"/>
    <s v="O"/>
    <m/>
    <s v="DDI"/>
    <x v="5"/>
    <s v="FT"/>
    <x v="38"/>
    <n v="1000799"/>
    <s v="MC"/>
    <s v="PFH-37 : YM630_TNP"/>
    <s v="YM630"/>
    <x v="105"/>
    <s v="Handler"/>
    <n v="37"/>
    <x v="169"/>
    <s v="가동"/>
    <s v="한국"/>
    <s v="유어스"/>
    <x v="1"/>
    <s v="2차"/>
    <s v="2차"/>
    <s v="해당"/>
    <s v="PGK(COF) Test Handler(FT)"/>
    <m/>
    <m/>
    <m/>
    <s v="3A992"/>
    <s v="9030.82-0000"/>
    <s v="해당 가능성은 있으나 가능성 낮음"/>
    <m/>
    <m/>
    <d v="2006-09-30T00:00:00"/>
    <n v="19.098630136986301"/>
    <n v="8"/>
    <m/>
    <s v="자사"/>
    <s v="미설정"/>
    <n v="1.5"/>
    <n v="1630"/>
    <n v="1380"/>
    <n v="2080"/>
    <n v="147755834"/>
    <m/>
    <m/>
    <m/>
    <n v="147754834"/>
    <n v="0"/>
    <n v="1000"/>
    <n v="1000"/>
    <m/>
    <m/>
    <m/>
    <s v="완료"/>
    <s v="D-FT"/>
    <s v="COF(Assy_FT)"/>
    <s v="COF(Assy_FT)"/>
    <s v="기계장치"/>
    <n v="2955116.68"/>
    <n v="281707.48423281318"/>
    <n v="93902.494744271055"/>
    <m/>
    <m/>
    <n v="281707.48423281318"/>
    <n v="281707.48423281318"/>
    <n v="563414.96846562636"/>
    <n v="281707.48423281318"/>
    <n v="281707.48423281318"/>
    <n v="281707.48423281318"/>
    <n v="281707.48423281318"/>
    <n v="1126829.9369312527"/>
    <n v="281707.48423281318"/>
    <n v="281707.48423281318"/>
    <n v="281707.48423281318"/>
    <n v="281707.48423281318"/>
    <n v="1126829.9369312527"/>
    <n v="281707.48423281318"/>
    <n v="281707.48423281318"/>
    <n v="281707.48423281318"/>
    <n v="281707.48423281318"/>
    <n v="1126829.9369312527"/>
    <n v="281707.48423281318"/>
    <n v="281707.48423281318"/>
    <n v="281707.48423281318"/>
    <n v="281707.48423281318"/>
    <n v="1126829.9369312527"/>
    <m/>
    <n v="2.8854870549762008E-4"/>
    <n v="6059522.815450022"/>
    <n v="9014639.4954500217"/>
  </r>
  <r>
    <n v="645"/>
    <x v="0"/>
    <m/>
    <s v="이종희"/>
    <s v="구미"/>
    <s v="PKG"/>
    <s v="O"/>
    <m/>
    <s v="DDI"/>
    <x v="5"/>
    <s v="FT"/>
    <x v="38"/>
    <n v="1000566"/>
    <s v="MC"/>
    <s v="PFH-38 : YM630_TNP"/>
    <s v="YM630"/>
    <x v="105"/>
    <s v="Handler"/>
    <n v="38"/>
    <x v="169"/>
    <s v="가동"/>
    <s v="한국"/>
    <s v="유어스"/>
    <x v="1"/>
    <s v="2차"/>
    <s v="2차"/>
    <s v="해당"/>
    <s v="PGK(COF) Test Handler(FT)"/>
    <m/>
    <m/>
    <m/>
    <s v="3A992"/>
    <s v="9030.82-0000"/>
    <s v="해당 가능성은 있으나 가능성 낮음"/>
    <m/>
    <m/>
    <d v="2006-04-30T00:00:00"/>
    <n v="19.517808219178082"/>
    <n v="8"/>
    <m/>
    <s v="자사"/>
    <s v="미설정"/>
    <n v="1.5"/>
    <n v="1630"/>
    <n v="1380"/>
    <n v="2080"/>
    <n v="128705833"/>
    <m/>
    <m/>
    <m/>
    <n v="128704833"/>
    <n v="0"/>
    <n v="1000"/>
    <n v="1000"/>
    <m/>
    <m/>
    <m/>
    <s v="완료"/>
    <s v="D-FT"/>
    <s v="COF(Assy_FT)"/>
    <s v="COF(Assy_FT)"/>
    <s v="기계장치"/>
    <n v="2574116.66"/>
    <n v="245387.24082135796"/>
    <n v="81795.746940452649"/>
    <m/>
    <m/>
    <n v="245387.24082135793"/>
    <n v="245387.24082135793"/>
    <n v="490774.48164271587"/>
    <n v="245387.24082135793"/>
    <n v="245387.24082135793"/>
    <n v="245387.24082135793"/>
    <n v="245387.24082135793"/>
    <n v="981548.96328543173"/>
    <n v="245387.24082135793"/>
    <n v="245387.24082135793"/>
    <n v="245387.24082135793"/>
    <n v="245387.24082135793"/>
    <n v="981548.96328543173"/>
    <n v="245387.24082135793"/>
    <n v="245387.24082135793"/>
    <n v="245387.24082135793"/>
    <n v="245387.24082135793"/>
    <n v="981548.96328543173"/>
    <n v="245387.24082135793"/>
    <n v="245387.24082135793"/>
    <n v="245387.24082135793"/>
    <n v="245387.24082135793"/>
    <n v="981548.96328543173"/>
    <m/>
    <n v="2.513464307754026E-4"/>
    <n v="5278275.0462834546"/>
    <n v="7852391.7062834548"/>
  </r>
  <r>
    <n v="646"/>
    <x v="0"/>
    <m/>
    <s v="이종희"/>
    <s v="구미"/>
    <s v="PKG"/>
    <s v="O"/>
    <m/>
    <s v="DDI"/>
    <x v="5"/>
    <s v="FT"/>
    <x v="38"/>
    <n v="1000768"/>
    <s v="MC"/>
    <s v="PFH-39 : YM630_TNP"/>
    <s v="YM630"/>
    <x v="105"/>
    <s v="Handler"/>
    <n v="39"/>
    <x v="169"/>
    <s v="가동"/>
    <s v="한국"/>
    <s v="유어스"/>
    <x v="1"/>
    <s v="2차"/>
    <s v="2차"/>
    <s v="해당"/>
    <s v="PGK(COF) Test Handler(FT)"/>
    <m/>
    <m/>
    <m/>
    <s v="3A992"/>
    <s v="9030.82-0000"/>
    <s v="해당 가능성은 있으나 가능성 낮음"/>
    <m/>
    <m/>
    <d v="2006-08-31T00:00:00"/>
    <n v="19.18082191780822"/>
    <n v="8"/>
    <m/>
    <s v="자사"/>
    <s v="미설정"/>
    <n v="1.5"/>
    <n v="1630"/>
    <n v="1380"/>
    <n v="2080"/>
    <n v="115000000"/>
    <m/>
    <m/>
    <m/>
    <n v="114999000"/>
    <n v="0"/>
    <n v="1000"/>
    <n v="1000"/>
    <m/>
    <m/>
    <m/>
    <s v="완료"/>
    <s v="D-FT"/>
    <s v="COF(Assy_FT)"/>
    <s v="COF(Assy_FT)"/>
    <s v="기계장치"/>
    <n v="2300000"/>
    <n v="219256.05107933347"/>
    <n v="73085.350359777818"/>
    <m/>
    <m/>
    <n v="219256.05107933347"/>
    <n v="219256.05107933347"/>
    <n v="438512.10215866694"/>
    <n v="219256.05107933347"/>
    <n v="219256.05107933347"/>
    <n v="219256.05107933347"/>
    <n v="219256.05107933347"/>
    <n v="877024.20431733388"/>
    <n v="219256.05107933347"/>
    <n v="219256.05107933347"/>
    <n v="219256.05107933347"/>
    <n v="219256.05107933347"/>
    <n v="877024.20431733388"/>
    <n v="219256.05107933347"/>
    <n v="219256.05107933347"/>
    <n v="219256.05107933347"/>
    <n v="219256.05107933347"/>
    <n v="877024.20431733388"/>
    <n v="219256.05107933347"/>
    <n v="219256.05107933347"/>
    <n v="219256.05107933347"/>
    <n v="219256.05107933347"/>
    <n v="877024.20431733388"/>
    <m/>
    <n v="2.2458064926374622E-4"/>
    <n v="4716193.634538671"/>
    <n v="7016193.634538671"/>
  </r>
  <r>
    <n v="647"/>
    <x v="0"/>
    <m/>
    <s v="이종희"/>
    <s v="구미"/>
    <s v="PKG"/>
    <s v="O"/>
    <m/>
    <s v="DDI"/>
    <x v="5"/>
    <s v="FT"/>
    <x v="38"/>
    <n v="1000568"/>
    <s v="MC"/>
    <s v="PFH-40 : YM630_TNP"/>
    <s v="YM630"/>
    <x v="105"/>
    <s v="Handler"/>
    <n v="40"/>
    <x v="169"/>
    <s v="가동"/>
    <s v="한국"/>
    <s v="유어스"/>
    <x v="1"/>
    <s v="2차"/>
    <s v="2차"/>
    <s v="해당"/>
    <s v="PGK(COF) Test Handler(FT)"/>
    <m/>
    <m/>
    <m/>
    <s v="3A992"/>
    <s v="9030.82-0000"/>
    <s v="해당 가능성은 있으나 가능성 낮음"/>
    <m/>
    <m/>
    <d v="2006-04-30T00:00:00"/>
    <n v="19.517808219178082"/>
    <n v="8"/>
    <m/>
    <s v="자사"/>
    <s v="미설정"/>
    <n v="1.5"/>
    <n v="1630"/>
    <n v="1380"/>
    <n v="2080"/>
    <n v="128705834"/>
    <m/>
    <m/>
    <m/>
    <n v="128704834"/>
    <n v="0"/>
    <n v="1000"/>
    <n v="1000"/>
    <m/>
    <m/>
    <m/>
    <s v="완료"/>
    <s v="D-FT"/>
    <s v="COF(Assy_FT)"/>
    <s v="COF(Assy_FT)"/>
    <s v="기계장치"/>
    <n v="2574116.6800000002"/>
    <n v="245387.24272793229"/>
    <n v="81795.747575977424"/>
    <m/>
    <m/>
    <n v="245387.24272793229"/>
    <n v="245387.24272793229"/>
    <n v="490774.48545586457"/>
    <n v="245387.24272793229"/>
    <n v="245387.24272793229"/>
    <n v="245387.24272793229"/>
    <n v="245387.24272793229"/>
    <n v="981548.97091172915"/>
    <n v="245387.24272793229"/>
    <n v="245387.24272793229"/>
    <n v="245387.24272793229"/>
    <n v="245387.24272793229"/>
    <n v="981548.97091172915"/>
    <n v="245387.24272793229"/>
    <n v="245387.24272793229"/>
    <n v="245387.24272793229"/>
    <n v="245387.24272793229"/>
    <n v="981548.97091172915"/>
    <n v="245387.24272793229"/>
    <n v="245387.24272793229"/>
    <n v="245387.24272793229"/>
    <n v="245387.24272793229"/>
    <n v="981548.97091172915"/>
    <m/>
    <n v="2.513464327282778E-4"/>
    <n v="5278275.0872938335"/>
    <n v="7852391.7672938332"/>
  </r>
  <r>
    <n v="648"/>
    <x v="0"/>
    <m/>
    <s v="이종희"/>
    <s v="구미"/>
    <s v="PKG"/>
    <s v="O"/>
    <m/>
    <s v="DDI"/>
    <x v="5"/>
    <s v="FT"/>
    <x v="38"/>
    <n v="1002257"/>
    <s v="MC"/>
    <s v="PFH-41 : HS800S_사람과기술"/>
    <s v="HS800S"/>
    <x v="108"/>
    <s v="Handler"/>
    <m/>
    <x v="169"/>
    <s v="가동"/>
    <s v="한국"/>
    <s v="PNT Solution"/>
    <x v="1"/>
    <s v="2차"/>
    <s v="2차"/>
    <s v="해당"/>
    <s v="PGK(COF) Test Handler(FT)"/>
    <m/>
    <m/>
    <m/>
    <s v="3A992"/>
    <s v="9030.82-0000"/>
    <s v="해당 가능성은 있으나 가능성 낮음"/>
    <m/>
    <m/>
    <d v="2010-06-30T00:00:00"/>
    <n v="15.347945205479451"/>
    <n v="8"/>
    <m/>
    <s v="자사"/>
    <s v="미설정"/>
    <n v="1.5"/>
    <n v="1760"/>
    <n v="1400"/>
    <n v="2100"/>
    <n v="174915000"/>
    <m/>
    <m/>
    <m/>
    <n v="174914000"/>
    <n v="0"/>
    <n v="1000"/>
    <n v="1000"/>
    <m/>
    <m/>
    <m/>
    <s v="완료"/>
    <s v="D-FT"/>
    <s v="COF(Assy_FT)"/>
    <s v="COF(Assy_FT)"/>
    <s v="기계장치"/>
    <n v="3498300"/>
    <n v="333488.45369166619"/>
    <n v="111162.81789722206"/>
    <m/>
    <m/>
    <n v="333488.45369166619"/>
    <n v="333488.45369166619"/>
    <n v="666976.90738333238"/>
    <n v="333488.45369166619"/>
    <n v="333488.45369166619"/>
    <n v="333488.45369166619"/>
    <n v="333488.45369166619"/>
    <n v="1333953.8147666648"/>
    <n v="333488.45369166619"/>
    <n v="333488.45369166619"/>
    <n v="333488.45369166619"/>
    <n v="333488.45369166619"/>
    <n v="1333953.8147666648"/>
    <n v="333488.45369166619"/>
    <n v="333488.45369166619"/>
    <n v="333488.45369166619"/>
    <n v="333488.45369166619"/>
    <n v="1333953.8147666648"/>
    <n v="333488.45369166619"/>
    <n v="333488.45369166619"/>
    <n v="333488.45369166619"/>
    <n v="333488.45369166619"/>
    <n v="1333953.8147666648"/>
    <m/>
    <n v="3.4158716753015801E-4"/>
    <n v="7173330.5181333181"/>
    <n v="10671630.518133318"/>
  </r>
  <r>
    <n v="649"/>
    <x v="0"/>
    <m/>
    <s v="이종희"/>
    <s v="구미"/>
    <s v="PKG"/>
    <s v="O"/>
    <m/>
    <s v="DDI"/>
    <x v="5"/>
    <s v="FT"/>
    <x v="38"/>
    <n v="1002245"/>
    <s v="MC"/>
    <s v="PFH-42 : YM630_사람과기술"/>
    <s v="YM630"/>
    <x v="105"/>
    <s v="Handler"/>
    <n v="42"/>
    <x v="169"/>
    <s v="가동"/>
    <s v="한국"/>
    <s v="유어스"/>
    <x v="1"/>
    <s v="2차"/>
    <s v="2차"/>
    <s v="해당"/>
    <s v="PGK(COF) Test Handler(FT)"/>
    <m/>
    <m/>
    <m/>
    <s v="3A992"/>
    <s v="9030.82-0000"/>
    <s v="해당 가능성은 있으나 가능성 낮음"/>
    <m/>
    <m/>
    <d v="2010-06-30T00:00:00"/>
    <n v="15.347945205479451"/>
    <n v="8"/>
    <m/>
    <s v="자사"/>
    <s v="미설정"/>
    <n v="1.5"/>
    <n v="1630"/>
    <n v="1380"/>
    <n v="2080"/>
    <n v="165015000"/>
    <m/>
    <m/>
    <m/>
    <n v="165014000"/>
    <n v="0"/>
    <n v="1000"/>
    <n v="1000"/>
    <m/>
    <m/>
    <m/>
    <s v="완료"/>
    <s v="D-FT"/>
    <s v="COF(Assy_FT)"/>
    <s v="COF(Assy_FT)"/>
    <s v="기계장치"/>
    <n v="3300300"/>
    <n v="314613.36755527143"/>
    <n v="104871.12251842381"/>
    <m/>
    <m/>
    <n v="314613.36755527143"/>
    <n v="314613.36755527143"/>
    <n v="629226.73511054285"/>
    <n v="314613.36755527143"/>
    <n v="314613.36755527143"/>
    <n v="314613.36755527143"/>
    <n v="314613.36755527143"/>
    <n v="1258453.4702210857"/>
    <n v="314613.36755527143"/>
    <n v="314613.36755527143"/>
    <n v="314613.36755527143"/>
    <n v="314613.36755527143"/>
    <n v="1258453.4702210857"/>
    <n v="314613.36755527143"/>
    <n v="314613.36755527143"/>
    <n v="314613.36755527143"/>
    <n v="314613.36755527143"/>
    <n v="1258453.4702210857"/>
    <n v="314613.36755527143"/>
    <n v="314613.36755527143"/>
    <n v="314613.36755527143"/>
    <n v="314613.36755527143"/>
    <n v="1258453.4702210857"/>
    <m/>
    <n v="3.2225370294136597E-4"/>
    <n v="6767327.7617686857"/>
    <n v="10067627.761768686"/>
  </r>
  <r>
    <n v="650"/>
    <x v="0"/>
    <m/>
    <s v="이종희"/>
    <s v="구미"/>
    <s v="PKG"/>
    <s v="O"/>
    <m/>
    <s v="DDI"/>
    <x v="5"/>
    <s v="FT"/>
    <x v="38"/>
    <n v="1000798"/>
    <s v="MC"/>
    <s v="PFH-43 : YM630_TNP"/>
    <s v="YM630"/>
    <x v="105"/>
    <s v="Handler"/>
    <n v="43"/>
    <x v="169"/>
    <s v="가동"/>
    <s v="한국"/>
    <s v="유어스"/>
    <x v="1"/>
    <s v="2차"/>
    <s v="2차"/>
    <s v="해당"/>
    <s v="PGK(COF) Test Handler(FT)"/>
    <m/>
    <m/>
    <m/>
    <s v="3A992"/>
    <s v="9030.82-0000"/>
    <s v="해당 가능성은 있으나 가능성 낮음"/>
    <m/>
    <m/>
    <d v="2006-09-30T00:00:00"/>
    <n v="19.098630136986301"/>
    <n v="8"/>
    <m/>
    <s v="자사"/>
    <s v="미설정"/>
    <n v="1.5"/>
    <n v="1630"/>
    <n v="1380"/>
    <n v="2080"/>
    <n v="128705834"/>
    <m/>
    <m/>
    <m/>
    <n v="128704834"/>
    <n v="0"/>
    <n v="1000"/>
    <n v="1000"/>
    <m/>
    <m/>
    <m/>
    <s v="완료"/>
    <s v="D-FT"/>
    <s v="COF(Assy_FT)"/>
    <s v="COF(Assy_FT)"/>
    <s v="기계장치"/>
    <n v="2574116.6800000002"/>
    <n v="245387.24272793229"/>
    <n v="81795.747575977424"/>
    <m/>
    <m/>
    <n v="245387.24272793229"/>
    <n v="245387.24272793229"/>
    <n v="490774.48545586457"/>
    <n v="245387.24272793229"/>
    <n v="245387.24272793229"/>
    <n v="245387.24272793229"/>
    <n v="245387.24272793229"/>
    <n v="981548.97091172915"/>
    <n v="245387.24272793229"/>
    <n v="245387.24272793229"/>
    <n v="245387.24272793229"/>
    <n v="245387.24272793229"/>
    <n v="981548.97091172915"/>
    <n v="245387.24272793229"/>
    <n v="245387.24272793229"/>
    <n v="245387.24272793229"/>
    <n v="245387.24272793229"/>
    <n v="981548.97091172915"/>
    <n v="245387.24272793229"/>
    <n v="245387.24272793229"/>
    <n v="245387.24272793229"/>
    <n v="245387.24272793229"/>
    <n v="981548.97091172915"/>
    <m/>
    <n v="2.513464327282778E-4"/>
    <n v="5278275.0872938335"/>
    <n v="7852391.7672938332"/>
  </r>
  <r>
    <n v="651"/>
    <x v="0"/>
    <m/>
    <s v="이종희"/>
    <s v="구미"/>
    <s v="PKG"/>
    <s v="O"/>
    <m/>
    <s v="DDI"/>
    <x v="5"/>
    <s v="FT"/>
    <x v="38"/>
    <n v="1000365"/>
    <s v="MC"/>
    <s v="PFH-44 : YM630_TNP(YM630)"/>
    <s v="YM630"/>
    <x v="105"/>
    <s v="Handler"/>
    <n v="44"/>
    <x v="169"/>
    <s v="가동"/>
    <s v="한국"/>
    <s v="유어스"/>
    <x v="1"/>
    <s v="2차"/>
    <s v="2차"/>
    <s v="해당"/>
    <s v="PGK(COF) Test Handler(FT)"/>
    <m/>
    <m/>
    <m/>
    <s v="3A992"/>
    <s v="9030.82-0000"/>
    <s v="해당 가능성은 있으나 가능성 낮음"/>
    <m/>
    <m/>
    <d v="2005-06-30T00:00:00"/>
    <n v="20.350684931506848"/>
    <n v="8"/>
    <m/>
    <s v="자사"/>
    <s v="미설정"/>
    <n v="1.5"/>
    <n v="1630"/>
    <n v="1380"/>
    <n v="2080"/>
    <n v="210205833"/>
    <m/>
    <m/>
    <m/>
    <n v="210204833"/>
    <n v="0"/>
    <n v="1000"/>
    <n v="1000"/>
    <m/>
    <m/>
    <m/>
    <s v="완료"/>
    <s v="D-FT"/>
    <s v="COF(Assy_FT)"/>
    <s v="COF(Assy_FT)"/>
    <s v="기계장치"/>
    <n v="4204116.66"/>
    <n v="400773.05093410297"/>
    <n v="133591.01697803431"/>
    <m/>
    <m/>
    <n v="400773.05093410297"/>
    <n v="400773.05093410297"/>
    <n v="801546.10186820594"/>
    <n v="400773.05093410297"/>
    <n v="400773.05093410297"/>
    <n v="400773.05093410297"/>
    <n v="400773.05093410297"/>
    <n v="1603092.2037364119"/>
    <n v="400773.05093410297"/>
    <n v="400773.05093410297"/>
    <n v="400773.05093410297"/>
    <n v="400773.05093410297"/>
    <n v="1603092.2037364119"/>
    <n v="400773.05093410297"/>
    <n v="400773.05093410297"/>
    <n v="400773.05093410297"/>
    <n v="400773.05093410297"/>
    <n v="1603092.2037364119"/>
    <n v="400773.05093410297"/>
    <n v="400773.05093410297"/>
    <n v="400773.05093410297"/>
    <n v="400773.05093410297"/>
    <n v="1603092.2037364119"/>
    <m/>
    <n v="4.1050576047101404E-4"/>
    <n v="8620620.9698912948"/>
    <n v="12824737.629891295"/>
  </r>
  <r>
    <n v="652"/>
    <x v="0"/>
    <m/>
    <s v="이종희"/>
    <s v="구미"/>
    <s v="PKG"/>
    <s v="O"/>
    <m/>
    <s v="DDI"/>
    <x v="5"/>
    <s v="FT"/>
    <x v="38"/>
    <n v="1001454"/>
    <s v="MC"/>
    <s v="PFH-45 : YM630_TNP"/>
    <s v="YM630"/>
    <x v="105"/>
    <s v="Handler"/>
    <n v="45"/>
    <x v="169"/>
    <s v="가동"/>
    <s v="한국"/>
    <s v="유어스"/>
    <x v="0"/>
    <s v="2차"/>
    <s v="2차"/>
    <s v="해당"/>
    <s v="PGK(COF) Test Handler(FT)"/>
    <m/>
    <m/>
    <m/>
    <s v="3A992"/>
    <s v="9030.82-0000"/>
    <s v="해당 가능성은 있으나 가능성 낮음"/>
    <m/>
    <m/>
    <d v="2009-07-02T00:00:00"/>
    <n v="16.342465753424658"/>
    <n v="8"/>
    <m/>
    <s v="자사"/>
    <s v="미설정"/>
    <n v="1.5"/>
    <n v="1630"/>
    <n v="1380"/>
    <n v="2080"/>
    <n v="160015000"/>
    <m/>
    <m/>
    <m/>
    <n v="160014000"/>
    <n v="0"/>
    <n v="1000"/>
    <n v="1000"/>
    <m/>
    <m/>
    <m/>
    <s v="완료"/>
    <s v="D-FT"/>
    <s v="COF(Assy_FT)"/>
    <s v="COF(Assy_FT)"/>
    <s v="기계장치"/>
    <n v="3200300"/>
    <n v="305080.49576921342"/>
    <n v="101693.49858973781"/>
    <m/>
    <m/>
    <m/>
    <m/>
    <m/>
    <m/>
    <m/>
    <n v="305080.49576921342"/>
    <n v="305080.49576921342"/>
    <n v="610160.99153842684"/>
    <n v="305080.49576921342"/>
    <n v="305080.49576921342"/>
    <n v="305080.49576921342"/>
    <n v="305080.49576921342"/>
    <n v="1220321.9830768537"/>
    <n v="305080.49576921342"/>
    <n v="305080.49576921342"/>
    <n v="305080.49576921342"/>
    <n v="305080.49576921342"/>
    <n v="1220321.9830768537"/>
    <n v="305080.49576921342"/>
    <n v="305080.49576921342"/>
    <n v="305080.49576921342"/>
    <n v="305080.49576921342"/>
    <n v="1220321.9830768537"/>
    <m/>
    <n v="3.1248932688642043E-4"/>
    <n v="6562275.8646148294"/>
    <n v="9762575.8646148294"/>
  </r>
  <r>
    <n v="653"/>
    <x v="0"/>
    <m/>
    <s v="이종희"/>
    <s v="구미"/>
    <s v="PKG"/>
    <s v="O"/>
    <m/>
    <s v="DDI"/>
    <x v="5"/>
    <s v="FT"/>
    <x v="38"/>
    <n v="1000228"/>
    <s v="MC"/>
    <s v="PFH-54 : S230用 Handler 개조 T6373(ND3)(HS800MS)"/>
    <s v="HS800M"/>
    <x v="109"/>
    <s v="Handler"/>
    <m/>
    <x v="169"/>
    <s v="가동"/>
    <s v="한국"/>
    <s v="PNT Solution"/>
    <x v="0"/>
    <s v="2차"/>
    <s v="2차"/>
    <s v="해당"/>
    <s v="PGK(COF) Test Handler(FT)"/>
    <m/>
    <m/>
    <m/>
    <s v="3A992"/>
    <s v="9030.82-0000"/>
    <s v="해당 가능성은 있으나 가능성 낮음"/>
    <m/>
    <m/>
    <d v="2005-04-06T00:00:00"/>
    <n v="20.583561643835615"/>
    <n v="8"/>
    <m/>
    <s v="자사"/>
    <s v="미설정"/>
    <n v="1.5"/>
    <n v="1630"/>
    <n v="1380"/>
    <n v="2080"/>
    <n v="240303708"/>
    <m/>
    <m/>
    <m/>
    <n v="240302708"/>
    <n v="0"/>
    <n v="1000"/>
    <n v="1000"/>
    <m/>
    <m/>
    <m/>
    <s v="완료"/>
    <s v="D-FT"/>
    <s v="COF(Assy_FT)"/>
    <s v="COF(Assy_FT)"/>
    <s v="기계장치"/>
    <n v="4806074.16"/>
    <n v="458156.88761566288"/>
    <n v="152718.9625385543"/>
    <m/>
    <m/>
    <m/>
    <m/>
    <m/>
    <m/>
    <m/>
    <n v="458156.88761566288"/>
    <n v="458156.88761566288"/>
    <n v="916313.77523132577"/>
    <n v="458156.88761566288"/>
    <n v="458156.88761566288"/>
    <n v="458156.88761566288"/>
    <n v="458156.88761566288"/>
    <n v="1832627.5504626515"/>
    <n v="458156.88761566288"/>
    <n v="458156.88761566288"/>
    <n v="458156.88761566288"/>
    <n v="458156.88761566288"/>
    <n v="1832627.5504626515"/>
    <n v="458156.88761566288"/>
    <n v="458156.88761566288"/>
    <n v="458156.88761566288"/>
    <n v="458156.88761566288"/>
    <n v="1832627.5504626515"/>
    <m/>
    <n v="4.6928315446196251E-4"/>
    <n v="9854946.2437012121"/>
    <n v="14661020.403701212"/>
  </r>
  <r>
    <n v="654"/>
    <x v="0"/>
    <m/>
    <s v="이종희"/>
    <s v="구미"/>
    <s v="PKG"/>
    <s v="O"/>
    <m/>
    <s v="DDI"/>
    <x v="5"/>
    <s v="FT"/>
    <x v="38"/>
    <n v="1000229"/>
    <s v="MC"/>
    <s v="PFH-55 : S230用 Handler 개조 T6373(ND3)(HS800MS)"/>
    <s v="HS800M"/>
    <x v="109"/>
    <s v="Handler"/>
    <m/>
    <x v="169"/>
    <s v="가동"/>
    <s v="한국"/>
    <s v="PNT Solution"/>
    <x v="0"/>
    <s v="2차"/>
    <s v="2차"/>
    <s v="해당"/>
    <s v="PGK(COF) Test Handler(FT)"/>
    <m/>
    <m/>
    <m/>
    <s v="3A992"/>
    <s v="9030.82-0000"/>
    <s v="해당 가능성은 있으나 가능성 낮음"/>
    <m/>
    <m/>
    <d v="2005-04-06T00:00:00"/>
    <n v="20.583561643835615"/>
    <n v="8"/>
    <m/>
    <s v="자사"/>
    <s v="미설정"/>
    <n v="1.5"/>
    <n v="1630"/>
    <n v="1380"/>
    <n v="2080"/>
    <n v="240303708"/>
    <m/>
    <m/>
    <m/>
    <n v="240302708"/>
    <n v="0"/>
    <n v="1000"/>
    <n v="1000"/>
    <m/>
    <m/>
    <m/>
    <s v="완료"/>
    <s v="D-FT"/>
    <s v="COF(Assy_FT)"/>
    <s v="COF(Assy_FT)"/>
    <s v="기계장치"/>
    <n v="4806074.16"/>
    <n v="458156.88761566288"/>
    <n v="152718.9625385543"/>
    <m/>
    <m/>
    <m/>
    <m/>
    <m/>
    <m/>
    <m/>
    <n v="458156.88761566288"/>
    <n v="458156.88761566288"/>
    <n v="916313.77523132577"/>
    <n v="458156.88761566288"/>
    <n v="458156.88761566288"/>
    <n v="458156.88761566288"/>
    <n v="458156.88761566288"/>
    <n v="1832627.5504626515"/>
    <n v="458156.88761566288"/>
    <n v="458156.88761566288"/>
    <n v="458156.88761566288"/>
    <n v="458156.88761566288"/>
    <n v="1832627.5504626515"/>
    <n v="458156.88761566288"/>
    <n v="458156.88761566288"/>
    <n v="458156.88761566288"/>
    <n v="458156.88761566288"/>
    <n v="1832627.5504626515"/>
    <m/>
    <n v="4.6928315446196251E-4"/>
    <n v="9854946.2437012121"/>
    <n v="14661020.403701212"/>
  </r>
  <r>
    <n v="655"/>
    <x v="0"/>
    <m/>
    <s v="이종희"/>
    <s v="구미"/>
    <s v="PKG"/>
    <s v="O"/>
    <m/>
    <s v="DDI"/>
    <x v="5"/>
    <s v="FT"/>
    <x v="38"/>
    <n v="1004743"/>
    <s v="MC"/>
    <s v="PFH-56 : ND4 Handler(YM6401)(유어스)"/>
    <s v="YM6401"/>
    <x v="103"/>
    <s v="Handler"/>
    <n v="56"/>
    <x v="173"/>
    <s v="가동"/>
    <s v="한국"/>
    <s v="유어스"/>
    <x v="2"/>
    <s v="2차"/>
    <s v="2차"/>
    <s v="해당"/>
    <s v="PGK(COF) Test Handler(FT)"/>
    <m/>
    <m/>
    <m/>
    <s v="3A992"/>
    <s v="9030.82-0000"/>
    <s v="해당 가능성은 있으나 가능성 낮음"/>
    <m/>
    <m/>
    <d v="2016-06-27T00:00:00"/>
    <n v="9.3506849315068497"/>
    <n v="8"/>
    <m/>
    <s v="자사"/>
    <s v="설정"/>
    <n v="1.5"/>
    <n v="1720"/>
    <n v="1550"/>
    <n v="2300"/>
    <n v="202900000"/>
    <m/>
    <m/>
    <m/>
    <n v="202899000"/>
    <n v="158072"/>
    <n v="1000"/>
    <n v="1000"/>
    <m/>
    <m/>
    <m/>
    <s v="완료"/>
    <s v="D-FT"/>
    <s v="COF(Assy_FT)"/>
    <s v="COF(Assy_FT)"/>
    <s v="기계장치"/>
    <n v="4058000"/>
    <n v="126812.5"/>
    <n v="42270.833333333336"/>
    <m/>
    <m/>
    <m/>
    <m/>
    <m/>
    <m/>
    <m/>
    <n v="126812.5"/>
    <n v="126812.5"/>
    <n v="253625"/>
    <n v="126812.5"/>
    <n v="126812.5"/>
    <n v="126812.5"/>
    <n v="126812.5"/>
    <n v="507250"/>
    <n v="126812.5"/>
    <n v="126812.5"/>
    <n v="126812.5"/>
    <n v="126812.5"/>
    <n v="507250"/>
    <n v="126812.5"/>
    <n v="126812.5"/>
    <n v="126812.5"/>
    <n v="126812.5"/>
    <n v="507250"/>
    <m/>
    <m/>
    <m/>
    <n v="4058000"/>
  </r>
  <r>
    <n v="656"/>
    <x v="0"/>
    <m/>
    <s v="이종희"/>
    <s v="구미"/>
    <s v="PKG"/>
    <s v="O"/>
    <m/>
    <s v="DDI"/>
    <x v="5"/>
    <s v="FT"/>
    <x v="38"/>
    <n v="1000565"/>
    <s v="MC"/>
    <s v="PFH-57 : HANDLER(YM630)(TNP)"/>
    <s v="YM630"/>
    <x v="105"/>
    <s v="Handler"/>
    <n v="57"/>
    <x v="169"/>
    <s v="가동"/>
    <s v="한국"/>
    <s v="유어스"/>
    <x v="0"/>
    <s v="2차"/>
    <s v="2차"/>
    <s v="해당"/>
    <s v="PGK(COF) Test Handler(FT)"/>
    <m/>
    <m/>
    <m/>
    <s v="3A992"/>
    <s v="9030.82-0000"/>
    <s v="해당 가능성은 있으나 가능성 낮음"/>
    <m/>
    <m/>
    <d v="2006-04-30T00:00:00"/>
    <n v="19.517808219178082"/>
    <n v="8"/>
    <m/>
    <s v="자사"/>
    <s v="미설정"/>
    <n v="1.5"/>
    <n v="1630"/>
    <n v="1380"/>
    <n v="2080"/>
    <n v="128735833"/>
    <m/>
    <m/>
    <m/>
    <n v="128734833"/>
    <n v="0"/>
    <n v="1000"/>
    <n v="1000"/>
    <m/>
    <m/>
    <m/>
    <s v="완료"/>
    <s v="D-FT"/>
    <s v="COF(Assy_FT)"/>
    <s v="COF(Assy_FT)"/>
    <s v="기계장치"/>
    <n v="2574716.66"/>
    <n v="245444.43805207431"/>
    <n v="81814.812684024771"/>
    <m/>
    <m/>
    <m/>
    <m/>
    <m/>
    <m/>
    <m/>
    <n v="245444.43805207431"/>
    <n v="245444.43805207431"/>
    <n v="490888.87610414863"/>
    <n v="245444.43805207431"/>
    <n v="245444.43805207431"/>
    <n v="245444.43805207431"/>
    <n v="245444.43805207431"/>
    <n v="981777.75220829726"/>
    <n v="245444.43805207431"/>
    <n v="245444.43805207431"/>
    <n v="245444.43805207431"/>
    <n v="245444.43805207431"/>
    <n v="981777.75220829726"/>
    <n v="245444.43805207431"/>
    <n v="245444.43805207431"/>
    <n v="245444.43805207431"/>
    <n v="245444.43805207431"/>
    <n v="981777.75220829726"/>
    <m/>
    <n v="2.5140501703173226E-4"/>
    <n v="5279505.3576663779"/>
    <n v="7854222.0176663781"/>
  </r>
  <r>
    <n v="657"/>
    <x v="0"/>
    <m/>
    <s v="이종희"/>
    <s v="구미"/>
    <s v="PKG"/>
    <s v="O"/>
    <m/>
    <s v="DDI"/>
    <x v="5"/>
    <s v="FT"/>
    <x v="38"/>
    <n v="1000567"/>
    <s v="MC"/>
    <s v="PFH-58 : YM630_TNP"/>
    <s v="YM630"/>
    <x v="105"/>
    <s v="Handler"/>
    <n v="58"/>
    <x v="169"/>
    <s v="가동"/>
    <s v="한국"/>
    <s v="유어스"/>
    <x v="0"/>
    <s v="2차"/>
    <s v="2차"/>
    <s v="해당"/>
    <s v="PGK(COF) Test Handler(FT)"/>
    <m/>
    <m/>
    <m/>
    <s v="3A992"/>
    <s v="9030.82-0000"/>
    <s v="해당 가능성은 있으나 가능성 낮음"/>
    <m/>
    <m/>
    <d v="2006-04-30T00:00:00"/>
    <n v="19.517808219178082"/>
    <n v="8"/>
    <m/>
    <s v="자사"/>
    <s v="미설정"/>
    <n v="1.5"/>
    <n v="1630"/>
    <n v="1380"/>
    <n v="2080"/>
    <n v="128735833"/>
    <m/>
    <m/>
    <m/>
    <n v="128734833"/>
    <n v="0"/>
    <n v="1000"/>
    <n v="1000"/>
    <m/>
    <m/>
    <m/>
    <s v="완료"/>
    <s v="D-FT"/>
    <s v="COF(Assy_FT)"/>
    <s v="COF(Assy_FT)"/>
    <s v="기계장치"/>
    <n v="2574716.66"/>
    <n v="245444.43805207431"/>
    <n v="81814.812684024771"/>
    <m/>
    <m/>
    <m/>
    <m/>
    <m/>
    <m/>
    <m/>
    <n v="245444.43805207431"/>
    <n v="245444.43805207431"/>
    <n v="490888.87610414863"/>
    <n v="245444.43805207431"/>
    <n v="245444.43805207431"/>
    <n v="245444.43805207431"/>
    <n v="245444.43805207431"/>
    <n v="981777.75220829726"/>
    <n v="245444.43805207431"/>
    <n v="245444.43805207431"/>
    <n v="245444.43805207431"/>
    <n v="245444.43805207431"/>
    <n v="981777.75220829726"/>
    <n v="245444.43805207431"/>
    <n v="245444.43805207431"/>
    <n v="245444.43805207431"/>
    <n v="245444.43805207431"/>
    <n v="981777.75220829726"/>
    <m/>
    <n v="2.5140501703173226E-4"/>
    <n v="5279505.3576663779"/>
    <n v="7854222.0176663781"/>
  </r>
  <r>
    <n v="658"/>
    <x v="0"/>
    <m/>
    <s v="이종희"/>
    <s v="구미"/>
    <s v="PKG"/>
    <s v="O"/>
    <m/>
    <s v="DDI"/>
    <x v="5"/>
    <s v="FT"/>
    <x v="38"/>
    <n v="1001452"/>
    <s v="MC"/>
    <s v="PFH-61 : HS800S_사람과기술"/>
    <s v="HS800S"/>
    <x v="108"/>
    <s v="Handler"/>
    <m/>
    <x v="169"/>
    <s v="가동"/>
    <s v="한국"/>
    <s v="PNT Solution"/>
    <x v="0"/>
    <s v="2차"/>
    <s v="2차"/>
    <s v="해당"/>
    <s v="PGK(COF) Test Handler(FT)"/>
    <m/>
    <m/>
    <m/>
    <s v="3A992"/>
    <s v="9030.82-0000"/>
    <s v="해당 가능성은 있으나 가능성 낮음"/>
    <m/>
    <m/>
    <d v="2009-06-15T00:00:00"/>
    <n v="16.389041095890413"/>
    <n v="8"/>
    <m/>
    <s v="자사"/>
    <s v="미설정"/>
    <n v="1.5"/>
    <n v="1760"/>
    <n v="1400"/>
    <n v="2100"/>
    <n v="93182586"/>
    <m/>
    <m/>
    <m/>
    <n v="93181586"/>
    <n v="0"/>
    <n v="1000"/>
    <n v="1000"/>
    <m/>
    <m/>
    <m/>
    <s v="완료"/>
    <s v="D-FT"/>
    <s v="COF(Assy_FT)"/>
    <s v="COF(Assy_FT)"/>
    <s v="기계장치"/>
    <n v="1863651.72"/>
    <n v="177659.5290062642"/>
    <n v="59219.84300208807"/>
    <m/>
    <m/>
    <m/>
    <m/>
    <m/>
    <m/>
    <m/>
    <n v="177659.5290062642"/>
    <n v="177659.5290062642"/>
    <n v="355319.0580125284"/>
    <n v="177659.5290062642"/>
    <n v="177659.5290062642"/>
    <n v="177659.5290062642"/>
    <n v="177659.5290062642"/>
    <n v="710638.11602505681"/>
    <n v="177659.5290062642"/>
    <n v="177659.5290062642"/>
    <n v="177659.5290062642"/>
    <n v="177659.5290062642"/>
    <n v="710638.11602505681"/>
    <n v="177659.5290062642"/>
    <n v="177659.5290062642"/>
    <n v="177659.5290062642"/>
    <n v="177659.5290062642"/>
    <n v="710638.11602505681"/>
    <m/>
    <n v="1.8197396229525974E-4"/>
    <n v="3821453.2082004547"/>
    <n v="5685104.9282004545"/>
  </r>
  <r>
    <n v="659"/>
    <x v="0"/>
    <m/>
    <s v="이종희"/>
    <s v="구미"/>
    <s v="PKG"/>
    <s v="O"/>
    <m/>
    <s v="DDI"/>
    <x v="5"/>
    <s v="FT"/>
    <x v="38"/>
    <n v="1000967"/>
    <s v="MC"/>
    <s v="PFH-62 : HS800S_사람과기술"/>
    <s v="HS800S"/>
    <x v="108"/>
    <s v="Handler"/>
    <m/>
    <x v="169"/>
    <s v="가동"/>
    <s v="일본"/>
    <s v="PNT Solution"/>
    <x v="0"/>
    <s v="2차"/>
    <s v="2차"/>
    <s v="해당"/>
    <s v="PGK(COF) Test Handler(FT)"/>
    <m/>
    <m/>
    <m/>
    <s v="3A992"/>
    <s v="9030.82-0000"/>
    <s v="해당 가능성은 있으나 가능성 낮음"/>
    <m/>
    <m/>
    <d v="2007-09-25T00:00:00"/>
    <n v="18.112328767123287"/>
    <n v="8"/>
    <m/>
    <s v="자사"/>
    <s v="미설정"/>
    <n v="1.5"/>
    <n v="1760"/>
    <n v="1400"/>
    <n v="2100"/>
    <n v="115000000"/>
    <m/>
    <m/>
    <m/>
    <n v="114999000"/>
    <n v="0"/>
    <n v="1000"/>
    <n v="1000"/>
    <m/>
    <m/>
    <m/>
    <s v="완료"/>
    <s v="D-FT"/>
    <s v="COF(Assy_FT)"/>
    <s v="COF(Assy_FT)"/>
    <s v="기계장치"/>
    <n v="2300000"/>
    <n v="219256.05107933347"/>
    <n v="73085.350359777818"/>
    <m/>
    <m/>
    <m/>
    <m/>
    <m/>
    <m/>
    <m/>
    <n v="219256.05107933347"/>
    <n v="219256.05107933347"/>
    <n v="438512.10215866694"/>
    <n v="219256.05107933347"/>
    <n v="219256.05107933347"/>
    <n v="219256.05107933347"/>
    <n v="219256.05107933347"/>
    <n v="877024.20431733388"/>
    <n v="219256.05107933347"/>
    <n v="219256.05107933347"/>
    <n v="219256.05107933347"/>
    <n v="219256.05107933347"/>
    <n v="877024.20431733388"/>
    <n v="219256.05107933347"/>
    <n v="219256.05107933347"/>
    <n v="219256.05107933347"/>
    <n v="219256.05107933347"/>
    <n v="877024.20431733388"/>
    <m/>
    <n v="2.2458064926374622E-4"/>
    <n v="4716193.634538671"/>
    <n v="7016193.634538671"/>
  </r>
  <r>
    <n v="660"/>
    <x v="0"/>
    <m/>
    <s v="이종희"/>
    <s v="구미"/>
    <s v="PKG"/>
    <s v="O"/>
    <m/>
    <s v="DDI"/>
    <x v="5"/>
    <s v="FT"/>
    <x v="38"/>
    <n v="1005472"/>
    <s v="MC"/>
    <s v="PFH-63 : ND3 Handler(YM630)(유어스)(Used)"/>
    <s v="YM630"/>
    <x v="105"/>
    <s v="Handler"/>
    <n v="63"/>
    <x v="169"/>
    <s v="가동"/>
    <s v="한국"/>
    <s v="유어스"/>
    <x v="0"/>
    <s v="3차"/>
    <s v="3차"/>
    <s v="해당"/>
    <s v="PGK(COF) Test Handler(FT)"/>
    <m/>
    <m/>
    <m/>
    <s v="3A992"/>
    <s v="9030.82-0000"/>
    <s v="해당 가능성은 있으나 가능성 낮음"/>
    <m/>
    <m/>
    <d v="2018-05-31T00:00:00"/>
    <n v="7.4246575342465757"/>
    <n v="8"/>
    <m/>
    <s v="자사"/>
    <s v="설정"/>
    <n v="1.5"/>
    <n v="1630"/>
    <n v="1380"/>
    <n v="2080"/>
    <n v="100549500"/>
    <m/>
    <m/>
    <m/>
    <n v="91122987"/>
    <n v="1047391"/>
    <n v="6284340"/>
    <n v="111169"/>
    <m/>
    <m/>
    <m/>
    <s v="미완료"/>
    <s v="D-FT"/>
    <s v="COF(Assy_FT)"/>
    <s v="COF(Assy_FT)"/>
    <s v="기계장치"/>
    <n v="6598557"/>
    <n v="629031.97853995359"/>
    <n v="209677.32617998452"/>
    <m/>
    <m/>
    <m/>
    <m/>
    <m/>
    <m/>
    <m/>
    <n v="629031.97853995359"/>
    <n v="629031.97853995359"/>
    <n v="1258063.9570799072"/>
    <n v="629031.97853995359"/>
    <n v="629031.97853995359"/>
    <n v="629031.97853995359"/>
    <n v="629031.97853995359"/>
    <n v="2516127.9141598144"/>
    <n v="629031.97853995359"/>
    <n v="629031.97853995359"/>
    <n v="629031.97853995359"/>
    <n v="629031.97853995359"/>
    <n v="2516127.9141598144"/>
    <n v="629031.97853995359"/>
    <n v="629031.97853995359"/>
    <n v="629031.97853995359"/>
    <n v="629031.97853995359"/>
    <n v="2516127.9141598144"/>
    <m/>
    <n v="6.4430791967992932E-4"/>
    <n v="13530466.313278515"/>
    <n v="20129023.313278515"/>
  </r>
  <r>
    <n v="661"/>
    <x v="0"/>
    <m/>
    <s v="이종희"/>
    <s v="구미"/>
    <s v="PKG"/>
    <s v="O"/>
    <m/>
    <s v="DDI"/>
    <x v="5"/>
    <s v="FT"/>
    <x v="38"/>
    <n v="1000561"/>
    <s v="MC"/>
    <s v="PFH-64 : HS800S_사람과기술"/>
    <s v="HS800S"/>
    <x v="108"/>
    <s v="Handler"/>
    <m/>
    <x v="169"/>
    <s v="가동"/>
    <s v="한국"/>
    <s v="사람과기술"/>
    <x v="0"/>
    <s v="3차"/>
    <s v="3차"/>
    <s v="해당"/>
    <s v="PGK(COF) Test Handler(FT)"/>
    <m/>
    <m/>
    <m/>
    <s v="3A992"/>
    <s v="9030.82-0000"/>
    <s v="해당 가능성은 있으나 가능성 낮음"/>
    <m/>
    <m/>
    <d v="2006-04-30T00:00:00"/>
    <n v="19.517808219178082"/>
    <n v="8"/>
    <m/>
    <s v="자사"/>
    <s v="미설정"/>
    <n v="1.5"/>
    <n v="1760"/>
    <n v="1400"/>
    <n v="2100"/>
    <n v="128705833"/>
    <m/>
    <m/>
    <m/>
    <n v="128704833"/>
    <n v="0"/>
    <n v="1000"/>
    <n v="1000"/>
    <m/>
    <m/>
    <m/>
    <s v="완료"/>
    <s v="D-FT"/>
    <s v="COF(Assy_FT)"/>
    <s v="COF(Assy_FT)"/>
    <s v="기계장치"/>
    <n v="2574116.66"/>
    <n v="245387.24082135796"/>
    <n v="81795.746940452649"/>
    <m/>
    <m/>
    <m/>
    <m/>
    <m/>
    <m/>
    <m/>
    <n v="245387.24082135793"/>
    <n v="245387.24082135793"/>
    <n v="490774.48164271587"/>
    <n v="245387.24082135793"/>
    <n v="245387.24082135793"/>
    <n v="245387.24082135793"/>
    <n v="245387.24082135793"/>
    <n v="981548.96328543173"/>
    <n v="245387.24082135793"/>
    <n v="245387.24082135793"/>
    <n v="245387.24082135793"/>
    <n v="245387.24082135793"/>
    <n v="981548.96328543173"/>
    <n v="245387.24082135793"/>
    <n v="245387.24082135793"/>
    <n v="245387.24082135793"/>
    <n v="245387.24082135793"/>
    <n v="981548.96328543173"/>
    <m/>
    <n v="2.513464307754026E-4"/>
    <n v="5278275.0462834546"/>
    <n v="7852391.7062834548"/>
  </r>
  <r>
    <n v="662"/>
    <x v="0"/>
    <m/>
    <s v="이종희"/>
    <s v="구미"/>
    <s v="PKG"/>
    <s v="O"/>
    <m/>
    <s v="DDI"/>
    <x v="5"/>
    <s v="FT"/>
    <x v="38"/>
    <n v="1005264"/>
    <s v="MC"/>
    <s v="PFH-65 : ND4 Handler(YM6401)(유어스)"/>
    <s v="YM6401"/>
    <x v="103"/>
    <s v="Handler"/>
    <n v="65"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7-12-26T00:00:00"/>
    <n v="7.8520547945205479"/>
    <n v="8"/>
    <m/>
    <s v="자사"/>
    <s v="설정"/>
    <n v="1.5"/>
    <n v="1720"/>
    <n v="1550"/>
    <n v="2300"/>
    <n v="218106520"/>
    <m/>
    <m/>
    <m/>
    <n v="207571447"/>
    <n v="2247833"/>
    <n v="3791574"/>
    <n v="1000"/>
    <m/>
    <m/>
    <m/>
    <s v="미완료"/>
    <s v="D-FT"/>
    <s v="COF(Assy_FT)"/>
    <s v="COF(Assy_FT)"/>
    <s v="기계장치"/>
    <n v="3981152.7"/>
    <n v="124411.02187500001"/>
    <n v="41470.340625000004"/>
    <m/>
    <m/>
    <m/>
    <m/>
    <m/>
    <m/>
    <m/>
    <n v="124411.02187500001"/>
    <n v="124411.02187500001"/>
    <n v="248822.04375000001"/>
    <n v="124411.02187500001"/>
    <n v="124411.02187500001"/>
    <n v="124411.02187500001"/>
    <n v="124411.02187500001"/>
    <n v="497644.08750000002"/>
    <n v="124411.02187500001"/>
    <n v="124411.02187500001"/>
    <n v="124411.02187500001"/>
    <n v="124411.02187500001"/>
    <n v="497644.08750000002"/>
    <n v="124411.02187500001"/>
    <n v="124411.02187500001"/>
    <n v="124411.02187500001"/>
    <n v="124411.02187500001"/>
    <n v="497644.08750000002"/>
    <m/>
    <m/>
    <m/>
    <n v="3981152.7"/>
  </r>
  <r>
    <n v="663"/>
    <x v="0"/>
    <m/>
    <s v="이종희"/>
    <s v="구미"/>
    <s v="PKG"/>
    <s v="O"/>
    <m/>
    <s v="DDI"/>
    <x v="5"/>
    <s v="FT"/>
    <x v="38"/>
    <n v="1005265"/>
    <s v="MC"/>
    <s v="PFH-66 : ND4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7-12-26T00:00:00"/>
    <n v="7.8520547945205479"/>
    <n v="8"/>
    <m/>
    <s v="자사"/>
    <s v="설정"/>
    <n v="1.5"/>
    <n v="1720"/>
    <n v="1550"/>
    <n v="2300"/>
    <n v="218106520"/>
    <m/>
    <m/>
    <m/>
    <n v="207571447"/>
    <n v="2247833"/>
    <n v="3791574"/>
    <n v="1000"/>
    <m/>
    <m/>
    <m/>
    <s v="미완료"/>
    <s v="D-FT"/>
    <s v="COF(Assy_FT)"/>
    <s v="COF(Assy_FT)"/>
    <s v="기계장치"/>
    <n v="3981152.7"/>
    <n v="124411.02187500001"/>
    <n v="41470.340625000004"/>
    <m/>
    <m/>
    <m/>
    <m/>
    <m/>
    <m/>
    <m/>
    <n v="124411.02187500001"/>
    <n v="124411.02187500001"/>
    <n v="248822.04375000001"/>
    <n v="124411.02187500001"/>
    <n v="124411.02187500001"/>
    <n v="124411.02187500001"/>
    <n v="124411.02187500001"/>
    <n v="497644.08750000002"/>
    <n v="124411.02187500001"/>
    <n v="124411.02187500001"/>
    <n v="124411.02187500001"/>
    <n v="124411.02187500001"/>
    <n v="497644.08750000002"/>
    <n v="124411.02187500001"/>
    <n v="124411.02187500001"/>
    <n v="124411.02187500001"/>
    <n v="124411.02187500001"/>
    <n v="497644.08750000002"/>
    <m/>
    <m/>
    <m/>
    <n v="3981152.7"/>
  </r>
  <r>
    <n v="664"/>
    <x v="0"/>
    <m/>
    <s v="이종희"/>
    <s v="구미"/>
    <s v="PKG"/>
    <s v="O"/>
    <m/>
    <s v="DDI"/>
    <x v="5"/>
    <s v="FT"/>
    <x v="38"/>
    <n v="1005285"/>
    <s v="MC"/>
    <s v="PFH-67 : Handler(YM630V)(유어스)"/>
    <s v="YM630V"/>
    <x v="110"/>
    <s v="Handler"/>
    <n v="67"/>
    <x v="169"/>
    <s v="가동"/>
    <s v="한국"/>
    <s v="유어스"/>
    <x v="0"/>
    <s v="3차"/>
    <s v="3차"/>
    <s v="해당"/>
    <s v="PGK(COF) Test Handler(FT)"/>
    <m/>
    <m/>
    <m/>
    <s v="3A992"/>
    <s v="9030.82-0000"/>
    <s v="해당 가능성은 있으나 가능성 낮음"/>
    <m/>
    <m/>
    <d v="2017-12-19T00:00:00"/>
    <n v="7.8712328767123285"/>
    <n v="8"/>
    <m/>
    <s v="자사"/>
    <s v="설정"/>
    <n v="1.5"/>
    <n v="1630"/>
    <n v="1380"/>
    <n v="2080"/>
    <n v="164120000"/>
    <m/>
    <m/>
    <m/>
    <n v="157502219"/>
    <n v="1654435"/>
    <n v="1654476"/>
    <n v="1000"/>
    <m/>
    <m/>
    <m/>
    <s v="미완료"/>
    <s v="D-FT"/>
    <s v="COF(Assy_FT)"/>
    <s v="COF(Assy_FT)"/>
    <s v="기계장치"/>
    <n v="1737199.8"/>
    <n v="165605.02960165561"/>
    <n v="55201.676533885206"/>
    <m/>
    <m/>
    <m/>
    <m/>
    <m/>
    <m/>
    <m/>
    <n v="165605.02960165561"/>
    <n v="165605.02960165561"/>
    <n v="331210.05920331122"/>
    <n v="165605.02960165561"/>
    <n v="165605.02960165561"/>
    <n v="165605.02960165561"/>
    <n v="165605.02960165561"/>
    <n v="662420.11840662244"/>
    <n v="165605.02960165561"/>
    <n v="165605.02960165561"/>
    <n v="165605.02960165561"/>
    <n v="165605.02960165561"/>
    <n v="662420.11840662244"/>
    <n v="165605.02960165561"/>
    <n v="165605.02960165561"/>
    <n v="165605.02960165561"/>
    <n v="165605.02960165561"/>
    <n v="662420.11840662244"/>
    <m/>
    <n v="1.6962672129776092E-4"/>
    <n v="3562161.1472529792"/>
    <n v="5299360.9472529795"/>
  </r>
  <r>
    <n v="665"/>
    <x v="0"/>
    <m/>
    <s v="이종희"/>
    <s v="구미"/>
    <s v="PKG"/>
    <s v="O"/>
    <m/>
    <s v="DDI"/>
    <x v="5"/>
    <s v="FT"/>
    <x v="38"/>
    <n v="1005323"/>
    <s v="MC"/>
    <s v="PFH-68 : ND4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8-02-19T00:00:00"/>
    <n v="7.7013698630136984"/>
    <n v="8"/>
    <m/>
    <s v="자사"/>
    <s v="설정"/>
    <n v="1.5"/>
    <n v="1720"/>
    <n v="1550"/>
    <n v="2300"/>
    <n v="218750000"/>
    <m/>
    <m/>
    <m/>
    <n v="203641096"/>
    <n v="2270755"/>
    <n v="8296639"/>
    <n v="1000"/>
    <m/>
    <m/>
    <m/>
    <s v="미완료"/>
    <s v="D-FT"/>
    <s v="COF(Assy_FT)"/>
    <s v="COF(Assy_FT)"/>
    <s v="기계장치"/>
    <n v="8711470.9500000011"/>
    <n v="272233.46718750003"/>
    <n v="90744.489062500012"/>
    <m/>
    <m/>
    <m/>
    <m/>
    <m/>
    <m/>
    <m/>
    <n v="272233.46718750003"/>
    <n v="272233.46718750003"/>
    <n v="544466.93437500007"/>
    <n v="272233.46718750003"/>
    <n v="272233.46718750003"/>
    <n v="272233.46718750003"/>
    <n v="272233.46718750003"/>
    <n v="1088933.8687500001"/>
    <n v="272233.46718750003"/>
    <n v="272233.46718750003"/>
    <n v="272233.46718750003"/>
    <n v="272233.46718750003"/>
    <n v="1088933.8687500001"/>
    <n v="272233.46718750003"/>
    <n v="272233.46718750003"/>
    <n v="272233.46718750003"/>
    <n v="272233.46718750003"/>
    <n v="1088933.8687500001"/>
    <m/>
    <m/>
    <m/>
    <n v="8711470.9500000011"/>
  </r>
  <r>
    <n v="666"/>
    <x v="0"/>
    <m/>
    <s v="이종희"/>
    <s v="구미"/>
    <s v="PKG"/>
    <s v="O"/>
    <m/>
    <s v="DDI"/>
    <x v="5"/>
    <s v="FT"/>
    <x v="38"/>
    <n v="1005324"/>
    <s v="MC"/>
    <s v="PFH-69 : ND4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8-02-19T00:00:00"/>
    <n v="7.7013698630136984"/>
    <n v="8"/>
    <m/>
    <s v="자사"/>
    <s v="설정"/>
    <n v="1.5"/>
    <n v="1720"/>
    <n v="1550"/>
    <n v="2300"/>
    <n v="218750000"/>
    <m/>
    <m/>
    <m/>
    <n v="203641096"/>
    <n v="2270755"/>
    <n v="8296639"/>
    <n v="1000"/>
    <m/>
    <m/>
    <m/>
    <s v="미완료"/>
    <s v="D-FT"/>
    <s v="COF(Assy_FT)"/>
    <s v="COF(Assy_FT)"/>
    <s v="기계장치"/>
    <n v="8711470.9500000011"/>
    <n v="272233.46718750003"/>
    <n v="90744.489062500012"/>
    <m/>
    <m/>
    <m/>
    <m/>
    <m/>
    <m/>
    <m/>
    <n v="272233.46718750003"/>
    <n v="272233.46718750003"/>
    <n v="544466.93437500007"/>
    <n v="272233.46718750003"/>
    <n v="272233.46718750003"/>
    <n v="272233.46718750003"/>
    <n v="272233.46718750003"/>
    <n v="1088933.8687500001"/>
    <n v="272233.46718750003"/>
    <n v="272233.46718750003"/>
    <n v="272233.46718750003"/>
    <n v="272233.46718750003"/>
    <n v="1088933.8687500001"/>
    <n v="272233.46718750003"/>
    <n v="272233.46718750003"/>
    <n v="272233.46718750003"/>
    <n v="272233.46718750003"/>
    <n v="1088933.8687500001"/>
    <m/>
    <m/>
    <m/>
    <n v="8711470.9500000011"/>
  </r>
  <r>
    <n v="667"/>
    <x v="0"/>
    <m/>
    <s v="이종희"/>
    <s v="구미"/>
    <s v="PKG"/>
    <s v="O"/>
    <m/>
    <s v="DDI"/>
    <x v="5"/>
    <s v="FT"/>
    <x v="38"/>
    <n v="1005325"/>
    <s v="MC"/>
    <s v="PFH-70 : ND4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8-02-19T00:00:00"/>
    <n v="7.7013698630136984"/>
    <n v="8"/>
    <m/>
    <s v="자사"/>
    <s v="설정"/>
    <n v="1.5"/>
    <n v="1720"/>
    <n v="1550"/>
    <n v="2300"/>
    <n v="218750000"/>
    <m/>
    <m/>
    <m/>
    <n v="203641096"/>
    <n v="2270755"/>
    <n v="8296639"/>
    <n v="1000"/>
    <m/>
    <m/>
    <m/>
    <s v="미완료"/>
    <s v="D-FT"/>
    <s v="COF(Assy_FT)"/>
    <s v="COF(Assy_FT)"/>
    <s v="기계장치"/>
    <n v="8711470.9500000011"/>
    <n v="272233.46718750003"/>
    <n v="90744.489062500012"/>
    <m/>
    <m/>
    <m/>
    <m/>
    <m/>
    <m/>
    <m/>
    <n v="272233.46718750003"/>
    <n v="272233.46718750003"/>
    <n v="544466.93437500007"/>
    <n v="272233.46718750003"/>
    <n v="272233.46718750003"/>
    <n v="272233.46718750003"/>
    <n v="272233.46718750003"/>
    <n v="1088933.8687500001"/>
    <n v="272233.46718750003"/>
    <n v="272233.46718750003"/>
    <n v="272233.46718750003"/>
    <n v="272233.46718750003"/>
    <n v="1088933.8687500001"/>
    <n v="272233.46718750003"/>
    <n v="272233.46718750003"/>
    <n v="272233.46718750003"/>
    <n v="272233.46718750003"/>
    <n v="1088933.8687500001"/>
    <m/>
    <m/>
    <m/>
    <n v="8711470.9500000011"/>
  </r>
  <r>
    <n v="668"/>
    <x v="0"/>
    <m/>
    <s v="이종희"/>
    <s v="구미"/>
    <s v="PKG"/>
    <s v="O"/>
    <m/>
    <s v="DDI"/>
    <x v="5"/>
    <s v="FT"/>
    <x v="38"/>
    <n v="1005326"/>
    <s v="MC"/>
    <s v="PFH-71 : ND4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8-03-31T00:00:00"/>
    <n v="7.5917808219178085"/>
    <n v="8"/>
    <m/>
    <s v="자사"/>
    <s v="설정"/>
    <n v="1.5"/>
    <n v="1720"/>
    <n v="1550"/>
    <n v="2300"/>
    <n v="218750000"/>
    <m/>
    <m/>
    <m/>
    <n v="201344790"/>
    <n v="2278646"/>
    <n v="10569272"/>
    <n v="1000"/>
    <m/>
    <m/>
    <m/>
    <s v="미완료"/>
    <s v="D-FT"/>
    <s v="COF(Assy_FT)"/>
    <s v="COF(Assy_FT)"/>
    <s v="기계장치"/>
    <n v="11097735.6"/>
    <n v="346804.23749999999"/>
    <n v="115601.41249999999"/>
    <m/>
    <m/>
    <m/>
    <m/>
    <m/>
    <m/>
    <m/>
    <n v="346804.23749999999"/>
    <n v="346804.23749999999"/>
    <n v="693608.47499999998"/>
    <n v="346804.23749999999"/>
    <n v="346804.23749999999"/>
    <n v="346804.23749999999"/>
    <n v="346804.23749999999"/>
    <n v="1387216.95"/>
    <n v="346804.23749999999"/>
    <n v="346804.23749999999"/>
    <n v="346804.23749999999"/>
    <n v="346804.23749999999"/>
    <n v="1387216.95"/>
    <n v="346804.23749999999"/>
    <n v="346804.23749999999"/>
    <n v="346804.23749999999"/>
    <n v="346804.23749999999"/>
    <n v="1387216.95"/>
    <m/>
    <m/>
    <m/>
    <n v="11097735.6"/>
  </r>
  <r>
    <n v="669"/>
    <x v="0"/>
    <m/>
    <s v="이종희"/>
    <s v="구미"/>
    <s v="PKG"/>
    <s v="O"/>
    <m/>
    <s v="DDI"/>
    <x v="5"/>
    <s v="FT"/>
    <x v="38"/>
    <n v="1005327"/>
    <s v="MC"/>
    <s v="PFH-72 : ND4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8-03-31T00:00:00"/>
    <n v="7.5917808219178085"/>
    <n v="8"/>
    <m/>
    <s v="자사"/>
    <s v="설정"/>
    <n v="1.5"/>
    <n v="1720"/>
    <n v="1550"/>
    <n v="2300"/>
    <n v="218750000"/>
    <m/>
    <m/>
    <m/>
    <n v="201344790"/>
    <n v="2278646"/>
    <n v="10569272"/>
    <n v="1000"/>
    <m/>
    <m/>
    <m/>
    <s v="미완료"/>
    <s v="D-FT"/>
    <s v="COF(Assy_FT)"/>
    <s v="COF(Assy_FT)"/>
    <s v="기계장치"/>
    <n v="11097735.6"/>
    <n v="346804.23749999999"/>
    <n v="115601.41249999999"/>
    <m/>
    <m/>
    <m/>
    <m/>
    <m/>
    <m/>
    <m/>
    <n v="346804.23749999999"/>
    <n v="346804.23749999999"/>
    <n v="693608.47499999998"/>
    <n v="346804.23749999999"/>
    <n v="346804.23749999999"/>
    <n v="346804.23749999999"/>
    <n v="346804.23749999999"/>
    <n v="1387216.95"/>
    <n v="346804.23749999999"/>
    <n v="346804.23749999999"/>
    <n v="346804.23749999999"/>
    <n v="346804.23749999999"/>
    <n v="1387216.95"/>
    <n v="346804.23749999999"/>
    <n v="346804.23749999999"/>
    <n v="346804.23749999999"/>
    <n v="346804.23749999999"/>
    <n v="1387216.95"/>
    <m/>
    <m/>
    <m/>
    <n v="11097735.6"/>
  </r>
  <r>
    <n v="670"/>
    <x v="0"/>
    <m/>
    <s v="이종희"/>
    <s v="구미"/>
    <s v="PKG"/>
    <s v="O"/>
    <m/>
    <s v="DDI"/>
    <x v="5"/>
    <s v="FT"/>
    <x v="38"/>
    <n v="1005531"/>
    <s v="MC"/>
    <s v="PFH-73 : ND3/ND4 겸용 Handler(YM6401)(유어스)"/>
    <s v="YM6401"/>
    <x v="103"/>
    <s v="Handler"/>
    <m/>
    <x v="169"/>
    <s v="가동"/>
    <s v="한국"/>
    <s v="유어스"/>
    <x v="0"/>
    <s v="3차"/>
    <s v="3차"/>
    <s v="해당"/>
    <s v="PGK(COF) Test Handler(FT)"/>
    <m/>
    <m/>
    <m/>
    <s v="3A992"/>
    <s v="9030.82-0000"/>
    <s v="해당 가능성은 있으나 가능성 낮음"/>
    <m/>
    <m/>
    <d v="2018-08-01T00:00:00"/>
    <n v="7.2547945205479456"/>
    <n v="8"/>
    <m/>
    <s v="자사"/>
    <s v="설정"/>
    <n v="1.5"/>
    <n v="1720"/>
    <n v="1550"/>
    <n v="2300"/>
    <n v="223097210"/>
    <m/>
    <m/>
    <m/>
    <n v="192518924"/>
    <n v="2323929"/>
    <n v="23606499"/>
    <n v="1142521"/>
    <m/>
    <m/>
    <m/>
    <s v="미완료"/>
    <s v="D-FT"/>
    <s v="COF(Assy_FT)"/>
    <s v="COF(Assy_FT)"/>
    <s v="기계장치"/>
    <n v="24786823.949999999"/>
    <n v="2362896.1469894112"/>
    <n v="787632.0489964704"/>
    <m/>
    <m/>
    <m/>
    <m/>
    <m/>
    <m/>
    <m/>
    <n v="2362896.1469894112"/>
    <n v="2362896.1469894112"/>
    <n v="4725792.2939788224"/>
    <n v="2362896.1469894112"/>
    <n v="2362896.1469894112"/>
    <n v="2362896.1469894112"/>
    <n v="2362896.1469894112"/>
    <n v="9451584.5879576448"/>
    <n v="2362896.1469894112"/>
    <n v="2362896.1469894112"/>
    <n v="2362896.1469894112"/>
    <n v="2362896.1469894112"/>
    <n v="9451584.5879576448"/>
    <n v="2362896.1469894112"/>
    <n v="2362896.1469894112"/>
    <n v="2362896.1469894112"/>
    <n v="2362896.1469894112"/>
    <n v="9451584.5879576448"/>
    <m/>
    <n v="2.4202787025552936E-3"/>
    <n v="50825852.753661163"/>
    <n v="75612676.703661159"/>
  </r>
  <r>
    <n v="671"/>
    <x v="0"/>
    <m/>
    <s v="이종희"/>
    <s v="구미"/>
    <s v="PKG"/>
    <s v="O"/>
    <m/>
    <s v="DDI"/>
    <x v="5"/>
    <s v="FT"/>
    <x v="38"/>
    <n v="1000440"/>
    <s v="MC"/>
    <s v="PFH-74 : ND3 Handler(YM630)(유어스)"/>
    <s v="YM630"/>
    <x v="105"/>
    <s v="Handler"/>
    <n v="74"/>
    <x v="169"/>
    <s v="가동"/>
    <s v="한국"/>
    <s v="유어스"/>
    <x v="1"/>
    <s v="3차"/>
    <s v="3차"/>
    <s v="해당"/>
    <s v="PGK(COF) Test Handler(FT)"/>
    <m/>
    <m/>
    <m/>
    <s v="3A992"/>
    <s v="9030.82-0000"/>
    <s v="해당 가능성은 있으나 가능성 낮음"/>
    <m/>
    <m/>
    <d v="2005-11-09T00:00:00"/>
    <n v="19.989041095890411"/>
    <n v="8"/>
    <m/>
    <s v="자사"/>
    <s v="미설정"/>
    <n v="1.5"/>
    <n v="1630"/>
    <n v="1380"/>
    <n v="2080"/>
    <n v="239750000"/>
    <m/>
    <m/>
    <m/>
    <n v="239749000"/>
    <n v="294268"/>
    <n v="1000"/>
    <n v="1000"/>
    <m/>
    <m/>
    <m/>
    <s v="완료"/>
    <s v="D-FT"/>
    <s v="COF(Assy_FT)"/>
    <s v="COF(Assy_FT)"/>
    <s v="기계장치"/>
    <n v="4795000"/>
    <n v="457101.20214148"/>
    <n v="152367.06738049333"/>
    <m/>
    <m/>
    <n v="457101.20214148"/>
    <n v="457101.20214148"/>
    <n v="914202.40428295999"/>
    <n v="457101.20214148"/>
    <n v="457101.20214148"/>
    <n v="457101.20214148"/>
    <n v="457101.20214148"/>
    <n v="1828404.80856592"/>
    <n v="457101.20214148"/>
    <n v="457101.20214148"/>
    <n v="457101.20214148"/>
    <n v="457101.20214148"/>
    <n v="1828404.80856592"/>
    <n v="457101.20214148"/>
    <n v="457101.20214148"/>
    <n v="457101.20214148"/>
    <n v="457101.20214148"/>
    <n v="1828404.80856592"/>
    <n v="457101.20214148"/>
    <n v="457101.20214148"/>
    <n v="457101.20214148"/>
    <n v="457101.20214148"/>
    <n v="1828404.80856592"/>
    <m/>
    <n v="4.6820183183463618E-4"/>
    <n v="9832238.4685273599"/>
    <n v="14627238.46852736"/>
  </r>
  <r>
    <n v="672"/>
    <x v="0"/>
    <m/>
    <s v="이종희"/>
    <s v="구미"/>
    <s v="PKG"/>
    <s v="O"/>
    <m/>
    <s v="DDI"/>
    <x v="5"/>
    <s v="FT"/>
    <x v="38"/>
    <n v="1001954"/>
    <s v="MC"/>
    <s v="PFH-75 : HS800S_사람과기술"/>
    <s v="HS800S"/>
    <x v="108"/>
    <s v="Handler"/>
    <m/>
    <x v="169"/>
    <s v="가동"/>
    <s v="한국"/>
    <s v="PNT Solution"/>
    <x v="0"/>
    <s v="3차"/>
    <s v="3차"/>
    <s v="해당"/>
    <s v="PGK(COF) Test Handler(FT)"/>
    <m/>
    <m/>
    <m/>
    <s v="3A992"/>
    <s v="9030.82-0000"/>
    <s v="해당 가능성은 있으나 가능성 낮음"/>
    <m/>
    <m/>
    <d v="2010-03-17T00:00:00"/>
    <n v="15.635616438356164"/>
    <n v="8"/>
    <m/>
    <s v="자사"/>
    <s v="미설정"/>
    <n v="1.5"/>
    <n v="1760"/>
    <n v="1400"/>
    <n v="2100"/>
    <n v="190000000"/>
    <m/>
    <m/>
    <m/>
    <n v="189999000"/>
    <n v="1205831"/>
    <n v="1000"/>
    <n v="1000"/>
    <m/>
    <m/>
    <m/>
    <s v="완료"/>
    <s v="D-FT"/>
    <s v="COF(Assy_FT)"/>
    <s v="COF(Assy_FT)"/>
    <s v="기계장치"/>
    <n v="3800000"/>
    <n v="362249.12787020311"/>
    <n v="120749.70929006771"/>
    <m/>
    <m/>
    <m/>
    <m/>
    <m/>
    <m/>
    <m/>
    <n v="362249.12787020311"/>
    <n v="362249.12787020311"/>
    <n v="724498.25574040622"/>
    <n v="362249.12787020311"/>
    <n v="362249.12787020311"/>
    <n v="362249.12787020311"/>
    <n v="362249.12787020311"/>
    <n v="1448996.5114808124"/>
    <n v="362249.12787020311"/>
    <n v="362249.12787020311"/>
    <n v="362249.12787020311"/>
    <n v="362249.12787020311"/>
    <n v="1448996.5114808124"/>
    <n v="362249.12787020311"/>
    <n v="362249.12787020311"/>
    <n v="362249.12787020311"/>
    <n v="362249.12787020311"/>
    <n v="1448996.5114808124"/>
    <m/>
    <n v="3.7104629008792854E-4"/>
    <n v="7791972.0918464996"/>
    <n v="11591972.0918465"/>
  </r>
  <r>
    <n v="673"/>
    <x v="0"/>
    <m/>
    <s v="이종희"/>
    <s v="구미"/>
    <s v="PKG"/>
    <s v="O"/>
    <m/>
    <s v="DDI"/>
    <x v="5"/>
    <s v="FT"/>
    <x v="38"/>
    <n v="1001953"/>
    <s v="MC"/>
    <s v="PFH-76 : HS800S_사람과기술"/>
    <s v="HS800S"/>
    <x v="108"/>
    <s v="Handler"/>
    <m/>
    <x v="169"/>
    <s v="가동"/>
    <s v="한국"/>
    <s v="PNT Solution"/>
    <x v="0"/>
    <s v="3차"/>
    <s v="3차"/>
    <s v="해당"/>
    <s v="PGK(COF) Test Handler(FT)"/>
    <m/>
    <m/>
    <m/>
    <s v="3A992"/>
    <s v="9030.82-0000"/>
    <s v="해당 가능성은 있으나 가능성 낮음"/>
    <m/>
    <m/>
    <d v="2010-03-17T00:00:00"/>
    <n v="15.635616438356164"/>
    <n v="8"/>
    <m/>
    <s v="자사"/>
    <s v="미설정"/>
    <n v="1.5"/>
    <n v="1760"/>
    <n v="1400"/>
    <n v="2100"/>
    <n v="251720000"/>
    <m/>
    <m/>
    <m/>
    <n v="251719000"/>
    <n v="796672"/>
    <n v="1000"/>
    <n v="1000"/>
    <m/>
    <m/>
    <m/>
    <s v="완료"/>
    <s v="D-FT"/>
    <s v="COF(Assy_FT)"/>
    <s v="COF(Assy_FT)"/>
    <s v="기계장치"/>
    <n v="5034400"/>
    <n v="479922.89719730278"/>
    <n v="159974.29906576758"/>
    <m/>
    <m/>
    <m/>
    <m/>
    <m/>
    <m/>
    <m/>
    <n v="479922.89719730278"/>
    <n v="479922.89719730278"/>
    <n v="959845.79439460556"/>
    <n v="479922.89719730278"/>
    <n v="479922.89719730278"/>
    <n v="479922.89719730278"/>
    <n v="479922.89719730278"/>
    <n v="1919691.5887892111"/>
    <n v="479922.89719730278"/>
    <n v="479922.89719730278"/>
    <n v="479922.89719730278"/>
    <n v="479922.89719730278"/>
    <n v="1919691.5887892111"/>
    <n v="479922.89719730278"/>
    <n v="479922.89719730278"/>
    <n v="479922.89719730278"/>
    <n v="479922.89719730278"/>
    <n v="1919691.5887892111"/>
    <m/>
    <n v="4.9157774811017568E-4"/>
    <n v="10323132.710313689"/>
    <n v="15357532.710313689"/>
  </r>
  <r>
    <n v="674"/>
    <x v="0"/>
    <m/>
    <s v="이종희"/>
    <s v="구미"/>
    <s v="PKG"/>
    <s v="O"/>
    <m/>
    <s v="DDI"/>
    <x v="5"/>
    <s v="FT"/>
    <x v="38"/>
    <n v="1005530"/>
    <s v="MC"/>
    <s v="PFH-77 : ND3/ND4 겸용 Handler(YM6401)(유어스)"/>
    <s v="YM6401"/>
    <x v="103"/>
    <s v="Handler"/>
    <m/>
    <x v="169"/>
    <s v="가동"/>
    <s v="한국"/>
    <s v="유어스"/>
    <x v="1"/>
    <s v="3차"/>
    <s v="3차"/>
    <s v="해당"/>
    <s v="PGK(COF) Test Handler(FT)"/>
    <m/>
    <m/>
    <m/>
    <s v="3A992"/>
    <s v="9030.82-0000"/>
    <s v="해당 가능성은 있으나 가능성 낮음"/>
    <m/>
    <m/>
    <d v="2018-08-01T00:00:00"/>
    <n v="7.2547945205479456"/>
    <n v="8"/>
    <m/>
    <s v="자사"/>
    <s v="설정"/>
    <n v="1.5"/>
    <n v="1720"/>
    <n v="1550"/>
    <n v="2300"/>
    <n v="217914820"/>
    <m/>
    <m/>
    <m/>
    <n v="184725468"/>
    <n v="2199113"/>
    <n v="26521180"/>
    <n v="1324609"/>
    <m/>
    <m/>
    <m/>
    <s v="미완료"/>
    <s v="D-FT"/>
    <s v="COF(Assy_FT)"/>
    <s v="COF(Assy_FT)"/>
    <s v="기계장치"/>
    <n v="27847239"/>
    <n v="2654641.5898271333"/>
    <n v="884880.52994237782"/>
    <m/>
    <m/>
    <n v="2654641.5898271333"/>
    <n v="2654641.5898271333"/>
    <n v="5309283.1796542667"/>
    <n v="2654641.5898271333"/>
    <n v="2654641.5898271333"/>
    <n v="2654641.5898271333"/>
    <n v="2654641.5898271333"/>
    <n v="10618566.359308533"/>
    <n v="2654641.5898271333"/>
    <n v="2654641.5898271333"/>
    <n v="2654641.5898271333"/>
    <n v="2654641.5898271333"/>
    <n v="10618566.359308533"/>
    <n v="2654641.5898271333"/>
    <n v="2654641.5898271333"/>
    <n v="2654641.5898271333"/>
    <n v="2654641.5898271333"/>
    <n v="10618566.359308533"/>
    <n v="2654641.5898271333"/>
    <n v="2654641.5898271333"/>
    <n v="2654641.5898271333"/>
    <n v="2654641.5898271333"/>
    <n v="10618566.359308533"/>
    <m/>
    <n v="2.7191091368794413E-3"/>
    <n v="57101291.874468267"/>
    <n v="84948530.874468267"/>
  </r>
  <r>
    <n v="675"/>
    <x v="0"/>
    <m/>
    <s v="이종희"/>
    <s v="구미"/>
    <s v="PKG"/>
    <s v="O"/>
    <m/>
    <s v="DDI"/>
    <x v="5"/>
    <s v="FT"/>
    <x v="38"/>
    <n v="1005526"/>
    <s v="MC"/>
    <s v="PFH-78 : Handler(YM630V)(유어스)"/>
    <s v="YM630V"/>
    <x v="110"/>
    <s v="Handler"/>
    <n v="78"/>
    <x v="169"/>
    <s v="가동"/>
    <s v="한국"/>
    <s v="유어스"/>
    <x v="0"/>
    <s v="3차"/>
    <s v="3차"/>
    <s v="해당"/>
    <s v="PGK(COF) Test Handler(FT)"/>
    <m/>
    <m/>
    <m/>
    <s v="3A992"/>
    <s v="9030.82-0000"/>
    <s v="해당 가능성은 있으나 가능성 낮음"/>
    <m/>
    <m/>
    <d v="2018-08-06T00:00:00"/>
    <n v="7.2410958904109588"/>
    <n v="8"/>
    <m/>
    <s v="자사"/>
    <s v="설정"/>
    <n v="1.5"/>
    <n v="1630"/>
    <n v="1380"/>
    <n v="2080"/>
    <n v="160025000"/>
    <m/>
    <m/>
    <m/>
    <n v="140021874"/>
    <n v="1666927"/>
    <n v="15002345"/>
    <n v="703353"/>
    <m/>
    <m/>
    <m/>
    <s v="미완료"/>
    <s v="D-FT"/>
    <s v="COF(Assy_FT)"/>
    <s v="COF(Assy_FT)"/>
    <s v="기계장치"/>
    <n v="15752462.25"/>
    <n v="1501662.0294396835"/>
    <n v="500554.00981322787"/>
    <m/>
    <m/>
    <m/>
    <m/>
    <m/>
    <m/>
    <m/>
    <n v="1501662.0294396835"/>
    <n v="1501662.0294396835"/>
    <n v="3003324.0588793671"/>
    <n v="1501662.0294396835"/>
    <n v="1501662.0294396835"/>
    <n v="1501662.0294396835"/>
    <n v="1501662.0294396835"/>
    <n v="6006648.1177587342"/>
    <n v="1501662.0294396835"/>
    <n v="1501662.0294396835"/>
    <n v="1501662.0294396835"/>
    <n v="1501662.0294396835"/>
    <n v="6006648.1177587342"/>
    <n v="1501662.0294396835"/>
    <n v="1501662.0294396835"/>
    <n v="1501662.0294396835"/>
    <n v="1501662.0294396835"/>
    <n v="6006648.1177587342"/>
    <m/>
    <n v="1.5381296520033273E-3"/>
    <n v="32300722.692069873"/>
    <n v="48053184.942069873"/>
  </r>
  <r>
    <n v="676"/>
    <x v="0"/>
    <m/>
    <s v="이종희"/>
    <s v="구미"/>
    <s v="PKG"/>
    <s v="O"/>
    <m/>
    <s v="DDI"/>
    <x v="5"/>
    <s v="FT"/>
    <x v="38"/>
    <n v="1005527"/>
    <s v="MC"/>
    <s v="PFH-79 : Handler(YM630V)(유어스)"/>
    <s v="YM630V"/>
    <x v="110"/>
    <s v="Handler"/>
    <n v="79"/>
    <x v="169"/>
    <s v="가동"/>
    <s v="한국"/>
    <s v="유어스"/>
    <x v="0"/>
    <s v="3차"/>
    <s v="3차"/>
    <s v="해당"/>
    <s v="PGK(COF) Test Handler(FT)"/>
    <m/>
    <m/>
    <m/>
    <s v="3A992"/>
    <s v="9030.82-0000"/>
    <s v="해당 가능성은 있으나 가능성 낮음"/>
    <m/>
    <m/>
    <d v="2018-08-06T00:00:00"/>
    <n v="7.2410958904109588"/>
    <n v="8"/>
    <m/>
    <s v="자사"/>
    <s v="설정"/>
    <n v="1.5"/>
    <n v="1630"/>
    <n v="1380"/>
    <n v="2080"/>
    <n v="160025000"/>
    <m/>
    <m/>
    <m/>
    <n v="140021874"/>
    <n v="1666927"/>
    <n v="15002345"/>
    <n v="703353"/>
    <m/>
    <m/>
    <m/>
    <s v="미완료"/>
    <s v="D-FT"/>
    <s v="COF(Assy_FT)"/>
    <s v="COF(Assy_FT)"/>
    <s v="기계장치"/>
    <n v="15752462.25"/>
    <n v="1501662.0294396835"/>
    <n v="500554.00981322787"/>
    <m/>
    <m/>
    <m/>
    <m/>
    <m/>
    <m/>
    <m/>
    <n v="1501662.0294396835"/>
    <n v="1501662.0294396835"/>
    <n v="3003324.0588793671"/>
    <n v="1501662.0294396835"/>
    <n v="1501662.0294396835"/>
    <n v="1501662.0294396835"/>
    <n v="1501662.0294396835"/>
    <n v="6006648.1177587342"/>
    <n v="1501662.0294396835"/>
    <n v="1501662.0294396835"/>
    <n v="1501662.0294396835"/>
    <n v="1501662.0294396835"/>
    <n v="6006648.1177587342"/>
    <n v="1501662.0294396835"/>
    <n v="1501662.0294396835"/>
    <n v="1501662.0294396835"/>
    <n v="1501662.0294396835"/>
    <n v="6006648.1177587342"/>
    <m/>
    <n v="1.5381296520033273E-3"/>
    <n v="32300722.692069873"/>
    <n v="48053184.942069873"/>
  </r>
  <r>
    <n v="677"/>
    <x v="0"/>
    <m/>
    <s v="이종희"/>
    <s v="구미"/>
    <s v="PKG"/>
    <s v="O"/>
    <m/>
    <s v="DDI"/>
    <x v="5"/>
    <s v="FT"/>
    <x v="38"/>
    <n v="1005528"/>
    <s v="MC"/>
    <s v="PFH-80 : ND3 Handler(YM630)(유어스)"/>
    <s v="YM6401"/>
    <x v="103"/>
    <s v="Handler"/>
    <m/>
    <x v="169"/>
    <s v="가동"/>
    <s v="한국"/>
    <s v="유어스"/>
    <x v="0"/>
    <s v="3차"/>
    <s v="3차"/>
    <s v="해당"/>
    <s v="PGK(COF) Test Handler(FT)"/>
    <m/>
    <m/>
    <m/>
    <s v="3A992"/>
    <s v="9030.82-0000"/>
    <s v="해당 가능성은 있으나 가능성 낮음"/>
    <m/>
    <m/>
    <d v="2018-08-29T00:00:00"/>
    <n v="7.1780821917808222"/>
    <n v="8"/>
    <m/>
    <s v="자사"/>
    <s v="설정"/>
    <n v="1.5"/>
    <n v="1630"/>
    <n v="1380"/>
    <n v="2080"/>
    <n v="162875000"/>
    <m/>
    <m/>
    <m/>
    <n v="141209381"/>
    <n v="1696615"/>
    <n v="16575774"/>
    <n v="794563"/>
    <m/>
    <m/>
    <m/>
    <s v="미완료"/>
    <s v="D-FT"/>
    <s v="COF(Assy_FT)"/>
    <s v="COF(Assy_FT)"/>
    <s v="기계장치"/>
    <n v="17404562.699999999"/>
    <n v="1659154.6471150704"/>
    <n v="553051.54903835675"/>
    <m/>
    <m/>
    <m/>
    <m/>
    <m/>
    <m/>
    <m/>
    <n v="1659154.6471150704"/>
    <n v="1659154.6471150704"/>
    <n v="3318309.2942301407"/>
    <n v="1659154.6471150704"/>
    <n v="1659154.6471150704"/>
    <n v="1659154.6471150704"/>
    <n v="1659154.6471150704"/>
    <n v="6636618.5884602815"/>
    <n v="1659154.6471150704"/>
    <n v="1659154.6471150704"/>
    <n v="1659154.6471150704"/>
    <n v="1659154.6471150704"/>
    <n v="6636618.5884602815"/>
    <n v="1659154.6471150704"/>
    <n v="1659154.6471150704"/>
    <n v="1659154.6471150704"/>
    <n v="1659154.6471150704"/>
    <n v="6636618.5884602815"/>
    <m/>
    <n v="1.6994469527467739E-3"/>
    <n v="35688386.007682249"/>
    <n v="53092948.707682252"/>
  </r>
  <r>
    <n v="678"/>
    <x v="0"/>
    <m/>
    <s v="이종희"/>
    <s v="구미"/>
    <s v="PKG"/>
    <s v="O"/>
    <m/>
    <s v="DDI"/>
    <x v="5"/>
    <s v="FT"/>
    <x v="38"/>
    <n v="1005609"/>
    <s v="MC"/>
    <s v="PFH-81 : Handler(YM630V)(유어스)"/>
    <s v="YM630V"/>
    <x v="110"/>
    <s v="Handler"/>
    <n v="81"/>
    <x v="169"/>
    <s v="가동"/>
    <s v="한국"/>
    <s v="유어스"/>
    <x v="0"/>
    <s v="3차"/>
    <s v="3차"/>
    <s v="해당"/>
    <s v="PGK(COF) Test Handler(FT)"/>
    <m/>
    <m/>
    <m/>
    <s v="3A992"/>
    <s v="9030.82-0000"/>
    <s v="해당 가능성은 있으나 가능성 낮음"/>
    <m/>
    <m/>
    <d v="2018-10-31T00:00:00"/>
    <n v="7.0054794520547947"/>
    <n v="8"/>
    <m/>
    <s v="자사"/>
    <s v="설정"/>
    <n v="1.5"/>
    <n v="1630"/>
    <n v="1380"/>
    <n v="2080"/>
    <n v="211413093"/>
    <m/>
    <m/>
    <m/>
    <n v="180582016"/>
    <n v="2202220"/>
    <n v="24224417"/>
    <n v="1393309"/>
    <m/>
    <m/>
    <m/>
    <s v="미완료"/>
    <s v="D-FT"/>
    <s v="COF(Assy_FT)"/>
    <s v="COF(Assy_FT)"/>
    <s v="기계장치"/>
    <n v="25435637.850000001"/>
    <n v="2424746.7442065338"/>
    <n v="808248.91473551129"/>
    <m/>
    <m/>
    <m/>
    <m/>
    <m/>
    <m/>
    <m/>
    <n v="2424746.7442065338"/>
    <n v="2424746.7442065338"/>
    <n v="4849493.4884130675"/>
    <n v="2424746.7442065338"/>
    <n v="2424746.7442065338"/>
    <n v="2424746.7442065338"/>
    <n v="2424746.7442065338"/>
    <n v="9698986.9768261351"/>
    <n v="2424746.7442065338"/>
    <n v="2424746.7442065338"/>
    <n v="2424746.7442065338"/>
    <n v="2424746.7442065338"/>
    <n v="9698986.9768261351"/>
    <n v="2424746.7442065338"/>
    <n v="2424746.7442065338"/>
    <n v="2424746.7442065338"/>
    <n v="2424746.7442065338"/>
    <n v="9698986.9768261351"/>
    <m/>
    <n v="2.4836313316480515E-3"/>
    <n v="52156257.964609079"/>
    <n v="77591895.814609081"/>
  </r>
  <r>
    <n v="679"/>
    <x v="0"/>
    <m/>
    <s v="이종희"/>
    <s v="구미"/>
    <s v="PKG"/>
    <s v="O"/>
    <m/>
    <s v="DDI"/>
    <x v="5"/>
    <s v="FT"/>
    <x v="38"/>
    <n v="1005642"/>
    <s v="MC"/>
    <s v="PFH-82 :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8-10-09T00:00:00"/>
    <n v="7.065753424657534"/>
    <n v="8"/>
    <m/>
    <s v="자사"/>
    <s v="설정"/>
    <n v="1.5"/>
    <n v="1720"/>
    <n v="1550"/>
    <n v="2300"/>
    <n v="213749040"/>
    <m/>
    <m/>
    <m/>
    <n v="181330438"/>
    <n v="2226553"/>
    <n v="25738943"/>
    <n v="1496333"/>
    <m/>
    <m/>
    <m/>
    <s v="미완료"/>
    <s v="D-FT"/>
    <s v="COF(Assy_FT)"/>
    <s v="COF(Assy_FT)"/>
    <s v="기계장치"/>
    <n v="27025890.150000002"/>
    <n v="844559.06718750007"/>
    <n v="281519.68906250002"/>
    <m/>
    <m/>
    <m/>
    <m/>
    <m/>
    <m/>
    <m/>
    <n v="844559.06718750007"/>
    <n v="844559.06718750007"/>
    <n v="1689118.1343750001"/>
    <n v="844559.06718750007"/>
    <n v="844559.06718750007"/>
    <n v="844559.06718750007"/>
    <n v="844559.06718750007"/>
    <n v="3378236.2687500003"/>
    <n v="844559.06718750007"/>
    <n v="844559.06718750007"/>
    <n v="844559.06718750007"/>
    <n v="844559.06718750007"/>
    <n v="3378236.2687500003"/>
    <n v="844559.06718750007"/>
    <n v="844559.06718750007"/>
    <n v="844559.06718750007"/>
    <n v="844559.06718750007"/>
    <n v="3378236.2687500003"/>
    <m/>
    <m/>
    <m/>
    <n v="27025890.150000002"/>
  </r>
  <r>
    <n v="680"/>
    <x v="0"/>
    <m/>
    <s v="이종희"/>
    <s v="구미"/>
    <s v="PKG"/>
    <s v="O"/>
    <m/>
    <s v="DDI"/>
    <x v="5"/>
    <s v="FT"/>
    <x v="38"/>
    <n v="1005655"/>
    <s v="MC"/>
    <s v="PFH-83 :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8-10-09T00:00:00"/>
    <n v="7.065753424657534"/>
    <n v="8"/>
    <m/>
    <s v="자사"/>
    <s v="설정"/>
    <n v="1.5"/>
    <n v="1720"/>
    <n v="1550"/>
    <n v="2300"/>
    <n v="213749040"/>
    <m/>
    <m/>
    <m/>
    <n v="181330438"/>
    <n v="2226553"/>
    <n v="25738943"/>
    <n v="1496333"/>
    <m/>
    <m/>
    <m/>
    <s v="미완료"/>
    <s v="D-FT"/>
    <s v="COF(Assy_FT)"/>
    <s v="COF(Assy_FT)"/>
    <s v="기계장치"/>
    <n v="27025890.150000002"/>
    <n v="844559.06718750007"/>
    <n v="281519.68906250002"/>
    <m/>
    <m/>
    <m/>
    <m/>
    <m/>
    <m/>
    <m/>
    <n v="844559.06718750007"/>
    <n v="844559.06718750007"/>
    <n v="1689118.1343750001"/>
    <n v="844559.06718750007"/>
    <n v="844559.06718750007"/>
    <n v="844559.06718750007"/>
    <n v="844559.06718750007"/>
    <n v="3378236.2687500003"/>
    <n v="844559.06718750007"/>
    <n v="844559.06718750007"/>
    <n v="844559.06718750007"/>
    <n v="844559.06718750007"/>
    <n v="3378236.2687500003"/>
    <n v="844559.06718750007"/>
    <n v="844559.06718750007"/>
    <n v="844559.06718750007"/>
    <n v="844559.06718750007"/>
    <n v="3378236.2687500003"/>
    <m/>
    <m/>
    <m/>
    <n v="27025890.150000002"/>
  </r>
  <r>
    <n v="681"/>
    <x v="0"/>
    <m/>
    <s v="이종희"/>
    <s v="구미"/>
    <s v="PKG"/>
    <s v="O"/>
    <m/>
    <s v="DDI"/>
    <x v="5"/>
    <s v="FT"/>
    <x v="38"/>
    <n v="1005656"/>
    <s v="MC"/>
    <s v="PFH-84 :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8-10-20T00:00:00"/>
    <n v="7.0356164383561648"/>
    <n v="8"/>
    <m/>
    <s v="자사"/>
    <s v="설정"/>
    <n v="1.5"/>
    <n v="1720"/>
    <n v="1550"/>
    <n v="2300"/>
    <n v="213749040"/>
    <m/>
    <m/>
    <m/>
    <n v="181330438"/>
    <n v="2226553"/>
    <n v="25738943"/>
    <n v="1496333"/>
    <m/>
    <m/>
    <m/>
    <s v="미완료"/>
    <s v="D-FT"/>
    <s v="COF(Assy_FT)"/>
    <s v="COF(Assy_FT)"/>
    <s v="기계장치"/>
    <n v="27025890.150000002"/>
    <n v="844559.06718750007"/>
    <n v="281519.68906250002"/>
    <m/>
    <m/>
    <m/>
    <m/>
    <m/>
    <m/>
    <m/>
    <n v="844559.06718750007"/>
    <n v="844559.06718750007"/>
    <n v="1689118.1343750001"/>
    <n v="844559.06718750007"/>
    <n v="844559.06718750007"/>
    <n v="844559.06718750007"/>
    <n v="844559.06718750007"/>
    <n v="3378236.2687500003"/>
    <n v="844559.06718750007"/>
    <n v="844559.06718750007"/>
    <n v="844559.06718750007"/>
    <n v="844559.06718750007"/>
    <n v="3378236.2687500003"/>
    <n v="844559.06718750007"/>
    <n v="844559.06718750007"/>
    <n v="844559.06718750007"/>
    <n v="844559.06718750007"/>
    <n v="3378236.2687500003"/>
    <m/>
    <m/>
    <m/>
    <n v="27025890.150000002"/>
  </r>
  <r>
    <n v="682"/>
    <x v="0"/>
    <m/>
    <s v="이종희"/>
    <s v="구미"/>
    <s v="PKG"/>
    <s v="O"/>
    <m/>
    <s v="DDI"/>
    <x v="5"/>
    <s v="FT"/>
    <x v="38"/>
    <n v="1005658"/>
    <s v="MC"/>
    <s v="PFH-86 :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8-10-20T00:00:00"/>
    <n v="7.0356164383561648"/>
    <n v="8"/>
    <m/>
    <s v="자사"/>
    <s v="설정"/>
    <n v="1.5"/>
    <n v="1720"/>
    <n v="1550"/>
    <n v="2300"/>
    <n v="213749040"/>
    <m/>
    <m/>
    <m/>
    <n v="181330438"/>
    <n v="2226553"/>
    <n v="25738943"/>
    <n v="1496333"/>
    <m/>
    <m/>
    <m/>
    <s v="미완료"/>
    <s v="D-FT"/>
    <s v="COF(Assy_FT)"/>
    <s v="COF(Assy_FT)"/>
    <s v="기계장치"/>
    <n v="27025890.150000002"/>
    <n v="844559.06718750007"/>
    <n v="281519.68906250002"/>
    <m/>
    <m/>
    <m/>
    <m/>
    <m/>
    <m/>
    <m/>
    <n v="844559.06718750007"/>
    <n v="844559.06718750007"/>
    <n v="1689118.1343750001"/>
    <n v="844559.06718750007"/>
    <n v="844559.06718750007"/>
    <n v="844559.06718750007"/>
    <n v="844559.06718750007"/>
    <n v="3378236.2687500003"/>
    <n v="844559.06718750007"/>
    <n v="844559.06718750007"/>
    <n v="844559.06718750007"/>
    <n v="844559.06718750007"/>
    <n v="3378236.2687500003"/>
    <n v="844559.06718750007"/>
    <n v="844559.06718750007"/>
    <n v="844559.06718750007"/>
    <n v="844559.06718750007"/>
    <n v="3378236.2687500003"/>
    <m/>
    <m/>
    <m/>
    <n v="27025890.150000002"/>
  </r>
  <r>
    <n v="683"/>
    <x v="0"/>
    <m/>
    <s v="이종희"/>
    <s v="구미"/>
    <s v="PKG"/>
    <s v="O"/>
    <m/>
    <s v="DDI"/>
    <x v="5"/>
    <s v="FT"/>
    <x v="38"/>
    <n v="1005610"/>
    <s v="MC"/>
    <s v="PFH-87 : ND3/ND4 겸용(YM6401)(유어스)"/>
    <s v="YM6401"/>
    <x v="103"/>
    <s v="Handler"/>
    <m/>
    <x v="169"/>
    <s v="가동"/>
    <s v="한국"/>
    <s v="유어스"/>
    <x v="0"/>
    <s v="3차"/>
    <s v="3차"/>
    <s v="해당"/>
    <s v="PGK(COF) Test Handler(FT)"/>
    <m/>
    <m/>
    <m/>
    <s v="3A992"/>
    <s v="9030.82-0000"/>
    <s v="해당 가능성은 있으나 가능성 낮음"/>
    <m/>
    <m/>
    <d v="2018-10-31T00:00:00"/>
    <n v="7.0054794520547947"/>
    <n v="8"/>
    <m/>
    <s v="자사"/>
    <s v="설정"/>
    <n v="1.5"/>
    <n v="1720"/>
    <n v="1550"/>
    <n v="2300"/>
    <n v="214263093"/>
    <m/>
    <m/>
    <m/>
    <n v="181769513"/>
    <n v="2231907"/>
    <n v="25797859"/>
    <n v="1499720"/>
    <m/>
    <m/>
    <m/>
    <s v="미완료"/>
    <s v="D-FT"/>
    <s v="COF(Assy_FT)"/>
    <s v="COF(Assy_FT)"/>
    <s v="기계장치"/>
    <n v="27087751.950000003"/>
    <n v="2582240.6631189194"/>
    <n v="860746.88770630641"/>
    <m/>
    <m/>
    <m/>
    <m/>
    <m/>
    <m/>
    <m/>
    <n v="2582240.6631189194"/>
    <n v="2582240.6631189194"/>
    <n v="5164481.3262378387"/>
    <n v="2582240.6631189194"/>
    <n v="2582240.6631189194"/>
    <n v="2582240.6631189194"/>
    <n v="2582240.6631189194"/>
    <n v="10328962.652475677"/>
    <n v="2582240.6631189194"/>
    <n v="2582240.6631189194"/>
    <n v="2582240.6631189194"/>
    <n v="2582240.6631189194"/>
    <n v="10328962.652475677"/>
    <n v="2582240.6631189194"/>
    <n v="2582240.6631189194"/>
    <n v="2582240.6631189194"/>
    <n v="2582240.6631189194"/>
    <n v="10328962.652475677"/>
    <m/>
    <n v="2.6449499652288298E-3"/>
    <n v="55543949.269805424"/>
    <n v="82631701.219805419"/>
  </r>
  <r>
    <n v="684"/>
    <x v="0"/>
    <m/>
    <s v="이종희"/>
    <s v="구미"/>
    <s v="PKG"/>
    <s v="O"/>
    <m/>
    <s v="DDI"/>
    <x v="5"/>
    <s v="FT"/>
    <x v="38"/>
    <n v="1005611"/>
    <s v="MC"/>
    <s v="PFH-88 : ND3/ND4 겸용(YM6401)(유어스)"/>
    <s v="YM6401"/>
    <x v="103"/>
    <s v="Handler"/>
    <m/>
    <x v="169"/>
    <s v="가동"/>
    <s v="한국"/>
    <s v="유어스"/>
    <x v="1"/>
    <s v="3차"/>
    <s v="3차"/>
    <s v="해당"/>
    <s v="PGK(COF) Test Handler(FT)"/>
    <m/>
    <m/>
    <m/>
    <s v="3A992"/>
    <s v="9030.82-0000"/>
    <s v="해당 가능성은 있으나 가능성 낮음"/>
    <m/>
    <m/>
    <d v="2018-10-31T00:00:00"/>
    <n v="7.0054794520547947"/>
    <n v="8"/>
    <m/>
    <s v="자사"/>
    <s v="설정"/>
    <n v="1.5"/>
    <n v="1720"/>
    <n v="1550"/>
    <n v="2300"/>
    <n v="214263094"/>
    <m/>
    <m/>
    <m/>
    <n v="181769513"/>
    <n v="2231907"/>
    <n v="25797860"/>
    <n v="1967677"/>
    <m/>
    <m/>
    <m/>
    <s v="미완료"/>
    <s v="D-FT"/>
    <s v="COF(Assy_FT)"/>
    <s v="COF(Assy_FT)"/>
    <s v="기계장치"/>
    <n v="27087753"/>
    <n v="2582240.7632140731"/>
    <n v="860746.92107135768"/>
    <m/>
    <m/>
    <n v="2582240.7632140731"/>
    <n v="2582240.7632140731"/>
    <n v="5164481.5264281463"/>
    <n v="2582240.7632140731"/>
    <n v="2582240.7632140731"/>
    <n v="2582240.7632140731"/>
    <n v="2582240.7632140731"/>
    <n v="10328963.052856293"/>
    <n v="2582240.7632140731"/>
    <n v="2582240.7632140731"/>
    <n v="2582240.7632140731"/>
    <n v="2582240.7632140731"/>
    <n v="10328963.052856293"/>
    <n v="2582240.7632140731"/>
    <n v="2582240.7632140731"/>
    <n v="2582240.7632140731"/>
    <n v="2582240.7632140731"/>
    <n v="10328963.052856293"/>
    <n v="2582240.7632140731"/>
    <n v="2582240.7632140731"/>
    <n v="2582240.7632140731"/>
    <n v="2582240.7632140731"/>
    <n v="10328963.052856293"/>
    <m/>
    <n v="2.644950067754778E-3"/>
    <n v="55543951.422850341"/>
    <n v="82631704.422850341"/>
  </r>
  <r>
    <n v="685"/>
    <x v="0"/>
    <m/>
    <s v="이종희"/>
    <s v="구미"/>
    <s v="PKG"/>
    <s v="O"/>
    <m/>
    <s v="DDI"/>
    <x v="5"/>
    <s v="FT"/>
    <x v="38"/>
    <n v="1005909"/>
    <s v="MC"/>
    <s v="PFH-89 :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9-04-24T00:00:00"/>
    <n v="6.5260273972602736"/>
    <n v="8"/>
    <m/>
    <s v="자사"/>
    <s v="미설정"/>
    <n v="1.5"/>
    <n v="1720"/>
    <n v="1550"/>
    <n v="2300"/>
    <n v="213973800"/>
    <m/>
    <m/>
    <m/>
    <n v="168327178"/>
    <n v="2228894"/>
    <n v="38959940"/>
    <n v="2909834"/>
    <m/>
    <m/>
    <m/>
    <s v="미완료"/>
    <s v="D-FT"/>
    <s v="COF(Assy_FT)"/>
    <s v="COF(Assy_FT)"/>
    <s v="기계장치"/>
    <n v="40907937"/>
    <n v="1278373.03125"/>
    <n v="426124.34375"/>
    <m/>
    <m/>
    <m/>
    <m/>
    <m/>
    <m/>
    <m/>
    <n v="1278373.03125"/>
    <n v="1278373.03125"/>
    <n v="2556746.0625"/>
    <n v="1278373.03125"/>
    <n v="1278373.03125"/>
    <n v="1278373.03125"/>
    <n v="1278373.03125"/>
    <n v="5113492.125"/>
    <n v="1278373.03125"/>
    <n v="1278373.03125"/>
    <n v="1278373.03125"/>
    <n v="1278373.03125"/>
    <n v="5113492.125"/>
    <n v="1278373.03125"/>
    <n v="1278373.03125"/>
    <n v="1278373.03125"/>
    <n v="1278373.03125"/>
    <n v="5113492.125"/>
    <m/>
    <m/>
    <m/>
    <n v="40907937"/>
  </r>
  <r>
    <n v="686"/>
    <x v="0"/>
    <m/>
    <s v="이종희"/>
    <s v="구미"/>
    <s v="PKG"/>
    <s v="O"/>
    <m/>
    <s v="DDI"/>
    <x v="5"/>
    <s v="FT"/>
    <x v="38"/>
    <n v="1005910"/>
    <s v="MC"/>
    <s v="PFH-90 :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9-04-24T00:00:00"/>
    <n v="6.5260273972602736"/>
    <n v="8"/>
    <m/>
    <s v="자사"/>
    <s v="미설정"/>
    <n v="1.5"/>
    <n v="1720"/>
    <n v="1550"/>
    <n v="2300"/>
    <n v="213973800"/>
    <m/>
    <m/>
    <m/>
    <n v="168327178"/>
    <n v="2228894"/>
    <n v="38959940"/>
    <n v="2909834"/>
    <m/>
    <m/>
    <m/>
    <s v="미완료"/>
    <s v="D-FT"/>
    <s v="COF(Assy_FT)"/>
    <s v="COF(Assy_FT)"/>
    <s v="기계장치"/>
    <n v="40907937"/>
    <n v="1278373.03125"/>
    <n v="426124.34375"/>
    <m/>
    <m/>
    <m/>
    <m/>
    <m/>
    <m/>
    <m/>
    <n v="1278373.03125"/>
    <n v="1278373.03125"/>
    <n v="2556746.0625"/>
    <n v="1278373.03125"/>
    <n v="1278373.03125"/>
    <n v="1278373.03125"/>
    <n v="1278373.03125"/>
    <n v="5113492.125"/>
    <n v="1278373.03125"/>
    <n v="1278373.03125"/>
    <n v="1278373.03125"/>
    <n v="1278373.03125"/>
    <n v="5113492.125"/>
    <n v="1278373.03125"/>
    <n v="1278373.03125"/>
    <n v="1278373.03125"/>
    <n v="1278373.03125"/>
    <n v="5113492.125"/>
    <m/>
    <m/>
    <m/>
    <n v="40907937"/>
  </r>
  <r>
    <n v="687"/>
    <x v="0"/>
    <m/>
    <s v="이종희"/>
    <s v="구미"/>
    <s v="PKG"/>
    <s v="O"/>
    <m/>
    <s v="DDI"/>
    <x v="5"/>
    <s v="FT"/>
    <x v="38"/>
    <n v="1005911"/>
    <s v="MC"/>
    <s v="PFH-91 :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9-04-24T00:00:00"/>
    <n v="6.5260273972602736"/>
    <n v="8"/>
    <m/>
    <s v="자사"/>
    <s v="미설정"/>
    <n v="1.5"/>
    <n v="1720"/>
    <n v="1550"/>
    <n v="2300"/>
    <n v="211123800"/>
    <m/>
    <m/>
    <m/>
    <n v="167139673"/>
    <n v="2199206"/>
    <n v="37386509"/>
    <n v="2782141"/>
    <m/>
    <m/>
    <m/>
    <s v="미완료"/>
    <s v="D-FT"/>
    <s v="COF(Assy_FT)"/>
    <s v="COF(Assy_FT)"/>
    <s v="기계장치"/>
    <n v="39255834.450000003"/>
    <n v="1226744.8265625001"/>
    <n v="408914.94218750001"/>
    <m/>
    <m/>
    <m/>
    <m/>
    <m/>
    <m/>
    <m/>
    <n v="1226744.8265625001"/>
    <n v="1226744.8265625001"/>
    <n v="2453489.6531250002"/>
    <n v="1226744.8265625001"/>
    <n v="1226744.8265625001"/>
    <n v="1226744.8265625001"/>
    <n v="1226744.8265625001"/>
    <n v="4906979.3062500004"/>
    <n v="1226744.8265625001"/>
    <n v="1226744.8265625001"/>
    <n v="1226744.8265625001"/>
    <n v="1226744.8265625001"/>
    <n v="4906979.3062500004"/>
    <n v="1226744.8265625001"/>
    <n v="1226744.8265625001"/>
    <n v="1226744.8265625001"/>
    <n v="1226744.8265625001"/>
    <n v="4906979.3062500004"/>
    <m/>
    <m/>
    <m/>
    <n v="39255834.450000003"/>
  </r>
  <r>
    <n v="688"/>
    <x v="0"/>
    <m/>
    <s v="이종희"/>
    <s v="구미"/>
    <s v="PKG"/>
    <s v="O"/>
    <m/>
    <s v="DDI"/>
    <x v="5"/>
    <s v="FT"/>
    <x v="38"/>
    <n v="1005912"/>
    <s v="MC"/>
    <s v="PFH-92 :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9-05-29T00:00:00"/>
    <n v="6.4301369863013695"/>
    <n v="8"/>
    <m/>
    <s v="자사"/>
    <s v="미설정"/>
    <n v="1.5"/>
    <n v="1720"/>
    <n v="1550"/>
    <n v="2300"/>
    <n v="211123800"/>
    <m/>
    <m/>
    <m/>
    <n v="164940467"/>
    <n v="2199206"/>
    <n v="39585715"/>
    <n v="3013986"/>
    <m/>
    <m/>
    <m/>
    <s v="미완료"/>
    <s v="D-FT"/>
    <s v="COF(Assy_FT)"/>
    <s v="COF(Assy_FT)"/>
    <s v="기계장치"/>
    <n v="41565000.75"/>
    <n v="1298906.2734375"/>
    <n v="432968.7578125"/>
    <m/>
    <m/>
    <m/>
    <m/>
    <m/>
    <m/>
    <m/>
    <n v="1298906.2734375"/>
    <n v="1298906.2734375"/>
    <n v="2597812.546875"/>
    <n v="1298906.2734375"/>
    <n v="1298906.2734375"/>
    <n v="1298906.2734375"/>
    <n v="1298906.2734375"/>
    <n v="5195625.09375"/>
    <n v="1298906.2734375"/>
    <n v="1298906.2734375"/>
    <n v="1298906.2734375"/>
    <n v="1298906.2734375"/>
    <n v="5195625.09375"/>
    <n v="1298906.2734375"/>
    <n v="1298906.2734375"/>
    <n v="1298906.2734375"/>
    <n v="1298906.2734375"/>
    <n v="5195625.09375"/>
    <m/>
    <m/>
    <m/>
    <n v="41565000.75"/>
  </r>
  <r>
    <n v="689"/>
    <x v="0"/>
    <m/>
    <s v="이종희"/>
    <s v="구미"/>
    <s v="PKG"/>
    <s v="O"/>
    <m/>
    <s v="DDI"/>
    <x v="5"/>
    <s v="FT"/>
    <x v="38"/>
    <n v="1006027"/>
    <s v="MC"/>
    <s v="PFH-93 : Handler(YM6401)(유어스)"/>
    <s v="YM6401"/>
    <x v="103"/>
    <s v="Handler"/>
    <n v="0"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9-12-26T00:00:00"/>
    <n v="5.8520547945205479"/>
    <n v="8"/>
    <m/>
    <s v="자사"/>
    <s v="설정"/>
    <n v="1.5"/>
    <n v="1720"/>
    <n v="1550"/>
    <n v="2300"/>
    <n v="175000000"/>
    <m/>
    <m/>
    <m/>
    <n v="123958335"/>
    <n v="1822917"/>
    <n v="45572914"/>
    <n v="3843516"/>
    <m/>
    <m/>
    <m/>
    <s v="미완료"/>
    <s v="D-FT"/>
    <s v="COF(Assy_FT)"/>
    <s v="COF(Assy_FT)"/>
    <s v="기계장치"/>
    <n v="47851559.700000003"/>
    <n v="1495361.2406250001"/>
    <n v="498453.74687500001"/>
    <m/>
    <m/>
    <m/>
    <m/>
    <m/>
    <m/>
    <m/>
    <n v="1495361.2406250001"/>
    <n v="1495361.2406250001"/>
    <n v="2990722.4812500002"/>
    <n v="1495361.2406250001"/>
    <n v="1495361.2406250001"/>
    <n v="1495361.2406250001"/>
    <n v="1495361.2406250001"/>
    <n v="5981444.9625000004"/>
    <n v="1495361.2406250001"/>
    <n v="1495361.2406250001"/>
    <n v="1495361.2406250001"/>
    <n v="1495361.2406250001"/>
    <n v="5981444.9625000004"/>
    <n v="1495361.2406250001"/>
    <n v="1495361.2406250001"/>
    <n v="1495361.2406250001"/>
    <n v="1495361.2406250001"/>
    <n v="5981444.9625000004"/>
    <m/>
    <m/>
    <m/>
    <n v="47851559.700000003"/>
  </r>
  <r>
    <n v="690"/>
    <x v="0"/>
    <m/>
    <s v="이종희"/>
    <s v="구미"/>
    <s v="PKG"/>
    <s v="O"/>
    <m/>
    <s v="DDI"/>
    <x v="5"/>
    <s v="FT"/>
    <x v="38"/>
    <n v="1006037"/>
    <s v="MC"/>
    <s v="PFH-94 :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9-12-26T00:00:00"/>
    <n v="5.8520547945205479"/>
    <n v="8"/>
    <m/>
    <s v="자사"/>
    <s v="설정"/>
    <n v="1.5"/>
    <n v="1720"/>
    <n v="1550"/>
    <n v="2300"/>
    <n v="175000000"/>
    <m/>
    <m/>
    <m/>
    <n v="123958335"/>
    <n v="1822917"/>
    <n v="45572914"/>
    <n v="3843516"/>
    <m/>
    <m/>
    <m/>
    <s v="미완료"/>
    <s v="D-FT"/>
    <s v="COF(Assy_FT)"/>
    <s v="COF(Assy_FT)"/>
    <s v="기계장치"/>
    <n v="47851559.700000003"/>
    <n v="1495361.2406250001"/>
    <n v="498453.74687500001"/>
    <m/>
    <m/>
    <m/>
    <m/>
    <m/>
    <m/>
    <m/>
    <n v="1495361.2406250001"/>
    <n v="1495361.2406250001"/>
    <n v="2990722.4812500002"/>
    <n v="1495361.2406250001"/>
    <n v="1495361.2406250001"/>
    <n v="1495361.2406250001"/>
    <n v="1495361.2406250001"/>
    <n v="5981444.9625000004"/>
    <n v="1495361.2406250001"/>
    <n v="1495361.2406250001"/>
    <n v="1495361.2406250001"/>
    <n v="1495361.2406250001"/>
    <n v="5981444.9625000004"/>
    <n v="1495361.2406250001"/>
    <n v="1495361.2406250001"/>
    <n v="1495361.2406250001"/>
    <n v="1495361.2406250001"/>
    <n v="5981444.9625000004"/>
    <m/>
    <m/>
    <m/>
    <n v="47851559.700000003"/>
  </r>
  <r>
    <n v="691"/>
    <x v="0"/>
    <m/>
    <s v="이종희"/>
    <s v="구미"/>
    <s v="PKG"/>
    <s v="O"/>
    <m/>
    <s v="DDI"/>
    <x v="5"/>
    <s v="FT"/>
    <x v="38"/>
    <n v="1005529"/>
    <s v="MC"/>
    <s v="PFH-95 : ND3/ND4 겸용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8-08-01T00:00:00"/>
    <n v="7.2547945205479456"/>
    <n v="8"/>
    <m/>
    <s v="자사"/>
    <s v="설정"/>
    <n v="1.5"/>
    <n v="1720"/>
    <n v="1550"/>
    <n v="2300"/>
    <n v="211114820"/>
    <m/>
    <m/>
    <m/>
    <n v="184725468"/>
    <n v="2199113"/>
    <n v="19792013"/>
    <n v="927771"/>
    <m/>
    <m/>
    <m/>
    <s v="미완료"/>
    <s v="D-FT"/>
    <s v="COF(Assy_FT)"/>
    <s v="COF(Assy_FT)"/>
    <s v="기계장치"/>
    <n v="20781613.650000002"/>
    <n v="649425.42656250007"/>
    <n v="216475.14218750002"/>
    <m/>
    <m/>
    <m/>
    <m/>
    <m/>
    <m/>
    <m/>
    <n v="649425.42656250007"/>
    <n v="649425.42656250007"/>
    <n v="1298850.8531250001"/>
    <n v="649425.42656250007"/>
    <n v="649425.42656250007"/>
    <n v="649425.42656250007"/>
    <n v="649425.42656250007"/>
    <n v="2597701.7062500003"/>
    <n v="649425.42656250007"/>
    <n v="649425.42656250007"/>
    <n v="649425.42656250007"/>
    <n v="649425.42656250007"/>
    <n v="2597701.7062500003"/>
    <n v="649425.42656250007"/>
    <n v="649425.42656250007"/>
    <n v="649425.42656250007"/>
    <n v="649425.42656250007"/>
    <n v="2597701.7062500003"/>
    <m/>
    <m/>
    <m/>
    <n v="20781613.650000002"/>
  </r>
  <r>
    <n v="692"/>
    <x v="0"/>
    <m/>
    <s v="이종희"/>
    <s v="구미"/>
    <s v="PKG"/>
    <s v="O"/>
    <m/>
    <s v="DDI"/>
    <x v="5"/>
    <s v="FT"/>
    <x v="38"/>
    <n v="1006724"/>
    <s v="MC"/>
    <s v="PFH-96 :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21-07-14T00:00:00"/>
    <n v="4.3013698630136989"/>
    <n v="8"/>
    <m/>
    <s v="자사"/>
    <s v="설정"/>
    <n v="1.5"/>
    <n v="1720"/>
    <n v="1550"/>
    <n v="2300"/>
    <n v="210000000"/>
    <m/>
    <m/>
    <m/>
    <n v="107187500"/>
    <n v="2187500"/>
    <n v="96250000"/>
    <n v="8993828"/>
    <m/>
    <m/>
    <m/>
    <s v="미완료"/>
    <s v="D-FT"/>
    <s v="COF(Assy_FT)"/>
    <s v="COF(Assy_FT)"/>
    <s v="기계장치"/>
    <n v="101062500"/>
    <n v="3158203.125"/>
    <n v="1052734.375"/>
    <m/>
    <m/>
    <m/>
    <m/>
    <m/>
    <m/>
    <m/>
    <n v="3158203.125"/>
    <n v="3158203.125"/>
    <n v="6316406.25"/>
    <n v="3158203.125"/>
    <n v="3158203.125"/>
    <n v="3158203.125"/>
    <n v="3158203.125"/>
    <n v="12632812.5"/>
    <n v="3158203.125"/>
    <n v="3158203.125"/>
    <n v="3158203.125"/>
    <n v="3158203.125"/>
    <n v="12632812.5"/>
    <n v="3158203.125"/>
    <n v="3158203.125"/>
    <n v="3158203.125"/>
    <n v="3158203.125"/>
    <n v="12632812.5"/>
    <m/>
    <m/>
    <m/>
    <n v="101062500"/>
  </r>
  <r>
    <n v="693"/>
    <x v="0"/>
    <m/>
    <s v="이종희"/>
    <s v="구미"/>
    <s v="PKG"/>
    <s v="O"/>
    <m/>
    <s v="DDI"/>
    <x v="5"/>
    <s v="FT"/>
    <x v="38"/>
    <n v="1006733"/>
    <s v="MC"/>
    <s v="PFH-97 :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21-07-14T00:00:00"/>
    <n v="4.3013698630136989"/>
    <n v="8"/>
    <m/>
    <s v="자사"/>
    <s v="설정"/>
    <n v="1.5"/>
    <n v="1720"/>
    <n v="1550"/>
    <n v="2300"/>
    <n v="210000000"/>
    <m/>
    <m/>
    <m/>
    <n v="107187500"/>
    <n v="2187500"/>
    <n v="96250000"/>
    <n v="8993828"/>
    <m/>
    <m/>
    <m/>
    <s v="미완료"/>
    <s v="D-FT"/>
    <s v="COF(Assy_FT)"/>
    <s v="COF(Assy_FT)"/>
    <s v="기계장치"/>
    <n v="101062500"/>
    <n v="3158203.125"/>
    <n v="1052734.375"/>
    <m/>
    <m/>
    <m/>
    <m/>
    <m/>
    <m/>
    <m/>
    <n v="3158203.125"/>
    <n v="3158203.125"/>
    <n v="6316406.25"/>
    <n v="3158203.125"/>
    <n v="3158203.125"/>
    <n v="3158203.125"/>
    <n v="3158203.125"/>
    <n v="12632812.5"/>
    <n v="3158203.125"/>
    <n v="3158203.125"/>
    <n v="3158203.125"/>
    <n v="3158203.125"/>
    <n v="12632812.5"/>
    <n v="3158203.125"/>
    <n v="3158203.125"/>
    <n v="3158203.125"/>
    <n v="3158203.125"/>
    <n v="12632812.5"/>
    <m/>
    <m/>
    <m/>
    <n v="101062500"/>
  </r>
  <r>
    <n v="694"/>
    <x v="0"/>
    <m/>
    <s v="이종희"/>
    <s v="구미"/>
    <s v="PKG"/>
    <s v="O"/>
    <m/>
    <s v="DDI"/>
    <x v="5"/>
    <s v="FT"/>
    <x v="38"/>
    <n v="1005473"/>
    <s v="MC"/>
    <s v="PFH-98 : ND3/ND4 겸용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8-06-28T00:00:00"/>
    <n v="7.3479452054794523"/>
    <n v="8"/>
    <m/>
    <s v="자사"/>
    <s v="설정"/>
    <n v="1.5"/>
    <n v="1720"/>
    <n v="1550"/>
    <n v="2300"/>
    <n v="219999500"/>
    <m/>
    <m/>
    <m/>
    <n v="195717252"/>
    <n v="2291661"/>
    <n v="17407265"/>
    <n v="541372"/>
    <m/>
    <m/>
    <m/>
    <s v="미완료"/>
    <s v="D-FT"/>
    <s v="COF(Assy_FT)"/>
    <s v="COF(Assy_FT)"/>
    <s v="기계장치"/>
    <n v="18277628.25"/>
    <n v="571175.8828125"/>
    <n v="190391.9609375"/>
    <m/>
    <m/>
    <m/>
    <m/>
    <m/>
    <m/>
    <m/>
    <n v="571175.8828125"/>
    <n v="571175.8828125"/>
    <n v="1142351.765625"/>
    <n v="571175.8828125"/>
    <n v="571175.8828125"/>
    <n v="571175.8828125"/>
    <n v="571175.8828125"/>
    <n v="2284703.53125"/>
    <n v="571175.8828125"/>
    <n v="571175.8828125"/>
    <n v="571175.8828125"/>
    <n v="571175.8828125"/>
    <n v="2284703.53125"/>
    <n v="571175.8828125"/>
    <n v="571175.8828125"/>
    <n v="571175.8828125"/>
    <n v="571175.8828125"/>
    <n v="2284703.53125"/>
    <m/>
    <m/>
    <m/>
    <n v="18277628.25"/>
  </r>
  <r>
    <n v="695"/>
    <x v="0"/>
    <m/>
    <s v="이종희"/>
    <s v="구미"/>
    <s v="PKG"/>
    <s v="O"/>
    <m/>
    <s v="DDI"/>
    <x v="5"/>
    <s v="FT"/>
    <x v="38"/>
    <n v="1005532"/>
    <s v="MC"/>
    <s v="PFH-99 : ND3/ND4 겸용 Handler(YM6401)(유어스)"/>
    <s v="YM6401"/>
    <x v="103"/>
    <s v="Handler"/>
    <m/>
    <x v="173"/>
    <s v="가동"/>
    <s v="한국"/>
    <s v="유어스"/>
    <x v="2"/>
    <s v="3차"/>
    <s v="3차"/>
    <s v="해당"/>
    <s v="PGK(COF) Test Handler(FT)"/>
    <m/>
    <m/>
    <m/>
    <s v="3A992"/>
    <s v="9030.82-0000"/>
    <s v="해당 가능성은 있으나 가능성 낮음"/>
    <m/>
    <m/>
    <d v="2018-08-01T00:00:00"/>
    <n v="7.2547945205479456"/>
    <n v="8"/>
    <m/>
    <s v="자사"/>
    <s v="설정"/>
    <n v="1.5"/>
    <n v="1720"/>
    <n v="1550"/>
    <n v="2300"/>
    <n v="225947210"/>
    <m/>
    <m/>
    <m/>
    <n v="193706429"/>
    <n v="2353617"/>
    <n v="25179930"/>
    <n v="1233730"/>
    <m/>
    <m/>
    <m/>
    <s v="미완료"/>
    <s v="D-FT"/>
    <s v="COF(Assy_FT)"/>
    <s v="COF(Assy_FT)"/>
    <s v="기계장치"/>
    <n v="26438926.5"/>
    <n v="826216.453125"/>
    <n v="275405.484375"/>
    <m/>
    <m/>
    <m/>
    <m/>
    <m/>
    <m/>
    <m/>
    <n v="826216.453125"/>
    <n v="826216.453125"/>
    <n v="1652432.90625"/>
    <n v="826216.453125"/>
    <n v="826216.453125"/>
    <n v="826216.453125"/>
    <n v="826216.453125"/>
    <n v="3304865.8125"/>
    <n v="826216.453125"/>
    <n v="826216.453125"/>
    <n v="826216.453125"/>
    <n v="826216.453125"/>
    <n v="3304865.8125"/>
    <n v="826216.453125"/>
    <n v="826216.453125"/>
    <n v="826216.453125"/>
    <n v="826216.453125"/>
    <n v="3304865.8125"/>
    <m/>
    <m/>
    <m/>
    <n v="26438926.5"/>
  </r>
  <r>
    <n v="696"/>
    <x v="0"/>
    <m/>
    <s v="이종희"/>
    <s v="구미"/>
    <s v="PKG"/>
    <s v="O"/>
    <m/>
    <s v="DDI"/>
    <x v="5"/>
    <s v="FT"/>
    <x v="38"/>
    <n v="1003385"/>
    <s v="MC"/>
    <s v="PFT(H)-51 : ND2(310299620)_Advan Tester + Handler(YM630M)(USED)"/>
    <s v="T6372 &amp; YM630M"/>
    <x v="1"/>
    <s v="Tester"/>
    <n v="310299620"/>
    <x v="170"/>
    <s v="운휴"/>
    <s v="한국"/>
    <s v="ADVANTEST + 유어스"/>
    <x v="0"/>
    <s v="1차"/>
    <s v="1차"/>
    <s v="해당"/>
    <s v="PKG(COF)Tester"/>
    <s v="COF PKG Test"/>
    <m/>
    <m/>
    <s v="3B992"/>
    <s v="9030.82-0000"/>
    <s v="반도체 Test 장비"/>
    <m/>
    <m/>
    <d v="2012-04-20T00:00:00"/>
    <n v="13.53972602739726"/>
    <n v="8"/>
    <m/>
    <s v="자사"/>
    <s v="미설정"/>
    <n v="9.9451440000000009"/>
    <n v="950"/>
    <n v="1250"/>
    <n v="1800"/>
    <n v="362802006"/>
    <m/>
    <m/>
    <m/>
    <n v="362801006"/>
    <n v="0"/>
    <n v="1000"/>
    <n v="1000"/>
    <m/>
    <m/>
    <m/>
    <s v="완료"/>
    <s v="D-FT"/>
    <s v="COF(Assy_FT)"/>
    <s v="COF(Assy_FT)"/>
    <s v="기계장치"/>
    <n v="7256040.1200000001"/>
    <n v="691709.00138452731"/>
    <n v="230569.66712817576"/>
    <m/>
    <m/>
    <m/>
    <m/>
    <m/>
    <m/>
    <m/>
    <n v="691709.00138452731"/>
    <n v="691709.00138452731"/>
    <n v="1383418.0027690546"/>
    <n v="691709.00138452731"/>
    <n v="691709.00138452731"/>
    <n v="691709.00138452731"/>
    <n v="691709.00138452731"/>
    <n v="2766836.0055381092"/>
    <n v="691709.00138452731"/>
    <n v="691709.00138452731"/>
    <n v="691709.00138452731"/>
    <n v="691709.00138452731"/>
    <n v="2766836.0055381092"/>
    <n v="691709.00138452731"/>
    <n v="691709.00138452731"/>
    <n v="691709.00138452731"/>
    <n v="691709.00138452731"/>
    <n v="2766836.0055381092"/>
    <m/>
    <n v="7.0850704401451787E-4"/>
    <n v="14878647.924304875"/>
    <n v="22134688.044304874"/>
  </r>
  <r>
    <n v="697"/>
    <x v="0"/>
    <m/>
    <s v="이종희"/>
    <s v="구미"/>
    <s v="PKG"/>
    <s v="O"/>
    <m/>
    <s v="DDI"/>
    <x v="5"/>
    <s v="FT"/>
    <x v="38"/>
    <n v="1000139"/>
    <s v="MC"/>
    <s v="PFT-05 : TESTER_TS670(325B24001M)"/>
    <s v="TS670"/>
    <x v="111"/>
    <s v="Tester"/>
    <s v="325B24001M"/>
    <x v="175"/>
    <s v="가동"/>
    <s v="일본"/>
    <s v="YOKOGAWA"/>
    <x v="1"/>
    <s v="1차"/>
    <s v="1차"/>
    <s v="해당"/>
    <s v="PKG(COF)Tester"/>
    <s v="COF PKG Test"/>
    <m/>
    <m/>
    <s v="3B992"/>
    <s v="9030.82-0000"/>
    <s v="Enduser 중국"/>
    <m/>
    <m/>
    <d v="2004-12-23T00:00:00"/>
    <n v="20.86849315068493"/>
    <n v="8"/>
    <m/>
    <s v="자사"/>
    <s v="미설정"/>
    <m/>
    <m/>
    <m/>
    <m/>
    <n v="499969529"/>
    <m/>
    <m/>
    <m/>
    <n v="499968529"/>
    <n v="0"/>
    <n v="1000"/>
    <n v="1000"/>
    <m/>
    <m/>
    <m/>
    <s v="완료"/>
    <s v="D-FT"/>
    <s v="COF(Assy_FT)"/>
    <s v="COF(Assy_FT)"/>
    <s v="기계장치"/>
    <n v="9999390.5800000001"/>
    <n v="953229.08337855898"/>
    <n v="317743.02779285301"/>
    <m/>
    <m/>
    <n v="953229.08337855898"/>
    <n v="953229.08337855898"/>
    <n v="1906458.166757118"/>
    <n v="953229.08337855898"/>
    <n v="953229.08337855898"/>
    <n v="953229.08337855898"/>
    <n v="953229.08337855898"/>
    <n v="3812916.3335142359"/>
    <n v="953229.08337855898"/>
    <n v="953229.08337855898"/>
    <n v="953229.08337855898"/>
    <n v="953229.08337855898"/>
    <n v="3812916.3335142359"/>
    <n v="953229.08337855898"/>
    <n v="953229.08337855898"/>
    <n v="953229.08337855898"/>
    <n v="953229.08337855898"/>
    <n v="3812916.3335142359"/>
    <n v="953229.08337855898"/>
    <n v="953229.08337855898"/>
    <n v="953229.08337855898"/>
    <n v="953229.08337855898"/>
    <n v="3812916.3335142359"/>
    <m/>
    <n v="9.7637809943399475E-4"/>
    <n v="20503940.088113889"/>
    <n v="30503330.668113887"/>
  </r>
  <r>
    <n v="698"/>
    <x v="0"/>
    <m/>
    <s v="이종희"/>
    <s v="구미"/>
    <s v="PKG"/>
    <s v="O"/>
    <m/>
    <s v="DDI"/>
    <x v="5"/>
    <s v="FT"/>
    <x v="38"/>
    <n v="1006676"/>
    <s v="MC"/>
    <s v="PFT-100 : TESTER_ND4(311273590)"/>
    <s v="T6391"/>
    <x v="112"/>
    <s v="Tester"/>
    <n v="311273590"/>
    <x v="173"/>
    <s v="가동"/>
    <s v="일본"/>
    <s v="ADVANTEST"/>
    <x v="2"/>
    <s v="1차"/>
    <s v="1차"/>
    <s v="해당"/>
    <s v="PKG(COF)Tester"/>
    <s v="COF PKG Test"/>
    <m/>
    <m/>
    <s v="3B992"/>
    <s v="9030.82-0000"/>
    <s v="Enduser 중국"/>
    <m/>
    <m/>
    <d v="2021-09-27T00:00:00"/>
    <n v="4.095890410958904"/>
    <n v="8"/>
    <m/>
    <s v="자사"/>
    <s v="설정"/>
    <n v="13.3"/>
    <n v="1050"/>
    <n v="800"/>
    <n v="1600"/>
    <n v="952968821"/>
    <m/>
    <m/>
    <m/>
    <n v="466557653"/>
    <n v="9926759"/>
    <n v="456630891"/>
    <n v="42906514"/>
    <m/>
    <m/>
    <m/>
    <s v="미완료"/>
    <s v="D-FT"/>
    <s v="COF(Assy_FT)"/>
    <s v="COF(Assy_FT)"/>
    <s v="기계장치"/>
    <n v="479462435.55000001"/>
    <n v="14983201.1109375"/>
    <n v="4994400.3703124998"/>
    <m/>
    <m/>
    <m/>
    <m/>
    <m/>
    <m/>
    <m/>
    <n v="14983201.110937499"/>
    <n v="14983201.110937499"/>
    <n v="29966402.221874997"/>
    <n v="14983201.110937499"/>
    <n v="14983201.110937499"/>
    <n v="14983201.110937499"/>
    <n v="14983201.110937499"/>
    <n v="59932804.443749994"/>
    <n v="14983201.110937499"/>
    <n v="14983201.110937499"/>
    <n v="14983201.110937499"/>
    <n v="14983201.110937499"/>
    <n v="59932804.443749994"/>
    <n v="14983201.110937499"/>
    <n v="14983201.110937499"/>
    <n v="14983201.110937499"/>
    <n v="14983201.110937499"/>
    <n v="59932804.443749994"/>
    <m/>
    <m/>
    <m/>
    <n v="479462435.55000001"/>
  </r>
  <r>
    <n v="699"/>
    <x v="0"/>
    <m/>
    <s v="이종희"/>
    <s v="구미"/>
    <s v="PKG"/>
    <s v="O"/>
    <m/>
    <s v="DDI"/>
    <x v="5"/>
    <s v="FT"/>
    <x v="38"/>
    <n v="1006678"/>
    <s v="MC"/>
    <s v="PFT-101 : TESTER_ND4(311273591)"/>
    <s v="T6391"/>
    <x v="112"/>
    <s v="Tester"/>
    <n v="311273591"/>
    <x v="173"/>
    <s v="가동"/>
    <s v="일본"/>
    <s v="ADVANTEST"/>
    <x v="1"/>
    <s v="1차"/>
    <s v="1차"/>
    <s v="해당"/>
    <s v="PKG(COF)Tester"/>
    <s v="COF PKG Test"/>
    <m/>
    <m/>
    <s v="3B992"/>
    <s v="9030.82-0000"/>
    <s v="Enduser 중국"/>
    <m/>
    <m/>
    <d v="2021-09-27T00:00:00"/>
    <n v="4.095890410958904"/>
    <n v="8"/>
    <m/>
    <s v="자사"/>
    <s v="설정"/>
    <n v="13.3"/>
    <n v="1050"/>
    <n v="800"/>
    <n v="1600"/>
    <n v="980151575"/>
    <m/>
    <m/>
    <m/>
    <n v="455876292"/>
    <n v="9699496"/>
    <n v="494666378"/>
    <n v="46587270"/>
    <m/>
    <m/>
    <m/>
    <s v="미완료"/>
    <s v="D-FT"/>
    <s v="COF(Assy_FT)"/>
    <s v="COF(Assy_FT)"/>
    <s v="기계장치"/>
    <n v="519399696.90000004"/>
    <n v="49513707.162650749"/>
    <n v="16504569.054216916"/>
    <m/>
    <m/>
    <n v="49513707.162650749"/>
    <n v="49513707.162650749"/>
    <n v="99027414.325301498"/>
    <n v="49513707.162650749"/>
    <n v="49513707.162650749"/>
    <n v="49513707.162650749"/>
    <n v="49513707.162650749"/>
    <n v="198054828.650603"/>
    <n v="49513707.162650749"/>
    <n v="49513707.162650749"/>
    <n v="49513707.162650749"/>
    <n v="49513707.162650749"/>
    <n v="198054828.650603"/>
    <n v="49513707.162650749"/>
    <n v="49513707.162650749"/>
    <n v="49513707.162650749"/>
    <n v="49513707.162650749"/>
    <n v="198054828.650603"/>
    <n v="49513707.162650749"/>
    <n v="49513707.162650749"/>
    <n v="49513707.162650749"/>
    <n v="49513707.162650749"/>
    <n v="198054828.650603"/>
    <m/>
    <n v="5.071613963356305E-2"/>
    <n v="1065038932.304824"/>
    <n v="1584438629.204824"/>
  </r>
  <r>
    <n v="700"/>
    <x v="0"/>
    <m/>
    <s v="이종희"/>
    <s v="구미"/>
    <s v="PKG"/>
    <s v="O"/>
    <m/>
    <s v="DDI"/>
    <x v="5"/>
    <s v="FT"/>
    <x v="38"/>
    <n v="1006602"/>
    <s v="MC"/>
    <s v="PFT-102 : TESTER_ND4(311279590)"/>
    <s v="T6391"/>
    <x v="112"/>
    <s v="Tester"/>
    <n v="311279590"/>
    <x v="173"/>
    <s v="가동"/>
    <s v="일본"/>
    <s v="ADVANTEST"/>
    <x v="2"/>
    <s v="1차"/>
    <s v="1차"/>
    <s v="해당"/>
    <s v="PKG(COF)Tester"/>
    <s v="COF PKG Test"/>
    <m/>
    <m/>
    <s v="3B992"/>
    <s v="9030.82-0000"/>
    <s v="Enduser 중국"/>
    <m/>
    <m/>
    <d v="2021-03-25T00:00:00"/>
    <n v="4.6054794520547944"/>
    <n v="8"/>
    <m/>
    <s v="자사"/>
    <s v="설정"/>
    <n v="13.3"/>
    <n v="1050"/>
    <n v="800"/>
    <n v="1600"/>
    <n v="984260781"/>
    <m/>
    <m/>
    <m/>
    <n v="543393967"/>
    <n v="10252716"/>
    <n v="410108666"/>
    <n v="37830221"/>
    <m/>
    <m/>
    <m/>
    <s v="미완료"/>
    <s v="D-FT"/>
    <s v="COF(Assy_FT)"/>
    <s v="COF(Assy_FT)"/>
    <s v="기계장치"/>
    <n v="430614099.30000001"/>
    <n v="13456690.603125"/>
    <n v="4485563.5343749998"/>
    <m/>
    <m/>
    <m/>
    <m/>
    <m/>
    <m/>
    <m/>
    <n v="13456690.603124999"/>
    <n v="13456690.603124999"/>
    <n v="26913381.206249997"/>
    <n v="13456690.603124999"/>
    <n v="13456690.603124999"/>
    <n v="13456690.603124999"/>
    <n v="13456690.603124999"/>
    <n v="53826762.412499994"/>
    <n v="13456690.603124999"/>
    <n v="13456690.603124999"/>
    <n v="13456690.603124999"/>
    <n v="13456690.603124999"/>
    <n v="53826762.412499994"/>
    <n v="13456690.603124999"/>
    <n v="13456690.603124999"/>
    <n v="13456690.603124999"/>
    <n v="13456690.603124999"/>
    <n v="53826762.412499994"/>
    <m/>
    <m/>
    <m/>
    <n v="430614099.30000001"/>
  </r>
  <r>
    <n v="701"/>
    <x v="0"/>
    <m/>
    <s v="이종희"/>
    <s v="구미"/>
    <s v="PKG"/>
    <s v="O"/>
    <m/>
    <s v="DDI"/>
    <x v="5"/>
    <s v="FT"/>
    <x v="38"/>
    <n v="1006611"/>
    <s v="MC"/>
    <s v="PFT-103 : TESTER_ND4(311250979)"/>
    <s v="T6391"/>
    <x v="112"/>
    <s v="Tester"/>
    <n v="311250979"/>
    <x v="173"/>
    <s v="가동"/>
    <s v="일본"/>
    <s v="ADVANTEST"/>
    <x v="2"/>
    <s v="1차"/>
    <s v="1차"/>
    <s v="해당"/>
    <s v="PKG(COF)Tester"/>
    <s v="COF PKG Test"/>
    <m/>
    <m/>
    <s v="3B992"/>
    <s v="9030.82-0000"/>
    <s v="Enduser 중국"/>
    <m/>
    <m/>
    <d v="2021-03-25T00:00:00"/>
    <n v="4.6054794520547944"/>
    <n v="8"/>
    <m/>
    <s v="자사"/>
    <s v="설정"/>
    <n v="13.3"/>
    <n v="1050"/>
    <n v="800"/>
    <n v="1600"/>
    <n v="983554482"/>
    <m/>
    <m/>
    <m/>
    <n v="543004034"/>
    <n v="10245359"/>
    <n v="409814371"/>
    <n v="37803075"/>
    <m/>
    <m/>
    <m/>
    <s v="미완료"/>
    <s v="D-FT"/>
    <s v="COF(Assy_FT)"/>
    <s v="COF(Assy_FT)"/>
    <s v="기계장치"/>
    <n v="430305089.55000001"/>
    <n v="13447034.0484375"/>
    <n v="4482344.6828124998"/>
    <m/>
    <m/>
    <m/>
    <m/>
    <m/>
    <m/>
    <m/>
    <n v="13447034.048437499"/>
    <n v="13447034.048437499"/>
    <n v="26894068.096874997"/>
    <n v="13447034.048437499"/>
    <n v="13447034.048437499"/>
    <n v="13447034.048437499"/>
    <n v="13447034.048437499"/>
    <n v="53788136.193749994"/>
    <n v="13447034.048437499"/>
    <n v="13447034.048437499"/>
    <n v="13447034.048437499"/>
    <n v="13447034.048437499"/>
    <n v="53788136.193749994"/>
    <n v="13447034.048437499"/>
    <n v="13447034.048437499"/>
    <n v="13447034.048437499"/>
    <n v="13447034.048437499"/>
    <n v="53788136.193749994"/>
    <m/>
    <m/>
    <m/>
    <n v="430305089.55000001"/>
  </r>
  <r>
    <n v="702"/>
    <x v="0"/>
    <m/>
    <s v="이종희"/>
    <s v="구미"/>
    <s v="PKG"/>
    <s v="O"/>
    <m/>
    <s v="DDI"/>
    <x v="5"/>
    <s v="FT"/>
    <x v="38"/>
    <n v="1004583"/>
    <s v="MC"/>
    <s v="PFT-11 : TESTER_ND3(310718779)"/>
    <s v="T6373"/>
    <x v="5"/>
    <s v="Tester"/>
    <n v="310718779"/>
    <x v="169"/>
    <s v="가동"/>
    <s v="일본"/>
    <s v="ADVANTEST"/>
    <x v="1"/>
    <s v="1차"/>
    <s v="1차"/>
    <s v="해당"/>
    <s v="PKG(COF)Tester"/>
    <s v="COF PKG Test"/>
    <m/>
    <m/>
    <s v="3B992"/>
    <s v="9030.82-0000"/>
    <s v="반도체 Test 장비"/>
    <m/>
    <m/>
    <d v="2015-05-06T00:00:00"/>
    <n v="10.495890410958904"/>
    <n v="8"/>
    <m/>
    <s v="자사"/>
    <s v="설정"/>
    <n v="9.83"/>
    <n v="1250"/>
    <n v="950"/>
    <n v="1800"/>
    <n v="514472086"/>
    <m/>
    <m/>
    <m/>
    <n v="514471086"/>
    <n v="2419212"/>
    <n v="1000"/>
    <n v="1000"/>
    <m/>
    <m/>
    <m/>
    <s v="완료"/>
    <s v="D-FT"/>
    <s v="COF(Assy_FT)"/>
    <s v="COF(Assy_FT)"/>
    <s v="기계장치"/>
    <n v="10289441.720000001"/>
    <n v="980879.28666875861"/>
    <n v="326959.76222291955"/>
    <m/>
    <m/>
    <n v="980879.28666875861"/>
    <n v="980879.28666875861"/>
    <n v="1961758.5733375172"/>
    <n v="980879.28666875861"/>
    <n v="980879.28666875861"/>
    <n v="980879.28666875861"/>
    <n v="980879.28666875861"/>
    <n v="3923517.1466750344"/>
    <n v="980879.28666875861"/>
    <n v="980879.28666875861"/>
    <n v="980879.28666875861"/>
    <n v="980879.28666875861"/>
    <n v="3923517.1466750344"/>
    <n v="980879.28666875861"/>
    <n v="980879.28666875861"/>
    <n v="980879.28666875861"/>
    <n v="980879.28666875861"/>
    <n v="3923517.1466750344"/>
    <n v="980879.28666875861"/>
    <n v="980879.28666875861"/>
    <n v="980879.28666875861"/>
    <n v="980879.28666875861"/>
    <n v="3923517.1466750344"/>
    <m/>
    <n v="1.0046997834952513E-3"/>
    <n v="21098695.453400277"/>
    <n v="31388137.173400275"/>
  </r>
  <r>
    <n v="703"/>
    <x v="0"/>
    <m/>
    <s v="이종희"/>
    <s v="구미"/>
    <s v="PKG"/>
    <s v="O"/>
    <m/>
    <s v="DDI"/>
    <x v="5"/>
    <s v="FT"/>
    <x v="38"/>
    <n v="1000587"/>
    <s v="MC"/>
    <s v="PFT-21 : TESTER_ND2(310277435)"/>
    <s v="T6372"/>
    <x v="1"/>
    <s v="Tester"/>
    <n v="310277435"/>
    <x v="170"/>
    <s v="가동"/>
    <s v="일본"/>
    <s v="ADVANTEST"/>
    <x v="1"/>
    <s v="1차"/>
    <s v="1차"/>
    <s v="해당"/>
    <s v="PKG(COF)Tester"/>
    <s v="COF PKG Test"/>
    <m/>
    <m/>
    <s v="3B992"/>
    <s v="9030.82-0000"/>
    <s v="반도체 Test 장비"/>
    <m/>
    <m/>
    <d v="2006-04-30T00:00:00"/>
    <n v="19.517808219178082"/>
    <n v="8"/>
    <m/>
    <s v="자사"/>
    <s v="미설정"/>
    <n v="9.9451440000000009"/>
    <n v="950"/>
    <n v="1250"/>
    <n v="1800"/>
    <n v="489119878"/>
    <m/>
    <m/>
    <m/>
    <n v="489118878"/>
    <n v="0"/>
    <n v="1000"/>
    <n v="1000"/>
    <m/>
    <m/>
    <m/>
    <s v="완료"/>
    <s v="D-FT"/>
    <s v="COF(Assy_FT)"/>
    <s v="COF(Assy_FT)"/>
    <s v="기계장치"/>
    <n v="9782397.5600000005"/>
    <n v="932543.41699726391"/>
    <n v="310847.80566575465"/>
    <m/>
    <m/>
    <n v="932543.41699726391"/>
    <n v="932543.41699726391"/>
    <n v="1865086.8339945278"/>
    <n v="932543.41699726391"/>
    <n v="932543.41699726391"/>
    <n v="932543.41699726391"/>
    <n v="932543.41699726391"/>
    <n v="3730173.6679890556"/>
    <n v="932543.41699726391"/>
    <n v="932543.41699726391"/>
    <n v="932543.41699726391"/>
    <n v="932543.41699726391"/>
    <n v="3730173.6679890556"/>
    <n v="932543.41699726391"/>
    <n v="932543.41699726391"/>
    <n v="932543.41699726391"/>
    <n v="932543.41699726391"/>
    <n v="3730173.6679890556"/>
    <n v="932543.41699726391"/>
    <n v="932543.41699726391"/>
    <n v="932543.41699726391"/>
    <n v="932543.41699726391"/>
    <n v="3730173.6679890556"/>
    <m/>
    <n v="9.5519008494821173E-4"/>
    <n v="20058991.783912446"/>
    <n v="29841389.343912445"/>
  </r>
  <r>
    <n v="704"/>
    <x v="0"/>
    <m/>
    <s v="이종희"/>
    <s v="구미"/>
    <s v="PKG"/>
    <s v="O"/>
    <m/>
    <s v="DDI"/>
    <x v="5"/>
    <s v="FT"/>
    <x v="38"/>
    <n v="1000586"/>
    <s v="MC"/>
    <s v="PFT-24 : TESTER_ND2(310275050)"/>
    <s v="T6372"/>
    <x v="1"/>
    <s v="Tester"/>
    <n v="310275050"/>
    <x v="170"/>
    <s v="가동"/>
    <s v="일본"/>
    <s v="ADVANTEST"/>
    <x v="1"/>
    <s v="1차"/>
    <s v="1차"/>
    <s v="해당"/>
    <s v="PKG(COF)Tester"/>
    <s v="COF PKG Test"/>
    <m/>
    <m/>
    <s v="3B992"/>
    <s v="9030.82-0000"/>
    <s v="반도체 Test 장비"/>
    <m/>
    <m/>
    <d v="2006-04-30T00:00:00"/>
    <n v="19.517808219178082"/>
    <n v="8"/>
    <m/>
    <s v="자사"/>
    <s v="미설정"/>
    <n v="9.9451440000000009"/>
    <n v="950"/>
    <n v="1250"/>
    <n v="1800"/>
    <n v="489119883"/>
    <m/>
    <m/>
    <m/>
    <n v="489118883"/>
    <n v="0"/>
    <n v="1000"/>
    <n v="1000"/>
    <m/>
    <m/>
    <m/>
    <s v="완료"/>
    <s v="D-FT"/>
    <s v="COF(Assy_FT)"/>
    <s v="COF(Assy_FT)"/>
    <s v="기계장치"/>
    <n v="9782397.6600000001"/>
    <n v="932543.42653013568"/>
    <n v="310847.80884337856"/>
    <m/>
    <m/>
    <n v="932543.42653013568"/>
    <n v="932543.42653013568"/>
    <n v="1865086.8530602714"/>
    <n v="932543.42653013568"/>
    <n v="932543.42653013568"/>
    <n v="932543.42653013568"/>
    <n v="932543.42653013568"/>
    <n v="3730173.7061205427"/>
    <n v="932543.42653013568"/>
    <n v="932543.42653013568"/>
    <n v="932543.42653013568"/>
    <n v="932543.42653013568"/>
    <n v="3730173.7061205427"/>
    <n v="932543.42653013568"/>
    <n v="932543.42653013568"/>
    <n v="932543.42653013568"/>
    <n v="932543.42653013568"/>
    <n v="3730173.7061205427"/>
    <n v="932543.42653013568"/>
    <n v="932543.42653013568"/>
    <n v="932543.42653013568"/>
    <n v="932543.42653013568"/>
    <n v="3730173.7061205427"/>
    <m/>
    <n v="9.5519009471258778E-4"/>
    <n v="20058991.988964342"/>
    <n v="29841389.648964342"/>
  </r>
  <r>
    <n v="705"/>
    <x v="0"/>
    <m/>
    <s v="이종희"/>
    <s v="구미"/>
    <s v="PKG"/>
    <s v="O"/>
    <m/>
    <s v="DDI"/>
    <x v="5"/>
    <s v="FT"/>
    <x v="38"/>
    <n v="1000805"/>
    <s v="MC"/>
    <s v="PFT-27 : TESTER_ND2(310286543)"/>
    <s v="T6372"/>
    <x v="1"/>
    <s v="Tester"/>
    <n v="310286543"/>
    <x v="170"/>
    <s v="가동"/>
    <s v="일본"/>
    <s v="ADVANTEST"/>
    <x v="0"/>
    <s v="1차"/>
    <s v="1차"/>
    <s v="해당"/>
    <s v="PKG(COF)Tester"/>
    <s v="COF PKG Test"/>
    <m/>
    <m/>
    <s v="3B992"/>
    <s v="9030.82-0000"/>
    <s v="반도체 Test 장비"/>
    <m/>
    <m/>
    <d v="2006-09-30T00:00:00"/>
    <n v="19.098630136986301"/>
    <n v="8"/>
    <m/>
    <s v="자사"/>
    <s v="미설정"/>
    <n v="9.9451440000000009"/>
    <n v="950"/>
    <n v="1250"/>
    <n v="1800"/>
    <n v="498384274"/>
    <m/>
    <m/>
    <m/>
    <n v="498383274"/>
    <n v="0"/>
    <n v="1000"/>
    <n v="1000"/>
    <m/>
    <m/>
    <m/>
    <s v="완료"/>
    <s v="D-FT"/>
    <s v="COF(Assy_FT)"/>
    <s v="COF(Assy_FT)"/>
    <s v="기계장치"/>
    <n v="9967685.4800000004"/>
    <n v="950206.67684591759"/>
    <n v="316735.5589486392"/>
    <m/>
    <m/>
    <m/>
    <m/>
    <m/>
    <m/>
    <m/>
    <n v="950206.67684591759"/>
    <n v="950206.67684591759"/>
    <n v="1900413.3536918352"/>
    <n v="950206.67684591759"/>
    <n v="950206.67684591759"/>
    <n v="950206.67684591759"/>
    <n v="950206.67684591759"/>
    <n v="3800826.7073836704"/>
    <n v="950206.67684591759"/>
    <n v="950206.67684591759"/>
    <n v="950206.67684591759"/>
    <n v="950206.67684591759"/>
    <n v="3800826.7073836704"/>
    <n v="950206.67684591759"/>
    <n v="950206.67684591759"/>
    <n v="950206.67684591759"/>
    <n v="950206.67684591759"/>
    <n v="3800826.7073836704"/>
    <m/>
    <n v="9.7328229424139829E-4"/>
    <n v="20438928.179069363"/>
    <n v="30406613.659069363"/>
  </r>
  <r>
    <n v="706"/>
    <x v="0"/>
    <m/>
    <s v="이종희"/>
    <s v="구미"/>
    <s v="PKG"/>
    <s v="O"/>
    <m/>
    <s v="DDI"/>
    <x v="5"/>
    <s v="FT"/>
    <x v="38"/>
    <n v="1000806"/>
    <s v="MC"/>
    <s v="PFT-28 : TESTER_ND2(310286545)"/>
    <s v="T6372"/>
    <x v="1"/>
    <s v="Tester"/>
    <n v="310286545"/>
    <x v="170"/>
    <s v="가동"/>
    <s v="일본"/>
    <s v="ADVANTEST"/>
    <x v="0"/>
    <s v="1차"/>
    <s v="1차"/>
    <s v="해당"/>
    <s v="PKG(COF)Tester"/>
    <s v="COF PKG Test"/>
    <m/>
    <m/>
    <s v="3B992"/>
    <s v="9030.82-0000"/>
    <s v="반도체 Test 장비"/>
    <m/>
    <m/>
    <d v="2006-09-30T00:00:00"/>
    <n v="19.098630136986301"/>
    <n v="8"/>
    <m/>
    <s v="자사"/>
    <s v="미설정"/>
    <n v="9.9451440000000009"/>
    <n v="950"/>
    <n v="1250"/>
    <n v="1800"/>
    <n v="499027517"/>
    <m/>
    <m/>
    <m/>
    <n v="499026517"/>
    <n v="0"/>
    <n v="1000"/>
    <n v="1000"/>
    <m/>
    <m/>
    <m/>
    <s v="완료"/>
    <s v="D-FT"/>
    <s v="COF(Assy_FT)"/>
    <s v="COF(Assy_FT)"/>
    <s v="기계장치"/>
    <n v="9980550.3399999999"/>
    <n v="951433.06745517347"/>
    <n v="317144.35581839114"/>
    <m/>
    <m/>
    <m/>
    <m/>
    <m/>
    <m/>
    <m/>
    <n v="951433.06745517347"/>
    <n v="951433.06745517347"/>
    <n v="1902866.1349103469"/>
    <n v="951433.06745517347"/>
    <n v="951433.06745517347"/>
    <n v="951433.06745517347"/>
    <n v="951433.06745517347"/>
    <n v="3805732.2698206939"/>
    <n v="951433.06745517347"/>
    <n v="951433.06745517347"/>
    <n v="951433.06745517347"/>
    <n v="951433.06745517347"/>
    <n v="3805732.2698206939"/>
    <n v="951433.06745517347"/>
    <n v="951433.06745517347"/>
    <n v="951433.06745517347"/>
    <n v="951433.06745517347"/>
    <n v="3805732.2698206939"/>
    <m/>
    <n v="9.7453846755074047E-4"/>
    <n v="20465307.818565551"/>
    <n v="30445858.158565551"/>
  </r>
  <r>
    <n v="707"/>
    <x v="0"/>
    <m/>
    <s v="이종희"/>
    <s v="구미"/>
    <s v="PKG"/>
    <s v="O"/>
    <m/>
    <s v="DDI"/>
    <x v="5"/>
    <s v="FT"/>
    <x v="38"/>
    <n v="1004290"/>
    <s v="MC"/>
    <s v="PFT-29 : TESTER_ND3(310602700)"/>
    <s v="T6373"/>
    <x v="5"/>
    <s v="Tester"/>
    <n v="310602700"/>
    <x v="169"/>
    <s v="가동"/>
    <s v="일본"/>
    <s v="ADVANTEST"/>
    <x v="1"/>
    <s v="1차"/>
    <s v="1차"/>
    <s v="해당"/>
    <s v="PKG(COF)Tester"/>
    <s v="COF PKG Test"/>
    <m/>
    <m/>
    <s v="3B992"/>
    <s v="9030.82-0000"/>
    <s v="반도체 Test 장비"/>
    <m/>
    <m/>
    <d v="2014-04-21T00:00:00"/>
    <n v="11.536986301369863"/>
    <n v="8"/>
    <m/>
    <s v="자사"/>
    <s v="미설정"/>
    <n v="9.83"/>
    <n v="1250"/>
    <n v="950"/>
    <n v="1800"/>
    <n v="576676289"/>
    <m/>
    <m/>
    <m/>
    <n v="576675289"/>
    <n v="244167"/>
    <n v="1000"/>
    <n v="1000"/>
    <m/>
    <m/>
    <m/>
    <s v="완료"/>
    <s v="D-FT"/>
    <s v="COF(Assy_FT)"/>
    <s v="COF(Assy_FT)"/>
    <s v="기계장치"/>
    <n v="11533525.779999999"/>
    <n v="1099476.2250193432"/>
    <n v="366492.07500644773"/>
    <m/>
    <m/>
    <n v="1099476.2250193432"/>
    <n v="1099476.2250193432"/>
    <n v="2198952.4500386864"/>
    <n v="1099476.2250193432"/>
    <n v="1099476.2250193432"/>
    <n v="1099476.2250193432"/>
    <n v="1099476.2250193432"/>
    <n v="4397904.9000773728"/>
    <n v="1099476.2250193432"/>
    <n v="1099476.2250193432"/>
    <n v="1099476.2250193432"/>
    <n v="1099476.2250193432"/>
    <n v="4397904.9000773728"/>
    <n v="1099476.2250193432"/>
    <n v="1099476.2250193432"/>
    <n v="1099476.2250193432"/>
    <n v="1099476.2250193432"/>
    <n v="4397904.9000773728"/>
    <n v="1099476.2250193432"/>
    <n v="1099476.2250193432"/>
    <n v="1099476.2250193432"/>
    <n v="1099476.2250193432"/>
    <n v="4397904.9000773728"/>
    <m/>
    <n v="1.1261768295532848E-3"/>
    <n v="23649713.420618981"/>
    <n v="35183239.200618982"/>
  </r>
  <r>
    <n v="708"/>
    <x v="0"/>
    <m/>
    <s v="이종희"/>
    <s v="구미"/>
    <s v="PKG"/>
    <s v="O"/>
    <m/>
    <s v="DDI"/>
    <x v="5"/>
    <s v="FT"/>
    <x v="38"/>
    <n v="1001224"/>
    <s v="MC"/>
    <s v="PFT-30 : TESTER_ST6730(327C27001M)"/>
    <s v="ST6730"/>
    <x v="113"/>
    <s v="Tester"/>
    <s v="327C27001M"/>
    <x v="176"/>
    <s v="가동"/>
    <s v="일본"/>
    <s v="유어스"/>
    <x v="0"/>
    <s v="1차"/>
    <s v="1차"/>
    <s v="해당"/>
    <s v="PKG(COF)Tester"/>
    <s v="COF PKG Test"/>
    <m/>
    <m/>
    <s v="3B992"/>
    <s v="9030.82-0000"/>
    <s v="Enduser 중국"/>
    <m/>
    <m/>
    <d v="2008-10-01T00:00:00"/>
    <n v="17.093150684931508"/>
    <n v="8"/>
    <m/>
    <s v="자사"/>
    <s v="미설정"/>
    <n v="6.1347440000000004"/>
    <n v="960"/>
    <n v="840"/>
    <n v="1860"/>
    <n v="398816554"/>
    <m/>
    <m/>
    <m/>
    <n v="398815554"/>
    <n v="0"/>
    <n v="1000"/>
    <n v="1000"/>
    <m/>
    <m/>
    <m/>
    <s v="완료"/>
    <s v="D-FT"/>
    <s v="COF(Assy_FT)"/>
    <s v="COF(Assy_FT)"/>
    <s v="기계장치"/>
    <n v="7976331.0800000001"/>
    <n v="760373.41508789349"/>
    <n v="253457.80502929783"/>
    <m/>
    <m/>
    <m/>
    <m/>
    <m/>
    <m/>
    <m/>
    <n v="760373.41508789349"/>
    <n v="760373.41508789349"/>
    <n v="1520746.830175787"/>
    <n v="760373.41508789349"/>
    <n v="760373.41508789349"/>
    <n v="760373.41508789349"/>
    <n v="760373.41508789349"/>
    <n v="3041493.660351574"/>
    <n v="760373.41508789349"/>
    <n v="760373.41508789349"/>
    <n v="760373.41508789349"/>
    <n v="760373.41508789349"/>
    <n v="3041493.660351574"/>
    <n v="760373.41508789349"/>
    <n v="760373.41508789349"/>
    <n v="760373.41508789349"/>
    <n v="760373.41508789349"/>
    <n v="3041493.660351574"/>
    <m/>
    <n v="7.7883896203869481E-4"/>
    <n v="16355618.202812592"/>
    <n v="24331949.282812592"/>
  </r>
  <r>
    <n v="709"/>
    <x v="0"/>
    <m/>
    <s v="이종희"/>
    <s v="구미"/>
    <s v="PKG"/>
    <s v="O"/>
    <m/>
    <s v="DDI"/>
    <x v="5"/>
    <s v="FT"/>
    <x v="38"/>
    <n v="1001460"/>
    <s v="MC"/>
    <s v="PFT-33 : TESTER_ST6730(327J19001M)(USED)"/>
    <s v="ST6730"/>
    <x v="113"/>
    <s v="Tester"/>
    <s v="327J19001M"/>
    <x v="176"/>
    <s v="가동"/>
    <s v="일본"/>
    <s v="YOKOGAWA"/>
    <x v="0"/>
    <s v="1차"/>
    <s v="1차"/>
    <s v="해당"/>
    <s v="PKG(COF)Tester"/>
    <s v="COF PKG Test"/>
    <m/>
    <m/>
    <s v="3B992"/>
    <s v="9030.82-0000"/>
    <s v="Enduser 중국"/>
    <m/>
    <m/>
    <d v="2009-07-02T00:00:00"/>
    <n v="16.342465753424658"/>
    <n v="8"/>
    <m/>
    <s v="자사"/>
    <s v="미설정"/>
    <n v="6.1347440000000004"/>
    <n v="960"/>
    <n v="840"/>
    <n v="1860"/>
    <n v="355264725"/>
    <m/>
    <m/>
    <m/>
    <n v="355263725"/>
    <n v="0"/>
    <n v="1000"/>
    <n v="1000"/>
    <m/>
    <m/>
    <m/>
    <s v="완료"/>
    <s v="D-FT"/>
    <s v="COF(Assy_FT)"/>
    <s v="COF(Assy_FT)"/>
    <s v="기계장치"/>
    <n v="7105294.5"/>
    <n v="677338.61470682919"/>
    <n v="225779.53823560974"/>
    <m/>
    <m/>
    <m/>
    <m/>
    <m/>
    <m/>
    <m/>
    <n v="677338.61470682919"/>
    <n v="677338.61470682919"/>
    <n v="1354677.2294136584"/>
    <n v="677338.61470682919"/>
    <n v="677338.61470682919"/>
    <n v="677338.61470682919"/>
    <n v="677338.61470682919"/>
    <n v="2709354.4588273168"/>
    <n v="677338.61470682919"/>
    <n v="677338.61470682919"/>
    <n v="677338.61470682919"/>
    <n v="677338.61470682919"/>
    <n v="2709354.4588273168"/>
    <n v="677338.61470682919"/>
    <n v="677338.61470682919"/>
    <n v="677338.61470682919"/>
    <n v="677338.61470682919"/>
    <n v="2709354.4588273168"/>
    <m/>
    <n v="6.9378767479135871E-4"/>
    <n v="14569541.170618532"/>
    <n v="21674835.670618534"/>
  </r>
  <r>
    <n v="710"/>
    <x v="0"/>
    <m/>
    <s v="이종희"/>
    <s v="구미"/>
    <s v="PKG"/>
    <s v="O"/>
    <m/>
    <s v="DDI"/>
    <x v="5"/>
    <s v="FT"/>
    <x v="38"/>
    <n v="1003904"/>
    <s v="MC"/>
    <s v="PFT-34 : TESTER_ND3(310632439)"/>
    <s v="T6373"/>
    <x v="5"/>
    <s v="Tester"/>
    <n v="310632439"/>
    <x v="169"/>
    <s v="가동"/>
    <s v="일본"/>
    <s v="ADVANTEST"/>
    <x v="1"/>
    <s v="2차"/>
    <s v="2차"/>
    <s v="해당"/>
    <s v="PKG(COF)Tester"/>
    <s v="COF PKG Test"/>
    <m/>
    <m/>
    <s v="3B992"/>
    <s v="9030.82-0000"/>
    <s v="반도체 Test 장비"/>
    <m/>
    <m/>
    <d v="2013-06-11T00:00:00"/>
    <n v="12.397260273972602"/>
    <n v="8"/>
    <m/>
    <s v="자사"/>
    <s v="미설정"/>
    <n v="9.83"/>
    <n v="1250"/>
    <n v="950"/>
    <n v="1800"/>
    <n v="676997473"/>
    <m/>
    <m/>
    <m/>
    <n v="676996473"/>
    <n v="0"/>
    <n v="1000"/>
    <n v="1000"/>
    <m/>
    <m/>
    <m/>
    <s v="완료"/>
    <s v="D-FT"/>
    <s v="COF(Assy_FT)"/>
    <s v="COF(Assy_FT)"/>
    <s v="기계장치"/>
    <n v="13539949.460000001"/>
    <n v="1290746.0219188496"/>
    <n v="430248.67397294985"/>
    <m/>
    <m/>
    <n v="1290746.0219188496"/>
    <n v="1290746.0219188496"/>
    <n v="2581492.0438376991"/>
    <n v="1290746.0219188496"/>
    <n v="1290746.0219188496"/>
    <n v="1290746.0219188496"/>
    <n v="1290746.0219188496"/>
    <n v="5162984.0876753982"/>
    <n v="1290746.0219188496"/>
    <n v="1290746.0219188496"/>
    <n v="1290746.0219188496"/>
    <n v="1290746.0219188496"/>
    <n v="5162984.0876753982"/>
    <n v="1290746.0219188496"/>
    <n v="1290746.0219188496"/>
    <n v="1290746.0219188496"/>
    <n v="1290746.0219188496"/>
    <n v="5162984.0876753982"/>
    <n v="1290746.0219188496"/>
    <n v="1290746.0219188496"/>
    <n v="1290746.0219188496"/>
    <n v="1290746.0219188496"/>
    <n v="5162984.0876753982"/>
    <m/>
    <n v="1.3220915829239611E-3"/>
    <n v="27763923.241403185"/>
    <n v="41303872.701403186"/>
  </r>
  <r>
    <n v="711"/>
    <x v="0"/>
    <m/>
    <s v="이종희"/>
    <s v="구미"/>
    <s v="PKG"/>
    <s v="O"/>
    <m/>
    <s v="DDI"/>
    <x v="5"/>
    <s v="FT"/>
    <x v="38"/>
    <n v="1004333"/>
    <s v="MC"/>
    <s v="PFT-35 : TESTER_ND3(310669848)"/>
    <s v="T6373"/>
    <x v="5"/>
    <s v="Tester"/>
    <n v="310669848"/>
    <x v="169"/>
    <s v="가동"/>
    <s v="일본"/>
    <s v="ADVANTEST"/>
    <x v="1"/>
    <s v="2차"/>
    <s v="2차"/>
    <s v="해당"/>
    <s v="PKG(COF)Tester"/>
    <s v="COF PKG Test"/>
    <m/>
    <m/>
    <s v="3B992"/>
    <s v="9030.82-0000"/>
    <s v="반도체 Test 장비"/>
    <m/>
    <m/>
    <d v="2014-05-23T00:00:00"/>
    <n v="11.449315068493151"/>
    <n v="8"/>
    <m/>
    <s v="자사"/>
    <s v="미설정"/>
    <n v="9.83"/>
    <n v="1250"/>
    <n v="950"/>
    <n v="1800"/>
    <n v="573701930"/>
    <m/>
    <m/>
    <m/>
    <n v="573700930"/>
    <n v="477083"/>
    <n v="1000"/>
    <n v="1000"/>
    <m/>
    <m/>
    <m/>
    <s v="완료"/>
    <s v="D-FT"/>
    <s v="COF(Assy_FT)"/>
    <s v="COF(Assy_FT)"/>
    <s v="기계장치"/>
    <n v="11474038.6"/>
    <n v="1093805.3884208016"/>
    <n v="364601.79614026722"/>
    <m/>
    <m/>
    <n v="1093805.3884208016"/>
    <n v="1093805.3884208016"/>
    <n v="2187610.7768416032"/>
    <n v="1093805.3884208016"/>
    <n v="1093805.3884208016"/>
    <n v="1093805.3884208016"/>
    <n v="1093805.3884208016"/>
    <n v="4375221.5536832064"/>
    <n v="1093805.3884208016"/>
    <n v="1093805.3884208016"/>
    <n v="1093805.3884208016"/>
    <n v="1093805.3884208016"/>
    <n v="4375221.5536832064"/>
    <n v="1093805.3884208016"/>
    <n v="1093805.3884208016"/>
    <n v="1093805.3884208016"/>
    <n v="1093805.3884208016"/>
    <n v="4375221.5536832064"/>
    <n v="1093805.3884208016"/>
    <n v="1093805.3884208016"/>
    <n v="1093805.3884208016"/>
    <n v="1093805.3884208016"/>
    <n v="4375221.5536832064"/>
    <m/>
    <n v="1.1203682775936025E-3"/>
    <n v="23527733.82946565"/>
    <n v="35001772.429465652"/>
  </r>
  <r>
    <n v="712"/>
    <x v="0"/>
    <m/>
    <s v="이종희"/>
    <s v="구미"/>
    <s v="PKG"/>
    <s v="O"/>
    <m/>
    <s v="DDI"/>
    <x v="5"/>
    <s v="FT"/>
    <x v="38"/>
    <n v="1003964"/>
    <s v="MC"/>
    <s v="PFT-36 : TESTER_ND3(310646161)"/>
    <s v="T6373"/>
    <x v="5"/>
    <s v="Tester"/>
    <n v="310646161"/>
    <x v="169"/>
    <s v="가동"/>
    <s v="일본"/>
    <s v="ADVANTEST"/>
    <x v="1"/>
    <s v="2차"/>
    <s v="2차"/>
    <s v="해당"/>
    <s v="PKG(COF)Tester"/>
    <s v="COF PKG Test"/>
    <m/>
    <m/>
    <s v="3B992"/>
    <s v="9030.82-0000"/>
    <s v="반도체 Test 장비"/>
    <m/>
    <m/>
    <d v="2013-08-12T00:00:00"/>
    <n v="12.227397260273973"/>
    <n v="8"/>
    <m/>
    <s v="자사"/>
    <s v="미설정"/>
    <n v="9.83"/>
    <n v="1250"/>
    <n v="950"/>
    <n v="1800"/>
    <n v="683670710"/>
    <m/>
    <m/>
    <m/>
    <n v="683669710"/>
    <n v="0"/>
    <n v="1000"/>
    <n v="1000"/>
    <m/>
    <m/>
    <m/>
    <s v="완료"/>
    <s v="D-FT"/>
    <s v="COF(Assy_FT)"/>
    <s v="COF(Assy_FT)"/>
    <s v="기계장치"/>
    <n v="13673414.200000001"/>
    <n v="1303469.0444626452"/>
    <n v="434489.6814875484"/>
    <m/>
    <m/>
    <n v="1303469.0444626452"/>
    <n v="1303469.0444626452"/>
    <n v="2606938.0889252904"/>
    <n v="1303469.0444626452"/>
    <n v="1303469.0444626452"/>
    <n v="1303469.0444626452"/>
    <n v="1303469.0444626452"/>
    <n v="5213876.1778505808"/>
    <n v="1303469.0444626452"/>
    <n v="1303469.0444626452"/>
    <n v="1303469.0444626452"/>
    <n v="1303469.0444626452"/>
    <n v="5213876.1778505808"/>
    <n v="1303469.0444626452"/>
    <n v="1303469.0444626452"/>
    <n v="1303469.0444626452"/>
    <n v="1303469.0444626452"/>
    <n v="5213876.1778505808"/>
    <n v="1303469.0444626452"/>
    <n v="1303469.0444626452"/>
    <n v="1303469.0444626452"/>
    <n v="1303469.0444626452"/>
    <n v="5213876.1778505808"/>
    <m/>
    <n v="1.3351235820383163E-3"/>
    <n v="28037595.222804643"/>
    <n v="41711009.422804646"/>
  </r>
  <r>
    <n v="713"/>
    <x v="0"/>
    <m/>
    <s v="이종희"/>
    <s v="구미"/>
    <s v="PKG"/>
    <s v="O"/>
    <m/>
    <s v="DDI"/>
    <x v="5"/>
    <s v="FT"/>
    <x v="38"/>
    <n v="1003903"/>
    <s v="MC"/>
    <s v="PFT-37 : TESTER_ND3(310632438)"/>
    <s v="T6373"/>
    <x v="5"/>
    <s v="Tester"/>
    <n v="310632438"/>
    <x v="169"/>
    <s v="가동"/>
    <s v="일본"/>
    <s v="ADVANTEST"/>
    <x v="1"/>
    <s v="2차"/>
    <s v="2차"/>
    <s v="해당"/>
    <s v="PKG(COF)Tester"/>
    <s v="COF PKG Test"/>
    <m/>
    <m/>
    <s v="3B992"/>
    <s v="9030.82-0000"/>
    <s v="반도체 Test 장비"/>
    <m/>
    <m/>
    <d v="2013-06-11T00:00:00"/>
    <n v="12.397260273972602"/>
    <n v="8"/>
    <m/>
    <s v="자사"/>
    <s v="미설정"/>
    <n v="9.83"/>
    <n v="1250"/>
    <n v="950"/>
    <n v="1800"/>
    <n v="676997470"/>
    <m/>
    <m/>
    <m/>
    <n v="676996470"/>
    <n v="0"/>
    <n v="1000"/>
    <n v="1000"/>
    <m/>
    <m/>
    <m/>
    <s v="완료"/>
    <s v="D-FT"/>
    <s v="COF(Assy_FT)"/>
    <s v="COF(Assy_FT)"/>
    <s v="기계장치"/>
    <n v="13539949.4"/>
    <n v="1290746.0161991264"/>
    <n v="430248.67206637544"/>
    <m/>
    <m/>
    <n v="1290746.0161991264"/>
    <n v="1290746.0161991264"/>
    <n v="2581492.0323982527"/>
    <n v="1290746.0161991264"/>
    <n v="1290746.0161991264"/>
    <n v="1290746.0161991264"/>
    <n v="1290746.0161991264"/>
    <n v="5162984.0647965055"/>
    <n v="1290746.0161991264"/>
    <n v="1290746.0161991264"/>
    <n v="1290746.0161991264"/>
    <n v="1290746.0161991264"/>
    <n v="5162984.0647965055"/>
    <n v="1290746.0161991264"/>
    <n v="1290746.0161991264"/>
    <n v="1290746.0161991264"/>
    <n v="1290746.0161991264"/>
    <n v="5162984.0647965055"/>
    <n v="1290746.0161991264"/>
    <n v="1290746.0161991264"/>
    <n v="1290746.0161991264"/>
    <n v="1290746.0161991264"/>
    <n v="5162984.0647965055"/>
    <m/>
    <n v="1.3220915770653353E-3"/>
    <n v="27763923.118372042"/>
    <n v="41303872.518372044"/>
  </r>
  <r>
    <n v="714"/>
    <x v="0"/>
    <m/>
    <s v="이종희"/>
    <s v="구미"/>
    <s v="PKG"/>
    <s v="O"/>
    <m/>
    <s v="DDI"/>
    <x v="5"/>
    <s v="FT"/>
    <x v="38"/>
    <n v="1002024"/>
    <s v="MC"/>
    <s v="PFT-38 : TESTER_ND3(310458735)"/>
    <s v="T6373"/>
    <x v="5"/>
    <s v="Tester"/>
    <n v="310458735"/>
    <x v="169"/>
    <s v="가동"/>
    <s v="일본"/>
    <s v="ADVANTEST"/>
    <x v="1"/>
    <s v="2차"/>
    <s v="2차"/>
    <s v="해당"/>
    <s v="PKG(COF)Tester"/>
    <s v="COF PKG Test"/>
    <m/>
    <m/>
    <s v="3B992"/>
    <s v="9030.82-0000"/>
    <s v="반도체 Test 장비"/>
    <m/>
    <m/>
    <d v="2010-03-09T00:00:00"/>
    <n v="15.657534246575343"/>
    <n v="8"/>
    <m/>
    <s v="자사"/>
    <s v="미설정"/>
    <n v="9.83"/>
    <n v="1250"/>
    <n v="950"/>
    <n v="1800"/>
    <n v="813986540"/>
    <m/>
    <m/>
    <m/>
    <n v="813985540"/>
    <n v="0"/>
    <n v="1000"/>
    <n v="1000"/>
    <m/>
    <m/>
    <m/>
    <s v="완료"/>
    <s v="D-FT"/>
    <s v="COF(Assy_FT)"/>
    <s v="COF(Assy_FT)"/>
    <s v="기계장치"/>
    <n v="16279730.800000001"/>
    <n v="1551925.8642793908"/>
    <n v="517308.62142646359"/>
    <m/>
    <m/>
    <n v="1551925.8642793908"/>
    <n v="1551925.8642793908"/>
    <n v="3103851.7285587816"/>
    <n v="1551925.8642793908"/>
    <n v="1551925.8642793908"/>
    <n v="1551925.8642793908"/>
    <n v="1551925.8642793908"/>
    <n v="6207703.4571175631"/>
    <n v="1551925.8642793908"/>
    <n v="1551925.8642793908"/>
    <n v="1551925.8642793908"/>
    <n v="1551925.8642793908"/>
    <n v="6207703.4571175631"/>
    <n v="1551925.8642793908"/>
    <n v="1551925.8642793908"/>
    <n v="1551925.8642793908"/>
    <n v="1551925.8642793908"/>
    <n v="6207703.4571175631"/>
    <n v="1551925.8642793908"/>
    <n v="1551925.8642793908"/>
    <n v="1551925.8642793908"/>
    <n v="1551925.8642793908"/>
    <n v="6207703.4571175631"/>
    <m/>
    <n v="1.5896141360447857E-3"/>
    <n v="33381896.8569405"/>
    <n v="49661627.656940505"/>
  </r>
  <r>
    <n v="715"/>
    <x v="0"/>
    <m/>
    <s v="이종희"/>
    <s v="구미"/>
    <s v="PKG"/>
    <s v="O"/>
    <m/>
    <s v="DDI"/>
    <x v="5"/>
    <s v="FT"/>
    <x v="38"/>
    <n v="1001962"/>
    <s v="MC"/>
    <s v="PFT-39 : TESTER_ND3(310459634)"/>
    <s v="T6373"/>
    <x v="5"/>
    <s v="Tester"/>
    <n v="310459634"/>
    <x v="169"/>
    <s v="가동"/>
    <s v="일본"/>
    <s v="ADVANTEST"/>
    <x v="1"/>
    <s v="2차"/>
    <s v="2차"/>
    <s v="해당"/>
    <s v="PKG(COF)Tester"/>
    <s v="COF PKG Test"/>
    <m/>
    <m/>
    <s v="3B992"/>
    <s v="9030.82-0000"/>
    <s v="반도체 Test 장비"/>
    <m/>
    <m/>
    <d v="2010-03-14T00:00:00"/>
    <n v="15.643835616438356"/>
    <n v="8"/>
    <m/>
    <s v="자사"/>
    <s v="미설정"/>
    <n v="9.83"/>
    <n v="1250"/>
    <n v="950"/>
    <n v="1800"/>
    <n v="699078876"/>
    <m/>
    <m/>
    <m/>
    <n v="699077876"/>
    <n v="0"/>
    <n v="1000"/>
    <n v="1000"/>
    <m/>
    <m/>
    <m/>
    <s v="완료"/>
    <s v="D-FT"/>
    <s v="COF(Assy_FT)"/>
    <s v="COF(Assy_FT)"/>
    <s v="기계장치"/>
    <n v="13981577.52"/>
    <n v="1332845.8586499046"/>
    <n v="444281.95288330154"/>
    <m/>
    <m/>
    <n v="1332845.8586499046"/>
    <n v="1332845.8586499046"/>
    <n v="2665691.7172998092"/>
    <n v="1332845.8586499046"/>
    <n v="1332845.8586499046"/>
    <n v="1332845.8586499046"/>
    <n v="1332845.8586499046"/>
    <n v="5331383.4345996184"/>
    <n v="1332845.8586499046"/>
    <n v="1332845.8586499046"/>
    <n v="1332845.8586499046"/>
    <n v="1332845.8586499046"/>
    <n v="5331383.4345996184"/>
    <n v="1332845.8586499046"/>
    <n v="1332845.8586499046"/>
    <n v="1332845.8586499046"/>
    <n v="1332845.8586499046"/>
    <n v="5331383.4345996184"/>
    <n v="1332845.8586499046"/>
    <n v="1332845.8586499046"/>
    <n v="1332845.8586499046"/>
    <n v="1332845.8586499046"/>
    <n v="5331383.4345996184"/>
    <m/>
    <n v="1.3652138074665213E-3"/>
    <n v="28669489.956796948"/>
    <n v="42651067.476796947"/>
  </r>
  <r>
    <n v="716"/>
    <x v="0"/>
    <m/>
    <s v="이종희"/>
    <s v="구미"/>
    <s v="PKG"/>
    <s v="O"/>
    <m/>
    <s v="DDI"/>
    <x v="5"/>
    <s v="FT"/>
    <x v="38"/>
    <n v="1001949"/>
    <s v="MC"/>
    <s v="PFT-40 : TESTER_ND3(310459636)"/>
    <s v="T6373"/>
    <x v="5"/>
    <s v="Tester"/>
    <n v="310459636"/>
    <x v="169"/>
    <s v="가동"/>
    <s v="일본"/>
    <s v="ADVANTEST"/>
    <x v="1"/>
    <s v="2차"/>
    <s v="2차"/>
    <s v="해당"/>
    <s v="PKG(COF)Tester"/>
    <s v="COF PKG Test"/>
    <m/>
    <m/>
    <s v="3B992"/>
    <s v="9030.82-0000"/>
    <s v="반도체 Test 장비"/>
    <m/>
    <m/>
    <d v="2010-03-17T00:00:00"/>
    <n v="15.635616438356164"/>
    <n v="8"/>
    <m/>
    <s v="자사"/>
    <s v="미설정"/>
    <n v="9.83"/>
    <n v="1250"/>
    <n v="950"/>
    <n v="1800"/>
    <n v="804691904"/>
    <m/>
    <m/>
    <m/>
    <n v="804690904"/>
    <n v="0"/>
    <n v="1000"/>
    <n v="1000"/>
    <m/>
    <m/>
    <m/>
    <s v="완료"/>
    <s v="D-FT"/>
    <s v="COF(Assy_FT)"/>
    <s v="COF(Assy_FT)"/>
    <s v="기계장치"/>
    <n v="16093838.08"/>
    <n v="1534204.9496221747"/>
    <n v="511401.64987405826"/>
    <m/>
    <m/>
    <n v="1534204.9496221747"/>
    <n v="1534204.9496221747"/>
    <n v="3068409.8992443494"/>
    <n v="1534204.9496221747"/>
    <n v="1534204.9496221747"/>
    <n v="1534204.9496221747"/>
    <n v="1534204.9496221747"/>
    <n v="6136819.7984886989"/>
    <n v="1534204.9496221747"/>
    <n v="1534204.9496221747"/>
    <n v="1534204.9496221747"/>
    <n v="1534204.9496221747"/>
    <n v="6136819.7984886989"/>
    <n v="1534204.9496221747"/>
    <n v="1534204.9496221747"/>
    <n v="1534204.9496221747"/>
    <n v="1534204.9496221747"/>
    <n v="6136819.7984886989"/>
    <n v="1534204.9496221747"/>
    <n v="1534204.9496221747"/>
    <n v="1534204.9496221747"/>
    <n v="1534204.9496221747"/>
    <n v="6136819.7984886989"/>
    <m/>
    <n v="1.5714628718052188E-3"/>
    <n v="33000720.307909593"/>
    <n v="49094558.387909591"/>
  </r>
  <r>
    <n v="717"/>
    <x v="0"/>
    <m/>
    <s v="이종희"/>
    <s v="구미"/>
    <s v="PKG"/>
    <s v="O"/>
    <m/>
    <s v="DDI"/>
    <x v="5"/>
    <s v="FT"/>
    <x v="38"/>
    <n v="1002248"/>
    <s v="MC"/>
    <s v="PFT-41 : TESTER_ND3(310470052)"/>
    <s v="T6373"/>
    <x v="5"/>
    <s v="Tester"/>
    <n v="310470052"/>
    <x v="169"/>
    <s v="가동"/>
    <s v="일본"/>
    <s v="ADVANTEST"/>
    <x v="1"/>
    <s v="2차"/>
    <s v="2차"/>
    <s v="해당"/>
    <s v="PKG(COF)Tester"/>
    <s v="COF PKG Test"/>
    <m/>
    <m/>
    <s v="3B992"/>
    <s v="9030.82-0000"/>
    <s v="반도체 Test 장비"/>
    <m/>
    <m/>
    <d v="2010-06-22T00:00:00"/>
    <n v="15.36986301369863"/>
    <n v="8"/>
    <m/>
    <s v="자사"/>
    <s v="미설정"/>
    <n v="9.83"/>
    <n v="1250"/>
    <n v="950"/>
    <n v="1800"/>
    <n v="821625064"/>
    <m/>
    <m/>
    <m/>
    <n v="821624064"/>
    <n v="0"/>
    <n v="1000"/>
    <n v="1000"/>
    <m/>
    <m/>
    <m/>
    <s v="완료"/>
    <s v="D-FT"/>
    <s v="COF(Assy_FT)"/>
    <s v="COF(Assy_FT)"/>
    <s v="기계장치"/>
    <n v="16432501.280000001"/>
    <n v="1566489.2782647361"/>
    <n v="522163.09275491204"/>
    <m/>
    <m/>
    <n v="1566489.2782647361"/>
    <n v="1566489.2782647361"/>
    <n v="3132978.5565294721"/>
    <n v="1566489.2782647361"/>
    <n v="1566489.2782647361"/>
    <n v="1566489.2782647361"/>
    <n v="1566489.2782647361"/>
    <n v="6265957.1130589442"/>
    <n v="1566489.2782647361"/>
    <n v="1566489.2782647361"/>
    <n v="1566489.2782647361"/>
    <n v="1566489.2782647361"/>
    <n v="6265957.1130589442"/>
    <n v="1566489.2782647361"/>
    <n v="1566489.2782647361"/>
    <n v="1566489.2782647361"/>
    <n v="1566489.2782647361"/>
    <n v="6265957.1130589442"/>
    <n v="1566489.2782647361"/>
    <n v="1566489.2782647361"/>
    <n v="1566489.2782647361"/>
    <n v="1566489.2782647361"/>
    <n v="6265957.1130589442"/>
    <m/>
    <n v="1.604531220212931E-3"/>
    <n v="33695155.624471553"/>
    <n v="50127656.904471554"/>
  </r>
  <r>
    <n v="718"/>
    <x v="0"/>
    <m/>
    <s v="이종희"/>
    <s v="구미"/>
    <s v="PKG"/>
    <s v="O"/>
    <m/>
    <s v="DDI"/>
    <x v="5"/>
    <s v="FT"/>
    <x v="38"/>
    <n v="1002242"/>
    <s v="MC"/>
    <s v="PFT-42 : TESTER_ND3(310470048)"/>
    <s v="T6373"/>
    <x v="5"/>
    <s v="Tester"/>
    <n v="310470048"/>
    <x v="169"/>
    <s v="가동"/>
    <s v="일본"/>
    <s v="ADVANTEST"/>
    <x v="1"/>
    <s v="2차"/>
    <s v="2차"/>
    <s v="해당"/>
    <s v="PKG(COF)Tester"/>
    <s v="COF PKG Test"/>
    <m/>
    <m/>
    <s v="3B992"/>
    <s v="9030.82-0000"/>
    <s v="반도체 Test 장비"/>
    <m/>
    <m/>
    <d v="2010-06-22T00:00:00"/>
    <n v="15.36986301369863"/>
    <n v="8"/>
    <m/>
    <s v="자사"/>
    <s v="미설정"/>
    <n v="9.83"/>
    <n v="1250"/>
    <n v="950"/>
    <n v="1800"/>
    <n v="821625064"/>
    <m/>
    <m/>
    <m/>
    <n v="821624064"/>
    <n v="0"/>
    <n v="1000"/>
    <n v="1000"/>
    <m/>
    <m/>
    <m/>
    <s v="완료"/>
    <s v="D-FT"/>
    <s v="COF(Assy_FT)"/>
    <s v="COF(Assy_FT)"/>
    <s v="기계장치"/>
    <n v="16432501.280000001"/>
    <n v="1566489.2782647361"/>
    <n v="522163.09275491204"/>
    <m/>
    <m/>
    <n v="1566489.2782647361"/>
    <n v="1566489.2782647361"/>
    <n v="3132978.5565294721"/>
    <n v="1566489.2782647361"/>
    <n v="1566489.2782647361"/>
    <n v="1566489.2782647361"/>
    <n v="1566489.2782647361"/>
    <n v="6265957.1130589442"/>
    <n v="1566489.2782647361"/>
    <n v="1566489.2782647361"/>
    <n v="1566489.2782647361"/>
    <n v="1566489.2782647361"/>
    <n v="6265957.1130589442"/>
    <n v="1566489.2782647361"/>
    <n v="1566489.2782647361"/>
    <n v="1566489.2782647361"/>
    <n v="1566489.2782647361"/>
    <n v="6265957.1130589442"/>
    <n v="1566489.2782647361"/>
    <n v="1566489.2782647361"/>
    <n v="1566489.2782647361"/>
    <n v="1566489.2782647361"/>
    <n v="6265957.1130589442"/>
    <m/>
    <n v="1.604531220212931E-3"/>
    <n v="33695155.624471553"/>
    <n v="50127656.904471554"/>
  </r>
  <r>
    <n v="719"/>
    <x v="0"/>
    <m/>
    <s v="이종희"/>
    <s v="구미"/>
    <s v="PKG"/>
    <s v="O"/>
    <m/>
    <s v="DDI"/>
    <x v="5"/>
    <s v="FT"/>
    <x v="38"/>
    <n v="1002249"/>
    <s v="MC"/>
    <s v="PFT-43 : TESTER_ND3(310470046)"/>
    <s v="T6373"/>
    <x v="5"/>
    <s v="Tester"/>
    <n v="310470046"/>
    <x v="169"/>
    <s v="가동"/>
    <s v="일본"/>
    <s v="ADVANTEST"/>
    <x v="1"/>
    <s v="2차"/>
    <s v="2차"/>
    <s v="해당"/>
    <s v="PKG(COF)Tester"/>
    <s v="COF PKG Test"/>
    <m/>
    <m/>
    <s v="3B992"/>
    <s v="9030.82-0000"/>
    <s v="반도체 Test 장비"/>
    <m/>
    <m/>
    <d v="2010-06-22T00:00:00"/>
    <n v="15.36986301369863"/>
    <n v="8"/>
    <m/>
    <s v="자사"/>
    <s v="미설정"/>
    <n v="9.83"/>
    <n v="1250"/>
    <n v="950"/>
    <n v="1800"/>
    <n v="821625168"/>
    <m/>
    <m/>
    <m/>
    <n v="821624168"/>
    <n v="0"/>
    <n v="1000"/>
    <n v="1000"/>
    <m/>
    <m/>
    <m/>
    <s v="완료"/>
    <s v="D-FT"/>
    <s v="COF(Assy_FT)"/>
    <s v="COF(Assy_FT)"/>
    <s v="기계장치"/>
    <n v="16432503.360000001"/>
    <n v="1566489.4765484692"/>
    <n v="522163.1588494897"/>
    <m/>
    <m/>
    <n v="1566489.4765484692"/>
    <n v="1566489.4765484692"/>
    <n v="3132978.9530969383"/>
    <n v="1566489.4765484692"/>
    <n v="1566489.4765484692"/>
    <n v="1566489.4765484692"/>
    <n v="1566489.4765484692"/>
    <n v="6265957.9061938766"/>
    <n v="1566489.4765484692"/>
    <n v="1566489.4765484692"/>
    <n v="1566489.4765484692"/>
    <n v="1566489.4765484692"/>
    <n v="6265957.9061938766"/>
    <n v="1566489.4765484692"/>
    <n v="1566489.4765484692"/>
    <n v="1566489.4765484692"/>
    <n v="1566489.4765484692"/>
    <n v="6265957.9061938766"/>
    <n v="1566489.4765484692"/>
    <n v="1566489.4765484692"/>
    <n v="1566489.4765484692"/>
    <n v="1566489.4765484692"/>
    <n v="6265957.9061938766"/>
    <m/>
    <n v="1.604531423311953E-3"/>
    <n v="33695159.889551014"/>
    <n v="50127663.249551013"/>
  </r>
  <r>
    <n v="720"/>
    <x v="0"/>
    <m/>
    <s v="이종희"/>
    <s v="구미"/>
    <s v="PKG"/>
    <s v="O"/>
    <m/>
    <s v="DDI"/>
    <x v="5"/>
    <s v="FT"/>
    <x v="38"/>
    <n v="1002243"/>
    <s v="MC"/>
    <s v="PFT-44 : TESTER_ND3(310470053)"/>
    <s v="T6373"/>
    <x v="5"/>
    <s v="Tester"/>
    <n v="310470053"/>
    <x v="169"/>
    <s v="가동"/>
    <s v="일본"/>
    <s v="ADVANTEST"/>
    <x v="1"/>
    <s v="2차"/>
    <s v="2차"/>
    <s v="해당"/>
    <s v="PKG(COF)Tester"/>
    <s v="COF PKG Test"/>
    <m/>
    <m/>
    <s v="3B992"/>
    <s v="9030.82-0000"/>
    <s v="반도체 Test 장비"/>
    <m/>
    <m/>
    <d v="2010-06-22T00:00:00"/>
    <n v="15.36986301369863"/>
    <n v="8"/>
    <m/>
    <s v="자사"/>
    <s v="미설정"/>
    <n v="9.83"/>
    <n v="1250"/>
    <n v="950"/>
    <n v="1800"/>
    <n v="817580625"/>
    <m/>
    <m/>
    <m/>
    <n v="817579625"/>
    <n v="0"/>
    <n v="1000"/>
    <n v="1000"/>
    <m/>
    <m/>
    <m/>
    <s v="완료"/>
    <s v="D-FT"/>
    <s v="COF(Assy_FT)"/>
    <s v="COF(Assy_FT)"/>
    <s v="기계장치"/>
    <n v="16351612.5"/>
    <n v="1558778.2545780293"/>
    <n v="519592.75152600976"/>
    <m/>
    <m/>
    <n v="1558778.2545780293"/>
    <n v="1558778.2545780293"/>
    <n v="3117556.5091560585"/>
    <n v="1558778.2545780293"/>
    <n v="1558778.2545780293"/>
    <n v="1558778.2545780293"/>
    <n v="1558778.2545780293"/>
    <n v="6235113.0183121171"/>
    <n v="1558778.2545780293"/>
    <n v="1558778.2545780293"/>
    <n v="1558778.2545780293"/>
    <n v="1558778.2545780293"/>
    <n v="6235113.0183121171"/>
    <n v="1558778.2545780293"/>
    <n v="1558778.2545780293"/>
    <n v="1558778.2545780293"/>
    <n v="1558778.2545780293"/>
    <n v="6235113.0183121171"/>
    <n v="1558778.2545780293"/>
    <n v="1558778.2545780293"/>
    <n v="1558778.2545780293"/>
    <n v="1558778.2545780293"/>
    <n v="6235113.0183121171"/>
    <m/>
    <n v="1.5966329355474732E-3"/>
    <n v="33529291.646496937"/>
    <n v="49880904.146496937"/>
  </r>
  <r>
    <n v="721"/>
    <x v="0"/>
    <m/>
    <s v="이종희"/>
    <s v="구미"/>
    <s v="PKG"/>
    <s v="O"/>
    <m/>
    <s v="DDI"/>
    <x v="5"/>
    <s v="FT"/>
    <x v="38"/>
    <n v="1002883"/>
    <s v="MC"/>
    <s v="PFT-45 : TESTER_ND3(310480866)"/>
    <s v="T6373"/>
    <x v="5"/>
    <s v="Tester"/>
    <n v="310480866"/>
    <x v="169"/>
    <s v="운휴"/>
    <s v="일본"/>
    <s v="ADVANTEST"/>
    <x v="0"/>
    <s v="2차"/>
    <s v="2차"/>
    <s v="해당"/>
    <s v="PKG(COF)Tester"/>
    <s v="COF PKG Test"/>
    <m/>
    <m/>
    <s v="3B992"/>
    <s v="9030.82-0000"/>
    <s v="반도체 Test 장비"/>
    <m/>
    <m/>
    <d v="2012-06-07T00:00:00"/>
    <n v="13.408219178082192"/>
    <n v="8"/>
    <m/>
    <s v="자사"/>
    <s v="미설정"/>
    <n v="9.83"/>
    <n v="1250"/>
    <n v="950"/>
    <n v="1800"/>
    <n v="664582701"/>
    <m/>
    <m/>
    <m/>
    <n v="664581701"/>
    <n v="0"/>
    <n v="1000"/>
    <n v="1000"/>
    <m/>
    <m/>
    <m/>
    <s v="완료"/>
    <s v="D-FT"/>
    <s v="COF(Assy_FT)"/>
    <s v="COF(Assy_FT)"/>
    <s v="기계장치"/>
    <n v="13291654.02"/>
    <n v="1267076.3359730206"/>
    <n v="422358.77865767357"/>
    <m/>
    <m/>
    <m/>
    <m/>
    <m/>
    <m/>
    <m/>
    <n v="1267076.3359730206"/>
    <n v="1267076.3359730206"/>
    <n v="2534152.6719460413"/>
    <n v="1267076.3359730206"/>
    <n v="1267076.3359730206"/>
    <n v="1267076.3359730206"/>
    <n v="1267076.3359730206"/>
    <n v="5068305.3438920826"/>
    <n v="1267076.3359730206"/>
    <n v="1267076.3359730206"/>
    <n v="1267076.3359730206"/>
    <n v="1267076.3359730206"/>
    <n v="5068305.3438920826"/>
    <n v="1267076.3359730206"/>
    <n v="1267076.3359730206"/>
    <n v="1267076.3359730206"/>
    <n v="1267076.3359730206"/>
    <n v="5068305.3438920826"/>
    <m/>
    <n v="1.2978470824350794E-3"/>
    <n v="27254788.731136665"/>
    <n v="40546442.751136661"/>
  </r>
  <r>
    <n v="722"/>
    <x v="0"/>
    <m/>
    <s v="이종희"/>
    <s v="구미"/>
    <s v="PKG"/>
    <s v="O"/>
    <m/>
    <s v="DDI"/>
    <x v="5"/>
    <s v="FT"/>
    <x v="38"/>
    <n v="1004526"/>
    <s v="MC"/>
    <s v="PFT-54 : TESTER_ND3(310703464)"/>
    <s v="T6373"/>
    <x v="5"/>
    <s v="Tester"/>
    <n v="310703464"/>
    <x v="169"/>
    <s v="가동"/>
    <s v="일본"/>
    <s v="ADVANTEST"/>
    <x v="0"/>
    <s v="2차"/>
    <s v="2차"/>
    <s v="해당"/>
    <s v="PKG(COF)Tester"/>
    <s v="COF PKG Test"/>
    <m/>
    <m/>
    <s v="3B992"/>
    <s v="9030.82-0000"/>
    <s v="반도체 Test 장비"/>
    <m/>
    <m/>
    <d v="2015-01-29T00:00:00"/>
    <n v="10.761643835616438"/>
    <n v="8"/>
    <m/>
    <s v="자사"/>
    <s v="미설정"/>
    <n v="9.83"/>
    <n v="1250"/>
    <n v="950"/>
    <n v="1800"/>
    <n v="518344912"/>
    <m/>
    <m/>
    <m/>
    <n v="518343912"/>
    <n v="1860876"/>
    <n v="1000"/>
    <n v="1000"/>
    <m/>
    <m/>
    <m/>
    <s v="완료"/>
    <s v="D-FT"/>
    <s v="COF(Assy_FT)"/>
    <s v="COF(Assy_FT)"/>
    <s v="기계장치"/>
    <n v="10366898.24"/>
    <n v="988263.117410301"/>
    <n v="329421.03913676698"/>
    <m/>
    <m/>
    <m/>
    <m/>
    <m/>
    <m/>
    <m/>
    <n v="988263.117410301"/>
    <n v="988263.117410301"/>
    <n v="1976526.234820602"/>
    <n v="988263.117410301"/>
    <n v="988263.117410301"/>
    <n v="988263.117410301"/>
    <n v="988263.117410301"/>
    <n v="3953052.469641204"/>
    <n v="988263.117410301"/>
    <n v="988263.117410301"/>
    <n v="988263.117410301"/>
    <n v="988263.117410301"/>
    <n v="3953052.469641204"/>
    <n v="988263.117410301"/>
    <n v="988263.117410301"/>
    <n v="988263.117410301"/>
    <n v="988263.117410301"/>
    <n v="3953052.469641204"/>
    <m/>
    <n v="1.0122629293871253E-3"/>
    <n v="21257521.51712963"/>
    <n v="31624419.757129632"/>
  </r>
  <r>
    <n v="723"/>
    <x v="0"/>
    <m/>
    <s v="이종희"/>
    <s v="구미"/>
    <s v="PKG"/>
    <s v="O"/>
    <m/>
    <s v="DDI"/>
    <x v="5"/>
    <s v="FT"/>
    <x v="38"/>
    <n v="1004543"/>
    <s v="MC"/>
    <s v="PFT-55 : TESTER_ND3(310703474)"/>
    <s v="T6373"/>
    <x v="5"/>
    <s v="Tester"/>
    <n v="310703474"/>
    <x v="169"/>
    <s v="가동"/>
    <s v="일본"/>
    <s v="ADVANTEST"/>
    <x v="0"/>
    <s v="2차"/>
    <s v="2차"/>
    <s v="해당"/>
    <s v="PKG(COF)Tester"/>
    <s v="COF PKG Test"/>
    <m/>
    <m/>
    <s v="3B992"/>
    <s v="9030.82-0000"/>
    <s v="반도체 Test 장비"/>
    <m/>
    <m/>
    <d v="2015-02-28T00:00:00"/>
    <n v="10.67945205479452"/>
    <n v="8"/>
    <m/>
    <s v="자사"/>
    <s v="미설정"/>
    <n v="9.83"/>
    <n v="1250"/>
    <n v="950"/>
    <n v="1800"/>
    <n v="519279925"/>
    <m/>
    <m/>
    <m/>
    <n v="519278925"/>
    <n v="2015983"/>
    <n v="1000"/>
    <n v="1000"/>
    <m/>
    <m/>
    <m/>
    <s v="완료"/>
    <s v="D-FT"/>
    <s v="COF(Assy_FT)"/>
    <s v="COF(Assy_FT)"/>
    <s v="기계장치"/>
    <n v="10385598.5"/>
    <n v="990045.78921976045"/>
    <n v="330015.2630732535"/>
    <m/>
    <m/>
    <m/>
    <m/>
    <m/>
    <m/>
    <m/>
    <n v="990045.78921976057"/>
    <n v="990045.78921976057"/>
    <n v="1980091.5784395211"/>
    <n v="990045.78921976057"/>
    <n v="990045.78921976057"/>
    <n v="990045.78921976057"/>
    <n v="990045.78921976057"/>
    <n v="3960183.1568790423"/>
    <n v="990045.78921976057"/>
    <n v="990045.78921976057"/>
    <n v="990045.78921976057"/>
    <n v="990045.78921976057"/>
    <n v="3960183.1568790423"/>
    <n v="990045.78921976057"/>
    <n v="990045.78921976057"/>
    <n v="990045.78921976057"/>
    <n v="990045.78921976057"/>
    <n v="3960183.1568790423"/>
    <m/>
    <n v="1.0140888930967778E-3"/>
    <n v="21295866.755032334"/>
    <n v="31681465.255032334"/>
  </r>
  <r>
    <n v="724"/>
    <x v="0"/>
    <m/>
    <s v="이종희"/>
    <s v="구미"/>
    <s v="PKG"/>
    <s v="O"/>
    <m/>
    <s v="DDI"/>
    <x v="5"/>
    <s v="FT"/>
    <x v="38"/>
    <n v="1004742"/>
    <s v="MC"/>
    <s v="PFT-56 : TESTER_ND4(310750563)"/>
    <s v="T6391"/>
    <x v="112"/>
    <s v="Tester"/>
    <n v="310750563"/>
    <x v="173"/>
    <s v="운휴"/>
    <s v="일본"/>
    <s v="ADVANTEST"/>
    <x v="2"/>
    <s v="2차"/>
    <s v="2차"/>
    <s v="해당"/>
    <s v="PKG(COF)Tester"/>
    <s v="COF PKG Test"/>
    <m/>
    <m/>
    <s v="3B992"/>
    <s v="9030.82-0000"/>
    <s v="Enduser 중국"/>
    <m/>
    <m/>
    <d v="2016-06-27T00:00:00"/>
    <n v="9.3506849315068497"/>
    <n v="8"/>
    <m/>
    <s v="자사"/>
    <s v="설정"/>
    <n v="13.3"/>
    <n v="1050"/>
    <n v="800"/>
    <n v="1600"/>
    <n v="1083144387"/>
    <m/>
    <m/>
    <m/>
    <n v="1083143387"/>
    <n v="10233961"/>
    <n v="1000"/>
    <n v="1000"/>
    <m/>
    <m/>
    <m/>
    <s v="완료"/>
    <s v="D-FT"/>
    <s v="COF(Assy_FT)"/>
    <s v="COF(Assy_FT)"/>
    <s v="기계장치"/>
    <n v="21662887.740000002"/>
    <n v="676965.24187500007"/>
    <n v="225655.08062500003"/>
    <m/>
    <m/>
    <m/>
    <m/>
    <m/>
    <m/>
    <m/>
    <n v="676965.24187500007"/>
    <n v="676965.24187500007"/>
    <n v="1353930.4837500001"/>
    <n v="676965.24187500007"/>
    <n v="676965.24187500007"/>
    <n v="676965.24187500007"/>
    <n v="676965.24187500007"/>
    <n v="2707860.9675000003"/>
    <n v="676965.24187500007"/>
    <n v="676965.24187500007"/>
    <n v="676965.24187500007"/>
    <n v="676965.24187500007"/>
    <n v="2707860.9675000003"/>
    <n v="676965.24187500007"/>
    <n v="676965.24187500007"/>
    <n v="676965.24187500007"/>
    <n v="676965.24187500007"/>
    <n v="2707860.9675000003"/>
    <m/>
    <m/>
    <m/>
    <n v="21662887.740000002"/>
  </r>
  <r>
    <n v="725"/>
    <x v="0"/>
    <m/>
    <s v="이종희"/>
    <s v="구미"/>
    <s v="PKG"/>
    <s v="O"/>
    <m/>
    <s v="DDI"/>
    <x v="5"/>
    <s v="FT"/>
    <x v="38"/>
    <n v="1004862"/>
    <s v="MC"/>
    <s v="PFT-57 : TESTER_ND3(310584981)"/>
    <s v="T6373"/>
    <x v="5"/>
    <s v="Tester"/>
    <n v="310584981"/>
    <x v="169"/>
    <s v="가동"/>
    <s v="일본"/>
    <s v="ADVANTEST"/>
    <x v="0"/>
    <s v="2차"/>
    <s v="2차"/>
    <s v="해당"/>
    <s v="PKG(COF)Tester"/>
    <s v="COF PKG Test"/>
    <m/>
    <m/>
    <s v="3B992"/>
    <s v="9030.82-0000"/>
    <s v="반도체 Test 장비"/>
    <m/>
    <m/>
    <d v="2016-07-25T00:00:00"/>
    <n v="9.2739726027397253"/>
    <n v="8"/>
    <m/>
    <s v="자사"/>
    <s v="미설정"/>
    <n v="9.83"/>
    <n v="1250"/>
    <n v="950"/>
    <n v="1800"/>
    <n v="542030000"/>
    <m/>
    <m/>
    <m/>
    <n v="542029000"/>
    <n v="4159316"/>
    <n v="1000"/>
    <n v="1000"/>
    <m/>
    <m/>
    <m/>
    <s v="완료"/>
    <s v="D-FT"/>
    <s v="COF(Assy_FT)"/>
    <s v="COF(Assy_FT)"/>
    <s v="기계장치"/>
    <n v="10840600"/>
    <n v="1033420.4988394011"/>
    <n v="344473.49961313367"/>
    <m/>
    <m/>
    <m/>
    <m/>
    <m/>
    <m/>
    <m/>
    <n v="1033420.4988394009"/>
    <n v="1033420.4988394009"/>
    <n v="2066840.9976788019"/>
    <n v="1033420.4988394009"/>
    <n v="1033420.4988394009"/>
    <n v="1033420.4988394009"/>
    <n v="1033420.4988394009"/>
    <n v="4133681.9953576038"/>
    <n v="1033420.4988394009"/>
    <n v="1033420.4988394009"/>
    <n v="1033420.4988394009"/>
    <n v="1033420.4988394009"/>
    <n v="4133681.9953576038"/>
    <n v="1033420.4988394009"/>
    <n v="1033420.4988394009"/>
    <n v="1033420.4988394009"/>
    <n v="1033420.4988394009"/>
    <n v="4133681.9953576038"/>
    <m/>
    <n v="1.0585169506124206E-3"/>
    <n v="22228855.962860834"/>
    <n v="33069455.962860834"/>
  </r>
  <r>
    <n v="726"/>
    <x v="0"/>
    <m/>
    <s v="이종희"/>
    <s v="구미"/>
    <s v="PKG"/>
    <s v="O"/>
    <m/>
    <s v="DDI"/>
    <x v="5"/>
    <s v="FT"/>
    <x v="38"/>
    <n v="1004863"/>
    <s v="MC"/>
    <s v="PFT-58 : TESTER_ND3(310591264)"/>
    <s v="T6373"/>
    <x v="5"/>
    <s v="Tester"/>
    <n v="310591264"/>
    <x v="169"/>
    <s v="가동"/>
    <s v="일본"/>
    <s v="ADVANTEST"/>
    <x v="0"/>
    <s v="2차"/>
    <s v="2차"/>
    <s v="해당"/>
    <s v="PKG(COF)Tester"/>
    <s v="COF PKG Test"/>
    <m/>
    <m/>
    <s v="3B992"/>
    <s v="9030.82-0000"/>
    <s v="반도체 Test 장비"/>
    <m/>
    <m/>
    <d v="2016-07-25T00:00:00"/>
    <n v="9.2739726027397253"/>
    <n v="8"/>
    <m/>
    <s v="자사"/>
    <s v="미설정"/>
    <n v="9.83"/>
    <n v="1250"/>
    <n v="950"/>
    <n v="1800"/>
    <n v="542030000"/>
    <m/>
    <m/>
    <m/>
    <n v="542029000"/>
    <n v="4159316"/>
    <n v="1000"/>
    <n v="1000"/>
    <m/>
    <m/>
    <m/>
    <s v="완료"/>
    <s v="D-FT"/>
    <s v="COF(Assy_FT)"/>
    <s v="COF(Assy_FT)"/>
    <s v="기계장치"/>
    <n v="10840600"/>
    <n v="1033420.4988394011"/>
    <n v="344473.49961313367"/>
    <m/>
    <m/>
    <m/>
    <m/>
    <m/>
    <m/>
    <m/>
    <n v="1033420.4988394009"/>
    <n v="1033420.4988394009"/>
    <n v="2066840.9976788019"/>
    <n v="1033420.4988394009"/>
    <n v="1033420.4988394009"/>
    <n v="1033420.4988394009"/>
    <n v="1033420.4988394009"/>
    <n v="4133681.9953576038"/>
    <n v="1033420.4988394009"/>
    <n v="1033420.4988394009"/>
    <n v="1033420.4988394009"/>
    <n v="1033420.4988394009"/>
    <n v="4133681.9953576038"/>
    <n v="1033420.4988394009"/>
    <n v="1033420.4988394009"/>
    <n v="1033420.4988394009"/>
    <n v="1033420.4988394009"/>
    <n v="4133681.9953576038"/>
    <m/>
    <n v="1.0585169506124206E-3"/>
    <n v="22228855.962860834"/>
    <n v="33069455.962860834"/>
  </r>
  <r>
    <n v="727"/>
    <x v="0"/>
    <m/>
    <s v="이종희"/>
    <s v="구미"/>
    <s v="PKG"/>
    <s v="O"/>
    <m/>
    <s v="DDI"/>
    <x v="5"/>
    <s v="FT"/>
    <x v="38"/>
    <n v="1004224"/>
    <s v="MC"/>
    <s v="PFT-61 : TESTER_ND3(310653486)"/>
    <s v="T6373"/>
    <x v="5"/>
    <s v="Tester"/>
    <n v="310653486"/>
    <x v="169"/>
    <s v="가동"/>
    <s v="일본"/>
    <s v="ADVANTEST"/>
    <x v="0"/>
    <s v="2차"/>
    <s v="2차"/>
    <s v="해당"/>
    <s v="PKG(COF)Tester"/>
    <s v="COF PKG Test"/>
    <m/>
    <m/>
    <s v="3B992"/>
    <s v="9030.82-0000"/>
    <s v="반도체 Test 장비"/>
    <m/>
    <m/>
    <d v="2014-03-12T00:00:00"/>
    <n v="11.646575342465754"/>
    <n v="8"/>
    <m/>
    <s v="자사"/>
    <s v="미설정"/>
    <n v="9.83"/>
    <n v="1250"/>
    <n v="950"/>
    <n v="1800"/>
    <n v="613755962"/>
    <m/>
    <m/>
    <m/>
    <n v="613754962"/>
    <n v="0"/>
    <n v="1000"/>
    <n v="1000"/>
    <m/>
    <m/>
    <m/>
    <s v="완료"/>
    <s v="D-FT"/>
    <s v="COF(Assy_FT)"/>
    <s v="COF(Assy_FT)"/>
    <s v="기계장치"/>
    <n v="12275119.24"/>
    <n v="1170171.3787349344"/>
    <n v="390057.12624497811"/>
    <m/>
    <m/>
    <m/>
    <m/>
    <m/>
    <m/>
    <m/>
    <n v="1170171.3787349344"/>
    <n v="1170171.3787349344"/>
    <n v="2340342.7574698688"/>
    <n v="1170171.3787349344"/>
    <n v="1170171.3787349344"/>
    <n v="1170171.3787349344"/>
    <n v="1170171.3787349344"/>
    <n v="4680685.5149397375"/>
    <n v="1170171.3787349344"/>
    <n v="1170171.3787349344"/>
    <n v="1170171.3787349344"/>
    <n v="1170171.3787349344"/>
    <n v="4680685.5149397375"/>
    <n v="1170171.3787349344"/>
    <n v="1170171.3787349344"/>
    <n v="1170171.3787349344"/>
    <n v="1170171.3787349344"/>
    <n v="4680685.5149397375"/>
    <m/>
    <n v="1.1985888037865666E-3"/>
    <n v="25170364.879517898"/>
    <n v="37445484.1195179"/>
  </r>
  <r>
    <n v="728"/>
    <x v="0"/>
    <m/>
    <s v="이종희"/>
    <s v="구미"/>
    <s v="PKG"/>
    <s v="O"/>
    <m/>
    <s v="DDI"/>
    <x v="5"/>
    <s v="FT"/>
    <x v="38"/>
    <n v="1004168"/>
    <s v="MC"/>
    <s v="PFT-62 : TESTER_ND3(310653469)"/>
    <s v="T6373"/>
    <x v="5"/>
    <s v="Tester"/>
    <n v="310653469"/>
    <x v="169"/>
    <s v="가동"/>
    <s v="일본"/>
    <s v="ADVANTEST"/>
    <x v="0"/>
    <s v="3차"/>
    <s v="3차"/>
    <s v="해당"/>
    <s v="PKG(COF)Tester"/>
    <s v="COF PKG Test"/>
    <m/>
    <m/>
    <s v="3B992"/>
    <s v="9030.82-0000"/>
    <s v="반도체 Test 장비"/>
    <m/>
    <m/>
    <d v="2014-01-31T00:00:00"/>
    <n v="11.756164383561643"/>
    <n v="8"/>
    <m/>
    <s v="자사"/>
    <s v="미설정"/>
    <n v="9.83"/>
    <n v="1250"/>
    <n v="950"/>
    <n v="1800"/>
    <n v="616361520"/>
    <m/>
    <m/>
    <m/>
    <n v="616360520"/>
    <n v="0"/>
    <n v="1000"/>
    <n v="1000"/>
    <m/>
    <m/>
    <m/>
    <s v="완료"/>
    <s v="D-FT"/>
    <s v="COF(Assy_FT)"/>
    <s v="COF(Assy_FT)"/>
    <s v="기계장치"/>
    <n v="12327230.4"/>
    <n v="1175139.0688039619"/>
    <n v="391713.02293465397"/>
    <m/>
    <m/>
    <m/>
    <m/>
    <m/>
    <m/>
    <m/>
    <n v="1175139.0688039619"/>
    <n v="1175139.0688039619"/>
    <n v="2350278.1376079237"/>
    <n v="1175139.0688039619"/>
    <n v="1175139.0688039619"/>
    <n v="1175139.0688039619"/>
    <n v="1175139.0688039619"/>
    <n v="4700556.2752158474"/>
    <n v="1175139.0688039619"/>
    <n v="1175139.0688039619"/>
    <n v="1175139.0688039619"/>
    <n v="1175139.0688039619"/>
    <n v="4700556.2752158474"/>
    <n v="1175139.0688039619"/>
    <n v="1175139.0688039619"/>
    <n v="1175139.0688039619"/>
    <n v="1175139.0688039619"/>
    <n v="4700556.2752158474"/>
    <m/>
    <n v="1.2036771334155609E-3"/>
    <n v="25277219.801726781"/>
    <n v="37604450.201726779"/>
  </r>
  <r>
    <n v="729"/>
    <x v="0"/>
    <m/>
    <s v="이종희"/>
    <s v="구미"/>
    <s v="PKG"/>
    <s v="O"/>
    <m/>
    <s v="DDI"/>
    <x v="5"/>
    <s v="FT"/>
    <x v="38"/>
    <n v="1004332"/>
    <s v="MC"/>
    <s v="PFT-63 : TESTER_ND3(310672328)"/>
    <s v="T6373"/>
    <x v="5"/>
    <s v="Tester"/>
    <n v="310672328"/>
    <x v="169"/>
    <s v="가동"/>
    <s v="일본"/>
    <s v="ADVANTEST"/>
    <x v="0"/>
    <s v="3차"/>
    <s v="3차"/>
    <s v="해당"/>
    <s v="PKG(COF)Tester"/>
    <s v="COF PKG Test"/>
    <m/>
    <m/>
    <s v="3B992"/>
    <s v="9030.82-0000"/>
    <s v="반도체 Test 장비"/>
    <m/>
    <m/>
    <d v="2014-05-23T00:00:00"/>
    <n v="11.449315068493151"/>
    <n v="8"/>
    <m/>
    <s v="자사"/>
    <s v="미설정"/>
    <n v="9.83"/>
    <n v="1250"/>
    <n v="950"/>
    <n v="1800"/>
    <n v="587701924"/>
    <m/>
    <m/>
    <m/>
    <n v="587700924"/>
    <n v="675429"/>
    <n v="1000"/>
    <n v="1000"/>
    <m/>
    <m/>
    <m/>
    <s v="완료"/>
    <s v="D-FT"/>
    <s v="COF(Assy_FT)"/>
    <s v="COF(Assy_FT)"/>
    <s v="기계장치"/>
    <n v="11754038.48"/>
    <n v="1120497.417982318"/>
    <n v="373499.1393274393"/>
    <m/>
    <m/>
    <m/>
    <m/>
    <m/>
    <m/>
    <m/>
    <n v="1120497.417982318"/>
    <n v="1120497.417982318"/>
    <n v="2240994.8359646359"/>
    <n v="1120497.417982318"/>
    <n v="1120497.417982318"/>
    <n v="1120497.417982318"/>
    <n v="1120497.417982318"/>
    <n v="4481989.6719292719"/>
    <n v="1120497.417982318"/>
    <n v="1120497.417982318"/>
    <n v="1120497.417982318"/>
    <n v="1120497.417982318"/>
    <n v="4481989.6719292719"/>
    <n v="1120497.417982318"/>
    <n v="1120497.417982318"/>
    <n v="1120497.417982318"/>
    <n v="1120497.417982318"/>
    <n v="4481989.6719292719"/>
    <m/>
    <n v="1.1477085188301987E-3"/>
    <n v="24101878.895434175"/>
    <n v="35855917.375434175"/>
  </r>
  <r>
    <n v="730"/>
    <x v="0"/>
    <m/>
    <s v="이종희"/>
    <s v="구미"/>
    <s v="PKG"/>
    <s v="O"/>
    <m/>
    <s v="DDI"/>
    <x v="5"/>
    <s v="FT"/>
    <x v="38"/>
    <n v="1004297"/>
    <s v="MC"/>
    <s v="PFT-64 : TESTER_ND3(310669329)"/>
    <s v="T6373"/>
    <x v="5"/>
    <s v="Tester"/>
    <n v="310669329"/>
    <x v="169"/>
    <s v="가동"/>
    <s v="일본"/>
    <s v="ADVANTEST"/>
    <x v="0"/>
    <s v="3차"/>
    <s v="3차"/>
    <s v="해당"/>
    <s v="PKG(COF)Tester"/>
    <s v="COF PKG Test"/>
    <m/>
    <m/>
    <s v="3B992"/>
    <s v="9030.82-0000"/>
    <s v="반도체 Test 장비"/>
    <m/>
    <m/>
    <d v="2014-04-21T00:00:00"/>
    <n v="11.536986301369863"/>
    <n v="8"/>
    <m/>
    <s v="자사"/>
    <s v="미설정"/>
    <n v="9.83"/>
    <n v="1250"/>
    <n v="950"/>
    <n v="1800"/>
    <n v="590676290"/>
    <m/>
    <m/>
    <m/>
    <n v="590675290"/>
    <n v="446586"/>
    <n v="1000"/>
    <n v="1000"/>
    <m/>
    <m/>
    <m/>
    <s v="완료"/>
    <s v="D-FT"/>
    <s v="COF(Assy_FT)"/>
    <s v="COF(Assy_FT)"/>
    <s v="기계장치"/>
    <n v="11813525.800000001"/>
    <n v="1126168.2679268799"/>
    <n v="375389.42264229333"/>
    <m/>
    <m/>
    <m/>
    <m/>
    <m/>
    <m/>
    <m/>
    <n v="1126168.2679268799"/>
    <n v="1126168.2679268799"/>
    <n v="2252336.5358537599"/>
    <n v="1126168.2679268799"/>
    <n v="1126168.2679268799"/>
    <n v="1126168.2679268799"/>
    <n v="1126168.2679268799"/>
    <n v="4504673.0717075197"/>
    <n v="1126168.2679268799"/>
    <n v="1126168.2679268799"/>
    <n v="1126168.2679268799"/>
    <n v="1126168.2679268799"/>
    <n v="4504673.0717075197"/>
    <n v="1126168.2679268799"/>
    <n v="1126168.2679268799"/>
    <n v="1126168.2679268799"/>
    <n v="1126168.2679268799"/>
    <n v="4504673.0717075197"/>
    <m/>
    <n v="1.1535170844600075E-3"/>
    <n v="24223858.773660157"/>
    <n v="36037384.573660158"/>
  </r>
  <r>
    <n v="731"/>
    <x v="0"/>
    <m/>
    <s v="이종희"/>
    <s v="구미"/>
    <s v="PKG"/>
    <s v="O"/>
    <m/>
    <s v="DDI"/>
    <x v="5"/>
    <s v="FT"/>
    <x v="38"/>
    <n v="1005262"/>
    <s v="MC"/>
    <s v="PFT-65 : TESTER_ND4(310872873)"/>
    <s v="T6391"/>
    <x v="112"/>
    <s v="Tester"/>
    <n v="310872873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7-12-26T00:00:00"/>
    <n v="7.8520547945205479"/>
    <n v="8"/>
    <m/>
    <s v="자사"/>
    <s v="설정"/>
    <n v="13.3"/>
    <n v="1050"/>
    <n v="800"/>
    <n v="1600"/>
    <n v="933270724"/>
    <m/>
    <m/>
    <m/>
    <n v="894801676"/>
    <n v="9617261"/>
    <n v="9617265"/>
    <n v="0"/>
    <m/>
    <m/>
    <m/>
    <s v="미완료"/>
    <s v="D-FT"/>
    <s v="COF(Assy_FT)"/>
    <s v="COF(Assy_FT)"/>
    <s v="기계장치"/>
    <n v="10098128.25"/>
    <n v="315566.5078125"/>
    <n v="105188.8359375"/>
    <m/>
    <m/>
    <m/>
    <m/>
    <m/>
    <m/>
    <m/>
    <n v="315566.5078125"/>
    <n v="315566.5078125"/>
    <n v="631133.015625"/>
    <n v="315566.5078125"/>
    <n v="315566.5078125"/>
    <n v="315566.5078125"/>
    <n v="315566.5078125"/>
    <n v="1262266.03125"/>
    <n v="315566.5078125"/>
    <n v="315566.5078125"/>
    <n v="315566.5078125"/>
    <n v="315566.5078125"/>
    <n v="1262266.03125"/>
    <n v="315566.5078125"/>
    <n v="315566.5078125"/>
    <n v="315566.5078125"/>
    <n v="315566.5078125"/>
    <n v="1262266.03125"/>
    <m/>
    <m/>
    <m/>
    <n v="10098128.25"/>
  </r>
  <r>
    <n v="732"/>
    <x v="0"/>
    <m/>
    <s v="이종희"/>
    <s v="구미"/>
    <s v="PKG"/>
    <s v="O"/>
    <m/>
    <s v="DDI"/>
    <x v="5"/>
    <s v="FT"/>
    <x v="38"/>
    <n v="1005263"/>
    <s v="MC"/>
    <s v="PFT-66 : TESTER_ND4(310872897)"/>
    <s v="T6391"/>
    <x v="112"/>
    <s v="Tester"/>
    <n v="310872897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7-12-26T00:00:00"/>
    <n v="7.8520547945205479"/>
    <n v="8"/>
    <m/>
    <s v="자사"/>
    <s v="설정"/>
    <n v="13.3"/>
    <n v="1050"/>
    <n v="800"/>
    <n v="1600"/>
    <n v="933270724"/>
    <m/>
    <m/>
    <m/>
    <n v="894801676"/>
    <n v="9617261"/>
    <n v="9617265"/>
    <n v="0"/>
    <m/>
    <m/>
    <m/>
    <s v="미완료"/>
    <s v="D-FT"/>
    <s v="COF(Assy_FT)"/>
    <s v="COF(Assy_FT)"/>
    <s v="기계장치"/>
    <n v="10098128.25"/>
    <n v="315566.5078125"/>
    <n v="105188.8359375"/>
    <m/>
    <m/>
    <m/>
    <m/>
    <m/>
    <m/>
    <m/>
    <n v="315566.5078125"/>
    <n v="315566.5078125"/>
    <n v="631133.015625"/>
    <n v="315566.5078125"/>
    <n v="315566.5078125"/>
    <n v="315566.5078125"/>
    <n v="315566.5078125"/>
    <n v="1262266.03125"/>
    <n v="315566.5078125"/>
    <n v="315566.5078125"/>
    <n v="315566.5078125"/>
    <n v="315566.5078125"/>
    <n v="1262266.03125"/>
    <n v="315566.5078125"/>
    <n v="315566.5078125"/>
    <n v="315566.5078125"/>
    <n v="315566.5078125"/>
    <n v="1262266.03125"/>
    <m/>
    <m/>
    <m/>
    <n v="10098128.25"/>
  </r>
  <r>
    <n v="733"/>
    <x v="0"/>
    <m/>
    <s v="이종희"/>
    <s v="구미"/>
    <s v="PKG"/>
    <s v="O"/>
    <m/>
    <s v="DDI"/>
    <x v="5"/>
    <s v="FT"/>
    <x v="38"/>
    <n v="1004544"/>
    <s v="MC"/>
    <s v="PFT-67 : TESTER_ND3(310703484)"/>
    <s v="T6373"/>
    <x v="5"/>
    <s v="Tester"/>
    <n v="310703484"/>
    <x v="169"/>
    <s v="가동"/>
    <s v="일본"/>
    <s v="ADVANTEST"/>
    <x v="2"/>
    <s v="3차"/>
    <s v="3차"/>
    <s v="해당"/>
    <s v="PKG(COF)Tester"/>
    <s v="COF PKG Test"/>
    <m/>
    <m/>
    <s v="3B992"/>
    <s v="9030.82-0000"/>
    <s v="반도체 Test 장비"/>
    <m/>
    <m/>
    <d v="2015-02-28T00:00:00"/>
    <n v="10.67945205479452"/>
    <n v="8"/>
    <m/>
    <s v="자사"/>
    <s v="미설정"/>
    <n v="9.83"/>
    <n v="1250"/>
    <n v="950"/>
    <n v="1800"/>
    <n v="532350533"/>
    <m/>
    <m/>
    <m/>
    <n v="532349533"/>
    <n v="2185497"/>
    <n v="1000"/>
    <n v="1000"/>
    <m/>
    <m/>
    <m/>
    <s v="완료"/>
    <s v="D-FT"/>
    <s v="COF(Assy_FT)"/>
    <s v="COF(Assy_FT)"/>
    <s v="기계장치"/>
    <n v="10647010.66"/>
    <n v="332719.083125"/>
    <n v="110906.36104166666"/>
    <m/>
    <m/>
    <m/>
    <m/>
    <m/>
    <m/>
    <m/>
    <n v="332719.083125"/>
    <n v="332719.083125"/>
    <n v="665438.16625000001"/>
    <n v="332719.083125"/>
    <n v="332719.083125"/>
    <n v="332719.083125"/>
    <n v="332719.083125"/>
    <n v="1330876.3325"/>
    <n v="332719.083125"/>
    <n v="332719.083125"/>
    <n v="332719.083125"/>
    <n v="332719.083125"/>
    <n v="1330876.3325"/>
    <n v="332719.083125"/>
    <n v="332719.083125"/>
    <n v="332719.083125"/>
    <n v="332719.083125"/>
    <n v="1330876.3325"/>
    <m/>
    <m/>
    <m/>
    <n v="10647010.66"/>
  </r>
  <r>
    <n v="734"/>
    <x v="0"/>
    <m/>
    <s v="이종희"/>
    <s v="구미"/>
    <s v="PKG"/>
    <s v="O"/>
    <m/>
    <s v="DDI"/>
    <x v="5"/>
    <s v="FT"/>
    <x v="38"/>
    <n v="1005328"/>
    <s v="MC"/>
    <s v="PFT-68 : TESTER_ND4(310892876)"/>
    <s v="T6391"/>
    <x v="112"/>
    <s v="Tester"/>
    <n v="310892876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8-02-19T00:00:00"/>
    <n v="7.7013698630136984"/>
    <n v="8"/>
    <m/>
    <s v="자사"/>
    <s v="미설정"/>
    <n v="13.3"/>
    <n v="1050"/>
    <n v="800"/>
    <n v="1600"/>
    <n v="929939407"/>
    <m/>
    <m/>
    <m/>
    <n v="872022143"/>
    <n v="9652880"/>
    <n v="28958624"/>
    <n v="1000"/>
    <m/>
    <m/>
    <m/>
    <s v="미완료"/>
    <s v="D-FT"/>
    <s v="COF(Assy_FT)"/>
    <s v="COF(Assy_FT)"/>
    <s v="기계장치"/>
    <n v="30406555.200000003"/>
    <n v="950204.85000000009"/>
    <n v="316734.95"/>
    <m/>
    <m/>
    <m/>
    <m/>
    <m/>
    <m/>
    <m/>
    <n v="950204.85000000009"/>
    <n v="950204.85000000009"/>
    <n v="1900409.7000000002"/>
    <n v="950204.85000000009"/>
    <n v="950204.85000000009"/>
    <n v="950204.85000000009"/>
    <n v="950204.85000000009"/>
    <n v="3800819.4000000004"/>
    <n v="950204.85000000009"/>
    <n v="950204.85000000009"/>
    <n v="950204.85000000009"/>
    <n v="950204.85000000009"/>
    <n v="3800819.4000000004"/>
    <n v="950204.85000000009"/>
    <n v="950204.85000000009"/>
    <n v="950204.85000000009"/>
    <n v="950204.85000000009"/>
    <n v="3800819.4000000004"/>
    <m/>
    <m/>
    <m/>
    <n v="30406555.200000003"/>
  </r>
  <r>
    <n v="735"/>
    <x v="0"/>
    <m/>
    <s v="이종희"/>
    <s v="구미"/>
    <s v="PKG"/>
    <s v="O"/>
    <m/>
    <s v="DDI"/>
    <x v="5"/>
    <s v="FT"/>
    <x v="38"/>
    <n v="1005329"/>
    <s v="MC"/>
    <s v="PFT-69 : TESTER_ND4(310892877)"/>
    <s v="T6391"/>
    <x v="112"/>
    <s v="Tester"/>
    <n v="310892877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8-02-19T00:00:00"/>
    <n v="7.7013698630136984"/>
    <n v="8"/>
    <m/>
    <s v="자사"/>
    <s v="미설정"/>
    <n v="13.3"/>
    <n v="1050"/>
    <n v="800"/>
    <n v="1600"/>
    <n v="929939407"/>
    <m/>
    <m/>
    <m/>
    <n v="872022143"/>
    <n v="9652880"/>
    <n v="28958624"/>
    <n v="1000"/>
    <m/>
    <m/>
    <m/>
    <s v="미완료"/>
    <s v="D-FT"/>
    <s v="COF(Assy_FT)"/>
    <s v="COF(Assy_FT)"/>
    <s v="기계장치"/>
    <n v="30406555.200000003"/>
    <n v="950204.85000000009"/>
    <n v="316734.95"/>
    <m/>
    <m/>
    <m/>
    <m/>
    <m/>
    <m/>
    <m/>
    <n v="950204.85000000009"/>
    <n v="950204.85000000009"/>
    <n v="1900409.7000000002"/>
    <n v="950204.85000000009"/>
    <n v="950204.85000000009"/>
    <n v="950204.85000000009"/>
    <n v="950204.85000000009"/>
    <n v="3800819.4000000004"/>
    <n v="950204.85000000009"/>
    <n v="950204.85000000009"/>
    <n v="950204.85000000009"/>
    <n v="950204.85000000009"/>
    <n v="3800819.4000000004"/>
    <n v="950204.85000000009"/>
    <n v="950204.85000000009"/>
    <n v="950204.85000000009"/>
    <n v="950204.85000000009"/>
    <n v="3800819.4000000004"/>
    <m/>
    <m/>
    <m/>
    <n v="30406555.200000003"/>
  </r>
  <r>
    <n v="736"/>
    <x v="0"/>
    <m/>
    <s v="이종희"/>
    <s v="구미"/>
    <s v="PKG"/>
    <s v="O"/>
    <m/>
    <s v="DDI"/>
    <x v="5"/>
    <s v="FT"/>
    <x v="38"/>
    <n v="1005330"/>
    <s v="MC"/>
    <s v="PFT-70 : TESTER_ND4(310892894)"/>
    <s v="T6391"/>
    <x v="112"/>
    <s v="Tester"/>
    <n v="310892894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8-02-19T00:00:00"/>
    <n v="7.7013698630136984"/>
    <n v="8"/>
    <m/>
    <s v="자사"/>
    <s v="미설정"/>
    <n v="13.3"/>
    <n v="1050"/>
    <n v="800"/>
    <n v="1600"/>
    <n v="929939407"/>
    <m/>
    <m/>
    <m/>
    <n v="872022143"/>
    <n v="9652880"/>
    <n v="28958624"/>
    <n v="1000"/>
    <m/>
    <m/>
    <m/>
    <s v="미완료"/>
    <s v="D-FT"/>
    <s v="COF(Assy_FT)"/>
    <s v="COF(Assy_FT)"/>
    <s v="기계장치"/>
    <n v="30406555.200000003"/>
    <n v="950204.85000000009"/>
    <n v="316734.95"/>
    <m/>
    <m/>
    <m/>
    <m/>
    <m/>
    <m/>
    <m/>
    <n v="950204.85000000009"/>
    <n v="950204.85000000009"/>
    <n v="1900409.7000000002"/>
    <n v="950204.85000000009"/>
    <n v="950204.85000000009"/>
    <n v="950204.85000000009"/>
    <n v="950204.85000000009"/>
    <n v="3800819.4000000004"/>
    <n v="950204.85000000009"/>
    <n v="950204.85000000009"/>
    <n v="950204.85000000009"/>
    <n v="950204.85000000009"/>
    <n v="3800819.4000000004"/>
    <n v="950204.85000000009"/>
    <n v="950204.85000000009"/>
    <n v="950204.85000000009"/>
    <n v="950204.85000000009"/>
    <n v="3800819.4000000004"/>
    <m/>
    <m/>
    <m/>
    <n v="30406555.200000003"/>
  </r>
  <r>
    <n v="737"/>
    <x v="0"/>
    <m/>
    <s v="이종희"/>
    <s v="구미"/>
    <s v="PKG"/>
    <s v="O"/>
    <m/>
    <s v="DDI"/>
    <x v="5"/>
    <s v="FT"/>
    <x v="38"/>
    <n v="1005363"/>
    <s v="MC"/>
    <s v="PFT-71 : TESTER_ND4(310899004)"/>
    <s v="T6391"/>
    <x v="112"/>
    <s v="Tester"/>
    <n v="310899004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8-03-31T00:00:00"/>
    <n v="7.5917808219178085"/>
    <n v="8"/>
    <m/>
    <s v="자사"/>
    <s v="미설정"/>
    <n v="13.3"/>
    <n v="1050"/>
    <n v="800"/>
    <n v="1600"/>
    <n v="965204627"/>
    <m/>
    <m/>
    <m/>
    <n v="894825123"/>
    <n v="10054215"/>
    <n v="40216859"/>
    <n v="1000"/>
    <m/>
    <m/>
    <m/>
    <s v="미완료"/>
    <s v="D-FT"/>
    <s v="COF(Assy_FT)"/>
    <s v="COF(Assy_FT)"/>
    <s v="기계장치"/>
    <n v="42227701.950000003"/>
    <n v="1319615.6859375001"/>
    <n v="439871.89531250001"/>
    <m/>
    <m/>
    <m/>
    <m/>
    <m/>
    <m/>
    <m/>
    <n v="1319615.6859375001"/>
    <n v="1319615.6859375001"/>
    <n v="2639231.3718750002"/>
    <n v="1319615.6859375001"/>
    <n v="1319615.6859375001"/>
    <n v="1319615.6859375001"/>
    <n v="1319615.6859375001"/>
    <n v="5278462.7437500004"/>
    <n v="1319615.6859375001"/>
    <n v="1319615.6859375001"/>
    <n v="1319615.6859375001"/>
    <n v="1319615.6859375001"/>
    <n v="5278462.7437500004"/>
    <n v="1319615.6859375001"/>
    <n v="1319615.6859375001"/>
    <n v="1319615.6859375001"/>
    <n v="1319615.6859375001"/>
    <n v="5278462.7437500004"/>
    <m/>
    <m/>
    <m/>
    <n v="42227701.950000003"/>
  </r>
  <r>
    <n v="738"/>
    <x v="0"/>
    <m/>
    <s v="이종희"/>
    <s v="구미"/>
    <s v="PKG"/>
    <s v="O"/>
    <m/>
    <s v="DDI"/>
    <x v="5"/>
    <s v="FT"/>
    <x v="38"/>
    <n v="1005364"/>
    <s v="MC"/>
    <s v="PFT-72 : TESTER_ND4(310899034)"/>
    <s v="T6391"/>
    <x v="112"/>
    <s v="Tester"/>
    <n v="310899034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8-03-31T00:00:00"/>
    <n v="7.5917808219178085"/>
    <n v="8"/>
    <m/>
    <s v="자사"/>
    <s v="미설정"/>
    <n v="13.3"/>
    <n v="1050"/>
    <n v="800"/>
    <n v="1600"/>
    <n v="965204628"/>
    <m/>
    <m/>
    <m/>
    <n v="894825123"/>
    <n v="10054215"/>
    <n v="40216860"/>
    <n v="1000"/>
    <m/>
    <m/>
    <m/>
    <s v="미완료"/>
    <s v="D-FT"/>
    <s v="COF(Assy_FT)"/>
    <s v="COF(Assy_FT)"/>
    <s v="기계장치"/>
    <n v="42227703"/>
    <n v="1319615.71875"/>
    <n v="439871.90625"/>
    <m/>
    <m/>
    <m/>
    <m/>
    <m/>
    <m/>
    <m/>
    <n v="1319615.71875"/>
    <n v="1319615.71875"/>
    <n v="2639231.4375"/>
    <n v="1319615.71875"/>
    <n v="1319615.71875"/>
    <n v="1319615.71875"/>
    <n v="1319615.71875"/>
    <n v="5278462.875"/>
    <n v="1319615.71875"/>
    <n v="1319615.71875"/>
    <n v="1319615.71875"/>
    <n v="1319615.71875"/>
    <n v="5278462.875"/>
    <n v="1319615.71875"/>
    <n v="1319615.71875"/>
    <n v="1319615.71875"/>
    <n v="1319615.71875"/>
    <n v="5278462.875"/>
    <m/>
    <m/>
    <m/>
    <n v="42227703"/>
  </r>
  <r>
    <n v="739"/>
    <x v="0"/>
    <m/>
    <s v="이종희"/>
    <s v="구미"/>
    <s v="PKG"/>
    <s v="O"/>
    <m/>
    <s v="DDI"/>
    <x v="5"/>
    <s v="FT"/>
    <x v="38"/>
    <n v="1004238"/>
    <s v="MC"/>
    <s v="PFT-73 : TESTER_ND3(310663974)"/>
    <s v="T6373"/>
    <x v="5"/>
    <s v="Tester"/>
    <n v="310663974"/>
    <x v="169"/>
    <s v="가동"/>
    <s v="일본"/>
    <s v="ADVANTEST"/>
    <x v="2"/>
    <s v="3차"/>
    <s v="3차"/>
    <s v="해당"/>
    <s v="PKG(COF)Tester"/>
    <s v="COF PKG Test"/>
    <m/>
    <m/>
    <s v="3B992"/>
    <s v="9030.82-0000"/>
    <s v="반도체 Test 장비"/>
    <m/>
    <m/>
    <d v="2014-03-17T00:00:00"/>
    <n v="11.632876712328768"/>
    <n v="8"/>
    <m/>
    <s v="자사"/>
    <s v="미설정"/>
    <n v="9.83"/>
    <n v="1250"/>
    <n v="950"/>
    <n v="1800"/>
    <n v="623947043"/>
    <m/>
    <m/>
    <m/>
    <n v="623946043"/>
    <n v="0"/>
    <n v="1000"/>
    <n v="1000"/>
    <m/>
    <m/>
    <m/>
    <s v="완료"/>
    <s v="D-FT"/>
    <s v="COF(Assy_FT)"/>
    <s v="COF(Assy_FT)"/>
    <s v="기계장치"/>
    <n v="12478940.859999999"/>
    <n v="389966.90187499998"/>
    <n v="129988.96729166666"/>
    <m/>
    <m/>
    <m/>
    <m/>
    <m/>
    <m/>
    <m/>
    <n v="389966.90187499998"/>
    <n v="389966.90187499998"/>
    <n v="779933.80374999996"/>
    <n v="389966.90187499998"/>
    <n v="389966.90187499998"/>
    <n v="389966.90187499998"/>
    <n v="389966.90187499998"/>
    <n v="1559867.6074999999"/>
    <n v="389966.90187499998"/>
    <n v="389966.90187499998"/>
    <n v="389966.90187499998"/>
    <n v="389966.90187499998"/>
    <n v="1559867.6074999999"/>
    <n v="389966.90187499998"/>
    <n v="389966.90187499998"/>
    <n v="389966.90187499998"/>
    <n v="389966.90187499998"/>
    <n v="1559867.6074999999"/>
    <m/>
    <m/>
    <m/>
    <n v="12478940.859999999"/>
  </r>
  <r>
    <n v="740"/>
    <x v="0"/>
    <m/>
    <s v="이종희"/>
    <s v="구미"/>
    <s v="PKG"/>
    <s v="O"/>
    <m/>
    <s v="DDI"/>
    <x v="5"/>
    <s v="FT"/>
    <x v="38"/>
    <n v="1004233"/>
    <s v="MC"/>
    <s v="PFT-74 : TESTER_ND3(310633975)"/>
    <s v="T6373"/>
    <x v="5"/>
    <s v="Tester"/>
    <n v="310633975"/>
    <x v="169"/>
    <s v="가동"/>
    <s v="일본"/>
    <s v="ADVANTEST"/>
    <x v="1"/>
    <s v="3차"/>
    <s v="3차"/>
    <s v="해당"/>
    <s v="PKG(COF)Tester"/>
    <s v="COF PKG Test"/>
    <m/>
    <m/>
    <s v="3B992"/>
    <s v="9030.82-0000"/>
    <s v="반도체 Test 장비"/>
    <m/>
    <m/>
    <d v="2014-03-17T00:00:00"/>
    <n v="11.632876712328768"/>
    <n v="8"/>
    <m/>
    <s v="자사"/>
    <s v="미설정"/>
    <n v="9.83"/>
    <n v="1250"/>
    <n v="950"/>
    <n v="1800"/>
    <n v="623947044"/>
    <m/>
    <m/>
    <m/>
    <n v="623946044"/>
    <n v="0"/>
    <n v="1000"/>
    <n v="1000"/>
    <m/>
    <m/>
    <m/>
    <s v="완료"/>
    <s v="D-FT"/>
    <s v="COF(Assy_FT)"/>
    <s v="COF(Assy_FT)"/>
    <s v="기계장치"/>
    <n v="12478940.880000001"/>
    <n v="1189601.4343483751"/>
    <n v="396533.81144945836"/>
    <m/>
    <m/>
    <n v="1189601.4343483751"/>
    <n v="1189601.4343483751"/>
    <n v="2379202.8686967501"/>
    <n v="1189601.4343483751"/>
    <n v="1189601.4343483751"/>
    <n v="1189601.4343483751"/>
    <n v="1189601.4343483751"/>
    <n v="4758405.7373935003"/>
    <n v="1189601.4343483751"/>
    <n v="1189601.4343483751"/>
    <n v="1189601.4343483751"/>
    <n v="1189601.4343483751"/>
    <n v="4758405.7373935003"/>
    <n v="1189601.4343483751"/>
    <n v="1189601.4343483751"/>
    <n v="1189601.4343483751"/>
    <n v="1189601.4343483751"/>
    <n v="4758405.7373935003"/>
    <n v="1189601.4343483751"/>
    <n v="1189601.4343483751"/>
    <n v="1189601.4343483751"/>
    <n v="1189601.4343483751"/>
    <n v="4758405.7373935003"/>
    <m/>
    <n v="1.2184907151975238E-3"/>
    <n v="25588305.019148"/>
    <n v="38067245.899148002"/>
  </r>
  <r>
    <n v="741"/>
    <x v="0"/>
    <m/>
    <s v="이종희"/>
    <s v="구미"/>
    <s v="PKG"/>
    <s v="O"/>
    <m/>
    <s v="DDI"/>
    <x v="5"/>
    <s v="FT"/>
    <x v="38"/>
    <n v="1004293"/>
    <s v="MC"/>
    <s v="PFT-75 : TESTER_ND3(310668816)"/>
    <s v="T6373"/>
    <x v="5"/>
    <s v="Tester"/>
    <n v="310668816"/>
    <x v="169"/>
    <s v="가동"/>
    <s v="일본"/>
    <s v="ADVANTEST"/>
    <x v="2"/>
    <s v="3차"/>
    <s v="3차"/>
    <s v="해당"/>
    <s v="PKG(COF)Tester"/>
    <s v="COF PKG Test"/>
    <m/>
    <m/>
    <s v="3B992"/>
    <s v="9030.82-0000"/>
    <s v="반도체 Test 장비"/>
    <m/>
    <m/>
    <d v="2014-04-21T00:00:00"/>
    <n v="11.536986301369863"/>
    <n v="8"/>
    <m/>
    <s v="자사"/>
    <s v="미설정"/>
    <n v="9.83"/>
    <n v="1250"/>
    <n v="950"/>
    <n v="1800"/>
    <n v="576676290"/>
    <m/>
    <m/>
    <m/>
    <n v="576675290"/>
    <n v="244168"/>
    <n v="1000"/>
    <n v="1000"/>
    <m/>
    <m/>
    <m/>
    <s v="완료"/>
    <s v="D-FT"/>
    <s v="COF(Assy_FT)"/>
    <s v="COF(Assy_FT)"/>
    <s v="기계장치"/>
    <n v="11533525.800000001"/>
    <n v="360422.68125000002"/>
    <n v="120140.89375"/>
    <m/>
    <m/>
    <m/>
    <m/>
    <m/>
    <m/>
    <m/>
    <n v="360422.68125000002"/>
    <n v="360422.68125000002"/>
    <n v="720845.36250000005"/>
    <n v="360422.68125000002"/>
    <n v="360422.68125000002"/>
    <n v="360422.68125000002"/>
    <n v="360422.68125000002"/>
    <n v="1441690.7250000001"/>
    <n v="360422.68125000002"/>
    <n v="360422.68125000002"/>
    <n v="360422.68125000002"/>
    <n v="360422.68125000002"/>
    <n v="1441690.7250000001"/>
    <n v="360422.68125000002"/>
    <n v="360422.68125000002"/>
    <n v="360422.68125000002"/>
    <n v="360422.68125000002"/>
    <n v="1441690.7250000001"/>
    <m/>
    <m/>
    <m/>
    <n v="11533525.800000001"/>
  </r>
  <r>
    <n v="742"/>
    <x v="0"/>
    <m/>
    <s v="이종희"/>
    <s v="구미"/>
    <s v="PKG"/>
    <s v="O"/>
    <m/>
    <s v="DDI"/>
    <x v="5"/>
    <s v="FT"/>
    <x v="38"/>
    <n v="1004239"/>
    <s v="MC"/>
    <s v="PFT-76 : TESTER_ND3(310663976)"/>
    <s v="T6373"/>
    <x v="5"/>
    <s v="Tester"/>
    <n v="310663976"/>
    <x v="169"/>
    <s v="가동"/>
    <s v="일본"/>
    <s v="ADVANTEST"/>
    <x v="2"/>
    <s v="3차"/>
    <s v="3차"/>
    <s v="해당"/>
    <s v="PKG(COF)Tester"/>
    <s v="COF PKG Test"/>
    <m/>
    <m/>
    <s v="3B992"/>
    <s v="9030.82-0000"/>
    <s v="반도체 Test 장비"/>
    <m/>
    <m/>
    <d v="2014-03-17T00:00:00"/>
    <n v="11.632876712328768"/>
    <n v="8"/>
    <m/>
    <s v="자사"/>
    <s v="미설정"/>
    <n v="9.83"/>
    <n v="1250"/>
    <n v="950"/>
    <n v="1800"/>
    <n v="701947044"/>
    <m/>
    <m/>
    <m/>
    <n v="701946044"/>
    <n v="337529"/>
    <n v="1000"/>
    <n v="1000"/>
    <m/>
    <m/>
    <m/>
    <s v="완료"/>
    <s v="D-FT"/>
    <s v="COF(Assy_FT)"/>
    <s v="COF(Assy_FT)"/>
    <s v="기계장치"/>
    <n v="14038940.880000001"/>
    <n v="438716.90250000003"/>
    <n v="146238.9675"/>
    <m/>
    <m/>
    <m/>
    <m/>
    <m/>
    <m/>
    <m/>
    <n v="438716.90249999997"/>
    <n v="438716.90249999997"/>
    <n v="877433.80499999993"/>
    <n v="438716.90249999997"/>
    <n v="438716.90249999997"/>
    <n v="438716.90249999997"/>
    <n v="438716.90249999997"/>
    <n v="1754867.6099999999"/>
    <n v="438716.90249999997"/>
    <n v="438716.90249999997"/>
    <n v="438716.90249999997"/>
    <n v="438716.90249999997"/>
    <n v="1754867.6099999999"/>
    <n v="438716.90249999997"/>
    <n v="438716.90249999997"/>
    <n v="438716.90249999997"/>
    <n v="438716.90249999997"/>
    <n v="1754867.6099999999"/>
    <m/>
    <m/>
    <m/>
    <n v="14038940.880000001"/>
  </r>
  <r>
    <n v="743"/>
    <x v="0"/>
    <m/>
    <s v="이종희"/>
    <s v="구미"/>
    <s v="PKG"/>
    <s v="O"/>
    <m/>
    <s v="DDI"/>
    <x v="5"/>
    <s v="FT"/>
    <x v="38"/>
    <n v="1004234"/>
    <s v="MC"/>
    <s v="PFT-77 : TESTER_ND3(310664636)"/>
    <s v="T6373"/>
    <x v="5"/>
    <s v="Tester"/>
    <n v="310664636"/>
    <x v="169"/>
    <s v="비가동"/>
    <s v="일본"/>
    <s v="ADVANTEST"/>
    <x v="1"/>
    <s v="3차"/>
    <s v="3차"/>
    <s v="해당"/>
    <s v="PKG(COF)Tester"/>
    <s v="COF PKG Test"/>
    <m/>
    <m/>
    <s v="3B992"/>
    <s v="9030.82-0000"/>
    <s v="반도체 Test 장비"/>
    <m/>
    <m/>
    <d v="2014-03-17T00:00:00"/>
    <n v="11.632876712328768"/>
    <n v="8"/>
    <m/>
    <s v="자사"/>
    <s v="미설정"/>
    <n v="9.83"/>
    <n v="1250"/>
    <n v="950"/>
    <n v="1800"/>
    <n v="623947043"/>
    <m/>
    <m/>
    <m/>
    <n v="623946043"/>
    <n v="0"/>
    <n v="1000"/>
    <n v="1000"/>
    <m/>
    <m/>
    <m/>
    <s v="완료"/>
    <s v="D-FT"/>
    <s v="COF(Assy_FT)"/>
    <s v="COF(Assy_FT)"/>
    <s v="기계장치"/>
    <n v="12478940.859999999"/>
    <n v="1189601.4324418006"/>
    <n v="396533.81081393355"/>
    <m/>
    <m/>
    <n v="1189601.4324418006"/>
    <n v="1189601.4324418006"/>
    <n v="2379202.8648836012"/>
    <n v="1189601.4324418006"/>
    <n v="1189601.4324418006"/>
    <n v="1189601.4324418006"/>
    <n v="1189601.4324418006"/>
    <n v="4758405.7297672024"/>
    <n v="1189601.4324418006"/>
    <n v="1189601.4324418006"/>
    <n v="1189601.4324418006"/>
    <n v="1189601.4324418006"/>
    <n v="4758405.7297672024"/>
    <n v="1189601.4324418006"/>
    <n v="1189601.4324418006"/>
    <n v="1189601.4324418006"/>
    <n v="1189601.4324418006"/>
    <n v="4758405.7297672024"/>
    <n v="1189601.4324418006"/>
    <n v="1189601.4324418006"/>
    <n v="1189601.4324418006"/>
    <n v="1189601.4324418006"/>
    <n v="4758405.7297672024"/>
    <m/>
    <n v="1.2184907132446485E-3"/>
    <n v="25588304.97813762"/>
    <n v="38067245.838137619"/>
  </r>
  <r>
    <n v="744"/>
    <x v="0"/>
    <m/>
    <s v="이종희"/>
    <s v="구미"/>
    <s v="PKG"/>
    <s v="O"/>
    <m/>
    <s v="DDI"/>
    <x v="5"/>
    <s v="FT"/>
    <x v="38"/>
    <n v="1003882"/>
    <s v="MC"/>
    <s v="PFT-78 : TESTER_ND3(310633692)_개조"/>
    <s v="T6373"/>
    <x v="5"/>
    <s v="Tester"/>
    <n v="310633692"/>
    <x v="169"/>
    <s v="가동"/>
    <s v="일본"/>
    <s v="ADVANTEST"/>
    <x v="2"/>
    <s v="3차"/>
    <s v="3차"/>
    <s v="해당"/>
    <s v="PKG(COF)Tester"/>
    <s v="COF PKG Test"/>
    <m/>
    <m/>
    <s v="3B992"/>
    <s v="9030.82-0000"/>
    <s v="반도체 Test 장비"/>
    <m/>
    <m/>
    <d v="2013-06-11T00:00:00"/>
    <n v="12.397260273972602"/>
    <n v="8"/>
    <m/>
    <s v="자사"/>
    <s v="미설정"/>
    <n v="9.83"/>
    <n v="1250"/>
    <n v="950"/>
    <n v="1800"/>
    <n v="662489658"/>
    <m/>
    <m/>
    <m/>
    <n v="662488658"/>
    <n v="0"/>
    <n v="1000"/>
    <n v="1000"/>
    <m/>
    <m/>
    <m/>
    <s v="완료"/>
    <s v="D-FT"/>
    <s v="COF(Assy_FT)"/>
    <s v="COF(Assy_FT)"/>
    <s v="기계장치"/>
    <n v="13249793.16"/>
    <n v="414056.03625"/>
    <n v="138018.67874999999"/>
    <m/>
    <m/>
    <m/>
    <m/>
    <m/>
    <m/>
    <m/>
    <n v="414056.03625"/>
    <n v="414056.03625"/>
    <n v="828112.07250000001"/>
    <n v="414056.03625"/>
    <n v="414056.03625"/>
    <n v="414056.03625"/>
    <n v="414056.03625"/>
    <n v="1656224.145"/>
    <n v="414056.03625"/>
    <n v="414056.03625"/>
    <n v="414056.03625"/>
    <n v="414056.03625"/>
    <n v="1656224.145"/>
    <n v="414056.03625"/>
    <n v="414056.03625"/>
    <n v="414056.03625"/>
    <n v="414056.03625"/>
    <n v="1656224.145"/>
    <m/>
    <m/>
    <m/>
    <n v="13249793.16"/>
  </r>
  <r>
    <n v="745"/>
    <x v="0"/>
    <m/>
    <s v="이종희"/>
    <s v="구미"/>
    <s v="PKG"/>
    <s v="O"/>
    <m/>
    <s v="DDI"/>
    <x v="5"/>
    <s v="FT"/>
    <x v="38"/>
    <n v="1003906"/>
    <s v="MC"/>
    <s v="PFT-79 : TESTER_ND3(310632437)"/>
    <s v="T6373"/>
    <x v="5"/>
    <s v="Tester"/>
    <n v="310632437"/>
    <x v="169"/>
    <s v="가동"/>
    <s v="일본"/>
    <s v="ADVANTEST"/>
    <x v="2"/>
    <s v="3차"/>
    <s v="3차"/>
    <s v="해당"/>
    <s v="PKG(COF)Tester"/>
    <s v="COF PKG Test"/>
    <m/>
    <m/>
    <s v="3B992"/>
    <s v="9030.82-0000"/>
    <s v="반도체 Test 장비"/>
    <m/>
    <m/>
    <d v="2013-06-24T00:00:00"/>
    <n v="12.361643835616439"/>
    <n v="8"/>
    <m/>
    <s v="자사"/>
    <s v="미설정"/>
    <n v="9.83"/>
    <n v="1250"/>
    <n v="950"/>
    <n v="1800"/>
    <n v="699323073"/>
    <m/>
    <m/>
    <m/>
    <n v="699322073"/>
    <n v="0"/>
    <n v="1000"/>
    <n v="1000"/>
    <m/>
    <m/>
    <m/>
    <s v="완료"/>
    <s v="D-FT"/>
    <s v="COF(Assy_FT)"/>
    <s v="COF(Assy_FT)"/>
    <s v="기계장치"/>
    <n v="13986461.460000001"/>
    <n v="437076.92062500003"/>
    <n v="145692.30687500001"/>
    <m/>
    <m/>
    <m/>
    <m/>
    <m/>
    <m/>
    <m/>
    <n v="437076.92062500003"/>
    <n v="437076.92062500003"/>
    <n v="874153.84125000006"/>
    <n v="437076.92062500003"/>
    <n v="437076.92062500003"/>
    <n v="437076.92062500003"/>
    <n v="437076.92062500003"/>
    <n v="1748307.6825000001"/>
    <n v="437076.92062500003"/>
    <n v="437076.92062500003"/>
    <n v="437076.92062500003"/>
    <n v="437076.92062500003"/>
    <n v="1748307.6825000001"/>
    <n v="437076.92062500003"/>
    <n v="437076.92062500003"/>
    <n v="437076.92062500003"/>
    <n v="437076.92062500003"/>
    <n v="1748307.6825000001"/>
    <m/>
    <m/>
    <m/>
    <n v="13986461.460000001"/>
  </r>
  <r>
    <n v="746"/>
    <x v="0"/>
    <m/>
    <s v="이종희"/>
    <s v="구미"/>
    <s v="PKG"/>
    <s v="O"/>
    <m/>
    <s v="DDI"/>
    <x v="5"/>
    <s v="FT"/>
    <x v="38"/>
    <n v="1003907"/>
    <s v="MC"/>
    <s v="PFT-80 : TESTER_ND3(310633691)"/>
    <s v="T6373"/>
    <x v="5"/>
    <s v="Tester"/>
    <n v="310633691"/>
    <x v="169"/>
    <s v="가동"/>
    <s v="일본"/>
    <s v="ADVANTEST"/>
    <x v="2"/>
    <s v="3차"/>
    <s v="3차"/>
    <s v="해당"/>
    <s v="PKG(COF)Tester"/>
    <s v="COF PKG Test"/>
    <m/>
    <m/>
    <s v="3B992"/>
    <s v="9030.82-0000"/>
    <s v="반도체 Test 장비"/>
    <m/>
    <m/>
    <d v="2013-06-24T00:00:00"/>
    <n v="12.361643835616439"/>
    <n v="8"/>
    <m/>
    <s v="자사"/>
    <s v="미설정"/>
    <n v="9.83"/>
    <n v="1250"/>
    <n v="950"/>
    <n v="1800"/>
    <n v="699323073"/>
    <m/>
    <m/>
    <m/>
    <n v="699322073"/>
    <n v="0"/>
    <n v="1000"/>
    <n v="1000"/>
    <m/>
    <m/>
    <m/>
    <s v="완료"/>
    <s v="D-FT"/>
    <s v="COF(Assy_FT)"/>
    <s v="COF(Assy_FT)"/>
    <s v="기계장치"/>
    <n v="13986461.460000001"/>
    <n v="437076.92062500003"/>
    <n v="145692.30687500001"/>
    <m/>
    <m/>
    <m/>
    <m/>
    <m/>
    <m/>
    <m/>
    <n v="437076.92062500003"/>
    <n v="437076.92062500003"/>
    <n v="874153.84125000006"/>
    <n v="437076.92062500003"/>
    <n v="437076.92062500003"/>
    <n v="437076.92062500003"/>
    <n v="437076.92062500003"/>
    <n v="1748307.6825000001"/>
    <n v="437076.92062500003"/>
    <n v="437076.92062500003"/>
    <n v="437076.92062500003"/>
    <n v="437076.92062500003"/>
    <n v="1748307.6825000001"/>
    <n v="437076.92062500003"/>
    <n v="437076.92062500003"/>
    <n v="437076.92062500003"/>
    <n v="437076.92062500003"/>
    <n v="1748307.6825000001"/>
    <m/>
    <m/>
    <m/>
    <n v="13986461.460000001"/>
  </r>
  <r>
    <n v="747"/>
    <x v="0"/>
    <m/>
    <s v="이종희"/>
    <s v="구미"/>
    <s v="PKG"/>
    <s v="O"/>
    <m/>
    <s v="DDI"/>
    <x v="5"/>
    <s v="FT"/>
    <x v="38"/>
    <n v="1004545"/>
    <s v="MC"/>
    <s v="PFT-81 : TESTER_ND3(310703487)"/>
    <s v="T6373"/>
    <x v="5"/>
    <s v="Tester"/>
    <n v="310703487"/>
    <x v="169"/>
    <s v="가동"/>
    <s v="일본"/>
    <s v="ADVANTEST"/>
    <x v="2"/>
    <s v="3차"/>
    <s v="3차"/>
    <s v="해당"/>
    <s v="PKG(COF)Tester"/>
    <s v="COF PKG Test"/>
    <m/>
    <m/>
    <s v="3B992"/>
    <s v="9030.82-0000"/>
    <s v="반도체 Test 장비"/>
    <m/>
    <m/>
    <d v="2015-02-28T00:00:00"/>
    <n v="10.67945205479452"/>
    <n v="8"/>
    <m/>
    <s v="자사"/>
    <s v="미설정"/>
    <n v="9.83"/>
    <n v="1250"/>
    <n v="950"/>
    <n v="1800"/>
    <n v="518350533"/>
    <m/>
    <m/>
    <m/>
    <n v="518349533"/>
    <n v="2012378"/>
    <n v="1000"/>
    <n v="1000"/>
    <m/>
    <m/>
    <m/>
    <s v="완료"/>
    <s v="D-FT"/>
    <s v="COF(Assy_FT)"/>
    <s v="COF(Assy_FT)"/>
    <s v="기계장치"/>
    <n v="10367010.66"/>
    <n v="323969.083125"/>
    <n v="107989.69437500001"/>
    <m/>
    <m/>
    <m/>
    <m/>
    <m/>
    <m/>
    <m/>
    <n v="323969.083125"/>
    <n v="323969.083125"/>
    <n v="647938.16625000001"/>
    <n v="323969.083125"/>
    <n v="323969.083125"/>
    <n v="323969.083125"/>
    <n v="323969.083125"/>
    <n v="1295876.3325"/>
    <n v="323969.083125"/>
    <n v="323969.083125"/>
    <n v="323969.083125"/>
    <n v="323969.083125"/>
    <n v="1295876.3325"/>
    <n v="323969.083125"/>
    <n v="323969.083125"/>
    <n v="323969.083125"/>
    <n v="323969.083125"/>
    <n v="1295876.3325"/>
    <m/>
    <m/>
    <m/>
    <n v="10367010.66"/>
  </r>
  <r>
    <n v="748"/>
    <x v="0"/>
    <m/>
    <s v="이종희"/>
    <s v="구미"/>
    <s v="PKG"/>
    <s v="O"/>
    <m/>
    <s v="DDI"/>
    <x v="5"/>
    <s v="FT"/>
    <x v="38"/>
    <n v="1005645"/>
    <s v="MC"/>
    <s v="PFT-82 : TESTER_ND4(310993228)"/>
    <s v="T6391"/>
    <x v="112"/>
    <s v="Tester"/>
    <n v="310993228"/>
    <x v="173"/>
    <s v="가동"/>
    <s v="일본"/>
    <s v="ADVANTEST"/>
    <x v="1"/>
    <s v="3차"/>
    <s v="3차"/>
    <s v="해당"/>
    <s v="PKG(COF)Tester"/>
    <s v="COF PKG Test"/>
    <m/>
    <m/>
    <s v="3B992"/>
    <s v="9030.82-0000"/>
    <s v="Enduser 중국"/>
    <m/>
    <m/>
    <d v="2018-10-09T00:00:00"/>
    <n v="7.065753424657534"/>
    <n v="8"/>
    <m/>
    <s v="자사"/>
    <s v="설정"/>
    <n v="13.3"/>
    <n v="1050"/>
    <n v="800"/>
    <n v="1600"/>
    <n v="818419916"/>
    <m/>
    <m/>
    <m/>
    <n v="699067004"/>
    <n v="8525207"/>
    <n v="93777291"/>
    <n v="5392807"/>
    <m/>
    <m/>
    <m/>
    <s v="미완료"/>
    <s v="D-FT"/>
    <s v="COF(Assy_FT)"/>
    <s v="COF(Assy_FT)"/>
    <s v="기계장치"/>
    <n v="98466155.549999997"/>
    <n v="9386652.3612419106"/>
    <n v="3128884.1204139702"/>
    <m/>
    <m/>
    <n v="9386652.3612419106"/>
    <n v="9386652.3612419106"/>
    <n v="18773304.722483821"/>
    <n v="9386652.3612419106"/>
    <n v="9386652.3612419106"/>
    <n v="9386652.3612419106"/>
    <n v="9386652.3612419106"/>
    <n v="37546609.444967642"/>
    <n v="9386652.3612419106"/>
    <n v="9386652.3612419106"/>
    <n v="9386652.3612419106"/>
    <n v="9386652.3612419106"/>
    <n v="37546609.444967642"/>
    <n v="9386652.3612419106"/>
    <n v="9386652.3612419106"/>
    <n v="9386652.3612419106"/>
    <n v="9386652.3612419106"/>
    <n v="37546609.444967642"/>
    <n v="9386652.3612419106"/>
    <n v="9386652.3612419106"/>
    <n v="9386652.3612419106"/>
    <n v="9386652.3612419106"/>
    <n v="37546609.444967642"/>
    <m/>
    <n v="9.6146057147495773E-3"/>
    <n v="201906720.00974113"/>
    <n v="300372875.55974114"/>
  </r>
  <r>
    <n v="749"/>
    <x v="0"/>
    <m/>
    <s v="이종희"/>
    <s v="구미"/>
    <s v="PKG"/>
    <s v="O"/>
    <m/>
    <s v="DDI"/>
    <x v="5"/>
    <s v="FT"/>
    <x v="38"/>
    <n v="1005646"/>
    <s v="MC"/>
    <s v="PFT-83 : TESTER_ND4(310993247)"/>
    <s v="T6391"/>
    <x v="112"/>
    <s v="Tester"/>
    <n v="310993247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8-10-09T00:00:00"/>
    <n v="7.065753424657534"/>
    <n v="8"/>
    <m/>
    <s v="자사"/>
    <s v="설정"/>
    <n v="13.3"/>
    <n v="1050"/>
    <n v="800"/>
    <n v="1600"/>
    <n v="818419916"/>
    <m/>
    <m/>
    <m/>
    <n v="699067004"/>
    <n v="8525207"/>
    <n v="93777291"/>
    <n v="5392807"/>
    <m/>
    <m/>
    <m/>
    <s v="미완료"/>
    <s v="D-FT"/>
    <s v="COF(Assy_FT)"/>
    <s v="COF(Assy_FT)"/>
    <s v="기계장치"/>
    <n v="98466155.549999997"/>
    <n v="3077067.3609374999"/>
    <n v="1025689.1203124999"/>
    <m/>
    <m/>
    <m/>
    <m/>
    <m/>
    <m/>
    <m/>
    <n v="3077067.3609374999"/>
    <n v="3077067.3609374999"/>
    <n v="6154134.7218749998"/>
    <n v="3077067.3609374999"/>
    <n v="3077067.3609374999"/>
    <n v="3077067.3609374999"/>
    <n v="3077067.3609374999"/>
    <n v="12308269.44375"/>
    <n v="3077067.3609374999"/>
    <n v="3077067.3609374999"/>
    <n v="3077067.3609374999"/>
    <n v="3077067.3609374999"/>
    <n v="12308269.44375"/>
    <n v="3077067.3609374999"/>
    <n v="3077067.3609374999"/>
    <n v="3077067.3609374999"/>
    <n v="3077067.3609374999"/>
    <n v="12308269.44375"/>
    <m/>
    <m/>
    <m/>
    <n v="98466155.549999997"/>
  </r>
  <r>
    <n v="750"/>
    <x v="0"/>
    <m/>
    <s v="이종희"/>
    <s v="구미"/>
    <s v="PKG"/>
    <s v="O"/>
    <m/>
    <s v="DDI"/>
    <x v="5"/>
    <s v="FT"/>
    <x v="38"/>
    <n v="1005698"/>
    <s v="MC"/>
    <s v="PFT-84 : TESTER_ND4(310993265)"/>
    <s v="T6391"/>
    <x v="112"/>
    <s v="Tester"/>
    <n v="310993265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8-10-20T00:00:00"/>
    <n v="7.0356164383561648"/>
    <n v="8"/>
    <m/>
    <s v="자사"/>
    <s v="설정"/>
    <n v="13.3"/>
    <n v="1050"/>
    <n v="800"/>
    <n v="1600"/>
    <n v="802338319"/>
    <m/>
    <m/>
    <m/>
    <n v="685330644"/>
    <n v="8357691"/>
    <n v="91934602"/>
    <n v="5286848"/>
    <m/>
    <m/>
    <m/>
    <s v="미완료"/>
    <s v="D-FT"/>
    <s v="COF(Assy_FT)"/>
    <s v="COF(Assy_FT)"/>
    <s v="기계장치"/>
    <n v="96531332.100000009"/>
    <n v="3016604.1281250003"/>
    <n v="1005534.7093750001"/>
    <m/>
    <m/>
    <m/>
    <m/>
    <m/>
    <m/>
    <m/>
    <n v="3016604.1281250003"/>
    <n v="3016604.1281250003"/>
    <n v="6033208.2562500006"/>
    <n v="3016604.1281250003"/>
    <n v="3016604.1281250003"/>
    <n v="3016604.1281250003"/>
    <n v="3016604.1281250003"/>
    <n v="12066416.512500001"/>
    <n v="3016604.1281250003"/>
    <n v="3016604.1281250003"/>
    <n v="3016604.1281250003"/>
    <n v="3016604.1281250003"/>
    <n v="12066416.512500001"/>
    <n v="3016604.1281250003"/>
    <n v="3016604.1281250003"/>
    <n v="3016604.1281250003"/>
    <n v="3016604.1281250003"/>
    <n v="12066416.512500001"/>
    <m/>
    <m/>
    <m/>
    <n v="96531332.100000009"/>
  </r>
  <r>
    <n v="751"/>
    <x v="0"/>
    <m/>
    <s v="이종희"/>
    <s v="구미"/>
    <s v="PKG"/>
    <s v="O"/>
    <m/>
    <s v="DDI"/>
    <x v="5"/>
    <s v="FT"/>
    <x v="38"/>
    <n v="1005700"/>
    <s v="MC"/>
    <s v="PFT-86 : TESTER_ND4(310993295)"/>
    <s v="T6391"/>
    <x v="112"/>
    <s v="Tester"/>
    <n v="310993295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8-10-20T00:00:00"/>
    <n v="7.0356164383561648"/>
    <n v="8"/>
    <m/>
    <s v="자사"/>
    <s v="설정"/>
    <n v="13.3"/>
    <n v="1050"/>
    <n v="800"/>
    <n v="1600"/>
    <n v="806637876"/>
    <m/>
    <m/>
    <m/>
    <n v="685876939"/>
    <n v="8402478"/>
    <n v="95553503"/>
    <n v="5534894"/>
    <m/>
    <m/>
    <m/>
    <s v="미완료"/>
    <s v="D-FT"/>
    <s v="COF(Assy_FT)"/>
    <s v="COF(Assy_FT)"/>
    <s v="기계장치"/>
    <n v="100331178.15000001"/>
    <n v="3135349.3171875002"/>
    <n v="1045116.4390625"/>
    <m/>
    <m/>
    <m/>
    <m/>
    <m/>
    <m/>
    <m/>
    <n v="3135349.3171875002"/>
    <n v="3135349.3171875002"/>
    <n v="6270698.6343750004"/>
    <n v="3135349.3171875002"/>
    <n v="3135349.3171875002"/>
    <n v="3135349.3171875002"/>
    <n v="3135349.3171875002"/>
    <n v="12541397.268750001"/>
    <n v="3135349.3171875002"/>
    <n v="3135349.3171875002"/>
    <n v="3135349.3171875002"/>
    <n v="3135349.3171875002"/>
    <n v="12541397.268750001"/>
    <n v="3135349.3171875002"/>
    <n v="3135349.3171875002"/>
    <n v="3135349.3171875002"/>
    <n v="3135349.3171875002"/>
    <n v="12541397.268750001"/>
    <m/>
    <m/>
    <m/>
    <n v="100331178.15000001"/>
  </r>
  <r>
    <n v="752"/>
    <x v="0"/>
    <m/>
    <s v="이종희"/>
    <s v="구미"/>
    <s v="PKG"/>
    <s v="O"/>
    <m/>
    <s v="DDI"/>
    <x v="5"/>
    <s v="FT"/>
    <x v="38"/>
    <n v="1004528"/>
    <s v="MC"/>
    <s v="PFT-87 : TESTER_ND3(310703469)"/>
    <s v="T6373"/>
    <x v="5"/>
    <s v="Tester"/>
    <n v="310703469"/>
    <x v="169"/>
    <s v="가동"/>
    <s v="일본"/>
    <s v="ADVANTEST"/>
    <x v="2"/>
    <s v="3차"/>
    <s v="3차"/>
    <s v="해당"/>
    <s v="PKG(COF)Tester"/>
    <s v="COF PKG Test"/>
    <m/>
    <m/>
    <s v="3B992"/>
    <s v="9030.82-0000"/>
    <s v="반도체 Test 장비"/>
    <m/>
    <m/>
    <d v="2015-01-29T00:00:00"/>
    <n v="10.761643835616438"/>
    <n v="8"/>
    <m/>
    <s v="자사"/>
    <s v="미설정"/>
    <n v="9.83"/>
    <n v="1250"/>
    <n v="950"/>
    <n v="1800"/>
    <n v="518768804"/>
    <m/>
    <m/>
    <m/>
    <n v="518767804"/>
    <n v="1862380"/>
    <n v="1000"/>
    <n v="1000"/>
    <m/>
    <m/>
    <m/>
    <s v="완료"/>
    <s v="D-FT"/>
    <s v="COF(Assy_FT)"/>
    <s v="COF(Assy_FT)"/>
    <s v="기계장치"/>
    <n v="10375376.08"/>
    <n v="324230.5025"/>
    <n v="108076.83416666667"/>
    <m/>
    <m/>
    <m/>
    <m/>
    <m/>
    <m/>
    <m/>
    <n v="324230.5025"/>
    <n v="324230.5025"/>
    <n v="648461.005"/>
    <n v="324230.5025"/>
    <n v="324230.5025"/>
    <n v="324230.5025"/>
    <n v="324230.5025"/>
    <n v="1296922.01"/>
    <n v="324230.5025"/>
    <n v="324230.5025"/>
    <n v="324230.5025"/>
    <n v="324230.5025"/>
    <n v="1296922.01"/>
    <n v="324230.5025"/>
    <n v="324230.5025"/>
    <n v="324230.5025"/>
    <n v="324230.5025"/>
    <n v="1296922.01"/>
    <m/>
    <m/>
    <m/>
    <n v="10375376.08"/>
  </r>
  <r>
    <n v="753"/>
    <x v="0"/>
    <m/>
    <s v="이종희"/>
    <s v="구미"/>
    <s v="PKG"/>
    <s v="O"/>
    <m/>
    <s v="DDI"/>
    <x v="5"/>
    <s v="FT"/>
    <x v="38"/>
    <n v="1004327"/>
    <s v="MC"/>
    <s v="PFT-88 : TESTER_ND3(310672320)"/>
    <s v="T6373"/>
    <x v="5"/>
    <s v="Tester"/>
    <n v="310672320"/>
    <x v="169"/>
    <s v="비가동"/>
    <s v="일본"/>
    <s v="ADVANTEST"/>
    <x v="1"/>
    <s v="3차"/>
    <s v="3차"/>
    <s v="해당"/>
    <s v="PKG(COF)Tester"/>
    <s v="COF PKG Test"/>
    <m/>
    <m/>
    <s v="3B992"/>
    <s v="9030.82-0000"/>
    <s v="반도체 Test 장비"/>
    <m/>
    <m/>
    <d v="2014-05-23T00:00:00"/>
    <n v="11.449315068493151"/>
    <n v="8"/>
    <m/>
    <s v="자사"/>
    <s v="미설정"/>
    <n v="9.83"/>
    <n v="1250"/>
    <n v="950"/>
    <n v="1800"/>
    <n v="573701925"/>
    <m/>
    <m/>
    <m/>
    <n v="573700925"/>
    <n v="477084"/>
    <n v="1000"/>
    <n v="1000"/>
    <m/>
    <m/>
    <m/>
    <s v="완료"/>
    <s v="D-FT"/>
    <s v="COF(Assy_FT)"/>
    <s v="COF(Assy_FT)"/>
    <s v="기계장치"/>
    <n v="11474038.5"/>
    <n v="1093805.37888793"/>
    <n v="364601.79296264332"/>
    <m/>
    <m/>
    <n v="1093805.37888793"/>
    <n v="1093805.37888793"/>
    <n v="2187610.7577758599"/>
    <n v="1093805.37888793"/>
    <n v="1093805.37888793"/>
    <n v="1093805.37888793"/>
    <n v="1093805.37888793"/>
    <n v="4375221.5155517198"/>
    <n v="1093805.37888793"/>
    <n v="1093805.37888793"/>
    <n v="1093805.37888793"/>
    <n v="1093805.37888793"/>
    <n v="4375221.5155517198"/>
    <n v="1093805.37888793"/>
    <n v="1093805.37888793"/>
    <n v="1093805.37888793"/>
    <n v="1093805.37888793"/>
    <n v="4375221.5155517198"/>
    <n v="1093805.37888793"/>
    <n v="1093805.37888793"/>
    <n v="1093805.37888793"/>
    <n v="1093805.37888793"/>
    <n v="4375221.5155517198"/>
    <m/>
    <n v="1.1203682678292265E-3"/>
    <n v="23527733.624413759"/>
    <n v="35001772.124413759"/>
  </r>
  <r>
    <n v="754"/>
    <x v="0"/>
    <m/>
    <s v="이종희"/>
    <s v="구미"/>
    <s v="PKG"/>
    <s v="O"/>
    <m/>
    <s v="DDI"/>
    <x v="5"/>
    <s v="FT"/>
    <x v="38"/>
    <n v="1005921"/>
    <s v="MC"/>
    <s v="PFT-89 : TESTER_ND4(311069897)"/>
    <s v="T6391"/>
    <x v="112"/>
    <s v="Tester"/>
    <n v="311069897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9-04-24T00:00:00"/>
    <n v="6.5260273972602736"/>
    <n v="8"/>
    <m/>
    <s v="자사"/>
    <s v="미설정"/>
    <n v="13.3"/>
    <n v="1050"/>
    <n v="800"/>
    <n v="1600"/>
    <n v="1006314630"/>
    <m/>
    <m/>
    <m/>
    <n v="787175047"/>
    <n v="10482444"/>
    <n v="187692251"/>
    <n v="14061406"/>
    <m/>
    <m/>
    <m/>
    <s v="미완료"/>
    <s v="D-FT"/>
    <s v="COF(Assy_FT)"/>
    <s v="COF(Assy_FT)"/>
    <s v="기계장치"/>
    <n v="197076863.55000001"/>
    <n v="6158651.9859375004"/>
    <n v="2052883.9953125"/>
    <m/>
    <m/>
    <m/>
    <m/>
    <m/>
    <m/>
    <m/>
    <n v="6158651.9859375004"/>
    <n v="6158651.9859375004"/>
    <n v="12317303.971875001"/>
    <n v="6158651.9859375004"/>
    <n v="6158651.9859375004"/>
    <n v="6158651.9859375004"/>
    <n v="6158651.9859375004"/>
    <n v="24634607.943750001"/>
    <n v="6158651.9859375004"/>
    <n v="6158651.9859375004"/>
    <n v="6158651.9859375004"/>
    <n v="6158651.9859375004"/>
    <n v="24634607.943750001"/>
    <n v="6158651.9859375004"/>
    <n v="6158651.9859375004"/>
    <n v="6158651.9859375004"/>
    <n v="6158651.9859375004"/>
    <n v="24634607.943750001"/>
    <m/>
    <m/>
    <m/>
    <n v="197076863.55000001"/>
  </r>
  <r>
    <n v="755"/>
    <x v="0"/>
    <m/>
    <s v="이종희"/>
    <s v="구미"/>
    <s v="PKG"/>
    <s v="O"/>
    <m/>
    <s v="DDI"/>
    <x v="5"/>
    <s v="FT"/>
    <x v="38"/>
    <n v="1005922"/>
    <s v="MC"/>
    <s v="PFT-90 : TESTER_ND4(311070257)"/>
    <s v="T6391"/>
    <x v="112"/>
    <s v="Tester"/>
    <n v="311070257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9-04-24T00:00:00"/>
    <n v="6.5260273972602736"/>
    <n v="8"/>
    <m/>
    <s v="자사"/>
    <s v="미설정"/>
    <n v="13.3"/>
    <n v="1050"/>
    <n v="800"/>
    <n v="1600"/>
    <n v="1114148346"/>
    <m/>
    <m/>
    <m/>
    <n v="853242873"/>
    <n v="11605712"/>
    <n v="226088337"/>
    <n v="17110178"/>
    <m/>
    <m/>
    <m/>
    <s v="미완료"/>
    <s v="D-FT"/>
    <s v="COF(Assy_FT)"/>
    <s v="COF(Assy_FT)"/>
    <s v="기계장치"/>
    <n v="237392753.85000002"/>
    <n v="7418523.5578125007"/>
    <n v="2472841.1859375001"/>
    <m/>
    <m/>
    <m/>
    <m/>
    <m/>
    <m/>
    <m/>
    <n v="7418523.5578125007"/>
    <n v="7418523.5578125007"/>
    <n v="14837047.115625001"/>
    <n v="7418523.5578125007"/>
    <n v="7418523.5578125007"/>
    <n v="7418523.5578125007"/>
    <n v="7418523.5578125007"/>
    <n v="29674094.231250003"/>
    <n v="7418523.5578125007"/>
    <n v="7418523.5578125007"/>
    <n v="7418523.5578125007"/>
    <n v="7418523.5578125007"/>
    <n v="29674094.231250003"/>
    <n v="7418523.5578125007"/>
    <n v="7418523.5578125007"/>
    <n v="7418523.5578125007"/>
    <n v="7418523.5578125007"/>
    <n v="29674094.231250003"/>
    <m/>
    <m/>
    <m/>
    <n v="237392753.85000002"/>
  </r>
  <r>
    <n v="756"/>
    <x v="0"/>
    <m/>
    <s v="이종희"/>
    <s v="구미"/>
    <s v="PKG"/>
    <s v="O"/>
    <m/>
    <s v="DDI"/>
    <x v="5"/>
    <s v="FT"/>
    <x v="38"/>
    <n v="1005923"/>
    <s v="MC"/>
    <s v="PFT-91 : TESTER_ND4(311070215)"/>
    <s v="T6391"/>
    <x v="112"/>
    <s v="Tester"/>
    <n v="311070215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9-04-24T00:00:00"/>
    <n v="6.5260273972602736"/>
    <n v="8"/>
    <m/>
    <s v="자사"/>
    <s v="미설정"/>
    <n v="13.3"/>
    <n v="1050"/>
    <n v="800"/>
    <n v="1600"/>
    <n v="1006764629"/>
    <m/>
    <m/>
    <m/>
    <n v="787531306"/>
    <n v="10487132"/>
    <n v="187771927"/>
    <n v="14067336"/>
    <m/>
    <m/>
    <m/>
    <s v="미완료"/>
    <s v="D-FT"/>
    <s v="COF(Assy_FT)"/>
    <s v="COF(Assy_FT)"/>
    <s v="기계장치"/>
    <n v="197160523.34999999"/>
    <n v="6161266.3546874998"/>
    <n v="2053755.4515624999"/>
    <m/>
    <m/>
    <m/>
    <m/>
    <m/>
    <m/>
    <m/>
    <n v="6161266.3546874998"/>
    <n v="6161266.3546874998"/>
    <n v="12322532.709375"/>
    <n v="6161266.3546874998"/>
    <n v="6161266.3546874998"/>
    <n v="6161266.3546874998"/>
    <n v="6161266.3546874998"/>
    <n v="24645065.418749999"/>
    <n v="6161266.3546874998"/>
    <n v="6161266.3546874998"/>
    <n v="6161266.3546874998"/>
    <n v="6161266.3546874998"/>
    <n v="24645065.418749999"/>
    <n v="6161266.3546874998"/>
    <n v="6161266.3546874998"/>
    <n v="6161266.3546874998"/>
    <n v="6161266.3546874998"/>
    <n v="24645065.418749999"/>
    <m/>
    <m/>
    <m/>
    <n v="197160523.34999999"/>
  </r>
  <r>
    <n v="757"/>
    <x v="0"/>
    <m/>
    <s v="이종희"/>
    <s v="구미"/>
    <s v="PKG"/>
    <s v="O"/>
    <m/>
    <s v="DDI"/>
    <x v="5"/>
    <s v="FT"/>
    <x v="38"/>
    <n v="1005902"/>
    <s v="MC"/>
    <s v="PFT-92 : TESTER_ND4(311072929)"/>
    <s v="T6391"/>
    <x v="112"/>
    <s v="Tester"/>
    <n v="311072929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9-05-29T00:00:00"/>
    <n v="6.4301369863013695"/>
    <n v="8"/>
    <m/>
    <s v="자사"/>
    <s v="미설정"/>
    <n v="13.3"/>
    <n v="1050"/>
    <n v="800"/>
    <n v="1600"/>
    <n v="989036010"/>
    <m/>
    <m/>
    <m/>
    <n v="772684378"/>
    <n v="10302458"/>
    <n v="185444258"/>
    <n v="14119398"/>
    <m/>
    <m/>
    <m/>
    <s v="미완료"/>
    <s v="D-FT"/>
    <s v="COF(Assy_FT)"/>
    <s v="COF(Assy_FT)"/>
    <s v="기계장치"/>
    <n v="194716470.90000001"/>
    <n v="6084889.7156250002"/>
    <n v="2028296.5718750001"/>
    <m/>
    <m/>
    <m/>
    <m/>
    <m/>
    <m/>
    <m/>
    <n v="6084889.7156250002"/>
    <n v="6084889.7156250002"/>
    <n v="12169779.43125"/>
    <n v="6084889.7156250002"/>
    <n v="6084889.7156250002"/>
    <n v="6084889.7156250002"/>
    <n v="6084889.7156250002"/>
    <n v="24339558.862500001"/>
    <n v="6084889.7156250002"/>
    <n v="6084889.7156250002"/>
    <n v="6084889.7156250002"/>
    <n v="6084889.7156250002"/>
    <n v="24339558.862500001"/>
    <n v="6084889.7156250002"/>
    <n v="6084889.7156250002"/>
    <n v="6084889.7156250002"/>
    <n v="6084889.7156250002"/>
    <n v="24339558.862500001"/>
    <m/>
    <m/>
    <m/>
    <n v="194716470.90000001"/>
  </r>
  <r>
    <n v="758"/>
    <x v="0"/>
    <m/>
    <s v="이종희"/>
    <s v="구미"/>
    <s v="PKG"/>
    <s v="O"/>
    <m/>
    <s v="DDI"/>
    <x v="5"/>
    <s v="FT"/>
    <x v="38"/>
    <n v="1006038"/>
    <s v="MC"/>
    <s v="PFT-93 : TESTER_ND4(311081435)"/>
    <s v="T6391"/>
    <x v="112"/>
    <s v="Tester"/>
    <n v="311081435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9-08-22T00:00:00"/>
    <n v="6.1972602739726028"/>
    <n v="8"/>
    <m/>
    <s v="자사"/>
    <s v="설정"/>
    <n v="13.3"/>
    <n v="1050"/>
    <n v="800"/>
    <n v="1600"/>
    <n v="890457383"/>
    <m/>
    <m/>
    <m/>
    <n v="665169875"/>
    <n v="9275598"/>
    <n v="197460714"/>
    <n v="15882970"/>
    <m/>
    <m/>
    <m/>
    <s v="미완료"/>
    <s v="D-FT"/>
    <s v="COF(Assy_FT)"/>
    <s v="COF(Assy_FT)"/>
    <s v="기계장치"/>
    <n v="207333749.70000002"/>
    <n v="6479179.6781250006"/>
    <n v="2159726.5593750002"/>
    <m/>
    <m/>
    <m/>
    <m/>
    <m/>
    <m/>
    <m/>
    <n v="6479179.6781250006"/>
    <n v="6479179.6781250006"/>
    <n v="12958359.356250001"/>
    <n v="6479179.6781250006"/>
    <n v="6479179.6781250006"/>
    <n v="6479179.6781250006"/>
    <n v="6479179.6781250006"/>
    <n v="25916718.712500002"/>
    <n v="6479179.6781250006"/>
    <n v="6479179.6781250006"/>
    <n v="6479179.6781250006"/>
    <n v="6479179.6781250006"/>
    <n v="25916718.712500002"/>
    <n v="6479179.6781250006"/>
    <n v="6479179.6781250006"/>
    <n v="6479179.6781250006"/>
    <n v="6479179.6781250006"/>
    <n v="25916718.712500002"/>
    <m/>
    <m/>
    <m/>
    <n v="207333749.70000002"/>
  </r>
  <r>
    <n v="759"/>
    <x v="0"/>
    <m/>
    <s v="이종희"/>
    <s v="구미"/>
    <s v="PKG"/>
    <s v="O"/>
    <m/>
    <s v="DDI"/>
    <x v="5"/>
    <s v="FT"/>
    <x v="38"/>
    <n v="1006033"/>
    <s v="MC"/>
    <s v="PFT-94 : TESTER_ND4(311081454)"/>
    <s v="T6391"/>
    <x v="112"/>
    <s v="Tester"/>
    <n v="311081454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9-08-22T00:00:00"/>
    <n v="6.1972602739726028"/>
    <n v="8"/>
    <m/>
    <s v="자사"/>
    <s v="설정"/>
    <n v="13.3"/>
    <n v="1050"/>
    <n v="800"/>
    <n v="1600"/>
    <n v="890907383"/>
    <m/>
    <m/>
    <m/>
    <n v="665507365"/>
    <n v="9280285"/>
    <n v="197559163"/>
    <n v="15890878"/>
    <m/>
    <m/>
    <m/>
    <s v="미완료"/>
    <s v="D-FT"/>
    <s v="COF(Assy_FT)"/>
    <s v="COF(Assy_FT)"/>
    <s v="기계장치"/>
    <n v="207437121.15000001"/>
    <n v="6482410.0359375002"/>
    <n v="2160803.3453124999"/>
    <m/>
    <m/>
    <m/>
    <m/>
    <m/>
    <m/>
    <m/>
    <n v="6482410.0359374993"/>
    <n v="6482410.0359374993"/>
    <n v="12964820.071874999"/>
    <n v="6482410.0359374993"/>
    <n v="6482410.0359374993"/>
    <n v="6482410.0359374993"/>
    <n v="6482410.0359374993"/>
    <n v="25929640.143749997"/>
    <n v="6482410.0359374993"/>
    <n v="6482410.0359374993"/>
    <n v="6482410.0359374993"/>
    <n v="6482410.0359374993"/>
    <n v="25929640.143749997"/>
    <n v="6482410.0359374993"/>
    <n v="6482410.0359374993"/>
    <n v="6482410.0359374993"/>
    <n v="6482410.0359374993"/>
    <n v="25929640.143749997"/>
    <m/>
    <m/>
    <m/>
    <n v="207437121.15000001"/>
  </r>
  <r>
    <n v="760"/>
    <x v="0"/>
    <m/>
    <s v="이종희"/>
    <s v="구미"/>
    <s v="PKG"/>
    <s v="O"/>
    <m/>
    <s v="DDI"/>
    <x v="5"/>
    <s v="FT"/>
    <x v="38"/>
    <n v="1005523"/>
    <s v="MC"/>
    <s v="PFT-95 : TESTER_ND4(310953164)"/>
    <s v="T6391"/>
    <x v="112"/>
    <s v="Tester"/>
    <n v="310953164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18-07-23T00:00:00"/>
    <n v="7.279452054794521"/>
    <n v="8"/>
    <m/>
    <s v="자사"/>
    <s v="설정"/>
    <n v="13.3"/>
    <n v="1050"/>
    <n v="800"/>
    <n v="1600"/>
    <n v="708599271"/>
    <m/>
    <m/>
    <m/>
    <n v="627405594"/>
    <n v="7381242"/>
    <n v="59049951"/>
    <n v="2334940"/>
    <m/>
    <m/>
    <m/>
    <s v="미완료"/>
    <s v="D-FT"/>
    <s v="COF(Assy_FT)"/>
    <s v="COF(Assy_FT)"/>
    <s v="기계장치"/>
    <n v="62002448.550000004"/>
    <n v="1937576.5171875001"/>
    <n v="645858.83906250005"/>
    <m/>
    <m/>
    <m/>
    <m/>
    <m/>
    <m/>
    <m/>
    <n v="1937576.5171875001"/>
    <n v="1937576.5171875001"/>
    <n v="3875153.0343750003"/>
    <n v="1937576.5171875001"/>
    <n v="1937576.5171875001"/>
    <n v="1937576.5171875001"/>
    <n v="1937576.5171875001"/>
    <n v="7750306.0687500006"/>
    <n v="1937576.5171875001"/>
    <n v="1937576.5171875001"/>
    <n v="1937576.5171875001"/>
    <n v="1937576.5171875001"/>
    <n v="7750306.0687500006"/>
    <n v="1937576.5171875001"/>
    <n v="1937576.5171875001"/>
    <n v="1937576.5171875001"/>
    <n v="1937576.5171875001"/>
    <n v="7750306.0687500006"/>
    <m/>
    <m/>
    <m/>
    <n v="62002448.550000004"/>
  </r>
  <r>
    <n v="761"/>
    <x v="0"/>
    <m/>
    <s v="이종희"/>
    <s v="구미"/>
    <s v="PKG"/>
    <s v="O"/>
    <m/>
    <s v="DDI"/>
    <x v="5"/>
    <s v="FT"/>
    <x v="38"/>
    <n v="1006729"/>
    <s v="MC"/>
    <s v="PFT-96 : TESTER_ND4(311289922)"/>
    <s v="T6391"/>
    <x v="112"/>
    <s v="Tester"/>
    <n v="311289922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21-07-14T00:00:00"/>
    <n v="4.3013698630136989"/>
    <n v="8"/>
    <m/>
    <s v="자사"/>
    <s v="설정"/>
    <n v="13.3"/>
    <n v="1050"/>
    <n v="800"/>
    <n v="1600"/>
    <n v="1017696605"/>
    <m/>
    <m/>
    <m/>
    <n v="519449304"/>
    <n v="10601006"/>
    <n v="466444283"/>
    <n v="43585658"/>
    <m/>
    <m/>
    <m/>
    <s v="미완료"/>
    <s v="D-FT"/>
    <s v="COF(Assy_FT)"/>
    <s v="COF(Assy_FT)"/>
    <s v="기계장치"/>
    <n v="489766497.15000004"/>
    <n v="15305203.035937501"/>
    <n v="5101734.3453125004"/>
    <m/>
    <m/>
    <m/>
    <m/>
    <m/>
    <m/>
    <m/>
    <n v="15305203.035937501"/>
    <n v="15305203.035937501"/>
    <n v="30610406.071875002"/>
    <n v="15305203.035937501"/>
    <n v="15305203.035937501"/>
    <n v="15305203.035937501"/>
    <n v="15305203.035937501"/>
    <n v="61220812.143750004"/>
    <n v="15305203.035937501"/>
    <n v="15305203.035937501"/>
    <n v="15305203.035937501"/>
    <n v="15305203.035937501"/>
    <n v="61220812.143750004"/>
    <n v="15305203.035937501"/>
    <n v="15305203.035937501"/>
    <n v="15305203.035937501"/>
    <n v="15305203.035937501"/>
    <n v="61220812.143750004"/>
    <m/>
    <m/>
    <m/>
    <n v="489766497.15000004"/>
  </r>
  <r>
    <n v="762"/>
    <x v="0"/>
    <m/>
    <s v="이종희"/>
    <s v="구미"/>
    <s v="PKG"/>
    <s v="O"/>
    <m/>
    <s v="DDI"/>
    <x v="5"/>
    <s v="FT"/>
    <x v="38"/>
    <n v="1006722"/>
    <s v="MC"/>
    <s v="PFT-97 : TESTER_ND4(311299028)"/>
    <s v="T6391"/>
    <x v="112"/>
    <s v="Tester"/>
    <n v="311299028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21-07-14T00:00:00"/>
    <n v="4.3013698630136989"/>
    <n v="8"/>
    <m/>
    <s v="자사"/>
    <s v="설정"/>
    <n v="13.3"/>
    <n v="1050"/>
    <n v="800"/>
    <n v="1600"/>
    <n v="1017440015"/>
    <m/>
    <m/>
    <m/>
    <n v="519318334"/>
    <n v="10598333"/>
    <n v="466326682"/>
    <n v="43574669"/>
    <m/>
    <m/>
    <m/>
    <s v="미완료"/>
    <s v="D-FT"/>
    <s v="COF(Assy_FT)"/>
    <s v="COF(Assy_FT)"/>
    <s v="기계장치"/>
    <n v="489643016.10000002"/>
    <n v="15301344.253125001"/>
    <n v="5100448.0843750006"/>
    <m/>
    <m/>
    <m/>
    <m/>
    <m/>
    <m/>
    <m/>
    <n v="15301344.253125001"/>
    <n v="15301344.253125001"/>
    <n v="30602688.506250001"/>
    <n v="15301344.253125001"/>
    <n v="15301344.253125001"/>
    <n v="15301344.253125001"/>
    <n v="15301344.253125001"/>
    <n v="61205377.012500003"/>
    <n v="15301344.253125001"/>
    <n v="15301344.253125001"/>
    <n v="15301344.253125001"/>
    <n v="15301344.253125001"/>
    <n v="61205377.012500003"/>
    <n v="15301344.253125001"/>
    <n v="15301344.253125001"/>
    <n v="15301344.253125001"/>
    <n v="15301344.253125001"/>
    <n v="61205377.012500003"/>
    <m/>
    <m/>
    <m/>
    <n v="489643016.10000002"/>
  </r>
  <r>
    <n v="763"/>
    <x v="0"/>
    <m/>
    <s v="이종희"/>
    <s v="구미"/>
    <s v="PKG"/>
    <s v="O"/>
    <m/>
    <s v="DDI"/>
    <x v="5"/>
    <s v="FT"/>
    <x v="38"/>
    <n v="1006681"/>
    <s v="MC"/>
    <s v="PFT-98 : TESTER_ND4(311284963)"/>
    <s v="T6391"/>
    <x v="112"/>
    <s v="Tester"/>
    <n v="311284963"/>
    <x v="173"/>
    <s v="가동"/>
    <s v="일본"/>
    <s v="ADVANTEST"/>
    <x v="1"/>
    <s v="3차"/>
    <s v="3차"/>
    <s v="해당"/>
    <s v="PKG(COF)Tester"/>
    <s v="COF PKG Test"/>
    <m/>
    <m/>
    <s v="3B992"/>
    <s v="9030.82-0000"/>
    <s v="Enduser 중국"/>
    <m/>
    <m/>
    <d v="2021-07-15T00:00:00"/>
    <n v="4.2986301369863016"/>
    <n v="8"/>
    <m/>
    <s v="자사"/>
    <s v="설정"/>
    <n v="13.3"/>
    <n v="1050"/>
    <n v="800"/>
    <n v="1600"/>
    <n v="951141373"/>
    <m/>
    <m/>
    <m/>
    <n v="485478409"/>
    <n v="9907723"/>
    <n v="435939795"/>
    <n v="40735245"/>
    <m/>
    <m/>
    <m/>
    <s v="미완료"/>
    <s v="D-FT"/>
    <s v="COF(Assy_FT)"/>
    <s v="COF(Assy_FT)"/>
    <s v="기계장치"/>
    <n v="457736784.75"/>
    <n v="43635460.807841681"/>
    <n v="14545153.602613894"/>
    <m/>
    <m/>
    <n v="43635460.807841681"/>
    <n v="43635460.807841681"/>
    <n v="87270921.615683362"/>
    <n v="43635460.807841681"/>
    <n v="43635460.807841681"/>
    <n v="43635460.807841681"/>
    <n v="43635460.807841681"/>
    <n v="174541843.23136672"/>
    <n v="43635460.807841681"/>
    <n v="43635460.807841681"/>
    <n v="43635460.807841681"/>
    <n v="43635460.807841681"/>
    <n v="174541843.23136672"/>
    <n v="43635460.807841681"/>
    <n v="43635460.807841681"/>
    <n v="43635460.807841681"/>
    <n v="43635460.807841681"/>
    <n v="174541843.23136672"/>
    <n v="43635460.807841681"/>
    <n v="43635460.807841681"/>
    <n v="43635460.807841681"/>
    <n v="43635460.807841681"/>
    <n v="174541843.23136672"/>
    <m/>
    <n v="4.4695141004806371E-2"/>
    <n v="938597961.10093379"/>
    <n v="1396334745.8509338"/>
  </r>
  <r>
    <n v="764"/>
    <x v="0"/>
    <m/>
    <s v="이종희"/>
    <s v="구미"/>
    <s v="PKG"/>
    <s v="O"/>
    <m/>
    <s v="DDI"/>
    <x v="5"/>
    <s v="FT"/>
    <x v="38"/>
    <n v="1006661"/>
    <s v="MC"/>
    <s v="PFT-99 : TESTER_ND4(311282450)"/>
    <s v="T6391"/>
    <x v="112"/>
    <s v="Tester"/>
    <n v="311282450"/>
    <x v="173"/>
    <s v="가동"/>
    <s v="일본"/>
    <s v="ADVANTEST"/>
    <x v="2"/>
    <s v="3차"/>
    <s v="3차"/>
    <s v="해당"/>
    <s v="PKG(COF)Tester"/>
    <s v="COF PKG Test"/>
    <m/>
    <m/>
    <s v="3B992"/>
    <s v="9030.82-0000"/>
    <s v="Enduser 중국"/>
    <m/>
    <m/>
    <d v="2021-08-31T00:00:00"/>
    <n v="4.1698630136986301"/>
    <n v="8"/>
    <m/>
    <s v="자사"/>
    <s v="설정"/>
    <n v="13.3"/>
    <n v="1050"/>
    <n v="800"/>
    <n v="1600"/>
    <n v="953063546"/>
    <m/>
    <m/>
    <m/>
    <n v="476531770"/>
    <n v="9927745"/>
    <n v="446748541"/>
    <n v="41864174"/>
    <m/>
    <m/>
    <m/>
    <s v="미완료"/>
    <s v="D-FT"/>
    <s v="COF(Assy_FT)"/>
    <s v="COF(Assy_FT)"/>
    <s v="기계장치"/>
    <n v="469085968.05000001"/>
    <n v="14658936.5015625"/>
    <n v="4886312.1671874998"/>
    <m/>
    <m/>
    <m/>
    <m/>
    <m/>
    <m/>
    <m/>
    <n v="14658936.501562499"/>
    <n v="14658936.501562499"/>
    <n v="29317873.003124997"/>
    <n v="14658936.501562499"/>
    <n v="14658936.501562499"/>
    <n v="14658936.501562499"/>
    <n v="14658936.501562499"/>
    <n v="58635746.006249994"/>
    <n v="14658936.501562499"/>
    <n v="14658936.501562499"/>
    <n v="14658936.501562499"/>
    <n v="14658936.501562499"/>
    <n v="58635746.006249994"/>
    <n v="14658936.501562499"/>
    <n v="14658936.501562499"/>
    <n v="14658936.501562499"/>
    <n v="14658936.501562499"/>
    <n v="58635746.006249994"/>
    <m/>
    <m/>
    <m/>
    <n v="469085968.05000001"/>
  </r>
  <r>
    <n v="765"/>
    <x v="0"/>
    <m/>
    <s v="이종희"/>
    <s v="구미"/>
    <s v="PKG"/>
    <s v="O"/>
    <m/>
    <s v="DDI"/>
    <x v="4"/>
    <s v="FT"/>
    <x v="39"/>
    <n v="1007745"/>
    <s v="MC"/>
    <s v="PPK-01 : 진공포장기(AZ-800ES-DKM-BG)"/>
    <s v="AZH-800ES-DKM-BG"/>
    <x v="114"/>
    <s v="PACK"/>
    <m/>
    <x v="0"/>
    <s v="가동"/>
    <m/>
    <s v="INTRISE"/>
    <x v="1"/>
    <s v="1차"/>
    <s v="1차"/>
    <s v="일반장비(비통제)"/>
    <s v="진공포장기"/>
    <m/>
    <s v="일반 산업용 기계"/>
    <m/>
    <s v="EAR99"/>
    <s v="8422.30-0000"/>
    <m/>
    <m/>
    <m/>
    <d v="2024-10-31T00:00:00"/>
    <n v="1"/>
    <n v="8"/>
    <m/>
    <s v="자사"/>
    <s v="미설정"/>
    <n v="2"/>
    <n v="1415"/>
    <n v="1910"/>
    <n v="1035"/>
    <n v="10500000"/>
    <m/>
    <m/>
    <m/>
    <n v="1093750"/>
    <n v="109375"/>
    <n v="9078125"/>
    <n v="899381"/>
    <m/>
    <m/>
    <m/>
    <s v="미완료"/>
    <s v="D-PACK"/>
    <s v="COF(Assy_FT)"/>
    <s v="COF(Assy_FT)"/>
    <s v="기계장치"/>
    <n v="9532031.25"/>
    <n v="908676.31766947953"/>
    <n v="302892.10588982649"/>
    <m/>
    <m/>
    <n v="908676.31766947941"/>
    <n v="908676.31766947941"/>
    <n v="1817352.6353389588"/>
    <n v="908676.31766947941"/>
    <n v="908676.31766947941"/>
    <n v="908676.31766947941"/>
    <n v="908676.31766947941"/>
    <n v="3634705.2706779176"/>
    <n v="908676.31766947941"/>
    <n v="908676.31766947941"/>
    <n v="908676.31766947941"/>
    <n v="908676.31766947941"/>
    <n v="3634705.2706779176"/>
    <n v="908676.31766947941"/>
    <n v="908676.31766947941"/>
    <n v="908676.31766947941"/>
    <n v="908676.31766947941"/>
    <n v="3634705.2706779176"/>
    <n v="908676.31766947941"/>
    <n v="908676.31766947941"/>
    <n v="908676.31766947941"/>
    <n v="908676.31766947941"/>
    <n v="3634705.2706779176"/>
    <m/>
    <n v="9.3074337692492111E-4"/>
    <n v="19545610.915423345"/>
    <n v="29077642.165423345"/>
  </r>
  <r>
    <n v="766"/>
    <x v="0"/>
    <m/>
    <s v="이종희"/>
    <s v="구미"/>
    <s v="PKG"/>
    <s v="O"/>
    <m/>
    <s v="DDI"/>
    <x v="4"/>
    <s v="FT"/>
    <x v="39"/>
    <n v="1007746"/>
    <s v="MC"/>
    <s v="PPK-02 : 진공포장기(AZ-800ES-DKM-BG)"/>
    <s v="AZH-800ES-DKM-BG"/>
    <x v="114"/>
    <s v="PACK"/>
    <m/>
    <x v="0"/>
    <s v="가동"/>
    <m/>
    <s v="INTRISE"/>
    <x v="0"/>
    <s v="1차"/>
    <s v="1차"/>
    <s v="일반장비(비통제)"/>
    <s v="진공포장기"/>
    <m/>
    <s v="일반 산업용 기계"/>
    <m/>
    <s v="EAR99"/>
    <s v="8422.30-0000"/>
    <m/>
    <m/>
    <m/>
    <d v="2024-10-31T00:00:00"/>
    <n v="1"/>
    <n v="8"/>
    <m/>
    <s v="자사"/>
    <s v="미설정"/>
    <n v="2"/>
    <n v="1415"/>
    <n v="1910"/>
    <n v="1035"/>
    <n v="10500000"/>
    <m/>
    <m/>
    <m/>
    <n v="1093750"/>
    <n v="109375"/>
    <n v="9078125"/>
    <n v="899381"/>
    <m/>
    <m/>
    <m/>
    <s v="미완료"/>
    <s v="D-PACK"/>
    <s v="COF(Assy_FT)"/>
    <s v="COF(Assy_FT)"/>
    <s v="기계장치"/>
    <n v="9532031.25"/>
    <n v="908676.31766947953"/>
    <n v="302892.10588982649"/>
    <m/>
    <m/>
    <m/>
    <m/>
    <m/>
    <m/>
    <m/>
    <n v="908676.31766947941"/>
    <n v="908676.31766947941"/>
    <n v="1817352.6353389588"/>
    <n v="908676.31766947941"/>
    <n v="908676.31766947941"/>
    <n v="908676.31766947941"/>
    <n v="908676.31766947941"/>
    <n v="3634705.2706779176"/>
    <n v="908676.31766947941"/>
    <n v="908676.31766947941"/>
    <n v="908676.31766947941"/>
    <n v="908676.31766947941"/>
    <n v="3634705.2706779176"/>
    <n v="908676.31766947941"/>
    <n v="908676.31766947941"/>
    <n v="908676.31766947941"/>
    <n v="908676.31766947941"/>
    <n v="3634705.2706779176"/>
    <m/>
    <n v="9.3074337692492111E-4"/>
    <n v="19545610.915423345"/>
    <n v="29077642.165423345"/>
  </r>
  <r>
    <n v="767"/>
    <x v="0"/>
    <m/>
    <s v="이종희"/>
    <s v="구미"/>
    <s v="PKG"/>
    <s v="O"/>
    <m/>
    <s v="DDI"/>
    <x v="4"/>
    <s v="FT"/>
    <x v="39"/>
    <n v="1007747"/>
    <s v="MC"/>
    <s v="PPK-03 : 진공포장기(AZ-800ES-DKM-BG)"/>
    <s v="AZH-800ES-DKM-BG"/>
    <x v="114"/>
    <s v="PACK"/>
    <m/>
    <x v="0"/>
    <s v="가동"/>
    <m/>
    <s v="INTRISE"/>
    <x v="2"/>
    <s v="2차"/>
    <s v="2차"/>
    <s v="일반장비(비통제)"/>
    <s v="진공포장기"/>
    <m/>
    <s v="일반 산업용 기계"/>
    <m/>
    <s v="EAR99"/>
    <s v="8422.30-0000"/>
    <m/>
    <m/>
    <m/>
    <d v="2024-10-31T00:00:00"/>
    <n v="1"/>
    <n v="8"/>
    <m/>
    <s v="자사"/>
    <s v="미설정"/>
    <n v="2"/>
    <n v="1415"/>
    <n v="1910"/>
    <n v="1035"/>
    <n v="10500000"/>
    <m/>
    <m/>
    <m/>
    <n v="1093750"/>
    <n v="109375"/>
    <n v="9078125"/>
    <n v="899381"/>
    <m/>
    <m/>
    <m/>
    <s v="미완료"/>
    <s v="D-PACK"/>
    <s v="COF(Assy_FT)"/>
    <s v="COF(Assy_FT)"/>
    <s v="기계장치"/>
    <n v="9532031.25"/>
    <n v="297875.9765625"/>
    <n v="99291.9921875"/>
    <m/>
    <m/>
    <m/>
    <m/>
    <m/>
    <m/>
    <m/>
    <n v="297875.9765625"/>
    <n v="297875.9765625"/>
    <n v="595751.953125"/>
    <n v="297875.9765625"/>
    <n v="297875.9765625"/>
    <n v="297875.9765625"/>
    <n v="297875.9765625"/>
    <n v="1191503.90625"/>
    <n v="297875.9765625"/>
    <n v="297875.9765625"/>
    <n v="297875.9765625"/>
    <n v="297875.9765625"/>
    <n v="1191503.90625"/>
    <n v="297875.9765625"/>
    <n v="297875.9765625"/>
    <n v="297875.9765625"/>
    <n v="297875.9765625"/>
    <n v="1191503.90625"/>
    <m/>
    <m/>
    <m/>
    <n v="9532031.25"/>
  </r>
  <r>
    <n v="768"/>
    <x v="0"/>
    <m/>
    <s v="이종희"/>
    <s v="구미"/>
    <s v="PKG"/>
    <s v="O"/>
    <m/>
    <s v="DDI"/>
    <x v="4"/>
    <s v="FT"/>
    <x v="39"/>
    <n v="1007748"/>
    <s v="MC"/>
    <s v="PPK-04 : 진공포장기(AZ-800ES-DKM-BG)"/>
    <s v="AZH-800ES-DKM-BG"/>
    <x v="114"/>
    <s v="PACK"/>
    <m/>
    <x v="0"/>
    <s v="가동"/>
    <m/>
    <s v="INTRISE"/>
    <x v="2"/>
    <s v="3차"/>
    <s v="3차"/>
    <s v="일반장비(비통제)"/>
    <s v="진공포장기"/>
    <m/>
    <s v="일반 산업용 기계"/>
    <m/>
    <s v="EAR99"/>
    <s v="8422.30-0000"/>
    <m/>
    <m/>
    <m/>
    <d v="2024-10-31T00:00:00"/>
    <n v="1"/>
    <n v="8"/>
    <m/>
    <s v="자사"/>
    <s v="미설정"/>
    <n v="2"/>
    <n v="1415"/>
    <n v="1910"/>
    <n v="1035"/>
    <n v="10500000"/>
    <m/>
    <m/>
    <m/>
    <n v="1093750"/>
    <n v="109375"/>
    <n v="9078125"/>
    <n v="899381"/>
    <m/>
    <m/>
    <m/>
    <s v="미완료"/>
    <s v="D-PACK"/>
    <s v="COF(Assy_FT)"/>
    <s v="COF(Assy_FT)"/>
    <s v="기계장치"/>
    <n v="9532031.25"/>
    <n v="297875.9765625"/>
    <n v="99291.9921875"/>
    <m/>
    <m/>
    <m/>
    <m/>
    <m/>
    <m/>
    <m/>
    <n v="297875.9765625"/>
    <n v="297875.9765625"/>
    <n v="595751.953125"/>
    <n v="297875.9765625"/>
    <n v="297875.9765625"/>
    <n v="297875.9765625"/>
    <n v="297875.9765625"/>
    <n v="1191503.90625"/>
    <n v="297875.9765625"/>
    <n v="297875.9765625"/>
    <n v="297875.9765625"/>
    <n v="297875.9765625"/>
    <n v="1191503.90625"/>
    <n v="297875.9765625"/>
    <n v="297875.9765625"/>
    <n v="297875.9765625"/>
    <n v="297875.9765625"/>
    <n v="1191503.90625"/>
    <m/>
    <m/>
    <m/>
    <n v="9532031.25"/>
  </r>
  <r>
    <n v="769"/>
    <x v="0"/>
    <m/>
    <s v="이종희"/>
    <s v="구미"/>
    <s v="PKG"/>
    <s v="O"/>
    <s v="8&quot;&amp;12&quot;"/>
    <s v="DDI"/>
    <x v="4"/>
    <s v="COF"/>
    <x v="40"/>
    <n v="1000454"/>
    <s v="MC"/>
    <s v="PTE-01 : MANUAL REWINDER"/>
    <m/>
    <x v="115"/>
    <s v="Rewinder"/>
    <m/>
    <x v="0"/>
    <s v="가동"/>
    <s v="한국"/>
    <m/>
    <x v="0"/>
    <s v="1차"/>
    <s v="1차"/>
    <s v="일반장비(비통제)"/>
    <s v="릴(Reel) 자재를 풀어 검사·재정렬 후 다시 권취(Rewinding)"/>
    <m/>
    <m/>
    <m/>
    <s v="EAR99"/>
    <s v="8479.89-0000"/>
    <m/>
    <m/>
    <m/>
    <d v="2005-11-27T00:00:00"/>
    <n v="19.93972602739726"/>
    <n v="8"/>
    <m/>
    <s v="자사"/>
    <s v="미설정"/>
    <m/>
    <m/>
    <m/>
    <m/>
    <n v="8300000"/>
    <m/>
    <m/>
    <m/>
    <n v="6759412"/>
    <n v="86458"/>
    <n v="1281214"/>
    <n v="1000"/>
    <m/>
    <m/>
    <m/>
    <s v="미완료"/>
    <s v="D-VI"/>
    <s v="COF(Assy_FT)"/>
    <s v="COF(Assy_FT)"/>
    <s v="기계장치"/>
    <n v="1345274.7"/>
    <n v="128243.31232127608"/>
    <n v="42747.770773758697"/>
    <m/>
    <m/>
    <m/>
    <m/>
    <m/>
    <m/>
    <m/>
    <n v="128243.31232127608"/>
    <n v="128243.31232127608"/>
    <n v="256486.62464255217"/>
    <n v="128243.31232127608"/>
    <n v="128243.31232127608"/>
    <n v="128243.31232127608"/>
    <n v="128243.31232127608"/>
    <n v="512973.24928510434"/>
    <n v="128243.31232127608"/>
    <n v="128243.31232127608"/>
    <n v="128243.31232127608"/>
    <n v="128243.31232127608"/>
    <n v="512973.24928510434"/>
    <n v="128243.31232127608"/>
    <n v="128243.31232127608"/>
    <n v="128243.31232127608"/>
    <n v="128243.31232127608"/>
    <n v="512973.24928510434"/>
    <m/>
    <n v="1.3135768068003975E-4"/>
    <n v="2758511.294280835"/>
    <n v="4103785.9942808347"/>
  </r>
  <r>
    <n v="770"/>
    <x v="0"/>
    <m/>
    <s v="이종희"/>
    <s v="구미"/>
    <s v="PKG"/>
    <s v="O"/>
    <s v="8&quot;&amp;12&quot;"/>
    <s v="DDI"/>
    <x v="4"/>
    <s v="COF"/>
    <x v="40"/>
    <n v="1000455"/>
    <s v="MC"/>
    <s v="PTE-02 : MANUAL REWINDER"/>
    <m/>
    <x v="115"/>
    <s v="Rewinder"/>
    <m/>
    <x v="0"/>
    <s v="가동"/>
    <s v="한국"/>
    <m/>
    <x v="0"/>
    <s v="1차"/>
    <s v="1차"/>
    <s v="일반장비(비통제)"/>
    <s v="릴(Reel) 자재를 풀어 검사·재정렬 후 다시 권취(Rewinding)"/>
    <m/>
    <m/>
    <m/>
    <s v="EAR99"/>
    <s v="8479.89-0000"/>
    <m/>
    <m/>
    <m/>
    <d v="2005-11-27T00:00:00"/>
    <n v="19.93972602739726"/>
    <n v="8"/>
    <m/>
    <s v="자사"/>
    <s v="미설정"/>
    <m/>
    <m/>
    <m/>
    <m/>
    <n v="1400000"/>
    <m/>
    <m/>
    <m/>
    <n v="1399000"/>
    <n v="0"/>
    <n v="1000"/>
    <n v="1000"/>
    <m/>
    <m/>
    <m/>
    <s v="완료"/>
    <s v="D-VI"/>
    <s v="COF(Assy_FT)"/>
    <s v="COF(Assy_FT)"/>
    <s v="기계장치"/>
    <n v="28000"/>
    <n v="2669.2041000962336"/>
    <n v="889.73470003207785"/>
    <m/>
    <m/>
    <m/>
    <m/>
    <m/>
    <m/>
    <m/>
    <n v="2669.2041000962336"/>
    <n v="2669.2041000962336"/>
    <n v="5338.4082001924671"/>
    <n v="2669.2041000962336"/>
    <n v="2669.2041000962336"/>
    <n v="2669.2041000962336"/>
    <n v="2669.2041000962336"/>
    <n v="10676.816400384934"/>
    <n v="2669.2041000962336"/>
    <n v="2669.2041000962336"/>
    <n v="2669.2041000962336"/>
    <n v="2669.2041000962336"/>
    <n v="10676.816400384934"/>
    <n v="2669.2041000962336"/>
    <n v="2669.2041000962336"/>
    <n v="2669.2041000962336"/>
    <n v="2669.2041000962336"/>
    <n v="10676.816400384934"/>
    <m/>
    <n v="2.7340252953847367E-6"/>
    <n v="57414.531203079474"/>
    <n v="85414.531203079474"/>
  </r>
  <r>
    <n v="771"/>
    <x v="0"/>
    <m/>
    <s v="이종희"/>
    <s v="구미"/>
    <s v="PKG"/>
    <s v="O"/>
    <s v="8&quot;&amp;12&quot;"/>
    <s v="DDI"/>
    <x v="4"/>
    <s v="COF"/>
    <x v="40"/>
    <n v="1001548"/>
    <s v="MC"/>
    <s v="PTE-03 : MANUAL REWINDER(WPI-4000)"/>
    <s v="WPI-4000"/>
    <x v="115"/>
    <s v="Rewinder"/>
    <m/>
    <x v="0"/>
    <s v="가동"/>
    <s v="한국"/>
    <m/>
    <x v="0"/>
    <s v="1차"/>
    <s v="1차"/>
    <s v="일반장비(비통제)"/>
    <s v="릴(Reel) 자재를 풀어 검사·재정렬 후 다시 권취(Rewinding)"/>
    <m/>
    <m/>
    <m/>
    <s v="EAR99"/>
    <s v="8479.89-0000"/>
    <m/>
    <m/>
    <m/>
    <d v="2009-09-25T00:00:00"/>
    <n v="16.109589041095891"/>
    <n v="8"/>
    <m/>
    <s v="자사"/>
    <s v="미설정"/>
    <m/>
    <m/>
    <m/>
    <m/>
    <n v="4275000"/>
    <m/>
    <m/>
    <m/>
    <n v="4274000"/>
    <n v="0"/>
    <n v="1000"/>
    <n v="1000"/>
    <m/>
    <m/>
    <m/>
    <s v="완료"/>
    <s v="D-VI"/>
    <s v="COF(Assy_FT)"/>
    <s v="COF(Assy_FT)"/>
    <s v="기계장치"/>
    <n v="85500"/>
    <n v="8150.6053770795697"/>
    <n v="2716.8684590265234"/>
    <m/>
    <m/>
    <m/>
    <m/>
    <m/>
    <m/>
    <m/>
    <n v="8150.6053770795697"/>
    <n v="8150.6053770795697"/>
    <n v="16301.210754159139"/>
    <n v="8150.6053770795697"/>
    <n v="8150.6053770795697"/>
    <n v="8150.6053770795697"/>
    <n v="8150.6053770795697"/>
    <n v="32602.421508318279"/>
    <n v="8150.6053770795697"/>
    <n v="8150.6053770795697"/>
    <n v="8150.6053770795697"/>
    <n v="8150.6053770795697"/>
    <n v="32602.421508318279"/>
    <n v="8150.6053770795697"/>
    <n v="8150.6053770795697"/>
    <n v="8150.6053770795697"/>
    <n v="8150.6053770795697"/>
    <n v="32602.421508318279"/>
    <m/>
    <n v="8.3485415269783924E-6"/>
    <n v="175319.37206654623"/>
    <n v="260819.37206654623"/>
  </r>
  <r>
    <n v="772"/>
    <x v="0"/>
    <m/>
    <s v="이종희"/>
    <s v="구미"/>
    <s v="PKG"/>
    <s v="O"/>
    <s v="8&quot;&amp;12&quot;"/>
    <s v="DDI"/>
    <x v="4"/>
    <s v="COF"/>
    <x v="40"/>
    <n v="1001550"/>
    <s v="MC"/>
    <s v="PTE-04 : MANUAL REWINDER(WPI-4000)"/>
    <s v="WPI-4000"/>
    <x v="115"/>
    <s v="Rewinder"/>
    <m/>
    <x v="0"/>
    <s v="가동"/>
    <s v="한국"/>
    <m/>
    <x v="0"/>
    <s v="2차"/>
    <s v="2차"/>
    <s v="일반장비(비통제)"/>
    <s v="릴(Reel) 자재를 풀어 검사·재정렬 후 다시 권취(Rewinding)"/>
    <m/>
    <m/>
    <m/>
    <s v="EAR99"/>
    <s v="8479.89-0000"/>
    <m/>
    <m/>
    <m/>
    <d v="2009-09-25T00:00:00"/>
    <n v="16.109589041095891"/>
    <n v="8"/>
    <m/>
    <s v="자사"/>
    <s v="미설정"/>
    <m/>
    <m/>
    <m/>
    <m/>
    <n v="4275000"/>
    <m/>
    <m/>
    <m/>
    <n v="4274000"/>
    <n v="0"/>
    <n v="1000"/>
    <n v="1000"/>
    <m/>
    <m/>
    <m/>
    <s v="완료"/>
    <s v="D-VI"/>
    <s v="COF(Assy_FT)"/>
    <s v="COF(Assy_FT)"/>
    <s v="기계장치"/>
    <n v="85500"/>
    <n v="8150.6053770795697"/>
    <n v="2716.8684590265234"/>
    <m/>
    <m/>
    <m/>
    <m/>
    <m/>
    <m/>
    <m/>
    <n v="8150.6053770795697"/>
    <n v="8150.6053770795697"/>
    <n v="16301.210754159139"/>
    <n v="8150.6053770795697"/>
    <n v="8150.6053770795697"/>
    <n v="8150.6053770795697"/>
    <n v="8150.6053770795697"/>
    <n v="32602.421508318279"/>
    <n v="8150.6053770795697"/>
    <n v="8150.6053770795697"/>
    <n v="8150.6053770795697"/>
    <n v="8150.6053770795697"/>
    <n v="32602.421508318279"/>
    <n v="8150.6053770795697"/>
    <n v="8150.6053770795697"/>
    <n v="8150.6053770795697"/>
    <n v="8150.6053770795697"/>
    <n v="32602.421508318279"/>
    <m/>
    <n v="8.3485415269783924E-6"/>
    <n v="175319.37206654623"/>
    <n v="260819.37206654623"/>
  </r>
  <r>
    <n v="773"/>
    <x v="0"/>
    <m/>
    <s v="이종희"/>
    <s v="구미"/>
    <s v="PKG"/>
    <s v="O"/>
    <s v="8&quot;&amp;12&quot;"/>
    <s v="DDI"/>
    <x v="4"/>
    <s v="COF"/>
    <x v="40"/>
    <n v="1000358"/>
    <s v="MC"/>
    <s v="PTE-05 : MANUAL REWINDER"/>
    <m/>
    <x v="115"/>
    <s v="Rewinder"/>
    <m/>
    <x v="0"/>
    <s v="가동"/>
    <s v="한국"/>
    <m/>
    <x v="2"/>
    <s v="2차"/>
    <s v="2차"/>
    <s v="일반장비(비통제)"/>
    <s v="릴(Reel) 자재를 풀어 검사·재정렬 후 다시 권취(Rewinding)"/>
    <m/>
    <m/>
    <m/>
    <s v="EAR99"/>
    <s v="8479.89-0000"/>
    <m/>
    <m/>
    <m/>
    <d v="2005-06-29T00:00:00"/>
    <n v="20.353424657534248"/>
    <n v="8"/>
    <m/>
    <s v="자사"/>
    <s v="미설정"/>
    <m/>
    <m/>
    <m/>
    <m/>
    <n v="37400000"/>
    <m/>
    <m/>
    <m/>
    <n v="37399000"/>
    <n v="0"/>
    <n v="1000"/>
    <n v="1000"/>
    <m/>
    <m/>
    <m/>
    <s v="완료"/>
    <s v="D-VI"/>
    <s v="COF(Assy_FT)"/>
    <s v="COF(Assy_FT)"/>
    <s v="기계장치"/>
    <n v="748000"/>
    <n v="23375"/>
    <n v="7791.666666666667"/>
    <m/>
    <m/>
    <m/>
    <m/>
    <m/>
    <m/>
    <m/>
    <n v="23375"/>
    <n v="23375"/>
    <n v="46750"/>
    <n v="23375"/>
    <n v="23375"/>
    <n v="23375"/>
    <n v="23375"/>
    <n v="93500"/>
    <n v="23375"/>
    <n v="23375"/>
    <n v="23375"/>
    <n v="23375"/>
    <n v="93500"/>
    <n v="23375"/>
    <n v="23375"/>
    <n v="23375"/>
    <n v="23375"/>
    <n v="93500"/>
    <m/>
    <m/>
    <m/>
    <n v="748000"/>
  </r>
  <r>
    <n v="774"/>
    <x v="0"/>
    <m/>
    <s v="이종희"/>
    <s v="구미"/>
    <s v="PKG"/>
    <s v="O"/>
    <s v="8&quot;&amp;12&quot;"/>
    <s v="DDI"/>
    <x v="4"/>
    <s v="COF"/>
    <x v="40"/>
    <n v="1006416"/>
    <s v="MC"/>
    <s v="PTE-06 : MANUAL REWINDER"/>
    <m/>
    <x v="115"/>
    <s v="Rewinder"/>
    <m/>
    <x v="0"/>
    <s v="가동"/>
    <s v="한국"/>
    <m/>
    <x v="2"/>
    <s v="2차"/>
    <s v="2차"/>
    <s v="일반장비(비통제)"/>
    <s v="릴(Reel) 자재를 풀어 검사·재정렬 후 다시 권취(Rewinding)"/>
    <m/>
    <m/>
    <m/>
    <s v="EAR99"/>
    <s v="8479.89-0000"/>
    <m/>
    <m/>
    <m/>
    <d v="2020-08-26T00:00:00"/>
    <n v="5.183561643835616"/>
    <n v="8"/>
    <m/>
    <s v="자사"/>
    <s v="미설정"/>
    <m/>
    <m/>
    <m/>
    <m/>
    <n v="7000000"/>
    <m/>
    <m/>
    <m/>
    <n v="4375002"/>
    <n v="72917"/>
    <n v="2406247"/>
    <n v="215237"/>
    <m/>
    <m/>
    <m/>
    <s v="미완료"/>
    <s v="D-VI"/>
    <s v="COF(Assy_FT)"/>
    <s v="COF(Assy_FT)"/>
    <s v="기계장치"/>
    <n v="2526559.35"/>
    <n v="78954.979687500003"/>
    <n v="26318.326562500002"/>
    <m/>
    <m/>
    <m/>
    <m/>
    <m/>
    <m/>
    <m/>
    <n v="78954.979687500003"/>
    <n v="78954.979687500003"/>
    <n v="157909.95937500001"/>
    <n v="78954.979687500003"/>
    <n v="78954.979687500003"/>
    <n v="78954.979687500003"/>
    <n v="78954.979687500003"/>
    <n v="315819.91875000001"/>
    <n v="78954.979687500003"/>
    <n v="78954.979687500003"/>
    <n v="78954.979687500003"/>
    <n v="78954.979687500003"/>
    <n v="315819.91875000001"/>
    <n v="78954.979687500003"/>
    <n v="78954.979687500003"/>
    <n v="78954.979687500003"/>
    <n v="78954.979687500003"/>
    <n v="315819.91875000001"/>
    <m/>
    <m/>
    <m/>
    <n v="2526559.35"/>
  </r>
  <r>
    <n v="775"/>
    <x v="0"/>
    <m/>
    <s v="이종희"/>
    <s v="구미"/>
    <s v="PKG"/>
    <s v="O"/>
    <s v="8&quot;&amp;12&quot;"/>
    <s v="DDI"/>
    <x v="4"/>
    <s v="COF"/>
    <x v="40"/>
    <n v="1006402"/>
    <s v="MC"/>
    <s v="PTE-07 : MANUAL REWINDER"/>
    <m/>
    <x v="115"/>
    <s v="Rewinder"/>
    <m/>
    <x v="0"/>
    <s v="가동"/>
    <s v="한국"/>
    <m/>
    <x v="2"/>
    <s v="2차"/>
    <s v="2차"/>
    <s v="일반장비(비통제)"/>
    <s v="릴(Reel) 자재를 풀어 검사·재정렬 후 다시 권취(Rewinding)"/>
    <m/>
    <m/>
    <m/>
    <s v="EAR99"/>
    <s v="8479.89-0000"/>
    <m/>
    <m/>
    <m/>
    <d v="2020-08-31T00:00:00"/>
    <n v="5.1698630136986301"/>
    <n v="8"/>
    <m/>
    <s v="자사"/>
    <s v="미설정"/>
    <m/>
    <m/>
    <m/>
    <m/>
    <n v="7000000"/>
    <m/>
    <m/>
    <m/>
    <n v="4375002"/>
    <n v="72917"/>
    <n v="2406247"/>
    <n v="215237"/>
    <m/>
    <m/>
    <m/>
    <s v="미완료"/>
    <s v="D-VI"/>
    <s v="COF(Assy_FT)"/>
    <s v="COF(Assy_FT)"/>
    <s v="기계장치"/>
    <n v="2526559.35"/>
    <n v="78954.979687500003"/>
    <n v="26318.326562500002"/>
    <m/>
    <m/>
    <m/>
    <m/>
    <m/>
    <m/>
    <m/>
    <n v="78954.979687500003"/>
    <n v="78954.979687500003"/>
    <n v="157909.95937500001"/>
    <n v="78954.979687500003"/>
    <n v="78954.979687500003"/>
    <n v="78954.979687500003"/>
    <n v="78954.979687500003"/>
    <n v="315819.91875000001"/>
    <n v="78954.979687500003"/>
    <n v="78954.979687500003"/>
    <n v="78954.979687500003"/>
    <n v="78954.979687500003"/>
    <n v="315819.91875000001"/>
    <n v="78954.979687500003"/>
    <n v="78954.979687500003"/>
    <n v="78954.979687500003"/>
    <n v="78954.979687500003"/>
    <n v="315819.91875000001"/>
    <m/>
    <m/>
    <m/>
    <n v="2526559.35"/>
  </r>
  <r>
    <n v="776"/>
    <x v="0"/>
    <m/>
    <s v="이종희"/>
    <s v="구미"/>
    <s v="PKG"/>
    <s v="O"/>
    <s v="8&quot;&amp;12&quot;"/>
    <s v="DDI"/>
    <x v="4"/>
    <s v="COF"/>
    <x v="40"/>
    <n v="1006612"/>
    <s v="MC"/>
    <s v="PTE-08 : MANUAL REWINDER"/>
    <m/>
    <x v="115"/>
    <s v="Rewinder"/>
    <m/>
    <x v="0"/>
    <s v="가동"/>
    <s v="한국"/>
    <m/>
    <x v="2"/>
    <s v="3차"/>
    <s v="3차"/>
    <s v="일반장비(비통제)"/>
    <s v="릴(Reel) 자재를 풀어 검사·재정렬 후 다시 권취(Rewinding)"/>
    <m/>
    <m/>
    <m/>
    <s v="EAR99"/>
    <s v="8479.89-0000"/>
    <m/>
    <m/>
    <m/>
    <d v="2021-03-24T00:00:00"/>
    <n v="4.6082191780821917"/>
    <n v="8"/>
    <m/>
    <s v="자사"/>
    <s v="미설정"/>
    <m/>
    <m/>
    <m/>
    <m/>
    <n v="6700000"/>
    <m/>
    <m/>
    <m/>
    <n v="3698960"/>
    <n v="69792"/>
    <n v="2791664"/>
    <n v="257514"/>
    <m/>
    <m/>
    <m/>
    <s v="미완료"/>
    <s v="D-VI"/>
    <s v="COF(Assy_FT)"/>
    <s v="COF(Assy_FT)"/>
    <s v="기계장치"/>
    <n v="2931247.2"/>
    <n v="91601.475000000006"/>
    <n v="30533.825000000001"/>
    <m/>
    <m/>
    <m/>
    <m/>
    <m/>
    <m/>
    <m/>
    <n v="91601.475000000006"/>
    <n v="91601.475000000006"/>
    <n v="183202.95"/>
    <n v="91601.475000000006"/>
    <n v="91601.475000000006"/>
    <n v="91601.475000000006"/>
    <n v="91601.475000000006"/>
    <n v="366405.9"/>
    <n v="91601.475000000006"/>
    <n v="91601.475000000006"/>
    <n v="91601.475000000006"/>
    <n v="91601.475000000006"/>
    <n v="366405.9"/>
    <n v="91601.475000000006"/>
    <n v="91601.475000000006"/>
    <n v="91601.475000000006"/>
    <n v="91601.475000000006"/>
    <n v="366405.9"/>
    <m/>
    <m/>
    <m/>
    <n v="2931247.2"/>
  </r>
  <r>
    <n v="777"/>
    <x v="0"/>
    <m/>
    <s v="이종희"/>
    <s v="구미"/>
    <s v="PKG"/>
    <s v="O"/>
    <s v="8&quot;&amp;12&quot;"/>
    <s v="DDI"/>
    <x v="4"/>
    <s v="COF"/>
    <x v="40"/>
    <n v="1006622"/>
    <s v="MC"/>
    <s v="PTE-09 : MANUAL REWINDER"/>
    <m/>
    <x v="115"/>
    <s v="Rewinder"/>
    <m/>
    <x v="0"/>
    <s v="가동"/>
    <s v="한국"/>
    <m/>
    <x v="2"/>
    <s v="3차"/>
    <s v="3차"/>
    <s v="일반장비(비통제)"/>
    <s v="릴(Reel) 자재를 풀어 검사·재정렬 후 다시 권취(Rewinding)"/>
    <m/>
    <m/>
    <m/>
    <s v="EAR99"/>
    <s v="8479.89-0000"/>
    <m/>
    <m/>
    <m/>
    <d v="2021-03-24T00:00:00"/>
    <n v="4.6082191780821917"/>
    <n v="8"/>
    <m/>
    <s v="자사"/>
    <s v="미설정"/>
    <m/>
    <m/>
    <m/>
    <m/>
    <n v="6700000"/>
    <m/>
    <m/>
    <m/>
    <n v="3698960"/>
    <n v="69792"/>
    <n v="2791664"/>
    <n v="257514"/>
    <m/>
    <m/>
    <m/>
    <s v="미완료"/>
    <s v="D-VI"/>
    <s v="COF(Assy_FT)"/>
    <s v="COF(Assy_FT)"/>
    <s v="기계장치"/>
    <n v="2931247.2"/>
    <n v="91601.475000000006"/>
    <n v="30533.825000000001"/>
    <m/>
    <m/>
    <m/>
    <m/>
    <m/>
    <m/>
    <m/>
    <n v="91601.475000000006"/>
    <n v="91601.475000000006"/>
    <n v="183202.95"/>
    <n v="91601.475000000006"/>
    <n v="91601.475000000006"/>
    <n v="91601.475000000006"/>
    <n v="91601.475000000006"/>
    <n v="366405.9"/>
    <n v="91601.475000000006"/>
    <n v="91601.475000000006"/>
    <n v="91601.475000000006"/>
    <n v="91601.475000000006"/>
    <n v="366405.9"/>
    <n v="91601.475000000006"/>
    <n v="91601.475000000006"/>
    <n v="91601.475000000006"/>
    <n v="91601.475000000006"/>
    <n v="366405.9"/>
    <m/>
    <m/>
    <m/>
    <n v="2931247.2"/>
  </r>
  <r>
    <n v="778"/>
    <x v="0"/>
    <m/>
    <s v="이종희"/>
    <s v="구미"/>
    <s v="PKG"/>
    <s v="O"/>
    <m/>
    <s v="DDI"/>
    <x v="5"/>
    <s v="FT"/>
    <x v="37"/>
    <n v="1000783"/>
    <s v="MC"/>
    <s v="PVI-01"/>
    <m/>
    <x v="116"/>
    <s v="AVI"/>
    <s v="SWT-LS001"/>
    <x v="0"/>
    <s v="가동"/>
    <s v="한국"/>
    <s v="서우테크"/>
    <x v="0"/>
    <s v="1차"/>
    <s v="1차"/>
    <s v="일반장비(비통제)"/>
    <s v="PKG(COF)외관 검사 장비"/>
    <m/>
    <m/>
    <m/>
    <s v="EAR99"/>
    <s v="9031.49-0000"/>
    <m/>
    <m/>
    <m/>
    <d v="2006-09-25T00:00:00"/>
    <n v="19.112328767123287"/>
    <n v="8"/>
    <m/>
    <s v="자사"/>
    <s v="미설정"/>
    <m/>
    <n v="700"/>
    <n v="400"/>
    <n v="600"/>
    <n v="36000000"/>
    <m/>
    <m/>
    <m/>
    <n v="35999000"/>
    <n v="0"/>
    <n v="1000"/>
    <n v="1000"/>
    <m/>
    <m/>
    <m/>
    <s v="완료"/>
    <s v="D-VI"/>
    <s v="COF(Assy_FT)"/>
    <s v="COF(Assy_FT)"/>
    <s v="기계장치"/>
    <n v="720000"/>
    <n v="68636.676859617437"/>
    <n v="22878.892286539147"/>
    <m/>
    <m/>
    <m/>
    <m/>
    <m/>
    <m/>
    <m/>
    <n v="68636.676859617437"/>
    <n v="68636.676859617437"/>
    <n v="137273.35371923487"/>
    <n v="68636.676859617437"/>
    <n v="68636.676859617437"/>
    <n v="68636.676859617437"/>
    <n v="68636.676859617437"/>
    <n v="274546.70743846975"/>
    <n v="68636.676859617437"/>
    <n v="68636.676859617437"/>
    <n v="68636.676859617437"/>
    <n v="68636.676859617437"/>
    <n v="274546.70743846975"/>
    <n v="68636.676859617437"/>
    <n v="68636.676859617437"/>
    <n v="68636.676859617437"/>
    <n v="68636.676859617437"/>
    <n v="274546.70743846975"/>
    <m/>
    <n v="7.0303507595607508E-5"/>
    <n v="1476373.6595077578"/>
    <n v="2196373.659507758"/>
  </r>
  <r>
    <n v="779"/>
    <x v="0"/>
    <m/>
    <s v="이종희"/>
    <s v="구미"/>
    <s v="PKG"/>
    <s v="O"/>
    <m/>
    <s v="DDI"/>
    <x v="5"/>
    <s v="FT"/>
    <x v="37"/>
    <n v="1000784"/>
    <s v="MC"/>
    <s v="PVI-03"/>
    <m/>
    <x v="116"/>
    <s v="AVI"/>
    <s v="SWT-LS003"/>
    <x v="0"/>
    <s v="가동"/>
    <s v="한국"/>
    <s v="서우테크"/>
    <x v="2"/>
    <s v="2차"/>
    <s v="2차"/>
    <s v="일반장비(비통제)"/>
    <s v="PKG(COF)외관 검사 장비"/>
    <m/>
    <m/>
    <m/>
    <s v="EAR99"/>
    <s v="9031.49-0000"/>
    <m/>
    <m/>
    <m/>
    <d v="2006-09-25T00:00:00"/>
    <n v="19.112328767123287"/>
    <n v="8"/>
    <m/>
    <s v="자사"/>
    <s v="미설정"/>
    <m/>
    <n v="700"/>
    <n v="400"/>
    <n v="600"/>
    <n v="36000000"/>
    <m/>
    <m/>
    <m/>
    <n v="35999000"/>
    <n v="0"/>
    <n v="1000"/>
    <n v="1000"/>
    <m/>
    <m/>
    <m/>
    <s v="완료"/>
    <s v="D-VI"/>
    <s v="COF(Assy_FT)"/>
    <s v="COF(Assy_FT)"/>
    <s v="기계장치"/>
    <n v="720000"/>
    <n v="22500"/>
    <n v="7500"/>
    <m/>
    <m/>
    <m/>
    <m/>
    <m/>
    <m/>
    <m/>
    <n v="22500"/>
    <n v="22500"/>
    <n v="45000"/>
    <n v="22500"/>
    <n v="22500"/>
    <n v="22500"/>
    <n v="22500"/>
    <n v="90000"/>
    <n v="22500"/>
    <n v="22500"/>
    <n v="22500"/>
    <n v="22500"/>
    <n v="90000"/>
    <n v="22500"/>
    <n v="22500"/>
    <n v="22500"/>
    <n v="22500"/>
    <n v="90000"/>
    <m/>
    <m/>
    <m/>
    <n v="720000"/>
  </r>
  <r>
    <n v="780"/>
    <x v="0"/>
    <m/>
    <s v="이종희"/>
    <s v="구미"/>
    <s v="PKG"/>
    <s v="O"/>
    <m/>
    <s v="DDI"/>
    <x v="5"/>
    <s v="FT"/>
    <x v="37"/>
    <n v="1000359"/>
    <s v="MC"/>
    <s v="PVI-07"/>
    <m/>
    <x v="116"/>
    <s v="AVI"/>
    <s v="SWT-LS007"/>
    <x v="0"/>
    <s v="가동"/>
    <s v="한국"/>
    <s v="성우테크론"/>
    <x v="2"/>
    <s v="3차"/>
    <s v="3차"/>
    <s v="일반장비(비통제)"/>
    <s v="PKG(COF)외관 검사 장비"/>
    <m/>
    <m/>
    <m/>
    <s v="EAR99"/>
    <s v="9031.49-0000"/>
    <m/>
    <m/>
    <m/>
    <d v="2005-06-29T00:00:00"/>
    <n v="20.353424657534248"/>
    <n v="8"/>
    <m/>
    <s v="자사"/>
    <s v="미설정"/>
    <m/>
    <n v="700"/>
    <n v="400"/>
    <n v="600"/>
    <n v="37400000"/>
    <m/>
    <m/>
    <m/>
    <n v="37399000"/>
    <n v="0"/>
    <n v="1000"/>
    <n v="1000"/>
    <m/>
    <m/>
    <m/>
    <s v="완료"/>
    <s v="D-VI"/>
    <s v="COF(Assy_FT)"/>
    <s v="COF(Assy_FT)"/>
    <s v="기계장치"/>
    <n v="748000"/>
    <n v="23375"/>
    <n v="7791.666666666667"/>
    <m/>
    <m/>
    <m/>
    <m/>
    <m/>
    <m/>
    <m/>
    <n v="23375"/>
    <n v="23375"/>
    <n v="46750"/>
    <n v="23375"/>
    <n v="23375"/>
    <n v="23375"/>
    <n v="23375"/>
    <n v="93500"/>
    <n v="23375"/>
    <n v="23375"/>
    <n v="23375"/>
    <n v="23375"/>
    <n v="93500"/>
    <n v="23375"/>
    <n v="23375"/>
    <n v="23375"/>
    <n v="23375"/>
    <n v="93500"/>
    <m/>
    <m/>
    <m/>
    <n v="748000"/>
  </r>
  <r>
    <n v="781"/>
    <x v="0"/>
    <m/>
    <s v="이종희"/>
    <s v="구미"/>
    <s v="PKG"/>
    <s v="O"/>
    <m/>
    <s v="DDI"/>
    <x v="0"/>
    <s v="PT"/>
    <x v="0"/>
    <n v="1003923"/>
    <s v="MC"/>
    <s v="SDPP-02 : UF3000LX(Automatic Wafer Prober Machine)(ST6730A용)"/>
    <s v="UF3000LX"/>
    <x v="11"/>
    <s v="Prober"/>
    <s v="F25005GH"/>
    <x v="0"/>
    <s v="가동"/>
    <s v="일본"/>
    <s v="ACCRETECH"/>
    <x v="2"/>
    <s v="1차"/>
    <s v="1차"/>
    <s v="해당"/>
    <s v="Wafer Test Prober"/>
    <s v="Wafer Die Test"/>
    <m/>
    <m/>
    <s v="3A992"/>
    <s v="9030.82-0000"/>
    <m/>
    <m/>
    <m/>
    <d v="2013-07-12T00:00:00"/>
    <n v="12.312328767123288"/>
    <n v="8"/>
    <m/>
    <s v="자사"/>
    <s v="미설정"/>
    <n v="0.66"/>
    <n v="1487"/>
    <n v="1622"/>
    <n v="1423"/>
    <n v="159285453"/>
    <m/>
    <m/>
    <m/>
    <n v="159284453"/>
    <n v="0"/>
    <n v="1000"/>
    <n v="1000"/>
    <m/>
    <m/>
    <m/>
    <s v="완료"/>
    <s v="S-P-PT"/>
    <s v="Test"/>
    <s v="Test"/>
    <s v="기계장치"/>
    <n v="3185709.06"/>
    <n v="99553.408125000002"/>
    <n v="33184.469375000001"/>
    <m/>
    <m/>
    <m/>
    <m/>
    <m/>
    <m/>
    <m/>
    <n v="99553.408125000002"/>
    <n v="99553.408125000002"/>
    <n v="199106.81625"/>
    <n v="99553.408125000002"/>
    <n v="99553.408125000002"/>
    <n v="99553.408125000002"/>
    <n v="99553.408125000002"/>
    <n v="398213.63250000001"/>
    <n v="99553.408125000002"/>
    <n v="99553.408125000002"/>
    <n v="99553.408125000002"/>
    <n v="99553.408125000002"/>
    <n v="398213.63250000001"/>
    <n v="99553.408125000002"/>
    <n v="99553.408125000002"/>
    <n v="99553.408125000002"/>
    <n v="99553.408125000002"/>
    <n v="398213.63250000001"/>
    <m/>
    <m/>
    <m/>
    <n v="3185709.06"/>
  </r>
  <r>
    <n v="782"/>
    <x v="0"/>
    <m/>
    <s v="이종희"/>
    <s v="구미"/>
    <s v="PKG"/>
    <s v="O"/>
    <m/>
    <s v="DDI"/>
    <x v="0"/>
    <s v="PT"/>
    <x v="0"/>
    <n v="1006663"/>
    <s v="MC"/>
    <s v="SDPP-03 : PROBER_Tokyo Semitsu(UF3000LX)"/>
    <s v="UF3000LX"/>
    <x v="11"/>
    <s v="Prober"/>
    <s v="F25002EV"/>
    <x v="173"/>
    <s v="가동"/>
    <s v="일본"/>
    <s v="ACCRETECH"/>
    <x v="2"/>
    <s v="1차"/>
    <s v="1차"/>
    <s v="해당"/>
    <s v="Wafer Test Prober"/>
    <s v="Wafer Die Test"/>
    <m/>
    <m/>
    <s v="3A992"/>
    <s v="9030.82-0000"/>
    <m/>
    <m/>
    <m/>
    <d v="2021-09-07T00:00:00"/>
    <n v="4.1506849315068495"/>
    <n v="8"/>
    <m/>
    <s v="자사"/>
    <s v="설정"/>
    <n v="0.66"/>
    <n v="1487"/>
    <n v="1622"/>
    <n v="1423"/>
    <n v="286281563"/>
    <m/>
    <m/>
    <m/>
    <n v="107658695"/>
    <n v="2982100"/>
    <n v="169676568"/>
    <n v="150000837"/>
    <m/>
    <m/>
    <m/>
    <s v="미완료"/>
    <s v="S-P-PT"/>
    <s v="Test"/>
    <s v="Test"/>
    <s v="기계장치"/>
    <n v="178160396.40000001"/>
    <n v="5567512.3875000002"/>
    <n v="1855837.4625000001"/>
    <m/>
    <m/>
    <m/>
    <m/>
    <m/>
    <m/>
    <m/>
    <n v="5567512.3875000002"/>
    <n v="5567512.3875000002"/>
    <n v="11135024.775"/>
    <n v="5567512.3875000002"/>
    <n v="5567512.3875000002"/>
    <n v="5567512.3875000002"/>
    <n v="5567512.3875000002"/>
    <n v="22270049.550000001"/>
    <n v="5567512.3875000002"/>
    <n v="5567512.3875000002"/>
    <n v="5567512.3875000002"/>
    <n v="5567512.3875000002"/>
    <n v="22270049.550000001"/>
    <n v="5567512.3875000002"/>
    <n v="5567512.3875000002"/>
    <n v="5567512.3875000002"/>
    <n v="5567512.3875000002"/>
    <n v="22270049.550000001"/>
    <m/>
    <m/>
    <m/>
    <n v="178160396.40000001"/>
  </r>
  <r>
    <n v="783"/>
    <x v="0"/>
    <m/>
    <s v="이종희"/>
    <s v="구미"/>
    <s v="PKG"/>
    <s v="O"/>
    <s v="8&quot;&amp;12&quot;"/>
    <s v="DDI"/>
    <x v="0"/>
    <s v="PT"/>
    <x v="0"/>
    <n v="1004482"/>
    <s v="MC"/>
    <s v="SDPP-05 : PROBER_OPUS3_쎄믹스 (Used)(구DPP-15)"/>
    <s v="OPUS3"/>
    <x v="12"/>
    <s v="Prober"/>
    <m/>
    <x v="0"/>
    <s v="운휴"/>
    <s v="한국"/>
    <s v="Semic"/>
    <x v="0"/>
    <s v="1차"/>
    <s v="1차"/>
    <s v="해당"/>
    <s v="Wafer Test Prober"/>
    <s v="Wafer Die Test"/>
    <m/>
    <m/>
    <s v="3A992"/>
    <s v="9030.82-0000"/>
    <s v="반도체 제조 및 검사 장비"/>
    <m/>
    <m/>
    <d v="2014-11-14T00:00:00"/>
    <n v="10.96986301369863"/>
    <n v="8"/>
    <m/>
    <s v="자사"/>
    <s v="미설정"/>
    <m/>
    <m/>
    <m/>
    <m/>
    <n v="89950000"/>
    <m/>
    <m/>
    <m/>
    <n v="89949000"/>
    <n v="0"/>
    <n v="1000"/>
    <n v="1000"/>
    <m/>
    <m/>
    <m/>
    <s v="완료"/>
    <s v="S-P-PT"/>
    <s v="Test"/>
    <s v="Test"/>
    <s v="기계장치"/>
    <n v="1799000"/>
    <n v="171496.36343118298"/>
    <n v="57165.454477060994"/>
    <m/>
    <m/>
    <m/>
    <m/>
    <m/>
    <m/>
    <m/>
    <n v="171496.36343118298"/>
    <n v="171496.36343118298"/>
    <n v="342992.72686236596"/>
    <n v="171496.36343118298"/>
    <n v="171496.36343118298"/>
    <n v="171496.36343118298"/>
    <n v="171496.36343118298"/>
    <n v="685985.45372473192"/>
    <n v="171496.36343118298"/>
    <n v="171496.36343118298"/>
    <n v="171496.36343118298"/>
    <n v="171496.36343118298"/>
    <n v="685985.45372473192"/>
    <n v="171496.36343118298"/>
    <n v="171496.36343118298"/>
    <n v="171496.36343118298"/>
    <n v="171496.36343118298"/>
    <n v="685985.45372473192"/>
    <m/>
    <n v="1.7566112522846933E-4"/>
    <n v="3688883.6297978559"/>
    <n v="5487883.6297978554"/>
  </r>
  <r>
    <n v="784"/>
    <x v="0"/>
    <m/>
    <s v="이종희"/>
    <s v="구미"/>
    <s v="PKG"/>
    <s v="O"/>
    <m/>
    <s v="DDI"/>
    <x v="0"/>
    <s v="PT"/>
    <x v="0"/>
    <n v="1006664"/>
    <s v="MC"/>
    <s v="SDPP-06 : PROBER_Tokyo Semitsu(UF3000LX)"/>
    <s v="UF3000LX"/>
    <x v="11"/>
    <s v="Prober"/>
    <s v="F25005EH"/>
    <x v="173"/>
    <s v="가동"/>
    <s v="일본"/>
    <s v="ACCRETECH"/>
    <x v="2"/>
    <s v="1차"/>
    <s v="1차"/>
    <s v="해당"/>
    <s v="Wafer Test Prober"/>
    <s v="Wafer Die Test"/>
    <m/>
    <m/>
    <s v="3A992"/>
    <s v="9030.82-0000"/>
    <m/>
    <m/>
    <m/>
    <d v="2021-09-07T00:00:00"/>
    <n v="4.1506849315068495"/>
    <n v="8"/>
    <m/>
    <s v="자사"/>
    <s v="설정"/>
    <n v="0.66"/>
    <n v="1487"/>
    <n v="1622"/>
    <n v="1423"/>
    <n v="204768203"/>
    <m/>
    <m/>
    <m/>
    <n v="89959429"/>
    <n v="2133002"/>
    <n v="108409768"/>
    <n v="95421327"/>
    <m/>
    <m/>
    <m/>
    <s v="미완료"/>
    <s v="S-P-PT"/>
    <s v="Test"/>
    <s v="Test"/>
    <s v="기계장치"/>
    <n v="113830256.40000001"/>
    <n v="0"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</r>
  <r>
    <n v="785"/>
    <x v="1"/>
    <m/>
    <m/>
    <m/>
    <m/>
    <m/>
    <m/>
    <m/>
    <x v="1"/>
    <s v="Common"/>
    <x v="3"/>
    <m/>
    <m/>
    <s v="인허가 "/>
    <m/>
    <x v="0"/>
    <m/>
    <m/>
    <x v="0"/>
    <m/>
    <m/>
    <m/>
    <x v="1"/>
    <s v="1차"/>
    <s v="1차"/>
    <m/>
    <m/>
    <m/>
    <m/>
    <m/>
    <m/>
    <m/>
    <m/>
    <m/>
    <m/>
    <m/>
    <m/>
    <m/>
    <m/>
    <m/>
    <m/>
    <m/>
    <m/>
    <m/>
    <m/>
    <n v="242000000"/>
    <m/>
    <m/>
    <m/>
    <m/>
    <m/>
    <n v="242000000"/>
    <m/>
    <m/>
    <m/>
    <m/>
    <m/>
    <m/>
    <s v="Common"/>
    <s v="기타"/>
    <s v="건설_기타"/>
    <n v="242000000"/>
    <n v="7562500"/>
    <n v="2520833.3333333335"/>
    <m/>
    <m/>
    <n v="7562500"/>
    <n v="7562500"/>
    <n v="15125000"/>
    <n v="7562500"/>
    <n v="7562500"/>
    <n v="7562500"/>
    <n v="7562500"/>
    <n v="30250000"/>
    <n v="7562500"/>
    <n v="7562500"/>
    <n v="7562500"/>
    <n v="7562500"/>
    <n v="30250000"/>
    <n v="7562500"/>
    <n v="7562500"/>
    <n v="7562500"/>
    <n v="7562500"/>
    <n v="30250000"/>
    <n v="7562500"/>
    <n v="7562500"/>
    <n v="7562500"/>
    <n v="7562500"/>
    <n v="30250000"/>
    <m/>
    <m/>
    <m/>
    <m/>
  </r>
  <r>
    <n v="786"/>
    <x v="1"/>
    <m/>
    <m/>
    <m/>
    <m/>
    <m/>
    <m/>
    <m/>
    <x v="1"/>
    <s v="Common"/>
    <x v="3"/>
    <m/>
    <m/>
    <s v="근무환경 조성용 비품(에어컨, 책상 등) 1차"/>
    <m/>
    <x v="0"/>
    <m/>
    <m/>
    <x v="0"/>
    <m/>
    <m/>
    <m/>
    <x v="1"/>
    <s v="1차"/>
    <s v="1차"/>
    <m/>
    <m/>
    <m/>
    <m/>
    <m/>
    <m/>
    <m/>
    <m/>
    <m/>
    <m/>
    <m/>
    <m/>
    <m/>
    <m/>
    <m/>
    <m/>
    <m/>
    <m/>
    <m/>
    <m/>
    <n v="50000000"/>
    <m/>
    <m/>
    <m/>
    <m/>
    <m/>
    <n v="50000000"/>
    <m/>
    <m/>
    <m/>
    <m/>
    <m/>
    <m/>
    <s v="Common"/>
    <s v="기타"/>
    <s v="건설_기타"/>
    <n v="50000000"/>
    <n v="1562500"/>
    <n v="520833.33333333331"/>
    <m/>
    <m/>
    <n v="1562500"/>
    <n v="1562500"/>
    <n v="3125000"/>
    <n v="1562500"/>
    <n v="1562500"/>
    <n v="1562500"/>
    <n v="1562500"/>
    <n v="6250000"/>
    <n v="1562500"/>
    <n v="1562500"/>
    <n v="1562500"/>
    <n v="1562500"/>
    <n v="6250000"/>
    <n v="1562500"/>
    <n v="1562500"/>
    <n v="1562500"/>
    <n v="1562500"/>
    <n v="6250000"/>
    <n v="1562500"/>
    <n v="1562500"/>
    <n v="1562500"/>
    <n v="1562500"/>
    <n v="6250000"/>
    <m/>
    <m/>
    <m/>
    <m/>
  </r>
  <r>
    <n v="787"/>
    <x v="1"/>
    <m/>
    <m/>
    <m/>
    <m/>
    <m/>
    <m/>
    <m/>
    <x v="1"/>
    <s v="Common"/>
    <x v="3"/>
    <m/>
    <m/>
    <s v="근무환경 조성용 비품(에어컨, 책상 등) 2차"/>
    <m/>
    <x v="0"/>
    <m/>
    <m/>
    <x v="0"/>
    <m/>
    <m/>
    <m/>
    <x v="0"/>
    <m/>
    <m/>
    <m/>
    <m/>
    <m/>
    <m/>
    <m/>
    <m/>
    <m/>
    <m/>
    <m/>
    <m/>
    <m/>
    <m/>
    <m/>
    <m/>
    <m/>
    <m/>
    <m/>
    <m/>
    <m/>
    <m/>
    <n v="20000000"/>
    <m/>
    <m/>
    <m/>
    <m/>
    <m/>
    <n v="20000000"/>
    <m/>
    <m/>
    <m/>
    <m/>
    <m/>
    <m/>
    <s v="Common"/>
    <s v="기타"/>
    <s v="건설_기타"/>
    <n v="120000000"/>
    <n v="3750000"/>
    <n v="1250000"/>
    <m/>
    <m/>
    <m/>
    <m/>
    <m/>
    <m/>
    <m/>
    <n v="3750000"/>
    <n v="3750000"/>
    <n v="7500000"/>
    <n v="3750000"/>
    <n v="3750000"/>
    <n v="3750000"/>
    <n v="3750000"/>
    <n v="15000000"/>
    <n v="3750000"/>
    <n v="3750000"/>
    <n v="3750000"/>
    <n v="3750000"/>
    <n v="15000000"/>
    <n v="3750000"/>
    <n v="3750000"/>
    <n v="3750000"/>
    <n v="3750000"/>
    <n v="15000000"/>
    <m/>
    <m/>
    <m/>
    <m/>
  </r>
  <r>
    <n v="788"/>
    <x v="1"/>
    <m/>
    <m/>
    <m/>
    <m/>
    <m/>
    <m/>
    <m/>
    <x v="1"/>
    <s v="Common"/>
    <x v="3"/>
    <m/>
    <m/>
    <s v="층별 공용면적(회의실, 화장실, 휴게실 등)보수, 사무공간 레이아웃, 물리보안 등"/>
    <m/>
    <x v="0"/>
    <m/>
    <m/>
    <x v="0"/>
    <m/>
    <m/>
    <m/>
    <x v="1"/>
    <s v="1차"/>
    <s v="1차"/>
    <m/>
    <m/>
    <m/>
    <m/>
    <m/>
    <m/>
    <m/>
    <m/>
    <m/>
    <m/>
    <m/>
    <m/>
    <m/>
    <m/>
    <m/>
    <m/>
    <m/>
    <m/>
    <m/>
    <m/>
    <n v="300000000"/>
    <m/>
    <m/>
    <m/>
    <m/>
    <m/>
    <n v="300000000"/>
    <m/>
    <m/>
    <m/>
    <m/>
    <m/>
    <m/>
    <s v="Common"/>
    <s v="기타"/>
    <s v="건설_기타"/>
    <n v="300000000"/>
    <n v="9375000"/>
    <n v="3125000"/>
    <m/>
    <m/>
    <n v="9375000"/>
    <n v="9375000"/>
    <n v="18750000"/>
    <n v="9375000"/>
    <n v="9375000"/>
    <n v="9375000"/>
    <n v="9375000"/>
    <n v="37500000"/>
    <n v="9375000"/>
    <n v="9375000"/>
    <n v="9375000"/>
    <n v="9375000"/>
    <n v="37500000"/>
    <n v="9375000"/>
    <n v="9375000"/>
    <n v="9375000"/>
    <n v="9375000"/>
    <n v="37500000"/>
    <n v="9375000"/>
    <n v="9375000"/>
    <n v="9375000"/>
    <n v="9375000"/>
    <n v="37500000"/>
    <m/>
    <m/>
    <m/>
    <m/>
  </r>
  <r>
    <n v="789"/>
    <x v="1"/>
    <m/>
    <m/>
    <m/>
    <m/>
    <m/>
    <m/>
    <m/>
    <x v="1"/>
    <s v="Common"/>
    <x v="3"/>
    <m/>
    <m/>
    <s v="식당 리모델링 공사 (200석 규모, 280평)"/>
    <m/>
    <x v="0"/>
    <m/>
    <m/>
    <x v="0"/>
    <m/>
    <m/>
    <m/>
    <x v="1"/>
    <s v="1차"/>
    <s v="1차"/>
    <m/>
    <m/>
    <m/>
    <m/>
    <m/>
    <m/>
    <m/>
    <m/>
    <m/>
    <m/>
    <m/>
    <m/>
    <m/>
    <m/>
    <m/>
    <m/>
    <m/>
    <m/>
    <m/>
    <m/>
    <n v="120000000"/>
    <m/>
    <m/>
    <m/>
    <m/>
    <m/>
    <n v="120000000"/>
    <m/>
    <m/>
    <m/>
    <m/>
    <m/>
    <m/>
    <s v="Common"/>
    <s v="기타"/>
    <s v="건설_기타"/>
    <n v="120000000"/>
    <n v="3750000"/>
    <n v="1250000"/>
    <m/>
    <m/>
    <n v="3750000"/>
    <n v="3750000"/>
    <n v="7500000"/>
    <n v="3750000"/>
    <n v="3750000"/>
    <n v="3750000"/>
    <n v="3750000"/>
    <n v="15000000"/>
    <n v="3750000"/>
    <n v="3750000"/>
    <n v="3750000"/>
    <n v="3750000"/>
    <n v="15000000"/>
    <n v="3750000"/>
    <n v="3750000"/>
    <n v="3750000"/>
    <n v="3750000"/>
    <n v="15000000"/>
    <n v="3750000"/>
    <n v="3750000"/>
    <n v="3750000"/>
    <n v="3750000"/>
    <n v="15000000"/>
    <m/>
    <m/>
    <m/>
    <m/>
  </r>
  <r>
    <n v="790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n v="428571.42857142858"/>
    <m/>
    <m/>
    <m/>
    <m/>
    <m/>
    <n v="428571.42857142858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791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792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793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794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795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796"/>
    <x v="1"/>
    <m/>
    <m/>
    <m/>
    <m/>
    <m/>
    <m/>
    <m/>
    <x v="1"/>
    <s v="COG"/>
    <x v="3"/>
    <m/>
    <m/>
    <s v="클린룸 공사_1,000class zone COG 150평 (CR+UT)"/>
    <m/>
    <x v="0"/>
    <m/>
    <m/>
    <x v="0"/>
    <m/>
    <m/>
    <m/>
    <x v="1"/>
    <s v="1차"/>
    <s v="1차"/>
    <m/>
    <m/>
    <m/>
    <m/>
    <m/>
    <m/>
    <m/>
    <m/>
    <m/>
    <m/>
    <m/>
    <m/>
    <m/>
    <m/>
    <m/>
    <m/>
    <m/>
    <m/>
    <m/>
    <m/>
    <n v="1500000000"/>
    <m/>
    <m/>
    <m/>
    <m/>
    <m/>
    <n v="1500000000"/>
    <m/>
    <m/>
    <m/>
    <m/>
    <m/>
    <m/>
    <s v="COG"/>
    <s v="CR"/>
    <s v="건설_기타"/>
    <n v="1500000000"/>
    <n v="46875000"/>
    <n v="15625000"/>
    <m/>
    <m/>
    <n v="46875000"/>
    <n v="46875000"/>
    <n v="93750000"/>
    <n v="46875000"/>
    <n v="46875000"/>
    <n v="46875000"/>
    <n v="46875000"/>
    <n v="187500000"/>
    <n v="46875000"/>
    <n v="46875000"/>
    <n v="46875000"/>
    <n v="46875000"/>
    <n v="187500000"/>
    <n v="46875000"/>
    <n v="46875000"/>
    <n v="46875000"/>
    <n v="46875000"/>
    <n v="187500000"/>
    <n v="46875000"/>
    <n v="46875000"/>
    <n v="46875000"/>
    <n v="46875000"/>
    <n v="187500000"/>
    <m/>
    <m/>
    <m/>
    <m/>
  </r>
  <r>
    <n v="797"/>
    <x v="1"/>
    <m/>
    <m/>
    <m/>
    <m/>
    <m/>
    <m/>
    <m/>
    <x v="1"/>
    <s v="COG"/>
    <x v="3"/>
    <m/>
    <m/>
    <s v="클린룸 공사_1,000class zone COG 150평 (CR+UT)"/>
    <m/>
    <x v="0"/>
    <m/>
    <m/>
    <x v="0"/>
    <m/>
    <m/>
    <m/>
    <x v="0"/>
    <s v="2차"/>
    <s v="2차"/>
    <m/>
    <m/>
    <m/>
    <m/>
    <m/>
    <m/>
    <m/>
    <m/>
    <m/>
    <m/>
    <m/>
    <m/>
    <m/>
    <m/>
    <m/>
    <m/>
    <m/>
    <m/>
    <m/>
    <m/>
    <n v="1500000000"/>
    <m/>
    <m/>
    <m/>
    <m/>
    <m/>
    <n v="1500000000"/>
    <m/>
    <m/>
    <m/>
    <m/>
    <m/>
    <m/>
    <s v="COG"/>
    <s v="CR"/>
    <s v="건설_기타"/>
    <n v="1500000000"/>
    <n v="0"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</r>
  <r>
    <n v="798"/>
    <x v="1"/>
    <m/>
    <m/>
    <m/>
    <m/>
    <m/>
    <m/>
    <m/>
    <x v="1"/>
    <s v="COF"/>
    <x v="3"/>
    <m/>
    <m/>
    <s v="클린룸 공사_1,000class zone COF 450평 (CR+UT)"/>
    <m/>
    <x v="0"/>
    <m/>
    <m/>
    <x v="0"/>
    <m/>
    <m/>
    <m/>
    <x v="1"/>
    <s v="1차"/>
    <s v="1차"/>
    <m/>
    <m/>
    <m/>
    <m/>
    <m/>
    <m/>
    <m/>
    <m/>
    <m/>
    <m/>
    <m/>
    <m/>
    <m/>
    <m/>
    <m/>
    <m/>
    <m/>
    <m/>
    <m/>
    <m/>
    <n v="4500000000"/>
    <m/>
    <m/>
    <m/>
    <m/>
    <m/>
    <n v="4500000000"/>
    <m/>
    <m/>
    <m/>
    <m/>
    <m/>
    <m/>
    <s v="COF(Assy_FT)"/>
    <s v="CR"/>
    <s v="건설_기타"/>
    <n v="4500000000"/>
    <n v="140625000"/>
    <n v="46875000"/>
    <m/>
    <m/>
    <n v="140625000"/>
    <n v="140625000"/>
    <n v="281250000"/>
    <n v="140625000"/>
    <n v="140625000"/>
    <n v="140625000"/>
    <n v="140625000"/>
    <n v="562500000"/>
    <n v="140625000"/>
    <n v="140625000"/>
    <n v="140625000"/>
    <n v="140625000"/>
    <n v="562500000"/>
    <n v="140625000"/>
    <n v="140625000"/>
    <n v="140625000"/>
    <n v="140625000"/>
    <n v="562500000"/>
    <n v="140625000"/>
    <n v="140625000"/>
    <n v="140625000"/>
    <n v="140625000"/>
    <n v="562500000"/>
    <m/>
    <m/>
    <m/>
    <m/>
  </r>
  <r>
    <n v="799"/>
    <x v="1"/>
    <m/>
    <m/>
    <m/>
    <m/>
    <m/>
    <m/>
    <m/>
    <x v="1"/>
    <s v="COF"/>
    <x v="3"/>
    <m/>
    <m/>
    <s v="클린룸 공사_1,000class zone COF 400평 (CR+UT)"/>
    <m/>
    <x v="0"/>
    <m/>
    <m/>
    <x v="0"/>
    <m/>
    <m/>
    <m/>
    <x v="0"/>
    <s v="2차"/>
    <s v="2차"/>
    <m/>
    <m/>
    <m/>
    <m/>
    <m/>
    <m/>
    <m/>
    <m/>
    <m/>
    <m/>
    <m/>
    <m/>
    <m/>
    <m/>
    <m/>
    <m/>
    <m/>
    <m/>
    <m/>
    <m/>
    <n v="4000000000"/>
    <m/>
    <m/>
    <m/>
    <m/>
    <m/>
    <n v="4000000000"/>
    <m/>
    <m/>
    <m/>
    <m/>
    <m/>
    <m/>
    <s v="COF(Assy_FT)"/>
    <s v="CR"/>
    <s v="건설_기타"/>
    <n v="4000000000"/>
    <n v="0"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</r>
  <r>
    <n v="800"/>
    <x v="1"/>
    <m/>
    <m/>
    <m/>
    <m/>
    <m/>
    <m/>
    <m/>
    <x v="1"/>
    <s v="PT"/>
    <x v="3"/>
    <m/>
    <m/>
    <s v="클린룸 공사_1,000class zone, Wafer Test 250평 (CR+UT)"/>
    <m/>
    <x v="0"/>
    <m/>
    <m/>
    <x v="0"/>
    <m/>
    <m/>
    <m/>
    <x v="1"/>
    <s v="1차"/>
    <s v="1차"/>
    <m/>
    <m/>
    <m/>
    <m/>
    <m/>
    <m/>
    <m/>
    <m/>
    <m/>
    <m/>
    <m/>
    <m/>
    <m/>
    <m/>
    <m/>
    <m/>
    <m/>
    <m/>
    <m/>
    <m/>
    <n v="2500000000"/>
    <m/>
    <m/>
    <m/>
    <m/>
    <m/>
    <n v="2500000000"/>
    <m/>
    <m/>
    <m/>
    <m/>
    <m/>
    <m/>
    <s v="Test"/>
    <s v="CR"/>
    <s v="건설_기타"/>
    <n v="2500000000"/>
    <n v="78125000"/>
    <n v="26041666.666666668"/>
    <m/>
    <m/>
    <n v="78125000"/>
    <n v="78125000"/>
    <n v="156250000"/>
    <n v="78125000"/>
    <n v="78125000"/>
    <n v="78125000"/>
    <n v="78125000"/>
    <n v="312500000"/>
    <n v="78125000"/>
    <n v="78125000"/>
    <n v="78125000"/>
    <n v="78125000"/>
    <n v="312500000"/>
    <n v="78125000"/>
    <n v="78125000"/>
    <n v="78125000"/>
    <n v="78125000"/>
    <n v="312500000"/>
    <n v="78125000"/>
    <n v="78125000"/>
    <n v="78125000"/>
    <n v="78125000"/>
    <n v="312500000"/>
    <m/>
    <m/>
    <m/>
    <m/>
  </r>
  <r>
    <n v="801"/>
    <x v="1"/>
    <m/>
    <m/>
    <m/>
    <m/>
    <m/>
    <m/>
    <m/>
    <x v="1"/>
    <s v="PT"/>
    <x v="3"/>
    <m/>
    <m/>
    <s v="클린룸 공사_1,000class zone, Wafer Test 250평 (CR+UT)"/>
    <m/>
    <x v="0"/>
    <m/>
    <m/>
    <x v="0"/>
    <m/>
    <m/>
    <m/>
    <x v="0"/>
    <s v="1차"/>
    <s v="1차"/>
    <m/>
    <m/>
    <m/>
    <m/>
    <m/>
    <m/>
    <m/>
    <m/>
    <m/>
    <m/>
    <m/>
    <m/>
    <m/>
    <m/>
    <m/>
    <m/>
    <m/>
    <m/>
    <m/>
    <m/>
    <n v="2500000000"/>
    <m/>
    <m/>
    <m/>
    <m/>
    <m/>
    <n v="2500000000"/>
    <m/>
    <m/>
    <m/>
    <m/>
    <m/>
    <m/>
    <s v="Test"/>
    <s v="CR"/>
    <s v="건설_기타"/>
    <n v="2500000000"/>
    <n v="0"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</r>
  <r>
    <n v="802"/>
    <x v="1"/>
    <m/>
    <m/>
    <m/>
    <m/>
    <m/>
    <m/>
    <m/>
    <x v="1"/>
    <s v="FT"/>
    <x v="3"/>
    <m/>
    <m/>
    <s v="클린룸 공사_1,000class zone, PKG Test 150평 (CR+UT)"/>
    <m/>
    <x v="0"/>
    <m/>
    <m/>
    <x v="0"/>
    <m/>
    <m/>
    <m/>
    <x v="1"/>
    <s v="1차"/>
    <s v="1차"/>
    <m/>
    <m/>
    <m/>
    <m/>
    <m/>
    <m/>
    <m/>
    <m/>
    <m/>
    <m/>
    <m/>
    <m/>
    <m/>
    <m/>
    <m/>
    <m/>
    <m/>
    <m/>
    <m/>
    <m/>
    <n v="1500000000"/>
    <m/>
    <m/>
    <m/>
    <m/>
    <m/>
    <n v="1500000000"/>
    <m/>
    <m/>
    <m/>
    <m/>
    <m/>
    <m/>
    <s v="COF(Assy_FT)"/>
    <s v="CR"/>
    <s v="건설_기타"/>
    <n v="1500000000"/>
    <n v="46875000"/>
    <n v="15625000"/>
    <m/>
    <m/>
    <n v="46875000"/>
    <n v="46875000"/>
    <n v="93750000"/>
    <n v="46875000"/>
    <n v="46875000"/>
    <n v="46875000"/>
    <n v="46875000"/>
    <n v="187500000"/>
    <n v="46875000"/>
    <n v="46875000"/>
    <n v="46875000"/>
    <n v="46875000"/>
    <n v="187500000"/>
    <n v="46875000"/>
    <n v="46875000"/>
    <n v="46875000"/>
    <n v="46875000"/>
    <n v="187500000"/>
    <n v="46875000"/>
    <n v="46875000"/>
    <n v="46875000"/>
    <n v="46875000"/>
    <n v="187500000"/>
    <m/>
    <m/>
    <m/>
    <m/>
  </r>
  <r>
    <n v="803"/>
    <x v="1"/>
    <m/>
    <m/>
    <m/>
    <m/>
    <m/>
    <m/>
    <m/>
    <x v="1"/>
    <s v="FT"/>
    <x v="3"/>
    <m/>
    <m/>
    <s v="클린룸 공사_1,000class zone, PKG Test 90평 (CR+UT)"/>
    <m/>
    <x v="0"/>
    <m/>
    <m/>
    <x v="0"/>
    <m/>
    <m/>
    <m/>
    <x v="0"/>
    <s v="1차"/>
    <s v="1차"/>
    <m/>
    <m/>
    <m/>
    <m/>
    <m/>
    <m/>
    <m/>
    <m/>
    <m/>
    <m/>
    <m/>
    <m/>
    <m/>
    <m/>
    <m/>
    <m/>
    <m/>
    <m/>
    <m/>
    <m/>
    <n v="900000000"/>
    <m/>
    <m/>
    <m/>
    <m/>
    <m/>
    <n v="900000000"/>
    <m/>
    <m/>
    <m/>
    <m/>
    <m/>
    <m/>
    <m/>
    <m/>
    <m/>
    <n v="900000000"/>
    <n v="0"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</r>
  <r>
    <n v="804"/>
    <x v="1"/>
    <m/>
    <m/>
    <m/>
    <m/>
    <m/>
    <m/>
    <m/>
    <x v="1"/>
    <s v="Au bump"/>
    <x v="3"/>
    <m/>
    <m/>
    <s v="클린룸 공사_100class zone, Bump 200평"/>
    <m/>
    <x v="0"/>
    <m/>
    <m/>
    <x v="0"/>
    <m/>
    <m/>
    <m/>
    <x v="1"/>
    <s v="1차"/>
    <s v="1차"/>
    <m/>
    <m/>
    <m/>
    <m/>
    <m/>
    <m/>
    <m/>
    <m/>
    <m/>
    <m/>
    <m/>
    <m/>
    <m/>
    <m/>
    <m/>
    <m/>
    <m/>
    <m/>
    <m/>
    <m/>
    <n v="4000000000"/>
    <m/>
    <m/>
    <m/>
    <m/>
    <m/>
    <n v="4000000000"/>
    <m/>
    <m/>
    <m/>
    <m/>
    <m/>
    <m/>
    <s v="Bump"/>
    <s v="CR"/>
    <s v="건설_기타"/>
    <n v="4000000000"/>
    <n v="125000000"/>
    <n v="41666666.666666664"/>
    <m/>
    <m/>
    <n v="125000000"/>
    <n v="125000000"/>
    <n v="250000000"/>
    <n v="125000000"/>
    <n v="125000000"/>
    <n v="125000000"/>
    <n v="125000000"/>
    <n v="500000000"/>
    <n v="125000000"/>
    <n v="125000000"/>
    <n v="125000000"/>
    <n v="125000000"/>
    <n v="500000000"/>
    <n v="125000000"/>
    <n v="125000000"/>
    <n v="125000000"/>
    <n v="125000000"/>
    <n v="500000000"/>
    <n v="125000000"/>
    <n v="125000000"/>
    <n v="125000000"/>
    <n v="125000000"/>
    <n v="500000000"/>
    <m/>
    <m/>
    <m/>
    <m/>
  </r>
  <r>
    <n v="805"/>
    <x v="1"/>
    <m/>
    <m/>
    <m/>
    <m/>
    <m/>
    <m/>
    <m/>
    <x v="1"/>
    <s v="Au bump"/>
    <x v="3"/>
    <m/>
    <m/>
    <s v="클린룸 공사_100class zone, Bump 150평"/>
    <m/>
    <x v="0"/>
    <m/>
    <m/>
    <x v="0"/>
    <m/>
    <m/>
    <m/>
    <x v="0"/>
    <m/>
    <m/>
    <m/>
    <m/>
    <m/>
    <m/>
    <m/>
    <m/>
    <m/>
    <m/>
    <m/>
    <m/>
    <m/>
    <m/>
    <m/>
    <m/>
    <m/>
    <m/>
    <m/>
    <m/>
    <m/>
    <m/>
    <n v="2000000000"/>
    <m/>
    <m/>
    <m/>
    <m/>
    <m/>
    <n v="2000000000"/>
    <m/>
    <m/>
    <m/>
    <m/>
    <m/>
    <m/>
    <m/>
    <m/>
    <m/>
    <n v="2000000000"/>
    <n v="0"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</r>
  <r>
    <n v="806"/>
    <x v="1"/>
    <m/>
    <m/>
    <m/>
    <m/>
    <m/>
    <m/>
    <m/>
    <x v="1"/>
    <s v="Au bump"/>
    <x v="3"/>
    <m/>
    <m/>
    <s v="클린룸 공사_100class zone, UT, Bump 200평"/>
    <m/>
    <x v="0"/>
    <m/>
    <m/>
    <x v="0"/>
    <m/>
    <m/>
    <m/>
    <x v="1"/>
    <s v="1차"/>
    <s v="1차"/>
    <m/>
    <m/>
    <m/>
    <m/>
    <m/>
    <m/>
    <m/>
    <m/>
    <m/>
    <m/>
    <m/>
    <m/>
    <m/>
    <m/>
    <m/>
    <m/>
    <m/>
    <m/>
    <m/>
    <m/>
    <n v="4500000000"/>
    <m/>
    <m/>
    <m/>
    <m/>
    <m/>
    <n v="4500000000"/>
    <m/>
    <m/>
    <m/>
    <m/>
    <m/>
    <m/>
    <s v="Bump"/>
    <s v="CR"/>
    <s v="건설_기타"/>
    <n v="4500000000"/>
    <n v="140625000"/>
    <n v="46875000"/>
    <m/>
    <m/>
    <n v="140625000"/>
    <n v="140625000"/>
    <n v="281250000"/>
    <n v="140625000"/>
    <n v="140625000"/>
    <n v="140625000"/>
    <n v="140625000"/>
    <n v="562500000"/>
    <n v="140625000"/>
    <n v="140625000"/>
    <n v="140625000"/>
    <n v="140625000"/>
    <n v="562500000"/>
    <n v="140625000"/>
    <n v="140625000"/>
    <n v="140625000"/>
    <n v="140625000"/>
    <n v="562500000"/>
    <n v="140625000"/>
    <n v="140625000"/>
    <n v="140625000"/>
    <n v="140625000"/>
    <n v="562500000"/>
    <m/>
    <m/>
    <m/>
    <m/>
  </r>
  <r>
    <n v="807"/>
    <x v="1"/>
    <m/>
    <m/>
    <m/>
    <m/>
    <m/>
    <m/>
    <m/>
    <x v="1"/>
    <s v="Au bump"/>
    <x v="3"/>
    <m/>
    <m/>
    <s v="클린룸 공사_100class zone, UT, Bump 150평"/>
    <m/>
    <x v="0"/>
    <m/>
    <m/>
    <x v="0"/>
    <m/>
    <m/>
    <m/>
    <x v="0"/>
    <m/>
    <m/>
    <m/>
    <m/>
    <m/>
    <m/>
    <m/>
    <m/>
    <m/>
    <m/>
    <m/>
    <m/>
    <m/>
    <m/>
    <m/>
    <m/>
    <m/>
    <m/>
    <m/>
    <m/>
    <m/>
    <m/>
    <n v="3500000000"/>
    <m/>
    <m/>
    <m/>
    <m/>
    <m/>
    <n v="3500000000"/>
    <m/>
    <m/>
    <m/>
    <m/>
    <m/>
    <m/>
    <m/>
    <m/>
    <m/>
    <n v="3500000000"/>
    <n v="0"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</r>
  <r>
    <n v="808"/>
    <x v="1"/>
    <m/>
    <m/>
    <m/>
    <m/>
    <m/>
    <m/>
    <m/>
    <x v="1"/>
    <s v="Common"/>
    <x v="3"/>
    <m/>
    <m/>
    <s v="Infra 공사 (폐수 처리, CCSS 등), Bump"/>
    <m/>
    <x v="0"/>
    <m/>
    <m/>
    <x v="0"/>
    <m/>
    <m/>
    <m/>
    <x v="1"/>
    <s v="1차"/>
    <s v="1차"/>
    <m/>
    <m/>
    <m/>
    <m/>
    <m/>
    <m/>
    <m/>
    <m/>
    <m/>
    <m/>
    <m/>
    <m/>
    <m/>
    <m/>
    <m/>
    <m/>
    <m/>
    <m/>
    <m/>
    <m/>
    <n v="15000000000"/>
    <m/>
    <m/>
    <m/>
    <m/>
    <m/>
    <n v="15000000000"/>
    <m/>
    <m/>
    <m/>
    <m/>
    <m/>
    <m/>
    <s v="Common"/>
    <s v="CR"/>
    <s v="건설_기타"/>
    <n v="15000000000"/>
    <n v="468750000"/>
    <n v="156250000"/>
    <m/>
    <m/>
    <n v="468750000"/>
    <n v="468750000"/>
    <n v="937500000"/>
    <n v="468750000"/>
    <n v="468750000"/>
    <n v="468750000"/>
    <n v="468750000"/>
    <n v="1875000000"/>
    <n v="468750000"/>
    <n v="468750000"/>
    <n v="468750000"/>
    <n v="468750000"/>
    <n v="1875000000"/>
    <n v="468750000"/>
    <n v="468750000"/>
    <n v="468750000"/>
    <n v="468750000"/>
    <n v="1875000000"/>
    <n v="468750000"/>
    <n v="468750000"/>
    <n v="468750000"/>
    <n v="468750000"/>
    <n v="1875000000"/>
    <m/>
    <m/>
    <m/>
    <m/>
  </r>
  <r>
    <n v="809"/>
    <x v="1"/>
    <m/>
    <m/>
    <m/>
    <m/>
    <m/>
    <m/>
    <m/>
    <x v="1"/>
    <s v="Common"/>
    <x v="3"/>
    <m/>
    <m/>
    <s v="1차 클린룸 설계"/>
    <m/>
    <x v="0"/>
    <m/>
    <m/>
    <x v="0"/>
    <m/>
    <m/>
    <m/>
    <x v="1"/>
    <s v="1차"/>
    <s v="1차"/>
    <m/>
    <m/>
    <m/>
    <m/>
    <m/>
    <m/>
    <m/>
    <m/>
    <m/>
    <m/>
    <m/>
    <m/>
    <m/>
    <m/>
    <m/>
    <m/>
    <m/>
    <m/>
    <m/>
    <m/>
    <n v="200000000"/>
    <m/>
    <m/>
    <m/>
    <m/>
    <m/>
    <n v="200000000"/>
    <m/>
    <m/>
    <m/>
    <m/>
    <m/>
    <m/>
    <s v="Common"/>
    <s v="CR"/>
    <s v="건설_기타"/>
    <n v="200000000"/>
    <n v="6250000"/>
    <n v="2083333.3333333333"/>
    <m/>
    <m/>
    <n v="6250000"/>
    <n v="6250000"/>
    <n v="12500000"/>
    <n v="6250000"/>
    <n v="6250000"/>
    <n v="6250000"/>
    <n v="6250000"/>
    <n v="25000000"/>
    <n v="6250000"/>
    <n v="6250000"/>
    <n v="6250000"/>
    <n v="6250000"/>
    <n v="25000000"/>
    <n v="6250000"/>
    <n v="6250000"/>
    <n v="6250000"/>
    <n v="6250000"/>
    <n v="25000000"/>
    <n v="6250000"/>
    <n v="6250000"/>
    <n v="6250000"/>
    <n v="6250000"/>
    <n v="25000000"/>
    <m/>
    <m/>
    <m/>
    <m/>
  </r>
  <r>
    <n v="810"/>
    <x v="1"/>
    <m/>
    <m/>
    <m/>
    <m/>
    <m/>
    <m/>
    <m/>
    <x v="1"/>
    <s v="Common"/>
    <x v="3"/>
    <m/>
    <m/>
    <s v="2차 클린룸 설계"/>
    <m/>
    <x v="0"/>
    <m/>
    <m/>
    <x v="0"/>
    <m/>
    <m/>
    <m/>
    <x v="0"/>
    <s v="1차"/>
    <s v="1차"/>
    <m/>
    <m/>
    <m/>
    <m/>
    <m/>
    <m/>
    <m/>
    <m/>
    <m/>
    <m/>
    <m/>
    <m/>
    <m/>
    <m/>
    <m/>
    <m/>
    <m/>
    <m/>
    <m/>
    <m/>
    <n v="100000000"/>
    <m/>
    <m/>
    <m/>
    <m/>
    <m/>
    <n v="100000000"/>
    <m/>
    <m/>
    <m/>
    <m/>
    <m/>
    <m/>
    <s v="Common"/>
    <s v="CR"/>
    <s v="건설_기타"/>
    <n v="200000000"/>
    <n v="6250000"/>
    <n v="2083333.3333333333"/>
    <m/>
    <m/>
    <m/>
    <m/>
    <m/>
    <m/>
    <m/>
    <n v="6250000"/>
    <n v="6250000"/>
    <n v="12500000"/>
    <n v="6250000"/>
    <n v="6250000"/>
    <n v="6250000"/>
    <n v="6250000"/>
    <n v="25000000"/>
    <n v="6250000"/>
    <n v="6250000"/>
    <n v="6250000"/>
    <n v="6250000"/>
    <n v="25000000"/>
    <n v="6250000"/>
    <n v="6250000"/>
    <n v="6250000"/>
    <n v="6250000"/>
    <n v="25000000"/>
    <m/>
    <m/>
    <m/>
    <m/>
  </r>
  <r>
    <n v="811"/>
    <x v="1"/>
    <m/>
    <m/>
    <m/>
    <m/>
    <m/>
    <m/>
    <m/>
    <x v="1"/>
    <s v="Common"/>
    <x v="3"/>
    <m/>
    <m/>
    <s v="기타 건물 공사(오피스, 경비실, 소방공사, 자재창고 등등.."/>
    <m/>
    <x v="0"/>
    <m/>
    <m/>
    <x v="0"/>
    <m/>
    <m/>
    <m/>
    <x v="1"/>
    <m/>
    <m/>
    <m/>
    <m/>
    <m/>
    <m/>
    <m/>
    <m/>
    <m/>
    <m/>
    <m/>
    <m/>
    <m/>
    <m/>
    <m/>
    <m/>
    <m/>
    <m/>
    <m/>
    <m/>
    <m/>
    <m/>
    <n v="4075000000"/>
    <m/>
    <m/>
    <m/>
    <m/>
    <m/>
    <n v="4075000000"/>
    <m/>
    <m/>
    <m/>
    <m/>
    <m/>
    <m/>
    <s v="Common"/>
    <s v="CR"/>
    <s v="건설_기타"/>
    <n v="4075000000"/>
    <n v="127343750"/>
    <n v="42447916.666666664"/>
    <m/>
    <m/>
    <n v="127343750"/>
    <n v="127343750"/>
    <n v="254687500"/>
    <n v="127343750"/>
    <n v="127343750"/>
    <n v="127343750"/>
    <n v="127343750"/>
    <n v="509375000"/>
    <n v="127343750"/>
    <n v="127343750"/>
    <n v="127343750"/>
    <n v="127343750"/>
    <n v="509375000"/>
    <n v="127343750"/>
    <n v="127343750"/>
    <n v="127343750"/>
    <n v="127343750"/>
    <n v="509375000"/>
    <n v="127343750"/>
    <n v="127343750"/>
    <n v="127343750"/>
    <n v="127343750"/>
    <n v="509375000"/>
    <m/>
    <m/>
    <m/>
    <m/>
  </r>
  <r>
    <n v="812"/>
    <x v="1"/>
    <m/>
    <m/>
    <m/>
    <m/>
    <m/>
    <m/>
    <m/>
    <x v="1"/>
    <s v="Common"/>
    <x v="3"/>
    <m/>
    <m/>
    <s v="생산비품 1차"/>
    <m/>
    <x v="0"/>
    <m/>
    <m/>
    <x v="0"/>
    <m/>
    <m/>
    <m/>
    <x v="1"/>
    <m/>
    <m/>
    <m/>
    <m/>
    <m/>
    <m/>
    <m/>
    <m/>
    <m/>
    <m/>
    <m/>
    <m/>
    <m/>
    <m/>
    <m/>
    <m/>
    <m/>
    <m/>
    <m/>
    <m/>
    <m/>
    <m/>
    <n v="90000000"/>
    <m/>
    <m/>
    <m/>
    <m/>
    <m/>
    <n v="90000000"/>
    <m/>
    <m/>
    <m/>
    <m/>
    <m/>
    <m/>
    <s v="Common"/>
    <s v="기타"/>
    <s v="건설_기타"/>
    <n v="90000000"/>
    <n v="2812500"/>
    <n v="937500"/>
    <m/>
    <m/>
    <n v="2812500"/>
    <n v="2812500"/>
    <n v="5625000"/>
    <n v="2812500"/>
    <n v="2812500"/>
    <n v="2812500"/>
    <n v="2812500"/>
    <n v="11250000"/>
    <n v="2812500"/>
    <n v="2812500"/>
    <n v="2812500"/>
    <n v="2812500"/>
    <n v="11250000"/>
    <n v="2812500"/>
    <n v="2812500"/>
    <n v="2812500"/>
    <n v="2812500"/>
    <n v="11250000"/>
    <n v="2812500"/>
    <n v="2812500"/>
    <n v="2812500"/>
    <n v="2812500"/>
    <n v="11250000"/>
    <m/>
    <m/>
    <m/>
    <m/>
  </r>
  <r>
    <n v="813"/>
    <x v="1"/>
    <m/>
    <m/>
    <m/>
    <m/>
    <m/>
    <m/>
    <m/>
    <x v="1"/>
    <s v="Common"/>
    <x v="3"/>
    <m/>
    <m/>
    <s v="생산부품 2차"/>
    <m/>
    <x v="0"/>
    <m/>
    <m/>
    <x v="0"/>
    <m/>
    <m/>
    <m/>
    <x v="0"/>
    <m/>
    <m/>
    <m/>
    <m/>
    <m/>
    <m/>
    <m/>
    <m/>
    <m/>
    <m/>
    <m/>
    <m/>
    <m/>
    <m/>
    <m/>
    <m/>
    <m/>
    <m/>
    <m/>
    <m/>
    <m/>
    <m/>
    <n v="80000000"/>
    <m/>
    <m/>
    <m/>
    <m/>
    <m/>
    <n v="80000000"/>
    <m/>
    <m/>
    <m/>
    <m/>
    <m/>
    <m/>
    <s v="Common"/>
    <s v="기타"/>
    <s v="건설_기타"/>
    <n v="400000000"/>
    <n v="12500000"/>
    <n v="4166666.6666666665"/>
    <m/>
    <m/>
    <m/>
    <m/>
    <m/>
    <m/>
    <m/>
    <n v="12500000"/>
    <n v="12500000"/>
    <n v="25000000"/>
    <n v="12500000"/>
    <n v="12500000"/>
    <n v="12500000"/>
    <n v="12500000"/>
    <n v="50000000"/>
    <n v="12500000"/>
    <n v="12500000"/>
    <n v="12500000"/>
    <n v="12500000"/>
    <n v="50000000"/>
    <n v="12500000"/>
    <n v="12500000"/>
    <n v="12500000"/>
    <n v="12500000"/>
    <n v="50000000"/>
    <m/>
    <m/>
    <m/>
    <m/>
  </r>
  <r>
    <n v="814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15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16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17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18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19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20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21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22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23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24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25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26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27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28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29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30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31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32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33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34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35"/>
    <x v="1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n v="0"/>
    <n v="0"/>
    <n v="0"/>
    <n v="0"/>
    <n v="0"/>
    <m/>
    <m/>
    <m/>
    <m/>
    <m/>
    <m/>
    <m/>
    <m/>
    <m/>
    <m/>
    <m/>
    <m/>
    <m/>
    <m/>
    <m/>
    <m/>
    <m/>
  </r>
  <r>
    <n v="836"/>
    <x v="1"/>
    <m/>
    <m/>
    <m/>
    <m/>
    <m/>
    <m/>
    <m/>
    <x v="1"/>
    <s v="Common"/>
    <x v="3"/>
    <m/>
    <m/>
    <s v="전산실 설치, 네트워크 공사, 장비 구매 등 "/>
    <m/>
    <x v="0"/>
    <m/>
    <m/>
    <x v="0"/>
    <m/>
    <m/>
    <m/>
    <x v="1"/>
    <s v="1차"/>
    <s v="1차"/>
    <m/>
    <m/>
    <m/>
    <m/>
    <m/>
    <m/>
    <m/>
    <m/>
    <m/>
    <m/>
    <m/>
    <m/>
    <m/>
    <m/>
    <m/>
    <m/>
    <m/>
    <m/>
    <m/>
    <m/>
    <n v="350000000"/>
    <m/>
    <m/>
    <m/>
    <m/>
    <m/>
    <n v="350000000"/>
    <m/>
    <m/>
    <m/>
    <m/>
    <m/>
    <m/>
    <s v="Common"/>
    <s v="기타"/>
    <s v="건설_기타"/>
    <n v="350000000"/>
    <n v="10937500"/>
    <n v="3645833.3333333335"/>
    <m/>
    <m/>
    <n v="10937500"/>
    <n v="10937500"/>
    <n v="21875000"/>
    <n v="10937500"/>
    <n v="10937500"/>
    <n v="10937500"/>
    <n v="10937500"/>
    <n v="43750000"/>
    <n v="10937500"/>
    <n v="10937500"/>
    <n v="10937500"/>
    <n v="10937500"/>
    <n v="43750000"/>
    <n v="10937500"/>
    <n v="10937500"/>
    <n v="10937500"/>
    <n v="10937500"/>
    <n v="43750000"/>
    <n v="10937500"/>
    <n v="10937500"/>
    <n v="10937500"/>
    <n v="10937500"/>
    <n v="43750000"/>
    <m/>
    <m/>
    <m/>
    <m/>
  </r>
  <r>
    <n v="837"/>
    <x v="1"/>
    <m/>
    <m/>
    <m/>
    <m/>
    <m/>
    <m/>
    <m/>
    <x v="1"/>
    <s v="Common"/>
    <x v="3"/>
    <m/>
    <m/>
    <s v="RMS 단말기"/>
    <m/>
    <x v="0"/>
    <m/>
    <m/>
    <x v="0"/>
    <m/>
    <m/>
    <m/>
    <x v="1"/>
    <s v="1차"/>
    <s v="1차"/>
    <m/>
    <m/>
    <m/>
    <m/>
    <m/>
    <m/>
    <m/>
    <m/>
    <m/>
    <m/>
    <m/>
    <m/>
    <m/>
    <m/>
    <m/>
    <m/>
    <m/>
    <m/>
    <m/>
    <m/>
    <n v="40000000"/>
    <m/>
    <m/>
    <m/>
    <m/>
    <m/>
    <n v="40000000"/>
    <m/>
    <m/>
    <m/>
    <m/>
    <m/>
    <m/>
    <s v="Common"/>
    <s v="기타"/>
    <s v="건설_기타"/>
    <n v="40000000"/>
    <n v="1250000"/>
    <n v="416666.66666666669"/>
    <m/>
    <m/>
    <n v="1250000"/>
    <n v="1250000"/>
    <n v="2500000"/>
    <n v="1250000"/>
    <n v="1250000"/>
    <n v="1250000"/>
    <n v="1250000"/>
    <n v="5000000"/>
    <n v="1250000"/>
    <n v="1250000"/>
    <n v="1250000"/>
    <n v="1250000"/>
    <n v="5000000"/>
    <n v="1250000"/>
    <n v="1250000"/>
    <n v="1250000"/>
    <n v="1250000"/>
    <n v="5000000"/>
    <n v="1250000"/>
    <n v="1250000"/>
    <n v="1250000"/>
    <n v="1250000"/>
    <n v="5000000"/>
    <m/>
    <m/>
    <m/>
    <m/>
  </r>
  <r>
    <n v="838"/>
    <x v="1"/>
    <m/>
    <m/>
    <m/>
    <m/>
    <m/>
    <m/>
    <m/>
    <x v="1"/>
    <s v="Common"/>
    <x v="3"/>
    <m/>
    <m/>
    <s v="IT 시스템 구축 (GW, ERP, HR, RMS, MES)"/>
    <m/>
    <x v="0"/>
    <m/>
    <m/>
    <x v="0"/>
    <m/>
    <m/>
    <m/>
    <x v="1"/>
    <s v="1차"/>
    <s v="1차"/>
    <m/>
    <m/>
    <m/>
    <m/>
    <m/>
    <m/>
    <m/>
    <m/>
    <m/>
    <m/>
    <m/>
    <m/>
    <m/>
    <m/>
    <m/>
    <m/>
    <m/>
    <m/>
    <m/>
    <m/>
    <n v="5000000000"/>
    <m/>
    <m/>
    <m/>
    <m/>
    <m/>
    <n v="5000000000"/>
    <m/>
    <m/>
    <m/>
    <m/>
    <m/>
    <m/>
    <s v="Common"/>
    <s v="기타"/>
    <s v="건설_기타"/>
    <n v="5000000000"/>
    <n v="156250000"/>
    <n v="52083333.333333336"/>
    <m/>
    <m/>
    <n v="156250000"/>
    <n v="156250000"/>
    <n v="312500000"/>
    <n v="156250000"/>
    <n v="156250000"/>
    <n v="156250000"/>
    <n v="156250000"/>
    <n v="625000000"/>
    <n v="156250000"/>
    <n v="156250000"/>
    <n v="156250000"/>
    <n v="156250000"/>
    <n v="625000000"/>
    <n v="156250000"/>
    <n v="156250000"/>
    <n v="156250000"/>
    <n v="156250000"/>
    <n v="625000000"/>
    <n v="156250000"/>
    <n v="156250000"/>
    <n v="156250000"/>
    <n v="156250000"/>
    <n v="625000000"/>
    <m/>
    <m/>
    <m/>
    <m/>
  </r>
  <r>
    <n v="839"/>
    <x v="0"/>
    <m/>
    <s v="최삼현"/>
    <m/>
    <s v="TEST"/>
    <m/>
    <m/>
    <m/>
    <x v="1"/>
    <m/>
    <x v="3"/>
    <m/>
    <m/>
    <s v="중복 내용으로 삭제"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0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1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2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3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4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5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6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7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8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9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0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1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2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3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4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5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6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7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8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9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60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61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62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63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64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65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66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67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68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69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0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1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2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3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4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5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6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7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8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9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0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1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2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3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4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5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6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7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8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9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0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1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2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3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4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5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6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7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8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9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0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1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2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3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4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5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6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7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8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9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0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1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2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3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4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5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6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7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8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9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0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1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2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3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4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5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6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7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8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9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0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1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2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3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4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5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6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7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8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9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0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1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2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3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4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5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6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7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8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9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0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1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2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3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4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5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6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7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8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9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0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1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2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3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4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5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6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7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8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9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0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1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2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3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4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5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6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7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8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9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0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1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2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3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4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5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6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7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8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9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90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91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92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93"/>
    <x v="2"/>
    <m/>
    <m/>
    <m/>
    <m/>
    <m/>
    <m/>
    <m/>
    <x v="1"/>
    <m/>
    <x v="3"/>
    <m/>
    <m/>
    <m/>
    <m/>
    <x v="0"/>
    <m/>
    <m/>
    <x v="0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평택"/>
    <x v="0"/>
    <x v="0"/>
    <n v="4"/>
    <x v="0"/>
    <x v="0"/>
    <n v="0"/>
    <n v="0"/>
    <n v="0"/>
    <n v="0"/>
    <n v="0"/>
    <n v="0"/>
    <s v="이설 대상 장비 : 4호기"/>
    <n v="1"/>
    <n v="1"/>
    <n v="0"/>
    <n v="3"/>
    <m/>
    <s v="SCR #7"/>
    <x v="0"/>
    <m/>
    <m/>
    <m/>
    <s v="O"/>
    <m/>
    <s v="- 연식 30년된 장비로 공용 소모성 Parts 제외 대부분 Part 단종이나 국산화 대응_x000a__x000a_- 국내 Agency 업체 일부 대응 가능"/>
  </r>
  <r>
    <s v="평택"/>
    <x v="0"/>
    <x v="1"/>
    <n v="3"/>
    <x v="0"/>
    <x v="0"/>
    <n v="0"/>
    <n v="0"/>
    <n v="1"/>
    <n v="1"/>
    <n v="0"/>
    <n v="0"/>
    <s v="이설 대상 장비 : 4,5,6호기 중 2대"/>
    <n v="2"/>
    <n v="2"/>
    <n v="0"/>
    <n v="1"/>
    <m/>
    <s v="SPU #6,04"/>
    <x v="0"/>
    <m/>
    <m/>
    <m/>
    <m/>
    <m/>
    <s v="- 장비 외관 및 내부 상태 양호하나 Cluster Type 장비로 해체 후 조립 _x000a_시 동작 불량에 대한 Risk 는 존재함_x000a_- Global 판매 장비로 중국 Site 내 Trouble Shoot Surpplier Chain 검토 필요"/>
  </r>
  <r>
    <s v="평택"/>
    <x v="0"/>
    <x v="2"/>
    <n v="2"/>
    <x v="0"/>
    <x v="1"/>
    <n v="1"/>
    <n v="900000000"/>
    <n v="0"/>
    <n v="0"/>
    <n v="0"/>
    <n v="0"/>
    <s v="장비 중고 투자 : TEL"/>
    <n v="1"/>
    <n v="0"/>
    <n v="1"/>
    <n v="2"/>
    <s v="투자필요"/>
    <m/>
    <x v="1"/>
    <m/>
    <m/>
    <m/>
    <m/>
    <m/>
    <m/>
  </r>
  <r>
    <s v="평택"/>
    <x v="0"/>
    <x v="3"/>
    <n v="2"/>
    <x v="0"/>
    <x v="1"/>
    <n v="1"/>
    <n v="3500000000"/>
    <n v="1"/>
    <n v="1"/>
    <n v="0"/>
    <n v="0"/>
    <s v="장비 신규 투자 : ORC"/>
    <n v="2"/>
    <n v="1"/>
    <n v="1"/>
    <n v="1"/>
    <s v="1대투자"/>
    <s v="STP#01"/>
    <x v="0"/>
    <m/>
    <m/>
    <m/>
    <m/>
    <m/>
    <s v="- 조명계통 노화로 Lens Overhaul 필요 상태이며,  다수 Part's 단종 및 제작품으로  중요 Part 공급 어려움_x000a_  → 검사 장비로 중요 Part 관리되지 않을경우 검출력 저하 등 문제 발생"/>
  </r>
  <r>
    <s v="평택"/>
    <x v="0"/>
    <x v="4"/>
    <n v="4"/>
    <x v="0"/>
    <x v="1"/>
    <n v="1"/>
    <n v="900000000"/>
    <n v="1"/>
    <n v="1"/>
    <n v="0"/>
    <n v="0"/>
    <s v="장비 중고 투자 : TEL"/>
    <n v="2"/>
    <n v="1"/>
    <n v="1"/>
    <n v="3"/>
    <s v="1대투자"/>
    <s v="DEV#11"/>
    <x v="0"/>
    <m/>
    <m/>
    <m/>
    <m/>
    <m/>
    <s v="- 장비 내/외부 부식_x000a_  → 장비 이설 전 Overhaul 필요_x000a_- Global 판매 장비로 중국 Site 내 Trouble Shoot Surpplier Chain 검토 필요"/>
  </r>
  <r>
    <s v="평택"/>
    <x v="0"/>
    <x v="5"/>
    <n v="2"/>
    <x v="0"/>
    <x v="1"/>
    <n v="1"/>
    <n v="1400000000"/>
    <n v="0"/>
    <n v="0"/>
    <n v="0"/>
    <n v="0"/>
    <s v="장비 신규 투자 : PSK"/>
    <n v="1"/>
    <n v="0"/>
    <n v="1"/>
    <n v="2"/>
    <s v="투자필요"/>
    <m/>
    <x v="1"/>
    <m/>
    <m/>
    <m/>
    <m/>
    <m/>
    <m/>
  </r>
  <r>
    <s v="평택"/>
    <x v="0"/>
    <x v="6"/>
    <n v="11"/>
    <x v="1"/>
    <x v="2"/>
    <n v="0"/>
    <n v="0"/>
    <n v="3"/>
    <n v="3"/>
    <n v="0"/>
    <n v="0"/>
    <s v="이설 대상 장비 (1차) : 3대, (2차) : 3대"/>
    <n v="6"/>
    <n v="6"/>
    <n v="0"/>
    <n v="5"/>
    <m/>
    <s v="AUP #5,7,11,3,4,12"/>
    <x v="0"/>
    <m/>
    <m/>
    <m/>
    <m/>
    <m/>
    <s v="- 장비 외관 일정 수준 양호하나, 내/외부 부식 심함_x000a_   → Bath 주변 Frame 부식에 의한 파손 및 Leak 有_x000a_- 공압계통 Line 부식에 따른 전체 배관 교체 필요_x000a_- Aup3,4 2022년 Contol Tower 교체되어 해당 부분은 상급 Part 임"/>
  </r>
  <r>
    <s v="평택"/>
    <x v="0"/>
    <x v="7"/>
    <n v="3"/>
    <x v="0"/>
    <x v="0"/>
    <n v="0"/>
    <n v="0"/>
    <n v="1"/>
    <n v="1"/>
    <n v="0"/>
    <n v="0"/>
    <s v="이설 대상 장비 P3 보관 중, 2차 이설은 3호기 1대"/>
    <n v="2"/>
    <n v="2"/>
    <n v="0"/>
    <n v="1"/>
    <s v="호기 없음"/>
    <s v="-"/>
    <x v="2"/>
    <m/>
    <m/>
    <m/>
    <m/>
    <m/>
    <s v="- 2001년 제작 장비로 장비 내/외부 부식 심각_x000a_  → Leak 심각 수준으로 폐기 처리 예정"/>
  </r>
  <r>
    <s v="평택"/>
    <x v="0"/>
    <x v="8"/>
    <n v="2"/>
    <x v="0"/>
    <x v="1"/>
    <n v="1"/>
    <n v="800000000"/>
    <n v="0"/>
    <n v="0"/>
    <n v="0"/>
    <n v="0"/>
    <s v="장비 신규 투자 : INNOMAX (Au TiW BP 1set)"/>
    <n v="1"/>
    <n v="0"/>
    <n v="1"/>
    <n v="2"/>
    <m/>
    <m/>
    <x v="2"/>
    <m/>
    <m/>
    <m/>
    <m/>
    <m/>
    <s v="- 2001년 제작 장비로 장비 내/외부 부식 심각_x000a_  → Leak 심각 수준으로 폐기 처리 예정"/>
  </r>
  <r>
    <s v="평택"/>
    <x v="0"/>
    <x v="9"/>
    <n v="2"/>
    <x v="0"/>
    <x v="1"/>
    <n v="1"/>
    <n v="0"/>
    <n v="0"/>
    <n v="0"/>
    <n v="0"/>
    <n v="0"/>
    <s v="INNOMAX (Au TiW BP 1set) _ Au Etch 투자 가격 포함"/>
    <n v="1"/>
    <n v="0"/>
    <n v="1"/>
    <n v="2"/>
    <m/>
    <m/>
    <x v="2"/>
    <m/>
    <m/>
    <m/>
    <m/>
    <m/>
    <s v="- 2001년 제작 장비로 장비 내/외부 부식 심각_x000a_  → Leak 심각 수준으로 폐기 처리 예정"/>
  </r>
  <r>
    <s v="평택"/>
    <x v="0"/>
    <x v="10"/>
    <n v="4"/>
    <x v="1"/>
    <x v="3"/>
    <n v="0"/>
    <n v="0"/>
    <n v="1"/>
    <n v="1"/>
    <n v="0"/>
    <n v="0"/>
    <s v="이설 대상 장비 : 4호기"/>
    <n v="4"/>
    <n v="3"/>
    <n v="0"/>
    <n v="1"/>
    <m/>
    <s v="ANN #5,6,4"/>
    <x v="0"/>
    <m/>
    <m/>
    <m/>
    <m/>
    <m/>
    <s v="- 신규 장비이나 가공 Part's 에 대한 공급은 어려움_x000a_-ANN#4 장비 내/외관 부식, 서비스 없체 없음"/>
  </r>
  <r>
    <s v="평택"/>
    <x v="0"/>
    <x v="11"/>
    <n v="4"/>
    <x v="0"/>
    <x v="1"/>
    <n v="1"/>
    <n v="500000000"/>
    <n v="1"/>
    <n v="0"/>
    <n v="1"/>
    <n v="500000000"/>
    <s v="계측기 신규 투자 : KOVIS 3D 측정기기"/>
    <n v="2"/>
    <n v="0"/>
    <n v="2"/>
    <n v="4"/>
    <s v="투자필요"/>
    <m/>
    <x v="1"/>
    <m/>
    <m/>
    <m/>
    <m/>
    <m/>
    <m/>
  </r>
  <r>
    <s v="평택"/>
    <x v="0"/>
    <x v="12"/>
    <n v="1"/>
    <x v="0"/>
    <x v="1"/>
    <n v="1"/>
    <n v="50000000"/>
    <n v="0"/>
    <n v="0"/>
    <n v="0"/>
    <n v="0"/>
    <s v="계측기 신규 투자 : KOVIS _ Manual"/>
    <n v="1"/>
    <n v="0"/>
    <n v="1"/>
    <n v="1"/>
    <s v="투자필요"/>
    <m/>
    <x v="1"/>
    <m/>
    <m/>
    <m/>
    <m/>
    <m/>
    <m/>
  </r>
  <r>
    <s v="평택"/>
    <x v="0"/>
    <x v="13"/>
    <n v="2"/>
    <x v="0"/>
    <x v="0"/>
    <n v="0"/>
    <n v="0"/>
    <n v="0"/>
    <n v="0"/>
    <n v="0"/>
    <n v="0"/>
    <m/>
    <n v="1"/>
    <n v="1"/>
    <n v="0"/>
    <n v="1"/>
    <m/>
    <s v="HAR #3"/>
    <x v="3"/>
    <m/>
    <m/>
    <m/>
    <m/>
    <m/>
    <s v="- 장비 외관 상태 양호하며, 자체적으로 기본적인 Maintenance 가능_x000a_- 내부 Parts (압좌 및 Spring) Fail 시 국내 Agency 대응 필요"/>
  </r>
  <r>
    <s v="평택"/>
    <x v="0"/>
    <x v="14"/>
    <n v="9"/>
    <x v="1"/>
    <x v="2"/>
    <n v="0"/>
    <n v="0"/>
    <n v="2"/>
    <n v="2"/>
    <n v="0"/>
    <n v="0"/>
    <s v="이설 대상에 Falcon(구형 모델) 우선 포함"/>
    <n v="5"/>
    <n v="5"/>
    <n v="0"/>
    <n v="4"/>
    <m/>
    <s v="AVI #5,7,8,2,3"/>
    <x v="0"/>
    <m/>
    <m/>
    <m/>
    <m/>
    <m/>
    <s v="- 장비 상태 양호하나 Maker Part's 단종에 따른 중요 Part 공급 불가_x000a_  → 검사 장비로 중요 Part 관리되지 않을경우 검출력 저하 등 문제 발생"/>
  </r>
  <r>
    <s v="평택"/>
    <x v="0"/>
    <x v="15"/>
    <n v="11"/>
    <x v="2"/>
    <x v="1"/>
    <n v="4"/>
    <n v="320000000"/>
    <n v="2"/>
    <n v="0"/>
    <n v="2"/>
    <n v="160000000"/>
    <s v="AJO"/>
    <n v="6"/>
    <n v="0"/>
    <n v="6"/>
    <n v="11"/>
    <s v="투자필요"/>
    <m/>
    <x v="1"/>
    <m/>
    <m/>
    <m/>
    <m/>
    <m/>
    <m/>
  </r>
  <r>
    <s v="평택"/>
    <x v="0"/>
    <x v="16"/>
    <n v="1"/>
    <x v="0"/>
    <x v="1"/>
    <n v="1"/>
    <n v="80000000"/>
    <n v="0"/>
    <n v="0"/>
    <n v="0"/>
    <n v="0"/>
    <s v="계측기 신규 투자"/>
    <n v="1"/>
    <n v="0"/>
    <n v="1"/>
    <n v="1"/>
    <s v="투자필요"/>
    <m/>
    <x v="1"/>
    <m/>
    <m/>
    <m/>
    <m/>
    <m/>
    <m/>
  </r>
  <r>
    <s v="평택"/>
    <x v="0"/>
    <x v="17"/>
    <n v="1"/>
    <x v="0"/>
    <x v="1"/>
    <n v="1"/>
    <n v="60000000"/>
    <n v="0"/>
    <n v="0"/>
    <n v="0"/>
    <n v="0"/>
    <s v="계측기 신규 투자"/>
    <n v="1"/>
    <n v="0"/>
    <n v="1"/>
    <n v="1"/>
    <s v="투자필요"/>
    <m/>
    <x v="1"/>
    <m/>
    <m/>
    <m/>
    <m/>
    <m/>
    <m/>
  </r>
  <r>
    <s v="평택"/>
    <x v="0"/>
    <x v="18"/>
    <n v="1"/>
    <x v="0"/>
    <x v="1"/>
    <n v="1"/>
    <n v="230000000"/>
    <n v="0"/>
    <n v="0"/>
    <n v="0"/>
    <n v="0"/>
    <s v="계측기 신규 투자"/>
    <n v="1"/>
    <n v="0"/>
    <n v="1"/>
    <n v="1"/>
    <s v="투자필요"/>
    <m/>
    <x v="1"/>
    <m/>
    <m/>
    <m/>
    <m/>
    <m/>
    <m/>
  </r>
  <r>
    <s v="평택"/>
    <x v="0"/>
    <x v="19"/>
    <n v="3"/>
    <x v="0"/>
    <x v="1"/>
    <n v="1"/>
    <n v="150000000"/>
    <n v="0"/>
    <n v="0"/>
    <n v="0"/>
    <n v="0"/>
    <s v="계측기 신규 투자"/>
    <n v="1"/>
    <n v="0"/>
    <n v="1"/>
    <n v="3"/>
    <s v="투자필요"/>
    <m/>
    <x v="1"/>
    <m/>
    <m/>
    <m/>
    <m/>
    <m/>
    <m/>
  </r>
  <r>
    <s v="평택"/>
    <x v="0"/>
    <x v="20"/>
    <n v="1"/>
    <x v="0"/>
    <x v="1"/>
    <n v="1"/>
    <n v="0"/>
    <n v="0"/>
    <n v="0"/>
    <n v="0"/>
    <n v="0"/>
    <s v="INNOMAX (Au TiW BP 1set) _ Au Etch 투자 가격 포함"/>
    <n v="1"/>
    <n v="0"/>
    <n v="1"/>
    <n v="1"/>
    <s v="투자필요"/>
    <m/>
    <x v="1"/>
    <m/>
    <m/>
    <m/>
    <m/>
    <m/>
    <m/>
  </r>
  <r>
    <s v="평택"/>
    <x v="0"/>
    <x v="21"/>
    <n v="1"/>
    <x v="0"/>
    <x v="4"/>
    <n v="1"/>
    <n v="150000000"/>
    <n v="0"/>
    <m/>
    <n v="0"/>
    <n v="150000000"/>
    <s v="기타 신규 투자"/>
    <n v="1"/>
    <n v="0"/>
    <n v="1"/>
    <n v="1"/>
    <s v="투자필요"/>
    <m/>
    <x v="1"/>
    <m/>
    <m/>
    <m/>
    <m/>
    <m/>
    <m/>
  </r>
  <r>
    <s v="구미"/>
    <x v="1"/>
    <x v="22"/>
    <n v="1"/>
    <x v="0"/>
    <x v="4"/>
    <m/>
    <m/>
    <m/>
    <m/>
    <m/>
    <m/>
    <s v="COG 공용 사용"/>
    <n v="1"/>
    <n v="0"/>
    <n v="0"/>
    <n v="1"/>
    <m/>
    <m/>
    <x v="1"/>
    <m/>
    <m/>
    <m/>
    <m/>
    <m/>
    <m/>
  </r>
  <r>
    <s v="구미"/>
    <x v="1"/>
    <x v="23"/>
    <n v="2"/>
    <x v="0"/>
    <x v="4"/>
    <n v="1"/>
    <n v="2000000000"/>
    <m/>
    <m/>
    <m/>
    <m/>
    <s v="평택 안성 합산 총 3대 필요- COF만 경우 1대"/>
    <n v="1"/>
    <n v="0"/>
    <n v="1"/>
    <n v="2"/>
    <s v="투자필요"/>
    <m/>
    <x v="1"/>
    <m/>
    <m/>
    <m/>
    <m/>
    <m/>
    <m/>
  </r>
  <r>
    <s v="구미"/>
    <x v="1"/>
    <x v="24"/>
    <n v="2"/>
    <x v="0"/>
    <x v="4"/>
    <n v="1"/>
    <n v="1000000000"/>
    <m/>
    <m/>
    <m/>
    <m/>
    <m/>
    <n v="1"/>
    <n v="0"/>
    <n v="1"/>
    <n v="2"/>
    <s v="투자필요"/>
    <m/>
    <x v="1"/>
    <m/>
    <m/>
    <m/>
    <m/>
    <m/>
    <m/>
  </r>
  <r>
    <s v="구미"/>
    <x v="1"/>
    <x v="25"/>
    <n v="1"/>
    <x v="0"/>
    <x v="4"/>
    <n v="1"/>
    <n v="150000000"/>
    <m/>
    <m/>
    <m/>
    <m/>
    <s v="전력반도체 공용 중"/>
    <n v="1"/>
    <n v="0"/>
    <n v="1"/>
    <n v="1"/>
    <s v="투자필요"/>
    <m/>
    <x v="1"/>
    <m/>
    <m/>
    <m/>
    <m/>
    <m/>
    <m/>
  </r>
  <r>
    <s v="구미"/>
    <x v="1"/>
    <x v="26"/>
    <n v="2"/>
    <x v="0"/>
    <x v="0"/>
    <m/>
    <m/>
    <m/>
    <m/>
    <m/>
    <m/>
    <m/>
    <n v="1"/>
    <n v="1"/>
    <n v="0"/>
    <n v="1"/>
    <s v="?"/>
    <m/>
    <x v="1"/>
    <m/>
    <m/>
    <m/>
    <m/>
    <m/>
    <m/>
  </r>
  <r>
    <s v="구미"/>
    <x v="1"/>
    <x v="27"/>
    <n v="2"/>
    <x v="3"/>
    <x v="4"/>
    <m/>
    <m/>
    <m/>
    <m/>
    <m/>
    <m/>
    <m/>
    <n v="0"/>
    <n v="0"/>
    <n v="0"/>
    <n v="2"/>
    <s v="해당없음"/>
    <m/>
    <x v="1"/>
    <m/>
    <m/>
    <m/>
    <m/>
    <m/>
    <m/>
  </r>
  <r>
    <s v="구미"/>
    <x v="1"/>
    <x v="28"/>
    <n v="28"/>
    <x v="4"/>
    <x v="5"/>
    <m/>
    <m/>
    <n v="4"/>
    <n v="4"/>
    <m/>
    <m/>
    <m/>
    <n v="12"/>
    <n v="12"/>
    <n v="0"/>
    <n v="16"/>
    <m/>
    <s v="PSA-02,03,04,06,07,08,09,10,11,12,17,18"/>
    <x v="4"/>
    <m/>
    <m/>
    <m/>
    <m/>
    <m/>
    <m/>
  </r>
  <r>
    <s v="구미"/>
    <x v="1"/>
    <x v="29"/>
    <n v="9"/>
    <x v="5"/>
    <x v="2"/>
    <m/>
    <m/>
    <n v="2"/>
    <n v="2"/>
    <m/>
    <m/>
    <s v="1대당 3대 연결 BG,SAW,LGV "/>
    <n v="7"/>
    <n v="5"/>
    <n v="0"/>
    <n v="4"/>
    <m/>
    <s v="PCB-01,02,03,4,5"/>
    <x v="4"/>
    <m/>
    <m/>
    <m/>
    <m/>
    <m/>
    <m/>
  </r>
  <r>
    <s v="구미"/>
    <x v="1"/>
    <x v="30"/>
    <n v="1"/>
    <x v="0"/>
    <x v="4"/>
    <n v="1"/>
    <n v="150000000"/>
    <m/>
    <m/>
    <m/>
    <m/>
    <s v="단일설비"/>
    <n v="1"/>
    <n v="0"/>
    <n v="1"/>
    <n v="1"/>
    <s v="투자필요"/>
    <m/>
    <x v="1"/>
    <m/>
    <m/>
    <m/>
    <m/>
    <m/>
    <m/>
  </r>
  <r>
    <s v="구미"/>
    <x v="1"/>
    <x v="31"/>
    <n v="6"/>
    <x v="6"/>
    <x v="6"/>
    <m/>
    <m/>
    <m/>
    <m/>
    <m/>
    <m/>
    <m/>
    <n v="6"/>
    <n v="6"/>
    <n v="0"/>
    <n v="0"/>
    <m/>
    <s v="PIL-10,12,13,19,59,60"/>
    <x v="2"/>
    <m/>
    <m/>
    <m/>
    <m/>
    <m/>
    <s v="장비 외관 및 내부 상태 양호 등"/>
  </r>
  <r>
    <s v="구미"/>
    <x v="1"/>
    <x v="32"/>
    <n v="17"/>
    <x v="4"/>
    <x v="5"/>
    <m/>
    <m/>
    <n v="7"/>
    <n v="7"/>
    <m/>
    <m/>
    <m/>
    <n v="15"/>
    <n v="15"/>
    <n v="0"/>
    <n v="2"/>
    <m/>
    <s v="PIL-40,41,43,44,48,49,51,53,55,56,57,58,45,46,47,50,52"/>
    <x v="2"/>
    <m/>
    <m/>
    <m/>
    <m/>
    <m/>
    <s v="장비 외관 및 내부 상태 양호 등"/>
  </r>
  <r>
    <s v="구미"/>
    <x v="1"/>
    <x v="33"/>
    <n v="45"/>
    <x v="7"/>
    <x v="7"/>
    <m/>
    <m/>
    <m/>
    <m/>
    <m/>
    <m/>
    <m/>
    <n v="13"/>
    <n v="13"/>
    <n v="0"/>
    <n v="32"/>
    <m/>
    <s v="PIL-64,65,66,73,76,79,80,81,62,63,68,69,70,71,72"/>
    <x v="4"/>
    <m/>
    <m/>
    <m/>
    <m/>
    <m/>
    <m/>
  </r>
  <r>
    <s v="구미"/>
    <x v="1"/>
    <x v="34"/>
    <n v="56"/>
    <x v="8"/>
    <x v="8"/>
    <m/>
    <m/>
    <n v="7"/>
    <n v="7"/>
    <m/>
    <m/>
    <m/>
    <n v="26"/>
    <n v="19"/>
    <n v="0"/>
    <n v="37"/>
    <m/>
    <s v="PPT-05.06,09,11,12,19,20,23,24,25,26,31,07,08,10,13,14,15,16"/>
    <x v="2"/>
    <m/>
    <m/>
    <m/>
    <m/>
    <m/>
    <s v="장비 외관 및 내부 상태 양호 등"/>
  </r>
  <r>
    <s v="구미"/>
    <x v="1"/>
    <x v="35"/>
    <n v="32"/>
    <x v="9"/>
    <x v="9"/>
    <m/>
    <m/>
    <n v="7"/>
    <n v="7"/>
    <m/>
    <m/>
    <m/>
    <n v="18"/>
    <n v="18"/>
    <n v="0"/>
    <n v="14"/>
    <m/>
    <s v="PCU-03,04,05,07,08,09,10,11,12,13,14,15,16,17,18,19,20,21"/>
    <x v="0"/>
    <m/>
    <m/>
    <m/>
    <m/>
    <m/>
    <s v="장비 외관 및 내부 상태 양호 등"/>
  </r>
  <r>
    <s v="구미"/>
    <x v="1"/>
    <x v="36"/>
    <n v="6"/>
    <x v="10"/>
    <x v="3"/>
    <m/>
    <m/>
    <n v="1"/>
    <n v="1"/>
    <m/>
    <m/>
    <m/>
    <n v="3"/>
    <n v="3"/>
    <n v="0"/>
    <n v="3"/>
    <m/>
    <s v="PRW-01, 02,03"/>
    <x v="2"/>
    <m/>
    <m/>
    <m/>
    <m/>
    <m/>
    <s v="장비 외관 및 내부 상태 양호 등"/>
  </r>
  <r>
    <s v="구미"/>
    <x v="1"/>
    <x v="37"/>
    <n v="2"/>
    <x v="0"/>
    <x v="0"/>
    <m/>
    <m/>
    <m/>
    <m/>
    <m/>
    <m/>
    <m/>
    <n v="1"/>
    <n v="1"/>
    <n v="0"/>
    <n v="1"/>
    <m/>
    <s v="MRW-01"/>
    <x v="2"/>
    <m/>
    <m/>
    <m/>
    <m/>
    <m/>
    <s v="장비 외관 및 내부 상태 양호 등"/>
  </r>
  <r>
    <s v="구미"/>
    <x v="1"/>
    <x v="38"/>
    <n v="5"/>
    <x v="3"/>
    <x v="4"/>
    <m/>
    <m/>
    <m/>
    <m/>
    <m/>
    <m/>
    <m/>
    <n v="0"/>
    <n v="0"/>
    <n v="0"/>
    <n v="5"/>
    <s v="해당없음"/>
    <m/>
    <x v="1"/>
    <m/>
    <m/>
    <m/>
    <m/>
    <m/>
    <s v="Laser time Over 교체 필요(26년 1월, 26년 9월, 약2.3억원/대)"/>
  </r>
  <r>
    <s v="구미"/>
    <x v="1"/>
    <x v="39"/>
    <n v="6"/>
    <x v="10"/>
    <x v="3"/>
    <m/>
    <m/>
    <m/>
    <m/>
    <m/>
    <m/>
    <m/>
    <n v="2"/>
    <n v="2"/>
    <n v="0"/>
    <n v="4"/>
    <m/>
    <s v="PRK-01, 06"/>
    <x v="3"/>
    <m/>
    <m/>
    <m/>
    <m/>
    <m/>
    <m/>
  </r>
  <r>
    <s v="구미"/>
    <x v="1"/>
    <x v="39"/>
    <n v="1"/>
    <x v="3"/>
    <x v="4"/>
    <m/>
    <m/>
    <n v="1"/>
    <n v="1"/>
    <m/>
    <m/>
    <m/>
    <n v="1"/>
    <n v="1"/>
    <n v="0"/>
    <n v="0"/>
    <m/>
    <s v="PRK-03"/>
    <x v="4"/>
    <m/>
    <m/>
    <m/>
    <m/>
    <m/>
    <m/>
  </r>
  <r>
    <s v="구미"/>
    <x v="1"/>
    <x v="40"/>
    <n v="5"/>
    <x v="3"/>
    <x v="4"/>
    <m/>
    <m/>
    <m/>
    <m/>
    <m/>
    <m/>
    <m/>
    <n v="0"/>
    <n v="0"/>
    <n v="0"/>
    <n v="5"/>
    <m/>
    <m/>
    <x v="1"/>
    <m/>
    <m/>
    <m/>
    <m/>
    <m/>
    <m/>
  </r>
  <r>
    <s v="구미"/>
    <x v="1"/>
    <x v="41"/>
    <n v="2"/>
    <x v="3"/>
    <x v="4"/>
    <m/>
    <m/>
    <m/>
    <m/>
    <m/>
    <m/>
    <m/>
    <n v="0"/>
    <n v="0"/>
    <n v="0"/>
    <n v="2"/>
    <m/>
    <m/>
    <x v="1"/>
    <m/>
    <m/>
    <m/>
    <m/>
    <m/>
    <m/>
  </r>
  <r>
    <s v="구미"/>
    <x v="1"/>
    <x v="42"/>
    <n v="10"/>
    <x v="3"/>
    <x v="4"/>
    <m/>
    <m/>
    <m/>
    <m/>
    <m/>
    <m/>
    <m/>
    <n v="0"/>
    <n v="0"/>
    <n v="0"/>
    <n v="10"/>
    <m/>
    <m/>
    <x v="1"/>
    <m/>
    <m/>
    <m/>
    <m/>
    <m/>
    <m/>
  </r>
  <r>
    <s v="구미"/>
    <x v="1"/>
    <x v="43"/>
    <n v="1"/>
    <x v="0"/>
    <x v="4"/>
    <n v="1"/>
    <n v="200000000"/>
    <m/>
    <m/>
    <m/>
    <m/>
    <s v="단일설비"/>
    <n v="1"/>
    <n v="0"/>
    <n v="1"/>
    <n v="1"/>
    <m/>
    <m/>
    <x v="1"/>
    <m/>
    <m/>
    <m/>
    <m/>
    <m/>
    <m/>
  </r>
  <r>
    <s v="구미"/>
    <x v="1"/>
    <x v="44"/>
    <n v="9"/>
    <x v="5"/>
    <x v="10"/>
    <n v="1"/>
    <n v="60000000"/>
    <m/>
    <m/>
    <m/>
    <m/>
    <s v="DI 1대, ILB 2대, PQC 2대"/>
    <n v="5"/>
    <n v="4"/>
    <n v="1"/>
    <n v="5"/>
    <m/>
    <m/>
    <x v="1"/>
    <m/>
    <m/>
    <m/>
    <m/>
    <m/>
    <m/>
  </r>
  <r>
    <s v="구미"/>
    <x v="1"/>
    <x v="45"/>
    <n v="19"/>
    <x v="5"/>
    <x v="11"/>
    <m/>
    <m/>
    <m/>
    <m/>
    <m/>
    <m/>
    <m/>
    <n v="5"/>
    <n v="5"/>
    <n v="0"/>
    <n v="14"/>
    <m/>
    <m/>
    <x v="1"/>
    <m/>
    <m/>
    <m/>
    <m/>
    <m/>
    <m/>
  </r>
  <r>
    <s v="구미"/>
    <x v="1"/>
    <x v="46"/>
    <n v="1"/>
    <x v="0"/>
    <x v="4"/>
    <n v="1"/>
    <n v="100000000"/>
    <m/>
    <m/>
    <m/>
    <m/>
    <m/>
    <n v="1"/>
    <n v="0"/>
    <n v="1"/>
    <n v="1"/>
    <m/>
    <m/>
    <x v="1"/>
    <m/>
    <m/>
    <m/>
    <m/>
    <m/>
    <m/>
  </r>
  <r>
    <s v="구미"/>
    <x v="1"/>
    <x v="47"/>
    <n v="1"/>
    <x v="0"/>
    <x v="4"/>
    <n v="1"/>
    <n v="100000000"/>
    <m/>
    <m/>
    <m/>
    <m/>
    <m/>
    <n v="1"/>
    <n v="0"/>
    <n v="1"/>
    <n v="1"/>
    <m/>
    <m/>
    <x v="1"/>
    <m/>
    <m/>
    <m/>
    <m/>
    <m/>
    <m/>
  </r>
  <r>
    <s v="구미"/>
    <x v="1"/>
    <x v="48"/>
    <n v="1"/>
    <x v="3"/>
    <x v="4"/>
    <m/>
    <m/>
    <m/>
    <m/>
    <m/>
    <m/>
    <m/>
    <n v="0"/>
    <n v="0"/>
    <n v="0"/>
    <n v="1"/>
    <m/>
    <m/>
    <x v="1"/>
    <m/>
    <m/>
    <m/>
    <m/>
    <m/>
    <m/>
  </r>
  <r>
    <s v="구미"/>
    <x v="1"/>
    <x v="49"/>
    <n v="3"/>
    <x v="0"/>
    <x v="0"/>
    <m/>
    <m/>
    <m/>
    <m/>
    <m/>
    <m/>
    <m/>
    <n v="1"/>
    <n v="1"/>
    <n v="0"/>
    <n v="2"/>
    <m/>
    <m/>
    <x v="1"/>
    <m/>
    <m/>
    <m/>
    <m/>
    <m/>
    <m/>
  </r>
  <r>
    <s v="구미"/>
    <x v="1"/>
    <x v="50"/>
    <n v="1"/>
    <x v="0"/>
    <x v="4"/>
    <n v="1"/>
    <n v="10000000"/>
    <m/>
    <m/>
    <m/>
    <m/>
    <m/>
    <n v="1"/>
    <n v="0"/>
    <n v="1"/>
    <n v="1"/>
    <m/>
    <m/>
    <x v="1"/>
    <m/>
    <m/>
    <m/>
    <m/>
    <m/>
    <m/>
  </r>
  <r>
    <s v="구미"/>
    <x v="1"/>
    <x v="51"/>
    <n v="3"/>
    <x v="1"/>
    <x v="3"/>
    <n v="1"/>
    <n v="10000000"/>
    <m/>
    <m/>
    <m/>
    <m/>
    <m/>
    <n v="3"/>
    <n v="2"/>
    <n v="1"/>
    <n v="1"/>
    <m/>
    <m/>
    <x v="1"/>
    <m/>
    <m/>
    <m/>
    <m/>
    <m/>
    <m/>
  </r>
  <r>
    <s v="평택"/>
    <x v="2"/>
    <x v="22"/>
    <n v="1"/>
    <x v="0"/>
    <x v="4"/>
    <n v="1"/>
    <n v="500000000"/>
    <m/>
    <m/>
    <m/>
    <m/>
    <s v="장비 투자 _ DDI (2F), NDDI (5F) 층 구분 후 1대씩 운영 중, 여유 장비 없음"/>
    <n v="1"/>
    <n v="0"/>
    <n v="1"/>
    <n v="1"/>
    <s v="투자필요"/>
    <m/>
    <x v="1"/>
    <m/>
    <m/>
    <m/>
    <m/>
    <m/>
    <m/>
  </r>
  <r>
    <s v="평택"/>
    <x v="2"/>
    <x v="23"/>
    <n v="5"/>
    <x v="10"/>
    <x v="4"/>
    <n v="1"/>
    <n v="2000000000"/>
    <n v="1"/>
    <n v="1"/>
    <m/>
    <m/>
    <s v="평택 안성 합산 총 3대 필요"/>
    <n v="3"/>
    <n v="1"/>
    <n v="1"/>
    <n v="4"/>
    <s v="평가 필요"/>
    <m/>
    <x v="1"/>
    <m/>
    <m/>
    <m/>
    <m/>
    <m/>
    <m/>
  </r>
  <r>
    <s v="평택"/>
    <x v="2"/>
    <x v="24"/>
    <n v="3"/>
    <x v="0"/>
    <x v="4"/>
    <n v="1"/>
    <n v="1000000000"/>
    <n v="1"/>
    <n v="1"/>
    <m/>
    <m/>
    <m/>
    <n v="2"/>
    <n v="1"/>
    <n v="1"/>
    <n v="2"/>
    <s v="평가 필요"/>
    <m/>
    <x v="1"/>
    <m/>
    <m/>
    <m/>
    <m/>
    <m/>
    <m/>
  </r>
  <r>
    <s v="평택"/>
    <x v="2"/>
    <x v="28"/>
    <n v="25"/>
    <x v="11"/>
    <x v="4"/>
    <m/>
    <m/>
    <n v="7"/>
    <m/>
    <m/>
    <m/>
    <s v="구미공장 장비 활용"/>
    <n v="14"/>
    <n v="0"/>
    <n v="0"/>
    <n v="25"/>
    <m/>
    <m/>
    <x v="1"/>
    <m/>
    <m/>
    <m/>
    <m/>
    <m/>
    <m/>
  </r>
  <r>
    <s v="평택"/>
    <x v="2"/>
    <x v="30"/>
    <n v="2"/>
    <x v="0"/>
    <x v="4"/>
    <m/>
    <m/>
    <n v="1"/>
    <n v="1"/>
    <m/>
    <n v="150000000"/>
    <s v="구미공장 장비 활용"/>
    <n v="2"/>
    <n v="1"/>
    <n v="0"/>
    <n v="1"/>
    <s v="평가 필요"/>
    <m/>
    <x v="1"/>
    <m/>
    <m/>
    <m/>
    <m/>
    <m/>
    <m/>
  </r>
  <r>
    <s v="평택"/>
    <x v="2"/>
    <x v="52"/>
    <n v="23"/>
    <x v="11"/>
    <x v="12"/>
    <m/>
    <m/>
    <n v="6"/>
    <n v="6"/>
    <m/>
    <m/>
    <s v="Normal P&amp;P 총 13대 이설"/>
    <n v="13"/>
    <n v="13"/>
    <n v="0"/>
    <n v="10"/>
    <m/>
    <s v="PnP #02, #06, #07, #08, #09, #10, #23,#17, #18, #19, #24, #25, #26"/>
    <x v="0"/>
    <m/>
    <m/>
    <m/>
    <m/>
    <m/>
    <s v="#02, #06 Maker 대응 불가 &amp; Part 단종품 다수 &amp; 다수 Part 지속 Fail로 Repair 사용 중_x000a_이전 시, 특정 Device (SW80004) 대응 불가 / 내부 자재 대응 불가_x000a_#07~#23 Place 정밀도 떨어짐, 국내 Maker 존재하나 대응 속도 떨어짐 / 국내 시장 한정 장비_x000a_#17~#26 국내 Maker 존재하나 대응 속도 떨어짐 / 국내 시장 한정 장비 /  내부 자재 대응 불가_x000a_이전 시, 특정 Device (SW80004) 대응 불가 "/>
  </r>
  <r>
    <s v="평택"/>
    <x v="2"/>
    <x v="14"/>
    <n v="13"/>
    <x v="5"/>
    <x v="11"/>
    <m/>
    <m/>
    <n v="5"/>
    <n v="5"/>
    <m/>
    <m/>
    <m/>
    <n v="10"/>
    <n v="10"/>
    <n v="0"/>
    <n v="3"/>
    <m/>
    <s v="AVI #14, #15,#16, #18, #19,#08, #09, #10, #11, #12"/>
    <x v="0"/>
    <m/>
    <m/>
    <m/>
    <m/>
    <m/>
    <s v="단종 장비이며, Maker 대응 불가, Pick &amp; Place 정밀도 저하, 일부 Part 수급 불가, 내부 자재 대응 불가"/>
  </r>
  <r>
    <s v="평택"/>
    <x v="2"/>
    <x v="53"/>
    <n v="1"/>
    <x v="0"/>
    <x v="4"/>
    <n v="1"/>
    <n v="7000000"/>
    <m/>
    <m/>
    <m/>
    <m/>
    <s v="단수 장비 ※ 밴딩기 2대 포함(700만원/대)"/>
    <n v="1"/>
    <n v="0"/>
    <n v="1"/>
    <n v="1"/>
    <s v="투자필요"/>
    <m/>
    <x v="1"/>
    <m/>
    <m/>
    <m/>
    <m/>
    <m/>
    <m/>
  </r>
  <r>
    <s v="평택"/>
    <x v="2"/>
    <x v="43"/>
    <n v="1"/>
    <x v="0"/>
    <x v="4"/>
    <n v="1"/>
    <n v="200000000"/>
    <m/>
    <m/>
    <m/>
    <m/>
    <s v="단수 장비"/>
    <n v="1"/>
    <n v="0"/>
    <n v="1"/>
    <n v="1"/>
    <s v="투자필요"/>
    <m/>
    <x v="1"/>
    <m/>
    <m/>
    <m/>
    <m/>
    <m/>
    <m/>
  </r>
  <r>
    <s v="평택"/>
    <x v="2"/>
    <x v="54"/>
    <n v="1"/>
    <x v="0"/>
    <x v="4"/>
    <n v="1"/>
    <n v="80000000"/>
    <m/>
    <m/>
    <m/>
    <m/>
    <m/>
    <n v="1"/>
    <n v="0"/>
    <n v="1"/>
    <n v="1"/>
    <s v="투자필요"/>
    <m/>
    <x v="1"/>
    <m/>
    <m/>
    <m/>
    <m/>
    <m/>
    <m/>
  </r>
  <r>
    <s v="평택"/>
    <x v="2"/>
    <x v="44"/>
    <n v="2"/>
    <x v="10"/>
    <x v="4"/>
    <n v="2"/>
    <n v="120000000"/>
    <m/>
    <m/>
    <m/>
    <m/>
    <s v="이설 여유 없음"/>
    <n v="2"/>
    <n v="0"/>
    <n v="2"/>
    <n v="2"/>
    <s v="투자필요"/>
    <m/>
    <x v="1"/>
    <m/>
    <m/>
    <m/>
    <m/>
    <m/>
    <m/>
  </r>
  <r>
    <s v="안성"/>
    <x v="3"/>
    <x v="55"/>
    <m/>
    <x v="1"/>
    <x v="2"/>
    <m/>
    <m/>
    <n v="2"/>
    <n v="2"/>
    <m/>
    <m/>
    <m/>
    <n v="5"/>
    <n v="5"/>
    <n v="0"/>
    <n v="-5"/>
    <m/>
    <s v="AT23,AT25,AT28,AT30,AT37 (Prober 포함)"/>
    <x v="5"/>
    <m/>
    <m/>
    <m/>
    <m/>
    <m/>
    <s v="안성 1공장 Close 진행 시 해체 후 해체 상태로 보관 중"/>
  </r>
  <r>
    <s v="안성"/>
    <x v="3"/>
    <x v="56"/>
    <m/>
    <x v="4"/>
    <x v="4"/>
    <m/>
    <m/>
    <n v="6"/>
    <m/>
    <m/>
    <m/>
    <s v="ND4 제외 계획"/>
    <n v="14"/>
    <n v="0"/>
    <n v="0"/>
    <n v="0"/>
    <m/>
    <m/>
    <x v="1"/>
    <m/>
    <m/>
    <m/>
    <m/>
    <m/>
    <m/>
  </r>
  <r>
    <s v="안성"/>
    <x v="3"/>
    <x v="57"/>
    <m/>
    <x v="2"/>
    <x v="4"/>
    <m/>
    <m/>
    <n v="2"/>
    <m/>
    <m/>
    <m/>
    <s v="ND4 제외 계획"/>
    <n v="6"/>
    <n v="0"/>
    <n v="0"/>
    <n v="0"/>
    <m/>
    <m/>
    <x v="1"/>
    <m/>
    <m/>
    <m/>
    <m/>
    <m/>
    <m/>
  </r>
  <r>
    <s v="구미"/>
    <x v="3"/>
    <x v="55"/>
    <n v="6"/>
    <x v="10"/>
    <x v="3"/>
    <m/>
    <m/>
    <n v="2"/>
    <n v="2"/>
    <m/>
    <m/>
    <m/>
    <n v="4"/>
    <n v="4"/>
    <n v="0"/>
    <n v="2"/>
    <m/>
    <s v="DPT-02,20,16,14 (Prober 포함)"/>
    <x v="1"/>
    <m/>
    <m/>
    <m/>
    <m/>
    <m/>
    <m/>
  </r>
  <r>
    <s v="구미"/>
    <x v="3"/>
    <x v="56"/>
    <n v="18"/>
    <x v="0"/>
    <x v="0"/>
    <m/>
    <m/>
    <n v="1"/>
    <n v="1"/>
    <m/>
    <m/>
    <m/>
    <n v="2"/>
    <n v="2"/>
    <n v="0"/>
    <n v="16"/>
    <m/>
    <s v="DPT-44,34_ND4C"/>
    <x v="1"/>
    <m/>
    <m/>
    <m/>
    <m/>
    <m/>
    <m/>
  </r>
  <r>
    <s v="구미"/>
    <x v="4"/>
    <x v="55"/>
    <n v="32"/>
    <x v="9"/>
    <x v="9"/>
    <m/>
    <m/>
    <n v="6"/>
    <n v="6"/>
    <m/>
    <m/>
    <m/>
    <n v="17"/>
    <n v="17"/>
    <n v="0"/>
    <n v="15"/>
    <m/>
    <s v="PFT-44,42,41,40,39,38,37,36,35,34,29,11,74,45,54,55,57  (Handler 포함)"/>
    <x v="5"/>
    <m/>
    <m/>
    <m/>
    <m/>
    <m/>
    <m/>
  </r>
  <r>
    <s v="구미"/>
    <x v="4"/>
    <x v="58"/>
    <n v="5"/>
    <x v="0"/>
    <x v="4"/>
    <m/>
    <m/>
    <m/>
    <m/>
    <m/>
    <m/>
    <m/>
    <n v="1"/>
    <n v="0"/>
    <n v="0"/>
    <n v="5"/>
    <m/>
    <s v="PFT-51 (Handler 포함)"/>
    <x v="5"/>
    <m/>
    <m/>
    <m/>
    <m/>
    <m/>
    <m/>
  </r>
  <r>
    <s v="구미"/>
    <x v="4"/>
    <x v="59"/>
    <n v="14"/>
    <x v="1"/>
    <x v="2"/>
    <m/>
    <m/>
    <n v="1"/>
    <n v="1"/>
    <m/>
    <m/>
    <m/>
    <n v="4"/>
    <n v="4"/>
    <n v="0"/>
    <n v="10"/>
    <m/>
    <s v="PAV-01,02,03,06"/>
    <x v="5"/>
    <m/>
    <m/>
    <m/>
    <m/>
    <m/>
    <m/>
  </r>
  <r>
    <s v="구미"/>
    <x v="4"/>
    <x v="60"/>
    <n v="11"/>
    <x v="6"/>
    <x v="6"/>
    <m/>
    <m/>
    <n v="3"/>
    <n v="3"/>
    <m/>
    <m/>
    <m/>
    <n v="9"/>
    <n v="9"/>
    <n v="0"/>
    <n v="2"/>
    <m/>
    <s v="PAV-21,22,23,24,25,26,27,28,20"/>
    <x v="5"/>
    <m/>
    <m/>
    <m/>
    <m/>
    <m/>
    <m/>
  </r>
  <r>
    <s v="구미"/>
    <x v="4"/>
    <x v="53"/>
    <m/>
    <x v="3"/>
    <x v="4"/>
    <m/>
    <m/>
    <m/>
    <m/>
    <m/>
    <m/>
    <m/>
    <n v="0"/>
    <n v="0"/>
    <n v="0"/>
    <n v="0"/>
    <m/>
    <m/>
    <x v="1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  <n v="1"/>
    <m/>
    <x v="0"/>
    <x v="0"/>
    <m/>
    <n v="0"/>
    <s v="평택"/>
    <x v="0"/>
    <x v="0"/>
    <x v="0"/>
    <n v="1"/>
    <n v="1"/>
    <n v="0"/>
    <n v="0"/>
    <n v="0"/>
    <n v="0"/>
    <n v="0"/>
    <n v="0"/>
    <s v="이설 대상 장비 : 4호기"/>
    <x v="0"/>
    <x v="0"/>
    <n v="0"/>
    <n v="0"/>
    <n v="0"/>
    <n v="3"/>
    <m/>
    <s v="SCR #7"/>
    <x v="0"/>
    <m/>
    <m/>
    <m/>
    <s v="O"/>
    <m/>
    <s v="- 연식 30년된 장비로 공용 소모성 Parts 제외 대부분 Part 단종이나 국산화 대응_x000a__x000a_- 국내 Agency 업체 일부 대응 가능"/>
  </r>
  <r>
    <x v="0"/>
    <n v="1"/>
    <n v="1"/>
    <x v="1"/>
    <x v="0"/>
    <m/>
    <n v="0"/>
    <s v="평택"/>
    <x v="0"/>
    <x v="1"/>
    <x v="1"/>
    <n v="1"/>
    <n v="1"/>
    <n v="0"/>
    <n v="0"/>
    <n v="1"/>
    <n v="1"/>
    <n v="0"/>
    <n v="0"/>
    <s v="이설 대상 장비 : 4,5,6호기 중 2대"/>
    <x v="1"/>
    <x v="1"/>
    <n v="0"/>
    <n v="0"/>
    <n v="0"/>
    <n v="1"/>
    <m/>
    <s v="SPU #6,04"/>
    <x v="0"/>
    <m/>
    <m/>
    <m/>
    <m/>
    <m/>
    <s v="- 장비 외관 및 내부 상태 양호하나 Cluster Type 장비로 해체 후 조립 _x000a_시 동작 불량에 대한 Risk 는 존재함_x000a_- Global 판매 장비로 중국 Site 내 Trouble Shoot Surpplier Chain 검토 필요"/>
  </r>
  <r>
    <x v="0"/>
    <n v="1"/>
    <m/>
    <x v="0"/>
    <x v="1"/>
    <n v="1000000000"/>
    <n v="1000000000"/>
    <s v="평택"/>
    <x v="0"/>
    <x v="2"/>
    <x v="2"/>
    <n v="1"/>
    <n v="0"/>
    <n v="1"/>
    <n v="900000000"/>
    <n v="0"/>
    <n v="0"/>
    <n v="0"/>
    <n v="0"/>
    <s v="장비 중고 투자 : TEL"/>
    <x v="0"/>
    <x v="2"/>
    <n v="1"/>
    <n v="900000000"/>
    <n v="900000000"/>
    <n v="2"/>
    <s v="투자필요"/>
    <m/>
    <x v="1"/>
    <m/>
    <m/>
    <m/>
    <m/>
    <m/>
    <m/>
  </r>
  <r>
    <x v="0"/>
    <n v="1"/>
    <m/>
    <x v="0"/>
    <x v="1"/>
    <n v="3000000000"/>
    <n v="3000000000"/>
    <s v="평택"/>
    <x v="0"/>
    <x v="3"/>
    <x v="2"/>
    <n v="1"/>
    <n v="0"/>
    <n v="1"/>
    <n v="3500000000"/>
    <n v="1"/>
    <n v="1"/>
    <n v="0"/>
    <n v="0"/>
    <s v="장비 신규 투자 : ORC"/>
    <x v="1"/>
    <x v="0"/>
    <n v="1"/>
    <n v="3500000000"/>
    <n v="3500000000"/>
    <n v="1"/>
    <s v="1대투자"/>
    <s v="STP#01"/>
    <x v="0"/>
    <m/>
    <m/>
    <m/>
    <m/>
    <m/>
    <s v="- 조명계통 노화로 Lens Overhaul 필요 상태이며,  다수 Part's 단종 및 제작품으로  중요 Part 공급 어려움_x000a_  → 검사 장비로 중요 Part 관리되지 않을경우 검출력 저하 등 문제 발생"/>
  </r>
  <r>
    <x v="0"/>
    <n v="2"/>
    <m/>
    <x v="1"/>
    <x v="0"/>
    <m/>
    <n v="0"/>
    <s v="평택"/>
    <x v="0"/>
    <x v="4"/>
    <x v="0"/>
    <n v="1"/>
    <n v="0"/>
    <n v="1"/>
    <n v="900000000"/>
    <n v="1"/>
    <n v="1"/>
    <n v="0"/>
    <n v="0"/>
    <s v="장비 중고 투자 : TEL"/>
    <x v="1"/>
    <x v="0"/>
    <n v="1"/>
    <n v="900000000"/>
    <n v="900000000"/>
    <n v="3"/>
    <s v="1대투자"/>
    <s v="DEV#11"/>
    <x v="0"/>
    <m/>
    <m/>
    <m/>
    <m/>
    <m/>
    <s v="- 장비 내/외부 부식_x000a_  → 장비 이설 전 Overhaul 필요_x000a_- Global 판매 장비로 중국 Site 내 Trouble Shoot Surpplier Chain 검토 필요"/>
  </r>
  <r>
    <x v="0"/>
    <n v="1"/>
    <m/>
    <x v="0"/>
    <x v="0"/>
    <m/>
    <n v="0"/>
    <s v="평택"/>
    <x v="0"/>
    <x v="5"/>
    <x v="2"/>
    <n v="1"/>
    <n v="0"/>
    <n v="1"/>
    <n v="1400000000"/>
    <n v="0"/>
    <n v="0"/>
    <n v="0"/>
    <n v="0"/>
    <s v="장비 신규 투자 : PSK"/>
    <x v="0"/>
    <x v="2"/>
    <n v="1"/>
    <n v="1400000000"/>
    <n v="1400000000"/>
    <n v="2"/>
    <s v="투자필요"/>
    <m/>
    <x v="1"/>
    <m/>
    <m/>
    <m/>
    <m/>
    <m/>
    <m/>
  </r>
  <r>
    <x v="0"/>
    <n v="3"/>
    <n v="3"/>
    <x v="2"/>
    <x v="0"/>
    <m/>
    <n v="0"/>
    <s v="평택"/>
    <x v="0"/>
    <x v="6"/>
    <x v="3"/>
    <n v="3"/>
    <n v="3"/>
    <n v="0"/>
    <n v="0"/>
    <n v="3"/>
    <n v="3"/>
    <n v="0"/>
    <n v="0"/>
    <s v="이설 대상 장비 (1차) : 3대, (2차) : 3대"/>
    <x v="2"/>
    <x v="3"/>
    <n v="0"/>
    <n v="0"/>
    <n v="0"/>
    <n v="5"/>
    <m/>
    <s v="AUP #5,7,11,3,4,12"/>
    <x v="0"/>
    <m/>
    <m/>
    <m/>
    <m/>
    <m/>
    <s v="- 장비 외관 일정 수준 양호하나, 내/외부 부식 심함_x000a_   → Bath 주변 Frame 부식에 의한 파손 및 Leak 有_x000a_- 공압계통 Line 부식에 따른 전체 배관 교체 필요_x000a_- Aup3,4 2022년 Contol Tower 교체되어 해당 부분은 상급 Part 임"/>
  </r>
  <r>
    <x v="0"/>
    <n v="1"/>
    <m/>
    <x v="0"/>
    <x v="0"/>
    <m/>
    <n v="0"/>
    <s v="평택"/>
    <x v="0"/>
    <x v="7"/>
    <x v="1"/>
    <n v="1"/>
    <n v="1"/>
    <n v="0"/>
    <n v="0"/>
    <n v="1"/>
    <n v="1"/>
    <n v="0"/>
    <n v="0"/>
    <s v="이설 대상 장비 P3 보관 중, 2차 이설은 3호기 1대"/>
    <x v="1"/>
    <x v="1"/>
    <n v="0"/>
    <n v="0"/>
    <n v="0"/>
    <n v="1"/>
    <s v="호기 없음"/>
    <s v="-"/>
    <x v="2"/>
    <m/>
    <m/>
    <m/>
    <m/>
    <m/>
    <s v="- 2001년 제작 장비로 장비 내/외부 부식 심각_x000a_  → Leak 심각 수준으로 폐기 처리 예정"/>
  </r>
  <r>
    <x v="0"/>
    <n v="1"/>
    <m/>
    <x v="0"/>
    <x v="1"/>
    <n v="600000000"/>
    <n v="600000000"/>
    <s v="평택"/>
    <x v="0"/>
    <x v="8"/>
    <x v="2"/>
    <n v="1"/>
    <n v="0"/>
    <n v="1"/>
    <n v="800000000"/>
    <n v="0"/>
    <n v="0"/>
    <n v="0"/>
    <n v="0"/>
    <s v="장비 신규 투자 : INNOMAX (Au TiW BP 1set)"/>
    <x v="0"/>
    <x v="2"/>
    <n v="1"/>
    <n v="800000000"/>
    <n v="800000000"/>
    <n v="2"/>
    <m/>
    <m/>
    <x v="2"/>
    <m/>
    <m/>
    <m/>
    <m/>
    <m/>
    <s v="- 2001년 제작 장비로 장비 내/외부 부식 심각_x000a_  → Leak 심각 수준으로 폐기 처리 예정"/>
  </r>
  <r>
    <x v="0"/>
    <m/>
    <m/>
    <x v="3"/>
    <x v="0"/>
    <m/>
    <n v="0"/>
    <s v="평택"/>
    <x v="0"/>
    <x v="9"/>
    <x v="2"/>
    <n v="1"/>
    <n v="0"/>
    <n v="1"/>
    <n v="0"/>
    <n v="0"/>
    <n v="0"/>
    <n v="0"/>
    <n v="0"/>
    <s v="INNOMAX (Au TiW BP 1set) _ Au Etch 투자 가격 포함"/>
    <x v="0"/>
    <x v="2"/>
    <n v="1"/>
    <n v="0"/>
    <n v="0"/>
    <n v="2"/>
    <m/>
    <m/>
    <x v="2"/>
    <m/>
    <m/>
    <m/>
    <m/>
    <m/>
    <s v="- 2001년 제작 장비로 장비 내/외부 부식 심각_x000a_  → Leak 심각 수준으로 폐기 처리 예정"/>
  </r>
  <r>
    <x v="0"/>
    <n v="1"/>
    <m/>
    <x v="0"/>
    <x v="0"/>
    <m/>
    <n v="0"/>
    <s v="평택"/>
    <x v="0"/>
    <x v="10"/>
    <x v="0"/>
    <n v="3"/>
    <n v="2"/>
    <n v="0"/>
    <n v="0"/>
    <n v="1"/>
    <n v="1"/>
    <n v="0"/>
    <n v="0"/>
    <s v="이설 대상 장비 : 4호기"/>
    <x v="3"/>
    <x v="4"/>
    <n v="0"/>
    <n v="0"/>
    <n v="0"/>
    <n v="1"/>
    <m/>
    <s v="ANN #5,6,4"/>
    <x v="0"/>
    <m/>
    <m/>
    <m/>
    <m/>
    <m/>
    <s v="- 신규 장비이나 가공 Part's 에 대한 공급은 어려움_x000a_-ANN#4 장비 내/외관 부식, 서비스 없체 없음"/>
  </r>
  <r>
    <x v="1"/>
    <n v="1"/>
    <m/>
    <x v="0"/>
    <x v="1"/>
    <n v="500000000"/>
    <n v="500000000"/>
    <s v="평택"/>
    <x v="0"/>
    <x v="11"/>
    <x v="0"/>
    <n v="1"/>
    <n v="0"/>
    <n v="1"/>
    <n v="500000000"/>
    <n v="1"/>
    <n v="0"/>
    <n v="1"/>
    <n v="500000000"/>
    <s v="계측기 신규 투자 : KOVIS 3D 측정기기"/>
    <x v="1"/>
    <x v="2"/>
    <n v="2"/>
    <n v="1000000000"/>
    <n v="500000000"/>
    <n v="4"/>
    <s v="투자필요"/>
    <m/>
    <x v="1"/>
    <m/>
    <m/>
    <m/>
    <m/>
    <m/>
    <m/>
  </r>
  <r>
    <x v="1"/>
    <m/>
    <m/>
    <x v="3"/>
    <x v="0"/>
    <m/>
    <n v="0"/>
    <s v="평택"/>
    <x v="0"/>
    <x v="12"/>
    <x v="4"/>
    <n v="1"/>
    <n v="0"/>
    <n v="1"/>
    <n v="50000000"/>
    <n v="0"/>
    <n v="0"/>
    <n v="0"/>
    <n v="0"/>
    <s v="계측기 신규 투자 : KOVIS _ Manual"/>
    <x v="0"/>
    <x v="2"/>
    <n v="1"/>
    <n v="50000000"/>
    <n v="50000000"/>
    <n v="1"/>
    <s v="투자필요"/>
    <m/>
    <x v="1"/>
    <m/>
    <m/>
    <m/>
    <m/>
    <m/>
    <m/>
  </r>
  <r>
    <x v="1"/>
    <m/>
    <m/>
    <x v="3"/>
    <x v="0"/>
    <m/>
    <n v="0"/>
    <s v="평택"/>
    <x v="0"/>
    <x v="13"/>
    <x v="2"/>
    <n v="1"/>
    <n v="1"/>
    <n v="0"/>
    <n v="0"/>
    <n v="0"/>
    <n v="0"/>
    <n v="0"/>
    <n v="0"/>
    <m/>
    <x v="0"/>
    <x v="0"/>
    <n v="0"/>
    <n v="0"/>
    <n v="0"/>
    <n v="1"/>
    <m/>
    <s v="HAR #3"/>
    <x v="3"/>
    <m/>
    <m/>
    <m/>
    <m/>
    <m/>
    <s v="- 장비 외관 상태 양호하며, 자체적으로 기본적인 Maintenance 가능_x000a_- 내부 Parts (압좌 및 Spring) Fail 시 국내 Agency 대응 필요"/>
  </r>
  <r>
    <x v="1"/>
    <n v="3"/>
    <n v="1"/>
    <x v="4"/>
    <x v="0"/>
    <m/>
    <n v="0"/>
    <s v="평택"/>
    <x v="0"/>
    <x v="14"/>
    <x v="5"/>
    <n v="3"/>
    <n v="3"/>
    <n v="0"/>
    <n v="0"/>
    <n v="2"/>
    <n v="2"/>
    <n v="0"/>
    <n v="0"/>
    <s v="이설 대상에 Falcon(구형 모델) 우선 포함"/>
    <x v="4"/>
    <x v="5"/>
    <n v="0"/>
    <n v="0"/>
    <n v="0"/>
    <n v="4"/>
    <m/>
    <s v="AVI #5,7,8,2,3"/>
    <x v="0"/>
    <m/>
    <m/>
    <m/>
    <m/>
    <m/>
    <s v="- 장비 상태 양호하나 Maker Part's 단종에 따른 중요 Part 공급 불가_x000a_  → 검사 장비로 중요 Part 관리되지 않을경우 검출력 저하 등 문제 발생"/>
  </r>
  <r>
    <x v="1"/>
    <n v="5"/>
    <m/>
    <x v="5"/>
    <x v="1"/>
    <n v="80000000"/>
    <n v="400000000"/>
    <s v="평택"/>
    <x v="0"/>
    <x v="15"/>
    <x v="3"/>
    <n v="4"/>
    <n v="0"/>
    <n v="4"/>
    <n v="320000000"/>
    <n v="2"/>
    <n v="0"/>
    <n v="2"/>
    <n v="160000000"/>
    <s v="AJO"/>
    <x v="2"/>
    <x v="2"/>
    <n v="6"/>
    <n v="480000000"/>
    <n v="320000000"/>
    <n v="11"/>
    <s v="투자필요"/>
    <m/>
    <x v="1"/>
    <m/>
    <m/>
    <m/>
    <m/>
    <m/>
    <m/>
  </r>
  <r>
    <x v="1"/>
    <n v="1"/>
    <m/>
    <x v="0"/>
    <x v="1"/>
    <n v="60000000"/>
    <n v="60000000"/>
    <s v="평택"/>
    <x v="0"/>
    <x v="16"/>
    <x v="4"/>
    <n v="1"/>
    <n v="0"/>
    <n v="1"/>
    <n v="80000000"/>
    <n v="0"/>
    <n v="0"/>
    <n v="0"/>
    <n v="0"/>
    <s v="계측기 신규 투자"/>
    <x v="0"/>
    <x v="2"/>
    <n v="1"/>
    <n v="80000000"/>
    <n v="80000000"/>
    <n v="1"/>
    <s v="투자필요"/>
    <m/>
    <x v="1"/>
    <m/>
    <m/>
    <m/>
    <m/>
    <m/>
    <m/>
  </r>
  <r>
    <x v="1"/>
    <n v="1"/>
    <m/>
    <x v="0"/>
    <x v="1"/>
    <n v="69000000"/>
    <n v="69000000"/>
    <s v="평택"/>
    <x v="0"/>
    <x v="17"/>
    <x v="4"/>
    <n v="1"/>
    <n v="0"/>
    <n v="1"/>
    <n v="60000000"/>
    <n v="0"/>
    <n v="0"/>
    <n v="0"/>
    <n v="0"/>
    <s v="계측기 신규 투자"/>
    <x v="0"/>
    <x v="2"/>
    <n v="1"/>
    <n v="60000000"/>
    <n v="60000000"/>
    <n v="1"/>
    <s v="투자필요"/>
    <m/>
    <x v="1"/>
    <m/>
    <m/>
    <m/>
    <m/>
    <m/>
    <m/>
  </r>
  <r>
    <x v="1"/>
    <n v="1"/>
    <m/>
    <x v="0"/>
    <x v="1"/>
    <n v="290000000"/>
    <n v="290000000"/>
    <s v="평택"/>
    <x v="0"/>
    <x v="18"/>
    <x v="4"/>
    <n v="1"/>
    <n v="0"/>
    <n v="1"/>
    <n v="230000000"/>
    <n v="0"/>
    <n v="0"/>
    <n v="0"/>
    <n v="0"/>
    <s v="계측기 신규 투자"/>
    <x v="0"/>
    <x v="2"/>
    <n v="1"/>
    <n v="230000000"/>
    <n v="230000000"/>
    <n v="1"/>
    <s v="투자필요"/>
    <m/>
    <x v="1"/>
    <m/>
    <m/>
    <m/>
    <m/>
    <m/>
    <m/>
  </r>
  <r>
    <x v="2"/>
    <n v="1"/>
    <m/>
    <x v="0"/>
    <x v="1"/>
    <n v="250000000"/>
    <n v="250000000"/>
    <s v="평택"/>
    <x v="0"/>
    <x v="19"/>
    <x v="1"/>
    <n v="1"/>
    <n v="0"/>
    <n v="1"/>
    <n v="150000000"/>
    <n v="0"/>
    <n v="0"/>
    <n v="0"/>
    <n v="0"/>
    <s v="계측기 신규 투자"/>
    <x v="0"/>
    <x v="2"/>
    <n v="1"/>
    <n v="150000000"/>
    <n v="150000000"/>
    <n v="3"/>
    <s v="투자필요"/>
    <m/>
    <x v="1"/>
    <m/>
    <m/>
    <m/>
    <m/>
    <m/>
    <m/>
  </r>
  <r>
    <x v="2"/>
    <m/>
    <m/>
    <x v="3"/>
    <x v="0"/>
    <m/>
    <n v="0"/>
    <s v="평택"/>
    <x v="0"/>
    <x v="20"/>
    <x v="4"/>
    <n v="1"/>
    <n v="0"/>
    <n v="1"/>
    <n v="0"/>
    <n v="0"/>
    <n v="0"/>
    <n v="0"/>
    <n v="0"/>
    <s v="INNOMAX (Au TiW BP 1set) _ Au Etch 투자 가격 포함"/>
    <x v="0"/>
    <x v="2"/>
    <n v="1"/>
    <n v="0"/>
    <n v="0"/>
    <n v="1"/>
    <s v="투자필요"/>
    <m/>
    <x v="1"/>
    <m/>
    <m/>
    <m/>
    <m/>
    <m/>
    <m/>
  </r>
  <r>
    <x v="2"/>
    <n v="1"/>
    <m/>
    <x v="0"/>
    <x v="0"/>
    <m/>
    <n v="0"/>
    <s v="평택"/>
    <x v="0"/>
    <x v="21"/>
    <x v="4"/>
    <n v="1"/>
    <m/>
    <n v="1"/>
    <n v="150000000"/>
    <n v="0"/>
    <m/>
    <n v="0"/>
    <n v="150000000"/>
    <s v="기타 신규 투자"/>
    <x v="0"/>
    <x v="2"/>
    <n v="1"/>
    <n v="300000000"/>
    <n v="150000000"/>
    <n v="1"/>
    <s v="투자필요"/>
    <m/>
    <x v="1"/>
    <m/>
    <m/>
    <m/>
    <m/>
    <m/>
    <m/>
  </r>
  <r>
    <x v="0"/>
    <m/>
    <m/>
    <x v="3"/>
    <x v="0"/>
    <m/>
    <n v="0"/>
    <s v="구미"/>
    <x v="1"/>
    <x v="22"/>
    <x v="4"/>
    <n v="1"/>
    <m/>
    <m/>
    <m/>
    <m/>
    <m/>
    <m/>
    <m/>
    <s v="COG 공용 사용"/>
    <x v="0"/>
    <x v="2"/>
    <n v="0"/>
    <n v="0"/>
    <n v="0"/>
    <n v="1"/>
    <m/>
    <m/>
    <x v="1"/>
    <m/>
    <m/>
    <m/>
    <m/>
    <m/>
    <m/>
  </r>
  <r>
    <x v="0"/>
    <m/>
    <m/>
    <x v="3"/>
    <x v="0"/>
    <m/>
    <n v="0"/>
    <s v="구미"/>
    <x v="1"/>
    <x v="23"/>
    <x v="2"/>
    <n v="1"/>
    <m/>
    <n v="1"/>
    <n v="2000000000"/>
    <m/>
    <m/>
    <m/>
    <m/>
    <s v="평택 안성 합산 총 3대 필요- COF만 경우 1대"/>
    <x v="0"/>
    <x v="2"/>
    <n v="1"/>
    <n v="2000000000"/>
    <n v="2000000000"/>
    <n v="2"/>
    <s v="투자필요"/>
    <m/>
    <x v="1"/>
    <m/>
    <m/>
    <m/>
    <m/>
    <m/>
    <m/>
  </r>
  <r>
    <x v="0"/>
    <n v="2"/>
    <m/>
    <x v="1"/>
    <x v="0"/>
    <m/>
    <n v="0"/>
    <s v="구미"/>
    <x v="1"/>
    <x v="24"/>
    <x v="2"/>
    <n v="1"/>
    <m/>
    <n v="1"/>
    <n v="1000000000"/>
    <m/>
    <m/>
    <m/>
    <m/>
    <m/>
    <x v="0"/>
    <x v="2"/>
    <n v="1"/>
    <n v="1000000000"/>
    <n v="1000000000"/>
    <n v="2"/>
    <s v="투자필요"/>
    <m/>
    <x v="1"/>
    <m/>
    <m/>
    <m/>
    <m/>
    <m/>
    <m/>
  </r>
  <r>
    <x v="0"/>
    <n v="1"/>
    <m/>
    <x v="0"/>
    <x v="0"/>
    <m/>
    <n v="0"/>
    <s v="구미"/>
    <x v="1"/>
    <x v="25"/>
    <x v="4"/>
    <n v="1"/>
    <m/>
    <n v="1"/>
    <n v="150000000"/>
    <m/>
    <m/>
    <m/>
    <m/>
    <s v="전력반도체 공용 중"/>
    <x v="0"/>
    <x v="2"/>
    <n v="1"/>
    <n v="150000000"/>
    <n v="150000000"/>
    <n v="1"/>
    <s v="투자필요"/>
    <m/>
    <x v="1"/>
    <m/>
    <m/>
    <m/>
    <m/>
    <m/>
    <m/>
  </r>
  <r>
    <x v="0"/>
    <m/>
    <m/>
    <x v="3"/>
    <x v="0"/>
    <m/>
    <n v="0"/>
    <s v="구미"/>
    <x v="1"/>
    <x v="26"/>
    <x v="2"/>
    <n v="1"/>
    <n v="1"/>
    <m/>
    <m/>
    <m/>
    <m/>
    <m/>
    <m/>
    <m/>
    <x v="0"/>
    <x v="0"/>
    <n v="0"/>
    <n v="0"/>
    <n v="0"/>
    <n v="1"/>
    <s v="?"/>
    <m/>
    <x v="1"/>
    <m/>
    <m/>
    <m/>
    <m/>
    <m/>
    <m/>
  </r>
  <r>
    <x v="3"/>
    <m/>
    <m/>
    <x v="3"/>
    <x v="0"/>
    <m/>
    <n v="0"/>
    <s v="구미"/>
    <x v="1"/>
    <x v="27"/>
    <x v="2"/>
    <m/>
    <m/>
    <m/>
    <m/>
    <m/>
    <m/>
    <m/>
    <m/>
    <m/>
    <x v="5"/>
    <x v="2"/>
    <n v="0"/>
    <n v="0"/>
    <n v="0"/>
    <n v="2"/>
    <s v="해당없음"/>
    <m/>
    <x v="1"/>
    <m/>
    <m/>
    <m/>
    <m/>
    <m/>
    <m/>
  </r>
  <r>
    <x v="0"/>
    <n v="10"/>
    <n v="8"/>
    <x v="6"/>
    <x v="0"/>
    <m/>
    <n v="0"/>
    <s v="구미"/>
    <x v="1"/>
    <x v="28"/>
    <x v="6"/>
    <n v="8"/>
    <n v="8"/>
    <m/>
    <m/>
    <n v="4"/>
    <n v="4"/>
    <m/>
    <m/>
    <m/>
    <x v="6"/>
    <x v="6"/>
    <n v="0"/>
    <n v="0"/>
    <n v="0"/>
    <n v="16"/>
    <m/>
    <s v="PSA-02,03,04,06,07,08,09,10,11,12,17,18"/>
    <x v="4"/>
    <m/>
    <m/>
    <m/>
    <m/>
    <m/>
    <m/>
  </r>
  <r>
    <x v="2"/>
    <m/>
    <n v="1"/>
    <x v="0"/>
    <x v="0"/>
    <m/>
    <n v="0"/>
    <s v="구미"/>
    <x v="1"/>
    <x v="29"/>
    <x v="5"/>
    <n v="5"/>
    <n v="3"/>
    <m/>
    <m/>
    <n v="2"/>
    <n v="2"/>
    <m/>
    <m/>
    <s v="1대당 3대 연결 BG,SAW,LGV "/>
    <x v="7"/>
    <x v="5"/>
    <n v="0"/>
    <n v="0"/>
    <n v="0"/>
    <n v="4"/>
    <m/>
    <s v="PCB-01,02,03,4,5"/>
    <x v="4"/>
    <m/>
    <m/>
    <m/>
    <m/>
    <m/>
    <m/>
  </r>
  <r>
    <x v="0"/>
    <n v="1"/>
    <n v="1"/>
    <x v="1"/>
    <x v="0"/>
    <m/>
    <n v="0"/>
    <s v="구미"/>
    <x v="1"/>
    <x v="30"/>
    <x v="4"/>
    <n v="1"/>
    <m/>
    <n v="1"/>
    <n v="150000000"/>
    <m/>
    <m/>
    <m/>
    <m/>
    <s v="단일설비"/>
    <x v="0"/>
    <x v="2"/>
    <n v="1"/>
    <n v="150000000"/>
    <n v="150000000"/>
    <n v="1"/>
    <s v="투자필요"/>
    <m/>
    <x v="1"/>
    <m/>
    <m/>
    <m/>
    <m/>
    <m/>
    <m/>
  </r>
  <r>
    <x v="0"/>
    <n v="6"/>
    <m/>
    <x v="2"/>
    <x v="0"/>
    <m/>
    <n v="0"/>
    <s v="구미"/>
    <x v="1"/>
    <x v="31"/>
    <x v="7"/>
    <n v="6"/>
    <n v="6"/>
    <m/>
    <m/>
    <m/>
    <m/>
    <m/>
    <m/>
    <m/>
    <x v="2"/>
    <x v="3"/>
    <n v="0"/>
    <n v="0"/>
    <n v="0"/>
    <n v="0"/>
    <m/>
    <s v="PIL-10,12,13,19,59,60"/>
    <x v="2"/>
    <m/>
    <m/>
    <m/>
    <m/>
    <m/>
    <s v="장비 외관 및 내부 상태 양호 등"/>
  </r>
  <r>
    <x v="0"/>
    <n v="15"/>
    <n v="2"/>
    <x v="7"/>
    <x v="0"/>
    <m/>
    <n v="0"/>
    <s v="구미"/>
    <x v="1"/>
    <x v="32"/>
    <x v="8"/>
    <n v="8"/>
    <n v="8"/>
    <m/>
    <m/>
    <n v="7"/>
    <n v="7"/>
    <m/>
    <m/>
    <m/>
    <x v="8"/>
    <x v="7"/>
    <n v="0"/>
    <n v="0"/>
    <n v="0"/>
    <n v="2"/>
    <m/>
    <s v="PIL-40,41,43,44,48,49,51,53,55,56,57,58,45,46,47,50,52"/>
    <x v="2"/>
    <m/>
    <m/>
    <m/>
    <m/>
    <m/>
    <s v="장비 외관 및 내부 상태 양호 등"/>
  </r>
  <r>
    <x v="0"/>
    <n v="2"/>
    <n v="15"/>
    <x v="7"/>
    <x v="0"/>
    <m/>
    <n v="0"/>
    <s v="구미"/>
    <x v="1"/>
    <x v="33"/>
    <x v="9"/>
    <n v="13"/>
    <n v="13"/>
    <m/>
    <m/>
    <m/>
    <m/>
    <m/>
    <m/>
    <m/>
    <x v="9"/>
    <x v="8"/>
    <n v="0"/>
    <n v="0"/>
    <n v="0"/>
    <n v="32"/>
    <m/>
    <s v="PIL-64,65,66,73,76,79,80,81,62,63,68,69,70,71,72"/>
    <x v="4"/>
    <m/>
    <m/>
    <m/>
    <m/>
    <m/>
    <m/>
  </r>
  <r>
    <x v="0"/>
    <n v="14"/>
    <n v="19"/>
    <x v="8"/>
    <x v="0"/>
    <m/>
    <n v="0"/>
    <s v="구미"/>
    <x v="1"/>
    <x v="34"/>
    <x v="10"/>
    <n v="19"/>
    <n v="12"/>
    <m/>
    <m/>
    <n v="7"/>
    <n v="7"/>
    <m/>
    <m/>
    <m/>
    <x v="10"/>
    <x v="9"/>
    <n v="0"/>
    <n v="0"/>
    <n v="0"/>
    <n v="37"/>
    <m/>
    <s v="PPT-05.06,09,11,12,19,20,23,24,25,26,31,07,08,10,13,14,15,16"/>
    <x v="2"/>
    <m/>
    <m/>
    <m/>
    <m/>
    <m/>
    <s v="장비 외관 및 내부 상태 양호 등"/>
  </r>
  <r>
    <x v="0"/>
    <n v="14"/>
    <n v="6"/>
    <x v="9"/>
    <x v="0"/>
    <m/>
    <n v="0"/>
    <s v="구미"/>
    <x v="1"/>
    <x v="35"/>
    <x v="11"/>
    <n v="11"/>
    <n v="11"/>
    <m/>
    <m/>
    <n v="7"/>
    <n v="7"/>
    <m/>
    <m/>
    <m/>
    <x v="11"/>
    <x v="10"/>
    <n v="0"/>
    <n v="0"/>
    <n v="0"/>
    <n v="14"/>
    <m/>
    <s v="PCU-03,04,05,07,08,09,10,11,12,13,14,15,16,17,18,19,20,21"/>
    <x v="0"/>
    <m/>
    <m/>
    <m/>
    <m/>
    <m/>
    <s v="장비 외관 및 내부 상태 양호 등"/>
  </r>
  <r>
    <x v="0"/>
    <n v="1"/>
    <n v="2"/>
    <x v="10"/>
    <x v="0"/>
    <m/>
    <n v="0"/>
    <s v="구미"/>
    <x v="1"/>
    <x v="36"/>
    <x v="7"/>
    <n v="2"/>
    <n v="2"/>
    <m/>
    <m/>
    <n v="1"/>
    <n v="1"/>
    <m/>
    <m/>
    <m/>
    <x v="12"/>
    <x v="4"/>
    <n v="0"/>
    <n v="0"/>
    <n v="0"/>
    <n v="3"/>
    <m/>
    <s v="PRW-01, 02,03"/>
    <x v="2"/>
    <m/>
    <m/>
    <m/>
    <m/>
    <m/>
    <s v="장비 외관 및 내부 상태 양호 등"/>
  </r>
  <r>
    <x v="0"/>
    <m/>
    <n v="4"/>
    <x v="4"/>
    <x v="0"/>
    <m/>
    <n v="0"/>
    <s v="구미"/>
    <x v="1"/>
    <x v="37"/>
    <x v="2"/>
    <n v="1"/>
    <n v="1"/>
    <m/>
    <m/>
    <m/>
    <m/>
    <m/>
    <m/>
    <m/>
    <x v="0"/>
    <x v="0"/>
    <n v="0"/>
    <n v="0"/>
    <n v="0"/>
    <n v="1"/>
    <m/>
    <s v="MRW-01"/>
    <x v="2"/>
    <m/>
    <m/>
    <m/>
    <m/>
    <m/>
    <s v="장비 외관 및 내부 상태 양호 등"/>
  </r>
  <r>
    <x v="0"/>
    <n v="1"/>
    <n v="3"/>
    <x v="4"/>
    <x v="0"/>
    <m/>
    <n v="0"/>
    <s v="구미"/>
    <x v="1"/>
    <x v="38"/>
    <x v="12"/>
    <m/>
    <m/>
    <m/>
    <m/>
    <m/>
    <m/>
    <m/>
    <m/>
    <m/>
    <x v="5"/>
    <x v="2"/>
    <n v="0"/>
    <n v="0"/>
    <n v="0"/>
    <n v="5"/>
    <s v="해당없음"/>
    <m/>
    <x v="1"/>
    <m/>
    <m/>
    <m/>
    <m/>
    <m/>
    <s v="Laser time Over 교체 필요(26년 1월, 26년 9월, 약2.3억원/대)"/>
  </r>
  <r>
    <x v="0"/>
    <n v="1"/>
    <n v="2"/>
    <x v="10"/>
    <x v="0"/>
    <m/>
    <n v="0"/>
    <s v="구미"/>
    <x v="1"/>
    <x v="39"/>
    <x v="7"/>
    <n v="2"/>
    <n v="2"/>
    <m/>
    <m/>
    <m/>
    <m/>
    <m/>
    <m/>
    <m/>
    <x v="1"/>
    <x v="1"/>
    <n v="0"/>
    <n v="0"/>
    <n v="0"/>
    <n v="4"/>
    <m/>
    <s v="PRK-01, 06"/>
    <x v="3"/>
    <m/>
    <m/>
    <m/>
    <m/>
    <m/>
    <m/>
  </r>
  <r>
    <x v="0"/>
    <m/>
    <n v="1"/>
    <x v="0"/>
    <x v="0"/>
    <m/>
    <n v="0"/>
    <s v="구미"/>
    <x v="1"/>
    <x v="39"/>
    <x v="4"/>
    <m/>
    <m/>
    <m/>
    <m/>
    <n v="1"/>
    <n v="1"/>
    <m/>
    <m/>
    <m/>
    <x v="0"/>
    <x v="0"/>
    <n v="0"/>
    <n v="0"/>
    <n v="0"/>
    <n v="0"/>
    <m/>
    <s v="PRK-03"/>
    <x v="4"/>
    <m/>
    <m/>
    <m/>
    <m/>
    <m/>
    <m/>
  </r>
  <r>
    <x v="0"/>
    <m/>
    <n v="1"/>
    <x v="0"/>
    <x v="0"/>
    <m/>
    <n v="0"/>
    <s v="구미"/>
    <x v="1"/>
    <x v="40"/>
    <x v="12"/>
    <m/>
    <m/>
    <m/>
    <m/>
    <m/>
    <m/>
    <m/>
    <m/>
    <m/>
    <x v="5"/>
    <x v="2"/>
    <n v="0"/>
    <n v="0"/>
    <n v="0"/>
    <n v="5"/>
    <m/>
    <m/>
    <x v="1"/>
    <m/>
    <m/>
    <m/>
    <m/>
    <m/>
    <m/>
  </r>
  <r>
    <x v="0"/>
    <m/>
    <n v="1"/>
    <x v="0"/>
    <x v="0"/>
    <m/>
    <n v="0"/>
    <s v="구미"/>
    <x v="1"/>
    <x v="41"/>
    <x v="2"/>
    <m/>
    <m/>
    <m/>
    <m/>
    <m/>
    <m/>
    <m/>
    <m/>
    <m/>
    <x v="5"/>
    <x v="2"/>
    <n v="0"/>
    <n v="0"/>
    <n v="0"/>
    <n v="2"/>
    <m/>
    <m/>
    <x v="1"/>
    <m/>
    <m/>
    <m/>
    <m/>
    <m/>
    <m/>
  </r>
  <r>
    <x v="3"/>
    <m/>
    <m/>
    <x v="3"/>
    <x v="0"/>
    <m/>
    <n v="0"/>
    <s v="구미"/>
    <x v="1"/>
    <x v="42"/>
    <x v="13"/>
    <m/>
    <m/>
    <m/>
    <m/>
    <m/>
    <m/>
    <m/>
    <m/>
    <m/>
    <x v="5"/>
    <x v="2"/>
    <n v="0"/>
    <n v="0"/>
    <n v="0"/>
    <n v="10"/>
    <m/>
    <m/>
    <x v="1"/>
    <m/>
    <m/>
    <m/>
    <m/>
    <m/>
    <m/>
  </r>
  <r>
    <x v="1"/>
    <m/>
    <m/>
    <x v="3"/>
    <x v="0"/>
    <m/>
    <n v="0"/>
    <s v="구미"/>
    <x v="1"/>
    <x v="43"/>
    <x v="4"/>
    <n v="1"/>
    <m/>
    <n v="1"/>
    <n v="200000000"/>
    <m/>
    <m/>
    <m/>
    <m/>
    <s v="단일설비"/>
    <x v="0"/>
    <x v="2"/>
    <n v="1"/>
    <n v="200000000"/>
    <n v="200000000"/>
    <n v="1"/>
    <m/>
    <m/>
    <x v="1"/>
    <m/>
    <m/>
    <m/>
    <m/>
    <m/>
    <m/>
  </r>
  <r>
    <x v="1"/>
    <m/>
    <m/>
    <x v="3"/>
    <x v="0"/>
    <m/>
    <n v="0"/>
    <s v="구미"/>
    <x v="1"/>
    <x v="44"/>
    <x v="5"/>
    <n v="5"/>
    <n v="4"/>
    <n v="1"/>
    <n v="60000000"/>
    <m/>
    <m/>
    <m/>
    <m/>
    <s v="DI 1대, ILB 2대, PQC 2대"/>
    <x v="4"/>
    <x v="11"/>
    <n v="1"/>
    <n v="60000000"/>
    <n v="60000000"/>
    <n v="5"/>
    <m/>
    <m/>
    <x v="1"/>
    <m/>
    <m/>
    <m/>
    <m/>
    <m/>
    <m/>
  </r>
  <r>
    <x v="1"/>
    <m/>
    <m/>
    <x v="3"/>
    <x v="0"/>
    <m/>
    <n v="0"/>
    <s v="구미"/>
    <x v="1"/>
    <x v="45"/>
    <x v="14"/>
    <n v="5"/>
    <n v="5"/>
    <m/>
    <m/>
    <m/>
    <m/>
    <m/>
    <m/>
    <m/>
    <x v="4"/>
    <x v="5"/>
    <n v="0"/>
    <n v="0"/>
    <n v="0"/>
    <n v="14"/>
    <m/>
    <m/>
    <x v="1"/>
    <m/>
    <m/>
    <m/>
    <m/>
    <m/>
    <m/>
  </r>
  <r>
    <x v="1"/>
    <m/>
    <m/>
    <x v="3"/>
    <x v="0"/>
    <m/>
    <n v="0"/>
    <s v="구미"/>
    <x v="1"/>
    <x v="46"/>
    <x v="4"/>
    <n v="1"/>
    <m/>
    <n v="1"/>
    <n v="100000000"/>
    <m/>
    <m/>
    <m/>
    <m/>
    <m/>
    <x v="0"/>
    <x v="2"/>
    <n v="1"/>
    <n v="100000000"/>
    <n v="100000000"/>
    <n v="1"/>
    <m/>
    <m/>
    <x v="1"/>
    <m/>
    <m/>
    <m/>
    <m/>
    <m/>
    <m/>
  </r>
  <r>
    <x v="1"/>
    <m/>
    <m/>
    <x v="3"/>
    <x v="0"/>
    <m/>
    <n v="0"/>
    <s v="구미"/>
    <x v="1"/>
    <x v="47"/>
    <x v="4"/>
    <n v="1"/>
    <m/>
    <n v="1"/>
    <n v="100000000"/>
    <m/>
    <m/>
    <m/>
    <m/>
    <m/>
    <x v="0"/>
    <x v="2"/>
    <n v="1"/>
    <n v="100000000"/>
    <n v="100000000"/>
    <n v="1"/>
    <m/>
    <m/>
    <x v="1"/>
    <m/>
    <m/>
    <m/>
    <m/>
    <m/>
    <m/>
  </r>
  <r>
    <x v="1"/>
    <m/>
    <m/>
    <x v="3"/>
    <x v="0"/>
    <m/>
    <n v="0"/>
    <s v="구미"/>
    <x v="1"/>
    <x v="48"/>
    <x v="4"/>
    <m/>
    <m/>
    <m/>
    <m/>
    <m/>
    <m/>
    <m/>
    <m/>
    <m/>
    <x v="5"/>
    <x v="2"/>
    <n v="0"/>
    <n v="0"/>
    <n v="0"/>
    <n v="1"/>
    <m/>
    <m/>
    <x v="1"/>
    <m/>
    <m/>
    <m/>
    <m/>
    <m/>
    <m/>
  </r>
  <r>
    <x v="1"/>
    <m/>
    <m/>
    <x v="3"/>
    <x v="0"/>
    <m/>
    <n v="0"/>
    <s v="구미"/>
    <x v="1"/>
    <x v="49"/>
    <x v="1"/>
    <n v="1"/>
    <n v="1"/>
    <m/>
    <m/>
    <m/>
    <m/>
    <m/>
    <m/>
    <m/>
    <x v="0"/>
    <x v="0"/>
    <n v="0"/>
    <n v="0"/>
    <n v="0"/>
    <n v="2"/>
    <m/>
    <m/>
    <x v="1"/>
    <m/>
    <m/>
    <m/>
    <m/>
    <m/>
    <m/>
  </r>
  <r>
    <x v="1"/>
    <m/>
    <m/>
    <x v="3"/>
    <x v="0"/>
    <m/>
    <n v="0"/>
    <s v="구미"/>
    <x v="1"/>
    <x v="50"/>
    <x v="4"/>
    <n v="1"/>
    <m/>
    <n v="1"/>
    <n v="10000000"/>
    <m/>
    <m/>
    <m/>
    <m/>
    <m/>
    <x v="0"/>
    <x v="2"/>
    <n v="1"/>
    <n v="10000000"/>
    <n v="10000000"/>
    <n v="1"/>
    <m/>
    <m/>
    <x v="1"/>
    <m/>
    <m/>
    <m/>
    <m/>
    <m/>
    <m/>
  </r>
  <r>
    <x v="1"/>
    <m/>
    <m/>
    <x v="3"/>
    <x v="0"/>
    <m/>
    <n v="0"/>
    <s v="구미"/>
    <x v="1"/>
    <x v="51"/>
    <x v="1"/>
    <n v="3"/>
    <n v="2"/>
    <n v="1"/>
    <n v="10000000"/>
    <m/>
    <m/>
    <m/>
    <m/>
    <m/>
    <x v="12"/>
    <x v="1"/>
    <n v="1"/>
    <n v="10000000"/>
    <n v="10000000"/>
    <n v="1"/>
    <m/>
    <m/>
    <x v="1"/>
    <m/>
    <m/>
    <m/>
    <m/>
    <m/>
    <m/>
  </r>
  <r>
    <x v="0"/>
    <n v="1"/>
    <m/>
    <x v="0"/>
    <x v="1"/>
    <n v="500000000"/>
    <n v="500000000"/>
    <s v="평택"/>
    <x v="2"/>
    <x v="22"/>
    <x v="4"/>
    <n v="1"/>
    <m/>
    <n v="1"/>
    <n v="500000000"/>
    <m/>
    <m/>
    <m/>
    <m/>
    <s v="장비 투자 _ DDI (2F), NDDI (5F) 층 구분 후 1대씩 운영 중, 여유 장비 없음"/>
    <x v="0"/>
    <x v="2"/>
    <n v="1"/>
    <n v="500000000"/>
    <n v="500000000"/>
    <n v="1"/>
    <s v="투자필요"/>
    <m/>
    <x v="1"/>
    <m/>
    <m/>
    <m/>
    <m/>
    <m/>
    <m/>
  </r>
  <r>
    <x v="0"/>
    <n v="1"/>
    <n v="1"/>
    <x v="1"/>
    <x v="0"/>
    <m/>
    <n v="0"/>
    <s v="평택"/>
    <x v="2"/>
    <x v="23"/>
    <x v="12"/>
    <n v="2"/>
    <m/>
    <n v="1"/>
    <n v="2000000000"/>
    <n v="1"/>
    <n v="1"/>
    <m/>
    <m/>
    <s v="평택 안성 합산 총 3대 필요"/>
    <x v="12"/>
    <x v="0"/>
    <n v="1"/>
    <n v="2000000000"/>
    <n v="2000000000"/>
    <n v="4"/>
    <s v="평가 필요"/>
    <m/>
    <x v="1"/>
    <m/>
    <m/>
    <m/>
    <m/>
    <m/>
    <m/>
  </r>
  <r>
    <x v="0"/>
    <m/>
    <n v="2"/>
    <x v="1"/>
    <x v="0"/>
    <m/>
    <n v="0"/>
    <s v="평택"/>
    <x v="2"/>
    <x v="24"/>
    <x v="1"/>
    <n v="1"/>
    <m/>
    <n v="1"/>
    <n v="1000000000"/>
    <n v="1"/>
    <n v="1"/>
    <m/>
    <m/>
    <m/>
    <x v="1"/>
    <x v="0"/>
    <n v="1"/>
    <n v="1000000000"/>
    <n v="1000000000"/>
    <n v="2"/>
    <s v="평가 필요"/>
    <m/>
    <x v="1"/>
    <m/>
    <m/>
    <m/>
    <m/>
    <m/>
    <m/>
  </r>
  <r>
    <x v="0"/>
    <n v="4"/>
    <n v="9"/>
    <x v="11"/>
    <x v="0"/>
    <m/>
    <n v="0"/>
    <s v="평택"/>
    <x v="2"/>
    <x v="28"/>
    <x v="15"/>
    <n v="7"/>
    <m/>
    <m/>
    <m/>
    <n v="7"/>
    <m/>
    <m/>
    <m/>
    <s v="구미공장 장비 활용"/>
    <x v="13"/>
    <x v="2"/>
    <n v="0"/>
    <n v="0"/>
    <n v="0"/>
    <n v="25"/>
    <m/>
    <m/>
    <x v="1"/>
    <m/>
    <m/>
    <m/>
    <m/>
    <m/>
    <m/>
  </r>
  <r>
    <x v="0"/>
    <m/>
    <m/>
    <x v="3"/>
    <x v="0"/>
    <m/>
    <n v="0"/>
    <s v="평택"/>
    <x v="2"/>
    <x v="30"/>
    <x v="2"/>
    <n v="1"/>
    <m/>
    <m/>
    <m/>
    <n v="1"/>
    <n v="1"/>
    <m/>
    <n v="150000000"/>
    <s v="구미공장 장비 활용"/>
    <x v="1"/>
    <x v="0"/>
    <n v="0"/>
    <n v="150000000"/>
    <n v="0"/>
    <n v="1"/>
    <s v="평가 필요"/>
    <m/>
    <x v="1"/>
    <m/>
    <m/>
    <m/>
    <m/>
    <m/>
    <m/>
  </r>
  <r>
    <x v="0"/>
    <n v="4"/>
    <n v="9"/>
    <x v="11"/>
    <x v="0"/>
    <m/>
    <n v="0"/>
    <s v="평택"/>
    <x v="2"/>
    <x v="52"/>
    <x v="16"/>
    <n v="7"/>
    <n v="7"/>
    <m/>
    <m/>
    <n v="6"/>
    <n v="6"/>
    <m/>
    <m/>
    <s v="Normal P&amp;P 총 13대 이설"/>
    <x v="9"/>
    <x v="8"/>
    <n v="0"/>
    <n v="0"/>
    <n v="0"/>
    <n v="10"/>
    <m/>
    <s v="PnP #02, #06, #07, #08, #09, #10, #23,#17, #18, #19, #24, #25, #26"/>
    <x v="0"/>
    <m/>
    <m/>
    <m/>
    <m/>
    <m/>
    <s v="#02, #06 Maker 대응 불가 &amp; Part 단종품 다수 &amp; 다수 Part 지속 Fail로 Repair 사용 중_x000a_이전 시, 특정 Device (SW80004) 대응 불가 / 내부 자재 대응 불가_x000a_#07~#23 Place 정밀도 떨어짐, 국내 Maker 존재하나 대응 속도 떨어짐 / 국내 시장 한정 장비_x000a_#17~#26 국내 Maker 존재하나 대응 속도 떨어짐 / 국내 시장 한정 장비 /  내부 자재 대응 불가_x000a_이전 시, 특정 Device (SW80004) 대응 불가 "/>
  </r>
  <r>
    <x v="0"/>
    <m/>
    <n v="9"/>
    <x v="12"/>
    <x v="0"/>
    <m/>
    <n v="0"/>
    <s v="평택"/>
    <x v="2"/>
    <x v="14"/>
    <x v="17"/>
    <n v="5"/>
    <n v="5"/>
    <m/>
    <m/>
    <n v="5"/>
    <n v="5"/>
    <m/>
    <m/>
    <m/>
    <x v="14"/>
    <x v="12"/>
    <n v="0"/>
    <n v="0"/>
    <n v="0"/>
    <n v="3"/>
    <m/>
    <s v="AVI #14, #15,#16, #18, #19,#08, #09, #10, #11, #12"/>
    <x v="0"/>
    <m/>
    <m/>
    <m/>
    <m/>
    <m/>
    <s v="단종 장비이며, Maker 대응 불가, Pick &amp; Place 정밀도 저하, 일부 Part 수급 불가, 내부 자재 대응 불가"/>
  </r>
  <r>
    <x v="0"/>
    <n v="1"/>
    <m/>
    <x v="0"/>
    <x v="1"/>
    <n v="7000000"/>
    <n v="7000000"/>
    <s v="평택"/>
    <x v="2"/>
    <x v="53"/>
    <x v="4"/>
    <n v="1"/>
    <m/>
    <n v="1"/>
    <n v="7000000"/>
    <m/>
    <m/>
    <m/>
    <m/>
    <s v="단수 장비 ※ 밴딩기 2대 포함(700만원/대)"/>
    <x v="0"/>
    <x v="2"/>
    <n v="1"/>
    <n v="7000000"/>
    <n v="7000000"/>
    <n v="1"/>
    <s v="투자필요"/>
    <m/>
    <x v="1"/>
    <m/>
    <m/>
    <m/>
    <m/>
    <m/>
    <m/>
  </r>
  <r>
    <x v="1"/>
    <m/>
    <n v="1"/>
    <x v="0"/>
    <x v="1"/>
    <n v="200000000"/>
    <n v="200000000"/>
    <s v="평택"/>
    <x v="2"/>
    <x v="43"/>
    <x v="4"/>
    <n v="1"/>
    <m/>
    <n v="1"/>
    <n v="200000000"/>
    <m/>
    <m/>
    <m/>
    <m/>
    <s v="단수 장비"/>
    <x v="0"/>
    <x v="2"/>
    <n v="1"/>
    <n v="200000000"/>
    <n v="200000000"/>
    <n v="1"/>
    <s v="투자필요"/>
    <m/>
    <x v="1"/>
    <m/>
    <m/>
    <m/>
    <m/>
    <m/>
    <m/>
  </r>
  <r>
    <x v="1"/>
    <m/>
    <n v="1"/>
    <x v="0"/>
    <x v="1"/>
    <n v="80000000"/>
    <n v="80000000"/>
    <s v="평택"/>
    <x v="2"/>
    <x v="54"/>
    <x v="4"/>
    <n v="1"/>
    <m/>
    <n v="1"/>
    <n v="80000000"/>
    <m/>
    <m/>
    <m/>
    <m/>
    <m/>
    <x v="0"/>
    <x v="2"/>
    <n v="1"/>
    <n v="80000000"/>
    <n v="80000000"/>
    <n v="1"/>
    <s v="투자필요"/>
    <m/>
    <x v="1"/>
    <m/>
    <m/>
    <m/>
    <m/>
    <m/>
    <m/>
  </r>
  <r>
    <x v="1"/>
    <m/>
    <n v="2"/>
    <x v="1"/>
    <x v="1"/>
    <n v="60000000"/>
    <n v="120000000"/>
    <s v="평택"/>
    <x v="2"/>
    <x v="44"/>
    <x v="2"/>
    <n v="2"/>
    <m/>
    <n v="2"/>
    <n v="120000000"/>
    <m/>
    <m/>
    <m/>
    <m/>
    <s v="이설 여유 없음"/>
    <x v="1"/>
    <x v="2"/>
    <n v="2"/>
    <n v="120000000"/>
    <n v="120000000"/>
    <n v="2"/>
    <s v="투자필요"/>
    <m/>
    <x v="1"/>
    <m/>
    <m/>
    <m/>
    <m/>
    <m/>
    <m/>
  </r>
  <r>
    <x v="0"/>
    <n v="3"/>
    <n v="22"/>
    <x v="13"/>
    <x v="0"/>
    <m/>
    <m/>
    <s v="안성"/>
    <x v="3"/>
    <x v="55"/>
    <x v="18"/>
    <n v="3"/>
    <n v="3"/>
    <m/>
    <m/>
    <n v="2"/>
    <n v="2"/>
    <m/>
    <m/>
    <m/>
    <x v="4"/>
    <x v="5"/>
    <n v="0"/>
    <n v="0"/>
    <n v="0"/>
    <n v="30"/>
    <m/>
    <s v="AT23,AT25,AT28,AT30,AT37 (Prober 포함)"/>
    <x v="5"/>
    <m/>
    <m/>
    <m/>
    <m/>
    <m/>
    <s v="안성 1공장 Close 진행 시 해체 후 해체 상태로 보관 중"/>
  </r>
  <r>
    <x v="0"/>
    <n v="15"/>
    <m/>
    <x v="14"/>
    <x v="0"/>
    <m/>
    <m/>
    <s v="안성"/>
    <x v="3"/>
    <x v="56"/>
    <x v="19"/>
    <n v="8"/>
    <m/>
    <m/>
    <m/>
    <n v="6"/>
    <m/>
    <m/>
    <m/>
    <s v="ND4 제외 계획"/>
    <x v="13"/>
    <x v="2"/>
    <n v="0"/>
    <n v="0"/>
    <n v="0"/>
    <n v="76"/>
    <m/>
    <m/>
    <x v="1"/>
    <m/>
    <m/>
    <m/>
    <m/>
    <m/>
    <m/>
  </r>
  <r>
    <x v="0"/>
    <m/>
    <m/>
    <x v="3"/>
    <x v="0"/>
    <m/>
    <m/>
    <s v="안성"/>
    <x v="3"/>
    <x v="57"/>
    <x v="20"/>
    <n v="4"/>
    <m/>
    <m/>
    <m/>
    <n v="2"/>
    <m/>
    <m/>
    <m/>
    <s v="ND4 제외 계획"/>
    <x v="2"/>
    <x v="2"/>
    <n v="0"/>
    <n v="0"/>
    <n v="0"/>
    <n v="46"/>
    <m/>
    <m/>
    <x v="1"/>
    <m/>
    <m/>
    <m/>
    <m/>
    <m/>
    <m/>
  </r>
  <r>
    <x v="0"/>
    <m/>
    <m/>
    <x v="3"/>
    <x v="0"/>
    <m/>
    <m/>
    <s v="구미"/>
    <x v="3"/>
    <x v="55"/>
    <x v="7"/>
    <n v="2"/>
    <n v="2"/>
    <m/>
    <m/>
    <n v="2"/>
    <n v="2"/>
    <m/>
    <m/>
    <m/>
    <x v="3"/>
    <x v="11"/>
    <n v="0"/>
    <n v="0"/>
    <n v="0"/>
    <n v="2"/>
    <m/>
    <s v="DPT-02,20,16,14 (Prober 포함)"/>
    <x v="1"/>
    <m/>
    <m/>
    <m/>
    <m/>
    <m/>
    <m/>
  </r>
  <r>
    <x v="0"/>
    <m/>
    <m/>
    <x v="3"/>
    <x v="0"/>
    <m/>
    <m/>
    <s v="구미"/>
    <x v="3"/>
    <x v="56"/>
    <x v="21"/>
    <n v="1"/>
    <n v="1"/>
    <m/>
    <m/>
    <n v="1"/>
    <n v="1"/>
    <m/>
    <m/>
    <m/>
    <x v="1"/>
    <x v="1"/>
    <n v="0"/>
    <n v="0"/>
    <n v="0"/>
    <n v="16"/>
    <m/>
    <s v="DPT-44,34_ND4C"/>
    <x v="1"/>
    <m/>
    <m/>
    <m/>
    <m/>
    <m/>
    <m/>
  </r>
  <r>
    <x v="0"/>
    <n v="16"/>
    <n v="9"/>
    <x v="13"/>
    <x v="0"/>
    <m/>
    <m/>
    <s v="구미"/>
    <x v="4"/>
    <x v="55"/>
    <x v="11"/>
    <n v="11"/>
    <n v="11"/>
    <m/>
    <m/>
    <n v="6"/>
    <n v="6"/>
    <m/>
    <m/>
    <m/>
    <x v="15"/>
    <x v="13"/>
    <n v="0"/>
    <n v="0"/>
    <n v="0"/>
    <n v="15"/>
    <m/>
    <s v="PFT-44,42,41,40,39,38,37,36,35,34,29,11,74,45,54,55,57  (Handler 포함)"/>
    <x v="5"/>
    <m/>
    <m/>
    <m/>
    <m/>
    <m/>
    <m/>
  </r>
  <r>
    <x v="0"/>
    <n v="2"/>
    <n v="3"/>
    <x v="5"/>
    <x v="0"/>
    <m/>
    <m/>
    <s v="구미"/>
    <x v="4"/>
    <x v="58"/>
    <x v="12"/>
    <n v="1"/>
    <m/>
    <m/>
    <m/>
    <m/>
    <m/>
    <m/>
    <m/>
    <m/>
    <x v="0"/>
    <x v="0"/>
    <n v="0"/>
    <n v="0"/>
    <n v="0"/>
    <n v="4"/>
    <m/>
    <s v="PFT-51 (Handler 포함)"/>
    <x v="5"/>
    <m/>
    <m/>
    <m/>
    <m/>
    <m/>
    <m/>
  </r>
  <r>
    <x v="0"/>
    <n v="3"/>
    <m/>
    <x v="10"/>
    <x v="0"/>
    <m/>
    <m/>
    <s v="구미"/>
    <x v="4"/>
    <x v="56"/>
    <x v="0"/>
    <m/>
    <m/>
    <m/>
    <m/>
    <m/>
    <m/>
    <m/>
    <m/>
    <m/>
    <x v="16"/>
    <x v="14"/>
    <m/>
    <n v="0"/>
    <n v="0"/>
    <m/>
    <m/>
    <m/>
    <x v="1"/>
    <m/>
    <m/>
    <m/>
    <m/>
    <m/>
    <m/>
  </r>
  <r>
    <x v="0"/>
    <n v="1"/>
    <m/>
    <x v="0"/>
    <x v="0"/>
    <m/>
    <m/>
    <s v="구미"/>
    <x v="4"/>
    <x v="59"/>
    <x v="2"/>
    <m/>
    <m/>
    <m/>
    <m/>
    <m/>
    <m/>
    <m/>
    <m/>
    <m/>
    <x v="16"/>
    <x v="14"/>
    <m/>
    <n v="0"/>
    <n v="0"/>
    <m/>
    <m/>
    <m/>
    <x v="1"/>
    <m/>
    <m/>
    <m/>
    <m/>
    <m/>
    <m/>
  </r>
  <r>
    <x v="0"/>
    <m/>
    <n v="2"/>
    <x v="1"/>
    <x v="0"/>
    <m/>
    <m/>
    <s v="구미"/>
    <x v="4"/>
    <x v="60"/>
    <x v="0"/>
    <m/>
    <m/>
    <m/>
    <m/>
    <m/>
    <m/>
    <m/>
    <m/>
    <m/>
    <x v="16"/>
    <x v="14"/>
    <m/>
    <n v="0"/>
    <n v="0"/>
    <m/>
    <m/>
    <m/>
    <x v="1"/>
    <m/>
    <m/>
    <m/>
    <m/>
    <m/>
    <m/>
  </r>
  <r>
    <x v="0"/>
    <n v="5"/>
    <n v="4"/>
    <x v="12"/>
    <x v="0"/>
    <m/>
    <m/>
    <s v="구미"/>
    <x v="4"/>
    <x v="61"/>
    <x v="22"/>
    <n v="3"/>
    <n v="3"/>
    <m/>
    <m/>
    <n v="1"/>
    <n v="1"/>
    <m/>
    <m/>
    <m/>
    <x v="3"/>
    <x v="11"/>
    <n v="0"/>
    <n v="0"/>
    <n v="0"/>
    <n v="10"/>
    <m/>
    <s v="PAV-01,02,03,06"/>
    <x v="5"/>
    <m/>
    <m/>
    <m/>
    <m/>
    <m/>
    <m/>
  </r>
  <r>
    <x v="0"/>
    <n v="4"/>
    <n v="4"/>
    <x v="15"/>
    <x v="0"/>
    <m/>
    <m/>
    <s v="구미"/>
    <x v="4"/>
    <x v="62"/>
    <x v="3"/>
    <n v="6"/>
    <n v="6"/>
    <m/>
    <m/>
    <n v="3"/>
    <n v="3"/>
    <m/>
    <m/>
    <m/>
    <x v="17"/>
    <x v="15"/>
    <n v="0"/>
    <n v="0"/>
    <n v="0"/>
    <n v="2"/>
    <m/>
    <s v="PAV-21,22,23,24,25,26,27,28,20"/>
    <x v="5"/>
    <m/>
    <m/>
    <m/>
    <m/>
    <m/>
    <m/>
  </r>
  <r>
    <x v="2"/>
    <n v="1"/>
    <n v="1"/>
    <x v="1"/>
    <x v="0"/>
    <m/>
    <m/>
    <s v="구미"/>
    <x v="4"/>
    <x v="53"/>
    <x v="23"/>
    <m/>
    <m/>
    <m/>
    <m/>
    <m/>
    <m/>
    <m/>
    <m/>
    <m/>
    <x v="5"/>
    <x v="2"/>
    <n v="0"/>
    <n v="0"/>
    <n v="0"/>
    <n v="0"/>
    <m/>
    <m/>
    <x v="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2" cacheId="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C9:H174" firstHeaderRow="1" firstDataRow="1" firstDataCol="5" rowPageCount="1" colPageCount="1"/>
  <pivotFields count="94">
    <pivotField compact="0" outline="0" showAll="0"/>
    <pivotField axis="axisPage" compact="0" outline="0" multipleItemSelectionAllowed="1" showAll="0">
      <items count="4">
        <item x="0"/>
        <item h="1"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axis="axisRow" compact="0" outline="0" showAll="0" defaultSubtotal="0">
      <items count="6">
        <item x="2"/>
        <item x="4"/>
        <item x="3"/>
        <item x="0"/>
        <item x="5"/>
        <item h="1" x="1"/>
      </items>
    </pivotField>
    <pivotField compact="0" outline="0" showAll="0"/>
    <pivotField axis="axisRow" compact="0" outline="0" showAll="0" defaultSubtotal="0">
      <items count="41">
        <item x="22"/>
        <item x="4"/>
        <item x="15"/>
        <item x="24"/>
        <item x="9"/>
        <item x="14"/>
        <item x="16"/>
        <item x="7"/>
        <item x="8"/>
        <item x="25"/>
        <item x="6"/>
        <item x="13"/>
        <item x="10"/>
        <item x="26"/>
        <item x="20"/>
        <item x="21"/>
        <item x="28"/>
        <item x="17"/>
        <item x="29"/>
        <item x="32"/>
        <item x="31"/>
        <item x="30"/>
        <item x="18"/>
        <item x="19"/>
        <item x="23"/>
        <item x="38"/>
        <item x="0"/>
        <item x="1"/>
        <item x="33"/>
        <item x="40"/>
        <item x="34"/>
        <item x="35"/>
        <item x="36"/>
        <item x="39"/>
        <item x="12"/>
        <item x="2"/>
        <item x="37"/>
        <item x="5"/>
        <item x="11"/>
        <item x="3"/>
        <item x="27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17">
        <item x="52"/>
        <item x="28"/>
        <item x="90"/>
        <item sd="0" x="2"/>
        <item x="95"/>
        <item x="102"/>
        <item x="111"/>
        <item x="113"/>
        <item sd="0" x="1"/>
        <item sd="0" x="5"/>
        <item sd="0" x="14"/>
        <item x="96"/>
        <item x="112"/>
        <item x="98"/>
        <item x="47"/>
        <item x="20"/>
        <item x="36"/>
        <item x="61"/>
        <item x="114"/>
        <item x="18"/>
        <item x="94"/>
        <item x="74"/>
        <item x="64"/>
        <item x="39"/>
        <item x="89"/>
        <item x="88"/>
        <item x="81"/>
        <item x="53"/>
        <item x="22"/>
        <item x="31"/>
        <item x="86"/>
        <item x="71"/>
        <item x="23"/>
        <item x="72"/>
        <item x="77"/>
        <item x="60"/>
        <item x="93"/>
        <item x="91"/>
        <item x="87"/>
        <item x="85"/>
        <item x="30"/>
        <item x="26"/>
        <item x="45"/>
        <item x="54"/>
        <item x="21"/>
        <item x="13"/>
        <item x="69"/>
        <item x="99"/>
        <item x="16"/>
        <item x="109"/>
        <item x="108"/>
        <item x="33"/>
        <item x="34"/>
        <item x="42"/>
        <item x="73"/>
        <item x="29"/>
        <item x="68"/>
        <item x="100"/>
        <item x="101"/>
        <item x="78"/>
        <item x="92"/>
        <item x="43"/>
        <item x="59"/>
        <item x="80"/>
        <item x="10"/>
        <item x="62"/>
        <item x="46"/>
        <item x="12"/>
        <item x="17"/>
        <item x="83"/>
        <item x="38"/>
        <item x="37"/>
        <item x="76"/>
        <item x="35"/>
        <item x="19"/>
        <item x="75"/>
        <item x="116"/>
        <item x="84"/>
        <item x="63"/>
        <item x="41"/>
        <item x="55"/>
        <item x="97"/>
        <item x="15"/>
        <item x="51"/>
        <item x="44"/>
        <item x="57"/>
        <item x="56"/>
        <item x="65"/>
        <item x="82"/>
        <item x="58"/>
        <item x="70"/>
        <item x="79"/>
        <item x="67"/>
        <item x="66"/>
        <item x="48"/>
        <item x="50"/>
        <item x="9"/>
        <item x="8"/>
        <item sd="0" x="3"/>
        <item x="4"/>
        <item sd="0" x="11"/>
        <item x="40"/>
        <item x="6"/>
        <item x="25"/>
        <item x="24"/>
        <item x="32"/>
        <item x="27"/>
        <item x="115"/>
        <item x="49"/>
        <item x="105"/>
        <item x="104"/>
        <item x="110"/>
        <item x="106"/>
        <item x="107"/>
        <item x="103"/>
        <item x="7"/>
        <item x="0"/>
      </items>
    </pivotField>
    <pivotField compact="0" outline="0" showAll="0"/>
    <pivotField compact="0" outline="0" showAll="0"/>
    <pivotField axis="axisRow" compact="0" outline="0" showAll="0">
      <items count="178">
        <item x="31"/>
        <item x="32"/>
        <item x="35"/>
        <item x="40"/>
        <item x="44"/>
        <item x="45"/>
        <item x="23"/>
        <item x="36"/>
        <item x="14"/>
        <item x="71"/>
        <item x="72"/>
        <item x="73"/>
        <item x="29"/>
        <item x="30"/>
        <item x="33"/>
        <item x="38"/>
        <item x="41"/>
        <item x="42"/>
        <item x="43"/>
        <item x="61"/>
        <item x="67"/>
        <item x="68"/>
        <item x="69"/>
        <item x="70"/>
        <item x="168"/>
        <item x="85"/>
        <item x="116"/>
        <item x="153"/>
        <item x="86"/>
        <item x="88"/>
        <item x="90"/>
        <item x="92"/>
        <item x="102"/>
        <item x="105"/>
        <item x="106"/>
        <item x="108"/>
        <item x="113"/>
        <item x="114"/>
        <item x="152"/>
        <item x="117"/>
        <item x="91"/>
        <item x="94"/>
        <item x="99"/>
        <item x="107"/>
        <item x="151"/>
        <item x="98"/>
        <item x="101"/>
        <item x="160"/>
        <item x="112"/>
        <item x="115"/>
        <item x="87"/>
        <item x="104"/>
        <item x="97"/>
        <item x="111"/>
        <item x="100"/>
        <item x="103"/>
        <item x="110"/>
        <item x="156"/>
        <item x="158"/>
        <item x="95"/>
        <item x="109"/>
        <item x="89"/>
        <item x="96"/>
        <item x="83"/>
        <item x="93"/>
        <item x="84"/>
        <item x="123"/>
        <item x="128"/>
        <item x="129"/>
        <item x="135"/>
        <item x="136"/>
        <item x="139"/>
        <item x="140"/>
        <item x="147"/>
        <item x="148"/>
        <item x="149"/>
        <item x="150"/>
        <item x="159"/>
        <item x="119"/>
        <item x="122"/>
        <item x="130"/>
        <item x="131"/>
        <item x="132"/>
        <item x="137"/>
        <item x="143"/>
        <item x="144"/>
        <item x="145"/>
        <item x="146"/>
        <item x="154"/>
        <item x="155"/>
        <item x="157"/>
        <item x="118"/>
        <item x="120"/>
        <item x="121"/>
        <item x="124"/>
        <item x="125"/>
        <item x="126"/>
        <item x="127"/>
        <item x="133"/>
        <item x="134"/>
        <item x="138"/>
        <item x="141"/>
        <item x="142"/>
        <item x="81"/>
        <item x="164"/>
        <item x="167"/>
        <item x="165"/>
        <item x="76"/>
        <item x="77"/>
        <item x="78"/>
        <item x="79"/>
        <item x="75"/>
        <item x="20"/>
        <item x="162"/>
        <item x="163"/>
        <item x="174"/>
        <item x="170"/>
        <item x="59"/>
        <item x="6"/>
        <item x="10"/>
        <item x="11"/>
        <item x="13"/>
        <item x="12"/>
        <item x="15"/>
        <item x="1"/>
        <item x="2"/>
        <item x="3"/>
        <item x="4"/>
        <item x="7"/>
        <item x="8"/>
        <item x="9"/>
        <item x="169"/>
        <item x="51"/>
        <item x="52"/>
        <item x="56"/>
        <item x="46"/>
        <item x="65"/>
        <item x="66"/>
        <item x="60"/>
        <item x="22"/>
        <item x="24"/>
        <item x="28"/>
        <item x="34"/>
        <item x="37"/>
        <item x="39"/>
        <item x="49"/>
        <item x="50"/>
        <item x="54"/>
        <item x="55"/>
        <item x="57"/>
        <item x="62"/>
        <item x="63"/>
        <item x="64"/>
        <item x="58"/>
        <item x="74"/>
        <item x="173"/>
        <item x="82"/>
        <item x="25"/>
        <item x="18"/>
        <item x="5"/>
        <item x="17"/>
        <item x="21"/>
        <item x="176"/>
        <item x="171"/>
        <item x="172"/>
        <item x="175"/>
        <item x="166"/>
        <item x="80"/>
        <item x="27"/>
        <item x="16"/>
        <item x="53"/>
        <item x="19"/>
        <item x="26"/>
        <item x="47"/>
        <item x="48"/>
        <item x="161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multipleItemSelectionAllowed="1" showAll="0" defaultSubtotal="0">
      <items count="6">
        <item x="1"/>
        <item h="1" x="5"/>
        <item x="0"/>
        <item h="1" x="4"/>
        <item h="1" x="3"/>
        <item h="1" x="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9"/>
    <field x="11"/>
    <field x="23"/>
    <field x="16"/>
    <field x="19"/>
  </rowFields>
  <rowItems count="165">
    <i>
      <x/>
      <x v="2"/>
      <x/>
      <x v="41"/>
      <x v="56"/>
    </i>
    <i r="2">
      <x v="2"/>
      <x v="41"/>
      <x v="55"/>
    </i>
    <i r="1">
      <x v="4"/>
      <x v="2"/>
      <x v="15"/>
      <x v="62"/>
    </i>
    <i r="1">
      <x v="5"/>
      <x/>
      <x v="103"/>
      <x v="45"/>
    </i>
    <i r="4">
      <x v="46"/>
    </i>
    <i r="1">
      <x v="6"/>
      <x/>
      <x v="40"/>
      <x v="48"/>
    </i>
    <i r="1">
      <x v="7"/>
      <x/>
      <x v="19"/>
      <x v="31"/>
    </i>
    <i r="4">
      <x v="32"/>
    </i>
    <i r="4">
      <x v="33"/>
    </i>
    <i r="2">
      <x v="2"/>
      <x v="19"/>
      <x v="28"/>
    </i>
    <i r="4">
      <x v="29"/>
    </i>
    <i r="4">
      <x v="30"/>
    </i>
    <i r="3">
      <x v="63"/>
      <x v="176"/>
    </i>
    <i r="1">
      <x v="8"/>
      <x/>
      <x v="106"/>
      <x v="51"/>
    </i>
    <i r="1">
      <x v="10"/>
      <x v="2"/>
      <x v="68"/>
      <x v="26"/>
    </i>
    <i r="1">
      <x v="11"/>
      <x/>
      <x v="104"/>
      <x v="52"/>
    </i>
    <i r="1">
      <x v="12"/>
      <x/>
      <x v="44"/>
      <x v="40"/>
    </i>
    <i r="4">
      <x v="41"/>
    </i>
    <i r="4">
      <x v="42"/>
    </i>
    <i r="2">
      <x v="2"/>
      <x v="44"/>
      <x v="43"/>
    </i>
    <i r="1">
      <x v="24"/>
      <x/>
      <x v="68"/>
      <x v="27"/>
    </i>
    <i r="1">
      <x v="36"/>
      <x/>
      <x v="20"/>
      <x v="176"/>
    </i>
    <i r="1">
      <x v="37"/>
      <x/>
      <x v="48"/>
      <x v="65"/>
    </i>
    <i r="1">
      <x v="38"/>
      <x/>
      <x v="28"/>
      <x v="64"/>
    </i>
    <i>
      <x v="1"/>
      <x v="15"/>
      <x/>
      <x v="23"/>
      <x v="176"/>
    </i>
    <i r="3">
      <x v="72"/>
      <x v="176"/>
    </i>
    <i r="1">
      <x v="16"/>
      <x/>
      <x v="35"/>
      <x v="113"/>
    </i>
    <i r="1">
      <x v="17"/>
      <x/>
      <x v="29"/>
      <x v="176"/>
    </i>
    <i r="3">
      <x v="65"/>
      <x v="176"/>
    </i>
    <i r="2">
      <x v="2"/>
      <x v="29"/>
      <x v="176"/>
    </i>
    <i r="3">
      <x v="33"/>
      <x v="166"/>
    </i>
    <i r="3">
      <x v="65"/>
      <x v="176"/>
    </i>
    <i r="3">
      <x v="75"/>
      <x v="176"/>
    </i>
    <i r="1">
      <x v="18"/>
      <x/>
      <x v="17"/>
      <x v="114"/>
    </i>
    <i r="2">
      <x v="2"/>
      <x v="17"/>
      <x v="114"/>
    </i>
    <i r="1">
      <x v="19"/>
      <x/>
      <x v="21"/>
      <x v="105"/>
    </i>
    <i r="3">
      <x v="22"/>
      <x v="104"/>
    </i>
    <i r="3">
      <x v="59"/>
      <x v="105"/>
    </i>
    <i r="3">
      <x v="90"/>
      <x v="104"/>
    </i>
    <i r="3">
      <x v="91"/>
      <x v="105"/>
    </i>
    <i r="3">
      <x v="92"/>
      <x v="106"/>
    </i>
    <i r="2">
      <x v="2"/>
      <x/>
      <x v="176"/>
    </i>
    <i r="3">
      <x v="21"/>
      <x v="105"/>
    </i>
    <i r="3">
      <x v="92"/>
      <x v="106"/>
    </i>
    <i r="3">
      <x v="102"/>
      <x v="176"/>
    </i>
    <i r="1">
      <x v="20"/>
      <x/>
      <x v="56"/>
      <x v="176"/>
    </i>
    <i r="3">
      <x v="78"/>
      <x v="176"/>
    </i>
    <i r="3">
      <x v="93"/>
      <x v="176"/>
    </i>
    <i r="2">
      <x v="2"/>
      <x v="69"/>
      <x v="176"/>
    </i>
    <i r="3">
      <x v="78"/>
      <x v="176"/>
    </i>
    <i r="3">
      <x v="88"/>
      <x v="176"/>
    </i>
    <i r="3">
      <x v="93"/>
      <x v="176"/>
    </i>
    <i r="3">
      <x v="102"/>
      <x v="176"/>
    </i>
    <i r="1">
      <x v="21"/>
      <x/>
      <x v="68"/>
      <x v="176"/>
    </i>
    <i r="2">
      <x v="2"/>
      <x v="68"/>
      <x v="176"/>
    </i>
    <i r="1">
      <x v="28"/>
      <x/>
      <x v="87"/>
      <x v="176"/>
    </i>
    <i r="2">
      <x v="2"/>
      <x v="87"/>
      <x v="176"/>
    </i>
    <i r="1">
      <x v="29"/>
      <x v="2"/>
      <x v="107"/>
      <x v="176"/>
    </i>
    <i r="1">
      <x v="30"/>
      <x/>
      <x v="46"/>
      <x v="176"/>
    </i>
    <i r="2">
      <x v="2"/>
      <x v="31"/>
      <x v="176"/>
    </i>
    <i r="3">
      <x v="54"/>
      <x v="176"/>
    </i>
    <i r="1">
      <x v="31"/>
      <x/>
      <x v="77"/>
      <x v="176"/>
    </i>
    <i r="2">
      <x v="2"/>
      <x v="77"/>
      <x v="176"/>
    </i>
    <i r="1">
      <x v="32"/>
      <x v="2"/>
      <x v="24"/>
      <x v="176"/>
    </i>
    <i r="3">
      <x v="25"/>
      <x v="176"/>
    </i>
    <i r="1">
      <x v="33"/>
      <x/>
      <x v="18"/>
      <x v="176"/>
    </i>
    <i r="2">
      <x v="2"/>
      <x v="18"/>
      <x v="176"/>
    </i>
    <i>
      <x v="2"/>
      <x v="14"/>
      <x/>
      <x v="71"/>
      <x v="75"/>
    </i>
    <i r="2">
      <x v="2"/>
      <x v="70"/>
      <x v="76"/>
    </i>
    <i r="1">
      <x v="15"/>
      <x v="2"/>
      <x v="23"/>
      <x v="44"/>
    </i>
    <i r="1">
      <x v="17"/>
      <x/>
      <x v="29"/>
      <x v="97"/>
    </i>
    <i r="4">
      <x v="98"/>
    </i>
    <i r="4">
      <x v="101"/>
    </i>
    <i r="4">
      <x v="102"/>
    </i>
    <i r="2">
      <x v="2"/>
      <x v="29"/>
      <x v="91"/>
    </i>
    <i r="4">
      <x v="92"/>
    </i>
    <i r="4">
      <x v="93"/>
    </i>
    <i r="4">
      <x v="94"/>
    </i>
    <i r="4">
      <x v="95"/>
    </i>
    <i r="4">
      <x v="96"/>
    </i>
    <i r="4">
      <x v="99"/>
    </i>
    <i r="4">
      <x v="100"/>
    </i>
    <i r="3">
      <x v="53"/>
      <x v="77"/>
    </i>
    <i r="1">
      <x v="22"/>
      <x/>
      <x v="52"/>
      <x v="80"/>
    </i>
    <i r="4">
      <x v="81"/>
    </i>
    <i r="4">
      <x v="82"/>
    </i>
    <i r="4">
      <x v="83"/>
    </i>
    <i r="2">
      <x v="2"/>
      <x v="16"/>
      <x v="85"/>
    </i>
    <i r="4">
      <x v="86"/>
    </i>
    <i r="4">
      <x v="87"/>
    </i>
    <i r="4">
      <x v="88"/>
    </i>
    <i r="4">
      <x v="89"/>
    </i>
    <i r="4">
      <x v="90"/>
    </i>
    <i r="3">
      <x v="73"/>
      <x v="84"/>
    </i>
    <i r="3">
      <x v="105"/>
      <x v="78"/>
    </i>
    <i r="4">
      <x v="79"/>
    </i>
    <i r="1">
      <x v="23"/>
      <x v="2"/>
      <x v="51"/>
      <x v="66"/>
    </i>
    <i r="4">
      <x v="67"/>
    </i>
    <i r="4">
      <x v="68"/>
    </i>
    <i r="4">
      <x v="69"/>
    </i>
    <i r="4">
      <x v="70"/>
    </i>
    <i r="4">
      <x v="71"/>
    </i>
    <i r="4">
      <x v="72"/>
    </i>
    <i r="4">
      <x v="73"/>
    </i>
    <i r="4">
      <x v="74"/>
    </i>
    <i>
      <x v="3"/>
      <x v="26"/>
      <x/>
      <x v="3"/>
    </i>
    <i r="3">
      <x v="8"/>
    </i>
    <i r="3">
      <x v="9"/>
    </i>
    <i r="3">
      <x v="10"/>
    </i>
    <i r="3">
      <x v="11"/>
      <x v="176"/>
    </i>
    <i r="3">
      <x v="98"/>
    </i>
    <i r="3">
      <x v="100"/>
    </i>
    <i r="3">
      <x v="115"/>
      <x v="176"/>
    </i>
    <i r="2">
      <x v="2"/>
      <x v="3"/>
    </i>
    <i r="3">
      <x v="4"/>
      <x v="164"/>
    </i>
    <i r="3">
      <x v="8"/>
    </i>
    <i r="3">
      <x v="9"/>
    </i>
    <i r="3">
      <x v="45"/>
      <x v="176"/>
    </i>
    <i r="3">
      <x v="47"/>
      <x v="176"/>
    </i>
    <i r="3">
      <x v="67"/>
      <x v="176"/>
    </i>
    <i r="3">
      <x v="81"/>
      <x v="176"/>
    </i>
    <i r="3">
      <x v="98"/>
    </i>
    <i r="3">
      <x v="99"/>
      <x v="112"/>
    </i>
    <i r="3">
      <x v="100"/>
    </i>
    <i r="3">
      <x v="102"/>
      <x v="176"/>
    </i>
    <i r="3">
      <x v="115"/>
      <x v="176"/>
    </i>
    <i r="3">
      <x v="116"/>
      <x v="176"/>
    </i>
    <i r="1">
      <x v="27"/>
      <x v="2"/>
      <x v="96"/>
      <x v="107"/>
    </i>
    <i r="4">
      <x v="109"/>
    </i>
    <i r="3">
      <x v="97"/>
      <x v="108"/>
    </i>
    <i r="4">
      <x v="110"/>
    </i>
    <i r="4">
      <x v="111"/>
    </i>
    <i r="1">
      <x v="35"/>
      <x v="2"/>
      <x v="64"/>
      <x v="167"/>
    </i>
    <i>
      <x v="4"/>
      <x v="25"/>
      <x/>
      <x v="5"/>
      <x v="165"/>
    </i>
    <i r="3">
      <x v="6"/>
      <x v="165"/>
    </i>
    <i r="3">
      <x v="8"/>
    </i>
    <i r="3">
      <x v="9"/>
    </i>
    <i r="3">
      <x v="12"/>
      <x v="155"/>
    </i>
    <i r="3">
      <x v="13"/>
      <x v="116"/>
    </i>
    <i r="3">
      <x v="50"/>
      <x v="131"/>
    </i>
    <i r="3">
      <x v="109"/>
      <x v="116"/>
    </i>
    <i r="4">
      <x v="131"/>
    </i>
    <i r="3">
      <x v="110"/>
      <x v="131"/>
    </i>
    <i r="3">
      <x v="114"/>
      <x v="131"/>
    </i>
    <i r="4">
      <x v="155"/>
    </i>
    <i r="2">
      <x v="2"/>
      <x v="7"/>
      <x v="162"/>
    </i>
    <i r="3">
      <x v="8"/>
    </i>
    <i r="3">
      <x v="9"/>
    </i>
    <i r="3">
      <x v="13"/>
      <x v="176"/>
    </i>
    <i r="3">
      <x v="49"/>
      <x v="131"/>
    </i>
    <i r="3">
      <x v="50"/>
      <x v="131"/>
    </i>
    <i r="3">
      <x v="109"/>
      <x v="131"/>
    </i>
    <i r="4">
      <x v="176"/>
    </i>
    <i r="3">
      <x v="110"/>
      <x v="116"/>
    </i>
    <i r="3">
      <x v="111"/>
      <x v="131"/>
    </i>
    <i r="3">
      <x v="112"/>
      <x v="116"/>
    </i>
    <i r="3">
      <x v="113"/>
      <x v="116"/>
    </i>
    <i r="3">
      <x v="114"/>
      <x v="131"/>
    </i>
    <i r="4">
      <x v="155"/>
    </i>
    <i r="1">
      <x v="36"/>
      <x/>
      <x v="57"/>
      <x v="176"/>
    </i>
    <i r="3">
      <x v="58"/>
      <x v="176"/>
    </i>
    <i r="2">
      <x v="2"/>
      <x v="57"/>
      <x v="176"/>
    </i>
    <i r="3">
      <x v="58"/>
      <x v="176"/>
    </i>
    <i r="3">
      <x v="76"/>
      <x v="176"/>
    </i>
    <i t="grand">
      <x/>
    </i>
  </rowItems>
  <colItems count="1">
    <i/>
  </colItems>
  <pageFields count="1">
    <pageField fld="1" hier="-1"/>
  </pageFields>
  <dataFields count="1">
    <dataField name="댓수" fld="12" subtotal="count" baseField="0" baseItem="0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피벗 테이블3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E83" firstHeaderRow="1" firstDataRow="1" firstDataCol="5"/>
  <pivotFields count="26"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 defaultSubtotal="0">
      <items count="61">
        <item x="48"/>
        <item x="10"/>
        <item x="8"/>
        <item x="6"/>
        <item x="36"/>
        <item x="14"/>
        <item x="59"/>
        <item x="60"/>
        <item x="23"/>
        <item x="20"/>
        <item x="21"/>
        <item x="29"/>
        <item x="5"/>
        <item x="4"/>
        <item x="50"/>
        <item x="51"/>
        <item x="13"/>
        <item x="31"/>
        <item x="32"/>
        <item x="33"/>
        <item x="38"/>
        <item x="22"/>
        <item x="27"/>
        <item x="24"/>
        <item x="54"/>
        <item x="26"/>
        <item x="37"/>
        <item x="44"/>
        <item x="11"/>
        <item x="35"/>
        <item x="52"/>
        <item x="53"/>
        <item x="34"/>
        <item x="2"/>
        <item x="7"/>
        <item x="47"/>
        <item x="39"/>
        <item x="28"/>
        <item x="15"/>
        <item x="0"/>
        <item x="12"/>
        <item x="19"/>
        <item x="1"/>
        <item x="3"/>
        <item x="58"/>
        <item x="55"/>
        <item x="56"/>
        <item x="57"/>
        <item x="42"/>
        <item x="41"/>
        <item x="40"/>
        <item x="9"/>
        <item x="30"/>
        <item x="25"/>
        <item x="18"/>
        <item x="17"/>
        <item x="16"/>
        <item x="43"/>
        <item x="49"/>
        <item x="45"/>
        <item x="46"/>
      </items>
    </pivotField>
    <pivotField compact="0" outline="0" showAll="0"/>
    <pivotField axis="axisRow" compact="0" outline="0" showAll="0" defaultSubtotal="0">
      <items count="12">
        <item x="0"/>
        <item x="10"/>
        <item x="1"/>
        <item x="2"/>
        <item x="5"/>
        <item x="6"/>
        <item x="11"/>
        <item x="4"/>
        <item x="9"/>
        <item x="7"/>
        <item x="8"/>
        <item x="3"/>
      </items>
    </pivotField>
    <pivotField axis="axisRow" compact="0" outline="0" showAll="0" defaultSubtotal="0">
      <items count="13">
        <item x="1"/>
        <item x="0"/>
        <item x="3"/>
        <item x="2"/>
        <item x="10"/>
        <item x="11"/>
        <item x="6"/>
        <item x="12"/>
        <item x="5"/>
        <item x="9"/>
        <item x="8"/>
        <item x="7"/>
        <item x="4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1"/>
    <field x="2"/>
    <field x="4"/>
    <field x="5"/>
    <field x="19"/>
  </rowFields>
  <rowItems count="80">
    <i>
      <x/>
      <x v="1"/>
      <x v="2"/>
      <x v="2"/>
      <x v="3"/>
    </i>
    <i r="1">
      <x v="2"/>
      <x/>
      <x/>
      <x v="4"/>
    </i>
    <i r="1">
      <x v="3"/>
      <x v="2"/>
      <x v="3"/>
      <x v="3"/>
    </i>
    <i r="1">
      <x v="5"/>
      <x v="2"/>
      <x v="3"/>
      <x v="3"/>
    </i>
    <i r="1">
      <x v="9"/>
      <x/>
      <x/>
      <x v="5"/>
    </i>
    <i r="1">
      <x v="10"/>
      <x/>
      <x v="12"/>
      <x v="5"/>
    </i>
    <i r="1">
      <x v="12"/>
      <x/>
      <x/>
      <x v="5"/>
    </i>
    <i r="1">
      <x v="13"/>
      <x/>
      <x/>
      <x v="3"/>
    </i>
    <i r="1">
      <x v="16"/>
      <x/>
      <x v="1"/>
      <x v="2"/>
    </i>
    <i r="1">
      <x v="28"/>
      <x/>
      <x/>
      <x v="5"/>
    </i>
    <i r="1">
      <x v="33"/>
      <x/>
      <x/>
      <x v="5"/>
    </i>
    <i r="1">
      <x v="34"/>
      <x/>
      <x v="1"/>
      <x v="4"/>
    </i>
    <i r="1">
      <x v="38"/>
      <x v="3"/>
      <x/>
      <x v="5"/>
    </i>
    <i r="1">
      <x v="39"/>
      <x/>
      <x v="1"/>
      <x v="3"/>
    </i>
    <i r="1">
      <x v="40"/>
      <x/>
      <x/>
      <x v="5"/>
    </i>
    <i r="1">
      <x v="41"/>
      <x/>
      <x/>
      <x v="5"/>
    </i>
    <i r="1">
      <x v="42"/>
      <x/>
      <x v="1"/>
      <x v="3"/>
    </i>
    <i r="1">
      <x v="43"/>
      <x/>
      <x/>
      <x v="3"/>
    </i>
    <i r="1">
      <x v="51"/>
      <x/>
      <x/>
      <x v="4"/>
    </i>
    <i r="1">
      <x v="54"/>
      <x/>
      <x/>
      <x v="5"/>
    </i>
    <i r="1">
      <x v="55"/>
      <x/>
      <x/>
      <x v="5"/>
    </i>
    <i r="1">
      <x v="56"/>
      <x/>
      <x/>
      <x v="5"/>
    </i>
    <i t="default">
      <x/>
    </i>
    <i>
      <x v="1"/>
      <x/>
      <x v="11"/>
      <x v="12"/>
      <x v="5"/>
    </i>
    <i r="1">
      <x v="4"/>
      <x v="1"/>
      <x v="2"/>
      <x v="4"/>
    </i>
    <i r="1">
      <x v="8"/>
      <x/>
      <x v="12"/>
      <x v="5"/>
    </i>
    <i r="1">
      <x v="11"/>
      <x v="4"/>
      <x v="3"/>
      <x/>
    </i>
    <i r="1">
      <x v="14"/>
      <x/>
      <x v="12"/>
      <x v="5"/>
    </i>
    <i r="1">
      <x v="15"/>
      <x v="2"/>
      <x v="2"/>
      <x v="5"/>
    </i>
    <i r="1">
      <x v="17"/>
      <x v="5"/>
      <x v="6"/>
      <x v="4"/>
    </i>
    <i r="1">
      <x v="18"/>
      <x v="7"/>
      <x v="8"/>
      <x v="4"/>
    </i>
    <i r="1">
      <x v="19"/>
      <x v="9"/>
      <x v="11"/>
      <x/>
    </i>
    <i r="1">
      <x v="20"/>
      <x v="11"/>
      <x v="12"/>
      <x v="5"/>
    </i>
    <i r="1">
      <x v="21"/>
      <x/>
      <x v="12"/>
      <x v="5"/>
    </i>
    <i r="1">
      <x v="22"/>
      <x v="11"/>
      <x v="12"/>
      <x v="5"/>
    </i>
    <i r="1">
      <x v="23"/>
      <x/>
      <x v="12"/>
      <x v="5"/>
    </i>
    <i r="1">
      <x v="25"/>
      <x/>
      <x v="1"/>
      <x v="5"/>
    </i>
    <i r="1">
      <x v="26"/>
      <x/>
      <x v="1"/>
      <x v="4"/>
    </i>
    <i r="1">
      <x v="27"/>
      <x v="4"/>
      <x v="4"/>
      <x v="5"/>
    </i>
    <i r="1">
      <x v="29"/>
      <x v="8"/>
      <x v="9"/>
      <x v="3"/>
    </i>
    <i r="1">
      <x v="32"/>
      <x v="10"/>
      <x v="10"/>
      <x v="4"/>
    </i>
    <i r="1">
      <x v="35"/>
      <x/>
      <x v="12"/>
      <x v="5"/>
    </i>
    <i r="1">
      <x v="36"/>
      <x v="1"/>
      <x v="2"/>
      <x v="2"/>
    </i>
    <i r="2">
      <x v="11"/>
      <x v="12"/>
      <x/>
    </i>
    <i r="1">
      <x v="37"/>
      <x v="7"/>
      <x v="8"/>
      <x/>
    </i>
    <i r="1">
      <x v="48"/>
      <x v="11"/>
      <x v="12"/>
      <x v="5"/>
    </i>
    <i r="1">
      <x v="49"/>
      <x v="11"/>
      <x v="12"/>
      <x v="5"/>
    </i>
    <i r="1">
      <x v="50"/>
      <x v="11"/>
      <x v="12"/>
      <x v="5"/>
    </i>
    <i r="1">
      <x v="52"/>
      <x/>
      <x v="12"/>
      <x v="5"/>
    </i>
    <i r="1">
      <x v="53"/>
      <x/>
      <x v="12"/>
      <x v="5"/>
    </i>
    <i r="1">
      <x v="57"/>
      <x/>
      <x v="12"/>
      <x v="5"/>
    </i>
    <i r="1">
      <x v="58"/>
      <x/>
      <x v="1"/>
      <x v="5"/>
    </i>
    <i r="1">
      <x v="59"/>
      <x v="4"/>
      <x v="5"/>
      <x v="5"/>
    </i>
    <i r="1">
      <x v="60"/>
      <x/>
      <x v="12"/>
      <x v="5"/>
    </i>
    <i t="default">
      <x v="1"/>
    </i>
    <i>
      <x v="2"/>
      <x v="5"/>
      <x v="4"/>
      <x v="5"/>
      <x v="3"/>
    </i>
    <i r="1">
      <x v="8"/>
      <x v="1"/>
      <x v="12"/>
      <x v="5"/>
    </i>
    <i r="1">
      <x v="21"/>
      <x/>
      <x v="12"/>
      <x v="5"/>
    </i>
    <i r="1">
      <x v="23"/>
      <x/>
      <x v="12"/>
      <x v="5"/>
    </i>
    <i r="1">
      <x v="24"/>
      <x/>
      <x v="12"/>
      <x v="5"/>
    </i>
    <i r="1">
      <x v="27"/>
      <x v="1"/>
      <x v="12"/>
      <x v="5"/>
    </i>
    <i r="1">
      <x v="30"/>
      <x v="6"/>
      <x v="7"/>
      <x v="3"/>
    </i>
    <i r="1">
      <x v="31"/>
      <x/>
      <x v="12"/>
      <x v="5"/>
    </i>
    <i r="1">
      <x v="37"/>
      <x v="6"/>
      <x v="12"/>
      <x v="5"/>
    </i>
    <i r="1">
      <x v="52"/>
      <x/>
      <x v="12"/>
      <x v="5"/>
    </i>
    <i r="1">
      <x v="57"/>
      <x/>
      <x v="12"/>
      <x v="5"/>
    </i>
    <i t="default">
      <x v="2"/>
    </i>
    <i>
      <x v="3"/>
      <x v="45"/>
      <x v="1"/>
      <x v="2"/>
      <x v="5"/>
    </i>
    <i r="2">
      <x v="2"/>
      <x v="3"/>
      <x v="1"/>
    </i>
    <i r="1">
      <x v="46"/>
      <x/>
      <x v="1"/>
      <x v="5"/>
    </i>
    <i r="2">
      <x v="7"/>
      <x v="12"/>
      <x v="5"/>
    </i>
    <i r="1">
      <x v="47"/>
      <x v="3"/>
      <x v="12"/>
      <x v="5"/>
    </i>
    <i t="default">
      <x v="3"/>
    </i>
    <i>
      <x v="4"/>
      <x v="6"/>
      <x v="2"/>
      <x v="3"/>
      <x v="1"/>
    </i>
    <i r="1">
      <x v="7"/>
      <x v="5"/>
      <x v="6"/>
      <x v="1"/>
    </i>
    <i r="1">
      <x v="31"/>
      <x v="11"/>
      <x v="12"/>
      <x v="5"/>
    </i>
    <i r="1">
      <x v="44"/>
      <x/>
      <x v="12"/>
      <x v="1"/>
    </i>
    <i r="1">
      <x v="45"/>
      <x v="8"/>
      <x v="9"/>
      <x v="1"/>
    </i>
    <i t="default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피벗 테이블6" cacheId="6" applyNumberFormats="0" applyBorderFormats="0" applyFontFormats="0" applyPatternFormats="0" applyAlignmentFormats="0" applyWidthHeightFormats="1" dataCaption="값" updatedVersion="8" minRefreshableVersion="3" showDrill="0" useAutoFormatting="1" itemPrintTitles="1" createdVersion="8" indent="0" compact="0" compactData="0" multipleFieldFilters="0">
  <location ref="D10:K61" firstHeaderRow="1" firstDataRow="1" firstDataCol="8" rowPageCount="1" colPageCount="1"/>
  <pivotFields count="35">
    <pivotField axis="axisPage" compact="0" outline="0" multipleItemSelectionAllowed="1" showAll="0">
      <items count="5">
        <item h="1" x="1"/>
        <item h="1" x="2"/>
        <item x="0"/>
        <item h="1" x="3"/>
        <item t="default"/>
      </items>
    </pivotField>
    <pivotField compact="0" outline="0" showAll="0"/>
    <pivotField compact="0" outline="0" showAll="0"/>
    <pivotField name="Teaser" axis="axisRow" compact="0" outline="0" showAll="0" defaultSubtotal="0">
      <items count="16">
        <item x="3"/>
        <item x="0"/>
        <item x="1"/>
        <item x="10"/>
        <item x="4"/>
        <item x="5"/>
        <item x="2"/>
        <item x="15"/>
        <item x="12"/>
        <item x="11"/>
        <item x="14"/>
        <item x="7"/>
        <item x="6"/>
        <item x="9"/>
        <item x="13"/>
        <item x="8"/>
      </items>
    </pivotField>
    <pivotField axis="axisRow" compact="0" outline="0" showAll="0" defaultSubtotal="0">
      <items count="2">
        <item x="1"/>
        <item x="0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0"/>
        <item x="1"/>
        <item x="4"/>
        <item x="3"/>
        <item x="2"/>
      </items>
    </pivotField>
    <pivotField axis="axisRow" compact="0" outline="0" showAll="0" defaultSubtotal="0">
      <items count="64">
        <item x="48"/>
        <item x="1"/>
        <item x="2"/>
        <item x="3"/>
        <item x="4"/>
        <item x="5"/>
        <item x="6"/>
        <item x="7"/>
        <item x="8"/>
        <item x="9"/>
        <item x="10"/>
        <item x="22"/>
        <item x="23"/>
        <item x="24"/>
        <item x="25"/>
        <item x="26"/>
        <item x="28"/>
        <item x="30"/>
        <item x="52"/>
        <item x="14"/>
        <item x="58"/>
        <item x="55"/>
        <item x="56"/>
        <item x="60"/>
        <item m="1" x="63"/>
        <item x="59"/>
        <item x="61"/>
        <item x="62"/>
        <item x="20"/>
        <item x="21"/>
        <item x="29"/>
        <item x="50"/>
        <item x="51"/>
        <item x="13"/>
        <item x="31"/>
        <item x="32"/>
        <item x="33"/>
        <item x="34"/>
        <item x="35"/>
        <item x="36"/>
        <item x="37"/>
        <item x="38"/>
        <item x="27"/>
        <item x="54"/>
        <item x="44"/>
        <item x="11"/>
        <item x="53"/>
        <item x="47"/>
        <item x="39"/>
        <item x="15"/>
        <item x="0"/>
        <item x="12"/>
        <item x="19"/>
        <item x="57"/>
        <item x="42"/>
        <item x="40"/>
        <item x="41"/>
        <item x="18"/>
        <item x="17"/>
        <item x="16"/>
        <item x="43"/>
        <item x="49"/>
        <item x="45"/>
        <item x="46"/>
      </items>
    </pivotField>
    <pivotField axis="axisRow" compact="0" outline="0" showAll="0" defaultSubtotal="0">
      <items count="24">
        <item x="4"/>
        <item x="2"/>
        <item x="1"/>
        <item x="0"/>
        <item x="12"/>
        <item x="7"/>
        <item x="5"/>
        <item x="13"/>
        <item x="3"/>
        <item x="17"/>
        <item x="22"/>
        <item x="8"/>
        <item x="21"/>
        <item x="14"/>
        <item x="16"/>
        <item x="15"/>
        <item x="6"/>
        <item x="11"/>
        <item x="9"/>
        <item x="10"/>
        <item x="23"/>
        <item x="18"/>
        <item x="19"/>
        <item x="2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JV필요" axis="axisRow" compact="0" outline="0" showAll="0" defaultSubtotal="0">
      <items count="18">
        <item x="5"/>
        <item x="0"/>
        <item x="1"/>
        <item x="12"/>
        <item x="3"/>
        <item x="4"/>
        <item x="2"/>
        <item x="7"/>
        <item x="17"/>
        <item x="14"/>
        <item x="6"/>
        <item x="9"/>
        <item x="13"/>
        <item x="8"/>
        <item x="15"/>
        <item x="11"/>
        <item x="10"/>
        <item x="16"/>
      </items>
    </pivotField>
    <pivotField name="이관가능" axis="axisRow" compact="0" outline="0" showAll="0" defaultSubtotal="0">
      <items count="16">
        <item x="2"/>
        <item x="0"/>
        <item x="1"/>
        <item x="4"/>
        <item x="11"/>
        <item x="5"/>
        <item x="3"/>
        <item x="15"/>
        <item x="12"/>
        <item x="6"/>
        <item x="8"/>
        <item x="7"/>
        <item x="13"/>
        <item x="10"/>
        <item x="9"/>
        <item x="14"/>
      </items>
    </pivotField>
    <pivotField compact="0" outline="0" showAll="0"/>
    <pivotField compact="0" numFmtId="41" outline="0" showAll="0"/>
    <pivotField compact="0" numFmtId="41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8">
    <field x="8"/>
    <field x="9"/>
    <field x="10"/>
    <field x="3"/>
    <field x="4"/>
    <field x="20"/>
    <field x="21"/>
    <field x="28"/>
  </rowFields>
  <rowItems count="51">
    <i>
      <x/>
      <x v="1"/>
      <x v="2"/>
      <x v="2"/>
      <x v="1"/>
      <x v="2"/>
      <x v="2"/>
      <x v="3"/>
    </i>
    <i r="1">
      <x v="2"/>
      <x v="1"/>
      <x v="1"/>
      <x/>
      <x v="1"/>
      <x/>
      <x v="5"/>
    </i>
    <i r="1">
      <x v="3"/>
      <x v="1"/>
      <x v="1"/>
      <x/>
      <x v="2"/>
      <x v="1"/>
      <x v="3"/>
    </i>
    <i r="1">
      <x v="4"/>
      <x v="3"/>
      <x v="2"/>
      <x v="1"/>
      <x v="2"/>
      <x v="1"/>
      <x v="3"/>
    </i>
    <i r="1">
      <x v="5"/>
      <x v="1"/>
      <x v="1"/>
      <x v="1"/>
      <x v="1"/>
      <x/>
      <x v="5"/>
    </i>
    <i r="1">
      <x v="6"/>
      <x v="8"/>
      <x v="6"/>
      <x v="1"/>
      <x v="6"/>
      <x v="6"/>
      <x v="3"/>
    </i>
    <i r="1">
      <x v="7"/>
      <x v="2"/>
      <x v="1"/>
      <x v="1"/>
      <x v="2"/>
      <x v="2"/>
      <x v="4"/>
    </i>
    <i r="1">
      <x v="8"/>
      <x v="1"/>
      <x v="1"/>
      <x/>
      <x v="1"/>
      <x/>
      <x v="4"/>
    </i>
    <i r="1">
      <x v="9"/>
      <x v="1"/>
      <x/>
      <x v="1"/>
      <x v="1"/>
      <x/>
      <x v="4"/>
    </i>
    <i r="1">
      <x v="10"/>
      <x v="3"/>
      <x v="1"/>
      <x v="1"/>
      <x v="4"/>
      <x v="3"/>
      <x v="3"/>
    </i>
    <i r="1">
      <x v="50"/>
      <x v="3"/>
      <x v="1"/>
      <x v="1"/>
      <x v="1"/>
      <x v="1"/>
      <x v="3"/>
    </i>
    <i>
      <x v="1"/>
      <x v="11"/>
      <x/>
      <x/>
      <x v="1"/>
      <x v="1"/>
      <x/>
      <x v="5"/>
    </i>
    <i r="1">
      <x v="12"/>
      <x v="1"/>
      <x/>
      <x v="1"/>
      <x v="1"/>
      <x/>
      <x v="5"/>
    </i>
    <i r="1">
      <x v="13"/>
      <x v="1"/>
      <x v="2"/>
      <x v="1"/>
      <x v="1"/>
      <x/>
      <x v="5"/>
    </i>
    <i r="1">
      <x v="14"/>
      <x/>
      <x v="1"/>
      <x v="1"/>
      <x v="1"/>
      <x/>
      <x v="5"/>
    </i>
    <i r="1">
      <x v="15"/>
      <x v="1"/>
      <x/>
      <x v="1"/>
      <x v="1"/>
      <x v="1"/>
      <x v="5"/>
    </i>
    <i r="1">
      <x v="16"/>
      <x v="16"/>
      <x v="12"/>
      <x v="1"/>
      <x v="10"/>
      <x v="9"/>
      <x/>
    </i>
    <i r="1">
      <x v="17"/>
      <x/>
      <x v="2"/>
      <x v="1"/>
      <x v="1"/>
      <x/>
      <x v="5"/>
    </i>
    <i r="1">
      <x v="34"/>
      <x v="5"/>
      <x v="6"/>
      <x v="1"/>
      <x v="6"/>
      <x v="6"/>
      <x v="4"/>
    </i>
    <i r="1">
      <x v="35"/>
      <x v="11"/>
      <x v="11"/>
      <x v="1"/>
      <x v="13"/>
      <x v="11"/>
      <x v="4"/>
    </i>
    <i r="1">
      <x v="36"/>
      <x v="18"/>
      <x v="11"/>
      <x v="1"/>
      <x v="11"/>
      <x v="10"/>
      <x/>
    </i>
    <i r="1">
      <x v="37"/>
      <x v="19"/>
      <x v="15"/>
      <x v="1"/>
      <x v="16"/>
      <x v="14"/>
      <x v="4"/>
    </i>
    <i r="1">
      <x v="38"/>
      <x v="17"/>
      <x v="13"/>
      <x v="1"/>
      <x v="15"/>
      <x v="13"/>
      <x v="3"/>
    </i>
    <i r="1">
      <x v="39"/>
      <x v="5"/>
      <x v="3"/>
      <x v="1"/>
      <x v="3"/>
      <x v="3"/>
      <x v="4"/>
    </i>
    <i r="1">
      <x v="40"/>
      <x v="1"/>
      <x v="4"/>
      <x v="1"/>
      <x v="1"/>
      <x v="1"/>
      <x v="4"/>
    </i>
    <i r="1">
      <x v="41"/>
      <x v="4"/>
      <x v="4"/>
      <x v="1"/>
      <x/>
      <x/>
      <x v="5"/>
    </i>
    <i r="1">
      <x v="48"/>
      <x/>
      <x v="1"/>
      <x v="1"/>
      <x v="1"/>
      <x v="1"/>
      <x/>
    </i>
    <i r="2">
      <x v="5"/>
      <x v="3"/>
      <x v="1"/>
      <x v="2"/>
      <x v="2"/>
      <x v="2"/>
    </i>
    <i r="1">
      <x v="55"/>
      <x v="4"/>
      <x v="1"/>
      <x v="1"/>
      <x/>
      <x/>
      <x v="5"/>
    </i>
    <i r="1">
      <x v="56"/>
      <x v="1"/>
      <x v="1"/>
      <x v="1"/>
      <x/>
      <x/>
      <x v="5"/>
    </i>
    <i>
      <x v="2"/>
      <x v="20"/>
      <x v="4"/>
      <x v="5"/>
      <x v="1"/>
      <x v="1"/>
      <x v="1"/>
      <x v="1"/>
    </i>
    <i r="1">
      <x v="21"/>
      <x v="17"/>
      <x v="14"/>
      <x v="1"/>
      <x v="14"/>
      <x v="12"/>
      <x v="1"/>
    </i>
    <i r="1">
      <x v="22"/>
      <x v="3"/>
      <x v="3"/>
      <x v="1"/>
      <x v="17"/>
      <x v="15"/>
      <x v="5"/>
    </i>
    <i r="1">
      <x v="23"/>
      <x v="3"/>
      <x v="2"/>
      <x v="1"/>
      <x v="17"/>
      <x v="15"/>
      <x v="5"/>
    </i>
    <i r="1">
      <x v="25"/>
      <x v="1"/>
      <x v="1"/>
      <x v="1"/>
      <x v="17"/>
      <x v="15"/>
      <x v="5"/>
    </i>
    <i r="1">
      <x v="26"/>
      <x v="10"/>
      <x v="8"/>
      <x v="1"/>
      <x v="4"/>
      <x v="4"/>
      <x v="1"/>
    </i>
    <i r="1">
      <x v="27"/>
      <x v="8"/>
      <x v="7"/>
      <x v="1"/>
      <x v="8"/>
      <x v="7"/>
      <x v="1"/>
    </i>
    <i>
      <x v="3"/>
      <x v="21"/>
      <x v="5"/>
      <x/>
      <x v="1"/>
      <x v="4"/>
      <x v="4"/>
      <x v="5"/>
    </i>
    <i r="2">
      <x v="21"/>
      <x v="14"/>
      <x v="1"/>
      <x v="5"/>
      <x v="5"/>
      <x v="1"/>
    </i>
    <i r="1">
      <x v="22"/>
      <x v="12"/>
      <x/>
      <x v="1"/>
      <x v="2"/>
      <x v="2"/>
      <x v="5"/>
    </i>
    <i r="2">
      <x v="22"/>
      <x v="10"/>
      <x v="1"/>
      <x v="12"/>
      <x/>
      <x v="5"/>
    </i>
    <i r="1">
      <x v="53"/>
      <x v="23"/>
      <x/>
      <x v="1"/>
      <x v="6"/>
      <x/>
      <x v="5"/>
    </i>
    <i>
      <x v="4"/>
      <x v="11"/>
      <x/>
      <x v="1"/>
      <x/>
      <x v="1"/>
      <x/>
      <x v="5"/>
    </i>
    <i r="1">
      <x v="12"/>
      <x v="4"/>
      <x v="2"/>
      <x v="1"/>
      <x v="3"/>
      <x v="1"/>
      <x v="5"/>
    </i>
    <i r="1">
      <x v="13"/>
      <x v="2"/>
      <x v="2"/>
      <x v="1"/>
      <x v="2"/>
      <x v="1"/>
      <x v="5"/>
    </i>
    <i r="1">
      <x v="16"/>
      <x v="15"/>
      <x v="9"/>
      <x v="1"/>
      <x v="12"/>
      <x/>
      <x v="5"/>
    </i>
    <i r="1">
      <x v="17"/>
      <x v="1"/>
      <x/>
      <x v="1"/>
      <x v="2"/>
      <x v="1"/>
      <x v="5"/>
    </i>
    <i r="1">
      <x v="18"/>
      <x v="14"/>
      <x v="9"/>
      <x v="1"/>
      <x v="11"/>
      <x v="10"/>
      <x v="3"/>
    </i>
    <i r="1">
      <x v="19"/>
      <x v="9"/>
      <x v="8"/>
      <x v="1"/>
      <x v="9"/>
      <x v="8"/>
      <x v="3"/>
    </i>
    <i r="1">
      <x v="46"/>
      <x/>
      <x v="1"/>
      <x/>
      <x v="1"/>
      <x/>
      <x v="5"/>
    </i>
    <i t="grand">
      <x/>
    </i>
  </rowItems>
  <colItems count="1">
    <i/>
  </colItems>
  <pageFields count="1">
    <pageField fld="0" hier="-1"/>
  </pageFields>
  <formats count="57">
    <format dxfId="56">
      <pivotArea field="10" type="button" dataOnly="0" labelOnly="1" outline="0" axis="axisRow" fieldPosition="2"/>
    </format>
    <format dxfId="55">
      <pivotArea field="3" type="button" dataOnly="0" labelOnly="1" outline="0" axis="axisRow" fieldPosition="3"/>
    </format>
    <format dxfId="54">
      <pivotArea field="4" type="button" dataOnly="0" labelOnly="1" outline="0" axis="axisRow" fieldPosition="4"/>
    </format>
    <format dxfId="53">
      <pivotArea field="20" type="button" dataOnly="0" labelOnly="1" outline="0" axis="axisRow" fieldPosition="5"/>
    </format>
    <format dxfId="52">
      <pivotArea field="21" type="button" dataOnly="0" labelOnly="1" outline="0" axis="axisRow" fieldPosition="6"/>
    </format>
    <format dxfId="51">
      <pivotArea field="28" type="button" dataOnly="0" labelOnly="1" outline="0" axis="axisRow" fieldPosition="7"/>
    </format>
    <format dxfId="50">
      <pivotArea dataOnly="0" labelOnly="1" grandRow="1" outline="0" fieldPosition="0"/>
    </format>
    <format dxfId="49">
      <pivotArea dataOnly="0" labelOnly="1" outline="0" fieldPosition="0">
        <references count="8">
          <reference field="3" count="1" selected="0">
            <x v="2"/>
          </reference>
          <reference field="4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  <reference field="20" count="1" selected="0">
            <x v="2"/>
          </reference>
          <reference field="21" count="1" selected="0">
            <x v="2"/>
          </reference>
          <reference field="28" count="1">
            <x v="3"/>
          </reference>
        </references>
      </pivotArea>
    </format>
    <format dxfId="48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0"/>
          </reference>
          <reference field="8" count="1" selected="0">
            <x v="0"/>
          </reference>
          <reference field="9" count="1" selected="0">
            <x v="2"/>
          </reference>
          <reference field="10" count="1" selected="0">
            <x v="1"/>
          </reference>
          <reference field="20" count="1" selected="0">
            <x v="1"/>
          </reference>
          <reference field="21" count="1" selected="0">
            <x v="0"/>
          </reference>
          <reference field="28" count="1">
            <x v="5"/>
          </reference>
        </references>
      </pivotArea>
    </format>
    <format dxfId="47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0"/>
          </reference>
          <reference field="8" count="1" selected="0">
            <x v="0"/>
          </reference>
          <reference field="9" count="1" selected="0">
            <x v="3"/>
          </reference>
          <reference field="10" count="1" selected="0">
            <x v="1"/>
          </reference>
          <reference field="20" count="1" selected="0">
            <x v="2"/>
          </reference>
          <reference field="21" count="1" selected="0">
            <x v="1"/>
          </reference>
          <reference field="28" count="1">
            <x v="3"/>
          </reference>
        </references>
      </pivotArea>
    </format>
    <format dxfId="46">
      <pivotArea dataOnly="0" labelOnly="1" outline="0" fieldPosition="0">
        <references count="8">
          <reference field="3" count="1" selected="0">
            <x v="2"/>
          </reference>
          <reference field="4" count="1" selected="0">
            <x v="1"/>
          </reference>
          <reference field="8" count="1" selected="0">
            <x v="0"/>
          </reference>
          <reference field="9" count="1" selected="0">
            <x v="4"/>
          </reference>
          <reference field="10" count="1" selected="0">
            <x v="3"/>
          </reference>
          <reference field="20" count="1" selected="0">
            <x v="2"/>
          </reference>
          <reference field="21" count="1" selected="0">
            <x v="1"/>
          </reference>
          <reference field="28" count="1">
            <x v="3"/>
          </reference>
        </references>
      </pivotArea>
    </format>
    <format dxfId="45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1"/>
          </reference>
          <reference field="8" count="1" selected="0">
            <x v="0"/>
          </reference>
          <reference field="9" count="1" selected="0">
            <x v="5"/>
          </reference>
          <reference field="10" count="1" selected="0">
            <x v="1"/>
          </reference>
          <reference field="20" count="1" selected="0">
            <x v="1"/>
          </reference>
          <reference field="21" count="1" selected="0">
            <x v="0"/>
          </reference>
          <reference field="28" count="1">
            <x v="5"/>
          </reference>
        </references>
      </pivotArea>
    </format>
    <format dxfId="44">
      <pivotArea dataOnly="0" labelOnly="1" outline="0" fieldPosition="0">
        <references count="8">
          <reference field="3" count="1" selected="0">
            <x v="6"/>
          </reference>
          <reference field="4" count="1" selected="0">
            <x v="1"/>
          </reference>
          <reference field="8" count="1" selected="0">
            <x v="0"/>
          </reference>
          <reference field="9" count="1" selected="0">
            <x v="6"/>
          </reference>
          <reference field="10" count="1" selected="0">
            <x v="8"/>
          </reference>
          <reference field="20" count="1" selected="0">
            <x v="6"/>
          </reference>
          <reference field="21" count="1" selected="0">
            <x v="6"/>
          </reference>
          <reference field="28" count="1">
            <x v="3"/>
          </reference>
        </references>
      </pivotArea>
    </format>
    <format dxfId="43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1"/>
          </reference>
          <reference field="8" count="1" selected="0">
            <x v="0"/>
          </reference>
          <reference field="9" count="1" selected="0">
            <x v="7"/>
          </reference>
          <reference field="10" count="1" selected="0">
            <x v="2"/>
          </reference>
          <reference field="20" count="1" selected="0">
            <x v="2"/>
          </reference>
          <reference field="21" count="1" selected="0">
            <x v="2"/>
          </reference>
          <reference field="28" count="1">
            <x v="4"/>
          </reference>
        </references>
      </pivotArea>
    </format>
    <format dxfId="42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0"/>
          </reference>
          <reference field="8" count="1" selected="0">
            <x v="0"/>
          </reference>
          <reference field="9" count="1" selected="0">
            <x v="8"/>
          </reference>
          <reference field="10" count="1" selected="0">
            <x v="1"/>
          </reference>
          <reference field="20" count="1" selected="0">
            <x v="1"/>
          </reference>
          <reference field="21" count="1" selected="0">
            <x v="0"/>
          </reference>
          <reference field="28" count="1">
            <x v="4"/>
          </reference>
        </references>
      </pivotArea>
    </format>
    <format dxfId="41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1"/>
          </reference>
          <reference field="8" count="1" selected="0">
            <x v="0"/>
          </reference>
          <reference field="9" count="1" selected="0">
            <x v="9"/>
          </reference>
          <reference field="10" count="1" selected="0">
            <x v="1"/>
          </reference>
          <reference field="20" count="1" selected="0">
            <x v="1"/>
          </reference>
          <reference field="21" count="1" selected="0">
            <x v="0"/>
          </reference>
          <reference field="28" count="1">
            <x v="4"/>
          </reference>
        </references>
      </pivotArea>
    </format>
    <format dxfId="40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1"/>
          </reference>
          <reference field="8" count="1" selected="0">
            <x v="0"/>
          </reference>
          <reference field="9" count="1" selected="0">
            <x v="10"/>
          </reference>
          <reference field="10" count="1" selected="0">
            <x v="3"/>
          </reference>
          <reference field="20" count="1" selected="0">
            <x v="4"/>
          </reference>
          <reference field="21" count="1" selected="0">
            <x v="3"/>
          </reference>
          <reference field="28" count="1">
            <x v="3"/>
          </reference>
        </references>
      </pivotArea>
    </format>
    <format dxfId="39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1"/>
          </reference>
          <reference field="8" count="1" selected="0">
            <x v="0"/>
          </reference>
          <reference field="9" count="1" selected="0">
            <x v="50"/>
          </reference>
          <reference field="10" count="1" selected="0">
            <x v="3"/>
          </reference>
          <reference field="20" count="1" selected="0">
            <x v="1"/>
          </reference>
          <reference field="21" count="1" selected="0">
            <x v="1"/>
          </reference>
          <reference field="28" count="1">
            <x v="3"/>
          </reference>
        </references>
      </pivotArea>
    </format>
    <format dxfId="38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11"/>
          </reference>
          <reference field="10" count="1" selected="0">
            <x v="0"/>
          </reference>
          <reference field="20" count="1" selected="0">
            <x v="1"/>
          </reference>
          <reference field="21" count="1" selected="0">
            <x v="0"/>
          </reference>
          <reference field="28" count="1">
            <x v="5"/>
          </reference>
        </references>
      </pivotArea>
    </format>
    <format dxfId="37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12"/>
          </reference>
          <reference field="10" count="1" selected="0">
            <x v="1"/>
          </reference>
          <reference field="20" count="1" selected="0">
            <x v="1"/>
          </reference>
          <reference field="21" count="1" selected="0">
            <x v="0"/>
          </reference>
          <reference field="28" count="1">
            <x v="5"/>
          </reference>
        </references>
      </pivotArea>
    </format>
    <format dxfId="36">
      <pivotArea dataOnly="0" labelOnly="1" outline="0" fieldPosition="0">
        <references count="8">
          <reference field="3" count="1" selected="0">
            <x v="2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13"/>
          </reference>
          <reference field="10" count="1" selected="0">
            <x v="1"/>
          </reference>
          <reference field="20" count="1" selected="0">
            <x v="1"/>
          </reference>
          <reference field="21" count="1" selected="0">
            <x v="0"/>
          </reference>
          <reference field="28" count="1">
            <x v="5"/>
          </reference>
        </references>
      </pivotArea>
    </format>
    <format dxfId="35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14"/>
          </reference>
          <reference field="10" count="1" selected="0">
            <x v="0"/>
          </reference>
          <reference field="20" count="1" selected="0">
            <x v="1"/>
          </reference>
          <reference field="21" count="1" selected="0">
            <x v="0"/>
          </reference>
          <reference field="28" count="1">
            <x v="5"/>
          </reference>
        </references>
      </pivotArea>
    </format>
    <format dxfId="34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15"/>
          </reference>
          <reference field="10" count="1" selected="0">
            <x v="1"/>
          </reference>
          <reference field="20" count="1" selected="0">
            <x v="1"/>
          </reference>
          <reference field="21" count="1" selected="0">
            <x v="1"/>
          </reference>
          <reference field="28" count="1">
            <x v="5"/>
          </reference>
        </references>
      </pivotArea>
    </format>
    <format dxfId="33">
      <pivotArea dataOnly="0" labelOnly="1" outline="0" fieldPosition="0">
        <references count="8">
          <reference field="3" count="1" selected="0">
            <x v="12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16"/>
          </reference>
          <reference field="10" count="1" selected="0">
            <x v="16"/>
          </reference>
          <reference field="20" count="1" selected="0">
            <x v="10"/>
          </reference>
          <reference field="21" count="1" selected="0">
            <x v="9"/>
          </reference>
          <reference field="28" count="1">
            <x v="0"/>
          </reference>
        </references>
      </pivotArea>
    </format>
    <format dxfId="32">
      <pivotArea dataOnly="0" labelOnly="1" outline="0" fieldPosition="0">
        <references count="8">
          <reference field="3" count="1" selected="0">
            <x v="2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17"/>
          </reference>
          <reference field="10" count="1" selected="0">
            <x v="0"/>
          </reference>
          <reference field="20" count="1" selected="0">
            <x v="1"/>
          </reference>
          <reference field="21" count="1" selected="0">
            <x v="0"/>
          </reference>
          <reference field="28" count="1">
            <x v="5"/>
          </reference>
        </references>
      </pivotArea>
    </format>
    <format dxfId="31">
      <pivotArea dataOnly="0" labelOnly="1" outline="0" fieldPosition="0">
        <references count="8">
          <reference field="3" count="1" selected="0">
            <x v="6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34"/>
          </reference>
          <reference field="10" count="1" selected="0">
            <x v="5"/>
          </reference>
          <reference field="20" count="1" selected="0">
            <x v="6"/>
          </reference>
          <reference field="21" count="1" selected="0">
            <x v="6"/>
          </reference>
          <reference field="28" count="1">
            <x v="4"/>
          </reference>
        </references>
      </pivotArea>
    </format>
    <format dxfId="30">
      <pivotArea dataOnly="0" labelOnly="1" outline="0" fieldPosition="0">
        <references count="8">
          <reference field="3" count="1" selected="0">
            <x v="11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35"/>
          </reference>
          <reference field="10" count="1" selected="0">
            <x v="11"/>
          </reference>
          <reference field="20" count="1" selected="0">
            <x v="13"/>
          </reference>
          <reference field="21" count="1" selected="0">
            <x v="11"/>
          </reference>
          <reference field="28" count="1">
            <x v="4"/>
          </reference>
        </references>
      </pivotArea>
    </format>
    <format dxfId="29">
      <pivotArea dataOnly="0" labelOnly="1" outline="0" fieldPosition="0">
        <references count="8">
          <reference field="3" count="1" selected="0">
            <x v="11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36"/>
          </reference>
          <reference field="10" count="1" selected="0">
            <x v="18"/>
          </reference>
          <reference field="20" count="1" selected="0">
            <x v="11"/>
          </reference>
          <reference field="21" count="1" selected="0">
            <x v="10"/>
          </reference>
          <reference field="28" count="1">
            <x v="0"/>
          </reference>
        </references>
      </pivotArea>
    </format>
    <format dxfId="28">
      <pivotArea dataOnly="0" labelOnly="1" outline="0" fieldPosition="0">
        <references count="8">
          <reference field="3" count="1" selected="0">
            <x v="15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37"/>
          </reference>
          <reference field="10" count="1" selected="0">
            <x v="19"/>
          </reference>
          <reference field="20" count="1" selected="0">
            <x v="16"/>
          </reference>
          <reference field="21" count="1" selected="0">
            <x v="14"/>
          </reference>
          <reference field="28" count="1">
            <x v="4"/>
          </reference>
        </references>
      </pivotArea>
    </format>
    <format dxfId="27">
      <pivotArea dataOnly="0" labelOnly="1" outline="0" fieldPosition="0">
        <references count="8">
          <reference field="3" count="1" selected="0">
            <x v="13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38"/>
          </reference>
          <reference field="10" count="1" selected="0">
            <x v="17"/>
          </reference>
          <reference field="20" count="1" selected="0">
            <x v="15"/>
          </reference>
          <reference field="21" count="1" selected="0">
            <x v="13"/>
          </reference>
          <reference field="28" count="1">
            <x v="3"/>
          </reference>
        </references>
      </pivotArea>
    </format>
    <format dxfId="26">
      <pivotArea dataOnly="0" labelOnly="1" outline="0" fieldPosition="0">
        <references count="8">
          <reference field="3" count="1" selected="0">
            <x v="3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39"/>
          </reference>
          <reference field="10" count="1" selected="0">
            <x v="5"/>
          </reference>
          <reference field="20" count="1" selected="0">
            <x v="3"/>
          </reference>
          <reference field="21" count="1" selected="0">
            <x v="3"/>
          </reference>
          <reference field="28" count="1">
            <x v="4"/>
          </reference>
        </references>
      </pivotArea>
    </format>
    <format dxfId="25">
      <pivotArea dataOnly="0" labelOnly="1" outline="0" fieldPosition="0">
        <references count="8">
          <reference field="3" count="1" selected="0">
            <x v="4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40"/>
          </reference>
          <reference field="10" count="1" selected="0">
            <x v="1"/>
          </reference>
          <reference field="20" count="1" selected="0">
            <x v="1"/>
          </reference>
          <reference field="21" count="1" selected="0">
            <x v="1"/>
          </reference>
          <reference field="28" count="1">
            <x v="4"/>
          </reference>
        </references>
      </pivotArea>
    </format>
    <format dxfId="24">
      <pivotArea dataOnly="0" labelOnly="1" outline="0" fieldPosition="0">
        <references count="8">
          <reference field="3" count="1" selected="0">
            <x v="4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41"/>
          </reference>
          <reference field="10" count="1" selected="0">
            <x v="4"/>
          </reference>
          <reference field="20" count="1" selected="0">
            <x v="0"/>
          </reference>
          <reference field="21" count="1" selected="0">
            <x v="0"/>
          </reference>
          <reference field="28" count="1">
            <x v="5"/>
          </reference>
        </references>
      </pivotArea>
    </format>
    <format dxfId="23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48"/>
          </reference>
          <reference field="10" count="1" selected="0">
            <x v="0"/>
          </reference>
          <reference field="20" count="1" selected="0">
            <x v="1"/>
          </reference>
          <reference field="21" count="1" selected="0">
            <x v="1"/>
          </reference>
          <reference field="28" count="1">
            <x v="0"/>
          </reference>
        </references>
      </pivotArea>
    </format>
    <format dxfId="22">
      <pivotArea dataOnly="0" labelOnly="1" outline="0" fieldPosition="0">
        <references count="8">
          <reference field="3" count="1" selected="0">
            <x v="3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48"/>
          </reference>
          <reference field="10" count="1" selected="0">
            <x v="5"/>
          </reference>
          <reference field="20" count="1" selected="0">
            <x v="2"/>
          </reference>
          <reference field="21" count="1" selected="0">
            <x v="2"/>
          </reference>
          <reference field="28" count="1">
            <x v="2"/>
          </reference>
        </references>
      </pivotArea>
    </format>
    <format dxfId="21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55"/>
          </reference>
          <reference field="10" count="1" selected="0">
            <x v="4"/>
          </reference>
          <reference field="20" count="1" selected="0">
            <x v="0"/>
          </reference>
          <reference field="21" count="1" selected="0">
            <x v="0"/>
          </reference>
          <reference field="28" count="1">
            <x v="5"/>
          </reference>
        </references>
      </pivotArea>
    </format>
    <format dxfId="20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1"/>
          </reference>
          <reference field="8" count="1" selected="0">
            <x v="1"/>
          </reference>
          <reference field="9" count="1" selected="0">
            <x v="56"/>
          </reference>
          <reference field="10" count="1" selected="0">
            <x v="1"/>
          </reference>
          <reference field="20" count="1" selected="0">
            <x v="0"/>
          </reference>
          <reference field="21" count="1" selected="0">
            <x v="0"/>
          </reference>
          <reference field="28" count="1">
            <x v="5"/>
          </reference>
        </references>
      </pivotArea>
    </format>
    <format dxfId="19">
      <pivotArea dataOnly="0" labelOnly="1" outline="0" fieldPosition="0">
        <references count="8">
          <reference field="3" count="1" selected="0">
            <x v="5"/>
          </reference>
          <reference field="4" count="1" selected="0">
            <x v="1"/>
          </reference>
          <reference field="8" count="1" selected="0">
            <x v="2"/>
          </reference>
          <reference field="9" count="1" selected="0">
            <x v="20"/>
          </reference>
          <reference field="10" count="1" selected="0">
            <x v="4"/>
          </reference>
          <reference field="20" count="1" selected="0">
            <x v="1"/>
          </reference>
          <reference field="21" count="1" selected="0">
            <x v="0"/>
          </reference>
          <reference field="28" count="1">
            <x v="1"/>
          </reference>
        </references>
      </pivotArea>
    </format>
    <format dxfId="18">
      <pivotArea dataOnly="0" labelOnly="1" outline="0" fieldPosition="0">
        <references count="8">
          <reference field="3" count="1" selected="0">
            <x v="14"/>
          </reference>
          <reference field="4" count="1" selected="0">
            <x v="1"/>
          </reference>
          <reference field="8" count="1" selected="0">
            <x v="2"/>
          </reference>
          <reference field="9" count="1" selected="0">
            <x v="21"/>
          </reference>
          <reference field="10" count="1" selected="0">
            <x v="17"/>
          </reference>
          <reference field="20" count="1" selected="0">
            <x v="14"/>
          </reference>
          <reference field="21" count="1" selected="0">
            <x v="12"/>
          </reference>
          <reference field="28" count="1">
            <x v="1"/>
          </reference>
        </references>
      </pivotArea>
    </format>
    <format dxfId="17">
      <pivotArea dataOnly="0" labelOnly="1" outline="0" fieldPosition="0">
        <references count="8">
          <reference field="3" count="1" selected="0">
            <x v="3"/>
          </reference>
          <reference field="4" count="1" selected="0">
            <x v="1"/>
          </reference>
          <reference field="8" count="1" selected="0">
            <x v="2"/>
          </reference>
          <reference field="9" count="1" selected="0">
            <x v="22"/>
          </reference>
          <reference field="10" count="1" selected="0">
            <x v="3"/>
          </reference>
          <reference field="20" count="1" selected="0">
            <x v="17"/>
          </reference>
          <reference field="21" count="1" selected="0">
            <x v="15"/>
          </reference>
          <reference field="28" count="1">
            <x v="5"/>
          </reference>
        </references>
      </pivotArea>
    </format>
    <format dxfId="16">
      <pivotArea dataOnly="0" labelOnly="1" outline="0" fieldPosition="0">
        <references count="8">
          <reference field="3" count="1" selected="0">
            <x v="2"/>
          </reference>
          <reference field="4" count="1" selected="0">
            <x v="1"/>
          </reference>
          <reference field="8" count="1" selected="0">
            <x v="2"/>
          </reference>
          <reference field="9" count="1" selected="0">
            <x v="23"/>
          </reference>
          <reference field="10" count="1" selected="0">
            <x v="3"/>
          </reference>
          <reference field="20" count="1" selected="0">
            <x v="17"/>
          </reference>
          <reference field="21" count="1" selected="0">
            <x v="15"/>
          </reference>
          <reference field="28" count="1">
            <x v="5"/>
          </reference>
        </references>
      </pivotArea>
    </format>
    <format dxfId="15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1"/>
          </reference>
          <reference field="8" count="1" selected="0">
            <x v="2"/>
          </reference>
          <reference field="9" count="1" selected="0">
            <x v="25"/>
          </reference>
          <reference field="10" count="1" selected="0">
            <x v="1"/>
          </reference>
          <reference field="20" count="1" selected="0">
            <x v="17"/>
          </reference>
          <reference field="21" count="1" selected="0">
            <x v="15"/>
          </reference>
          <reference field="28" count="1">
            <x v="5"/>
          </reference>
        </references>
      </pivotArea>
    </format>
    <format dxfId="14">
      <pivotArea dataOnly="0" labelOnly="1" outline="0" fieldPosition="0">
        <references count="8">
          <reference field="3" count="1" selected="0">
            <x v="8"/>
          </reference>
          <reference field="4" count="1" selected="0">
            <x v="1"/>
          </reference>
          <reference field="8" count="1" selected="0">
            <x v="2"/>
          </reference>
          <reference field="9" count="1" selected="0">
            <x v="26"/>
          </reference>
          <reference field="10" count="1" selected="0">
            <x v="10"/>
          </reference>
          <reference field="20" count="1" selected="0">
            <x v="4"/>
          </reference>
          <reference field="21" count="1" selected="0">
            <x v="4"/>
          </reference>
          <reference field="28" count="1">
            <x v="1"/>
          </reference>
        </references>
      </pivotArea>
    </format>
    <format dxfId="13">
      <pivotArea dataOnly="0" labelOnly="1" outline="0" fieldPosition="0">
        <references count="8">
          <reference field="3" count="1" selected="0">
            <x v="7"/>
          </reference>
          <reference field="4" count="1" selected="0">
            <x v="1"/>
          </reference>
          <reference field="8" count="1" selected="0">
            <x v="2"/>
          </reference>
          <reference field="9" count="1" selected="0">
            <x v="27"/>
          </reference>
          <reference field="10" count="1" selected="0">
            <x v="8"/>
          </reference>
          <reference field="20" count="1" selected="0">
            <x v="8"/>
          </reference>
          <reference field="21" count="1" selected="0">
            <x v="7"/>
          </reference>
          <reference field="28" count="1">
            <x v="1"/>
          </reference>
        </references>
      </pivotArea>
    </format>
    <format dxfId="12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1"/>
          </reference>
          <reference field="8" count="1" selected="0">
            <x v="3"/>
          </reference>
          <reference field="9" count="1" selected="0">
            <x v="21"/>
          </reference>
          <reference field="10" count="1" selected="0">
            <x v="5"/>
          </reference>
          <reference field="20" count="1" selected="0">
            <x v="4"/>
          </reference>
          <reference field="21" count="1" selected="0">
            <x v="4"/>
          </reference>
          <reference field="28" count="1">
            <x v="5"/>
          </reference>
        </references>
      </pivotArea>
    </format>
    <format dxfId="11">
      <pivotArea dataOnly="0" labelOnly="1" outline="0" fieldPosition="0">
        <references count="8">
          <reference field="3" count="1" selected="0">
            <x v="14"/>
          </reference>
          <reference field="4" count="1" selected="0">
            <x v="1"/>
          </reference>
          <reference field="8" count="1" selected="0">
            <x v="3"/>
          </reference>
          <reference field="9" count="1" selected="0">
            <x v="21"/>
          </reference>
          <reference field="10" count="1" selected="0">
            <x v="21"/>
          </reference>
          <reference field="20" count="1" selected="0">
            <x v="5"/>
          </reference>
          <reference field="21" count="1" selected="0">
            <x v="5"/>
          </reference>
          <reference field="28" count="1">
            <x v="1"/>
          </reference>
        </references>
      </pivotArea>
    </format>
    <format dxfId="10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1"/>
          </reference>
          <reference field="8" count="1" selected="0">
            <x v="3"/>
          </reference>
          <reference field="9" count="1" selected="0">
            <x v="22"/>
          </reference>
          <reference field="10" count="1" selected="0">
            <x v="12"/>
          </reference>
          <reference field="20" count="1" selected="0">
            <x v="2"/>
          </reference>
          <reference field="21" count="1" selected="0">
            <x v="2"/>
          </reference>
          <reference field="28" count="1">
            <x v="5"/>
          </reference>
        </references>
      </pivotArea>
    </format>
    <format dxfId="9">
      <pivotArea dataOnly="0" labelOnly="1" outline="0" fieldPosition="0">
        <references count="8">
          <reference field="3" count="1" selected="0">
            <x v="10"/>
          </reference>
          <reference field="4" count="1" selected="0">
            <x v="1"/>
          </reference>
          <reference field="8" count="1" selected="0">
            <x v="3"/>
          </reference>
          <reference field="9" count="1" selected="0">
            <x v="22"/>
          </reference>
          <reference field="10" count="1" selected="0">
            <x v="22"/>
          </reference>
          <reference field="20" count="1" selected="0">
            <x v="12"/>
          </reference>
          <reference field="21" count="1" selected="0">
            <x v="0"/>
          </reference>
          <reference field="28" count="1">
            <x v="5"/>
          </reference>
        </references>
      </pivotArea>
    </format>
    <format dxfId="8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1"/>
          </reference>
          <reference field="8" count="1" selected="0">
            <x v="3"/>
          </reference>
          <reference field="9" count="1" selected="0">
            <x v="53"/>
          </reference>
          <reference field="10" count="1" selected="0">
            <x v="23"/>
          </reference>
          <reference field="20" count="1" selected="0">
            <x v="6"/>
          </reference>
          <reference field="21" count="1" selected="0">
            <x v="0"/>
          </reference>
          <reference field="28" count="1">
            <x v="5"/>
          </reference>
        </references>
      </pivotArea>
    </format>
    <format dxfId="7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0"/>
          </reference>
          <reference field="8" count="1" selected="0">
            <x v="4"/>
          </reference>
          <reference field="9" count="1" selected="0">
            <x v="11"/>
          </reference>
          <reference field="10" count="1" selected="0">
            <x v="0"/>
          </reference>
          <reference field="20" count="1" selected="0">
            <x v="1"/>
          </reference>
          <reference field="21" count="1" selected="0">
            <x v="0"/>
          </reference>
          <reference field="28" count="1">
            <x v="5"/>
          </reference>
        </references>
      </pivotArea>
    </format>
    <format dxfId="6">
      <pivotArea dataOnly="0" labelOnly="1" outline="0" fieldPosition="0">
        <references count="8">
          <reference field="3" count="1" selected="0">
            <x v="2"/>
          </reference>
          <reference field="4" count="1" selected="0">
            <x v="1"/>
          </reference>
          <reference field="8" count="1" selected="0">
            <x v="4"/>
          </reference>
          <reference field="9" count="1" selected="0">
            <x v="12"/>
          </reference>
          <reference field="10" count="1" selected="0">
            <x v="4"/>
          </reference>
          <reference field="20" count="1" selected="0">
            <x v="3"/>
          </reference>
          <reference field="21" count="1" selected="0">
            <x v="1"/>
          </reference>
          <reference field="28" count="1">
            <x v="5"/>
          </reference>
        </references>
      </pivotArea>
    </format>
    <format dxfId="5">
      <pivotArea dataOnly="0" labelOnly="1" outline="0" fieldPosition="0">
        <references count="8">
          <reference field="3" count="1" selected="0">
            <x v="2"/>
          </reference>
          <reference field="4" count="1" selected="0">
            <x v="1"/>
          </reference>
          <reference field="8" count="1" selected="0">
            <x v="4"/>
          </reference>
          <reference field="9" count="1" selected="0">
            <x v="13"/>
          </reference>
          <reference field="10" count="1" selected="0">
            <x v="2"/>
          </reference>
          <reference field="20" count="1" selected="0">
            <x v="2"/>
          </reference>
          <reference field="21" count="1" selected="0">
            <x v="1"/>
          </reference>
          <reference field="28" count="1">
            <x v="5"/>
          </reference>
        </references>
      </pivotArea>
    </format>
    <format dxfId="4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1"/>
          </reference>
          <reference field="8" count="1" selected="0">
            <x v="4"/>
          </reference>
          <reference field="9" count="1" selected="0">
            <x v="16"/>
          </reference>
          <reference field="10" count="1" selected="0">
            <x v="15"/>
          </reference>
          <reference field="20" count="1" selected="0">
            <x v="12"/>
          </reference>
          <reference field="21" count="1" selected="0">
            <x v="0"/>
          </reference>
          <reference field="28" count="1">
            <x v="5"/>
          </reference>
        </references>
      </pivotArea>
    </format>
    <format dxfId="3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1"/>
          </reference>
          <reference field="8" count="1" selected="0">
            <x v="4"/>
          </reference>
          <reference field="9" count="1" selected="0">
            <x v="17"/>
          </reference>
          <reference field="10" count="1" selected="0">
            <x v="1"/>
          </reference>
          <reference field="20" count="1" selected="0">
            <x v="2"/>
          </reference>
          <reference field="21" count="1" selected="0">
            <x v="1"/>
          </reference>
          <reference field="28" count="1">
            <x v="5"/>
          </reference>
        </references>
      </pivotArea>
    </format>
    <format dxfId="2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1"/>
          </reference>
          <reference field="8" count="1" selected="0">
            <x v="4"/>
          </reference>
          <reference field="9" count="1" selected="0">
            <x v="18"/>
          </reference>
          <reference field="10" count="1" selected="0">
            <x v="14"/>
          </reference>
          <reference field="20" count="1" selected="0">
            <x v="11"/>
          </reference>
          <reference field="21" count="1" selected="0">
            <x v="10"/>
          </reference>
          <reference field="28" count="1">
            <x v="3"/>
          </reference>
        </references>
      </pivotArea>
    </format>
    <format dxfId="1">
      <pivotArea dataOnly="0" labelOnly="1" outline="0" fieldPosition="0">
        <references count="8">
          <reference field="3" count="1" selected="0">
            <x v="8"/>
          </reference>
          <reference field="4" count="1" selected="0">
            <x v="1"/>
          </reference>
          <reference field="8" count="1" selected="0">
            <x v="4"/>
          </reference>
          <reference field="9" count="1" selected="0">
            <x v="19"/>
          </reference>
          <reference field="10" count="1" selected="0">
            <x v="9"/>
          </reference>
          <reference field="20" count="1" selected="0">
            <x v="9"/>
          </reference>
          <reference field="21" count="1" selected="0">
            <x v="8"/>
          </reference>
          <reference field="28" count="1">
            <x v="3"/>
          </reference>
        </references>
      </pivotArea>
    </format>
    <format dxfId="0">
      <pivotArea dataOnly="0" labelOnly="1" outline="0" fieldPosition="0">
        <references count="8">
          <reference field="3" count="1" selected="0">
            <x v="1"/>
          </reference>
          <reference field="4" count="1" selected="0">
            <x v="0"/>
          </reference>
          <reference field="8" count="1" selected="0">
            <x v="4"/>
          </reference>
          <reference field="9" count="1" selected="0">
            <x v="46"/>
          </reference>
          <reference field="10" count="1" selected="0">
            <x v="0"/>
          </reference>
          <reference field="20" count="1" selected="0">
            <x v="1"/>
          </reference>
          <reference field="21" count="1" selected="0">
            <x v="0"/>
          </reference>
          <reference field="28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피벗 테이블4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J4:N79" firstHeaderRow="1" firstDataRow="1" firstDataCol="5"/>
  <pivotFields count="26">
    <pivotField compact="0" outline="0" showAll="0"/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Row" compact="0" outline="0" showAll="0" defaultSubtotal="0">
      <items count="61">
        <item x="48"/>
        <item x="1"/>
        <item x="2"/>
        <item x="3"/>
        <item x="4"/>
        <item x="5"/>
        <item x="6"/>
        <item x="36"/>
        <item x="7"/>
        <item x="8"/>
        <item x="9"/>
        <item x="10"/>
        <item x="0"/>
        <item x="14"/>
        <item x="59"/>
        <item x="60"/>
        <item x="23"/>
        <item x="15"/>
        <item x="20"/>
        <item x="21"/>
        <item x="29"/>
        <item x="50"/>
        <item x="51"/>
        <item x="13"/>
        <item x="31"/>
        <item x="32"/>
        <item x="33"/>
        <item x="38"/>
        <item x="22"/>
        <item x="27"/>
        <item x="24"/>
        <item x="54"/>
        <item x="26"/>
        <item x="37"/>
        <item x="44"/>
        <item x="11"/>
        <item x="35"/>
        <item x="52"/>
        <item x="53"/>
        <item x="34"/>
        <item x="47"/>
        <item x="39"/>
        <item x="28"/>
        <item x="12"/>
        <item x="19"/>
        <item x="58"/>
        <item x="55"/>
        <item x="56"/>
        <item x="57"/>
        <item x="42"/>
        <item x="41"/>
        <item x="40"/>
        <item x="30"/>
        <item x="25"/>
        <item x="18"/>
        <item x="17"/>
        <item x="16"/>
        <item x="43"/>
        <item x="49"/>
        <item x="45"/>
        <item x="46"/>
      </items>
    </pivotField>
    <pivotField compact="0" outline="0" showAll="0"/>
    <pivotField axis="axisRow" compact="0" outline="0" showAll="0" defaultSubtotal="0">
      <items count="12">
        <item x="0"/>
        <item x="10"/>
        <item x="1"/>
        <item x="2"/>
        <item x="5"/>
        <item x="6"/>
        <item x="11"/>
        <item x="4"/>
        <item x="9"/>
        <item x="7"/>
        <item x="8"/>
        <item x="3"/>
      </items>
    </pivotField>
    <pivotField axis="axisRow" compact="0" outline="0" showAll="0" defaultSubtotal="0">
      <items count="13">
        <item x="1"/>
        <item x="0"/>
        <item x="3"/>
        <item x="2"/>
        <item x="10"/>
        <item x="11"/>
        <item x="6"/>
        <item x="12"/>
        <item x="5"/>
        <item x="9"/>
        <item x="8"/>
        <item x="7"/>
        <item x="4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1"/>
    <field x="2"/>
    <field x="4"/>
    <field x="5"/>
    <field x="19"/>
  </rowFields>
  <rowItems count="75">
    <i>
      <x/>
      <x v="1"/>
      <x/>
      <x v="1"/>
      <x v="3"/>
    </i>
    <i r="1">
      <x v="2"/>
      <x/>
      <x/>
      <x v="5"/>
    </i>
    <i r="1">
      <x v="3"/>
      <x/>
      <x/>
      <x v="3"/>
    </i>
    <i r="1">
      <x v="4"/>
      <x/>
      <x/>
      <x v="3"/>
    </i>
    <i r="1">
      <x v="5"/>
      <x/>
      <x/>
      <x v="5"/>
    </i>
    <i r="1">
      <x v="6"/>
      <x v="2"/>
      <x v="3"/>
      <x v="3"/>
    </i>
    <i r="1">
      <x v="8"/>
      <x/>
      <x v="1"/>
      <x v="4"/>
    </i>
    <i r="1">
      <x v="9"/>
      <x/>
      <x/>
      <x v="4"/>
    </i>
    <i r="1">
      <x v="10"/>
      <x/>
      <x/>
      <x v="4"/>
    </i>
    <i r="1">
      <x v="11"/>
      <x v="2"/>
      <x v="2"/>
      <x v="3"/>
    </i>
    <i r="1">
      <x v="12"/>
      <x/>
      <x v="1"/>
      <x v="3"/>
    </i>
    <i r="1">
      <x v="13"/>
      <x v="2"/>
      <x v="3"/>
      <x v="3"/>
    </i>
    <i r="1">
      <x v="17"/>
      <x v="3"/>
      <x/>
      <x v="5"/>
    </i>
    <i r="1">
      <x v="18"/>
      <x/>
      <x/>
      <x v="5"/>
    </i>
    <i r="1">
      <x v="19"/>
      <x/>
      <x v="12"/>
      <x v="5"/>
    </i>
    <i r="1">
      <x v="23"/>
      <x/>
      <x v="1"/>
      <x v="2"/>
    </i>
    <i r="1">
      <x v="35"/>
      <x/>
      <x/>
      <x v="5"/>
    </i>
    <i r="1">
      <x v="43"/>
      <x/>
      <x/>
      <x v="5"/>
    </i>
    <i r="1">
      <x v="44"/>
      <x/>
      <x/>
      <x v="5"/>
    </i>
    <i r="1">
      <x v="54"/>
      <x/>
      <x/>
      <x v="5"/>
    </i>
    <i r="1">
      <x v="55"/>
      <x/>
      <x/>
      <x v="5"/>
    </i>
    <i r="1">
      <x v="56"/>
      <x/>
      <x/>
      <x v="5"/>
    </i>
    <i>
      <x v="1"/>
      <x/>
      <x v="11"/>
      <x v="12"/>
      <x v="5"/>
    </i>
    <i r="1">
      <x v="7"/>
      <x v="1"/>
      <x v="2"/>
      <x v="4"/>
    </i>
    <i r="1">
      <x v="16"/>
      <x/>
      <x v="12"/>
      <x v="5"/>
    </i>
    <i r="1">
      <x v="20"/>
      <x v="4"/>
      <x v="3"/>
      <x/>
    </i>
    <i r="1">
      <x v="21"/>
      <x/>
      <x v="12"/>
      <x v="5"/>
    </i>
    <i r="1">
      <x v="22"/>
      <x v="2"/>
      <x v="2"/>
      <x v="5"/>
    </i>
    <i r="1">
      <x v="24"/>
      <x v="5"/>
      <x v="6"/>
      <x v="4"/>
    </i>
    <i r="1">
      <x v="25"/>
      <x v="7"/>
      <x v="8"/>
      <x v="4"/>
    </i>
    <i r="1">
      <x v="26"/>
      <x v="9"/>
      <x v="11"/>
      <x/>
    </i>
    <i r="1">
      <x v="27"/>
      <x v="11"/>
      <x v="12"/>
      <x v="5"/>
    </i>
    <i r="1">
      <x v="28"/>
      <x/>
      <x v="12"/>
      <x v="5"/>
    </i>
    <i r="1">
      <x v="29"/>
      <x v="11"/>
      <x v="12"/>
      <x v="5"/>
    </i>
    <i r="1">
      <x v="30"/>
      <x/>
      <x v="12"/>
      <x v="5"/>
    </i>
    <i r="1">
      <x v="32"/>
      <x/>
      <x v="1"/>
      <x v="5"/>
    </i>
    <i r="1">
      <x v="33"/>
      <x/>
      <x v="1"/>
      <x v="4"/>
    </i>
    <i r="1">
      <x v="34"/>
      <x v="4"/>
      <x v="4"/>
      <x v="5"/>
    </i>
    <i r="1">
      <x v="36"/>
      <x v="8"/>
      <x v="9"/>
      <x v="3"/>
    </i>
    <i r="1">
      <x v="39"/>
      <x v="10"/>
      <x v="10"/>
      <x v="4"/>
    </i>
    <i r="1">
      <x v="40"/>
      <x/>
      <x v="12"/>
      <x v="5"/>
    </i>
    <i r="1">
      <x v="41"/>
      <x v="1"/>
      <x v="2"/>
      <x v="2"/>
    </i>
    <i r="2">
      <x v="11"/>
      <x v="12"/>
      <x/>
    </i>
    <i r="1">
      <x v="42"/>
      <x v="7"/>
      <x v="8"/>
      <x/>
    </i>
    <i r="1">
      <x v="49"/>
      <x v="11"/>
      <x v="12"/>
      <x v="5"/>
    </i>
    <i r="1">
      <x v="50"/>
      <x v="11"/>
      <x v="12"/>
      <x v="5"/>
    </i>
    <i r="1">
      <x v="51"/>
      <x v="11"/>
      <x v="12"/>
      <x v="5"/>
    </i>
    <i r="1">
      <x v="52"/>
      <x/>
      <x v="12"/>
      <x v="5"/>
    </i>
    <i r="1">
      <x v="53"/>
      <x/>
      <x v="12"/>
      <x v="5"/>
    </i>
    <i r="1">
      <x v="57"/>
      <x/>
      <x v="12"/>
      <x v="5"/>
    </i>
    <i r="1">
      <x v="58"/>
      <x/>
      <x v="1"/>
      <x v="5"/>
    </i>
    <i r="1">
      <x v="59"/>
      <x v="4"/>
      <x v="5"/>
      <x v="5"/>
    </i>
    <i r="1">
      <x v="60"/>
      <x/>
      <x v="12"/>
      <x v="5"/>
    </i>
    <i>
      <x v="2"/>
      <x v="13"/>
      <x v="4"/>
      <x v="5"/>
      <x v="3"/>
    </i>
    <i r="1">
      <x v="16"/>
      <x v="1"/>
      <x v="12"/>
      <x v="5"/>
    </i>
    <i r="1">
      <x v="28"/>
      <x/>
      <x v="12"/>
      <x v="5"/>
    </i>
    <i r="1">
      <x v="30"/>
      <x/>
      <x v="12"/>
      <x v="5"/>
    </i>
    <i r="1">
      <x v="31"/>
      <x/>
      <x v="12"/>
      <x v="5"/>
    </i>
    <i r="1">
      <x v="34"/>
      <x v="1"/>
      <x v="12"/>
      <x v="5"/>
    </i>
    <i r="1">
      <x v="37"/>
      <x v="6"/>
      <x v="7"/>
      <x v="3"/>
    </i>
    <i r="1">
      <x v="38"/>
      <x/>
      <x v="12"/>
      <x v="5"/>
    </i>
    <i r="1">
      <x v="42"/>
      <x v="6"/>
      <x v="12"/>
      <x v="5"/>
    </i>
    <i r="1">
      <x v="52"/>
      <x/>
      <x v="12"/>
      <x v="5"/>
    </i>
    <i r="1">
      <x v="57"/>
      <x/>
      <x v="12"/>
      <x v="5"/>
    </i>
    <i>
      <x v="3"/>
      <x v="46"/>
      <x v="1"/>
      <x v="2"/>
      <x v="5"/>
    </i>
    <i r="2">
      <x v="2"/>
      <x v="3"/>
      <x v="1"/>
    </i>
    <i r="1">
      <x v="47"/>
      <x/>
      <x v="1"/>
      <x v="5"/>
    </i>
    <i r="2">
      <x v="7"/>
      <x v="12"/>
      <x v="5"/>
    </i>
    <i r="1">
      <x v="48"/>
      <x v="3"/>
      <x v="12"/>
      <x v="5"/>
    </i>
    <i>
      <x v="4"/>
      <x v="14"/>
      <x v="2"/>
      <x v="3"/>
      <x v="1"/>
    </i>
    <i r="1">
      <x v="15"/>
      <x v="5"/>
      <x v="6"/>
      <x v="1"/>
    </i>
    <i r="1">
      <x v="38"/>
      <x v="11"/>
      <x v="12"/>
      <x v="5"/>
    </i>
    <i r="1">
      <x v="45"/>
      <x/>
      <x v="12"/>
      <x v="1"/>
    </i>
    <i r="1">
      <x v="46"/>
      <x v="8"/>
      <x v="9"/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H174"/>
  <sheetViews>
    <sheetView topLeftCell="A73" workbookViewId="0">
      <selection activeCell="E27" sqref="E27"/>
    </sheetView>
  </sheetViews>
  <sheetFormatPr defaultRowHeight="16.5" x14ac:dyDescent="0.3"/>
  <cols>
    <col min="1" max="1" width="7.5" bestFit="1" customWidth="1"/>
    <col min="2" max="2" width="6" bestFit="1" customWidth="1"/>
    <col min="3" max="3" width="11.25" customWidth="1"/>
    <col min="4" max="4" width="17.25" bestFit="1" customWidth="1"/>
    <col min="5" max="5" width="10.5" customWidth="1"/>
    <col min="6" max="6" width="28.25" customWidth="1"/>
    <col min="7" max="7" width="14.875" bestFit="1" customWidth="1"/>
    <col min="8" max="8" width="5.5" bestFit="1" customWidth="1"/>
  </cols>
  <sheetData>
    <row r="7" spans="3:8" x14ac:dyDescent="0.3">
      <c r="C7" s="162" t="s">
        <v>2197</v>
      </c>
      <c r="D7" t="s">
        <v>2200</v>
      </c>
    </row>
    <row r="9" spans="3:8" x14ac:dyDescent="0.3">
      <c r="C9" s="162" t="s">
        <v>2253</v>
      </c>
      <c r="D9" s="162" t="s">
        <v>2202</v>
      </c>
      <c r="E9" s="162" t="s">
        <v>2218</v>
      </c>
      <c r="F9" s="162" t="s">
        <v>2221</v>
      </c>
      <c r="G9" s="162" t="s">
        <v>2249</v>
      </c>
      <c r="H9" t="s">
        <v>2273</v>
      </c>
    </row>
    <row r="10" spans="3:8" x14ac:dyDescent="0.3">
      <c r="C10" t="s">
        <v>556</v>
      </c>
      <c r="D10" t="s">
        <v>693</v>
      </c>
      <c r="E10" t="s">
        <v>2219</v>
      </c>
      <c r="F10" t="s">
        <v>695</v>
      </c>
      <c r="G10" t="s">
        <v>735</v>
      </c>
      <c r="H10" s="163">
        <v>1</v>
      </c>
    </row>
    <row r="11" spans="3:8" x14ac:dyDescent="0.3">
      <c r="E11" t="s">
        <v>2220</v>
      </c>
      <c r="F11" t="s">
        <v>695</v>
      </c>
      <c r="G11" t="s">
        <v>710</v>
      </c>
      <c r="H11" s="163">
        <v>1</v>
      </c>
    </row>
    <row r="12" spans="3:8" x14ac:dyDescent="0.3">
      <c r="D12" t="s">
        <v>627</v>
      </c>
      <c r="E12" t="s">
        <v>2220</v>
      </c>
      <c r="F12" t="s">
        <v>629</v>
      </c>
      <c r="G12" t="s">
        <v>672</v>
      </c>
      <c r="H12" s="163">
        <v>1</v>
      </c>
    </row>
    <row r="13" spans="3:8" x14ac:dyDescent="0.3">
      <c r="D13" t="s">
        <v>682</v>
      </c>
      <c r="E13" t="s">
        <v>2219</v>
      </c>
      <c r="F13" t="s">
        <v>684</v>
      </c>
      <c r="G13" t="s">
        <v>687</v>
      </c>
      <c r="H13" s="163">
        <v>1</v>
      </c>
    </row>
    <row r="14" spans="3:8" x14ac:dyDescent="0.3">
      <c r="G14" t="s">
        <v>704</v>
      </c>
      <c r="H14" s="163">
        <v>1</v>
      </c>
    </row>
    <row r="15" spans="3:8" x14ac:dyDescent="0.3">
      <c r="D15" t="s">
        <v>743</v>
      </c>
      <c r="E15" t="s">
        <v>2219</v>
      </c>
      <c r="F15" t="s">
        <v>2223</v>
      </c>
      <c r="G15" t="s">
        <v>748</v>
      </c>
      <c r="H15" s="163">
        <v>1</v>
      </c>
    </row>
    <row r="16" spans="3:8" x14ac:dyDescent="0.3">
      <c r="D16" t="s">
        <v>595</v>
      </c>
      <c r="E16" t="s">
        <v>2219</v>
      </c>
      <c r="F16" t="s">
        <v>621</v>
      </c>
      <c r="G16" t="s">
        <v>653</v>
      </c>
      <c r="H16" s="163">
        <v>1</v>
      </c>
    </row>
    <row r="17" spans="4:8" x14ac:dyDescent="0.3">
      <c r="G17" t="s">
        <v>707</v>
      </c>
      <c r="H17" s="163">
        <v>1</v>
      </c>
    </row>
    <row r="18" spans="4:8" x14ac:dyDescent="0.3">
      <c r="G18" t="s">
        <v>720</v>
      </c>
      <c r="H18" s="163">
        <v>1</v>
      </c>
    </row>
    <row r="19" spans="4:8" x14ac:dyDescent="0.3">
      <c r="E19" t="s">
        <v>2220</v>
      </c>
      <c r="F19" t="s">
        <v>621</v>
      </c>
      <c r="G19" t="s">
        <v>599</v>
      </c>
      <c r="H19" s="163">
        <v>1</v>
      </c>
    </row>
    <row r="20" spans="4:8" x14ac:dyDescent="0.3">
      <c r="G20" t="s">
        <v>623</v>
      </c>
      <c r="H20" s="163">
        <v>1</v>
      </c>
    </row>
    <row r="21" spans="4:8" x14ac:dyDescent="0.3">
      <c r="G21" t="s">
        <v>640</v>
      </c>
      <c r="H21" s="163">
        <v>1</v>
      </c>
    </row>
    <row r="22" spans="4:8" x14ac:dyDescent="0.3">
      <c r="F22" t="s">
        <v>1381</v>
      </c>
      <c r="G22" t="s">
        <v>2198</v>
      </c>
      <c r="H22" s="163">
        <v>1</v>
      </c>
    </row>
    <row r="23" spans="4:8" x14ac:dyDescent="0.3">
      <c r="D23" t="s">
        <v>608</v>
      </c>
      <c r="E23" t="s">
        <v>2219</v>
      </c>
      <c r="F23" t="s">
        <v>2225</v>
      </c>
      <c r="G23" t="s">
        <v>716</v>
      </c>
      <c r="H23" s="163">
        <v>1</v>
      </c>
    </row>
    <row r="24" spans="4:8" x14ac:dyDescent="0.3">
      <c r="D24" t="s">
        <v>581</v>
      </c>
      <c r="E24" t="s">
        <v>2220</v>
      </c>
      <c r="F24" t="s">
        <v>2222</v>
      </c>
      <c r="G24" t="s">
        <v>760</v>
      </c>
      <c r="H24" s="163">
        <v>1</v>
      </c>
    </row>
    <row r="25" spans="4:8" x14ac:dyDescent="0.3">
      <c r="D25" t="s">
        <v>673</v>
      </c>
      <c r="E25" t="s">
        <v>2219</v>
      </c>
      <c r="F25" t="s">
        <v>675</v>
      </c>
      <c r="G25" t="s">
        <v>678</v>
      </c>
      <c r="H25" s="163">
        <v>1</v>
      </c>
    </row>
    <row r="26" spans="4:8" x14ac:dyDescent="0.3">
      <c r="D26" t="s">
        <v>641</v>
      </c>
      <c r="E26" t="s">
        <v>2219</v>
      </c>
      <c r="F26" t="s">
        <v>643</v>
      </c>
      <c r="G26" t="s">
        <v>645</v>
      </c>
      <c r="H26" s="163">
        <v>1</v>
      </c>
    </row>
    <row r="27" spans="4:8" x14ac:dyDescent="0.3">
      <c r="G27" t="s">
        <v>663</v>
      </c>
      <c r="H27" s="163">
        <v>1</v>
      </c>
    </row>
    <row r="28" spans="4:8" x14ac:dyDescent="0.3">
      <c r="G28" t="s">
        <v>692</v>
      </c>
      <c r="H28" s="163">
        <v>1</v>
      </c>
    </row>
    <row r="29" spans="4:8" x14ac:dyDescent="0.3">
      <c r="E29" t="s">
        <v>2220</v>
      </c>
      <c r="F29" t="s">
        <v>643</v>
      </c>
      <c r="G29" t="s">
        <v>725</v>
      </c>
      <c r="H29" s="163">
        <v>1</v>
      </c>
    </row>
    <row r="30" spans="4:8" x14ac:dyDescent="0.3">
      <c r="D30" t="s">
        <v>2204</v>
      </c>
      <c r="E30" t="s">
        <v>2219</v>
      </c>
      <c r="F30" t="s">
        <v>2222</v>
      </c>
      <c r="G30" t="s">
        <v>923</v>
      </c>
      <c r="H30" s="163">
        <v>1</v>
      </c>
    </row>
    <row r="31" spans="4:8" x14ac:dyDescent="0.3">
      <c r="D31" t="s">
        <v>1728</v>
      </c>
      <c r="E31" t="s">
        <v>2219</v>
      </c>
      <c r="F31" t="s">
        <v>1731</v>
      </c>
      <c r="G31" t="s">
        <v>2198</v>
      </c>
      <c r="H31" s="163">
        <v>1</v>
      </c>
    </row>
    <row r="32" spans="4:8" x14ac:dyDescent="0.3">
      <c r="D32" t="s">
        <v>2217</v>
      </c>
      <c r="E32" t="s">
        <v>2219</v>
      </c>
      <c r="F32" t="s">
        <v>2248</v>
      </c>
      <c r="G32" t="s">
        <v>574</v>
      </c>
      <c r="H32" s="163">
        <v>1</v>
      </c>
    </row>
    <row r="33" spans="3:8" x14ac:dyDescent="0.3">
      <c r="D33" t="s">
        <v>2206</v>
      </c>
      <c r="E33" t="s">
        <v>2219</v>
      </c>
      <c r="F33" t="s">
        <v>656</v>
      </c>
      <c r="G33" t="s">
        <v>658</v>
      </c>
      <c r="H33" s="163">
        <v>1</v>
      </c>
    </row>
    <row r="34" spans="3:8" x14ac:dyDescent="0.3">
      <c r="C34" t="s">
        <v>2201</v>
      </c>
      <c r="D34" t="s">
        <v>2205</v>
      </c>
      <c r="E34" t="s">
        <v>2219</v>
      </c>
      <c r="F34" t="s">
        <v>910</v>
      </c>
      <c r="G34" t="s">
        <v>2198</v>
      </c>
      <c r="H34" s="163">
        <v>1</v>
      </c>
    </row>
    <row r="35" spans="3:8" x14ac:dyDescent="0.3">
      <c r="F35" t="s">
        <v>2238</v>
      </c>
      <c r="G35" t="s">
        <v>2198</v>
      </c>
      <c r="H35" s="163">
        <v>1</v>
      </c>
    </row>
    <row r="36" spans="3:8" x14ac:dyDescent="0.3">
      <c r="D36" t="s">
        <v>2216</v>
      </c>
      <c r="E36" t="s">
        <v>2219</v>
      </c>
      <c r="F36" t="s">
        <v>2247</v>
      </c>
      <c r="G36" t="s">
        <v>2252</v>
      </c>
      <c r="H36" s="163">
        <v>1</v>
      </c>
    </row>
    <row r="37" spans="3:8" x14ac:dyDescent="0.3">
      <c r="D37" t="s">
        <v>1255</v>
      </c>
      <c r="E37" t="s">
        <v>2219</v>
      </c>
      <c r="F37" t="s">
        <v>768</v>
      </c>
      <c r="G37" t="s">
        <v>2198</v>
      </c>
      <c r="H37" s="163">
        <v>8</v>
      </c>
    </row>
    <row r="38" spans="3:8" x14ac:dyDescent="0.3">
      <c r="F38" t="s">
        <v>1099</v>
      </c>
      <c r="G38" t="s">
        <v>2198</v>
      </c>
      <c r="H38" s="163">
        <v>2</v>
      </c>
    </row>
    <row r="39" spans="3:8" x14ac:dyDescent="0.3">
      <c r="E39" t="s">
        <v>2220</v>
      </c>
      <c r="F39" t="s">
        <v>768</v>
      </c>
      <c r="G39" t="s">
        <v>2198</v>
      </c>
      <c r="H39" s="163">
        <v>4</v>
      </c>
    </row>
    <row r="40" spans="3:8" x14ac:dyDescent="0.3">
      <c r="F40" t="s">
        <v>1306</v>
      </c>
      <c r="G40" t="s">
        <v>1309</v>
      </c>
      <c r="H40" s="163">
        <v>1</v>
      </c>
    </row>
    <row r="41" spans="3:8" x14ac:dyDescent="0.3">
      <c r="F41" t="s">
        <v>1099</v>
      </c>
      <c r="G41" t="s">
        <v>2198</v>
      </c>
      <c r="H41" s="163">
        <v>2</v>
      </c>
    </row>
    <row r="42" spans="3:8" x14ac:dyDescent="0.3">
      <c r="F42" t="s">
        <v>2243</v>
      </c>
      <c r="G42" t="s">
        <v>2198</v>
      </c>
      <c r="H42" s="163">
        <v>1</v>
      </c>
    </row>
    <row r="43" spans="3:8" x14ac:dyDescent="0.3">
      <c r="D43" t="s">
        <v>1309</v>
      </c>
      <c r="E43" t="s">
        <v>2219</v>
      </c>
      <c r="F43" t="s">
        <v>1091</v>
      </c>
      <c r="G43" t="s">
        <v>1094</v>
      </c>
      <c r="H43" s="163">
        <v>1</v>
      </c>
    </row>
    <row r="44" spans="3:8" x14ac:dyDescent="0.3">
      <c r="E44" t="s">
        <v>2220</v>
      </c>
      <c r="F44" t="s">
        <v>1091</v>
      </c>
      <c r="G44" t="s">
        <v>1094</v>
      </c>
      <c r="H44" s="163">
        <v>1</v>
      </c>
    </row>
    <row r="45" spans="3:8" x14ac:dyDescent="0.3">
      <c r="D45" t="s">
        <v>2209</v>
      </c>
      <c r="E45" t="s">
        <v>2219</v>
      </c>
      <c r="F45" t="s">
        <v>1323</v>
      </c>
      <c r="G45" t="s">
        <v>1326</v>
      </c>
      <c r="H45" s="163">
        <v>4</v>
      </c>
    </row>
    <row r="46" spans="3:8" x14ac:dyDescent="0.3">
      <c r="F46" t="s">
        <v>2232</v>
      </c>
      <c r="G46" t="s">
        <v>1144</v>
      </c>
      <c r="H46" s="163">
        <v>4</v>
      </c>
    </row>
    <row r="47" spans="3:8" x14ac:dyDescent="0.3">
      <c r="F47" t="s">
        <v>2233</v>
      </c>
      <c r="G47" t="s">
        <v>1326</v>
      </c>
      <c r="H47" s="163">
        <v>9</v>
      </c>
    </row>
    <row r="48" spans="3:8" x14ac:dyDescent="0.3">
      <c r="F48" t="s">
        <v>1282</v>
      </c>
      <c r="G48" t="s">
        <v>1144</v>
      </c>
      <c r="H48" s="163">
        <v>2</v>
      </c>
    </row>
    <row r="49" spans="4:8" x14ac:dyDescent="0.3">
      <c r="F49" t="s">
        <v>2234</v>
      </c>
      <c r="G49" t="s">
        <v>1326</v>
      </c>
      <c r="H49" s="163">
        <v>2</v>
      </c>
    </row>
    <row r="50" spans="4:8" x14ac:dyDescent="0.3">
      <c r="F50" t="s">
        <v>2235</v>
      </c>
      <c r="G50" t="s">
        <v>1183</v>
      </c>
      <c r="H50" s="163">
        <v>2</v>
      </c>
    </row>
    <row r="51" spans="4:8" x14ac:dyDescent="0.3">
      <c r="E51" t="s">
        <v>2220</v>
      </c>
      <c r="F51" t="s">
        <v>2231</v>
      </c>
      <c r="G51" t="s">
        <v>2198</v>
      </c>
      <c r="H51" s="163">
        <v>8</v>
      </c>
    </row>
    <row r="52" spans="4:8" x14ac:dyDescent="0.3">
      <c r="F52" t="s">
        <v>1323</v>
      </c>
      <c r="G52" t="s">
        <v>1326</v>
      </c>
      <c r="H52" s="163">
        <v>2</v>
      </c>
    </row>
    <row r="53" spans="4:8" x14ac:dyDescent="0.3">
      <c r="F53" t="s">
        <v>2235</v>
      </c>
      <c r="G53" t="s">
        <v>1183</v>
      </c>
      <c r="H53" s="163">
        <v>15</v>
      </c>
    </row>
    <row r="54" spans="4:8" x14ac:dyDescent="0.3">
      <c r="F54" t="s">
        <v>2229</v>
      </c>
      <c r="G54" t="s">
        <v>2198</v>
      </c>
      <c r="H54" s="163">
        <v>5</v>
      </c>
    </row>
    <row r="55" spans="4:8" x14ac:dyDescent="0.3">
      <c r="D55" t="s">
        <v>2212</v>
      </c>
      <c r="E55" t="s">
        <v>2219</v>
      </c>
      <c r="F55" t="s">
        <v>2239</v>
      </c>
      <c r="G55" t="s">
        <v>2198</v>
      </c>
      <c r="H55" s="163">
        <v>8</v>
      </c>
    </row>
    <row r="56" spans="4:8" x14ac:dyDescent="0.3">
      <c r="F56" t="s">
        <v>1122</v>
      </c>
      <c r="G56" t="s">
        <v>2198</v>
      </c>
      <c r="H56" s="163">
        <v>3</v>
      </c>
    </row>
    <row r="57" spans="4:8" x14ac:dyDescent="0.3">
      <c r="F57" t="s">
        <v>1163</v>
      </c>
      <c r="G57" t="s">
        <v>2198</v>
      </c>
      <c r="H57" s="163">
        <v>3</v>
      </c>
    </row>
    <row r="58" spans="4:8" x14ac:dyDescent="0.3">
      <c r="E58" t="s">
        <v>2220</v>
      </c>
      <c r="F58" t="s">
        <v>2240</v>
      </c>
      <c r="G58" t="s">
        <v>2198</v>
      </c>
      <c r="H58" s="163">
        <v>1</v>
      </c>
    </row>
    <row r="59" spans="4:8" x14ac:dyDescent="0.3">
      <c r="F59" t="s">
        <v>1122</v>
      </c>
      <c r="G59" t="s">
        <v>2198</v>
      </c>
      <c r="H59" s="163">
        <v>1</v>
      </c>
    </row>
    <row r="60" spans="4:8" x14ac:dyDescent="0.3">
      <c r="F60" t="s">
        <v>2241</v>
      </c>
      <c r="G60" t="s">
        <v>2198</v>
      </c>
      <c r="H60" s="163">
        <v>12</v>
      </c>
    </row>
    <row r="61" spans="4:8" x14ac:dyDescent="0.3">
      <c r="F61" t="s">
        <v>1163</v>
      </c>
      <c r="G61" t="s">
        <v>2198</v>
      </c>
      <c r="H61" s="163">
        <v>6</v>
      </c>
    </row>
    <row r="62" spans="4:8" x14ac:dyDescent="0.3">
      <c r="F62" t="s">
        <v>2229</v>
      </c>
      <c r="G62" t="s">
        <v>2198</v>
      </c>
      <c r="H62" s="163">
        <v>4</v>
      </c>
    </row>
    <row r="63" spans="4:8" x14ac:dyDescent="0.3">
      <c r="D63" t="s">
        <v>2208</v>
      </c>
      <c r="E63" t="s">
        <v>2219</v>
      </c>
      <c r="F63" t="s">
        <v>2222</v>
      </c>
      <c r="G63" t="s">
        <v>2198</v>
      </c>
      <c r="H63" s="163">
        <v>14</v>
      </c>
    </row>
    <row r="64" spans="4:8" x14ac:dyDescent="0.3">
      <c r="E64" t="s">
        <v>2220</v>
      </c>
      <c r="F64" t="s">
        <v>2222</v>
      </c>
      <c r="G64" t="s">
        <v>2198</v>
      </c>
      <c r="H64" s="163">
        <v>6</v>
      </c>
    </row>
    <row r="65" spans="3:8" x14ac:dyDescent="0.3">
      <c r="D65" t="s">
        <v>2214</v>
      </c>
      <c r="E65" t="s">
        <v>2219</v>
      </c>
      <c r="F65" t="s">
        <v>1271</v>
      </c>
      <c r="G65" t="s">
        <v>2198</v>
      </c>
      <c r="H65" s="163">
        <v>1</v>
      </c>
    </row>
    <row r="66" spans="3:8" x14ac:dyDescent="0.3">
      <c r="E66" t="s">
        <v>2220</v>
      </c>
      <c r="F66" t="s">
        <v>1271</v>
      </c>
      <c r="G66" t="s">
        <v>2198</v>
      </c>
      <c r="H66" s="163">
        <v>2</v>
      </c>
    </row>
    <row r="67" spans="3:8" x14ac:dyDescent="0.3">
      <c r="D67" t="s">
        <v>2211</v>
      </c>
      <c r="E67" t="s">
        <v>2220</v>
      </c>
      <c r="F67" t="s">
        <v>2126</v>
      </c>
      <c r="G67" t="s">
        <v>2198</v>
      </c>
      <c r="H67" s="163">
        <v>4</v>
      </c>
    </row>
    <row r="68" spans="3:8" x14ac:dyDescent="0.3">
      <c r="D68" t="s">
        <v>2210</v>
      </c>
      <c r="E68" t="s">
        <v>2219</v>
      </c>
      <c r="F68" t="s">
        <v>1247</v>
      </c>
      <c r="G68" t="s">
        <v>2198</v>
      </c>
      <c r="H68" s="163">
        <v>1</v>
      </c>
    </row>
    <row r="69" spans="3:8" x14ac:dyDescent="0.3">
      <c r="E69" t="s">
        <v>2220</v>
      </c>
      <c r="F69" t="s">
        <v>2236</v>
      </c>
      <c r="G69" t="s">
        <v>2198</v>
      </c>
      <c r="H69" s="163">
        <v>1</v>
      </c>
    </row>
    <row r="70" spans="3:8" x14ac:dyDescent="0.3">
      <c r="F70" t="s">
        <v>2237</v>
      </c>
      <c r="G70" t="s">
        <v>2198</v>
      </c>
      <c r="H70" s="163">
        <v>2</v>
      </c>
    </row>
    <row r="71" spans="3:8" x14ac:dyDescent="0.3">
      <c r="D71" t="s">
        <v>2213</v>
      </c>
      <c r="E71" t="s">
        <v>2219</v>
      </c>
      <c r="F71" t="s">
        <v>2242</v>
      </c>
      <c r="G71" t="s">
        <v>2198</v>
      </c>
      <c r="H71" s="163">
        <v>1</v>
      </c>
    </row>
    <row r="72" spans="3:8" x14ac:dyDescent="0.3">
      <c r="E72" t="s">
        <v>2220</v>
      </c>
      <c r="F72" t="s">
        <v>2242</v>
      </c>
      <c r="G72" t="s">
        <v>2198</v>
      </c>
      <c r="H72" s="163">
        <v>3</v>
      </c>
    </row>
    <row r="73" spans="3:8" x14ac:dyDescent="0.3">
      <c r="D73" t="s">
        <v>2215</v>
      </c>
      <c r="E73" t="s">
        <v>2220</v>
      </c>
      <c r="F73" t="s">
        <v>2244</v>
      </c>
      <c r="G73" t="s">
        <v>2198</v>
      </c>
      <c r="H73" s="163">
        <v>1</v>
      </c>
    </row>
    <row r="74" spans="3:8" x14ac:dyDescent="0.3">
      <c r="F74" t="s">
        <v>2245</v>
      </c>
      <c r="G74" t="s">
        <v>2198</v>
      </c>
      <c r="H74" s="163">
        <v>1</v>
      </c>
    </row>
    <row r="75" spans="3:8" x14ac:dyDescent="0.3">
      <c r="D75" t="s">
        <v>2112</v>
      </c>
      <c r="E75" t="s">
        <v>2219</v>
      </c>
      <c r="F75" t="s">
        <v>2114</v>
      </c>
      <c r="G75" t="s">
        <v>2198</v>
      </c>
      <c r="H75" s="163">
        <v>1</v>
      </c>
    </row>
    <row r="76" spans="3:8" x14ac:dyDescent="0.3">
      <c r="E76" t="s">
        <v>2220</v>
      </c>
      <c r="F76" t="s">
        <v>2114</v>
      </c>
      <c r="G76" t="s">
        <v>2198</v>
      </c>
      <c r="H76" s="163">
        <v>1</v>
      </c>
    </row>
    <row r="77" spans="3:8" x14ac:dyDescent="0.3">
      <c r="C77" t="s">
        <v>764</v>
      </c>
      <c r="D77" t="s">
        <v>2203</v>
      </c>
      <c r="E77" t="s">
        <v>2219</v>
      </c>
      <c r="F77" t="s">
        <v>887</v>
      </c>
      <c r="G77" t="s">
        <v>890</v>
      </c>
      <c r="H77" s="163">
        <v>1</v>
      </c>
    </row>
    <row r="78" spans="3:8" x14ac:dyDescent="0.3">
      <c r="E78" t="s">
        <v>2220</v>
      </c>
      <c r="F78" t="s">
        <v>896</v>
      </c>
      <c r="G78" t="s">
        <v>899</v>
      </c>
      <c r="H78" s="163">
        <v>1</v>
      </c>
    </row>
    <row r="79" spans="3:8" x14ac:dyDescent="0.3">
      <c r="D79" t="s">
        <v>2205</v>
      </c>
      <c r="E79" t="s">
        <v>2220</v>
      </c>
      <c r="F79" t="s">
        <v>910</v>
      </c>
      <c r="G79" t="s">
        <v>905</v>
      </c>
      <c r="H79" s="163">
        <v>2</v>
      </c>
    </row>
    <row r="80" spans="3:8" x14ac:dyDescent="0.3">
      <c r="D80" t="s">
        <v>1255</v>
      </c>
      <c r="E80" t="s">
        <v>2219</v>
      </c>
      <c r="F80" t="s">
        <v>768</v>
      </c>
      <c r="G80" t="s">
        <v>814</v>
      </c>
      <c r="H80" s="163">
        <v>1</v>
      </c>
    </row>
    <row r="81" spans="4:8" x14ac:dyDescent="0.3">
      <c r="G81" t="s">
        <v>835</v>
      </c>
      <c r="H81" s="163">
        <v>1</v>
      </c>
    </row>
    <row r="82" spans="4:8" x14ac:dyDescent="0.3">
      <c r="G82" t="s">
        <v>859</v>
      </c>
      <c r="H82" s="163">
        <v>1</v>
      </c>
    </row>
    <row r="83" spans="4:8" x14ac:dyDescent="0.3">
      <c r="G83" t="s">
        <v>862</v>
      </c>
      <c r="H83" s="163">
        <v>1</v>
      </c>
    </row>
    <row r="84" spans="4:8" x14ac:dyDescent="0.3">
      <c r="E84" t="s">
        <v>2220</v>
      </c>
      <c r="F84" t="s">
        <v>768</v>
      </c>
      <c r="G84" t="s">
        <v>771</v>
      </c>
      <c r="H84" s="163">
        <v>1</v>
      </c>
    </row>
    <row r="85" spans="4:8" x14ac:dyDescent="0.3">
      <c r="G85" t="s">
        <v>787</v>
      </c>
      <c r="H85" s="163">
        <v>1</v>
      </c>
    </row>
    <row r="86" spans="4:8" x14ac:dyDescent="0.3">
      <c r="G86" t="s">
        <v>790</v>
      </c>
      <c r="H86" s="163">
        <v>1</v>
      </c>
    </row>
    <row r="87" spans="4:8" x14ac:dyDescent="0.3">
      <c r="G87" t="s">
        <v>805</v>
      </c>
      <c r="H87" s="163">
        <v>1</v>
      </c>
    </row>
    <row r="88" spans="4:8" x14ac:dyDescent="0.3">
      <c r="G88" t="s">
        <v>808</v>
      </c>
      <c r="H88" s="163">
        <v>1</v>
      </c>
    </row>
    <row r="89" spans="4:8" x14ac:dyDescent="0.3">
      <c r="G89" t="s">
        <v>811</v>
      </c>
      <c r="H89" s="163">
        <v>1</v>
      </c>
    </row>
    <row r="90" spans="4:8" x14ac:dyDescent="0.3">
      <c r="G90" t="s">
        <v>838</v>
      </c>
      <c r="H90" s="163">
        <v>1</v>
      </c>
    </row>
    <row r="91" spans="4:8" x14ac:dyDescent="0.3">
      <c r="G91" t="s">
        <v>850</v>
      </c>
      <c r="H91" s="163">
        <v>1</v>
      </c>
    </row>
    <row r="92" spans="4:8" x14ac:dyDescent="0.3">
      <c r="F92" t="s">
        <v>948</v>
      </c>
      <c r="G92" t="s">
        <v>2250</v>
      </c>
      <c r="H92" s="163">
        <v>1</v>
      </c>
    </row>
    <row r="93" spans="4:8" x14ac:dyDescent="0.3">
      <c r="D93" t="s">
        <v>777</v>
      </c>
      <c r="E93" t="s">
        <v>2219</v>
      </c>
      <c r="F93" t="s">
        <v>822</v>
      </c>
      <c r="G93" t="s">
        <v>825</v>
      </c>
      <c r="H93" s="163">
        <v>1</v>
      </c>
    </row>
    <row r="94" spans="4:8" x14ac:dyDescent="0.3">
      <c r="G94" t="s">
        <v>829</v>
      </c>
      <c r="H94" s="163">
        <v>1</v>
      </c>
    </row>
    <row r="95" spans="4:8" x14ac:dyDescent="0.3">
      <c r="G95" t="s">
        <v>832</v>
      </c>
      <c r="H95" s="163">
        <v>1</v>
      </c>
    </row>
    <row r="96" spans="4:8" x14ac:dyDescent="0.3">
      <c r="G96" t="s">
        <v>847</v>
      </c>
      <c r="H96" s="163">
        <v>1</v>
      </c>
    </row>
    <row r="97" spans="4:8" x14ac:dyDescent="0.3">
      <c r="E97" t="s">
        <v>2220</v>
      </c>
      <c r="F97" t="s">
        <v>929</v>
      </c>
      <c r="G97" t="s">
        <v>872</v>
      </c>
      <c r="H97" s="163">
        <v>1</v>
      </c>
    </row>
    <row r="98" spans="4:8" x14ac:dyDescent="0.3">
      <c r="G98" t="s">
        <v>876</v>
      </c>
      <c r="H98" s="163">
        <v>1</v>
      </c>
    </row>
    <row r="99" spans="4:8" x14ac:dyDescent="0.3">
      <c r="G99" t="s">
        <v>879</v>
      </c>
      <c r="H99" s="163">
        <v>1</v>
      </c>
    </row>
    <row r="100" spans="4:8" x14ac:dyDescent="0.3">
      <c r="G100" t="s">
        <v>931</v>
      </c>
      <c r="H100" s="163">
        <v>1</v>
      </c>
    </row>
    <row r="101" spans="4:8" x14ac:dyDescent="0.3">
      <c r="G101" t="s">
        <v>934</v>
      </c>
      <c r="H101" s="163">
        <v>1</v>
      </c>
    </row>
    <row r="102" spans="4:8" x14ac:dyDescent="0.3">
      <c r="G102" t="s">
        <v>943</v>
      </c>
      <c r="H102" s="163">
        <v>1</v>
      </c>
    </row>
    <row r="103" spans="4:8" x14ac:dyDescent="0.3">
      <c r="F103" t="s">
        <v>2224</v>
      </c>
      <c r="G103" t="s">
        <v>866</v>
      </c>
      <c r="H103" s="163">
        <v>1</v>
      </c>
    </row>
    <row r="104" spans="4:8" x14ac:dyDescent="0.3">
      <c r="F104" t="s">
        <v>779</v>
      </c>
      <c r="G104" t="s">
        <v>781</v>
      </c>
      <c r="H104" s="163">
        <v>1</v>
      </c>
    </row>
    <row r="105" spans="4:8" x14ac:dyDescent="0.3">
      <c r="G105" t="s">
        <v>792</v>
      </c>
      <c r="H105" s="163">
        <v>1</v>
      </c>
    </row>
    <row r="106" spans="4:8" x14ac:dyDescent="0.3">
      <c r="D106" t="s">
        <v>794</v>
      </c>
      <c r="E106" t="s">
        <v>2220</v>
      </c>
      <c r="F106" t="s">
        <v>796</v>
      </c>
      <c r="G106" t="s">
        <v>799</v>
      </c>
      <c r="H106" s="163">
        <v>1</v>
      </c>
    </row>
    <row r="107" spans="4:8" x14ac:dyDescent="0.3">
      <c r="G107" t="s">
        <v>817</v>
      </c>
      <c r="H107" s="163">
        <v>1</v>
      </c>
    </row>
    <row r="108" spans="4:8" x14ac:dyDescent="0.3">
      <c r="G108" t="s">
        <v>820</v>
      </c>
      <c r="H108" s="163">
        <v>1</v>
      </c>
    </row>
    <row r="109" spans="4:8" x14ac:dyDescent="0.3">
      <c r="G109" t="s">
        <v>841</v>
      </c>
      <c r="H109" s="163">
        <v>1</v>
      </c>
    </row>
    <row r="110" spans="4:8" x14ac:dyDescent="0.3">
      <c r="G110" t="s">
        <v>844</v>
      </c>
      <c r="H110" s="163">
        <v>1</v>
      </c>
    </row>
    <row r="111" spans="4:8" x14ac:dyDescent="0.3">
      <c r="G111" t="s">
        <v>853</v>
      </c>
      <c r="H111" s="163">
        <v>1</v>
      </c>
    </row>
    <row r="112" spans="4:8" x14ac:dyDescent="0.3">
      <c r="G112" t="s">
        <v>856</v>
      </c>
      <c r="H112" s="163">
        <v>1</v>
      </c>
    </row>
    <row r="113" spans="3:8" x14ac:dyDescent="0.3">
      <c r="G113" t="s">
        <v>882</v>
      </c>
      <c r="H113" s="163">
        <v>1</v>
      </c>
    </row>
    <row r="114" spans="3:8" x14ac:dyDescent="0.3">
      <c r="G114" t="s">
        <v>884</v>
      </c>
      <c r="H114" s="163">
        <v>1</v>
      </c>
    </row>
    <row r="115" spans="3:8" x14ac:dyDescent="0.3">
      <c r="C115" t="s">
        <v>1741</v>
      </c>
      <c r="D115" t="s">
        <v>1741</v>
      </c>
      <c r="E115" t="s">
        <v>2219</v>
      </c>
      <c r="F115" t="s">
        <v>209</v>
      </c>
      <c r="H115" s="163">
        <v>2</v>
      </c>
    </row>
    <row r="116" spans="3:8" x14ac:dyDescent="0.3">
      <c r="F116" t="s">
        <v>1756</v>
      </c>
      <c r="H116" s="163">
        <v>4</v>
      </c>
    </row>
    <row r="117" spans="3:8" x14ac:dyDescent="0.3">
      <c r="F117" t="s">
        <v>1752</v>
      </c>
      <c r="H117" s="163">
        <v>3</v>
      </c>
    </row>
    <row r="118" spans="3:8" x14ac:dyDescent="0.3">
      <c r="F118" t="s">
        <v>2227</v>
      </c>
      <c r="H118" s="163">
        <v>15</v>
      </c>
    </row>
    <row r="119" spans="3:8" x14ac:dyDescent="0.3">
      <c r="F119" t="s">
        <v>1860</v>
      </c>
      <c r="G119" t="s">
        <v>2198</v>
      </c>
      <c r="H119" s="163">
        <v>1</v>
      </c>
    </row>
    <row r="120" spans="3:8" x14ac:dyDescent="0.3">
      <c r="F120" t="s">
        <v>1750</v>
      </c>
      <c r="H120" s="163">
        <v>2</v>
      </c>
    </row>
    <row r="121" spans="3:8" x14ac:dyDescent="0.3">
      <c r="F121" t="s">
        <v>453</v>
      </c>
      <c r="H121" s="163">
        <v>20</v>
      </c>
    </row>
    <row r="122" spans="3:8" x14ac:dyDescent="0.3">
      <c r="F122" t="s">
        <v>2230</v>
      </c>
      <c r="G122" t="s">
        <v>2198</v>
      </c>
      <c r="H122" s="163">
        <v>1</v>
      </c>
    </row>
    <row r="123" spans="3:8" x14ac:dyDescent="0.3">
      <c r="E123" t="s">
        <v>2220</v>
      </c>
      <c r="F123" t="s">
        <v>209</v>
      </c>
      <c r="H123" s="163">
        <v>7</v>
      </c>
    </row>
    <row r="124" spans="3:8" x14ac:dyDescent="0.3">
      <c r="F124" t="s">
        <v>1771</v>
      </c>
      <c r="G124" t="s">
        <v>1771</v>
      </c>
      <c r="H124" s="163">
        <v>1</v>
      </c>
    </row>
    <row r="125" spans="3:8" x14ac:dyDescent="0.3">
      <c r="F125" t="s">
        <v>1756</v>
      </c>
      <c r="H125" s="163">
        <v>4</v>
      </c>
    </row>
    <row r="126" spans="3:8" x14ac:dyDescent="0.3">
      <c r="F126" t="s">
        <v>1752</v>
      </c>
      <c r="H126" s="163">
        <v>22</v>
      </c>
    </row>
    <row r="127" spans="3:8" x14ac:dyDescent="0.3">
      <c r="F127" t="s">
        <v>492</v>
      </c>
      <c r="G127" t="s">
        <v>2198</v>
      </c>
      <c r="H127" s="163">
        <v>1</v>
      </c>
    </row>
    <row r="128" spans="3:8" x14ac:dyDescent="0.3">
      <c r="F128" t="s">
        <v>1882</v>
      </c>
      <c r="G128" t="s">
        <v>2198</v>
      </c>
      <c r="H128" s="163">
        <v>2</v>
      </c>
    </row>
    <row r="129" spans="3:8" x14ac:dyDescent="0.3">
      <c r="F129" t="s">
        <v>473</v>
      </c>
      <c r="G129" t="s">
        <v>2198</v>
      </c>
      <c r="H129" s="163">
        <v>4</v>
      </c>
    </row>
    <row r="130" spans="3:8" x14ac:dyDescent="0.3">
      <c r="F130" t="s">
        <v>1865</v>
      </c>
      <c r="G130" t="s">
        <v>2198</v>
      </c>
      <c r="H130" s="163">
        <v>1</v>
      </c>
    </row>
    <row r="131" spans="3:8" x14ac:dyDescent="0.3">
      <c r="F131" t="s">
        <v>1750</v>
      </c>
      <c r="H131" s="163">
        <v>10</v>
      </c>
    </row>
    <row r="132" spans="3:8" x14ac:dyDescent="0.3">
      <c r="F132" t="s">
        <v>2228</v>
      </c>
      <c r="G132" t="s">
        <v>2251</v>
      </c>
      <c r="H132" s="163">
        <v>1</v>
      </c>
    </row>
    <row r="133" spans="3:8" x14ac:dyDescent="0.3">
      <c r="F133" t="s">
        <v>453</v>
      </c>
      <c r="H133" s="163">
        <v>13</v>
      </c>
    </row>
    <row r="134" spans="3:8" x14ac:dyDescent="0.3">
      <c r="F134" t="s">
        <v>2229</v>
      </c>
      <c r="G134" t="s">
        <v>2198</v>
      </c>
      <c r="H134" s="163">
        <v>16</v>
      </c>
    </row>
    <row r="135" spans="3:8" x14ac:dyDescent="0.3">
      <c r="F135" t="s">
        <v>2230</v>
      </c>
      <c r="G135" t="s">
        <v>2198</v>
      </c>
      <c r="H135" s="163">
        <v>1</v>
      </c>
    </row>
    <row r="136" spans="3:8" x14ac:dyDescent="0.3">
      <c r="F136" t="s">
        <v>2198</v>
      </c>
      <c r="G136" t="s">
        <v>2198</v>
      </c>
      <c r="H136" s="163">
        <v>1</v>
      </c>
    </row>
    <row r="137" spans="3:8" x14ac:dyDescent="0.3">
      <c r="D137" t="s">
        <v>409</v>
      </c>
      <c r="E137" t="s">
        <v>2220</v>
      </c>
      <c r="F137" t="s">
        <v>427</v>
      </c>
      <c r="G137" t="s">
        <v>421</v>
      </c>
      <c r="H137" s="163">
        <v>1</v>
      </c>
    </row>
    <row r="138" spans="3:8" x14ac:dyDescent="0.3">
      <c r="G138" t="s">
        <v>429</v>
      </c>
      <c r="H138" s="163">
        <v>1</v>
      </c>
    </row>
    <row r="139" spans="3:8" x14ac:dyDescent="0.3">
      <c r="F139" t="s">
        <v>423</v>
      </c>
      <c r="G139" t="s">
        <v>425</v>
      </c>
      <c r="H139" s="163">
        <v>1</v>
      </c>
    </row>
    <row r="140" spans="3:8" x14ac:dyDescent="0.3">
      <c r="G140" t="s">
        <v>431</v>
      </c>
      <c r="H140" s="163">
        <v>1</v>
      </c>
    </row>
    <row r="141" spans="3:8" x14ac:dyDescent="0.3">
      <c r="G141" t="s">
        <v>414</v>
      </c>
      <c r="H141" s="163">
        <v>1</v>
      </c>
    </row>
    <row r="142" spans="3:8" x14ac:dyDescent="0.3">
      <c r="D142" t="s">
        <v>2207</v>
      </c>
      <c r="E142" t="s">
        <v>2220</v>
      </c>
      <c r="F142" t="s">
        <v>2226</v>
      </c>
      <c r="G142" t="s">
        <v>436</v>
      </c>
      <c r="H142" s="163">
        <v>1</v>
      </c>
    </row>
    <row r="143" spans="3:8" x14ac:dyDescent="0.3">
      <c r="C143" t="s">
        <v>2257</v>
      </c>
      <c r="D143" t="s">
        <v>1873</v>
      </c>
      <c r="E143" t="s">
        <v>2219</v>
      </c>
      <c r="F143" t="s">
        <v>1949</v>
      </c>
      <c r="G143" t="s">
        <v>1951</v>
      </c>
      <c r="H143" s="163">
        <v>1</v>
      </c>
    </row>
    <row r="144" spans="3:8" x14ac:dyDescent="0.3">
      <c r="F144" t="s">
        <v>1951</v>
      </c>
      <c r="G144" t="s">
        <v>1951</v>
      </c>
      <c r="H144" s="163">
        <v>1</v>
      </c>
    </row>
    <row r="145" spans="5:8" x14ac:dyDescent="0.3">
      <c r="F145" t="s">
        <v>1756</v>
      </c>
      <c r="H145" s="163">
        <v>2</v>
      </c>
    </row>
    <row r="146" spans="5:8" x14ac:dyDescent="0.3">
      <c r="F146" t="s">
        <v>1752</v>
      </c>
      <c r="H146" s="163">
        <v>16</v>
      </c>
    </row>
    <row r="147" spans="5:8" x14ac:dyDescent="0.3">
      <c r="F147" t="s">
        <v>1780</v>
      </c>
      <c r="G147" t="s">
        <v>1780</v>
      </c>
      <c r="H147" s="163">
        <v>3</v>
      </c>
    </row>
    <row r="148" spans="5:8" x14ac:dyDescent="0.3">
      <c r="F148" t="s">
        <v>1972</v>
      </c>
      <c r="G148" t="s">
        <v>1756</v>
      </c>
      <c r="H148" s="163">
        <v>1</v>
      </c>
    </row>
    <row r="149" spans="5:8" x14ac:dyDescent="0.3">
      <c r="F149" t="s">
        <v>1974</v>
      </c>
      <c r="G149" t="s">
        <v>1752</v>
      </c>
      <c r="H149" s="163">
        <v>2</v>
      </c>
    </row>
    <row r="150" spans="5:8" x14ac:dyDescent="0.3">
      <c r="F150" t="s">
        <v>1963</v>
      </c>
      <c r="G150" t="s">
        <v>1756</v>
      </c>
      <c r="H150" s="163">
        <v>1</v>
      </c>
    </row>
    <row r="151" spans="5:8" x14ac:dyDescent="0.3">
      <c r="G151" t="s">
        <v>1752</v>
      </c>
      <c r="H151" s="163">
        <v>11</v>
      </c>
    </row>
    <row r="152" spans="5:8" x14ac:dyDescent="0.3">
      <c r="F152" t="s">
        <v>1961</v>
      </c>
      <c r="G152" t="s">
        <v>1752</v>
      </c>
      <c r="H152" s="163">
        <v>1</v>
      </c>
    </row>
    <row r="153" spans="5:8" x14ac:dyDescent="0.3">
      <c r="F153" t="s">
        <v>1956</v>
      </c>
      <c r="G153" t="s">
        <v>1752</v>
      </c>
      <c r="H153" s="163">
        <v>2</v>
      </c>
    </row>
    <row r="154" spans="5:8" x14ac:dyDescent="0.3">
      <c r="G154" t="s">
        <v>1780</v>
      </c>
      <c r="H154" s="163">
        <v>1</v>
      </c>
    </row>
    <row r="155" spans="5:8" x14ac:dyDescent="0.3">
      <c r="E155" t="s">
        <v>2220</v>
      </c>
      <c r="F155" t="s">
        <v>2050</v>
      </c>
      <c r="G155" t="s">
        <v>2050</v>
      </c>
      <c r="H155" s="163">
        <v>2</v>
      </c>
    </row>
    <row r="156" spans="5:8" x14ac:dyDescent="0.3">
      <c r="F156" t="s">
        <v>1756</v>
      </c>
      <c r="H156" s="163">
        <v>3</v>
      </c>
    </row>
    <row r="157" spans="5:8" x14ac:dyDescent="0.3">
      <c r="F157" t="s">
        <v>1752</v>
      </c>
      <c r="H157" s="163">
        <v>9</v>
      </c>
    </row>
    <row r="158" spans="5:8" x14ac:dyDescent="0.3">
      <c r="F158" t="s">
        <v>1972</v>
      </c>
      <c r="G158" t="s">
        <v>2198</v>
      </c>
      <c r="H158" s="163">
        <v>1</v>
      </c>
    </row>
    <row r="159" spans="5:8" x14ac:dyDescent="0.3">
      <c r="F159" t="s">
        <v>1988</v>
      </c>
      <c r="G159" t="s">
        <v>1752</v>
      </c>
      <c r="H159" s="163">
        <v>2</v>
      </c>
    </row>
    <row r="160" spans="5:8" x14ac:dyDescent="0.3">
      <c r="F160" t="s">
        <v>1974</v>
      </c>
      <c r="G160" t="s">
        <v>1752</v>
      </c>
      <c r="H160" s="163">
        <v>5</v>
      </c>
    </row>
    <row r="161" spans="3:8" x14ac:dyDescent="0.3">
      <c r="F161" t="s">
        <v>1963</v>
      </c>
      <c r="G161" t="s">
        <v>1752</v>
      </c>
      <c r="H161" s="163">
        <v>4</v>
      </c>
    </row>
    <row r="162" spans="3:8" x14ac:dyDescent="0.3">
      <c r="G162" t="s">
        <v>2198</v>
      </c>
      <c r="H162" s="163">
        <v>1</v>
      </c>
    </row>
    <row r="163" spans="3:8" x14ac:dyDescent="0.3">
      <c r="F163" t="s">
        <v>1961</v>
      </c>
      <c r="G163" t="s">
        <v>1756</v>
      </c>
      <c r="H163" s="163">
        <v>1</v>
      </c>
    </row>
    <row r="164" spans="3:8" x14ac:dyDescent="0.3">
      <c r="F164" t="s">
        <v>2001</v>
      </c>
      <c r="G164" t="s">
        <v>1752</v>
      </c>
      <c r="H164" s="163">
        <v>4</v>
      </c>
    </row>
    <row r="165" spans="3:8" x14ac:dyDescent="0.3">
      <c r="F165" t="s">
        <v>1965</v>
      </c>
      <c r="G165" t="s">
        <v>1756</v>
      </c>
      <c r="H165" s="163">
        <v>1</v>
      </c>
    </row>
    <row r="166" spans="3:8" x14ac:dyDescent="0.3">
      <c r="F166" t="s">
        <v>1967</v>
      </c>
      <c r="G166" t="s">
        <v>1756</v>
      </c>
      <c r="H166" s="163">
        <v>1</v>
      </c>
    </row>
    <row r="167" spans="3:8" x14ac:dyDescent="0.3">
      <c r="F167" t="s">
        <v>1956</v>
      </c>
      <c r="G167" t="s">
        <v>1752</v>
      </c>
      <c r="H167" s="163">
        <v>3</v>
      </c>
    </row>
    <row r="168" spans="3:8" x14ac:dyDescent="0.3">
      <c r="G168" t="s">
        <v>1780</v>
      </c>
      <c r="H168" s="163">
        <v>2</v>
      </c>
    </row>
    <row r="169" spans="3:8" x14ac:dyDescent="0.3">
      <c r="D169" t="s">
        <v>1728</v>
      </c>
      <c r="E169" t="s">
        <v>2219</v>
      </c>
      <c r="F169" t="s">
        <v>1890</v>
      </c>
      <c r="G169" t="s">
        <v>2198</v>
      </c>
      <c r="H169" s="163">
        <v>5</v>
      </c>
    </row>
    <row r="170" spans="3:8" x14ac:dyDescent="0.3">
      <c r="F170" t="s">
        <v>1926</v>
      </c>
      <c r="G170" t="s">
        <v>2198</v>
      </c>
      <c r="H170" s="163">
        <v>4</v>
      </c>
    </row>
    <row r="171" spans="3:8" x14ac:dyDescent="0.3">
      <c r="E171" t="s">
        <v>2220</v>
      </c>
      <c r="F171" t="s">
        <v>1890</v>
      </c>
      <c r="G171" t="s">
        <v>2198</v>
      </c>
      <c r="H171" s="163">
        <v>4</v>
      </c>
    </row>
    <row r="172" spans="3:8" x14ac:dyDescent="0.3">
      <c r="F172" t="s">
        <v>1926</v>
      </c>
      <c r="G172" t="s">
        <v>2198</v>
      </c>
      <c r="H172" s="163">
        <v>3</v>
      </c>
    </row>
    <row r="173" spans="3:8" x14ac:dyDescent="0.3">
      <c r="F173" t="s">
        <v>2246</v>
      </c>
      <c r="G173" t="s">
        <v>2198</v>
      </c>
      <c r="H173" s="163">
        <v>1</v>
      </c>
    </row>
    <row r="174" spans="3:8" x14ac:dyDescent="0.3">
      <c r="C174" t="s">
        <v>2199</v>
      </c>
      <c r="H174" s="163">
        <v>452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CP1009"/>
  <sheetViews>
    <sheetView workbookViewId="0">
      <selection activeCell="E27" sqref="E27"/>
    </sheetView>
  </sheetViews>
  <sheetFormatPr defaultColWidth="9" defaultRowHeight="14.25" outlineLevelCol="2" x14ac:dyDescent="0.3"/>
  <cols>
    <col min="1" max="1" width="5.75" style="1" customWidth="1"/>
    <col min="2" max="2" width="6.125" style="2" customWidth="1"/>
    <col min="3" max="3" width="5.875" style="2" customWidth="1"/>
    <col min="4" max="4" width="9" style="2"/>
    <col min="5" max="5" width="7.125" style="2" customWidth="1"/>
    <col min="6" max="6" width="6.75" style="2" customWidth="1"/>
    <col min="7" max="7" width="5.5" style="2" customWidth="1"/>
    <col min="8" max="8" width="7" style="2" customWidth="1"/>
    <col min="9" max="9" width="6.875" style="2" customWidth="1"/>
    <col min="10" max="10" width="9.375" style="2" customWidth="1"/>
    <col min="11" max="11" width="8.25" style="2" customWidth="1"/>
    <col min="12" max="12" width="10.125" style="2" customWidth="1"/>
    <col min="13" max="13" width="9.5" style="2" bestFit="1" customWidth="1"/>
    <col min="14" max="14" width="6.75" style="2" customWidth="1"/>
    <col min="15" max="15" width="29" style="2" customWidth="1"/>
    <col min="16" max="16" width="7.75" style="2" customWidth="1"/>
    <col min="17" max="17" width="10.75" style="2" customWidth="1"/>
    <col min="18" max="18" width="6.25" style="2" customWidth="1"/>
    <col min="19" max="19" width="9.5" style="2" customWidth="1"/>
    <col min="20" max="20" width="8.75" style="2" customWidth="1"/>
    <col min="21" max="21" width="7.125" style="2" customWidth="1"/>
    <col min="22" max="22" width="5.375" style="2" customWidth="1"/>
    <col min="23" max="23" width="14" style="2" customWidth="1"/>
    <col min="24" max="24" width="11.5" style="2" customWidth="1"/>
    <col min="25" max="25" width="14.75" style="5" hidden="1" customWidth="1" outlineLevel="1"/>
    <col min="26" max="26" width="17.125" style="5" hidden="1" customWidth="1" outlineLevel="1"/>
    <col min="27" max="27" width="7.25" style="2" hidden="1" customWidth="1" outlineLevel="1"/>
    <col min="28" max="30" width="14" style="2" hidden="1" customWidth="1" outlineLevel="1"/>
    <col min="31" max="31" width="5.375" style="2" hidden="1" customWidth="1" outlineLevel="1"/>
    <col min="32" max="35" width="14" style="2" hidden="1" customWidth="1" outlineLevel="1"/>
    <col min="36" max="37" width="9.5" style="2" hidden="1" customWidth="1" outlineLevel="1"/>
    <col min="38" max="39" width="8" style="2" hidden="1" customWidth="1" outlineLevel="1"/>
    <col min="40" max="46" width="9" style="2" hidden="1" customWidth="1" outlineLevel="1"/>
    <col min="47" max="47" width="18.375" style="2" customWidth="1" collapsed="1"/>
    <col min="48" max="48" width="5.125" style="2" hidden="1" customWidth="1" outlineLevel="1"/>
    <col min="49" max="49" width="3.25" style="2" hidden="1" customWidth="1" outlineLevel="1"/>
    <col min="50" max="50" width="3.375" style="2" hidden="1" customWidth="1" outlineLevel="1"/>
    <col min="51" max="51" width="3" style="2" hidden="1" customWidth="1" outlineLevel="1"/>
    <col min="52" max="52" width="3.25" style="2" hidden="1" customWidth="1" outlineLevel="1"/>
    <col min="53" max="53" width="17.125" style="2" customWidth="1" collapsed="1"/>
    <col min="54" max="54" width="17.125" style="2" customWidth="1"/>
    <col min="55" max="57" width="9" style="2" hidden="1" customWidth="1" outlineLevel="1"/>
    <col min="58" max="58" width="11.375" style="2" hidden="1" customWidth="1" outlineLevel="1"/>
    <col min="59" max="59" width="9.375" style="2" customWidth="1" collapsed="1"/>
    <col min="60" max="60" width="8.5" style="2" customWidth="1"/>
    <col min="61" max="61" width="5.5" style="2" customWidth="1"/>
    <col min="62" max="62" width="11" style="2" customWidth="1"/>
    <col min="63" max="63" width="18.375" style="18" customWidth="1"/>
    <col min="64" max="64" width="15.125" style="18" customWidth="1"/>
    <col min="65" max="65" width="15.5" style="18" customWidth="1"/>
    <col min="66" max="67" width="9" style="2" outlineLevel="2"/>
    <col min="68" max="69" width="14" style="15" customWidth="1" outlineLevel="2"/>
    <col min="70" max="70" width="15" style="15" bestFit="1" customWidth="1" outlineLevel="1"/>
    <col min="71" max="72" width="14" style="15" customWidth="1" outlineLevel="2"/>
    <col min="73" max="74" width="11.625" style="18" customWidth="1" outlineLevel="2"/>
    <col min="75" max="75" width="12.875" style="18" customWidth="1" outlineLevel="1"/>
    <col min="76" max="79" width="11.625" style="18" customWidth="1" outlineLevel="2"/>
    <col min="80" max="80" width="12.875" style="18" customWidth="1" outlineLevel="1"/>
    <col min="81" max="84" width="11.625" style="18" hidden="1" customWidth="1" outlineLevel="2"/>
    <col min="85" max="85" width="12.875" style="18" customWidth="1" outlineLevel="1" collapsed="1"/>
    <col min="86" max="89" width="11.625" style="18" hidden="1" customWidth="1" outlineLevel="2"/>
    <col min="90" max="90" width="12.875" style="18" customWidth="1" outlineLevel="1" collapsed="1"/>
    <col min="91" max="91" width="9" style="2"/>
    <col min="92" max="92" width="16" style="2" customWidth="1"/>
    <col min="93" max="93" width="14.25" style="19" customWidth="1"/>
    <col min="94" max="94" width="15.875" style="2" bestFit="1" customWidth="1"/>
    <col min="95" max="16384" width="9" style="2"/>
  </cols>
  <sheetData>
    <row r="1" spans="1:94" ht="16.5" x14ac:dyDescent="0.3">
      <c r="D1" s="2" t="s">
        <v>0</v>
      </c>
      <c r="E1" s="3">
        <f>COUNTA(E6:E836)</f>
        <v>765</v>
      </c>
      <c r="S1" s="4"/>
      <c r="V1" s="4"/>
      <c r="AA1" s="2" t="s">
        <v>1</v>
      </c>
      <c r="AK1" s="6" t="s">
        <v>2</v>
      </c>
      <c r="AL1" s="7">
        <v>45961</v>
      </c>
      <c r="AP1" s="8" t="s">
        <v>3</v>
      </c>
      <c r="AT1" s="5" t="s">
        <v>4</v>
      </c>
      <c r="AU1" s="9">
        <f>SUM(AU6:AU843)</f>
        <v>320277222473.42859</v>
      </c>
      <c r="AV1" s="9">
        <f t="shared" ref="AV1:AZ1" si="0">SUM(AV6:AV836)</f>
        <v>0</v>
      </c>
      <c r="AW1" s="9">
        <f t="shared" si="0"/>
        <v>0</v>
      </c>
      <c r="AX1" s="9">
        <f t="shared" si="0"/>
        <v>75289680037</v>
      </c>
      <c r="AY1" s="9">
        <f t="shared" si="0"/>
        <v>136815965983</v>
      </c>
      <c r="AZ1" s="9">
        <f t="shared" si="0"/>
        <v>1092695104</v>
      </c>
      <c r="BA1" s="9">
        <f>SUBTOTAL(9,BA6:BA1000)</f>
        <v>3000</v>
      </c>
      <c r="BB1" s="10">
        <f>SUBTOTAL(9,BB6:BB1000)</f>
        <v>3000</v>
      </c>
      <c r="BC1" s="11"/>
      <c r="BD1" s="11"/>
      <c r="BE1" s="11"/>
      <c r="BF1" s="11"/>
      <c r="BG1" s="12"/>
      <c r="BH1" s="12"/>
      <c r="BI1" s="12"/>
      <c r="BK1" s="13" t="s">
        <v>5</v>
      </c>
      <c r="BL1" s="14">
        <v>8</v>
      </c>
      <c r="BM1" s="2"/>
      <c r="BO1" s="15"/>
      <c r="BP1" s="16" t="s">
        <v>6</v>
      </c>
      <c r="BQ1" s="17">
        <f>[1]Assumptions!D107</f>
        <v>0.02</v>
      </c>
      <c r="CO1" s="19" t="s">
        <v>7</v>
      </c>
    </row>
    <row r="2" spans="1:94" ht="16.5" x14ac:dyDescent="0.3">
      <c r="D2" s="2" t="s">
        <v>8</v>
      </c>
      <c r="E2" s="3">
        <f>SUBTOTAL(3,E6:E836)</f>
        <v>3</v>
      </c>
      <c r="S2" s="4"/>
      <c r="T2" s="20"/>
      <c r="V2" s="4"/>
      <c r="AL2" s="21"/>
      <c r="AP2" s="8" t="s">
        <v>9</v>
      </c>
      <c r="AT2" s="5" t="s">
        <v>10</v>
      </c>
      <c r="AU2" s="10">
        <f>SUBTOTAL(9,AU6:AU843)</f>
        <v>115450000</v>
      </c>
      <c r="AV2" s="10">
        <f t="shared" ref="AV2:AZ2" si="1">SUBTOTAL(9,AV6:AV836)</f>
        <v>0</v>
      </c>
      <c r="AW2" s="10">
        <f t="shared" si="1"/>
        <v>0</v>
      </c>
      <c r="AX2" s="10">
        <f t="shared" si="1"/>
        <v>0</v>
      </c>
      <c r="AY2" s="10">
        <f t="shared" si="1"/>
        <v>115447000</v>
      </c>
      <c r="AZ2" s="10">
        <f t="shared" si="1"/>
        <v>0</v>
      </c>
      <c r="BA2" s="10">
        <f>SUBTOTAL(9,BK6:BK843)</f>
        <v>2309000</v>
      </c>
      <c r="BC2" s="5"/>
      <c r="BD2" s="5"/>
      <c r="BE2" s="5"/>
      <c r="BF2" s="5"/>
      <c r="BK2" s="13" t="s">
        <v>11</v>
      </c>
      <c r="BL2" s="22">
        <f>[1]Assumptions!D106</f>
        <v>0.05</v>
      </c>
      <c r="BM2" s="23"/>
      <c r="BO2" s="2" t="s">
        <v>12</v>
      </c>
      <c r="BR2" s="24"/>
    </row>
    <row r="3" spans="1:94" x14ac:dyDescent="0.3">
      <c r="P3" s="20"/>
      <c r="Q3" s="20"/>
      <c r="R3" s="20"/>
      <c r="S3" s="4"/>
      <c r="V3" s="4"/>
      <c r="BK3" s="25" t="s">
        <v>13</v>
      </c>
      <c r="BO3" s="2" t="s">
        <v>4</v>
      </c>
      <c r="BP3" s="18">
        <f t="shared" ref="BP3:CG3" si="2">SUM(BP6:BP843)</f>
        <v>1973757622.7431431</v>
      </c>
      <c r="BQ3" s="18">
        <f t="shared" si="2"/>
        <v>1973757622.7431431</v>
      </c>
      <c r="BR3" s="26">
        <f t="shared" si="2"/>
        <v>3947515245.4862862</v>
      </c>
      <c r="BS3" s="18">
        <f t="shared" si="2"/>
        <v>1973757622.7431431</v>
      </c>
      <c r="BT3" s="18">
        <f t="shared" si="2"/>
        <v>1973757622.7431431</v>
      </c>
      <c r="BU3" s="18">
        <f t="shared" si="2"/>
        <v>3166265065.2822132</v>
      </c>
      <c r="BV3" s="18">
        <f t="shared" si="2"/>
        <v>3166265065.2822132</v>
      </c>
      <c r="BW3" s="26">
        <f t="shared" si="2"/>
        <v>10280045376.050709</v>
      </c>
      <c r="BX3" s="18">
        <f t="shared" si="2"/>
        <v>3166265065.2822132</v>
      </c>
      <c r="BY3" s="18">
        <f t="shared" si="2"/>
        <v>3166265065.2822132</v>
      </c>
      <c r="BZ3" s="18">
        <f t="shared" si="2"/>
        <v>3166265065.2822132</v>
      </c>
      <c r="CA3" s="18">
        <f t="shared" si="2"/>
        <v>3166265065.2822132</v>
      </c>
      <c r="CB3" s="26">
        <f t="shared" si="2"/>
        <v>12665060261.128853</v>
      </c>
      <c r="CC3" s="18">
        <f t="shared" si="2"/>
        <v>3166265065.2822132</v>
      </c>
      <c r="CD3" s="18">
        <f t="shared" si="2"/>
        <v>3166265065.2822132</v>
      </c>
      <c r="CE3" s="18">
        <f t="shared" si="2"/>
        <v>3166265065.2822132</v>
      </c>
      <c r="CF3" s="18">
        <f t="shared" si="2"/>
        <v>3166265065.2822132</v>
      </c>
      <c r="CG3" s="26">
        <f t="shared" si="2"/>
        <v>12665060261.128853</v>
      </c>
      <c r="CH3" s="18">
        <f>SUM(CH6:CH843)</f>
        <v>3166265065.2822132</v>
      </c>
      <c r="CI3" s="18">
        <f>SUM(CI6:CI843)</f>
        <v>3166265065.2822132</v>
      </c>
      <c r="CJ3" s="18">
        <f>SUM(CJ6:CJ843)</f>
        <v>3166265065.2822132</v>
      </c>
      <c r="CK3" s="18">
        <f>SUM(CK6:CK843)</f>
        <v>3166265065.2822132</v>
      </c>
      <c r="CL3" s="26">
        <f>SUM(CL6:CL843)</f>
        <v>12665060261.128853</v>
      </c>
      <c r="CN3" s="19">
        <v>10241309781.319998</v>
      </c>
    </row>
    <row r="4" spans="1:94" ht="16.5" x14ac:dyDescent="0.3">
      <c r="M4" s="27" t="s">
        <v>14</v>
      </c>
      <c r="P4" s="20"/>
      <c r="Q4" s="20"/>
      <c r="R4" s="20"/>
      <c r="S4" s="4"/>
      <c r="V4" s="4"/>
      <c r="Y4" s="28" t="s">
        <v>15</v>
      </c>
      <c r="Z4" s="28" t="s">
        <v>15</v>
      </c>
      <c r="AA4" s="8"/>
      <c r="AB4" s="8"/>
      <c r="AC4" s="8"/>
      <c r="AD4" s="8"/>
      <c r="AE4" s="8"/>
      <c r="AF4" s="8" t="s">
        <v>16</v>
      </c>
      <c r="AG4" s="8" t="s">
        <v>17</v>
      </c>
      <c r="AH4" s="8"/>
      <c r="AI4" s="8"/>
      <c r="AV4" s="6" t="s">
        <v>18</v>
      </c>
      <c r="AW4" s="6" t="s">
        <v>18</v>
      </c>
      <c r="AX4" s="6" t="s">
        <v>18</v>
      </c>
      <c r="AY4" s="6" t="s">
        <v>18</v>
      </c>
      <c r="AZ4" s="6" t="s">
        <v>18</v>
      </c>
      <c r="BC4" s="6" t="s">
        <v>19</v>
      </c>
      <c r="BD4" s="6" t="s">
        <v>19</v>
      </c>
      <c r="BE4" s="6" t="s">
        <v>19</v>
      </c>
      <c r="BF4" s="6" t="s">
        <v>19</v>
      </c>
      <c r="BK4" s="18">
        <f>SUBTOTAL(9,BK6:BK843)</f>
        <v>2309000</v>
      </c>
      <c r="BL4" s="18">
        <f>SUBTOTAL(9,BL6:BL843)</f>
        <v>126559.08146363222</v>
      </c>
      <c r="BO4" s="2" t="s">
        <v>20</v>
      </c>
      <c r="BP4" s="18">
        <f t="shared" ref="BP4:CL4" si="3">SUBTOTAL(9, BP6:BP843)</f>
        <v>44709.168676611909</v>
      </c>
      <c r="BQ4" s="18">
        <f t="shared" si="3"/>
        <v>44709.168676611909</v>
      </c>
      <c r="BR4" s="26">
        <f>SUBTOTAL(9, BR6:BR843)</f>
        <v>89418.337353223818</v>
      </c>
      <c r="BS4" s="18">
        <f t="shared" si="3"/>
        <v>44709.168676611909</v>
      </c>
      <c r="BT4" s="18">
        <f t="shared" si="3"/>
        <v>44709.168676611909</v>
      </c>
      <c r="BU4" s="18">
        <f t="shared" si="3"/>
        <v>126559.08146363222</v>
      </c>
      <c r="BV4" s="18">
        <f t="shared" si="3"/>
        <v>126559.08146363222</v>
      </c>
      <c r="BW4" s="26">
        <f t="shared" si="3"/>
        <v>342536.50028048828</v>
      </c>
      <c r="BX4" s="18">
        <f t="shared" si="3"/>
        <v>126559.08146363222</v>
      </c>
      <c r="BY4" s="18">
        <f t="shared" si="3"/>
        <v>126559.08146363222</v>
      </c>
      <c r="BZ4" s="18">
        <f t="shared" si="3"/>
        <v>126559.08146363222</v>
      </c>
      <c r="CA4" s="18">
        <f t="shared" si="3"/>
        <v>126559.08146363222</v>
      </c>
      <c r="CB4" s="26">
        <f t="shared" si="3"/>
        <v>506236.32585452887</v>
      </c>
      <c r="CC4" s="18">
        <f t="shared" si="3"/>
        <v>126559.08146363222</v>
      </c>
      <c r="CD4" s="18">
        <f t="shared" si="3"/>
        <v>126559.08146363222</v>
      </c>
      <c r="CE4" s="18">
        <f t="shared" si="3"/>
        <v>126559.08146363222</v>
      </c>
      <c r="CF4" s="18">
        <f t="shared" si="3"/>
        <v>126559.08146363222</v>
      </c>
      <c r="CG4" s="26">
        <f t="shared" si="3"/>
        <v>506236.32585452887</v>
      </c>
      <c r="CH4" s="18">
        <f t="shared" si="3"/>
        <v>126559.08146363222</v>
      </c>
      <c r="CI4" s="18">
        <f t="shared" si="3"/>
        <v>126559.08146363222</v>
      </c>
      <c r="CJ4" s="18">
        <f t="shared" si="3"/>
        <v>126559.08146363222</v>
      </c>
      <c r="CK4" s="18">
        <f t="shared" si="3"/>
        <v>126559.08146363222</v>
      </c>
      <c r="CL4" s="26">
        <f t="shared" si="3"/>
        <v>506236.32585452887</v>
      </c>
      <c r="CO4" s="19">
        <v>21000000000</v>
      </c>
      <c r="CP4" s="19">
        <f>SUBTOTAL(9,CP6:CP788)</f>
        <v>4049890.606836231</v>
      </c>
    </row>
    <row r="5" spans="1:94" x14ac:dyDescent="0.3">
      <c r="A5" s="29" t="s">
        <v>21</v>
      </c>
      <c r="B5" s="30" t="s">
        <v>22</v>
      </c>
      <c r="C5" s="30" t="s">
        <v>23</v>
      </c>
      <c r="D5" s="30" t="s">
        <v>24</v>
      </c>
      <c r="E5" s="31" t="s">
        <v>25</v>
      </c>
      <c r="F5" s="32" t="s">
        <v>26</v>
      </c>
      <c r="G5" s="32" t="s">
        <v>27</v>
      </c>
      <c r="H5" s="32" t="s">
        <v>28</v>
      </c>
      <c r="I5" s="32" t="s">
        <v>29</v>
      </c>
      <c r="J5" s="32" t="s">
        <v>30</v>
      </c>
      <c r="K5" s="32" t="s">
        <v>31</v>
      </c>
      <c r="L5" s="32" t="s">
        <v>32</v>
      </c>
      <c r="M5" s="32" t="s">
        <v>33</v>
      </c>
      <c r="N5" s="32" t="s">
        <v>34</v>
      </c>
      <c r="O5" s="32" t="s">
        <v>35</v>
      </c>
      <c r="P5" s="32" t="s">
        <v>36</v>
      </c>
      <c r="Q5" s="32" t="s">
        <v>37</v>
      </c>
      <c r="R5" s="32" t="s">
        <v>38</v>
      </c>
      <c r="S5" s="32" t="s">
        <v>39</v>
      </c>
      <c r="T5" s="32" t="s">
        <v>40</v>
      </c>
      <c r="U5" s="32" t="s">
        <v>41</v>
      </c>
      <c r="V5" s="32" t="s">
        <v>42</v>
      </c>
      <c r="W5" s="32" t="s">
        <v>43</v>
      </c>
      <c r="X5" s="32" t="s">
        <v>44</v>
      </c>
      <c r="Y5" s="33" t="s">
        <v>45</v>
      </c>
      <c r="Z5" s="33" t="s">
        <v>46</v>
      </c>
      <c r="AA5" s="32" t="s">
        <v>47</v>
      </c>
      <c r="AB5" s="32" t="s">
        <v>48</v>
      </c>
      <c r="AC5" s="32" t="s">
        <v>49</v>
      </c>
      <c r="AD5" s="32" t="s">
        <v>50</v>
      </c>
      <c r="AE5" s="32" t="s">
        <v>51</v>
      </c>
      <c r="AF5" s="32" t="s">
        <v>52</v>
      </c>
      <c r="AG5" s="32" t="s">
        <v>53</v>
      </c>
      <c r="AH5" s="32" t="s">
        <v>54</v>
      </c>
      <c r="AI5" s="32" t="s">
        <v>55</v>
      </c>
      <c r="AJ5" s="32" t="s">
        <v>56</v>
      </c>
      <c r="AK5" s="32" t="s">
        <v>57</v>
      </c>
      <c r="AL5" s="32" t="s">
        <v>58</v>
      </c>
      <c r="AM5" s="32" t="s">
        <v>59</v>
      </c>
      <c r="AN5" s="32" t="s">
        <v>60</v>
      </c>
      <c r="AO5" s="32" t="s">
        <v>61</v>
      </c>
      <c r="AP5" s="32" t="s">
        <v>62</v>
      </c>
      <c r="AQ5" s="32" t="s">
        <v>63</v>
      </c>
      <c r="AR5" s="32" t="s">
        <v>64</v>
      </c>
      <c r="AS5" s="32" t="s">
        <v>65</v>
      </c>
      <c r="AT5" s="31" t="s">
        <v>66</v>
      </c>
      <c r="AU5" s="34" t="s">
        <v>67</v>
      </c>
      <c r="AV5" s="35" t="s">
        <v>68</v>
      </c>
      <c r="AW5" s="35" t="s">
        <v>69</v>
      </c>
      <c r="AX5" s="35" t="s">
        <v>70</v>
      </c>
      <c r="AY5" s="35" t="s">
        <v>71</v>
      </c>
      <c r="AZ5" s="35" t="s">
        <v>72</v>
      </c>
      <c r="BA5" s="34" t="s">
        <v>73</v>
      </c>
      <c r="BB5" s="36" t="s">
        <v>74</v>
      </c>
      <c r="BC5" s="31" t="s">
        <v>75</v>
      </c>
      <c r="BD5" s="31" t="s">
        <v>76</v>
      </c>
      <c r="BE5" s="31" t="s">
        <v>77</v>
      </c>
      <c r="BF5" s="31" t="s">
        <v>78</v>
      </c>
      <c r="BG5" s="37" t="s">
        <v>79</v>
      </c>
      <c r="BH5" s="38" t="s">
        <v>80</v>
      </c>
      <c r="BI5" s="38" t="s">
        <v>81</v>
      </c>
      <c r="BJ5" s="38" t="s">
        <v>82</v>
      </c>
      <c r="BK5" s="39" t="s">
        <v>83</v>
      </c>
      <c r="BL5" s="39" t="s">
        <v>84</v>
      </c>
      <c r="BM5" s="39" t="s">
        <v>85</v>
      </c>
      <c r="BN5" s="40" t="s">
        <v>86</v>
      </c>
      <c r="BO5" s="40" t="s">
        <v>87</v>
      </c>
      <c r="BP5" s="40" t="s">
        <v>88</v>
      </c>
      <c r="BQ5" s="40" t="s">
        <v>89</v>
      </c>
      <c r="BR5" s="41" t="s">
        <v>90</v>
      </c>
      <c r="BS5" s="42" t="s">
        <v>91</v>
      </c>
      <c r="BT5" s="42" t="s">
        <v>92</v>
      </c>
      <c r="BU5" s="42" t="s">
        <v>93</v>
      </c>
      <c r="BV5" s="42" t="s">
        <v>94</v>
      </c>
      <c r="BW5" s="43" t="s">
        <v>95</v>
      </c>
      <c r="BX5" s="44" t="s">
        <v>96</v>
      </c>
      <c r="BY5" s="44" t="s">
        <v>97</v>
      </c>
      <c r="BZ5" s="44" t="s">
        <v>98</v>
      </c>
      <c r="CA5" s="44" t="s">
        <v>99</v>
      </c>
      <c r="CB5" s="43" t="s">
        <v>100</v>
      </c>
      <c r="CC5" s="44" t="s">
        <v>101</v>
      </c>
      <c r="CD5" s="44" t="s">
        <v>102</v>
      </c>
      <c r="CE5" s="44" t="s">
        <v>103</v>
      </c>
      <c r="CF5" s="44" t="s">
        <v>104</v>
      </c>
      <c r="CG5" s="43" t="s">
        <v>100</v>
      </c>
      <c r="CH5" s="44" t="s">
        <v>105</v>
      </c>
      <c r="CI5" s="44" t="s">
        <v>106</v>
      </c>
      <c r="CJ5" s="44" t="s">
        <v>107</v>
      </c>
      <c r="CK5" s="44" t="s">
        <v>108</v>
      </c>
      <c r="CL5" s="43" t="s">
        <v>109</v>
      </c>
      <c r="CM5" s="6" t="s">
        <v>110</v>
      </c>
      <c r="CN5" s="45" t="s">
        <v>111</v>
      </c>
      <c r="CO5" s="46" t="s">
        <v>112</v>
      </c>
      <c r="CP5" s="39" t="s">
        <v>113</v>
      </c>
    </row>
    <row r="6" spans="1:94" ht="16.5" hidden="1" x14ac:dyDescent="0.3">
      <c r="A6" s="2">
        <v>1</v>
      </c>
      <c r="B6" s="47" t="s">
        <v>21</v>
      </c>
      <c r="C6" s="47"/>
      <c r="D6" s="30" t="s">
        <v>114</v>
      </c>
      <c r="E6" s="30" t="s">
        <v>115</v>
      </c>
      <c r="F6" s="30" t="s">
        <v>116</v>
      </c>
      <c r="G6" s="48" t="s">
        <v>117</v>
      </c>
      <c r="H6" s="48" t="s">
        <v>118</v>
      </c>
      <c r="I6" s="30" t="s">
        <v>119</v>
      </c>
      <c r="J6" s="30" t="s">
        <v>120</v>
      </c>
      <c r="K6" s="30" t="s">
        <v>121</v>
      </c>
      <c r="L6" s="30" t="s">
        <v>122</v>
      </c>
      <c r="M6" s="30">
        <v>2100164</v>
      </c>
      <c r="N6" s="48" t="s">
        <v>123</v>
      </c>
      <c r="O6" s="48" t="s">
        <v>124</v>
      </c>
      <c r="P6" s="30" t="s">
        <v>125</v>
      </c>
      <c r="Q6" s="30"/>
      <c r="R6" s="30"/>
      <c r="S6" s="30" t="s">
        <v>126</v>
      </c>
      <c r="T6" s="30"/>
      <c r="U6" s="48"/>
      <c r="V6" s="48"/>
      <c r="W6" s="48"/>
      <c r="X6" s="48" t="s">
        <v>127</v>
      </c>
      <c r="Y6" s="48" t="s">
        <v>128</v>
      </c>
      <c r="Z6" s="48" t="s">
        <v>128</v>
      </c>
      <c r="AA6" s="48" t="s">
        <v>129</v>
      </c>
      <c r="AB6" s="49" t="s">
        <v>130</v>
      </c>
      <c r="AC6" s="48"/>
      <c r="AD6" s="48"/>
      <c r="AE6" s="48"/>
      <c r="AF6" s="48" t="s">
        <v>131</v>
      </c>
      <c r="AG6" s="48"/>
      <c r="AH6" s="48"/>
      <c r="AI6" s="48"/>
      <c r="AJ6" s="50">
        <v>37151</v>
      </c>
      <c r="AK6" s="50">
        <v>37151</v>
      </c>
      <c r="AL6" s="51">
        <f t="shared" ref="AL6:AL69" si="4">($AL$1-AK6)/365</f>
        <v>24.136986301369863</v>
      </c>
      <c r="AM6" s="52">
        <v>8</v>
      </c>
      <c r="AN6" s="48" t="s">
        <v>132</v>
      </c>
      <c r="AO6" s="30" t="s">
        <v>133</v>
      </c>
      <c r="AP6" s="30" t="s">
        <v>134</v>
      </c>
      <c r="AQ6" s="30"/>
      <c r="AR6" s="30"/>
      <c r="AS6" s="30"/>
      <c r="AT6" s="30" t="e">
        <v>#N/A</v>
      </c>
      <c r="AU6" s="53">
        <v>43650000</v>
      </c>
      <c r="AV6" s="54"/>
      <c r="AW6" s="54"/>
      <c r="AX6" s="54">
        <v>43650000</v>
      </c>
      <c r="AY6" s="54"/>
      <c r="AZ6" s="54"/>
      <c r="BA6" s="54">
        <v>1000</v>
      </c>
      <c r="BB6" s="55">
        <v>1000</v>
      </c>
      <c r="BC6" s="52">
        <v>96</v>
      </c>
      <c r="BD6" s="52">
        <v>291</v>
      </c>
      <c r="BE6" s="52">
        <v>0</v>
      </c>
      <c r="BF6" s="30"/>
      <c r="BG6" s="30" t="s">
        <v>135</v>
      </c>
      <c r="BH6" s="30" t="s">
        <v>136</v>
      </c>
      <c r="BI6" s="30" t="str">
        <f>BH6</f>
        <v>Test</v>
      </c>
      <c r="BJ6" s="47" t="s">
        <v>137</v>
      </c>
      <c r="BK6" s="56">
        <f>IF(OR(BA6=1000, BA6=0), AU6*$BQ$1, BA6*(1+$BL$2))</f>
        <v>873000</v>
      </c>
      <c r="BL6" s="57">
        <f>CP6/$BL$1/4</f>
        <v>83221.970692286137</v>
      </c>
      <c r="BM6" s="57">
        <f t="shared" ref="BM6:BM69" si="5">CP6/$BL$1/12</f>
        <v>27740.656897428711</v>
      </c>
      <c r="BU6" s="58">
        <f t="shared" ref="BU6:BU69" si="6">BM6*3</f>
        <v>83221.970692286137</v>
      </c>
      <c r="BV6" s="58">
        <f t="shared" ref="BV6:BV69" si="7">BU6</f>
        <v>83221.970692286137</v>
      </c>
      <c r="BW6" s="58">
        <f t="shared" ref="BW6:BW11" si="8">SUM(BS6:BV6)</f>
        <v>166443.94138457227</v>
      </c>
      <c r="BX6" s="58">
        <f t="shared" ref="BX6:BX69" si="9">BV6</f>
        <v>83221.970692286137</v>
      </c>
      <c r="BY6" s="58">
        <f t="shared" ref="BY6:CA25" si="10">BX6</f>
        <v>83221.970692286137</v>
      </c>
      <c r="BZ6" s="58">
        <f t="shared" si="10"/>
        <v>83221.970692286137</v>
      </c>
      <c r="CA6" s="58">
        <f t="shared" si="10"/>
        <v>83221.970692286137</v>
      </c>
      <c r="CB6" s="58">
        <f t="shared" ref="CB6:CB69" si="11">SUM(BX6:CA6)</f>
        <v>332887.88276914455</v>
      </c>
      <c r="CC6" s="58">
        <f t="shared" ref="CC6:CC69" si="12">CA6</f>
        <v>83221.970692286137</v>
      </c>
      <c r="CD6" s="58">
        <f t="shared" ref="CD6:CF25" si="13">CC6</f>
        <v>83221.970692286137</v>
      </c>
      <c r="CE6" s="58">
        <f t="shared" si="13"/>
        <v>83221.970692286137</v>
      </c>
      <c r="CF6" s="58">
        <f t="shared" si="13"/>
        <v>83221.970692286137</v>
      </c>
      <c r="CG6" s="58">
        <f t="shared" ref="CG6:CG69" si="14">SUM(CC6:CF6)</f>
        <v>332887.88276914455</v>
      </c>
      <c r="CH6" s="58">
        <f t="shared" ref="CH6:CH69" si="15">CF6</f>
        <v>83221.970692286137</v>
      </c>
      <c r="CI6" s="58">
        <f t="shared" ref="CI6:CK69" si="16">CH6</f>
        <v>83221.970692286137</v>
      </c>
      <c r="CJ6" s="58">
        <f t="shared" si="16"/>
        <v>83221.970692286137</v>
      </c>
      <c r="CK6" s="58">
        <f t="shared" si="16"/>
        <v>83221.970692286137</v>
      </c>
      <c r="CL6" s="58">
        <f t="shared" ref="CL6:CL69" si="17">SUM(CH6:CK6)</f>
        <v>332887.88276914455</v>
      </c>
      <c r="CN6" s="59">
        <f>BK6/$CN$3</f>
        <v>8.5243002959674115E-5</v>
      </c>
      <c r="CO6" s="19">
        <f>CN6*$CO$4</f>
        <v>1790103.0621531564</v>
      </c>
      <c r="CP6" s="60">
        <f>CO6+BK6</f>
        <v>2663103.0621531564</v>
      </c>
    </row>
    <row r="7" spans="1:94" ht="16.5" hidden="1" x14ac:dyDescent="0.3">
      <c r="A7" s="2">
        <v>2</v>
      </c>
      <c r="B7" s="47" t="s">
        <v>21</v>
      </c>
      <c r="C7" s="47"/>
      <c r="D7" s="30" t="s">
        <v>114</v>
      </c>
      <c r="E7" s="30" t="s">
        <v>115</v>
      </c>
      <c r="F7" s="30" t="s">
        <v>116</v>
      </c>
      <c r="G7" s="48" t="s">
        <v>117</v>
      </c>
      <c r="H7" s="48" t="s">
        <v>118</v>
      </c>
      <c r="I7" s="30" t="s">
        <v>119</v>
      </c>
      <c r="J7" s="30" t="s">
        <v>120</v>
      </c>
      <c r="K7" s="30" t="s">
        <v>121</v>
      </c>
      <c r="L7" s="30" t="s">
        <v>122</v>
      </c>
      <c r="M7" s="30">
        <v>2100179</v>
      </c>
      <c r="N7" s="48" t="s">
        <v>138</v>
      </c>
      <c r="O7" s="48" t="s">
        <v>139</v>
      </c>
      <c r="P7" s="30" t="s">
        <v>140</v>
      </c>
      <c r="Q7" s="30" t="s">
        <v>141</v>
      </c>
      <c r="R7" s="30" t="s">
        <v>142</v>
      </c>
      <c r="S7" s="61">
        <v>310284573</v>
      </c>
      <c r="T7" s="30" t="s">
        <v>143</v>
      </c>
      <c r="U7" s="48" t="s">
        <v>144</v>
      </c>
      <c r="V7" s="62" t="s">
        <v>145</v>
      </c>
      <c r="W7" s="48" t="s">
        <v>146</v>
      </c>
      <c r="X7" s="48" t="s">
        <v>147</v>
      </c>
      <c r="Y7" s="48" t="s">
        <v>128</v>
      </c>
      <c r="Z7" s="48" t="s">
        <v>128</v>
      </c>
      <c r="AA7" s="20" t="s">
        <v>148</v>
      </c>
      <c r="AB7" s="48" t="s">
        <v>149</v>
      </c>
      <c r="AC7" s="48" t="s">
        <v>150</v>
      </c>
      <c r="AD7" s="48"/>
      <c r="AE7" s="48"/>
      <c r="AF7" s="48" t="s">
        <v>151</v>
      </c>
      <c r="AG7" s="48" t="s">
        <v>152</v>
      </c>
      <c r="AH7" s="48" t="s">
        <v>153</v>
      </c>
      <c r="AI7" s="48"/>
      <c r="AJ7" s="50">
        <v>38928</v>
      </c>
      <c r="AK7" s="50">
        <v>38928</v>
      </c>
      <c r="AL7" s="51">
        <f t="shared" si="4"/>
        <v>19.268493150684932</v>
      </c>
      <c r="AM7" s="52">
        <v>8</v>
      </c>
      <c r="AN7" s="48" t="s">
        <v>154</v>
      </c>
      <c r="AO7" s="30" t="s">
        <v>133</v>
      </c>
      <c r="AP7" s="30" t="s">
        <v>134</v>
      </c>
      <c r="AQ7" s="30">
        <v>9.9451440000000009</v>
      </c>
      <c r="AR7" s="30">
        <v>950</v>
      </c>
      <c r="AS7" s="30">
        <v>1250</v>
      </c>
      <c r="AT7" s="30">
        <v>1800</v>
      </c>
      <c r="AU7" s="53">
        <v>552752151</v>
      </c>
      <c r="AV7" s="54"/>
      <c r="AW7" s="54"/>
      <c r="AX7" s="54">
        <v>552752151</v>
      </c>
      <c r="AY7" s="54"/>
      <c r="AZ7" s="54"/>
      <c r="BA7" s="54">
        <v>1000</v>
      </c>
      <c r="BB7" s="55">
        <v>1000</v>
      </c>
      <c r="BC7" s="52">
        <v>96</v>
      </c>
      <c r="BD7" s="52">
        <v>233</v>
      </c>
      <c r="BE7" s="52">
        <v>0</v>
      </c>
      <c r="BF7" s="30"/>
      <c r="BG7" s="30" t="s">
        <v>135</v>
      </c>
      <c r="BH7" s="30" t="s">
        <v>136</v>
      </c>
      <c r="BI7" s="30" t="str">
        <f t="shared" ref="BI7:BI70" si="18">BH7</f>
        <v>Test</v>
      </c>
      <c r="BJ7" s="47" t="s">
        <v>137</v>
      </c>
      <c r="BK7" s="56">
        <f t="shared" ref="BK7:BK70" si="19">IF(OR(BA7=1000, BA7=0), AU7*$BQ$1, BA7*(1+$BL$2))</f>
        <v>11055043.02</v>
      </c>
      <c r="BL7" s="57">
        <f t="shared" ref="BL7:BL70" si="20">CP7/$BL$1/4</f>
        <v>1053863.0769901515</v>
      </c>
      <c r="BM7" s="57">
        <f t="shared" si="5"/>
        <v>351287.69233005052</v>
      </c>
      <c r="BP7" s="63">
        <f t="shared" ref="BP7:BP10" si="21">BM7*3</f>
        <v>1053863.0769901515</v>
      </c>
      <c r="BQ7" s="63">
        <f t="shared" ref="BQ7:BQ10" si="22">BP7</f>
        <v>1053863.0769901515</v>
      </c>
      <c r="BR7" s="63">
        <f t="shared" ref="BR7:BR10" si="23">SUM(BN7:BQ7)</f>
        <v>2107726.1539803031</v>
      </c>
      <c r="BS7" s="63">
        <f t="shared" ref="BS7:BS10" si="24">BQ7</f>
        <v>1053863.0769901515</v>
      </c>
      <c r="BT7" s="63">
        <f t="shared" ref="BT7:BT10" si="25">BS7</f>
        <v>1053863.0769901515</v>
      </c>
      <c r="BU7" s="58">
        <f t="shared" si="6"/>
        <v>1053863.0769901515</v>
      </c>
      <c r="BV7" s="58">
        <f t="shared" si="7"/>
        <v>1053863.0769901515</v>
      </c>
      <c r="BW7" s="58">
        <f t="shared" si="8"/>
        <v>4215452.3079606062</v>
      </c>
      <c r="BX7" s="58">
        <f t="shared" si="9"/>
        <v>1053863.0769901515</v>
      </c>
      <c r="BY7" s="58">
        <f t="shared" si="10"/>
        <v>1053863.0769901515</v>
      </c>
      <c r="BZ7" s="58">
        <f t="shared" si="10"/>
        <v>1053863.0769901515</v>
      </c>
      <c r="CA7" s="58">
        <f t="shared" si="10"/>
        <v>1053863.0769901515</v>
      </c>
      <c r="CB7" s="58">
        <f t="shared" si="11"/>
        <v>4215452.3079606062</v>
      </c>
      <c r="CC7" s="58">
        <f t="shared" si="12"/>
        <v>1053863.0769901515</v>
      </c>
      <c r="CD7" s="58">
        <f t="shared" si="13"/>
        <v>1053863.0769901515</v>
      </c>
      <c r="CE7" s="58">
        <f t="shared" si="13"/>
        <v>1053863.0769901515</v>
      </c>
      <c r="CF7" s="58">
        <f t="shared" si="13"/>
        <v>1053863.0769901515</v>
      </c>
      <c r="CG7" s="58">
        <f t="shared" si="14"/>
        <v>4215452.3079606062</v>
      </c>
      <c r="CH7" s="58">
        <f t="shared" si="15"/>
        <v>1053863.0769901515</v>
      </c>
      <c r="CI7" s="58">
        <f t="shared" si="16"/>
        <v>1053863.0769901515</v>
      </c>
      <c r="CJ7" s="58">
        <f t="shared" si="16"/>
        <v>1053863.0769901515</v>
      </c>
      <c r="CK7" s="58">
        <f t="shared" si="16"/>
        <v>1053863.0769901515</v>
      </c>
      <c r="CL7" s="58">
        <f t="shared" si="17"/>
        <v>4215452.3079606062</v>
      </c>
      <c r="CN7" s="59">
        <f t="shared" ref="CN7:CN32" si="26">BK7/$CN$3</f>
        <v>1.0794559735088024E-3</v>
      </c>
      <c r="CO7" s="64">
        <f t="shared" ref="CO7:CO32" si="27">CN7*$CO$4</f>
        <v>22668575.44368485</v>
      </c>
      <c r="CP7" s="2">
        <f t="shared" ref="CP7:CP70" si="28">CO7+BK7</f>
        <v>33723618.463684849</v>
      </c>
    </row>
    <row r="8" spans="1:94" ht="16.5" hidden="1" x14ac:dyDescent="0.3">
      <c r="A8" s="2">
        <v>3</v>
      </c>
      <c r="B8" s="47" t="s">
        <v>21</v>
      </c>
      <c r="C8" s="47"/>
      <c r="D8" s="30" t="s">
        <v>114</v>
      </c>
      <c r="E8" s="30" t="s">
        <v>115</v>
      </c>
      <c r="F8" s="30" t="s">
        <v>116</v>
      </c>
      <c r="G8" s="48" t="s">
        <v>117</v>
      </c>
      <c r="H8" s="48" t="s">
        <v>118</v>
      </c>
      <c r="I8" s="30" t="s">
        <v>119</v>
      </c>
      <c r="J8" s="30" t="s">
        <v>120</v>
      </c>
      <c r="K8" s="30" t="s">
        <v>121</v>
      </c>
      <c r="L8" s="30" t="s">
        <v>122</v>
      </c>
      <c r="M8" s="30">
        <v>2100180</v>
      </c>
      <c r="N8" s="48" t="s">
        <v>138</v>
      </c>
      <c r="O8" s="48" t="s">
        <v>155</v>
      </c>
      <c r="P8" s="30" t="s">
        <v>140</v>
      </c>
      <c r="Q8" s="30" t="s">
        <v>141</v>
      </c>
      <c r="R8" s="30" t="s">
        <v>142</v>
      </c>
      <c r="S8" s="61">
        <v>310345388</v>
      </c>
      <c r="T8" s="30" t="s">
        <v>156</v>
      </c>
      <c r="U8" s="48" t="s">
        <v>144</v>
      </c>
      <c r="V8" s="62" t="s">
        <v>145</v>
      </c>
      <c r="W8" s="48" t="s">
        <v>146</v>
      </c>
      <c r="X8" s="48" t="s">
        <v>147</v>
      </c>
      <c r="Y8" s="48" t="s">
        <v>128</v>
      </c>
      <c r="Z8" s="48" t="s">
        <v>128</v>
      </c>
      <c r="AA8" s="20" t="s">
        <v>148</v>
      </c>
      <c r="AB8" s="48" t="s">
        <v>149</v>
      </c>
      <c r="AC8" s="48" t="s">
        <v>150</v>
      </c>
      <c r="AD8" s="48"/>
      <c r="AE8" s="48"/>
      <c r="AF8" s="48" t="s">
        <v>151</v>
      </c>
      <c r="AG8" s="48" t="s">
        <v>152</v>
      </c>
      <c r="AH8" s="48" t="s">
        <v>153</v>
      </c>
      <c r="AI8" s="48"/>
      <c r="AJ8" s="50">
        <v>38928</v>
      </c>
      <c r="AK8" s="50">
        <v>38928</v>
      </c>
      <c r="AL8" s="51">
        <f t="shared" si="4"/>
        <v>19.268493150684932</v>
      </c>
      <c r="AM8" s="52">
        <v>8</v>
      </c>
      <c r="AN8" s="48" t="s">
        <v>157</v>
      </c>
      <c r="AO8" s="30" t="s">
        <v>133</v>
      </c>
      <c r="AP8" s="30" t="s">
        <v>134</v>
      </c>
      <c r="AQ8" s="30">
        <v>9.9451440000000009</v>
      </c>
      <c r="AR8" s="30">
        <v>950</v>
      </c>
      <c r="AS8" s="30">
        <v>1250</v>
      </c>
      <c r="AT8" s="30">
        <v>1800</v>
      </c>
      <c r="AU8" s="53">
        <v>552752150</v>
      </c>
      <c r="AV8" s="54"/>
      <c r="AW8" s="54"/>
      <c r="AX8" s="54">
        <v>552752150</v>
      </c>
      <c r="AY8" s="54"/>
      <c r="AZ8" s="54"/>
      <c r="BA8" s="54">
        <v>0</v>
      </c>
      <c r="BB8" s="55">
        <v>0</v>
      </c>
      <c r="BC8" s="52">
        <v>96</v>
      </c>
      <c r="BD8" s="52">
        <v>233</v>
      </c>
      <c r="BE8" s="52">
        <v>0</v>
      </c>
      <c r="BF8" s="30"/>
      <c r="BG8" s="30" t="s">
        <v>135</v>
      </c>
      <c r="BH8" s="30" t="s">
        <v>136</v>
      </c>
      <c r="BI8" s="30" t="str">
        <f t="shared" si="18"/>
        <v>Test</v>
      </c>
      <c r="BJ8" s="47" t="s">
        <v>137</v>
      </c>
      <c r="BK8" s="56">
        <f t="shared" si="19"/>
        <v>11055043</v>
      </c>
      <c r="BL8" s="57">
        <f t="shared" si="20"/>
        <v>1053863.0750835773</v>
      </c>
      <c r="BM8" s="57">
        <f t="shared" si="5"/>
        <v>351287.69169452577</v>
      </c>
      <c r="BP8" s="63">
        <f t="shared" si="21"/>
        <v>1053863.0750835773</v>
      </c>
      <c r="BQ8" s="63">
        <f t="shared" si="22"/>
        <v>1053863.0750835773</v>
      </c>
      <c r="BR8" s="63">
        <f t="shared" si="23"/>
        <v>2107726.1501671546</v>
      </c>
      <c r="BS8" s="63">
        <f t="shared" si="24"/>
        <v>1053863.0750835773</v>
      </c>
      <c r="BT8" s="63">
        <f t="shared" si="25"/>
        <v>1053863.0750835773</v>
      </c>
      <c r="BU8" s="58">
        <f t="shared" si="6"/>
        <v>1053863.0750835773</v>
      </c>
      <c r="BV8" s="58">
        <f t="shared" si="7"/>
        <v>1053863.0750835773</v>
      </c>
      <c r="BW8" s="58">
        <f t="shared" si="8"/>
        <v>4215452.3003343092</v>
      </c>
      <c r="BX8" s="58">
        <f t="shared" si="9"/>
        <v>1053863.0750835773</v>
      </c>
      <c r="BY8" s="58">
        <f t="shared" si="10"/>
        <v>1053863.0750835773</v>
      </c>
      <c r="BZ8" s="58">
        <f t="shared" si="10"/>
        <v>1053863.0750835773</v>
      </c>
      <c r="CA8" s="58">
        <f t="shared" si="10"/>
        <v>1053863.0750835773</v>
      </c>
      <c r="CB8" s="58">
        <f t="shared" si="11"/>
        <v>4215452.3003343092</v>
      </c>
      <c r="CC8" s="58">
        <f t="shared" si="12"/>
        <v>1053863.0750835773</v>
      </c>
      <c r="CD8" s="58">
        <f t="shared" si="13"/>
        <v>1053863.0750835773</v>
      </c>
      <c r="CE8" s="58">
        <f t="shared" si="13"/>
        <v>1053863.0750835773</v>
      </c>
      <c r="CF8" s="58">
        <f t="shared" si="13"/>
        <v>1053863.0750835773</v>
      </c>
      <c r="CG8" s="58">
        <f t="shared" si="14"/>
        <v>4215452.3003343092</v>
      </c>
      <c r="CH8" s="58">
        <f t="shared" si="15"/>
        <v>1053863.0750835773</v>
      </c>
      <c r="CI8" s="58">
        <f t="shared" si="16"/>
        <v>1053863.0750835773</v>
      </c>
      <c r="CJ8" s="58">
        <f t="shared" si="16"/>
        <v>1053863.0750835773</v>
      </c>
      <c r="CK8" s="58">
        <f t="shared" si="16"/>
        <v>1053863.0750835773</v>
      </c>
      <c r="CL8" s="58">
        <f t="shared" si="17"/>
        <v>4215452.3003343092</v>
      </c>
      <c r="CN8" s="59">
        <f t="shared" si="26"/>
        <v>1.0794559715559273E-3</v>
      </c>
      <c r="CO8" s="64">
        <f t="shared" si="27"/>
        <v>22668575.402674474</v>
      </c>
      <c r="CP8" s="2">
        <f t="shared" si="28"/>
        <v>33723618.402674474</v>
      </c>
    </row>
    <row r="9" spans="1:94" ht="16.5" hidden="1" x14ac:dyDescent="0.3">
      <c r="A9" s="2">
        <v>4</v>
      </c>
      <c r="B9" s="47" t="s">
        <v>21</v>
      </c>
      <c r="C9" s="47"/>
      <c r="D9" s="30" t="s">
        <v>114</v>
      </c>
      <c r="E9" s="30" t="s">
        <v>115</v>
      </c>
      <c r="F9" s="30" t="s">
        <v>116</v>
      </c>
      <c r="G9" s="48" t="s">
        <v>117</v>
      </c>
      <c r="H9" s="48" t="s">
        <v>118</v>
      </c>
      <c r="I9" s="30" t="s">
        <v>119</v>
      </c>
      <c r="J9" s="30" t="s">
        <v>120</v>
      </c>
      <c r="K9" s="30" t="s">
        <v>121</v>
      </c>
      <c r="L9" s="30" t="s">
        <v>122</v>
      </c>
      <c r="M9" s="30">
        <v>2100181</v>
      </c>
      <c r="N9" s="48" t="s">
        <v>138</v>
      </c>
      <c r="O9" s="48" t="s">
        <v>158</v>
      </c>
      <c r="P9" s="30" t="s">
        <v>140</v>
      </c>
      <c r="Q9" s="30" t="s">
        <v>141</v>
      </c>
      <c r="R9" s="30" t="s">
        <v>142</v>
      </c>
      <c r="S9" s="61">
        <v>310357697</v>
      </c>
      <c r="T9" s="30" t="s">
        <v>159</v>
      </c>
      <c r="U9" s="48" t="s">
        <v>144</v>
      </c>
      <c r="V9" s="62" t="s">
        <v>145</v>
      </c>
      <c r="W9" s="48" t="s">
        <v>146</v>
      </c>
      <c r="X9" s="48" t="s">
        <v>147</v>
      </c>
      <c r="Y9" s="48" t="s">
        <v>128</v>
      </c>
      <c r="Z9" s="48" t="s">
        <v>128</v>
      </c>
      <c r="AA9" s="20" t="s">
        <v>148</v>
      </c>
      <c r="AB9" s="48" t="s">
        <v>149</v>
      </c>
      <c r="AC9" s="48" t="s">
        <v>150</v>
      </c>
      <c r="AD9" s="48"/>
      <c r="AE9" s="48"/>
      <c r="AF9" s="48" t="s">
        <v>151</v>
      </c>
      <c r="AG9" s="48" t="s">
        <v>152</v>
      </c>
      <c r="AH9" s="48" t="s">
        <v>153</v>
      </c>
      <c r="AI9" s="48"/>
      <c r="AJ9" s="50">
        <v>38928</v>
      </c>
      <c r="AK9" s="50">
        <v>38928</v>
      </c>
      <c r="AL9" s="51">
        <f t="shared" si="4"/>
        <v>19.268493150684932</v>
      </c>
      <c r="AM9" s="52">
        <v>8</v>
      </c>
      <c r="AN9" s="48" t="s">
        <v>154</v>
      </c>
      <c r="AO9" s="30" t="s">
        <v>133</v>
      </c>
      <c r="AP9" s="30" t="s">
        <v>134</v>
      </c>
      <c r="AQ9" s="30">
        <v>9.9451440000000009</v>
      </c>
      <c r="AR9" s="30">
        <v>950</v>
      </c>
      <c r="AS9" s="30">
        <v>1250</v>
      </c>
      <c r="AT9" s="30">
        <v>1800</v>
      </c>
      <c r="AU9" s="53">
        <v>552752150</v>
      </c>
      <c r="AV9" s="54"/>
      <c r="AW9" s="54"/>
      <c r="AX9" s="54">
        <v>552752150</v>
      </c>
      <c r="AY9" s="54"/>
      <c r="AZ9" s="54"/>
      <c r="BA9" s="54">
        <v>0</v>
      </c>
      <c r="BB9" s="55">
        <v>0</v>
      </c>
      <c r="BC9" s="52">
        <v>96</v>
      </c>
      <c r="BD9" s="52">
        <v>233</v>
      </c>
      <c r="BE9" s="52">
        <v>0</v>
      </c>
      <c r="BF9" s="30"/>
      <c r="BG9" s="30" t="s">
        <v>135</v>
      </c>
      <c r="BH9" s="30" t="s">
        <v>136</v>
      </c>
      <c r="BI9" s="30" t="str">
        <f t="shared" si="18"/>
        <v>Test</v>
      </c>
      <c r="BJ9" s="47" t="s">
        <v>137</v>
      </c>
      <c r="BK9" s="56">
        <f t="shared" si="19"/>
        <v>11055043</v>
      </c>
      <c r="BL9" s="57">
        <f t="shared" si="20"/>
        <v>1053863.0750835773</v>
      </c>
      <c r="BM9" s="57">
        <f t="shared" si="5"/>
        <v>351287.69169452577</v>
      </c>
      <c r="BP9" s="63">
        <f t="shared" si="21"/>
        <v>1053863.0750835773</v>
      </c>
      <c r="BQ9" s="63">
        <f t="shared" si="22"/>
        <v>1053863.0750835773</v>
      </c>
      <c r="BR9" s="63">
        <f t="shared" si="23"/>
        <v>2107726.1501671546</v>
      </c>
      <c r="BS9" s="63">
        <f t="shared" si="24"/>
        <v>1053863.0750835773</v>
      </c>
      <c r="BT9" s="63">
        <f t="shared" si="25"/>
        <v>1053863.0750835773</v>
      </c>
      <c r="BU9" s="58">
        <f t="shared" si="6"/>
        <v>1053863.0750835773</v>
      </c>
      <c r="BV9" s="58">
        <f t="shared" si="7"/>
        <v>1053863.0750835773</v>
      </c>
      <c r="BW9" s="58">
        <f t="shared" si="8"/>
        <v>4215452.3003343092</v>
      </c>
      <c r="BX9" s="58">
        <f t="shared" si="9"/>
        <v>1053863.0750835773</v>
      </c>
      <c r="BY9" s="58">
        <f t="shared" si="10"/>
        <v>1053863.0750835773</v>
      </c>
      <c r="BZ9" s="58">
        <f t="shared" si="10"/>
        <v>1053863.0750835773</v>
      </c>
      <c r="CA9" s="58">
        <f t="shared" si="10"/>
        <v>1053863.0750835773</v>
      </c>
      <c r="CB9" s="58">
        <f t="shared" si="11"/>
        <v>4215452.3003343092</v>
      </c>
      <c r="CC9" s="58">
        <f t="shared" si="12"/>
        <v>1053863.0750835773</v>
      </c>
      <c r="CD9" s="58">
        <f t="shared" si="13"/>
        <v>1053863.0750835773</v>
      </c>
      <c r="CE9" s="58">
        <f t="shared" si="13"/>
        <v>1053863.0750835773</v>
      </c>
      <c r="CF9" s="58">
        <f t="shared" si="13"/>
        <v>1053863.0750835773</v>
      </c>
      <c r="CG9" s="58">
        <f t="shared" si="14"/>
        <v>4215452.3003343092</v>
      </c>
      <c r="CH9" s="58">
        <f t="shared" si="15"/>
        <v>1053863.0750835773</v>
      </c>
      <c r="CI9" s="58">
        <f t="shared" si="16"/>
        <v>1053863.0750835773</v>
      </c>
      <c r="CJ9" s="58">
        <f t="shared" si="16"/>
        <v>1053863.0750835773</v>
      </c>
      <c r="CK9" s="58">
        <f t="shared" si="16"/>
        <v>1053863.0750835773</v>
      </c>
      <c r="CL9" s="58">
        <f t="shared" si="17"/>
        <v>4215452.3003343092</v>
      </c>
      <c r="CN9" s="59">
        <f t="shared" si="26"/>
        <v>1.0794559715559273E-3</v>
      </c>
      <c r="CO9" s="64">
        <f t="shared" si="27"/>
        <v>22668575.402674474</v>
      </c>
      <c r="CP9" s="2">
        <f t="shared" si="28"/>
        <v>33723618.402674474</v>
      </c>
    </row>
    <row r="10" spans="1:94" ht="16.5" hidden="1" x14ac:dyDescent="0.3">
      <c r="A10" s="2">
        <v>5</v>
      </c>
      <c r="B10" s="47" t="s">
        <v>21</v>
      </c>
      <c r="C10" s="47"/>
      <c r="D10" s="30" t="s">
        <v>114</v>
      </c>
      <c r="E10" s="30" t="s">
        <v>115</v>
      </c>
      <c r="F10" s="30" t="s">
        <v>116</v>
      </c>
      <c r="G10" s="48" t="s">
        <v>117</v>
      </c>
      <c r="H10" s="48" t="s">
        <v>118</v>
      </c>
      <c r="I10" s="30" t="s">
        <v>119</v>
      </c>
      <c r="J10" s="30" t="s">
        <v>120</v>
      </c>
      <c r="K10" s="30" t="s">
        <v>121</v>
      </c>
      <c r="L10" s="30" t="s">
        <v>122</v>
      </c>
      <c r="M10" s="30">
        <v>2100182</v>
      </c>
      <c r="N10" s="48" t="s">
        <v>138</v>
      </c>
      <c r="O10" s="48" t="s">
        <v>160</v>
      </c>
      <c r="P10" s="30" t="s">
        <v>140</v>
      </c>
      <c r="Q10" s="30" t="s">
        <v>141</v>
      </c>
      <c r="R10" s="30" t="s">
        <v>142</v>
      </c>
      <c r="S10" s="61">
        <v>310357910</v>
      </c>
      <c r="T10" s="30" t="s">
        <v>161</v>
      </c>
      <c r="U10" s="48" t="s">
        <v>144</v>
      </c>
      <c r="V10" s="62" t="s">
        <v>145</v>
      </c>
      <c r="W10" s="48" t="s">
        <v>146</v>
      </c>
      <c r="X10" s="48" t="s">
        <v>147</v>
      </c>
      <c r="Y10" s="48" t="s">
        <v>128</v>
      </c>
      <c r="Z10" s="48" t="s">
        <v>128</v>
      </c>
      <c r="AA10" s="20" t="s">
        <v>148</v>
      </c>
      <c r="AB10" s="48" t="s">
        <v>149</v>
      </c>
      <c r="AC10" s="48" t="s">
        <v>150</v>
      </c>
      <c r="AD10" s="48"/>
      <c r="AE10" s="48"/>
      <c r="AF10" s="48" t="s">
        <v>151</v>
      </c>
      <c r="AG10" s="48" t="s">
        <v>152</v>
      </c>
      <c r="AH10" s="48" t="s">
        <v>153</v>
      </c>
      <c r="AI10" s="48"/>
      <c r="AJ10" s="50">
        <v>38928</v>
      </c>
      <c r="AK10" s="50">
        <v>38928</v>
      </c>
      <c r="AL10" s="51">
        <f t="shared" si="4"/>
        <v>19.268493150684932</v>
      </c>
      <c r="AM10" s="52">
        <v>8</v>
      </c>
      <c r="AN10" s="48" t="s">
        <v>157</v>
      </c>
      <c r="AO10" s="30" t="s">
        <v>133</v>
      </c>
      <c r="AP10" s="30" t="s">
        <v>134</v>
      </c>
      <c r="AQ10" s="30">
        <v>9.9451440000000009</v>
      </c>
      <c r="AR10" s="30">
        <v>950</v>
      </c>
      <c r="AS10" s="30">
        <v>1250</v>
      </c>
      <c r="AT10" s="30">
        <v>1800</v>
      </c>
      <c r="AU10" s="53">
        <v>552752150</v>
      </c>
      <c r="AV10" s="54"/>
      <c r="AW10" s="54"/>
      <c r="AX10" s="54">
        <v>552752150</v>
      </c>
      <c r="AY10" s="54"/>
      <c r="AZ10" s="54"/>
      <c r="BA10" s="54">
        <v>0</v>
      </c>
      <c r="BB10" s="55">
        <v>0</v>
      </c>
      <c r="BC10" s="52">
        <v>96</v>
      </c>
      <c r="BD10" s="52">
        <v>233</v>
      </c>
      <c r="BE10" s="52">
        <v>0</v>
      </c>
      <c r="BF10" s="30"/>
      <c r="BG10" s="30" t="s">
        <v>135</v>
      </c>
      <c r="BH10" s="30" t="s">
        <v>136</v>
      </c>
      <c r="BI10" s="30" t="str">
        <f t="shared" si="18"/>
        <v>Test</v>
      </c>
      <c r="BJ10" s="47" t="s">
        <v>137</v>
      </c>
      <c r="BK10" s="56">
        <f t="shared" si="19"/>
        <v>11055043</v>
      </c>
      <c r="BL10" s="57">
        <f t="shared" si="20"/>
        <v>1053863.0750835773</v>
      </c>
      <c r="BM10" s="57">
        <f t="shared" si="5"/>
        <v>351287.69169452577</v>
      </c>
      <c r="BP10" s="63">
        <f t="shared" si="21"/>
        <v>1053863.0750835773</v>
      </c>
      <c r="BQ10" s="63">
        <f t="shared" si="22"/>
        <v>1053863.0750835773</v>
      </c>
      <c r="BR10" s="63">
        <f t="shared" si="23"/>
        <v>2107726.1501671546</v>
      </c>
      <c r="BS10" s="63">
        <f t="shared" si="24"/>
        <v>1053863.0750835773</v>
      </c>
      <c r="BT10" s="63">
        <f t="shared" si="25"/>
        <v>1053863.0750835773</v>
      </c>
      <c r="BU10" s="58">
        <f t="shared" si="6"/>
        <v>1053863.0750835773</v>
      </c>
      <c r="BV10" s="58">
        <f t="shared" si="7"/>
        <v>1053863.0750835773</v>
      </c>
      <c r="BW10" s="58">
        <f t="shared" si="8"/>
        <v>4215452.3003343092</v>
      </c>
      <c r="BX10" s="58">
        <f t="shared" si="9"/>
        <v>1053863.0750835773</v>
      </c>
      <c r="BY10" s="58">
        <f t="shared" si="10"/>
        <v>1053863.0750835773</v>
      </c>
      <c r="BZ10" s="58">
        <f t="shared" si="10"/>
        <v>1053863.0750835773</v>
      </c>
      <c r="CA10" s="58">
        <f t="shared" si="10"/>
        <v>1053863.0750835773</v>
      </c>
      <c r="CB10" s="58">
        <f t="shared" si="11"/>
        <v>4215452.3003343092</v>
      </c>
      <c r="CC10" s="58">
        <f t="shared" si="12"/>
        <v>1053863.0750835773</v>
      </c>
      <c r="CD10" s="58">
        <f t="shared" si="13"/>
        <v>1053863.0750835773</v>
      </c>
      <c r="CE10" s="58">
        <f t="shared" si="13"/>
        <v>1053863.0750835773</v>
      </c>
      <c r="CF10" s="58">
        <f t="shared" si="13"/>
        <v>1053863.0750835773</v>
      </c>
      <c r="CG10" s="58">
        <f t="shared" si="14"/>
        <v>4215452.3003343092</v>
      </c>
      <c r="CH10" s="58">
        <f t="shared" si="15"/>
        <v>1053863.0750835773</v>
      </c>
      <c r="CI10" s="58">
        <f t="shared" si="16"/>
        <v>1053863.0750835773</v>
      </c>
      <c r="CJ10" s="58">
        <f t="shared" si="16"/>
        <v>1053863.0750835773</v>
      </c>
      <c r="CK10" s="58">
        <f t="shared" si="16"/>
        <v>1053863.0750835773</v>
      </c>
      <c r="CL10" s="58">
        <f t="shared" si="17"/>
        <v>4215452.3003343092</v>
      </c>
      <c r="CN10" s="59">
        <f t="shared" si="26"/>
        <v>1.0794559715559273E-3</v>
      </c>
      <c r="CO10" s="64">
        <f t="shared" si="27"/>
        <v>22668575.402674474</v>
      </c>
      <c r="CP10" s="2">
        <f t="shared" si="28"/>
        <v>33723618.402674474</v>
      </c>
    </row>
    <row r="11" spans="1:94" ht="16.5" hidden="1" x14ac:dyDescent="0.3">
      <c r="A11" s="2">
        <v>6</v>
      </c>
      <c r="B11" s="47" t="s">
        <v>21</v>
      </c>
      <c r="C11" s="47"/>
      <c r="D11" s="30" t="s">
        <v>114</v>
      </c>
      <c r="E11" s="30" t="s">
        <v>115</v>
      </c>
      <c r="F11" s="30" t="s">
        <v>116</v>
      </c>
      <c r="G11" s="48" t="s">
        <v>117</v>
      </c>
      <c r="H11" s="48" t="s">
        <v>118</v>
      </c>
      <c r="I11" s="30" t="s">
        <v>119</v>
      </c>
      <c r="J11" s="30" t="s">
        <v>120</v>
      </c>
      <c r="K11" s="30" t="s">
        <v>121</v>
      </c>
      <c r="L11" s="30" t="s">
        <v>122</v>
      </c>
      <c r="M11" s="30">
        <v>2100189</v>
      </c>
      <c r="N11" s="48" t="s">
        <v>138</v>
      </c>
      <c r="O11" s="48" t="s">
        <v>162</v>
      </c>
      <c r="P11" s="30" t="s">
        <v>163</v>
      </c>
      <c r="Q11" s="30" t="s">
        <v>164</v>
      </c>
      <c r="R11" s="30" t="s">
        <v>142</v>
      </c>
      <c r="S11" s="61" t="s">
        <v>165</v>
      </c>
      <c r="T11" s="30" t="s">
        <v>166</v>
      </c>
      <c r="U11" s="48" t="s">
        <v>144</v>
      </c>
      <c r="V11" s="62" t="s">
        <v>145</v>
      </c>
      <c r="W11" s="48" t="s">
        <v>167</v>
      </c>
      <c r="X11" s="48" t="s">
        <v>147</v>
      </c>
      <c r="Y11" s="65" t="s">
        <v>128</v>
      </c>
      <c r="Z11" s="65" t="s">
        <v>128</v>
      </c>
      <c r="AA11" s="66" t="s">
        <v>148</v>
      </c>
      <c r="AB11" s="48" t="s">
        <v>149</v>
      </c>
      <c r="AC11" s="48" t="s">
        <v>150</v>
      </c>
      <c r="AD11" s="48" t="s">
        <v>168</v>
      </c>
      <c r="AE11" s="48"/>
      <c r="AF11" s="48" t="s">
        <v>151</v>
      </c>
      <c r="AG11" s="48" t="s">
        <v>152</v>
      </c>
      <c r="AH11" s="48" t="s">
        <v>153</v>
      </c>
      <c r="AI11" s="48"/>
      <c r="AJ11" s="50">
        <v>39051</v>
      </c>
      <c r="AK11" s="50">
        <v>39051</v>
      </c>
      <c r="AL11" s="51">
        <f t="shared" si="4"/>
        <v>18.931506849315067</v>
      </c>
      <c r="AM11" s="52">
        <v>8</v>
      </c>
      <c r="AN11" s="48" t="s">
        <v>169</v>
      </c>
      <c r="AO11" s="30" t="s">
        <v>133</v>
      </c>
      <c r="AP11" s="30" t="s">
        <v>134</v>
      </c>
      <c r="AQ11" s="30">
        <v>6.1347440000000004</v>
      </c>
      <c r="AR11" s="30">
        <v>960</v>
      </c>
      <c r="AS11" s="30">
        <v>840</v>
      </c>
      <c r="AT11" s="30">
        <v>1860</v>
      </c>
      <c r="AU11" s="53">
        <v>571666837</v>
      </c>
      <c r="AV11" s="54"/>
      <c r="AW11" s="54"/>
      <c r="AX11" s="54">
        <v>571666837</v>
      </c>
      <c r="AY11" s="54"/>
      <c r="AZ11" s="54"/>
      <c r="BA11" s="54">
        <v>1000</v>
      </c>
      <c r="BB11" s="55">
        <v>1000</v>
      </c>
      <c r="BC11" s="52">
        <v>96</v>
      </c>
      <c r="BD11" s="52">
        <v>229</v>
      </c>
      <c r="BE11" s="52">
        <v>0</v>
      </c>
      <c r="BF11" s="30"/>
      <c r="BG11" s="30" t="s">
        <v>135</v>
      </c>
      <c r="BH11" s="30" t="s">
        <v>136</v>
      </c>
      <c r="BI11" s="30" t="str">
        <f t="shared" si="18"/>
        <v>Test</v>
      </c>
      <c r="BJ11" s="47" t="s">
        <v>137</v>
      </c>
      <c r="BK11" s="67">
        <f t="shared" si="19"/>
        <v>11433336.74</v>
      </c>
      <c r="BL11" s="68">
        <f t="shared" si="20"/>
        <v>1089925.3322924608</v>
      </c>
      <c r="BM11" s="68">
        <f t="shared" si="5"/>
        <v>363308.44409748696</v>
      </c>
      <c r="BP11" s="69">
        <f>BM11*3</f>
        <v>1089925.3322924608</v>
      </c>
      <c r="BQ11" s="69">
        <f>BP11</f>
        <v>1089925.3322924608</v>
      </c>
      <c r="BR11" s="69">
        <f>SUM(BN11:BQ11)</f>
        <v>2179850.6645849217</v>
      </c>
      <c r="BS11" s="69">
        <f>BQ11</f>
        <v>1089925.3322924608</v>
      </c>
      <c r="BT11" s="69">
        <f>BS11</f>
        <v>1089925.3322924608</v>
      </c>
      <c r="BU11" s="70">
        <f t="shared" si="6"/>
        <v>1089925.3322924608</v>
      </c>
      <c r="BV11" s="70">
        <f t="shared" si="7"/>
        <v>1089925.3322924608</v>
      </c>
      <c r="BW11" s="70">
        <f t="shared" si="8"/>
        <v>4359701.3291698433</v>
      </c>
      <c r="BX11" s="18">
        <f t="shared" si="9"/>
        <v>1089925.3322924608</v>
      </c>
      <c r="BY11" s="18">
        <f t="shared" si="10"/>
        <v>1089925.3322924608</v>
      </c>
      <c r="BZ11" s="18">
        <f t="shared" si="10"/>
        <v>1089925.3322924608</v>
      </c>
      <c r="CA11" s="18">
        <f t="shared" si="10"/>
        <v>1089925.3322924608</v>
      </c>
      <c r="CB11" s="70">
        <f t="shared" si="11"/>
        <v>4359701.3291698433</v>
      </c>
      <c r="CC11" s="18">
        <f t="shared" si="12"/>
        <v>1089925.3322924608</v>
      </c>
      <c r="CD11" s="18">
        <f t="shared" si="13"/>
        <v>1089925.3322924608</v>
      </c>
      <c r="CE11" s="18">
        <f t="shared" si="13"/>
        <v>1089925.3322924608</v>
      </c>
      <c r="CF11" s="18">
        <f t="shared" si="13"/>
        <v>1089925.3322924608</v>
      </c>
      <c r="CG11" s="70">
        <f t="shared" si="14"/>
        <v>4359701.3291698433</v>
      </c>
      <c r="CH11" s="18">
        <f t="shared" si="15"/>
        <v>1089925.3322924608</v>
      </c>
      <c r="CI11" s="18">
        <f t="shared" si="16"/>
        <v>1089925.3322924608</v>
      </c>
      <c r="CJ11" s="18">
        <f t="shared" si="16"/>
        <v>1089925.3322924608</v>
      </c>
      <c r="CK11" s="18">
        <f t="shared" si="16"/>
        <v>1089925.3322924608</v>
      </c>
      <c r="CL11" s="70">
        <f t="shared" si="17"/>
        <v>4359701.3291698433</v>
      </c>
      <c r="CM11" s="71"/>
      <c r="CN11" s="59">
        <f t="shared" si="26"/>
        <v>1.116393994921845E-3</v>
      </c>
      <c r="CO11" s="64">
        <f t="shared" si="27"/>
        <v>23444273.893358745</v>
      </c>
      <c r="CP11" s="2">
        <f t="shared" si="28"/>
        <v>34877610.633358747</v>
      </c>
    </row>
    <row r="12" spans="1:94" ht="16.5" hidden="1" x14ac:dyDescent="0.3">
      <c r="A12" s="2">
        <v>7</v>
      </c>
      <c r="B12" s="47" t="s">
        <v>21</v>
      </c>
      <c r="C12" s="47"/>
      <c r="D12" s="30" t="s">
        <v>114</v>
      </c>
      <c r="E12" s="30" t="s">
        <v>115</v>
      </c>
      <c r="F12" s="30" t="s">
        <v>116</v>
      </c>
      <c r="G12" s="48" t="s">
        <v>117</v>
      </c>
      <c r="H12" s="48" t="s">
        <v>118</v>
      </c>
      <c r="I12" s="30" t="s">
        <v>119</v>
      </c>
      <c r="J12" s="30" t="s">
        <v>120</v>
      </c>
      <c r="K12" s="30" t="s">
        <v>121</v>
      </c>
      <c r="L12" s="30" t="s">
        <v>122</v>
      </c>
      <c r="M12" s="30">
        <v>2100197</v>
      </c>
      <c r="N12" s="48" t="s">
        <v>138</v>
      </c>
      <c r="O12" s="48" t="s">
        <v>170</v>
      </c>
      <c r="P12" s="30" t="s">
        <v>171</v>
      </c>
      <c r="Q12" s="30" t="s">
        <v>172</v>
      </c>
      <c r="R12" s="30" t="s">
        <v>173</v>
      </c>
      <c r="S12" s="61" t="s">
        <v>174</v>
      </c>
      <c r="T12" s="30" t="s">
        <v>175</v>
      </c>
      <c r="U12" s="48" t="s">
        <v>144</v>
      </c>
      <c r="V12" s="62" t="s">
        <v>145</v>
      </c>
      <c r="W12" s="48" t="s">
        <v>176</v>
      </c>
      <c r="X12" s="48" t="s">
        <v>127</v>
      </c>
      <c r="Y12" s="48" t="s">
        <v>128</v>
      </c>
      <c r="Z12" s="48" t="s">
        <v>128</v>
      </c>
      <c r="AA12" s="20" t="s">
        <v>148</v>
      </c>
      <c r="AB12" s="72" t="s">
        <v>177</v>
      </c>
      <c r="AC12" s="48" t="s">
        <v>150</v>
      </c>
      <c r="AD12" s="48" t="s">
        <v>178</v>
      </c>
      <c r="AE12" s="48"/>
      <c r="AF12" s="48" t="s">
        <v>179</v>
      </c>
      <c r="AG12" s="48" t="s">
        <v>152</v>
      </c>
      <c r="AH12" s="48" t="s">
        <v>180</v>
      </c>
      <c r="AI12" s="48"/>
      <c r="AJ12" s="50">
        <v>39263</v>
      </c>
      <c r="AK12" s="50">
        <v>39263</v>
      </c>
      <c r="AL12" s="51">
        <f t="shared" si="4"/>
        <v>18.350684931506848</v>
      </c>
      <c r="AM12" s="52">
        <v>8</v>
      </c>
      <c r="AN12" s="48" t="s">
        <v>157</v>
      </c>
      <c r="AO12" s="30" t="s">
        <v>133</v>
      </c>
      <c r="AP12" s="30" t="s">
        <v>134</v>
      </c>
      <c r="AQ12" s="30">
        <v>9.9451440000000009</v>
      </c>
      <c r="AR12" s="30">
        <v>950</v>
      </c>
      <c r="AS12" s="30">
        <v>1250</v>
      </c>
      <c r="AT12" s="30">
        <v>1800</v>
      </c>
      <c r="AU12" s="53">
        <v>121160551</v>
      </c>
      <c r="AV12" s="54"/>
      <c r="AW12" s="54"/>
      <c r="AX12" s="54">
        <v>121160551</v>
      </c>
      <c r="AY12" s="54"/>
      <c r="AZ12" s="54"/>
      <c r="BA12" s="54">
        <v>1000</v>
      </c>
      <c r="BB12" s="55">
        <v>1000</v>
      </c>
      <c r="BC12" s="52">
        <v>96</v>
      </c>
      <c r="BD12" s="52">
        <v>222</v>
      </c>
      <c r="BE12" s="52">
        <v>0</v>
      </c>
      <c r="BF12" s="30"/>
      <c r="BG12" s="30" t="s">
        <v>135</v>
      </c>
      <c r="BH12" s="30" t="s">
        <v>136</v>
      </c>
      <c r="BI12" s="30" t="str">
        <f t="shared" si="18"/>
        <v>Test</v>
      </c>
      <c r="BJ12" s="47" t="s">
        <v>137</v>
      </c>
      <c r="BK12" s="56">
        <f t="shared" si="19"/>
        <v>2423211.02</v>
      </c>
      <c r="BL12" s="57">
        <f t="shared" si="20"/>
        <v>231001.59964222769</v>
      </c>
      <c r="BM12" s="57">
        <f t="shared" si="5"/>
        <v>77000.533214075898</v>
      </c>
      <c r="BU12" s="58">
        <f t="shared" si="6"/>
        <v>231001.59964222769</v>
      </c>
      <c r="BV12" s="58">
        <f t="shared" si="7"/>
        <v>231001.59964222769</v>
      </c>
      <c r="BW12" s="58">
        <f>SUM(BR12:BV12)</f>
        <v>462003.19928445539</v>
      </c>
      <c r="BX12" s="58">
        <f t="shared" si="9"/>
        <v>231001.59964222769</v>
      </c>
      <c r="BY12" s="58">
        <f t="shared" si="10"/>
        <v>231001.59964222769</v>
      </c>
      <c r="BZ12" s="58">
        <f t="shared" si="10"/>
        <v>231001.59964222769</v>
      </c>
      <c r="CA12" s="58">
        <f t="shared" si="10"/>
        <v>231001.59964222769</v>
      </c>
      <c r="CB12" s="58">
        <f t="shared" si="11"/>
        <v>924006.39856891078</v>
      </c>
      <c r="CC12" s="58">
        <f t="shared" si="12"/>
        <v>231001.59964222769</v>
      </c>
      <c r="CD12" s="58">
        <f t="shared" si="13"/>
        <v>231001.59964222769</v>
      </c>
      <c r="CE12" s="58">
        <f t="shared" si="13"/>
        <v>231001.59964222769</v>
      </c>
      <c r="CF12" s="58">
        <f t="shared" si="13"/>
        <v>231001.59964222769</v>
      </c>
      <c r="CG12" s="58">
        <f t="shared" si="14"/>
        <v>924006.39856891078</v>
      </c>
      <c r="CH12" s="58">
        <f t="shared" si="15"/>
        <v>231001.59964222769</v>
      </c>
      <c r="CI12" s="58">
        <f t="shared" si="16"/>
        <v>231001.59964222769</v>
      </c>
      <c r="CJ12" s="58">
        <f t="shared" si="16"/>
        <v>231001.59964222769</v>
      </c>
      <c r="CK12" s="58">
        <f t="shared" si="16"/>
        <v>231001.59964222769</v>
      </c>
      <c r="CL12" s="58">
        <f t="shared" si="17"/>
        <v>924006.39856891078</v>
      </c>
      <c r="CN12" s="59">
        <f t="shared" si="26"/>
        <v>2.3661143659768033E-4</v>
      </c>
      <c r="CO12" s="64">
        <f t="shared" si="27"/>
        <v>4968840.1685512867</v>
      </c>
      <c r="CP12" s="2">
        <f t="shared" si="28"/>
        <v>7392051.1885512862</v>
      </c>
    </row>
    <row r="13" spans="1:94" ht="16.5" hidden="1" x14ac:dyDescent="0.3">
      <c r="A13" s="2">
        <v>8</v>
      </c>
      <c r="B13" s="47" t="s">
        <v>21</v>
      </c>
      <c r="C13" s="47"/>
      <c r="D13" s="30" t="s">
        <v>114</v>
      </c>
      <c r="E13" s="30" t="s">
        <v>115</v>
      </c>
      <c r="F13" s="30" t="s">
        <v>116</v>
      </c>
      <c r="G13" s="48" t="s">
        <v>117</v>
      </c>
      <c r="H13" s="48" t="s">
        <v>118</v>
      </c>
      <c r="I13" s="30" t="s">
        <v>119</v>
      </c>
      <c r="J13" s="30" t="s">
        <v>120</v>
      </c>
      <c r="K13" s="30" t="s">
        <v>121</v>
      </c>
      <c r="L13" s="30" t="s">
        <v>122</v>
      </c>
      <c r="M13" s="30">
        <v>2100198</v>
      </c>
      <c r="N13" s="48" t="s">
        <v>138</v>
      </c>
      <c r="O13" s="48" t="s">
        <v>181</v>
      </c>
      <c r="P13" s="30" t="s">
        <v>140</v>
      </c>
      <c r="Q13" s="30" t="s">
        <v>141</v>
      </c>
      <c r="R13" s="30" t="s">
        <v>142</v>
      </c>
      <c r="S13" s="61">
        <v>310345703</v>
      </c>
      <c r="T13" s="30" t="s">
        <v>182</v>
      </c>
      <c r="U13" s="48" t="s">
        <v>144</v>
      </c>
      <c r="V13" s="62" t="s">
        <v>145</v>
      </c>
      <c r="W13" s="48" t="s">
        <v>146</v>
      </c>
      <c r="X13" s="48" t="s">
        <v>127</v>
      </c>
      <c r="Y13" s="48" t="s">
        <v>128</v>
      </c>
      <c r="Z13" s="48" t="s">
        <v>128</v>
      </c>
      <c r="AA13" s="20" t="s">
        <v>148</v>
      </c>
      <c r="AB13" s="48" t="s">
        <v>149</v>
      </c>
      <c r="AC13" s="48" t="s">
        <v>150</v>
      </c>
      <c r="AD13" s="48"/>
      <c r="AE13" s="48"/>
      <c r="AF13" s="48" t="s">
        <v>151</v>
      </c>
      <c r="AG13" s="48" t="s">
        <v>152</v>
      </c>
      <c r="AH13" s="48" t="s">
        <v>153</v>
      </c>
      <c r="AI13" s="48"/>
      <c r="AJ13" s="50">
        <v>39263</v>
      </c>
      <c r="AK13" s="50">
        <v>39263</v>
      </c>
      <c r="AL13" s="51">
        <f t="shared" si="4"/>
        <v>18.350684931506848</v>
      </c>
      <c r="AM13" s="52">
        <v>8</v>
      </c>
      <c r="AN13" s="48" t="s">
        <v>154</v>
      </c>
      <c r="AO13" s="30" t="s">
        <v>133</v>
      </c>
      <c r="AP13" s="30" t="s">
        <v>134</v>
      </c>
      <c r="AQ13" s="30">
        <v>9.9451440000000009</v>
      </c>
      <c r="AR13" s="30">
        <v>950</v>
      </c>
      <c r="AS13" s="30">
        <v>1250</v>
      </c>
      <c r="AT13" s="30">
        <v>1800</v>
      </c>
      <c r="AU13" s="53">
        <v>561322583</v>
      </c>
      <c r="AV13" s="54"/>
      <c r="AW13" s="54"/>
      <c r="AX13" s="54">
        <v>561322583</v>
      </c>
      <c r="AY13" s="54"/>
      <c r="AZ13" s="54"/>
      <c r="BA13" s="54">
        <v>1000</v>
      </c>
      <c r="BB13" s="55">
        <v>1000</v>
      </c>
      <c r="BC13" s="52">
        <v>96</v>
      </c>
      <c r="BD13" s="52">
        <v>222</v>
      </c>
      <c r="BE13" s="52">
        <v>0</v>
      </c>
      <c r="BF13" s="30"/>
      <c r="BG13" s="30" t="s">
        <v>135</v>
      </c>
      <c r="BH13" s="30" t="s">
        <v>136</v>
      </c>
      <c r="BI13" s="30" t="str">
        <f t="shared" si="18"/>
        <v>Test</v>
      </c>
      <c r="BJ13" s="47" t="s">
        <v>137</v>
      </c>
      <c r="BK13" s="56">
        <f t="shared" si="19"/>
        <v>11226451.66</v>
      </c>
      <c r="BL13" s="57">
        <f t="shared" si="20"/>
        <v>1070203.2428715774</v>
      </c>
      <c r="BM13" s="57">
        <f t="shared" si="5"/>
        <v>356734.41429052578</v>
      </c>
      <c r="BU13" s="58">
        <f t="shared" si="6"/>
        <v>1070203.2428715774</v>
      </c>
      <c r="BV13" s="58">
        <f t="shared" si="7"/>
        <v>1070203.2428715774</v>
      </c>
      <c r="BW13" s="58">
        <f t="shared" ref="BW13:BW44" si="29">SUM(BS13:BV13)</f>
        <v>2140406.4857431548</v>
      </c>
      <c r="BX13" s="58">
        <f t="shared" si="9"/>
        <v>1070203.2428715774</v>
      </c>
      <c r="BY13" s="58">
        <f t="shared" si="10"/>
        <v>1070203.2428715774</v>
      </c>
      <c r="BZ13" s="58">
        <f t="shared" si="10"/>
        <v>1070203.2428715774</v>
      </c>
      <c r="CA13" s="58">
        <f t="shared" si="10"/>
        <v>1070203.2428715774</v>
      </c>
      <c r="CB13" s="58">
        <f t="shared" si="11"/>
        <v>4280812.9714863095</v>
      </c>
      <c r="CC13" s="58">
        <f t="shared" si="12"/>
        <v>1070203.2428715774</v>
      </c>
      <c r="CD13" s="58">
        <f t="shared" si="13"/>
        <v>1070203.2428715774</v>
      </c>
      <c r="CE13" s="58">
        <f t="shared" si="13"/>
        <v>1070203.2428715774</v>
      </c>
      <c r="CF13" s="58">
        <f t="shared" si="13"/>
        <v>1070203.2428715774</v>
      </c>
      <c r="CG13" s="58">
        <f t="shared" si="14"/>
        <v>4280812.9714863095</v>
      </c>
      <c r="CH13" s="58">
        <f t="shared" si="15"/>
        <v>1070203.2428715774</v>
      </c>
      <c r="CI13" s="58">
        <f t="shared" si="16"/>
        <v>1070203.2428715774</v>
      </c>
      <c r="CJ13" s="58">
        <f t="shared" si="16"/>
        <v>1070203.2428715774</v>
      </c>
      <c r="CK13" s="58">
        <f t="shared" si="16"/>
        <v>1070203.2428715774</v>
      </c>
      <c r="CL13" s="58">
        <f t="shared" si="17"/>
        <v>4280812.9714863095</v>
      </c>
      <c r="CN13" s="59">
        <f t="shared" si="26"/>
        <v>1.0961929577090702E-3</v>
      </c>
      <c r="CO13" s="64">
        <f t="shared" si="27"/>
        <v>23020052.111890476</v>
      </c>
      <c r="CP13" s="2">
        <f t="shared" si="28"/>
        <v>34246503.771890476</v>
      </c>
    </row>
    <row r="14" spans="1:94" ht="16.5" hidden="1" x14ac:dyDescent="0.3">
      <c r="A14" s="2">
        <v>9</v>
      </c>
      <c r="B14" s="47" t="s">
        <v>21</v>
      </c>
      <c r="C14" s="47"/>
      <c r="D14" s="30" t="s">
        <v>114</v>
      </c>
      <c r="E14" s="30" t="s">
        <v>115</v>
      </c>
      <c r="F14" s="30" t="s">
        <v>116</v>
      </c>
      <c r="G14" s="48" t="s">
        <v>117</v>
      </c>
      <c r="H14" s="48" t="s">
        <v>118</v>
      </c>
      <c r="I14" s="30" t="s">
        <v>119</v>
      </c>
      <c r="J14" s="30" t="s">
        <v>120</v>
      </c>
      <c r="K14" s="30" t="s">
        <v>121</v>
      </c>
      <c r="L14" s="30" t="s">
        <v>122</v>
      </c>
      <c r="M14" s="30">
        <v>2100199</v>
      </c>
      <c r="N14" s="48" t="s">
        <v>138</v>
      </c>
      <c r="O14" s="48" t="s">
        <v>183</v>
      </c>
      <c r="P14" s="30" t="s">
        <v>140</v>
      </c>
      <c r="Q14" s="30" t="s">
        <v>141</v>
      </c>
      <c r="R14" s="30" t="s">
        <v>142</v>
      </c>
      <c r="S14" s="61">
        <v>310345838</v>
      </c>
      <c r="T14" s="30" t="s">
        <v>184</v>
      </c>
      <c r="U14" s="48" t="s">
        <v>144</v>
      </c>
      <c r="V14" s="62" t="s">
        <v>145</v>
      </c>
      <c r="W14" s="48" t="s">
        <v>146</v>
      </c>
      <c r="X14" s="48" t="s">
        <v>127</v>
      </c>
      <c r="Y14" s="48" t="s">
        <v>128</v>
      </c>
      <c r="Z14" s="48" t="s">
        <v>128</v>
      </c>
      <c r="AA14" s="20" t="s">
        <v>148</v>
      </c>
      <c r="AB14" s="48" t="s">
        <v>149</v>
      </c>
      <c r="AC14" s="48" t="s">
        <v>150</v>
      </c>
      <c r="AD14" s="48"/>
      <c r="AE14" s="48"/>
      <c r="AF14" s="48" t="s">
        <v>151</v>
      </c>
      <c r="AG14" s="48" t="s">
        <v>152</v>
      </c>
      <c r="AH14" s="48" t="s">
        <v>153</v>
      </c>
      <c r="AI14" s="48"/>
      <c r="AJ14" s="50">
        <v>39263</v>
      </c>
      <c r="AK14" s="50">
        <v>39263</v>
      </c>
      <c r="AL14" s="51">
        <f t="shared" si="4"/>
        <v>18.350684931506848</v>
      </c>
      <c r="AM14" s="52">
        <v>8</v>
      </c>
      <c r="AN14" s="48" t="s">
        <v>154</v>
      </c>
      <c r="AO14" s="30" t="s">
        <v>133</v>
      </c>
      <c r="AP14" s="30" t="s">
        <v>134</v>
      </c>
      <c r="AQ14" s="30">
        <v>9.9451440000000009</v>
      </c>
      <c r="AR14" s="30">
        <v>950</v>
      </c>
      <c r="AS14" s="30">
        <v>1250</v>
      </c>
      <c r="AT14" s="30">
        <v>1800</v>
      </c>
      <c r="AU14" s="53">
        <v>561322583</v>
      </c>
      <c r="AV14" s="54"/>
      <c r="AW14" s="54"/>
      <c r="AX14" s="54">
        <v>561322583</v>
      </c>
      <c r="AY14" s="54"/>
      <c r="AZ14" s="54"/>
      <c r="BA14" s="54">
        <v>0</v>
      </c>
      <c r="BB14" s="55">
        <v>0</v>
      </c>
      <c r="BC14" s="52">
        <v>96</v>
      </c>
      <c r="BD14" s="52">
        <v>222</v>
      </c>
      <c r="BE14" s="52">
        <v>0</v>
      </c>
      <c r="BF14" s="30"/>
      <c r="BG14" s="30" t="s">
        <v>135</v>
      </c>
      <c r="BH14" s="30" t="s">
        <v>136</v>
      </c>
      <c r="BI14" s="30" t="str">
        <f t="shared" si="18"/>
        <v>Test</v>
      </c>
      <c r="BJ14" s="47" t="s">
        <v>137</v>
      </c>
      <c r="BK14" s="56">
        <f t="shared" si="19"/>
        <v>11226451.66</v>
      </c>
      <c r="BL14" s="57">
        <f t="shared" si="20"/>
        <v>1070203.2428715774</v>
      </c>
      <c r="BM14" s="57">
        <f t="shared" si="5"/>
        <v>356734.41429052578</v>
      </c>
      <c r="BU14" s="58">
        <f t="shared" si="6"/>
        <v>1070203.2428715774</v>
      </c>
      <c r="BV14" s="58">
        <f t="shared" si="7"/>
        <v>1070203.2428715774</v>
      </c>
      <c r="BW14" s="58">
        <f t="shared" si="29"/>
        <v>2140406.4857431548</v>
      </c>
      <c r="BX14" s="58">
        <f t="shared" si="9"/>
        <v>1070203.2428715774</v>
      </c>
      <c r="BY14" s="58">
        <f t="shared" si="10"/>
        <v>1070203.2428715774</v>
      </c>
      <c r="BZ14" s="58">
        <f t="shared" si="10"/>
        <v>1070203.2428715774</v>
      </c>
      <c r="CA14" s="58">
        <f t="shared" si="10"/>
        <v>1070203.2428715774</v>
      </c>
      <c r="CB14" s="58">
        <f t="shared" si="11"/>
        <v>4280812.9714863095</v>
      </c>
      <c r="CC14" s="58">
        <f t="shared" si="12"/>
        <v>1070203.2428715774</v>
      </c>
      <c r="CD14" s="58">
        <f t="shared" si="13"/>
        <v>1070203.2428715774</v>
      </c>
      <c r="CE14" s="58">
        <f t="shared" si="13"/>
        <v>1070203.2428715774</v>
      </c>
      <c r="CF14" s="58">
        <f t="shared" si="13"/>
        <v>1070203.2428715774</v>
      </c>
      <c r="CG14" s="58">
        <f t="shared" si="14"/>
        <v>4280812.9714863095</v>
      </c>
      <c r="CH14" s="58">
        <f t="shared" si="15"/>
        <v>1070203.2428715774</v>
      </c>
      <c r="CI14" s="58">
        <f t="shared" si="16"/>
        <v>1070203.2428715774</v>
      </c>
      <c r="CJ14" s="58">
        <f t="shared" si="16"/>
        <v>1070203.2428715774</v>
      </c>
      <c r="CK14" s="58">
        <f t="shared" si="16"/>
        <v>1070203.2428715774</v>
      </c>
      <c r="CL14" s="58">
        <f t="shared" si="17"/>
        <v>4280812.9714863095</v>
      </c>
      <c r="CN14" s="59">
        <f t="shared" si="26"/>
        <v>1.0961929577090702E-3</v>
      </c>
      <c r="CO14" s="64">
        <f t="shared" si="27"/>
        <v>23020052.111890476</v>
      </c>
      <c r="CP14" s="2">
        <f t="shared" si="28"/>
        <v>34246503.771890476</v>
      </c>
    </row>
    <row r="15" spans="1:94" ht="16.5" hidden="1" x14ac:dyDescent="0.3">
      <c r="A15" s="2">
        <v>10</v>
      </c>
      <c r="B15" s="47" t="s">
        <v>21</v>
      </c>
      <c r="C15" s="47"/>
      <c r="D15" s="30" t="s">
        <v>114</v>
      </c>
      <c r="E15" s="30" t="s">
        <v>115</v>
      </c>
      <c r="F15" s="30" t="s">
        <v>116</v>
      </c>
      <c r="G15" s="48" t="s">
        <v>117</v>
      </c>
      <c r="H15" s="48" t="s">
        <v>118</v>
      </c>
      <c r="I15" s="30" t="s">
        <v>119</v>
      </c>
      <c r="J15" s="30" t="s">
        <v>120</v>
      </c>
      <c r="K15" s="30" t="s">
        <v>121</v>
      </c>
      <c r="L15" s="30" t="s">
        <v>122</v>
      </c>
      <c r="M15" s="30">
        <v>2100200</v>
      </c>
      <c r="N15" s="48" t="s">
        <v>138</v>
      </c>
      <c r="O15" s="48" t="s">
        <v>185</v>
      </c>
      <c r="P15" s="30" t="s">
        <v>140</v>
      </c>
      <c r="Q15" s="30" t="s">
        <v>141</v>
      </c>
      <c r="R15" s="30" t="s">
        <v>142</v>
      </c>
      <c r="S15" s="61">
        <v>310286839</v>
      </c>
      <c r="T15" s="30" t="s">
        <v>186</v>
      </c>
      <c r="U15" s="48" t="s">
        <v>144</v>
      </c>
      <c r="V15" s="62" t="s">
        <v>145</v>
      </c>
      <c r="W15" s="48" t="s">
        <v>146</v>
      </c>
      <c r="X15" s="48" t="s">
        <v>127</v>
      </c>
      <c r="Y15" s="48" t="s">
        <v>128</v>
      </c>
      <c r="Z15" s="48" t="s">
        <v>128</v>
      </c>
      <c r="AA15" s="20" t="s">
        <v>148</v>
      </c>
      <c r="AB15" s="48" t="s">
        <v>149</v>
      </c>
      <c r="AC15" s="48" t="s">
        <v>150</v>
      </c>
      <c r="AD15" s="48"/>
      <c r="AE15" s="48"/>
      <c r="AF15" s="48" t="s">
        <v>151</v>
      </c>
      <c r="AG15" s="48" t="s">
        <v>152</v>
      </c>
      <c r="AH15" s="48" t="s">
        <v>153</v>
      </c>
      <c r="AI15" s="48"/>
      <c r="AJ15" s="50">
        <v>39263</v>
      </c>
      <c r="AK15" s="50">
        <v>39263</v>
      </c>
      <c r="AL15" s="51">
        <f t="shared" si="4"/>
        <v>18.350684931506848</v>
      </c>
      <c r="AM15" s="52">
        <v>8</v>
      </c>
      <c r="AN15" s="48" t="s">
        <v>154</v>
      </c>
      <c r="AO15" s="30" t="s">
        <v>133</v>
      </c>
      <c r="AP15" s="30" t="s">
        <v>134</v>
      </c>
      <c r="AQ15" s="30">
        <v>9.9451440000000009</v>
      </c>
      <c r="AR15" s="30">
        <v>950</v>
      </c>
      <c r="AS15" s="30">
        <v>1250</v>
      </c>
      <c r="AT15" s="30">
        <v>1800</v>
      </c>
      <c r="AU15" s="53">
        <v>561322583</v>
      </c>
      <c r="AV15" s="54"/>
      <c r="AW15" s="54"/>
      <c r="AX15" s="54">
        <v>561322583</v>
      </c>
      <c r="AY15" s="54"/>
      <c r="AZ15" s="54"/>
      <c r="BA15" s="54">
        <v>0</v>
      </c>
      <c r="BB15" s="55">
        <v>0</v>
      </c>
      <c r="BC15" s="52">
        <v>96</v>
      </c>
      <c r="BD15" s="52">
        <v>222</v>
      </c>
      <c r="BE15" s="52">
        <v>0</v>
      </c>
      <c r="BF15" s="30"/>
      <c r="BG15" s="30" t="s">
        <v>135</v>
      </c>
      <c r="BH15" s="30" t="s">
        <v>136</v>
      </c>
      <c r="BI15" s="30" t="str">
        <f t="shared" si="18"/>
        <v>Test</v>
      </c>
      <c r="BJ15" s="47" t="s">
        <v>137</v>
      </c>
      <c r="BK15" s="56">
        <f t="shared" si="19"/>
        <v>11226451.66</v>
      </c>
      <c r="BL15" s="57">
        <f t="shared" si="20"/>
        <v>1070203.2428715774</v>
      </c>
      <c r="BM15" s="57">
        <f t="shared" si="5"/>
        <v>356734.41429052578</v>
      </c>
      <c r="BU15" s="58">
        <f t="shared" si="6"/>
        <v>1070203.2428715774</v>
      </c>
      <c r="BV15" s="58">
        <f t="shared" si="7"/>
        <v>1070203.2428715774</v>
      </c>
      <c r="BW15" s="58">
        <f t="shared" si="29"/>
        <v>2140406.4857431548</v>
      </c>
      <c r="BX15" s="58">
        <f t="shared" si="9"/>
        <v>1070203.2428715774</v>
      </c>
      <c r="BY15" s="58">
        <f t="shared" si="10"/>
        <v>1070203.2428715774</v>
      </c>
      <c r="BZ15" s="58">
        <f t="shared" si="10"/>
        <v>1070203.2428715774</v>
      </c>
      <c r="CA15" s="58">
        <f t="shared" si="10"/>
        <v>1070203.2428715774</v>
      </c>
      <c r="CB15" s="58">
        <f t="shared" si="11"/>
        <v>4280812.9714863095</v>
      </c>
      <c r="CC15" s="58">
        <f t="shared" si="12"/>
        <v>1070203.2428715774</v>
      </c>
      <c r="CD15" s="58">
        <f t="shared" si="13"/>
        <v>1070203.2428715774</v>
      </c>
      <c r="CE15" s="58">
        <f t="shared" si="13"/>
        <v>1070203.2428715774</v>
      </c>
      <c r="CF15" s="58">
        <f t="shared" si="13"/>
        <v>1070203.2428715774</v>
      </c>
      <c r="CG15" s="58">
        <f t="shared" si="14"/>
        <v>4280812.9714863095</v>
      </c>
      <c r="CH15" s="58">
        <f t="shared" si="15"/>
        <v>1070203.2428715774</v>
      </c>
      <c r="CI15" s="58">
        <f t="shared" si="16"/>
        <v>1070203.2428715774</v>
      </c>
      <c r="CJ15" s="58">
        <f t="shared" si="16"/>
        <v>1070203.2428715774</v>
      </c>
      <c r="CK15" s="58">
        <f t="shared" si="16"/>
        <v>1070203.2428715774</v>
      </c>
      <c r="CL15" s="58">
        <f t="shared" si="17"/>
        <v>4280812.9714863095</v>
      </c>
      <c r="CN15" s="59">
        <f t="shared" si="26"/>
        <v>1.0961929577090702E-3</v>
      </c>
      <c r="CO15" s="64">
        <f t="shared" si="27"/>
        <v>23020052.111890476</v>
      </c>
      <c r="CP15" s="2">
        <f t="shared" si="28"/>
        <v>34246503.771890476</v>
      </c>
    </row>
    <row r="16" spans="1:94" ht="16.5" hidden="1" x14ac:dyDescent="0.3">
      <c r="A16" s="2">
        <v>11</v>
      </c>
      <c r="B16" s="47" t="s">
        <v>21</v>
      </c>
      <c r="C16" s="47"/>
      <c r="D16" s="30" t="s">
        <v>114</v>
      </c>
      <c r="E16" s="30" t="s">
        <v>115</v>
      </c>
      <c r="F16" s="30" t="s">
        <v>116</v>
      </c>
      <c r="G16" s="48" t="s">
        <v>117</v>
      </c>
      <c r="H16" s="48" t="s">
        <v>118</v>
      </c>
      <c r="I16" s="30" t="s">
        <v>119</v>
      </c>
      <c r="J16" s="30" t="s">
        <v>120</v>
      </c>
      <c r="K16" s="30" t="s">
        <v>121</v>
      </c>
      <c r="L16" s="30" t="s">
        <v>122</v>
      </c>
      <c r="M16" s="30">
        <v>2100201</v>
      </c>
      <c r="N16" s="48" t="s">
        <v>138</v>
      </c>
      <c r="O16" s="48" t="s">
        <v>187</v>
      </c>
      <c r="P16" s="30" t="s">
        <v>172</v>
      </c>
      <c r="Q16" s="30" t="s">
        <v>172</v>
      </c>
      <c r="R16" s="30" t="s">
        <v>173</v>
      </c>
      <c r="S16" s="61" t="s">
        <v>188</v>
      </c>
      <c r="T16" s="30" t="s">
        <v>189</v>
      </c>
      <c r="U16" s="48" t="s">
        <v>144</v>
      </c>
      <c r="V16" s="62" t="s">
        <v>145</v>
      </c>
      <c r="W16" s="48" t="s">
        <v>176</v>
      </c>
      <c r="X16" s="48" t="s">
        <v>127</v>
      </c>
      <c r="Y16" s="48" t="s">
        <v>128</v>
      </c>
      <c r="Z16" s="48" t="s">
        <v>128</v>
      </c>
      <c r="AA16" s="20" t="s">
        <v>148</v>
      </c>
      <c r="AB16" s="72" t="s">
        <v>177</v>
      </c>
      <c r="AC16" s="48" t="s">
        <v>150</v>
      </c>
      <c r="AD16" s="48" t="s">
        <v>178</v>
      </c>
      <c r="AE16" s="48"/>
      <c r="AF16" s="48" t="s">
        <v>179</v>
      </c>
      <c r="AG16" s="48" t="s">
        <v>152</v>
      </c>
      <c r="AH16" s="48" t="s">
        <v>180</v>
      </c>
      <c r="AI16" s="48"/>
      <c r="AJ16" s="50">
        <v>39263</v>
      </c>
      <c r="AK16" s="50">
        <v>39263</v>
      </c>
      <c r="AL16" s="51">
        <f t="shared" si="4"/>
        <v>18.350684931506848</v>
      </c>
      <c r="AM16" s="52">
        <v>8</v>
      </c>
      <c r="AN16" s="48" t="s">
        <v>154</v>
      </c>
      <c r="AO16" s="30" t="s">
        <v>133</v>
      </c>
      <c r="AP16" s="30" t="s">
        <v>134</v>
      </c>
      <c r="AQ16" s="30">
        <v>0.56320000000000003</v>
      </c>
      <c r="AR16" s="30">
        <v>1229</v>
      </c>
      <c r="AS16" s="30">
        <v>1142</v>
      </c>
      <c r="AT16" s="30">
        <v>933</v>
      </c>
      <c r="AU16" s="53">
        <v>118460887</v>
      </c>
      <c r="AV16" s="54"/>
      <c r="AW16" s="54"/>
      <c r="AX16" s="54">
        <v>118460887</v>
      </c>
      <c r="AY16" s="54"/>
      <c r="AZ16" s="54"/>
      <c r="BA16" s="54">
        <v>1000</v>
      </c>
      <c r="BB16" s="55">
        <v>1000</v>
      </c>
      <c r="BC16" s="52">
        <v>96</v>
      </c>
      <c r="BD16" s="52">
        <v>222</v>
      </c>
      <c r="BE16" s="52">
        <v>0</v>
      </c>
      <c r="BF16" s="30"/>
      <c r="BG16" s="30" t="s">
        <v>135</v>
      </c>
      <c r="BH16" s="30" t="s">
        <v>136</v>
      </c>
      <c r="BI16" s="30" t="str">
        <f t="shared" si="18"/>
        <v>Test</v>
      </c>
      <c r="BJ16" s="47" t="s">
        <v>137</v>
      </c>
      <c r="BK16" s="56">
        <f t="shared" si="19"/>
        <v>2369217.7400000002</v>
      </c>
      <c r="BL16" s="57">
        <f t="shared" si="20"/>
        <v>225854.48948674047</v>
      </c>
      <c r="BM16" s="57">
        <f t="shared" si="5"/>
        <v>75284.829828913484</v>
      </c>
      <c r="BU16" s="58">
        <f t="shared" si="6"/>
        <v>225854.48948674044</v>
      </c>
      <c r="BV16" s="58">
        <f t="shared" si="7"/>
        <v>225854.48948674044</v>
      </c>
      <c r="BW16" s="58">
        <f t="shared" si="29"/>
        <v>451708.97897348087</v>
      </c>
      <c r="BX16" s="58">
        <f t="shared" si="9"/>
        <v>225854.48948674044</v>
      </c>
      <c r="BY16" s="58">
        <f t="shared" si="10"/>
        <v>225854.48948674044</v>
      </c>
      <c r="BZ16" s="58">
        <f t="shared" si="10"/>
        <v>225854.48948674044</v>
      </c>
      <c r="CA16" s="58">
        <f t="shared" si="10"/>
        <v>225854.48948674044</v>
      </c>
      <c r="CB16" s="58">
        <f t="shared" si="11"/>
        <v>903417.95794696175</v>
      </c>
      <c r="CC16" s="58">
        <f t="shared" si="12"/>
        <v>225854.48948674044</v>
      </c>
      <c r="CD16" s="58">
        <f t="shared" si="13"/>
        <v>225854.48948674044</v>
      </c>
      <c r="CE16" s="58">
        <f t="shared" si="13"/>
        <v>225854.48948674044</v>
      </c>
      <c r="CF16" s="58">
        <f t="shared" si="13"/>
        <v>225854.48948674044</v>
      </c>
      <c r="CG16" s="58">
        <f t="shared" si="14"/>
        <v>903417.95794696175</v>
      </c>
      <c r="CH16" s="58">
        <f t="shared" si="15"/>
        <v>225854.48948674044</v>
      </c>
      <c r="CI16" s="58">
        <f t="shared" si="16"/>
        <v>225854.48948674044</v>
      </c>
      <c r="CJ16" s="58">
        <f t="shared" si="16"/>
        <v>225854.48948674044</v>
      </c>
      <c r="CK16" s="58">
        <f t="shared" si="16"/>
        <v>225854.48948674044</v>
      </c>
      <c r="CL16" s="58">
        <f t="shared" si="17"/>
        <v>903417.95794696175</v>
      </c>
      <c r="CN16" s="59">
        <f t="shared" si="26"/>
        <v>2.3133932969408069E-4</v>
      </c>
      <c r="CO16" s="64">
        <f t="shared" si="27"/>
        <v>4858125.9235756947</v>
      </c>
      <c r="CP16" s="2">
        <f t="shared" si="28"/>
        <v>7227343.6635756949</v>
      </c>
    </row>
    <row r="17" spans="1:94" ht="16.5" hidden="1" x14ac:dyDescent="0.3">
      <c r="A17" s="2">
        <v>12</v>
      </c>
      <c r="B17" s="47" t="s">
        <v>21</v>
      </c>
      <c r="C17" s="47"/>
      <c r="D17" s="30" t="s">
        <v>114</v>
      </c>
      <c r="E17" s="30" t="s">
        <v>115</v>
      </c>
      <c r="F17" s="30" t="s">
        <v>116</v>
      </c>
      <c r="G17" s="48" t="s">
        <v>117</v>
      </c>
      <c r="H17" s="48" t="s">
        <v>118</v>
      </c>
      <c r="I17" s="30" t="s">
        <v>119</v>
      </c>
      <c r="J17" s="30" t="s">
        <v>120</v>
      </c>
      <c r="K17" s="30" t="s">
        <v>121</v>
      </c>
      <c r="L17" s="30" t="s">
        <v>122</v>
      </c>
      <c r="M17" s="30">
        <v>2100202</v>
      </c>
      <c r="N17" s="48" t="s">
        <v>138</v>
      </c>
      <c r="O17" s="48" t="s">
        <v>190</v>
      </c>
      <c r="P17" s="30" t="s">
        <v>172</v>
      </c>
      <c r="Q17" s="30" t="s">
        <v>172</v>
      </c>
      <c r="R17" s="30" t="s">
        <v>173</v>
      </c>
      <c r="S17" s="61" t="s">
        <v>191</v>
      </c>
      <c r="T17" s="30" t="s">
        <v>192</v>
      </c>
      <c r="U17" s="48" t="s">
        <v>144</v>
      </c>
      <c r="V17" s="62" t="s">
        <v>145</v>
      </c>
      <c r="W17" s="48" t="s">
        <v>176</v>
      </c>
      <c r="X17" s="48" t="s">
        <v>127</v>
      </c>
      <c r="Y17" s="48" t="s">
        <v>128</v>
      </c>
      <c r="Z17" s="48" t="s">
        <v>128</v>
      </c>
      <c r="AA17" s="20" t="s">
        <v>148</v>
      </c>
      <c r="AB17" s="72" t="s">
        <v>177</v>
      </c>
      <c r="AC17" s="48" t="s">
        <v>150</v>
      </c>
      <c r="AD17" s="48" t="s">
        <v>178</v>
      </c>
      <c r="AE17" s="48"/>
      <c r="AF17" s="48" t="s">
        <v>179</v>
      </c>
      <c r="AG17" s="48" t="s">
        <v>152</v>
      </c>
      <c r="AH17" s="48" t="s">
        <v>180</v>
      </c>
      <c r="AI17" s="48"/>
      <c r="AJ17" s="50">
        <v>39263</v>
      </c>
      <c r="AK17" s="50">
        <v>39263</v>
      </c>
      <c r="AL17" s="51">
        <f t="shared" si="4"/>
        <v>18.350684931506848</v>
      </c>
      <c r="AM17" s="52">
        <v>8</v>
      </c>
      <c r="AN17" s="48" t="s">
        <v>157</v>
      </c>
      <c r="AO17" s="30" t="s">
        <v>133</v>
      </c>
      <c r="AP17" s="30" t="s">
        <v>134</v>
      </c>
      <c r="AQ17" s="30">
        <v>0.56320000000000003</v>
      </c>
      <c r="AR17" s="30">
        <v>1229</v>
      </c>
      <c r="AS17" s="30">
        <v>1142</v>
      </c>
      <c r="AT17" s="30">
        <v>933</v>
      </c>
      <c r="AU17" s="53">
        <v>118460887</v>
      </c>
      <c r="AV17" s="54"/>
      <c r="AW17" s="54"/>
      <c r="AX17" s="54">
        <v>118460887</v>
      </c>
      <c r="AY17" s="54"/>
      <c r="AZ17" s="54"/>
      <c r="BA17" s="54">
        <v>0</v>
      </c>
      <c r="BB17" s="55">
        <v>0</v>
      </c>
      <c r="BC17" s="52">
        <v>96</v>
      </c>
      <c r="BD17" s="52">
        <v>222</v>
      </c>
      <c r="BE17" s="52">
        <v>0</v>
      </c>
      <c r="BF17" s="30"/>
      <c r="BG17" s="30" t="s">
        <v>135</v>
      </c>
      <c r="BH17" s="30" t="s">
        <v>136</v>
      </c>
      <c r="BI17" s="30" t="str">
        <f t="shared" si="18"/>
        <v>Test</v>
      </c>
      <c r="BJ17" s="47" t="s">
        <v>137</v>
      </c>
      <c r="BK17" s="56">
        <f t="shared" si="19"/>
        <v>2369217.7400000002</v>
      </c>
      <c r="BL17" s="57">
        <f t="shared" si="20"/>
        <v>225854.48948674047</v>
      </c>
      <c r="BM17" s="57">
        <f t="shared" si="5"/>
        <v>75284.829828913484</v>
      </c>
      <c r="BU17" s="58">
        <f t="shared" si="6"/>
        <v>225854.48948674044</v>
      </c>
      <c r="BV17" s="58">
        <f t="shared" si="7"/>
        <v>225854.48948674044</v>
      </c>
      <c r="BW17" s="58">
        <f t="shared" si="29"/>
        <v>451708.97897348087</v>
      </c>
      <c r="BX17" s="58">
        <f t="shared" si="9"/>
        <v>225854.48948674044</v>
      </c>
      <c r="BY17" s="58">
        <f t="shared" si="10"/>
        <v>225854.48948674044</v>
      </c>
      <c r="BZ17" s="58">
        <f t="shared" si="10"/>
        <v>225854.48948674044</v>
      </c>
      <c r="CA17" s="58">
        <f t="shared" si="10"/>
        <v>225854.48948674044</v>
      </c>
      <c r="CB17" s="58">
        <f t="shared" si="11"/>
        <v>903417.95794696175</v>
      </c>
      <c r="CC17" s="58">
        <f t="shared" si="12"/>
        <v>225854.48948674044</v>
      </c>
      <c r="CD17" s="58">
        <f t="shared" si="13"/>
        <v>225854.48948674044</v>
      </c>
      <c r="CE17" s="58">
        <f t="shared" si="13"/>
        <v>225854.48948674044</v>
      </c>
      <c r="CF17" s="58">
        <f t="shared" si="13"/>
        <v>225854.48948674044</v>
      </c>
      <c r="CG17" s="58">
        <f t="shared" si="14"/>
        <v>903417.95794696175</v>
      </c>
      <c r="CH17" s="58">
        <f t="shared" si="15"/>
        <v>225854.48948674044</v>
      </c>
      <c r="CI17" s="58">
        <f t="shared" si="16"/>
        <v>225854.48948674044</v>
      </c>
      <c r="CJ17" s="58">
        <f t="shared" si="16"/>
        <v>225854.48948674044</v>
      </c>
      <c r="CK17" s="58">
        <f t="shared" si="16"/>
        <v>225854.48948674044</v>
      </c>
      <c r="CL17" s="58">
        <f t="shared" si="17"/>
        <v>903417.95794696175</v>
      </c>
      <c r="CN17" s="59">
        <f t="shared" si="26"/>
        <v>2.3133932969408069E-4</v>
      </c>
      <c r="CO17" s="64">
        <f t="shared" si="27"/>
        <v>4858125.9235756947</v>
      </c>
      <c r="CP17" s="2">
        <f t="shared" si="28"/>
        <v>7227343.6635756949</v>
      </c>
    </row>
    <row r="18" spans="1:94" ht="16.5" hidden="1" x14ac:dyDescent="0.3">
      <c r="A18" s="2">
        <v>13</v>
      </c>
      <c r="B18" s="47" t="s">
        <v>21</v>
      </c>
      <c r="C18" s="47"/>
      <c r="D18" s="30" t="s">
        <v>114</v>
      </c>
      <c r="E18" s="30" t="s">
        <v>115</v>
      </c>
      <c r="F18" s="30" t="s">
        <v>116</v>
      </c>
      <c r="G18" s="48" t="s">
        <v>117</v>
      </c>
      <c r="H18" s="48" t="s">
        <v>118</v>
      </c>
      <c r="I18" s="30" t="s">
        <v>119</v>
      </c>
      <c r="J18" s="30" t="s">
        <v>120</v>
      </c>
      <c r="K18" s="30" t="s">
        <v>121</v>
      </c>
      <c r="L18" s="30" t="s">
        <v>122</v>
      </c>
      <c r="M18" s="30">
        <v>2100207</v>
      </c>
      <c r="N18" s="48" t="s">
        <v>138</v>
      </c>
      <c r="O18" s="48" t="s">
        <v>193</v>
      </c>
      <c r="P18" s="30" t="s">
        <v>172</v>
      </c>
      <c r="Q18" s="30" t="s">
        <v>172</v>
      </c>
      <c r="R18" s="30" t="s">
        <v>173</v>
      </c>
      <c r="S18" s="61" t="s">
        <v>194</v>
      </c>
      <c r="T18" s="30" t="s">
        <v>195</v>
      </c>
      <c r="U18" s="48" t="s">
        <v>144</v>
      </c>
      <c r="V18" s="62" t="s">
        <v>145</v>
      </c>
      <c r="W18" s="48" t="s">
        <v>176</v>
      </c>
      <c r="X18" s="48" t="s">
        <v>127</v>
      </c>
      <c r="Y18" s="48" t="s">
        <v>128</v>
      </c>
      <c r="Z18" s="48" t="s">
        <v>128</v>
      </c>
      <c r="AA18" s="20" t="s">
        <v>148</v>
      </c>
      <c r="AB18" s="72" t="s">
        <v>177</v>
      </c>
      <c r="AC18" s="48" t="s">
        <v>150</v>
      </c>
      <c r="AD18" s="48" t="s">
        <v>178</v>
      </c>
      <c r="AE18" s="48"/>
      <c r="AF18" s="48" t="s">
        <v>179</v>
      </c>
      <c r="AG18" s="48" t="s">
        <v>152</v>
      </c>
      <c r="AH18" s="48" t="s">
        <v>180</v>
      </c>
      <c r="AI18" s="48"/>
      <c r="AJ18" s="50">
        <v>39263</v>
      </c>
      <c r="AK18" s="50">
        <v>39263</v>
      </c>
      <c r="AL18" s="51">
        <f t="shared" si="4"/>
        <v>18.350684931506848</v>
      </c>
      <c r="AM18" s="52">
        <v>8</v>
      </c>
      <c r="AN18" s="48" t="s">
        <v>154</v>
      </c>
      <c r="AO18" s="30" t="s">
        <v>133</v>
      </c>
      <c r="AP18" s="30" t="s">
        <v>134</v>
      </c>
      <c r="AQ18" s="30">
        <v>0.56320000000000003</v>
      </c>
      <c r="AR18" s="30">
        <v>1229</v>
      </c>
      <c r="AS18" s="30">
        <v>1142</v>
      </c>
      <c r="AT18" s="30">
        <v>933</v>
      </c>
      <c r="AU18" s="53">
        <v>118441872</v>
      </c>
      <c r="AV18" s="54"/>
      <c r="AW18" s="54"/>
      <c r="AX18" s="54">
        <v>118441872</v>
      </c>
      <c r="AY18" s="54"/>
      <c r="AZ18" s="54"/>
      <c r="BA18" s="54">
        <v>1000</v>
      </c>
      <c r="BB18" s="55">
        <v>1000</v>
      </c>
      <c r="BC18" s="52">
        <v>96</v>
      </c>
      <c r="BD18" s="52">
        <v>222</v>
      </c>
      <c r="BE18" s="52">
        <v>0</v>
      </c>
      <c r="BF18" s="30"/>
      <c r="BG18" s="30" t="s">
        <v>135</v>
      </c>
      <c r="BH18" s="30" t="s">
        <v>136</v>
      </c>
      <c r="BI18" s="30" t="str">
        <f t="shared" si="18"/>
        <v>Test</v>
      </c>
      <c r="BJ18" s="47" t="s">
        <v>137</v>
      </c>
      <c r="BK18" s="56">
        <f t="shared" si="19"/>
        <v>2368837.44</v>
      </c>
      <c r="BL18" s="57">
        <f t="shared" si="20"/>
        <v>225818.23597533803</v>
      </c>
      <c r="BM18" s="57">
        <f t="shared" si="5"/>
        <v>75272.745325112672</v>
      </c>
      <c r="BU18" s="58">
        <f t="shared" si="6"/>
        <v>225818.23597533803</v>
      </c>
      <c r="BV18" s="58">
        <f t="shared" si="7"/>
        <v>225818.23597533803</v>
      </c>
      <c r="BW18" s="58">
        <f t="shared" si="29"/>
        <v>451636.47195067606</v>
      </c>
      <c r="BX18" s="58">
        <f t="shared" si="9"/>
        <v>225818.23597533803</v>
      </c>
      <c r="BY18" s="58">
        <f t="shared" si="10"/>
        <v>225818.23597533803</v>
      </c>
      <c r="BZ18" s="58">
        <f t="shared" si="10"/>
        <v>225818.23597533803</v>
      </c>
      <c r="CA18" s="58">
        <f t="shared" si="10"/>
        <v>225818.23597533803</v>
      </c>
      <c r="CB18" s="58">
        <f t="shared" si="11"/>
        <v>903272.94390135212</v>
      </c>
      <c r="CC18" s="58">
        <f t="shared" si="12"/>
        <v>225818.23597533803</v>
      </c>
      <c r="CD18" s="58">
        <f t="shared" si="13"/>
        <v>225818.23597533803</v>
      </c>
      <c r="CE18" s="58">
        <f t="shared" si="13"/>
        <v>225818.23597533803</v>
      </c>
      <c r="CF18" s="58">
        <f t="shared" si="13"/>
        <v>225818.23597533803</v>
      </c>
      <c r="CG18" s="58">
        <f t="shared" si="14"/>
        <v>903272.94390135212</v>
      </c>
      <c r="CH18" s="58">
        <f t="shared" si="15"/>
        <v>225818.23597533803</v>
      </c>
      <c r="CI18" s="58">
        <f t="shared" si="16"/>
        <v>225818.23597533803</v>
      </c>
      <c r="CJ18" s="58">
        <f t="shared" si="16"/>
        <v>225818.23597533803</v>
      </c>
      <c r="CK18" s="58">
        <f t="shared" si="16"/>
        <v>225818.23597533803</v>
      </c>
      <c r="CL18" s="58">
        <f t="shared" si="17"/>
        <v>903272.94390135212</v>
      </c>
      <c r="CN18" s="59">
        <f t="shared" si="26"/>
        <v>2.313021957719437E-4</v>
      </c>
      <c r="CO18" s="64">
        <f t="shared" si="27"/>
        <v>4857346.1112108175</v>
      </c>
      <c r="CP18" s="2">
        <f t="shared" si="28"/>
        <v>7226183.5512108169</v>
      </c>
    </row>
    <row r="19" spans="1:94" ht="16.5" hidden="1" x14ac:dyDescent="0.3">
      <c r="A19" s="2">
        <v>14</v>
      </c>
      <c r="B19" s="47" t="s">
        <v>21</v>
      </c>
      <c r="C19" s="47"/>
      <c r="D19" s="30" t="s">
        <v>114</v>
      </c>
      <c r="E19" s="30" t="s">
        <v>115</v>
      </c>
      <c r="F19" s="30" t="s">
        <v>116</v>
      </c>
      <c r="G19" s="48" t="s">
        <v>117</v>
      </c>
      <c r="H19" s="48" t="s">
        <v>118</v>
      </c>
      <c r="I19" s="30" t="s">
        <v>119</v>
      </c>
      <c r="J19" s="30" t="s">
        <v>120</v>
      </c>
      <c r="K19" s="30" t="s">
        <v>121</v>
      </c>
      <c r="L19" s="30" t="s">
        <v>122</v>
      </c>
      <c r="M19" s="30">
        <v>2100209</v>
      </c>
      <c r="N19" s="48" t="s">
        <v>138</v>
      </c>
      <c r="O19" s="48" t="s">
        <v>196</v>
      </c>
      <c r="P19" s="30" t="s">
        <v>172</v>
      </c>
      <c r="Q19" s="30" t="s">
        <v>172</v>
      </c>
      <c r="R19" s="30" t="s">
        <v>173</v>
      </c>
      <c r="S19" s="61" t="s">
        <v>197</v>
      </c>
      <c r="T19" s="30" t="s">
        <v>198</v>
      </c>
      <c r="U19" s="48" t="s">
        <v>144</v>
      </c>
      <c r="V19" s="62" t="s">
        <v>145</v>
      </c>
      <c r="W19" s="48" t="s">
        <v>176</v>
      </c>
      <c r="X19" s="48" t="s">
        <v>127</v>
      </c>
      <c r="Y19" s="48" t="s">
        <v>128</v>
      </c>
      <c r="Z19" s="48" t="s">
        <v>128</v>
      </c>
      <c r="AA19" s="20" t="s">
        <v>148</v>
      </c>
      <c r="AB19" s="72" t="s">
        <v>177</v>
      </c>
      <c r="AC19" s="48" t="s">
        <v>150</v>
      </c>
      <c r="AD19" s="48" t="s">
        <v>178</v>
      </c>
      <c r="AE19" s="48"/>
      <c r="AF19" s="48" t="s">
        <v>179</v>
      </c>
      <c r="AG19" s="48" t="s">
        <v>152</v>
      </c>
      <c r="AH19" s="48" t="s">
        <v>180</v>
      </c>
      <c r="AI19" s="48"/>
      <c r="AJ19" s="50">
        <v>39263</v>
      </c>
      <c r="AK19" s="50">
        <v>39263</v>
      </c>
      <c r="AL19" s="51">
        <f t="shared" si="4"/>
        <v>18.350684931506848</v>
      </c>
      <c r="AM19" s="52">
        <v>8</v>
      </c>
      <c r="AN19" s="48" t="s">
        <v>154</v>
      </c>
      <c r="AO19" s="30" t="s">
        <v>133</v>
      </c>
      <c r="AP19" s="30" t="s">
        <v>134</v>
      </c>
      <c r="AQ19" s="30">
        <v>0.56320000000000003</v>
      </c>
      <c r="AR19" s="30">
        <v>1229</v>
      </c>
      <c r="AS19" s="30">
        <v>1142</v>
      </c>
      <c r="AT19" s="30">
        <v>933</v>
      </c>
      <c r="AU19" s="53">
        <v>118441871</v>
      </c>
      <c r="AV19" s="54"/>
      <c r="AW19" s="54"/>
      <c r="AX19" s="54">
        <v>118441871</v>
      </c>
      <c r="AY19" s="54"/>
      <c r="AZ19" s="54"/>
      <c r="BA19" s="54">
        <v>0</v>
      </c>
      <c r="BB19" s="55">
        <v>0</v>
      </c>
      <c r="BC19" s="52">
        <v>96</v>
      </c>
      <c r="BD19" s="52">
        <v>222</v>
      </c>
      <c r="BE19" s="52">
        <v>0</v>
      </c>
      <c r="BF19" s="30"/>
      <c r="BG19" s="30" t="s">
        <v>135</v>
      </c>
      <c r="BH19" s="30" t="s">
        <v>136</v>
      </c>
      <c r="BI19" s="30" t="str">
        <f t="shared" si="18"/>
        <v>Test</v>
      </c>
      <c r="BJ19" s="47" t="s">
        <v>137</v>
      </c>
      <c r="BK19" s="56">
        <f t="shared" si="19"/>
        <v>2368837.42</v>
      </c>
      <c r="BL19" s="57">
        <f t="shared" si="20"/>
        <v>225818.23406876368</v>
      </c>
      <c r="BM19" s="57">
        <f t="shared" si="5"/>
        <v>75272.744689587897</v>
      </c>
      <c r="BU19" s="58">
        <f t="shared" si="6"/>
        <v>225818.23406876368</v>
      </c>
      <c r="BV19" s="58">
        <f t="shared" si="7"/>
        <v>225818.23406876368</v>
      </c>
      <c r="BW19" s="58">
        <f t="shared" si="29"/>
        <v>451636.46813752735</v>
      </c>
      <c r="BX19" s="58">
        <f t="shared" si="9"/>
        <v>225818.23406876368</v>
      </c>
      <c r="BY19" s="58">
        <f t="shared" si="10"/>
        <v>225818.23406876368</v>
      </c>
      <c r="BZ19" s="58">
        <f t="shared" si="10"/>
        <v>225818.23406876368</v>
      </c>
      <c r="CA19" s="58">
        <f t="shared" si="10"/>
        <v>225818.23406876368</v>
      </c>
      <c r="CB19" s="58">
        <f t="shared" si="11"/>
        <v>903272.9362750547</v>
      </c>
      <c r="CC19" s="58">
        <f t="shared" si="12"/>
        <v>225818.23406876368</v>
      </c>
      <c r="CD19" s="58">
        <f t="shared" si="13"/>
        <v>225818.23406876368</v>
      </c>
      <c r="CE19" s="58">
        <f t="shared" si="13"/>
        <v>225818.23406876368</v>
      </c>
      <c r="CF19" s="58">
        <f t="shared" si="13"/>
        <v>225818.23406876368</v>
      </c>
      <c r="CG19" s="58">
        <f t="shared" si="14"/>
        <v>903272.9362750547</v>
      </c>
      <c r="CH19" s="58">
        <f t="shared" si="15"/>
        <v>225818.23406876368</v>
      </c>
      <c r="CI19" s="58">
        <f t="shared" si="16"/>
        <v>225818.23406876368</v>
      </c>
      <c r="CJ19" s="58">
        <f t="shared" si="16"/>
        <v>225818.23406876368</v>
      </c>
      <c r="CK19" s="58">
        <f t="shared" si="16"/>
        <v>225818.23406876368</v>
      </c>
      <c r="CL19" s="58">
        <f t="shared" si="17"/>
        <v>903272.9362750547</v>
      </c>
      <c r="CN19" s="59">
        <f t="shared" si="26"/>
        <v>2.3130219381906848E-4</v>
      </c>
      <c r="CO19" s="64">
        <f t="shared" si="27"/>
        <v>4857346.0702004377</v>
      </c>
      <c r="CP19" s="2">
        <f t="shared" si="28"/>
        <v>7226183.4902004376</v>
      </c>
    </row>
    <row r="20" spans="1:94" ht="16.5" hidden="1" x14ac:dyDescent="0.3">
      <c r="A20" s="2">
        <v>15</v>
      </c>
      <c r="B20" s="47" t="s">
        <v>21</v>
      </c>
      <c r="C20" s="47"/>
      <c r="D20" s="30" t="s">
        <v>114</v>
      </c>
      <c r="E20" s="30" t="s">
        <v>115</v>
      </c>
      <c r="F20" s="30" t="s">
        <v>116</v>
      </c>
      <c r="G20" s="48" t="s">
        <v>117</v>
      </c>
      <c r="H20" s="48" t="s">
        <v>118</v>
      </c>
      <c r="I20" s="30" t="s">
        <v>119</v>
      </c>
      <c r="J20" s="30" t="s">
        <v>120</v>
      </c>
      <c r="K20" s="30" t="s">
        <v>121</v>
      </c>
      <c r="L20" s="30" t="s">
        <v>122</v>
      </c>
      <c r="M20" s="30">
        <v>2100212</v>
      </c>
      <c r="N20" s="48" t="s">
        <v>138</v>
      </c>
      <c r="O20" s="48" t="s">
        <v>199</v>
      </c>
      <c r="P20" s="30" t="s">
        <v>172</v>
      </c>
      <c r="Q20" s="30" t="s">
        <v>172</v>
      </c>
      <c r="R20" s="30" t="s">
        <v>173</v>
      </c>
      <c r="S20" s="61" t="s">
        <v>200</v>
      </c>
      <c r="T20" s="30" t="s">
        <v>201</v>
      </c>
      <c r="U20" s="48" t="s">
        <v>144</v>
      </c>
      <c r="V20" s="62" t="s">
        <v>145</v>
      </c>
      <c r="W20" s="48" t="s">
        <v>176</v>
      </c>
      <c r="X20" s="48" t="s">
        <v>127</v>
      </c>
      <c r="Y20" s="48" t="s">
        <v>128</v>
      </c>
      <c r="Z20" s="48" t="s">
        <v>128</v>
      </c>
      <c r="AA20" s="20" t="s">
        <v>148</v>
      </c>
      <c r="AB20" s="72" t="s">
        <v>177</v>
      </c>
      <c r="AC20" s="48" t="s">
        <v>150</v>
      </c>
      <c r="AD20" s="48" t="s">
        <v>178</v>
      </c>
      <c r="AE20" s="48"/>
      <c r="AF20" s="48" t="s">
        <v>179</v>
      </c>
      <c r="AG20" s="48" t="s">
        <v>152</v>
      </c>
      <c r="AH20" s="48" t="s">
        <v>180</v>
      </c>
      <c r="AI20" s="48"/>
      <c r="AJ20" s="50">
        <v>39294</v>
      </c>
      <c r="AK20" s="50">
        <v>39294</v>
      </c>
      <c r="AL20" s="51">
        <f t="shared" si="4"/>
        <v>18.265753424657536</v>
      </c>
      <c r="AM20" s="52">
        <v>8</v>
      </c>
      <c r="AN20" s="48" t="s">
        <v>157</v>
      </c>
      <c r="AO20" s="30" t="s">
        <v>133</v>
      </c>
      <c r="AP20" s="30" t="s">
        <v>134</v>
      </c>
      <c r="AQ20" s="30">
        <v>0.56320000000000003</v>
      </c>
      <c r="AR20" s="30">
        <v>1229</v>
      </c>
      <c r="AS20" s="30">
        <v>1142</v>
      </c>
      <c r="AT20" s="30">
        <v>933</v>
      </c>
      <c r="AU20" s="53">
        <v>118568774</v>
      </c>
      <c r="AV20" s="54"/>
      <c r="AW20" s="54"/>
      <c r="AX20" s="54">
        <v>118568774</v>
      </c>
      <c r="AY20" s="54"/>
      <c r="AZ20" s="54"/>
      <c r="BA20" s="54">
        <v>1000</v>
      </c>
      <c r="BB20" s="55">
        <v>1000</v>
      </c>
      <c r="BC20" s="52">
        <v>96</v>
      </c>
      <c r="BD20" s="52">
        <v>221</v>
      </c>
      <c r="BE20" s="52">
        <v>0</v>
      </c>
      <c r="BF20" s="30"/>
      <c r="BG20" s="30" t="s">
        <v>135</v>
      </c>
      <c r="BH20" s="30" t="s">
        <v>136</v>
      </c>
      <c r="BI20" s="30" t="str">
        <f t="shared" si="18"/>
        <v>Test</v>
      </c>
      <c r="BJ20" s="47" t="s">
        <v>137</v>
      </c>
      <c r="BK20" s="56">
        <f t="shared" si="19"/>
        <v>2371375.48</v>
      </c>
      <c r="BL20" s="57">
        <f t="shared" si="20"/>
        <v>226060.18407441693</v>
      </c>
      <c r="BM20" s="57">
        <f t="shared" si="5"/>
        <v>75353.394691472306</v>
      </c>
      <c r="BU20" s="58">
        <f t="shared" si="6"/>
        <v>226060.18407441693</v>
      </c>
      <c r="BV20" s="58">
        <f t="shared" si="7"/>
        <v>226060.18407441693</v>
      </c>
      <c r="BW20" s="58">
        <f t="shared" si="29"/>
        <v>452120.36814883386</v>
      </c>
      <c r="BX20" s="58">
        <f t="shared" si="9"/>
        <v>226060.18407441693</v>
      </c>
      <c r="BY20" s="58">
        <f t="shared" si="10"/>
        <v>226060.18407441693</v>
      </c>
      <c r="BZ20" s="58">
        <f t="shared" si="10"/>
        <v>226060.18407441693</v>
      </c>
      <c r="CA20" s="58">
        <f t="shared" si="10"/>
        <v>226060.18407441693</v>
      </c>
      <c r="CB20" s="58">
        <f t="shared" si="11"/>
        <v>904240.73629766773</v>
      </c>
      <c r="CC20" s="58">
        <f t="shared" si="12"/>
        <v>226060.18407441693</v>
      </c>
      <c r="CD20" s="58">
        <f t="shared" si="13"/>
        <v>226060.18407441693</v>
      </c>
      <c r="CE20" s="58">
        <f t="shared" si="13"/>
        <v>226060.18407441693</v>
      </c>
      <c r="CF20" s="58">
        <f t="shared" si="13"/>
        <v>226060.18407441693</v>
      </c>
      <c r="CG20" s="58">
        <f t="shared" si="14"/>
        <v>904240.73629766773</v>
      </c>
      <c r="CH20" s="58">
        <f t="shared" si="15"/>
        <v>226060.18407441693</v>
      </c>
      <c r="CI20" s="58">
        <f t="shared" si="16"/>
        <v>226060.18407441693</v>
      </c>
      <c r="CJ20" s="58">
        <f t="shared" si="16"/>
        <v>226060.18407441693</v>
      </c>
      <c r="CK20" s="58">
        <f t="shared" si="16"/>
        <v>226060.18407441693</v>
      </c>
      <c r="CL20" s="58">
        <f t="shared" si="17"/>
        <v>904240.73629766773</v>
      </c>
      <c r="CN20" s="59">
        <f t="shared" si="26"/>
        <v>2.3155001954196862E-4</v>
      </c>
      <c r="CO20" s="64">
        <f t="shared" si="27"/>
        <v>4862550.4103813414</v>
      </c>
      <c r="CP20" s="2">
        <f t="shared" si="28"/>
        <v>7233925.8903813418</v>
      </c>
    </row>
    <row r="21" spans="1:94" ht="16.5" hidden="1" x14ac:dyDescent="0.3">
      <c r="A21" s="2">
        <v>16</v>
      </c>
      <c r="B21" s="47" t="s">
        <v>21</v>
      </c>
      <c r="C21" s="47"/>
      <c r="D21" s="30" t="s">
        <v>114</v>
      </c>
      <c r="E21" s="30" t="s">
        <v>115</v>
      </c>
      <c r="F21" s="30" t="s">
        <v>116</v>
      </c>
      <c r="G21" s="48" t="s">
        <v>117</v>
      </c>
      <c r="H21" s="48" t="s">
        <v>118</v>
      </c>
      <c r="I21" s="30" t="s">
        <v>119</v>
      </c>
      <c r="J21" s="30" t="s">
        <v>120</v>
      </c>
      <c r="K21" s="30" t="s">
        <v>121</v>
      </c>
      <c r="L21" s="30" t="s">
        <v>122</v>
      </c>
      <c r="M21" s="30">
        <v>2100215</v>
      </c>
      <c r="N21" s="48" t="s">
        <v>138</v>
      </c>
      <c r="O21" s="48" t="s">
        <v>202</v>
      </c>
      <c r="P21" s="30" t="s">
        <v>172</v>
      </c>
      <c r="Q21" s="30" t="s">
        <v>172</v>
      </c>
      <c r="R21" s="30" t="s">
        <v>173</v>
      </c>
      <c r="S21" s="61" t="s">
        <v>203</v>
      </c>
      <c r="T21" s="30" t="s">
        <v>204</v>
      </c>
      <c r="U21" s="48" t="s">
        <v>144</v>
      </c>
      <c r="V21" s="62" t="s">
        <v>145</v>
      </c>
      <c r="W21" s="48" t="s">
        <v>176</v>
      </c>
      <c r="X21" s="48" t="s">
        <v>127</v>
      </c>
      <c r="Y21" s="48" t="s">
        <v>128</v>
      </c>
      <c r="Z21" s="48" t="s">
        <v>128</v>
      </c>
      <c r="AA21" s="20" t="s">
        <v>148</v>
      </c>
      <c r="AB21" s="72" t="s">
        <v>177</v>
      </c>
      <c r="AC21" s="48" t="s">
        <v>150</v>
      </c>
      <c r="AD21" s="48" t="s">
        <v>178</v>
      </c>
      <c r="AE21" s="48"/>
      <c r="AF21" s="48" t="s">
        <v>179</v>
      </c>
      <c r="AG21" s="48" t="s">
        <v>152</v>
      </c>
      <c r="AH21" s="48" t="s">
        <v>180</v>
      </c>
      <c r="AI21" s="48"/>
      <c r="AJ21" s="50">
        <v>39353</v>
      </c>
      <c r="AK21" s="50">
        <v>39353</v>
      </c>
      <c r="AL21" s="51">
        <f t="shared" si="4"/>
        <v>18.104109589041094</v>
      </c>
      <c r="AM21" s="52">
        <v>8</v>
      </c>
      <c r="AN21" s="48" t="s">
        <v>154</v>
      </c>
      <c r="AO21" s="30" t="s">
        <v>133</v>
      </c>
      <c r="AP21" s="30" t="s">
        <v>134</v>
      </c>
      <c r="AQ21" s="30">
        <v>0.56320000000000003</v>
      </c>
      <c r="AR21" s="30">
        <v>1229</v>
      </c>
      <c r="AS21" s="30">
        <v>1142</v>
      </c>
      <c r="AT21" s="30">
        <v>933</v>
      </c>
      <c r="AU21" s="53">
        <v>127033600</v>
      </c>
      <c r="AV21" s="54"/>
      <c r="AW21" s="54"/>
      <c r="AX21" s="54">
        <v>127033600</v>
      </c>
      <c r="AY21" s="54"/>
      <c r="AZ21" s="54"/>
      <c r="BA21" s="54">
        <v>1000</v>
      </c>
      <c r="BB21" s="55">
        <v>1000</v>
      </c>
      <c r="BC21" s="52">
        <v>96</v>
      </c>
      <c r="BD21" s="52">
        <v>219</v>
      </c>
      <c r="BE21" s="52">
        <v>0</v>
      </c>
      <c r="BF21" s="30"/>
      <c r="BG21" s="30" t="s">
        <v>135</v>
      </c>
      <c r="BH21" s="30" t="s">
        <v>136</v>
      </c>
      <c r="BI21" s="30" t="str">
        <f t="shared" si="18"/>
        <v>Test</v>
      </c>
      <c r="BJ21" s="47" t="s">
        <v>137</v>
      </c>
      <c r="BK21" s="56">
        <f t="shared" si="19"/>
        <v>2540672</v>
      </c>
      <c r="BL21" s="57">
        <f t="shared" si="20"/>
        <v>242199.0042642749</v>
      </c>
      <c r="BM21" s="57">
        <f t="shared" si="5"/>
        <v>80733.001421424968</v>
      </c>
      <c r="BU21" s="58">
        <f t="shared" si="6"/>
        <v>242199.0042642749</v>
      </c>
      <c r="BV21" s="58">
        <f t="shared" si="7"/>
        <v>242199.0042642749</v>
      </c>
      <c r="BW21" s="58">
        <f t="shared" si="29"/>
        <v>484398.00852854981</v>
      </c>
      <c r="BX21" s="58">
        <f t="shared" si="9"/>
        <v>242199.0042642749</v>
      </c>
      <c r="BY21" s="58">
        <f t="shared" si="10"/>
        <v>242199.0042642749</v>
      </c>
      <c r="BZ21" s="58">
        <f t="shared" si="10"/>
        <v>242199.0042642749</v>
      </c>
      <c r="CA21" s="58">
        <f t="shared" si="10"/>
        <v>242199.0042642749</v>
      </c>
      <c r="CB21" s="58">
        <f t="shared" si="11"/>
        <v>968796.01705709961</v>
      </c>
      <c r="CC21" s="58">
        <f t="shared" si="12"/>
        <v>242199.0042642749</v>
      </c>
      <c r="CD21" s="58">
        <f t="shared" si="13"/>
        <v>242199.0042642749</v>
      </c>
      <c r="CE21" s="58">
        <f t="shared" si="13"/>
        <v>242199.0042642749</v>
      </c>
      <c r="CF21" s="58">
        <f t="shared" si="13"/>
        <v>242199.0042642749</v>
      </c>
      <c r="CG21" s="58">
        <f t="shared" si="14"/>
        <v>968796.01705709961</v>
      </c>
      <c r="CH21" s="58">
        <f t="shared" si="15"/>
        <v>242199.0042642749</v>
      </c>
      <c r="CI21" s="58">
        <f t="shared" si="16"/>
        <v>242199.0042642749</v>
      </c>
      <c r="CJ21" s="58">
        <f t="shared" si="16"/>
        <v>242199.0042642749</v>
      </c>
      <c r="CK21" s="58">
        <f t="shared" si="16"/>
        <v>242199.0042642749</v>
      </c>
      <c r="CL21" s="58">
        <f t="shared" si="17"/>
        <v>968796.01705709961</v>
      </c>
      <c r="CN21" s="59">
        <f t="shared" si="26"/>
        <v>2.4808076840270461E-4</v>
      </c>
      <c r="CO21" s="64">
        <f t="shared" si="27"/>
        <v>5209696.1364567969</v>
      </c>
      <c r="CP21" s="2">
        <f t="shared" si="28"/>
        <v>7750368.1364567969</v>
      </c>
    </row>
    <row r="22" spans="1:94" ht="16.5" hidden="1" x14ac:dyDescent="0.3">
      <c r="A22" s="2">
        <v>17</v>
      </c>
      <c r="B22" s="47" t="s">
        <v>21</v>
      </c>
      <c r="C22" s="47"/>
      <c r="D22" s="30" t="s">
        <v>114</v>
      </c>
      <c r="E22" s="30" t="s">
        <v>115</v>
      </c>
      <c r="F22" s="30" t="s">
        <v>116</v>
      </c>
      <c r="G22" s="48" t="s">
        <v>117</v>
      </c>
      <c r="H22" s="48" t="s">
        <v>118</v>
      </c>
      <c r="I22" s="30" t="s">
        <v>119</v>
      </c>
      <c r="J22" s="30" t="s">
        <v>120</v>
      </c>
      <c r="K22" s="30" t="s">
        <v>121</v>
      </c>
      <c r="L22" s="30" t="s">
        <v>122</v>
      </c>
      <c r="M22" s="30">
        <v>2100216</v>
      </c>
      <c r="N22" s="48" t="s">
        <v>138</v>
      </c>
      <c r="O22" s="48" t="s">
        <v>205</v>
      </c>
      <c r="P22" s="30" t="s">
        <v>172</v>
      </c>
      <c r="Q22" s="30" t="s">
        <v>172</v>
      </c>
      <c r="R22" s="30" t="s">
        <v>173</v>
      </c>
      <c r="S22" s="61" t="s">
        <v>206</v>
      </c>
      <c r="T22" s="30" t="s">
        <v>207</v>
      </c>
      <c r="U22" s="48" t="s">
        <v>144</v>
      </c>
      <c r="V22" s="62" t="s">
        <v>145</v>
      </c>
      <c r="W22" s="48" t="s">
        <v>176</v>
      </c>
      <c r="X22" s="48" t="s">
        <v>127</v>
      </c>
      <c r="Y22" s="48" t="s">
        <v>128</v>
      </c>
      <c r="Z22" s="48" t="s">
        <v>128</v>
      </c>
      <c r="AA22" s="20" t="s">
        <v>148</v>
      </c>
      <c r="AB22" s="72" t="s">
        <v>177</v>
      </c>
      <c r="AC22" s="48" t="s">
        <v>150</v>
      </c>
      <c r="AD22" s="48" t="s">
        <v>178</v>
      </c>
      <c r="AE22" s="48"/>
      <c r="AF22" s="48" t="s">
        <v>179</v>
      </c>
      <c r="AG22" s="48" t="s">
        <v>152</v>
      </c>
      <c r="AH22" s="48" t="s">
        <v>180</v>
      </c>
      <c r="AI22" s="48"/>
      <c r="AJ22" s="50">
        <v>39568</v>
      </c>
      <c r="AK22" s="50">
        <v>39568</v>
      </c>
      <c r="AL22" s="51">
        <f t="shared" si="4"/>
        <v>17.515068493150686</v>
      </c>
      <c r="AM22" s="52">
        <v>8</v>
      </c>
      <c r="AN22" s="48" t="s">
        <v>157</v>
      </c>
      <c r="AO22" s="30" t="s">
        <v>133</v>
      </c>
      <c r="AP22" s="30" t="s">
        <v>134</v>
      </c>
      <c r="AQ22" s="30">
        <v>0.56320000000000003</v>
      </c>
      <c r="AR22" s="30">
        <v>1229</v>
      </c>
      <c r="AS22" s="30">
        <v>1142</v>
      </c>
      <c r="AT22" s="30">
        <v>933</v>
      </c>
      <c r="AU22" s="53">
        <v>140001398</v>
      </c>
      <c r="AV22" s="54"/>
      <c r="AW22" s="54"/>
      <c r="AX22" s="54">
        <v>140001398</v>
      </c>
      <c r="AY22" s="54"/>
      <c r="AZ22" s="54"/>
      <c r="BA22" s="54">
        <v>1000</v>
      </c>
      <c r="BB22" s="55">
        <v>1000</v>
      </c>
      <c r="BC22" s="52">
        <v>96</v>
      </c>
      <c r="BD22" s="52">
        <v>212</v>
      </c>
      <c r="BE22" s="52">
        <v>0</v>
      </c>
      <c r="BF22" s="30"/>
      <c r="BG22" s="30" t="s">
        <v>135</v>
      </c>
      <c r="BH22" s="30" t="s">
        <v>136</v>
      </c>
      <c r="BI22" s="30" t="str">
        <f t="shared" si="18"/>
        <v>Test</v>
      </c>
      <c r="BJ22" s="47" t="s">
        <v>137</v>
      </c>
      <c r="BK22" s="56">
        <f t="shared" si="19"/>
        <v>2800027.96</v>
      </c>
      <c r="BL22" s="57">
        <f t="shared" si="20"/>
        <v>266923.07540057471</v>
      </c>
      <c r="BM22" s="57">
        <f t="shared" si="5"/>
        <v>88974.358466858233</v>
      </c>
      <c r="BU22" s="58">
        <f t="shared" si="6"/>
        <v>266923.07540057471</v>
      </c>
      <c r="BV22" s="58">
        <f t="shared" si="7"/>
        <v>266923.07540057471</v>
      </c>
      <c r="BW22" s="58">
        <f t="shared" si="29"/>
        <v>533846.15080114943</v>
      </c>
      <c r="BX22" s="58">
        <f t="shared" si="9"/>
        <v>266923.07540057471</v>
      </c>
      <c r="BY22" s="58">
        <f t="shared" si="10"/>
        <v>266923.07540057471</v>
      </c>
      <c r="BZ22" s="58">
        <f t="shared" si="10"/>
        <v>266923.07540057471</v>
      </c>
      <c r="CA22" s="58">
        <f t="shared" si="10"/>
        <v>266923.07540057471</v>
      </c>
      <c r="CB22" s="58">
        <f t="shared" si="11"/>
        <v>1067692.3016022989</v>
      </c>
      <c r="CC22" s="58">
        <f t="shared" si="12"/>
        <v>266923.07540057471</v>
      </c>
      <c r="CD22" s="58">
        <f t="shared" si="13"/>
        <v>266923.07540057471</v>
      </c>
      <c r="CE22" s="58">
        <f t="shared" si="13"/>
        <v>266923.07540057471</v>
      </c>
      <c r="CF22" s="58">
        <f t="shared" si="13"/>
        <v>266923.07540057471</v>
      </c>
      <c r="CG22" s="58">
        <f t="shared" si="14"/>
        <v>1067692.3016022989</v>
      </c>
      <c r="CH22" s="58">
        <f t="shared" si="15"/>
        <v>266923.07540057471</v>
      </c>
      <c r="CI22" s="58">
        <f t="shared" si="16"/>
        <v>266923.07540057471</v>
      </c>
      <c r="CJ22" s="58">
        <f t="shared" si="16"/>
        <v>266923.07540057471</v>
      </c>
      <c r="CK22" s="58">
        <f t="shared" si="16"/>
        <v>266923.07540057471</v>
      </c>
      <c r="CL22" s="58">
        <f t="shared" si="17"/>
        <v>1067692.3016022989</v>
      </c>
      <c r="CN22" s="59">
        <f t="shared" si="26"/>
        <v>2.7340525965801861E-4</v>
      </c>
      <c r="CO22" s="64">
        <f t="shared" si="27"/>
        <v>5741510.4528183909</v>
      </c>
      <c r="CP22" s="2">
        <f t="shared" si="28"/>
        <v>8541538.4128183909</v>
      </c>
    </row>
    <row r="23" spans="1:94" ht="16.5" hidden="1" x14ac:dyDescent="0.3">
      <c r="A23" s="2">
        <v>18</v>
      </c>
      <c r="B23" s="47" t="s">
        <v>21</v>
      </c>
      <c r="C23" s="47"/>
      <c r="D23" s="30" t="s">
        <v>114</v>
      </c>
      <c r="E23" s="30" t="s">
        <v>115</v>
      </c>
      <c r="F23" s="30" t="s">
        <v>116</v>
      </c>
      <c r="G23" s="48" t="s">
        <v>117</v>
      </c>
      <c r="H23" s="48" t="s">
        <v>118</v>
      </c>
      <c r="I23" s="30" t="s">
        <v>119</v>
      </c>
      <c r="J23" s="30" t="s">
        <v>120</v>
      </c>
      <c r="K23" s="30" t="s">
        <v>121</v>
      </c>
      <c r="L23" s="30" t="s">
        <v>122</v>
      </c>
      <c r="M23" s="30">
        <v>2100218</v>
      </c>
      <c r="N23" s="48" t="s">
        <v>138</v>
      </c>
      <c r="O23" s="48" t="s">
        <v>208</v>
      </c>
      <c r="P23" s="30" t="s">
        <v>209</v>
      </c>
      <c r="Q23" s="30" t="s">
        <v>164</v>
      </c>
      <c r="R23" s="30" t="s">
        <v>142</v>
      </c>
      <c r="S23" s="61" t="s">
        <v>210</v>
      </c>
      <c r="T23" s="30" t="s">
        <v>211</v>
      </c>
      <c r="U23" s="48" t="s">
        <v>144</v>
      </c>
      <c r="V23" s="62" t="s">
        <v>145</v>
      </c>
      <c r="W23" s="48" t="s">
        <v>167</v>
      </c>
      <c r="X23" s="48" t="s">
        <v>127</v>
      </c>
      <c r="Y23" s="48" t="s">
        <v>128</v>
      </c>
      <c r="Z23" s="48" t="s">
        <v>128</v>
      </c>
      <c r="AA23" s="66" t="s">
        <v>148</v>
      </c>
      <c r="AB23" s="48" t="s">
        <v>149</v>
      </c>
      <c r="AC23" s="48" t="s">
        <v>150</v>
      </c>
      <c r="AD23" s="48" t="s">
        <v>168</v>
      </c>
      <c r="AE23" s="48"/>
      <c r="AF23" s="48" t="s">
        <v>151</v>
      </c>
      <c r="AG23" s="48" t="s">
        <v>152</v>
      </c>
      <c r="AH23" s="48" t="s">
        <v>153</v>
      </c>
      <c r="AI23" s="48"/>
      <c r="AJ23" s="50">
        <v>39629</v>
      </c>
      <c r="AK23" s="50">
        <v>39629</v>
      </c>
      <c r="AL23" s="51">
        <f t="shared" si="4"/>
        <v>17.347945205479451</v>
      </c>
      <c r="AM23" s="52">
        <v>8</v>
      </c>
      <c r="AN23" s="48" t="s">
        <v>212</v>
      </c>
      <c r="AO23" s="30" t="s">
        <v>133</v>
      </c>
      <c r="AP23" s="30" t="s">
        <v>134</v>
      </c>
      <c r="AQ23" s="30">
        <v>6.1347440000000004</v>
      </c>
      <c r="AR23" s="30">
        <v>960</v>
      </c>
      <c r="AS23" s="30">
        <v>840</v>
      </c>
      <c r="AT23" s="30">
        <v>1860</v>
      </c>
      <c r="AU23" s="53">
        <v>550743226</v>
      </c>
      <c r="AV23" s="54"/>
      <c r="AW23" s="54"/>
      <c r="AX23" s="54">
        <v>550743226</v>
      </c>
      <c r="AY23" s="54"/>
      <c r="AZ23" s="54"/>
      <c r="BA23" s="54">
        <v>1000</v>
      </c>
      <c r="BB23" s="55">
        <v>1000</v>
      </c>
      <c r="BC23" s="52">
        <v>96</v>
      </c>
      <c r="BD23" s="52">
        <v>210</v>
      </c>
      <c r="BE23" s="52">
        <v>0</v>
      </c>
      <c r="BF23" s="30"/>
      <c r="BG23" s="30" t="s">
        <v>135</v>
      </c>
      <c r="BH23" s="30" t="s">
        <v>136</v>
      </c>
      <c r="BI23" s="30" t="str">
        <f t="shared" si="18"/>
        <v>Test</v>
      </c>
      <c r="BJ23" s="47" t="s">
        <v>137</v>
      </c>
      <c r="BK23" s="56">
        <f t="shared" si="19"/>
        <v>11014864.52</v>
      </c>
      <c r="BL23" s="57">
        <f t="shared" si="20"/>
        <v>1050032.9120995903</v>
      </c>
      <c r="BM23" s="57">
        <f t="shared" si="5"/>
        <v>350010.97069986345</v>
      </c>
      <c r="BU23" s="58">
        <f t="shared" si="6"/>
        <v>1050032.9120995903</v>
      </c>
      <c r="BV23" s="58">
        <f t="shared" si="7"/>
        <v>1050032.9120995903</v>
      </c>
      <c r="BW23" s="58">
        <f t="shared" si="29"/>
        <v>2100065.8241991806</v>
      </c>
      <c r="BX23" s="58">
        <f t="shared" si="9"/>
        <v>1050032.9120995903</v>
      </c>
      <c r="BY23" s="58">
        <f t="shared" si="10"/>
        <v>1050032.9120995903</v>
      </c>
      <c r="BZ23" s="58">
        <f t="shared" si="10"/>
        <v>1050032.9120995903</v>
      </c>
      <c r="CA23" s="58">
        <f t="shared" si="10"/>
        <v>1050032.9120995903</v>
      </c>
      <c r="CB23" s="58">
        <f t="shared" si="11"/>
        <v>4200131.6483983612</v>
      </c>
      <c r="CC23" s="58">
        <f t="shared" si="12"/>
        <v>1050032.9120995903</v>
      </c>
      <c r="CD23" s="58">
        <f t="shared" si="13"/>
        <v>1050032.9120995903</v>
      </c>
      <c r="CE23" s="58">
        <f t="shared" si="13"/>
        <v>1050032.9120995903</v>
      </c>
      <c r="CF23" s="58">
        <f t="shared" si="13"/>
        <v>1050032.9120995903</v>
      </c>
      <c r="CG23" s="58">
        <f t="shared" si="14"/>
        <v>4200131.6483983612</v>
      </c>
      <c r="CH23" s="58">
        <f t="shared" si="15"/>
        <v>1050032.9120995903</v>
      </c>
      <c r="CI23" s="58">
        <f t="shared" si="16"/>
        <v>1050032.9120995903</v>
      </c>
      <c r="CJ23" s="58">
        <f t="shared" si="16"/>
        <v>1050032.9120995903</v>
      </c>
      <c r="CK23" s="58">
        <f t="shared" si="16"/>
        <v>1050032.9120995903</v>
      </c>
      <c r="CL23" s="58">
        <f t="shared" si="17"/>
        <v>4200131.6483983612</v>
      </c>
      <c r="CN23" s="59">
        <f t="shared" si="26"/>
        <v>1.0755327936755662E-3</v>
      </c>
      <c r="CO23" s="64">
        <f t="shared" si="27"/>
        <v>22586188.66718689</v>
      </c>
      <c r="CP23" s="2">
        <f t="shared" si="28"/>
        <v>33601053.187186889</v>
      </c>
    </row>
    <row r="24" spans="1:94" ht="16.5" hidden="1" x14ac:dyDescent="0.3">
      <c r="A24" s="2">
        <v>19</v>
      </c>
      <c r="B24" s="47" t="s">
        <v>21</v>
      </c>
      <c r="C24" s="47"/>
      <c r="D24" s="30" t="s">
        <v>114</v>
      </c>
      <c r="E24" s="30" t="s">
        <v>115</v>
      </c>
      <c r="F24" s="30" t="s">
        <v>116</v>
      </c>
      <c r="G24" s="48" t="s">
        <v>117</v>
      </c>
      <c r="H24" s="48" t="s">
        <v>118</v>
      </c>
      <c r="I24" s="30" t="s">
        <v>119</v>
      </c>
      <c r="J24" s="30" t="s">
        <v>120</v>
      </c>
      <c r="K24" s="30" t="s">
        <v>121</v>
      </c>
      <c r="L24" s="30" t="s">
        <v>122</v>
      </c>
      <c r="M24" s="30">
        <v>2100221</v>
      </c>
      <c r="N24" s="48" t="s">
        <v>138</v>
      </c>
      <c r="O24" s="48" t="s">
        <v>213</v>
      </c>
      <c r="P24" s="30" t="s">
        <v>172</v>
      </c>
      <c r="Q24" s="30" t="s">
        <v>172</v>
      </c>
      <c r="R24" s="30" t="s">
        <v>173</v>
      </c>
      <c r="S24" s="61" t="s">
        <v>214</v>
      </c>
      <c r="T24" s="30" t="s">
        <v>215</v>
      </c>
      <c r="U24" s="48" t="s">
        <v>144</v>
      </c>
      <c r="V24" s="62" t="s">
        <v>145</v>
      </c>
      <c r="W24" s="48" t="s">
        <v>176</v>
      </c>
      <c r="X24" s="48" t="s">
        <v>127</v>
      </c>
      <c r="Y24" s="48" t="s">
        <v>128</v>
      </c>
      <c r="Z24" s="48" t="s">
        <v>128</v>
      </c>
      <c r="AA24" s="20" t="s">
        <v>148</v>
      </c>
      <c r="AB24" s="72" t="s">
        <v>177</v>
      </c>
      <c r="AC24" s="48" t="s">
        <v>150</v>
      </c>
      <c r="AD24" s="48" t="s">
        <v>178</v>
      </c>
      <c r="AE24" s="48"/>
      <c r="AF24" s="48" t="s">
        <v>179</v>
      </c>
      <c r="AG24" s="48" t="s">
        <v>152</v>
      </c>
      <c r="AH24" s="48" t="s">
        <v>180</v>
      </c>
      <c r="AI24" s="48"/>
      <c r="AJ24" s="50">
        <v>39629</v>
      </c>
      <c r="AK24" s="50">
        <v>39629</v>
      </c>
      <c r="AL24" s="51">
        <f t="shared" si="4"/>
        <v>17.347945205479451</v>
      </c>
      <c r="AM24" s="52">
        <v>8</v>
      </c>
      <c r="AN24" s="48" t="s">
        <v>169</v>
      </c>
      <c r="AO24" s="30" t="s">
        <v>133</v>
      </c>
      <c r="AP24" s="30" t="s">
        <v>134</v>
      </c>
      <c r="AQ24" s="30">
        <v>0.56320000000000003</v>
      </c>
      <c r="AR24" s="30">
        <v>1229</v>
      </c>
      <c r="AS24" s="30">
        <v>1142</v>
      </c>
      <c r="AT24" s="30">
        <v>933</v>
      </c>
      <c r="AU24" s="53">
        <v>129980562</v>
      </c>
      <c r="AV24" s="54"/>
      <c r="AW24" s="54"/>
      <c r="AX24" s="54">
        <v>129980562</v>
      </c>
      <c r="AY24" s="54"/>
      <c r="AZ24" s="54"/>
      <c r="BA24" s="54">
        <v>0</v>
      </c>
      <c r="BB24" s="55">
        <v>0</v>
      </c>
      <c r="BC24" s="52">
        <v>96</v>
      </c>
      <c r="BD24" s="52">
        <v>210</v>
      </c>
      <c r="BE24" s="52">
        <v>0</v>
      </c>
      <c r="BF24" s="30"/>
      <c r="BG24" s="30" t="s">
        <v>135</v>
      </c>
      <c r="BH24" s="30" t="s">
        <v>136</v>
      </c>
      <c r="BI24" s="30" t="str">
        <f t="shared" si="18"/>
        <v>Test</v>
      </c>
      <c r="BJ24" s="47" t="s">
        <v>137</v>
      </c>
      <c r="BK24" s="56">
        <f t="shared" si="19"/>
        <v>2599611.2400000002</v>
      </c>
      <c r="BL24" s="57">
        <f t="shared" si="20"/>
        <v>247817.60644515193</v>
      </c>
      <c r="BM24" s="57">
        <f t="shared" si="5"/>
        <v>82605.86881505065</v>
      </c>
      <c r="BU24" s="58">
        <f t="shared" si="6"/>
        <v>247817.60644515196</v>
      </c>
      <c r="BV24" s="58">
        <f t="shared" si="7"/>
        <v>247817.60644515196</v>
      </c>
      <c r="BW24" s="58">
        <f t="shared" si="29"/>
        <v>495635.21289030393</v>
      </c>
      <c r="BX24" s="58">
        <f t="shared" si="9"/>
        <v>247817.60644515196</v>
      </c>
      <c r="BY24" s="58">
        <f t="shared" si="10"/>
        <v>247817.60644515196</v>
      </c>
      <c r="BZ24" s="58">
        <f t="shared" si="10"/>
        <v>247817.60644515196</v>
      </c>
      <c r="CA24" s="58">
        <f t="shared" si="10"/>
        <v>247817.60644515196</v>
      </c>
      <c r="CB24" s="58">
        <f t="shared" si="11"/>
        <v>991270.42578060785</v>
      </c>
      <c r="CC24" s="58">
        <f t="shared" si="12"/>
        <v>247817.60644515196</v>
      </c>
      <c r="CD24" s="58">
        <f t="shared" si="13"/>
        <v>247817.60644515196</v>
      </c>
      <c r="CE24" s="58">
        <f t="shared" si="13"/>
        <v>247817.60644515196</v>
      </c>
      <c r="CF24" s="58">
        <f t="shared" si="13"/>
        <v>247817.60644515196</v>
      </c>
      <c r="CG24" s="58">
        <f t="shared" si="14"/>
        <v>991270.42578060785</v>
      </c>
      <c r="CH24" s="58">
        <f t="shared" si="15"/>
        <v>247817.60644515196</v>
      </c>
      <c r="CI24" s="58">
        <f t="shared" si="16"/>
        <v>247817.60644515196</v>
      </c>
      <c r="CJ24" s="58">
        <f t="shared" si="16"/>
        <v>247817.60644515196</v>
      </c>
      <c r="CK24" s="58">
        <f t="shared" si="16"/>
        <v>247817.60644515196</v>
      </c>
      <c r="CL24" s="58">
        <f t="shared" si="17"/>
        <v>991270.42578060785</v>
      </c>
      <c r="CN24" s="59">
        <f t="shared" si="26"/>
        <v>2.538358174402315E-4</v>
      </c>
      <c r="CO24" s="64">
        <f t="shared" si="27"/>
        <v>5330552.1662448617</v>
      </c>
      <c r="CP24" s="2">
        <f t="shared" si="28"/>
        <v>7930163.4062448619</v>
      </c>
    </row>
    <row r="25" spans="1:94" ht="16.5" hidden="1" x14ac:dyDescent="0.3">
      <c r="A25" s="2">
        <v>20</v>
      </c>
      <c r="B25" s="47" t="s">
        <v>21</v>
      </c>
      <c r="C25" s="47"/>
      <c r="D25" s="30" t="s">
        <v>114</v>
      </c>
      <c r="E25" s="30" t="s">
        <v>115</v>
      </c>
      <c r="F25" s="30" t="s">
        <v>116</v>
      </c>
      <c r="G25" s="48" t="s">
        <v>117</v>
      </c>
      <c r="H25" s="48" t="s">
        <v>118</v>
      </c>
      <c r="I25" s="30" t="s">
        <v>119</v>
      </c>
      <c r="J25" s="30" t="s">
        <v>120</v>
      </c>
      <c r="K25" s="30" t="s">
        <v>121</v>
      </c>
      <c r="L25" s="30" t="s">
        <v>122</v>
      </c>
      <c r="M25" s="73">
        <v>2100228</v>
      </c>
      <c r="N25" s="48" t="s">
        <v>138</v>
      </c>
      <c r="O25" s="48" t="s">
        <v>216</v>
      </c>
      <c r="P25" s="30" t="s">
        <v>209</v>
      </c>
      <c r="Q25" s="30" t="s">
        <v>164</v>
      </c>
      <c r="R25" s="30" t="s">
        <v>142</v>
      </c>
      <c r="S25" s="61" t="s">
        <v>217</v>
      </c>
      <c r="T25" s="30" t="s">
        <v>218</v>
      </c>
      <c r="U25" s="48" t="s">
        <v>219</v>
      </c>
      <c r="V25" s="62" t="s">
        <v>145</v>
      </c>
      <c r="W25" s="48" t="s">
        <v>167</v>
      </c>
      <c r="X25" s="48" t="s">
        <v>127</v>
      </c>
      <c r="Y25" s="48" t="s">
        <v>128</v>
      </c>
      <c r="Z25" s="48" t="s">
        <v>128</v>
      </c>
      <c r="AA25" s="66" t="s">
        <v>148</v>
      </c>
      <c r="AB25" s="48" t="s">
        <v>149</v>
      </c>
      <c r="AC25" s="48" t="s">
        <v>150</v>
      </c>
      <c r="AD25" s="48" t="s">
        <v>168</v>
      </c>
      <c r="AE25" s="48"/>
      <c r="AF25" s="48" t="s">
        <v>151</v>
      </c>
      <c r="AG25" s="48" t="s">
        <v>152</v>
      </c>
      <c r="AH25" s="48" t="s">
        <v>153</v>
      </c>
      <c r="AI25" s="48"/>
      <c r="AJ25" s="50">
        <v>40117</v>
      </c>
      <c r="AK25" s="50">
        <v>40117</v>
      </c>
      <c r="AL25" s="51">
        <f t="shared" si="4"/>
        <v>16.010958904109589</v>
      </c>
      <c r="AM25" s="52">
        <v>8</v>
      </c>
      <c r="AN25" s="48" t="s">
        <v>220</v>
      </c>
      <c r="AO25" s="30" t="s">
        <v>133</v>
      </c>
      <c r="AP25" s="30" t="s">
        <v>134</v>
      </c>
      <c r="AQ25" s="30">
        <v>6.1347440000000004</v>
      </c>
      <c r="AR25" s="30">
        <v>960</v>
      </c>
      <c r="AS25" s="30">
        <v>840</v>
      </c>
      <c r="AT25" s="30">
        <v>1860</v>
      </c>
      <c r="AU25" s="53">
        <v>573123581</v>
      </c>
      <c r="AV25" s="54"/>
      <c r="AW25" s="54"/>
      <c r="AX25" s="54">
        <v>573123581</v>
      </c>
      <c r="AY25" s="54"/>
      <c r="AZ25" s="54"/>
      <c r="BA25" s="54">
        <v>1000</v>
      </c>
      <c r="BB25" s="55">
        <v>1000</v>
      </c>
      <c r="BC25" s="52">
        <v>96</v>
      </c>
      <c r="BD25" s="52">
        <v>194</v>
      </c>
      <c r="BE25" s="52">
        <v>0</v>
      </c>
      <c r="BF25" s="30"/>
      <c r="BG25" s="30" t="s">
        <v>135</v>
      </c>
      <c r="BH25" s="30" t="s">
        <v>136</v>
      </c>
      <c r="BI25" s="30" t="str">
        <f t="shared" si="18"/>
        <v>Test</v>
      </c>
      <c r="BJ25" s="47" t="s">
        <v>137</v>
      </c>
      <c r="BK25" s="56">
        <f t="shared" si="19"/>
        <v>11462471.620000001</v>
      </c>
      <c r="BL25" s="57">
        <f t="shared" si="20"/>
        <v>1092702.7230478828</v>
      </c>
      <c r="BM25" s="57">
        <f t="shared" si="5"/>
        <v>364234.24101596093</v>
      </c>
      <c r="BU25" s="58">
        <f t="shared" si="6"/>
        <v>1092702.7230478828</v>
      </c>
      <c r="BV25" s="58">
        <f t="shared" si="7"/>
        <v>1092702.7230478828</v>
      </c>
      <c r="BW25" s="58">
        <f t="shared" si="29"/>
        <v>2185405.4460957656</v>
      </c>
      <c r="BX25" s="58">
        <f t="shared" si="9"/>
        <v>1092702.7230478828</v>
      </c>
      <c r="BY25" s="58">
        <f t="shared" si="10"/>
        <v>1092702.7230478828</v>
      </c>
      <c r="BZ25" s="58">
        <f t="shared" si="10"/>
        <v>1092702.7230478828</v>
      </c>
      <c r="CA25" s="58">
        <f t="shared" si="10"/>
        <v>1092702.7230478828</v>
      </c>
      <c r="CB25" s="58">
        <f t="shared" si="11"/>
        <v>4370810.8921915311</v>
      </c>
      <c r="CC25" s="58">
        <f t="shared" si="12"/>
        <v>1092702.7230478828</v>
      </c>
      <c r="CD25" s="58">
        <f t="shared" si="13"/>
        <v>1092702.7230478828</v>
      </c>
      <c r="CE25" s="58">
        <f t="shared" si="13"/>
        <v>1092702.7230478828</v>
      </c>
      <c r="CF25" s="58">
        <f t="shared" si="13"/>
        <v>1092702.7230478828</v>
      </c>
      <c r="CG25" s="58">
        <f t="shared" si="14"/>
        <v>4370810.8921915311</v>
      </c>
      <c r="CH25" s="58">
        <f t="shared" si="15"/>
        <v>1092702.7230478828</v>
      </c>
      <c r="CI25" s="58">
        <f t="shared" si="16"/>
        <v>1092702.7230478828</v>
      </c>
      <c r="CJ25" s="58">
        <f t="shared" si="16"/>
        <v>1092702.7230478828</v>
      </c>
      <c r="CK25" s="58">
        <f t="shared" si="16"/>
        <v>1092702.7230478828</v>
      </c>
      <c r="CL25" s="58">
        <f t="shared" si="17"/>
        <v>4370810.8921915311</v>
      </c>
      <c r="CN25" s="59">
        <f t="shared" si="26"/>
        <v>1.1192388341682022E-3</v>
      </c>
      <c r="CO25" s="64">
        <f t="shared" si="27"/>
        <v>23504015.517532248</v>
      </c>
      <c r="CP25" s="2">
        <f t="shared" si="28"/>
        <v>34966487.137532249</v>
      </c>
    </row>
    <row r="26" spans="1:94" ht="16.5" hidden="1" x14ac:dyDescent="0.3">
      <c r="A26" s="2">
        <v>21</v>
      </c>
      <c r="B26" s="47" t="s">
        <v>21</v>
      </c>
      <c r="C26" s="47"/>
      <c r="D26" s="30" t="s">
        <v>114</v>
      </c>
      <c r="E26" s="30" t="s">
        <v>115</v>
      </c>
      <c r="F26" s="30" t="s">
        <v>116</v>
      </c>
      <c r="G26" s="48" t="s">
        <v>117</v>
      </c>
      <c r="H26" s="48" t="s">
        <v>118</v>
      </c>
      <c r="I26" s="30" t="s">
        <v>119</v>
      </c>
      <c r="J26" s="30" t="s">
        <v>120</v>
      </c>
      <c r="K26" s="30" t="s">
        <v>121</v>
      </c>
      <c r="L26" s="30" t="s">
        <v>122</v>
      </c>
      <c r="M26" s="73">
        <v>2100234</v>
      </c>
      <c r="N26" s="48" t="s">
        <v>138</v>
      </c>
      <c r="O26" s="48" t="s">
        <v>221</v>
      </c>
      <c r="P26" s="30" t="s">
        <v>222</v>
      </c>
      <c r="Q26" s="30" t="s">
        <v>222</v>
      </c>
      <c r="R26" s="30" t="s">
        <v>173</v>
      </c>
      <c r="S26" s="61" t="s">
        <v>223</v>
      </c>
      <c r="T26" s="30" t="s">
        <v>224</v>
      </c>
      <c r="U26" s="48" t="s">
        <v>219</v>
      </c>
      <c r="V26" s="62" t="s">
        <v>145</v>
      </c>
      <c r="W26" s="48" t="s">
        <v>176</v>
      </c>
      <c r="X26" s="48" t="s">
        <v>127</v>
      </c>
      <c r="Y26" s="48" t="s">
        <v>128</v>
      </c>
      <c r="Z26" s="48" t="s">
        <v>128</v>
      </c>
      <c r="AA26" s="20" t="s">
        <v>148</v>
      </c>
      <c r="AB26" s="72" t="s">
        <v>177</v>
      </c>
      <c r="AC26" s="48" t="s">
        <v>150</v>
      </c>
      <c r="AD26" s="48" t="s">
        <v>178</v>
      </c>
      <c r="AE26" s="48"/>
      <c r="AF26" s="48" t="s">
        <v>179</v>
      </c>
      <c r="AG26" s="48" t="s">
        <v>152</v>
      </c>
      <c r="AH26" s="48" t="s">
        <v>180</v>
      </c>
      <c r="AI26" s="48"/>
      <c r="AJ26" s="50">
        <v>40117</v>
      </c>
      <c r="AK26" s="50">
        <v>40117</v>
      </c>
      <c r="AL26" s="51">
        <f t="shared" si="4"/>
        <v>16.010958904109589</v>
      </c>
      <c r="AM26" s="52">
        <v>8</v>
      </c>
      <c r="AN26" s="48" t="s">
        <v>132</v>
      </c>
      <c r="AO26" s="30" t="s">
        <v>133</v>
      </c>
      <c r="AP26" s="30" t="s">
        <v>134</v>
      </c>
      <c r="AQ26" s="30">
        <v>0.57200000000000006</v>
      </c>
      <c r="AR26" s="30">
        <v>1229</v>
      </c>
      <c r="AS26" s="30">
        <v>1127</v>
      </c>
      <c r="AT26" s="30">
        <v>933</v>
      </c>
      <c r="AU26" s="53">
        <v>63250000</v>
      </c>
      <c r="AV26" s="54"/>
      <c r="AW26" s="54"/>
      <c r="AX26" s="54">
        <v>63250000</v>
      </c>
      <c r="AY26" s="54"/>
      <c r="AZ26" s="54"/>
      <c r="BA26" s="54">
        <v>1000</v>
      </c>
      <c r="BB26" s="55">
        <v>1000</v>
      </c>
      <c r="BC26" s="52">
        <v>96</v>
      </c>
      <c r="BD26" s="52">
        <v>194</v>
      </c>
      <c r="BE26" s="52">
        <v>0</v>
      </c>
      <c r="BF26" s="30"/>
      <c r="BG26" s="30" t="s">
        <v>135</v>
      </c>
      <c r="BH26" s="30" t="s">
        <v>136</v>
      </c>
      <c r="BI26" s="30" t="str">
        <f t="shared" si="18"/>
        <v>Test</v>
      </c>
      <c r="BJ26" s="47" t="s">
        <v>137</v>
      </c>
      <c r="BK26" s="56">
        <f t="shared" si="19"/>
        <v>1265000</v>
      </c>
      <c r="BL26" s="57">
        <f t="shared" si="20"/>
        <v>120590.82809363342</v>
      </c>
      <c r="BM26" s="57">
        <f t="shared" si="5"/>
        <v>40196.942697877806</v>
      </c>
      <c r="BU26" s="58">
        <f t="shared" si="6"/>
        <v>120590.82809363342</v>
      </c>
      <c r="BV26" s="58">
        <f t="shared" si="7"/>
        <v>120590.82809363342</v>
      </c>
      <c r="BW26" s="58">
        <f t="shared" si="29"/>
        <v>241181.65618726684</v>
      </c>
      <c r="BX26" s="58">
        <f t="shared" si="9"/>
        <v>120590.82809363342</v>
      </c>
      <c r="BY26" s="58">
        <f t="shared" ref="BY26:CA45" si="30">BX26</f>
        <v>120590.82809363342</v>
      </c>
      <c r="BZ26" s="58">
        <f t="shared" si="30"/>
        <v>120590.82809363342</v>
      </c>
      <c r="CA26" s="58">
        <f t="shared" si="30"/>
        <v>120590.82809363342</v>
      </c>
      <c r="CB26" s="58">
        <f t="shared" si="11"/>
        <v>482363.31237453368</v>
      </c>
      <c r="CC26" s="58">
        <f t="shared" si="12"/>
        <v>120590.82809363342</v>
      </c>
      <c r="CD26" s="58">
        <f t="shared" ref="CD26:CF45" si="31">CC26</f>
        <v>120590.82809363342</v>
      </c>
      <c r="CE26" s="58">
        <f t="shared" si="31"/>
        <v>120590.82809363342</v>
      </c>
      <c r="CF26" s="58">
        <f t="shared" si="31"/>
        <v>120590.82809363342</v>
      </c>
      <c r="CG26" s="58">
        <f t="shared" si="14"/>
        <v>482363.31237453368</v>
      </c>
      <c r="CH26" s="58">
        <f t="shared" si="15"/>
        <v>120590.82809363342</v>
      </c>
      <c r="CI26" s="58">
        <f t="shared" si="16"/>
        <v>120590.82809363342</v>
      </c>
      <c r="CJ26" s="58">
        <f t="shared" si="16"/>
        <v>120590.82809363342</v>
      </c>
      <c r="CK26" s="58">
        <f t="shared" si="16"/>
        <v>120590.82809363342</v>
      </c>
      <c r="CL26" s="58">
        <f t="shared" si="17"/>
        <v>482363.31237453368</v>
      </c>
      <c r="CN26" s="59">
        <f t="shared" si="26"/>
        <v>1.2351935709506044E-4</v>
      </c>
      <c r="CO26" s="64">
        <f t="shared" si="27"/>
        <v>2593906.4989962694</v>
      </c>
      <c r="CP26" s="2">
        <f t="shared" si="28"/>
        <v>3858906.4989962694</v>
      </c>
    </row>
    <row r="27" spans="1:94" ht="16.5" hidden="1" x14ac:dyDescent="0.3">
      <c r="A27" s="2">
        <v>22</v>
      </c>
      <c r="B27" s="47" t="s">
        <v>21</v>
      </c>
      <c r="C27" s="47"/>
      <c r="D27" s="30" t="s">
        <v>114</v>
      </c>
      <c r="E27" s="30" t="s">
        <v>115</v>
      </c>
      <c r="F27" s="30" t="s">
        <v>116</v>
      </c>
      <c r="G27" s="48" t="s">
        <v>117</v>
      </c>
      <c r="H27" s="48" t="s">
        <v>118</v>
      </c>
      <c r="I27" s="30" t="s">
        <v>119</v>
      </c>
      <c r="J27" s="30" t="s">
        <v>120</v>
      </c>
      <c r="K27" s="30" t="s">
        <v>121</v>
      </c>
      <c r="L27" s="30" t="s">
        <v>122</v>
      </c>
      <c r="M27" s="73">
        <v>2100235</v>
      </c>
      <c r="N27" s="48" t="s">
        <v>138</v>
      </c>
      <c r="O27" s="48" t="s">
        <v>225</v>
      </c>
      <c r="P27" s="30" t="s">
        <v>226</v>
      </c>
      <c r="Q27" s="30" t="s">
        <v>164</v>
      </c>
      <c r="R27" s="30" t="s">
        <v>142</v>
      </c>
      <c r="S27" s="61" t="s">
        <v>227</v>
      </c>
      <c r="T27" s="30" t="s">
        <v>228</v>
      </c>
      <c r="U27" s="48" t="s">
        <v>219</v>
      </c>
      <c r="V27" s="62" t="s">
        <v>145</v>
      </c>
      <c r="W27" s="48" t="s">
        <v>167</v>
      </c>
      <c r="X27" s="48" t="s">
        <v>127</v>
      </c>
      <c r="Y27" s="48" t="s">
        <v>128</v>
      </c>
      <c r="Z27" s="48" t="s">
        <v>128</v>
      </c>
      <c r="AA27" s="66" t="s">
        <v>148</v>
      </c>
      <c r="AB27" s="48" t="s">
        <v>149</v>
      </c>
      <c r="AC27" s="48" t="s">
        <v>150</v>
      </c>
      <c r="AD27" s="48" t="s">
        <v>229</v>
      </c>
      <c r="AE27" s="48"/>
      <c r="AF27" s="48" t="s">
        <v>151</v>
      </c>
      <c r="AG27" s="48" t="s">
        <v>152</v>
      </c>
      <c r="AH27" s="48" t="s">
        <v>153</v>
      </c>
      <c r="AI27" s="48"/>
      <c r="AJ27" s="50">
        <v>40117</v>
      </c>
      <c r="AK27" s="50">
        <v>40117</v>
      </c>
      <c r="AL27" s="51">
        <f t="shared" si="4"/>
        <v>16.010958904109589</v>
      </c>
      <c r="AM27" s="52">
        <v>8</v>
      </c>
      <c r="AN27" s="48" t="s">
        <v>212</v>
      </c>
      <c r="AO27" s="30" t="s">
        <v>133</v>
      </c>
      <c r="AP27" s="30" t="s">
        <v>134</v>
      </c>
      <c r="AQ27" s="30">
        <v>7.3159679999999998</v>
      </c>
      <c r="AR27" s="30">
        <v>960</v>
      </c>
      <c r="AS27" s="30">
        <v>840</v>
      </c>
      <c r="AT27" s="30">
        <v>1860</v>
      </c>
      <c r="AU27" s="53">
        <v>207900000</v>
      </c>
      <c r="AV27" s="54"/>
      <c r="AW27" s="54"/>
      <c r="AX27" s="54">
        <v>207900000</v>
      </c>
      <c r="AY27" s="54"/>
      <c r="AZ27" s="54"/>
      <c r="BA27" s="54">
        <v>1000</v>
      </c>
      <c r="BB27" s="55">
        <v>1000</v>
      </c>
      <c r="BC27" s="52">
        <v>96</v>
      </c>
      <c r="BD27" s="52">
        <v>194</v>
      </c>
      <c r="BE27" s="52">
        <v>0</v>
      </c>
      <c r="BF27" s="30"/>
      <c r="BG27" s="30" t="s">
        <v>135</v>
      </c>
      <c r="BH27" s="30" t="s">
        <v>136</v>
      </c>
      <c r="BI27" s="30" t="str">
        <f t="shared" si="18"/>
        <v>Test</v>
      </c>
      <c r="BJ27" s="47" t="s">
        <v>137</v>
      </c>
      <c r="BK27" s="56">
        <f t="shared" si="19"/>
        <v>4158000</v>
      </c>
      <c r="BL27" s="57">
        <f t="shared" si="20"/>
        <v>396376.80886429065</v>
      </c>
      <c r="BM27" s="57">
        <f t="shared" si="5"/>
        <v>132125.60295476354</v>
      </c>
      <c r="BU27" s="58">
        <f t="shared" si="6"/>
        <v>396376.80886429059</v>
      </c>
      <c r="BV27" s="58">
        <f t="shared" si="7"/>
        <v>396376.80886429059</v>
      </c>
      <c r="BW27" s="58">
        <f t="shared" si="29"/>
        <v>792753.61772858119</v>
      </c>
      <c r="BX27" s="58">
        <f t="shared" si="9"/>
        <v>396376.80886429059</v>
      </c>
      <c r="BY27" s="58">
        <f t="shared" si="30"/>
        <v>396376.80886429059</v>
      </c>
      <c r="BZ27" s="58">
        <f t="shared" si="30"/>
        <v>396376.80886429059</v>
      </c>
      <c r="CA27" s="58">
        <f t="shared" si="30"/>
        <v>396376.80886429059</v>
      </c>
      <c r="CB27" s="58">
        <f t="shared" si="11"/>
        <v>1585507.2354571624</v>
      </c>
      <c r="CC27" s="58">
        <f t="shared" si="12"/>
        <v>396376.80886429059</v>
      </c>
      <c r="CD27" s="58">
        <f t="shared" si="31"/>
        <v>396376.80886429059</v>
      </c>
      <c r="CE27" s="58">
        <f t="shared" si="31"/>
        <v>396376.80886429059</v>
      </c>
      <c r="CF27" s="58">
        <f t="shared" si="31"/>
        <v>396376.80886429059</v>
      </c>
      <c r="CG27" s="58">
        <f t="shared" si="14"/>
        <v>1585507.2354571624</v>
      </c>
      <c r="CH27" s="58">
        <f t="shared" si="15"/>
        <v>396376.80886429059</v>
      </c>
      <c r="CI27" s="58">
        <f t="shared" si="16"/>
        <v>396376.80886429059</v>
      </c>
      <c r="CJ27" s="58">
        <f t="shared" si="16"/>
        <v>396376.80886429059</v>
      </c>
      <c r="CK27" s="58">
        <f t="shared" si="16"/>
        <v>396376.80886429059</v>
      </c>
      <c r="CL27" s="58">
        <f t="shared" si="17"/>
        <v>1585507.2354571624</v>
      </c>
      <c r="CN27" s="59">
        <f t="shared" si="26"/>
        <v>4.0600275636463339E-4</v>
      </c>
      <c r="CO27" s="64">
        <f t="shared" si="27"/>
        <v>8526057.8836573008</v>
      </c>
      <c r="CP27" s="2">
        <f t="shared" si="28"/>
        <v>12684057.883657301</v>
      </c>
    </row>
    <row r="28" spans="1:94" ht="16.5" hidden="1" x14ac:dyDescent="0.3">
      <c r="A28" s="2">
        <v>23</v>
      </c>
      <c r="B28" s="47" t="s">
        <v>21</v>
      </c>
      <c r="C28" s="47"/>
      <c r="D28" s="30" t="s">
        <v>114</v>
      </c>
      <c r="E28" s="30" t="s">
        <v>115</v>
      </c>
      <c r="F28" s="30" t="s">
        <v>116</v>
      </c>
      <c r="G28" s="48" t="s">
        <v>117</v>
      </c>
      <c r="H28" s="48" t="s">
        <v>118</v>
      </c>
      <c r="I28" s="30" t="s">
        <v>119</v>
      </c>
      <c r="J28" s="30" t="s">
        <v>120</v>
      </c>
      <c r="K28" s="30" t="s">
        <v>121</v>
      </c>
      <c r="L28" s="30" t="s">
        <v>122</v>
      </c>
      <c r="M28" s="73">
        <v>2100237</v>
      </c>
      <c r="N28" s="48" t="s">
        <v>138</v>
      </c>
      <c r="O28" s="48" t="s">
        <v>230</v>
      </c>
      <c r="P28" s="30" t="s">
        <v>231</v>
      </c>
      <c r="Q28" s="30" t="s">
        <v>232</v>
      </c>
      <c r="R28" s="30" t="s">
        <v>142</v>
      </c>
      <c r="S28" s="61">
        <v>310457965</v>
      </c>
      <c r="T28" s="30" t="s">
        <v>233</v>
      </c>
      <c r="U28" s="48" t="s">
        <v>219</v>
      </c>
      <c r="V28" s="62" t="s">
        <v>145</v>
      </c>
      <c r="W28" s="48" t="s">
        <v>146</v>
      </c>
      <c r="X28" s="48" t="s">
        <v>147</v>
      </c>
      <c r="Y28" s="48" t="s">
        <v>128</v>
      </c>
      <c r="Z28" s="48" t="s">
        <v>128</v>
      </c>
      <c r="AA28" s="20" t="s">
        <v>148</v>
      </c>
      <c r="AB28" s="48" t="s">
        <v>149</v>
      </c>
      <c r="AC28" s="48" t="s">
        <v>150</v>
      </c>
      <c r="AD28" s="48"/>
      <c r="AE28" s="48"/>
      <c r="AF28" s="48" t="s">
        <v>151</v>
      </c>
      <c r="AG28" s="48" t="s">
        <v>152</v>
      </c>
      <c r="AH28" s="48" t="s">
        <v>153</v>
      </c>
      <c r="AI28" s="48"/>
      <c r="AJ28" s="50">
        <v>40268</v>
      </c>
      <c r="AK28" s="50">
        <v>40268</v>
      </c>
      <c r="AL28" s="51">
        <f t="shared" si="4"/>
        <v>15.597260273972603</v>
      </c>
      <c r="AM28" s="52">
        <v>8</v>
      </c>
      <c r="AN28" s="48" t="s">
        <v>234</v>
      </c>
      <c r="AO28" s="30" t="s">
        <v>133</v>
      </c>
      <c r="AP28" s="30" t="s">
        <v>134</v>
      </c>
      <c r="AQ28" s="30">
        <v>9.8308320000000009</v>
      </c>
      <c r="AR28" s="30">
        <v>950</v>
      </c>
      <c r="AS28" s="30">
        <v>1250</v>
      </c>
      <c r="AT28" s="30">
        <v>1800</v>
      </c>
      <c r="AU28" s="53">
        <v>942794223</v>
      </c>
      <c r="AV28" s="54"/>
      <c r="AW28" s="54"/>
      <c r="AX28" s="54">
        <v>942794223</v>
      </c>
      <c r="AY28" s="54"/>
      <c r="AZ28" s="54"/>
      <c r="BA28" s="54">
        <v>1000</v>
      </c>
      <c r="BB28" s="55">
        <v>1000</v>
      </c>
      <c r="BC28" s="52">
        <v>96</v>
      </c>
      <c r="BD28" s="52">
        <v>189</v>
      </c>
      <c r="BE28" s="52">
        <v>0</v>
      </c>
      <c r="BF28" s="30"/>
      <c r="BG28" s="30" t="s">
        <v>135</v>
      </c>
      <c r="BH28" s="30" t="s">
        <v>136</v>
      </c>
      <c r="BI28" s="30" t="str">
        <f t="shared" si="18"/>
        <v>Test</v>
      </c>
      <c r="BJ28" s="47" t="s">
        <v>137</v>
      </c>
      <c r="BK28" s="56">
        <f t="shared" si="19"/>
        <v>18855884.460000001</v>
      </c>
      <c r="BL28" s="57">
        <f t="shared" si="20"/>
        <v>1797507.2896990306</v>
      </c>
      <c r="BM28" s="57">
        <f t="shared" si="5"/>
        <v>599169.09656634356</v>
      </c>
      <c r="BP28" s="63">
        <f>BM28*3</f>
        <v>1797507.2896990306</v>
      </c>
      <c r="BQ28" s="63">
        <f>BP28</f>
        <v>1797507.2896990306</v>
      </c>
      <c r="BR28" s="63">
        <f>SUM(BN28:BQ28)</f>
        <v>3595014.5793980611</v>
      </c>
      <c r="BS28" s="63">
        <f>BQ28</f>
        <v>1797507.2896990306</v>
      </c>
      <c r="BT28" s="63">
        <f>BS28</f>
        <v>1797507.2896990306</v>
      </c>
      <c r="BU28" s="58">
        <f t="shared" si="6"/>
        <v>1797507.2896990306</v>
      </c>
      <c r="BV28" s="58">
        <f t="shared" si="7"/>
        <v>1797507.2896990306</v>
      </c>
      <c r="BW28" s="58">
        <f t="shared" si="29"/>
        <v>7190029.1587961223</v>
      </c>
      <c r="BX28" s="58">
        <f t="shared" si="9"/>
        <v>1797507.2896990306</v>
      </c>
      <c r="BY28" s="58">
        <f t="shared" si="30"/>
        <v>1797507.2896990306</v>
      </c>
      <c r="BZ28" s="58">
        <f t="shared" si="30"/>
        <v>1797507.2896990306</v>
      </c>
      <c r="CA28" s="58">
        <f t="shared" si="30"/>
        <v>1797507.2896990306</v>
      </c>
      <c r="CB28" s="58">
        <f t="shared" si="11"/>
        <v>7190029.1587961223</v>
      </c>
      <c r="CC28" s="58">
        <f t="shared" si="12"/>
        <v>1797507.2896990306</v>
      </c>
      <c r="CD28" s="58">
        <f t="shared" si="31"/>
        <v>1797507.2896990306</v>
      </c>
      <c r="CE28" s="58">
        <f t="shared" si="31"/>
        <v>1797507.2896990306</v>
      </c>
      <c r="CF28" s="58">
        <f t="shared" si="31"/>
        <v>1797507.2896990306</v>
      </c>
      <c r="CG28" s="58">
        <f t="shared" si="14"/>
        <v>7190029.1587961223</v>
      </c>
      <c r="CH28" s="58">
        <f t="shared" si="15"/>
        <v>1797507.2896990306</v>
      </c>
      <c r="CI28" s="58">
        <f t="shared" si="16"/>
        <v>1797507.2896990306</v>
      </c>
      <c r="CJ28" s="58">
        <f t="shared" si="16"/>
        <v>1797507.2896990306</v>
      </c>
      <c r="CK28" s="58">
        <f t="shared" si="16"/>
        <v>1797507.2896990306</v>
      </c>
      <c r="CL28" s="58">
        <f t="shared" si="17"/>
        <v>7190029.1587961223</v>
      </c>
      <c r="CN28" s="59">
        <f t="shared" si="26"/>
        <v>1.8411594671604275E-3</v>
      </c>
      <c r="CO28" s="64">
        <f t="shared" si="27"/>
        <v>38664348.810368977</v>
      </c>
      <c r="CP28" s="2">
        <f t="shared" si="28"/>
        <v>57520233.270368978</v>
      </c>
    </row>
    <row r="29" spans="1:94" ht="16.5" hidden="1" x14ac:dyDescent="0.3">
      <c r="A29" s="2">
        <v>24</v>
      </c>
      <c r="B29" s="47" t="s">
        <v>21</v>
      </c>
      <c r="C29" s="47"/>
      <c r="D29" s="30" t="s">
        <v>114</v>
      </c>
      <c r="E29" s="30" t="s">
        <v>115</v>
      </c>
      <c r="F29" s="30" t="s">
        <v>116</v>
      </c>
      <c r="G29" s="48" t="s">
        <v>117</v>
      </c>
      <c r="H29" s="48" t="s">
        <v>118</v>
      </c>
      <c r="I29" s="30" t="s">
        <v>119</v>
      </c>
      <c r="J29" s="30" t="s">
        <v>120</v>
      </c>
      <c r="K29" s="30" t="s">
        <v>121</v>
      </c>
      <c r="L29" s="30" t="s">
        <v>122</v>
      </c>
      <c r="M29" s="73">
        <v>2100238</v>
      </c>
      <c r="N29" s="48" t="s">
        <v>138</v>
      </c>
      <c r="O29" s="48" t="s">
        <v>235</v>
      </c>
      <c r="P29" s="30" t="s">
        <v>172</v>
      </c>
      <c r="Q29" s="30" t="s">
        <v>172</v>
      </c>
      <c r="R29" s="30" t="s">
        <v>173</v>
      </c>
      <c r="S29" s="61" t="s">
        <v>236</v>
      </c>
      <c r="T29" s="30" t="s">
        <v>237</v>
      </c>
      <c r="U29" s="48" t="s">
        <v>219</v>
      </c>
      <c r="V29" s="62" t="s">
        <v>145</v>
      </c>
      <c r="W29" s="48" t="s">
        <v>176</v>
      </c>
      <c r="X29" s="48" t="s">
        <v>127</v>
      </c>
      <c r="Y29" s="48" t="s">
        <v>128</v>
      </c>
      <c r="Z29" s="48" t="s">
        <v>128</v>
      </c>
      <c r="AA29" s="20" t="s">
        <v>148</v>
      </c>
      <c r="AB29" s="72" t="s">
        <v>177</v>
      </c>
      <c r="AC29" s="48" t="s">
        <v>150</v>
      </c>
      <c r="AD29" s="48" t="s">
        <v>178</v>
      </c>
      <c r="AE29" s="48"/>
      <c r="AF29" s="48" t="s">
        <v>179</v>
      </c>
      <c r="AG29" s="48" t="s">
        <v>152</v>
      </c>
      <c r="AH29" s="48" t="s">
        <v>180</v>
      </c>
      <c r="AI29" s="48"/>
      <c r="AJ29" s="50">
        <v>40268</v>
      </c>
      <c r="AK29" s="50">
        <v>40268</v>
      </c>
      <c r="AL29" s="51">
        <f t="shared" si="4"/>
        <v>15.597260273972603</v>
      </c>
      <c r="AM29" s="52">
        <v>8</v>
      </c>
      <c r="AN29" s="48" t="s">
        <v>157</v>
      </c>
      <c r="AO29" s="30" t="s">
        <v>133</v>
      </c>
      <c r="AP29" s="30" t="s">
        <v>134</v>
      </c>
      <c r="AQ29" s="30">
        <v>0.56320000000000003</v>
      </c>
      <c r="AR29" s="30">
        <v>1229</v>
      </c>
      <c r="AS29" s="30">
        <v>1142</v>
      </c>
      <c r="AT29" s="30">
        <v>933</v>
      </c>
      <c r="AU29" s="53">
        <v>176181360</v>
      </c>
      <c r="AV29" s="54"/>
      <c r="AW29" s="54"/>
      <c r="AX29" s="54">
        <v>176181360</v>
      </c>
      <c r="AY29" s="54"/>
      <c r="AZ29" s="54"/>
      <c r="BA29" s="54">
        <v>1000</v>
      </c>
      <c r="BB29" s="55">
        <v>1000</v>
      </c>
      <c r="BC29" s="52">
        <v>96</v>
      </c>
      <c r="BD29" s="52">
        <v>189</v>
      </c>
      <c r="BE29" s="52">
        <v>0</v>
      </c>
      <c r="BF29" s="30"/>
      <c r="BG29" s="30" t="s">
        <v>135</v>
      </c>
      <c r="BH29" s="30" t="s">
        <v>136</v>
      </c>
      <c r="BI29" s="30" t="str">
        <f t="shared" si="18"/>
        <v>Test</v>
      </c>
      <c r="BJ29" s="47" t="s">
        <v>137</v>
      </c>
      <c r="BK29" s="56">
        <f t="shared" si="19"/>
        <v>3523627.2</v>
      </c>
      <c r="BL29" s="57">
        <f t="shared" si="20"/>
        <v>335902.86319466471</v>
      </c>
      <c r="BM29" s="57">
        <f t="shared" si="5"/>
        <v>111967.62106488824</v>
      </c>
      <c r="BU29" s="58">
        <f t="shared" si="6"/>
        <v>335902.86319466471</v>
      </c>
      <c r="BV29" s="58">
        <f t="shared" si="7"/>
        <v>335902.86319466471</v>
      </c>
      <c r="BW29" s="58">
        <f t="shared" si="29"/>
        <v>671805.72638932941</v>
      </c>
      <c r="BX29" s="58">
        <f t="shared" si="9"/>
        <v>335902.86319466471</v>
      </c>
      <c r="BY29" s="58">
        <f t="shared" si="30"/>
        <v>335902.86319466471</v>
      </c>
      <c r="BZ29" s="58">
        <f t="shared" si="30"/>
        <v>335902.86319466471</v>
      </c>
      <c r="CA29" s="58">
        <f t="shared" si="30"/>
        <v>335902.86319466471</v>
      </c>
      <c r="CB29" s="58">
        <f t="shared" si="11"/>
        <v>1343611.4527786588</v>
      </c>
      <c r="CC29" s="58">
        <f t="shared" si="12"/>
        <v>335902.86319466471</v>
      </c>
      <c r="CD29" s="58">
        <f t="shared" si="31"/>
        <v>335902.86319466471</v>
      </c>
      <c r="CE29" s="58">
        <f t="shared" si="31"/>
        <v>335902.86319466471</v>
      </c>
      <c r="CF29" s="58">
        <f t="shared" si="31"/>
        <v>335902.86319466471</v>
      </c>
      <c r="CG29" s="58">
        <f t="shared" si="14"/>
        <v>1343611.4527786588</v>
      </c>
      <c r="CH29" s="58">
        <f t="shared" si="15"/>
        <v>335902.86319466471</v>
      </c>
      <c r="CI29" s="58">
        <f t="shared" si="16"/>
        <v>335902.86319466471</v>
      </c>
      <c r="CJ29" s="58">
        <f t="shared" si="16"/>
        <v>335902.86319466471</v>
      </c>
      <c r="CK29" s="58">
        <f t="shared" si="16"/>
        <v>335902.86319466471</v>
      </c>
      <c r="CL29" s="58">
        <f t="shared" si="17"/>
        <v>1343611.4527786588</v>
      </c>
      <c r="CN29" s="59">
        <f t="shared" si="26"/>
        <v>3.4406021058234619E-4</v>
      </c>
      <c r="CO29" s="64">
        <f t="shared" si="27"/>
        <v>7225264.4222292705</v>
      </c>
      <c r="CP29" s="2">
        <f t="shared" si="28"/>
        <v>10748891.622229271</v>
      </c>
    </row>
    <row r="30" spans="1:94" ht="16.5" hidden="1" x14ac:dyDescent="0.3">
      <c r="A30" s="2">
        <v>25</v>
      </c>
      <c r="B30" s="47" t="s">
        <v>21</v>
      </c>
      <c r="C30" s="47"/>
      <c r="D30" s="30" t="s">
        <v>114</v>
      </c>
      <c r="E30" s="30" t="s">
        <v>115</v>
      </c>
      <c r="F30" s="30" t="s">
        <v>116</v>
      </c>
      <c r="G30" s="48" t="s">
        <v>117</v>
      </c>
      <c r="H30" s="48" t="s">
        <v>118</v>
      </c>
      <c r="I30" s="30" t="s">
        <v>119</v>
      </c>
      <c r="J30" s="30" t="s">
        <v>120</v>
      </c>
      <c r="K30" s="30" t="s">
        <v>121</v>
      </c>
      <c r="L30" s="30" t="s">
        <v>122</v>
      </c>
      <c r="M30" s="73">
        <v>2100239</v>
      </c>
      <c r="N30" s="48" t="s">
        <v>138</v>
      </c>
      <c r="O30" s="48" t="s">
        <v>238</v>
      </c>
      <c r="P30" s="30" t="s">
        <v>231</v>
      </c>
      <c r="Q30" s="30" t="s">
        <v>232</v>
      </c>
      <c r="R30" s="30" t="s">
        <v>142</v>
      </c>
      <c r="S30" s="61">
        <v>310460761</v>
      </c>
      <c r="T30" s="30" t="s">
        <v>239</v>
      </c>
      <c r="U30" s="48" t="s">
        <v>219</v>
      </c>
      <c r="V30" s="62" t="s">
        <v>145</v>
      </c>
      <c r="W30" s="48" t="s">
        <v>146</v>
      </c>
      <c r="X30" s="48" t="s">
        <v>147</v>
      </c>
      <c r="Y30" s="48" t="s">
        <v>128</v>
      </c>
      <c r="Z30" s="48" t="s">
        <v>128</v>
      </c>
      <c r="AA30" s="20" t="s">
        <v>148</v>
      </c>
      <c r="AB30" s="48" t="s">
        <v>149</v>
      </c>
      <c r="AC30" s="48" t="s">
        <v>150</v>
      </c>
      <c r="AD30" s="48"/>
      <c r="AE30" s="48"/>
      <c r="AF30" s="48" t="s">
        <v>151</v>
      </c>
      <c r="AG30" s="48" t="s">
        <v>152</v>
      </c>
      <c r="AH30" s="48" t="s">
        <v>153</v>
      </c>
      <c r="AI30" s="48"/>
      <c r="AJ30" s="50">
        <v>40268</v>
      </c>
      <c r="AK30" s="50">
        <v>40268</v>
      </c>
      <c r="AL30" s="51">
        <f t="shared" si="4"/>
        <v>15.597260273972603</v>
      </c>
      <c r="AM30" s="52">
        <v>8</v>
      </c>
      <c r="AN30" s="48" t="s">
        <v>234</v>
      </c>
      <c r="AO30" s="30" t="s">
        <v>133</v>
      </c>
      <c r="AP30" s="30" t="s">
        <v>134</v>
      </c>
      <c r="AQ30" s="30">
        <v>9.8308320000000009</v>
      </c>
      <c r="AR30" s="30">
        <v>950</v>
      </c>
      <c r="AS30" s="30">
        <v>1250</v>
      </c>
      <c r="AT30" s="30">
        <v>1800</v>
      </c>
      <c r="AU30" s="53">
        <v>913831710</v>
      </c>
      <c r="AV30" s="54"/>
      <c r="AW30" s="54"/>
      <c r="AX30" s="54">
        <v>913831710</v>
      </c>
      <c r="AY30" s="54"/>
      <c r="AZ30" s="54"/>
      <c r="BA30" s="54">
        <v>1000</v>
      </c>
      <c r="BB30" s="55">
        <v>1000</v>
      </c>
      <c r="BC30" s="52">
        <v>96</v>
      </c>
      <c r="BD30" s="52">
        <v>189</v>
      </c>
      <c r="BE30" s="52">
        <v>0</v>
      </c>
      <c r="BF30" s="30"/>
      <c r="BG30" s="30" t="s">
        <v>135</v>
      </c>
      <c r="BH30" s="30" t="s">
        <v>136</v>
      </c>
      <c r="BI30" s="30" t="str">
        <f t="shared" si="18"/>
        <v>Test</v>
      </c>
      <c r="BJ30" s="47" t="s">
        <v>137</v>
      </c>
      <c r="BK30" s="56">
        <f t="shared" si="19"/>
        <v>18276634.199999999</v>
      </c>
      <c r="BL30" s="57">
        <f t="shared" si="20"/>
        <v>1742288.105092823</v>
      </c>
      <c r="BM30" s="57">
        <f t="shared" si="5"/>
        <v>580762.70169760764</v>
      </c>
      <c r="BP30" s="63">
        <f>BM30*3</f>
        <v>1742288.105092823</v>
      </c>
      <c r="BQ30" s="63">
        <f>BP30</f>
        <v>1742288.105092823</v>
      </c>
      <c r="BR30" s="63">
        <f>SUM(BN30:BQ30)</f>
        <v>3484576.2101856461</v>
      </c>
      <c r="BS30" s="63">
        <f>BQ30</f>
        <v>1742288.105092823</v>
      </c>
      <c r="BT30" s="63">
        <f>BS30</f>
        <v>1742288.105092823</v>
      </c>
      <c r="BU30" s="58">
        <f t="shared" si="6"/>
        <v>1742288.105092823</v>
      </c>
      <c r="BV30" s="58">
        <f t="shared" si="7"/>
        <v>1742288.105092823</v>
      </c>
      <c r="BW30" s="58">
        <f t="shared" si="29"/>
        <v>6969152.4203712922</v>
      </c>
      <c r="BX30" s="58">
        <f t="shared" si="9"/>
        <v>1742288.105092823</v>
      </c>
      <c r="BY30" s="58">
        <f t="shared" si="30"/>
        <v>1742288.105092823</v>
      </c>
      <c r="BZ30" s="58">
        <f t="shared" si="30"/>
        <v>1742288.105092823</v>
      </c>
      <c r="CA30" s="58">
        <f t="shared" si="30"/>
        <v>1742288.105092823</v>
      </c>
      <c r="CB30" s="58">
        <f t="shared" si="11"/>
        <v>6969152.4203712922</v>
      </c>
      <c r="CC30" s="58">
        <f t="shared" si="12"/>
        <v>1742288.105092823</v>
      </c>
      <c r="CD30" s="58">
        <f t="shared" si="31"/>
        <v>1742288.105092823</v>
      </c>
      <c r="CE30" s="58">
        <f t="shared" si="31"/>
        <v>1742288.105092823</v>
      </c>
      <c r="CF30" s="58">
        <f t="shared" si="31"/>
        <v>1742288.105092823</v>
      </c>
      <c r="CG30" s="58">
        <f t="shared" si="14"/>
        <v>6969152.4203712922</v>
      </c>
      <c r="CH30" s="58">
        <f t="shared" si="15"/>
        <v>1742288.105092823</v>
      </c>
      <c r="CI30" s="58">
        <f t="shared" si="16"/>
        <v>1742288.105092823</v>
      </c>
      <c r="CJ30" s="58">
        <f t="shared" si="16"/>
        <v>1742288.105092823</v>
      </c>
      <c r="CK30" s="58">
        <f t="shared" si="16"/>
        <v>1742288.105092823</v>
      </c>
      <c r="CL30" s="58">
        <f t="shared" si="17"/>
        <v>6969152.4203712922</v>
      </c>
      <c r="CN30" s="59">
        <f t="shared" si="26"/>
        <v>1.7845992934747779E-3</v>
      </c>
      <c r="CO30" s="64">
        <f t="shared" si="27"/>
        <v>37476585.162970334</v>
      </c>
      <c r="CP30" s="2">
        <f t="shared" si="28"/>
        <v>55753219.362970337</v>
      </c>
    </row>
    <row r="31" spans="1:94" ht="16.5" hidden="1" x14ac:dyDescent="0.3">
      <c r="A31" s="2">
        <v>26</v>
      </c>
      <c r="B31" s="47" t="s">
        <v>21</v>
      </c>
      <c r="C31" s="47"/>
      <c r="D31" s="30" t="s">
        <v>114</v>
      </c>
      <c r="E31" s="30" t="s">
        <v>115</v>
      </c>
      <c r="F31" s="30" t="s">
        <v>116</v>
      </c>
      <c r="G31" s="48" t="s">
        <v>117</v>
      </c>
      <c r="H31" s="48" t="s">
        <v>118</v>
      </c>
      <c r="I31" s="30" t="s">
        <v>119</v>
      </c>
      <c r="J31" s="30" t="s">
        <v>120</v>
      </c>
      <c r="K31" s="30" t="s">
        <v>121</v>
      </c>
      <c r="L31" s="30" t="s">
        <v>122</v>
      </c>
      <c r="M31" s="73">
        <v>2100247</v>
      </c>
      <c r="N31" s="48" t="s">
        <v>138</v>
      </c>
      <c r="O31" s="48" t="s">
        <v>240</v>
      </c>
      <c r="P31" s="30" t="s">
        <v>172</v>
      </c>
      <c r="Q31" s="30" t="s">
        <v>172</v>
      </c>
      <c r="R31" s="30" t="s">
        <v>173</v>
      </c>
      <c r="S31" s="61" t="s">
        <v>241</v>
      </c>
      <c r="T31" s="30" t="s">
        <v>242</v>
      </c>
      <c r="U31" s="48" t="s">
        <v>219</v>
      </c>
      <c r="V31" s="62" t="s">
        <v>145</v>
      </c>
      <c r="W31" s="48" t="s">
        <v>176</v>
      </c>
      <c r="X31" s="48" t="s">
        <v>147</v>
      </c>
      <c r="Y31" s="65" t="s">
        <v>128</v>
      </c>
      <c r="Z31" s="65" t="s">
        <v>128</v>
      </c>
      <c r="AA31" s="20" t="s">
        <v>148</v>
      </c>
      <c r="AB31" s="72" t="s">
        <v>177</v>
      </c>
      <c r="AC31" s="48" t="s">
        <v>150</v>
      </c>
      <c r="AD31" s="48" t="s">
        <v>178</v>
      </c>
      <c r="AE31" s="48"/>
      <c r="AF31" s="48" t="s">
        <v>179</v>
      </c>
      <c r="AG31" s="48" t="s">
        <v>152</v>
      </c>
      <c r="AH31" s="48" t="s">
        <v>180</v>
      </c>
      <c r="AI31" s="48"/>
      <c r="AJ31" s="50">
        <v>40268</v>
      </c>
      <c r="AK31" s="50">
        <v>40268</v>
      </c>
      <c r="AL31" s="51">
        <f t="shared" si="4"/>
        <v>15.597260273972603</v>
      </c>
      <c r="AM31" s="52">
        <v>8</v>
      </c>
      <c r="AN31" s="48" t="s">
        <v>169</v>
      </c>
      <c r="AO31" s="30" t="s">
        <v>133</v>
      </c>
      <c r="AP31" s="30" t="s">
        <v>134</v>
      </c>
      <c r="AQ31" s="30">
        <v>0.56320000000000003</v>
      </c>
      <c r="AR31" s="30">
        <v>1229</v>
      </c>
      <c r="AS31" s="30">
        <v>1142</v>
      </c>
      <c r="AT31" s="30">
        <v>933</v>
      </c>
      <c r="AU31" s="53">
        <v>159875822</v>
      </c>
      <c r="AV31" s="54"/>
      <c r="AW31" s="54"/>
      <c r="AX31" s="54">
        <v>159875822</v>
      </c>
      <c r="AY31" s="54"/>
      <c r="AZ31" s="54"/>
      <c r="BA31" s="54">
        <v>0</v>
      </c>
      <c r="BB31" s="55">
        <v>0</v>
      </c>
      <c r="BC31" s="52">
        <v>96</v>
      </c>
      <c r="BD31" s="52">
        <v>189</v>
      </c>
      <c r="BE31" s="52">
        <v>0</v>
      </c>
      <c r="BF31" s="30"/>
      <c r="BG31" s="30" t="s">
        <v>135</v>
      </c>
      <c r="BH31" s="30" t="s">
        <v>136</v>
      </c>
      <c r="BI31" s="30" t="str">
        <f t="shared" si="18"/>
        <v>Test</v>
      </c>
      <c r="BJ31" s="47" t="s">
        <v>137</v>
      </c>
      <c r="BK31" s="67">
        <f t="shared" si="19"/>
        <v>3197516.44</v>
      </c>
      <c r="BL31" s="68">
        <f t="shared" si="20"/>
        <v>304815.14256332541</v>
      </c>
      <c r="BM31" s="68">
        <f t="shared" si="5"/>
        <v>101605.04752110847</v>
      </c>
      <c r="BP31" s="69">
        <f>BM31*3</f>
        <v>304815.14256332541</v>
      </c>
      <c r="BQ31" s="69">
        <f>BP31</f>
        <v>304815.14256332541</v>
      </c>
      <c r="BR31" s="69">
        <f>SUM(BN31:BQ31)</f>
        <v>609630.28512665082</v>
      </c>
      <c r="BS31" s="69">
        <f>BQ31</f>
        <v>304815.14256332541</v>
      </c>
      <c r="BT31" s="69">
        <f>BS31</f>
        <v>304815.14256332541</v>
      </c>
      <c r="BU31" s="70">
        <f t="shared" si="6"/>
        <v>304815.14256332541</v>
      </c>
      <c r="BV31" s="70">
        <f t="shared" si="7"/>
        <v>304815.14256332541</v>
      </c>
      <c r="BW31" s="70">
        <f t="shared" si="29"/>
        <v>1219260.5702533016</v>
      </c>
      <c r="BX31" s="18">
        <f t="shared" si="9"/>
        <v>304815.14256332541</v>
      </c>
      <c r="BY31" s="18">
        <f t="shared" si="30"/>
        <v>304815.14256332541</v>
      </c>
      <c r="BZ31" s="18">
        <f t="shared" si="30"/>
        <v>304815.14256332541</v>
      </c>
      <c r="CA31" s="18">
        <f t="shared" si="30"/>
        <v>304815.14256332541</v>
      </c>
      <c r="CB31" s="70">
        <f t="shared" si="11"/>
        <v>1219260.5702533016</v>
      </c>
      <c r="CC31" s="18">
        <f t="shared" si="12"/>
        <v>304815.14256332541</v>
      </c>
      <c r="CD31" s="18">
        <f t="shared" si="31"/>
        <v>304815.14256332541</v>
      </c>
      <c r="CE31" s="18">
        <f t="shared" si="31"/>
        <v>304815.14256332541</v>
      </c>
      <c r="CF31" s="18">
        <f t="shared" si="31"/>
        <v>304815.14256332541</v>
      </c>
      <c r="CG31" s="70">
        <f t="shared" si="14"/>
        <v>1219260.5702533016</v>
      </c>
      <c r="CH31" s="18">
        <f t="shared" si="15"/>
        <v>304815.14256332541</v>
      </c>
      <c r="CI31" s="18">
        <f t="shared" si="16"/>
        <v>304815.14256332541</v>
      </c>
      <c r="CJ31" s="18">
        <f t="shared" si="16"/>
        <v>304815.14256332541</v>
      </c>
      <c r="CK31" s="18">
        <f t="shared" si="16"/>
        <v>304815.14256332541</v>
      </c>
      <c r="CL31" s="70">
        <f t="shared" si="17"/>
        <v>1219260.5702533016</v>
      </c>
      <c r="CM31" s="71"/>
      <c r="CN31" s="59">
        <f t="shared" si="26"/>
        <v>3.122175296203054E-4</v>
      </c>
      <c r="CO31" s="64">
        <f t="shared" si="27"/>
        <v>6556568.1220264137</v>
      </c>
      <c r="CP31" s="2">
        <f t="shared" si="28"/>
        <v>9754084.5620264132</v>
      </c>
    </row>
    <row r="32" spans="1:94" ht="16.5" hidden="1" x14ac:dyDescent="0.3">
      <c r="A32" s="2">
        <v>27</v>
      </c>
      <c r="B32" s="47" t="s">
        <v>21</v>
      </c>
      <c r="C32" s="47"/>
      <c r="D32" s="30" t="s">
        <v>114</v>
      </c>
      <c r="E32" s="30" t="s">
        <v>115</v>
      </c>
      <c r="F32" s="30" t="s">
        <v>116</v>
      </c>
      <c r="G32" s="48" t="s">
        <v>117</v>
      </c>
      <c r="H32" s="48" t="s">
        <v>118</v>
      </c>
      <c r="I32" s="30" t="s">
        <v>119</v>
      </c>
      <c r="J32" s="30" t="s">
        <v>120</v>
      </c>
      <c r="K32" s="30" t="s">
        <v>121</v>
      </c>
      <c r="L32" s="30" t="s">
        <v>122</v>
      </c>
      <c r="M32" s="73">
        <v>2100250</v>
      </c>
      <c r="N32" s="48" t="s">
        <v>138</v>
      </c>
      <c r="O32" s="48" t="s">
        <v>243</v>
      </c>
      <c r="P32" s="30" t="s">
        <v>209</v>
      </c>
      <c r="Q32" s="30" t="s">
        <v>164</v>
      </c>
      <c r="R32" s="30" t="s">
        <v>142</v>
      </c>
      <c r="S32" s="61" t="s">
        <v>244</v>
      </c>
      <c r="T32" s="30" t="s">
        <v>245</v>
      </c>
      <c r="U32" s="48" t="s">
        <v>219</v>
      </c>
      <c r="V32" s="62" t="s">
        <v>145</v>
      </c>
      <c r="W32" s="48" t="s">
        <v>167</v>
      </c>
      <c r="X32" s="48" t="s">
        <v>127</v>
      </c>
      <c r="Y32" s="48" t="s">
        <v>128</v>
      </c>
      <c r="Z32" s="48" t="s">
        <v>128</v>
      </c>
      <c r="AA32" s="66" t="s">
        <v>148</v>
      </c>
      <c r="AB32" s="48" t="s">
        <v>149</v>
      </c>
      <c r="AC32" s="48" t="s">
        <v>150</v>
      </c>
      <c r="AD32" s="48" t="s">
        <v>168</v>
      </c>
      <c r="AE32" s="48"/>
      <c r="AF32" s="48" t="s">
        <v>151</v>
      </c>
      <c r="AG32" s="48" t="s">
        <v>152</v>
      </c>
      <c r="AH32" s="48" t="s">
        <v>153</v>
      </c>
      <c r="AI32" s="48"/>
      <c r="AJ32" s="50">
        <v>40298</v>
      </c>
      <c r="AK32" s="50">
        <v>40298</v>
      </c>
      <c r="AL32" s="51">
        <f t="shared" si="4"/>
        <v>15.515068493150684</v>
      </c>
      <c r="AM32" s="52">
        <v>8</v>
      </c>
      <c r="AN32" s="48" t="s">
        <v>157</v>
      </c>
      <c r="AO32" s="30" t="s">
        <v>133</v>
      </c>
      <c r="AP32" s="30" t="s">
        <v>134</v>
      </c>
      <c r="AQ32" s="30">
        <v>6.1347440000000004</v>
      </c>
      <c r="AR32" s="30">
        <v>960</v>
      </c>
      <c r="AS32" s="30">
        <v>840</v>
      </c>
      <c r="AT32" s="30">
        <v>1860</v>
      </c>
      <c r="AU32" s="53">
        <v>588670135</v>
      </c>
      <c r="AV32" s="54"/>
      <c r="AW32" s="54"/>
      <c r="AX32" s="54">
        <v>588670135</v>
      </c>
      <c r="AY32" s="54"/>
      <c r="AZ32" s="54"/>
      <c r="BA32" s="54">
        <v>0</v>
      </c>
      <c r="BB32" s="55">
        <v>0</v>
      </c>
      <c r="BC32" s="52">
        <v>96</v>
      </c>
      <c r="BD32" s="52">
        <v>188</v>
      </c>
      <c r="BE32" s="52">
        <v>0</v>
      </c>
      <c r="BF32" s="30"/>
      <c r="BG32" s="30" t="s">
        <v>135</v>
      </c>
      <c r="BH32" s="30" t="s">
        <v>136</v>
      </c>
      <c r="BI32" s="30" t="str">
        <f t="shared" si="18"/>
        <v>Test</v>
      </c>
      <c r="BJ32" s="47" t="s">
        <v>137</v>
      </c>
      <c r="BK32" s="56">
        <f t="shared" si="19"/>
        <v>11773402.700000001</v>
      </c>
      <c r="BL32" s="57">
        <f t="shared" si="20"/>
        <v>1122343.3842472881</v>
      </c>
      <c r="BM32" s="57">
        <f t="shared" si="5"/>
        <v>374114.46141576272</v>
      </c>
      <c r="BU32" s="58">
        <f t="shared" si="6"/>
        <v>1122343.3842472881</v>
      </c>
      <c r="BV32" s="58">
        <f t="shared" si="7"/>
        <v>1122343.3842472881</v>
      </c>
      <c r="BW32" s="58">
        <f t="shared" si="29"/>
        <v>2244686.7684945762</v>
      </c>
      <c r="BX32" s="58">
        <f t="shared" si="9"/>
        <v>1122343.3842472881</v>
      </c>
      <c r="BY32" s="58">
        <f t="shared" si="30"/>
        <v>1122343.3842472881</v>
      </c>
      <c r="BZ32" s="58">
        <f t="shared" si="30"/>
        <v>1122343.3842472881</v>
      </c>
      <c r="CA32" s="58">
        <f t="shared" si="30"/>
        <v>1122343.3842472881</v>
      </c>
      <c r="CB32" s="58">
        <f t="shared" si="11"/>
        <v>4489373.5369891524</v>
      </c>
      <c r="CC32" s="58">
        <f t="shared" si="12"/>
        <v>1122343.3842472881</v>
      </c>
      <c r="CD32" s="58">
        <f t="shared" si="31"/>
        <v>1122343.3842472881</v>
      </c>
      <c r="CE32" s="58">
        <f t="shared" si="31"/>
        <v>1122343.3842472881</v>
      </c>
      <c r="CF32" s="58">
        <f t="shared" si="31"/>
        <v>1122343.3842472881</v>
      </c>
      <c r="CG32" s="58">
        <f t="shared" si="14"/>
        <v>4489373.5369891524</v>
      </c>
      <c r="CH32" s="58">
        <f t="shared" si="15"/>
        <v>1122343.3842472881</v>
      </c>
      <c r="CI32" s="58">
        <f t="shared" si="16"/>
        <v>1122343.3842472881</v>
      </c>
      <c r="CJ32" s="58">
        <f t="shared" si="16"/>
        <v>1122343.3842472881</v>
      </c>
      <c r="CK32" s="58">
        <f t="shared" si="16"/>
        <v>1122343.3842472881</v>
      </c>
      <c r="CL32" s="58">
        <f t="shared" si="17"/>
        <v>4489373.5369891524</v>
      </c>
      <c r="CN32" s="59">
        <f t="shared" si="26"/>
        <v>1.1495993140911056E-3</v>
      </c>
      <c r="CO32" s="64">
        <f t="shared" si="27"/>
        <v>24141585.595913216</v>
      </c>
      <c r="CP32" s="2">
        <f t="shared" si="28"/>
        <v>35914988.295913219</v>
      </c>
    </row>
    <row r="33" spans="1:94" hidden="1" x14ac:dyDescent="0.3">
      <c r="A33" s="29">
        <v>28</v>
      </c>
      <c r="B33" s="30" t="s">
        <v>21</v>
      </c>
      <c r="C33" s="30"/>
      <c r="D33" s="30" t="s">
        <v>114</v>
      </c>
      <c r="E33" s="30" t="s">
        <v>115</v>
      </c>
      <c r="F33" s="30" t="s">
        <v>116</v>
      </c>
      <c r="G33" s="48" t="s">
        <v>117</v>
      </c>
      <c r="H33" s="48" t="s">
        <v>118</v>
      </c>
      <c r="I33" s="30" t="s">
        <v>119</v>
      </c>
      <c r="J33" s="30" t="s">
        <v>120</v>
      </c>
      <c r="K33" s="30" t="s">
        <v>121</v>
      </c>
      <c r="L33" s="30" t="s">
        <v>122</v>
      </c>
      <c r="M33" s="73">
        <v>2100253</v>
      </c>
      <c r="N33" s="48" t="s">
        <v>138</v>
      </c>
      <c r="O33" s="48" t="s">
        <v>246</v>
      </c>
      <c r="P33" s="30" t="s">
        <v>172</v>
      </c>
      <c r="Q33" s="30" t="s">
        <v>172</v>
      </c>
      <c r="R33" s="30" t="s">
        <v>173</v>
      </c>
      <c r="S33" s="61" t="s">
        <v>247</v>
      </c>
      <c r="T33" s="30" t="s">
        <v>248</v>
      </c>
      <c r="U33" s="48" t="s">
        <v>219</v>
      </c>
      <c r="V33" s="62" t="s">
        <v>145</v>
      </c>
      <c r="W33" s="48" t="s">
        <v>176</v>
      </c>
      <c r="X33" s="48"/>
      <c r="Y33" s="48" t="s">
        <v>128</v>
      </c>
      <c r="Z33" s="48" t="s">
        <v>128</v>
      </c>
      <c r="AA33" s="20" t="s">
        <v>148</v>
      </c>
      <c r="AB33" s="72" t="s">
        <v>177</v>
      </c>
      <c r="AC33" s="48" t="s">
        <v>249</v>
      </c>
      <c r="AD33" s="48" t="s">
        <v>178</v>
      </c>
      <c r="AE33" s="48"/>
      <c r="AF33" s="48" t="s">
        <v>179</v>
      </c>
      <c r="AG33" s="48" t="s">
        <v>152</v>
      </c>
      <c r="AH33" s="48" t="s">
        <v>180</v>
      </c>
      <c r="AI33" s="48"/>
      <c r="AJ33" s="50">
        <v>40298</v>
      </c>
      <c r="AK33" s="50">
        <v>40298</v>
      </c>
      <c r="AL33" s="51">
        <f t="shared" si="4"/>
        <v>15.515068493150684</v>
      </c>
      <c r="AM33" s="52">
        <v>8</v>
      </c>
      <c r="AN33" s="48" t="s">
        <v>157</v>
      </c>
      <c r="AO33" s="30" t="s">
        <v>133</v>
      </c>
      <c r="AP33" s="30" t="s">
        <v>134</v>
      </c>
      <c r="AQ33" s="30">
        <v>0.56320000000000003</v>
      </c>
      <c r="AR33" s="30">
        <v>1229</v>
      </c>
      <c r="AS33" s="30">
        <v>1142</v>
      </c>
      <c r="AT33" s="30">
        <v>933</v>
      </c>
      <c r="AU33" s="53">
        <v>157871458</v>
      </c>
      <c r="AV33" s="54"/>
      <c r="AW33" s="54"/>
      <c r="AX33" s="54">
        <v>157871458</v>
      </c>
      <c r="AY33" s="54"/>
      <c r="AZ33" s="54"/>
      <c r="BA33" s="74">
        <v>0</v>
      </c>
      <c r="BB33" s="74">
        <v>0</v>
      </c>
      <c r="BC33" s="52">
        <v>96</v>
      </c>
      <c r="BD33" s="52">
        <v>188</v>
      </c>
      <c r="BE33" s="52">
        <v>0</v>
      </c>
      <c r="BF33" s="30"/>
      <c r="BG33" s="30" t="s">
        <v>135</v>
      </c>
      <c r="BH33" s="30" t="s">
        <v>136</v>
      </c>
      <c r="BI33" s="30" t="str">
        <f t="shared" si="18"/>
        <v>Test</v>
      </c>
      <c r="BJ33" s="30" t="s">
        <v>250</v>
      </c>
      <c r="BK33" s="56">
        <f t="shared" si="19"/>
        <v>3157429.16</v>
      </c>
      <c r="BL33" s="57">
        <f t="shared" si="20"/>
        <v>98669.661250000005</v>
      </c>
      <c r="BM33" s="57">
        <f t="shared" si="5"/>
        <v>32889.887083333335</v>
      </c>
      <c r="BU33" s="58">
        <f t="shared" si="6"/>
        <v>98669.661250000005</v>
      </c>
      <c r="BV33" s="58">
        <f t="shared" si="7"/>
        <v>98669.661250000005</v>
      </c>
      <c r="BW33" s="58">
        <f t="shared" si="29"/>
        <v>197339.32250000001</v>
      </c>
      <c r="BX33" s="58">
        <f t="shared" si="9"/>
        <v>98669.661250000005</v>
      </c>
      <c r="BY33" s="58">
        <f t="shared" si="30"/>
        <v>98669.661250000005</v>
      </c>
      <c r="BZ33" s="58">
        <f t="shared" si="30"/>
        <v>98669.661250000005</v>
      </c>
      <c r="CA33" s="58">
        <f t="shared" si="30"/>
        <v>98669.661250000005</v>
      </c>
      <c r="CB33" s="58">
        <f t="shared" si="11"/>
        <v>394678.64500000002</v>
      </c>
      <c r="CC33" s="58">
        <f t="shared" si="12"/>
        <v>98669.661250000005</v>
      </c>
      <c r="CD33" s="58">
        <f t="shared" si="31"/>
        <v>98669.661250000005</v>
      </c>
      <c r="CE33" s="58">
        <f t="shared" si="31"/>
        <v>98669.661250000005</v>
      </c>
      <c r="CF33" s="58">
        <f t="shared" si="31"/>
        <v>98669.661250000005</v>
      </c>
      <c r="CG33" s="58">
        <f t="shared" si="14"/>
        <v>394678.64500000002</v>
      </c>
      <c r="CH33" s="58">
        <f t="shared" si="15"/>
        <v>98669.661250000005</v>
      </c>
      <c r="CI33" s="58">
        <f t="shared" si="16"/>
        <v>98669.661250000005</v>
      </c>
      <c r="CJ33" s="58">
        <f t="shared" si="16"/>
        <v>98669.661250000005</v>
      </c>
      <c r="CK33" s="58">
        <f t="shared" si="16"/>
        <v>98669.661250000005</v>
      </c>
      <c r="CL33" s="58">
        <f t="shared" si="17"/>
        <v>394678.64500000002</v>
      </c>
      <c r="CP33" s="2">
        <f t="shared" si="28"/>
        <v>3157429.16</v>
      </c>
    </row>
    <row r="34" spans="1:94" ht="16.5" hidden="1" x14ac:dyDescent="0.3">
      <c r="A34" s="2">
        <v>29</v>
      </c>
      <c r="B34" s="47" t="s">
        <v>21</v>
      </c>
      <c r="C34" s="47"/>
      <c r="D34" s="30" t="s">
        <v>114</v>
      </c>
      <c r="E34" s="30" t="s">
        <v>115</v>
      </c>
      <c r="F34" s="30" t="s">
        <v>116</v>
      </c>
      <c r="G34" s="48" t="s">
        <v>117</v>
      </c>
      <c r="H34" s="48" t="s">
        <v>118</v>
      </c>
      <c r="I34" s="30" t="s">
        <v>119</v>
      </c>
      <c r="J34" s="30" t="s">
        <v>120</v>
      </c>
      <c r="K34" s="30" t="s">
        <v>121</v>
      </c>
      <c r="L34" s="30" t="s">
        <v>122</v>
      </c>
      <c r="M34" s="73">
        <v>2100255</v>
      </c>
      <c r="N34" s="48" t="s">
        <v>138</v>
      </c>
      <c r="O34" s="48" t="s">
        <v>251</v>
      </c>
      <c r="P34" s="30" t="s">
        <v>231</v>
      </c>
      <c r="Q34" s="30" t="s">
        <v>232</v>
      </c>
      <c r="R34" s="30" t="s">
        <v>142</v>
      </c>
      <c r="S34" s="61">
        <v>310452088</v>
      </c>
      <c r="T34" s="30" t="s">
        <v>252</v>
      </c>
      <c r="U34" s="48" t="s">
        <v>219</v>
      </c>
      <c r="V34" s="62" t="s">
        <v>145</v>
      </c>
      <c r="W34" s="48" t="s">
        <v>146</v>
      </c>
      <c r="X34" s="48" t="s">
        <v>127</v>
      </c>
      <c r="Y34" s="48" t="s">
        <v>128</v>
      </c>
      <c r="Z34" s="48" t="s">
        <v>128</v>
      </c>
      <c r="AA34" s="20" t="s">
        <v>148</v>
      </c>
      <c r="AB34" s="48" t="s">
        <v>149</v>
      </c>
      <c r="AC34" s="48" t="s">
        <v>150</v>
      </c>
      <c r="AD34" s="48"/>
      <c r="AE34" s="48"/>
      <c r="AF34" s="48" t="s">
        <v>151</v>
      </c>
      <c r="AG34" s="48" t="s">
        <v>152</v>
      </c>
      <c r="AH34" s="48" t="s">
        <v>153</v>
      </c>
      <c r="AI34" s="48"/>
      <c r="AJ34" s="50">
        <v>40298</v>
      </c>
      <c r="AK34" s="50">
        <v>40298</v>
      </c>
      <c r="AL34" s="51">
        <f t="shared" si="4"/>
        <v>15.515068493150684</v>
      </c>
      <c r="AM34" s="52">
        <v>8</v>
      </c>
      <c r="AN34" s="48" t="s">
        <v>212</v>
      </c>
      <c r="AO34" s="30" t="s">
        <v>133</v>
      </c>
      <c r="AP34" s="30" t="s">
        <v>134</v>
      </c>
      <c r="AQ34" s="30">
        <v>9.8308320000000009</v>
      </c>
      <c r="AR34" s="30">
        <v>950</v>
      </c>
      <c r="AS34" s="30">
        <v>1250</v>
      </c>
      <c r="AT34" s="30">
        <v>1800</v>
      </c>
      <c r="AU34" s="53">
        <v>799809732</v>
      </c>
      <c r="AV34" s="54"/>
      <c r="AW34" s="54"/>
      <c r="AX34" s="54">
        <v>799809732</v>
      </c>
      <c r="AY34" s="54"/>
      <c r="AZ34" s="54"/>
      <c r="BA34" s="54">
        <v>1000</v>
      </c>
      <c r="BB34" s="55">
        <v>1000</v>
      </c>
      <c r="BC34" s="52">
        <v>96</v>
      </c>
      <c r="BD34" s="52">
        <v>188</v>
      </c>
      <c r="BE34" s="52">
        <v>0</v>
      </c>
      <c r="BF34" s="30"/>
      <c r="BG34" s="30" t="s">
        <v>135</v>
      </c>
      <c r="BH34" s="30" t="s">
        <v>136</v>
      </c>
      <c r="BI34" s="30" t="str">
        <f t="shared" si="18"/>
        <v>Test</v>
      </c>
      <c r="BJ34" s="47" t="s">
        <v>137</v>
      </c>
      <c r="BK34" s="56">
        <f t="shared" si="19"/>
        <v>15996194.640000001</v>
      </c>
      <c r="BL34" s="57">
        <f t="shared" si="20"/>
        <v>1524896.7256794784</v>
      </c>
      <c r="BM34" s="57">
        <f t="shared" si="5"/>
        <v>508298.90855982614</v>
      </c>
      <c r="BU34" s="58">
        <f t="shared" si="6"/>
        <v>1524896.7256794784</v>
      </c>
      <c r="BV34" s="58">
        <f t="shared" si="7"/>
        <v>1524896.7256794784</v>
      </c>
      <c r="BW34" s="58">
        <f t="shared" si="29"/>
        <v>3049793.4513589568</v>
      </c>
      <c r="BX34" s="58">
        <f t="shared" si="9"/>
        <v>1524896.7256794784</v>
      </c>
      <c r="BY34" s="58">
        <f t="shared" si="30"/>
        <v>1524896.7256794784</v>
      </c>
      <c r="BZ34" s="58">
        <f t="shared" si="30"/>
        <v>1524896.7256794784</v>
      </c>
      <c r="CA34" s="58">
        <f t="shared" si="30"/>
        <v>1524896.7256794784</v>
      </c>
      <c r="CB34" s="58">
        <f t="shared" si="11"/>
        <v>6099586.9027179135</v>
      </c>
      <c r="CC34" s="58">
        <f t="shared" si="12"/>
        <v>1524896.7256794784</v>
      </c>
      <c r="CD34" s="58">
        <f t="shared" si="31"/>
        <v>1524896.7256794784</v>
      </c>
      <c r="CE34" s="58">
        <f t="shared" si="31"/>
        <v>1524896.7256794784</v>
      </c>
      <c r="CF34" s="58">
        <f t="shared" si="31"/>
        <v>1524896.7256794784</v>
      </c>
      <c r="CG34" s="58">
        <f t="shared" si="14"/>
        <v>6099586.9027179135</v>
      </c>
      <c r="CH34" s="58">
        <f t="shared" si="15"/>
        <v>1524896.7256794784</v>
      </c>
      <c r="CI34" s="58">
        <f t="shared" si="16"/>
        <v>1524896.7256794784</v>
      </c>
      <c r="CJ34" s="58">
        <f t="shared" si="16"/>
        <v>1524896.7256794784</v>
      </c>
      <c r="CK34" s="58">
        <f t="shared" si="16"/>
        <v>1524896.7256794784</v>
      </c>
      <c r="CL34" s="58">
        <f t="shared" si="17"/>
        <v>6099586.9027179135</v>
      </c>
      <c r="CN34" s="59">
        <f>BK34/$CN$3</f>
        <v>1.5619285991306337E-3</v>
      </c>
      <c r="CO34" s="64">
        <f>CN34*$CO$4</f>
        <v>32800500.581743307</v>
      </c>
      <c r="CP34" s="2">
        <f t="shared" si="28"/>
        <v>48796695.221743308</v>
      </c>
    </row>
    <row r="35" spans="1:94" ht="16.5" hidden="1" x14ac:dyDescent="0.3">
      <c r="A35" s="2">
        <v>30</v>
      </c>
      <c r="B35" s="47" t="s">
        <v>21</v>
      </c>
      <c r="C35" s="47"/>
      <c r="D35" s="30" t="s">
        <v>114</v>
      </c>
      <c r="E35" s="30" t="s">
        <v>115</v>
      </c>
      <c r="F35" s="30" t="s">
        <v>116</v>
      </c>
      <c r="G35" s="48" t="s">
        <v>117</v>
      </c>
      <c r="H35" s="48" t="s">
        <v>118</v>
      </c>
      <c r="I35" s="30" t="s">
        <v>119</v>
      </c>
      <c r="J35" s="30" t="s">
        <v>120</v>
      </c>
      <c r="K35" s="30" t="s">
        <v>121</v>
      </c>
      <c r="L35" s="30" t="s">
        <v>122</v>
      </c>
      <c r="M35" s="73">
        <v>2100256</v>
      </c>
      <c r="N35" s="48" t="s">
        <v>138</v>
      </c>
      <c r="O35" s="48" t="s">
        <v>253</v>
      </c>
      <c r="P35" s="30" t="s">
        <v>231</v>
      </c>
      <c r="Q35" s="30" t="s">
        <v>232</v>
      </c>
      <c r="R35" s="30" t="s">
        <v>142</v>
      </c>
      <c r="S35" s="61">
        <v>310466803</v>
      </c>
      <c r="T35" s="30" t="s">
        <v>254</v>
      </c>
      <c r="U35" s="48" t="s">
        <v>219</v>
      </c>
      <c r="V35" s="62" t="s">
        <v>145</v>
      </c>
      <c r="W35" s="48" t="s">
        <v>146</v>
      </c>
      <c r="X35" s="48" t="s">
        <v>255</v>
      </c>
      <c r="Y35" s="48" t="s">
        <v>128</v>
      </c>
      <c r="Z35" s="48" t="s">
        <v>128</v>
      </c>
      <c r="AA35" s="20" t="s">
        <v>148</v>
      </c>
      <c r="AB35" s="48" t="s">
        <v>149</v>
      </c>
      <c r="AC35" s="48" t="s">
        <v>150</v>
      </c>
      <c r="AD35" s="48"/>
      <c r="AE35" s="48"/>
      <c r="AF35" s="48" t="s">
        <v>151</v>
      </c>
      <c r="AG35" s="48" t="s">
        <v>152</v>
      </c>
      <c r="AH35" s="48" t="s">
        <v>153</v>
      </c>
      <c r="AI35" s="48"/>
      <c r="AJ35" s="50">
        <v>40298</v>
      </c>
      <c r="AK35" s="50">
        <v>40298</v>
      </c>
      <c r="AL35" s="51">
        <f t="shared" si="4"/>
        <v>15.515068493150684</v>
      </c>
      <c r="AM35" s="52">
        <v>8</v>
      </c>
      <c r="AN35" s="48" t="s">
        <v>157</v>
      </c>
      <c r="AO35" s="30" t="s">
        <v>133</v>
      </c>
      <c r="AP35" s="30" t="s">
        <v>134</v>
      </c>
      <c r="AQ35" s="30">
        <v>9.8308320000000009</v>
      </c>
      <c r="AR35" s="30">
        <v>950</v>
      </c>
      <c r="AS35" s="30">
        <v>1250</v>
      </c>
      <c r="AT35" s="30">
        <v>1800</v>
      </c>
      <c r="AU35" s="53">
        <v>799809731</v>
      </c>
      <c r="AV35" s="54"/>
      <c r="AW35" s="54"/>
      <c r="AX35" s="54">
        <v>799809731</v>
      </c>
      <c r="AY35" s="54"/>
      <c r="AZ35" s="54"/>
      <c r="BA35" s="54">
        <v>0</v>
      </c>
      <c r="BB35" s="54">
        <v>0</v>
      </c>
      <c r="BC35" s="52">
        <v>96</v>
      </c>
      <c r="BD35" s="52">
        <v>188</v>
      </c>
      <c r="BE35" s="52">
        <v>0</v>
      </c>
      <c r="BF35" s="30"/>
      <c r="BG35" s="30" t="s">
        <v>135</v>
      </c>
      <c r="BH35" s="30" t="s">
        <v>136</v>
      </c>
      <c r="BI35" s="30" t="str">
        <f t="shared" si="18"/>
        <v>Test</v>
      </c>
      <c r="BJ35" s="47" t="s">
        <v>137</v>
      </c>
      <c r="BK35" s="56">
        <f t="shared" si="19"/>
        <v>15996194.620000001</v>
      </c>
      <c r="BL35" s="57">
        <f t="shared" si="20"/>
        <v>499881.08187500003</v>
      </c>
      <c r="BM35" s="57">
        <f t="shared" si="5"/>
        <v>166627.02729166669</v>
      </c>
      <c r="BU35" s="58">
        <f t="shared" si="6"/>
        <v>499881.08187500003</v>
      </c>
      <c r="BV35" s="58">
        <f t="shared" si="7"/>
        <v>499881.08187500003</v>
      </c>
      <c r="BW35" s="58">
        <f t="shared" si="29"/>
        <v>999762.16375000007</v>
      </c>
      <c r="BX35" s="58">
        <f t="shared" si="9"/>
        <v>499881.08187500003</v>
      </c>
      <c r="BY35" s="58">
        <f t="shared" si="30"/>
        <v>499881.08187500003</v>
      </c>
      <c r="BZ35" s="58">
        <f t="shared" si="30"/>
        <v>499881.08187500003</v>
      </c>
      <c r="CA35" s="58">
        <f t="shared" si="30"/>
        <v>499881.08187500003</v>
      </c>
      <c r="CB35" s="58">
        <f t="shared" si="11"/>
        <v>1999524.3275000001</v>
      </c>
      <c r="CC35" s="58">
        <f t="shared" si="12"/>
        <v>499881.08187500003</v>
      </c>
      <c r="CD35" s="58">
        <f t="shared" si="31"/>
        <v>499881.08187500003</v>
      </c>
      <c r="CE35" s="58">
        <f t="shared" si="31"/>
        <v>499881.08187500003</v>
      </c>
      <c r="CF35" s="58">
        <f t="shared" si="31"/>
        <v>499881.08187500003</v>
      </c>
      <c r="CG35" s="58">
        <f t="shared" si="14"/>
        <v>1999524.3275000001</v>
      </c>
      <c r="CH35" s="58">
        <f t="shared" si="15"/>
        <v>499881.08187500003</v>
      </c>
      <c r="CI35" s="58">
        <f t="shared" si="16"/>
        <v>499881.08187500003</v>
      </c>
      <c r="CJ35" s="58">
        <f t="shared" si="16"/>
        <v>499881.08187500003</v>
      </c>
      <c r="CK35" s="58">
        <f t="shared" si="16"/>
        <v>499881.08187500003</v>
      </c>
      <c r="CL35" s="58">
        <f t="shared" si="17"/>
        <v>1999524.3275000001</v>
      </c>
      <c r="CP35" s="2">
        <f t="shared" si="28"/>
        <v>15996194.620000001</v>
      </c>
    </row>
    <row r="36" spans="1:94" ht="16.5" hidden="1" x14ac:dyDescent="0.3">
      <c r="A36" s="2">
        <v>31</v>
      </c>
      <c r="B36" s="47" t="s">
        <v>21</v>
      </c>
      <c r="C36" s="47"/>
      <c r="D36" s="30" t="s">
        <v>114</v>
      </c>
      <c r="E36" s="30" t="s">
        <v>115</v>
      </c>
      <c r="F36" s="30" t="s">
        <v>116</v>
      </c>
      <c r="G36" s="48" t="s">
        <v>117</v>
      </c>
      <c r="H36" s="48" t="s">
        <v>118</v>
      </c>
      <c r="I36" s="30" t="s">
        <v>119</v>
      </c>
      <c r="J36" s="30" t="s">
        <v>120</v>
      </c>
      <c r="K36" s="30" t="s">
        <v>121</v>
      </c>
      <c r="L36" s="30" t="s">
        <v>122</v>
      </c>
      <c r="M36" s="73">
        <v>2100257</v>
      </c>
      <c r="N36" s="48" t="s">
        <v>138</v>
      </c>
      <c r="O36" s="48" t="s">
        <v>256</v>
      </c>
      <c r="P36" s="30" t="s">
        <v>231</v>
      </c>
      <c r="Q36" s="30" t="s">
        <v>232</v>
      </c>
      <c r="R36" s="30" t="s">
        <v>142</v>
      </c>
      <c r="S36" s="61">
        <v>310466804</v>
      </c>
      <c r="T36" s="30" t="s">
        <v>257</v>
      </c>
      <c r="U36" s="48" t="s">
        <v>219</v>
      </c>
      <c r="V36" s="62" t="s">
        <v>145</v>
      </c>
      <c r="W36" s="48" t="s">
        <v>146</v>
      </c>
      <c r="X36" s="48" t="s">
        <v>127</v>
      </c>
      <c r="Y36" s="48" t="s">
        <v>128</v>
      </c>
      <c r="Z36" s="48" t="s">
        <v>128</v>
      </c>
      <c r="AA36" s="20" t="s">
        <v>148</v>
      </c>
      <c r="AB36" s="48" t="s">
        <v>149</v>
      </c>
      <c r="AC36" s="48" t="s">
        <v>150</v>
      </c>
      <c r="AD36" s="48"/>
      <c r="AE36" s="48"/>
      <c r="AF36" s="48" t="s">
        <v>151</v>
      </c>
      <c r="AG36" s="48" t="s">
        <v>152</v>
      </c>
      <c r="AH36" s="48" t="s">
        <v>153</v>
      </c>
      <c r="AI36" s="48"/>
      <c r="AJ36" s="50">
        <v>40298</v>
      </c>
      <c r="AK36" s="50">
        <v>40298</v>
      </c>
      <c r="AL36" s="51">
        <f t="shared" si="4"/>
        <v>15.515068493150684</v>
      </c>
      <c r="AM36" s="52">
        <v>8</v>
      </c>
      <c r="AN36" s="48" t="s">
        <v>157</v>
      </c>
      <c r="AO36" s="30" t="s">
        <v>133</v>
      </c>
      <c r="AP36" s="30" t="s">
        <v>134</v>
      </c>
      <c r="AQ36" s="30">
        <v>9.8308320000000009</v>
      </c>
      <c r="AR36" s="30">
        <v>950</v>
      </c>
      <c r="AS36" s="30">
        <v>1250</v>
      </c>
      <c r="AT36" s="30">
        <v>1800</v>
      </c>
      <c r="AU36" s="53">
        <v>799809731</v>
      </c>
      <c r="AV36" s="54"/>
      <c r="AW36" s="54"/>
      <c r="AX36" s="54">
        <v>799809731</v>
      </c>
      <c r="AY36" s="54"/>
      <c r="AZ36" s="54"/>
      <c r="BA36" s="54">
        <v>0</v>
      </c>
      <c r="BB36" s="55">
        <v>0</v>
      </c>
      <c r="BC36" s="52">
        <v>96</v>
      </c>
      <c r="BD36" s="52">
        <v>188</v>
      </c>
      <c r="BE36" s="52">
        <v>0</v>
      </c>
      <c r="BF36" s="30"/>
      <c r="BG36" s="30" t="s">
        <v>135</v>
      </c>
      <c r="BH36" s="30" t="s">
        <v>136</v>
      </c>
      <c r="BI36" s="30" t="str">
        <f t="shared" si="18"/>
        <v>Test</v>
      </c>
      <c r="BJ36" s="47" t="s">
        <v>137</v>
      </c>
      <c r="BK36" s="56">
        <f t="shared" si="19"/>
        <v>15996194.620000001</v>
      </c>
      <c r="BL36" s="57">
        <f t="shared" si="20"/>
        <v>1524896.7237729041</v>
      </c>
      <c r="BM36" s="57">
        <f t="shared" si="5"/>
        <v>508298.9079243014</v>
      </c>
      <c r="BU36" s="58">
        <f t="shared" si="6"/>
        <v>1524896.7237729041</v>
      </c>
      <c r="BV36" s="58">
        <f t="shared" si="7"/>
        <v>1524896.7237729041</v>
      </c>
      <c r="BW36" s="58">
        <f t="shared" si="29"/>
        <v>3049793.4475458083</v>
      </c>
      <c r="BX36" s="58">
        <f t="shared" si="9"/>
        <v>1524896.7237729041</v>
      </c>
      <c r="BY36" s="58">
        <f t="shared" si="30"/>
        <v>1524896.7237729041</v>
      </c>
      <c r="BZ36" s="58">
        <f t="shared" si="30"/>
        <v>1524896.7237729041</v>
      </c>
      <c r="CA36" s="58">
        <f t="shared" si="30"/>
        <v>1524896.7237729041</v>
      </c>
      <c r="CB36" s="58">
        <f t="shared" si="11"/>
        <v>6099586.8950916165</v>
      </c>
      <c r="CC36" s="58">
        <f t="shared" si="12"/>
        <v>1524896.7237729041</v>
      </c>
      <c r="CD36" s="58">
        <f t="shared" si="31"/>
        <v>1524896.7237729041</v>
      </c>
      <c r="CE36" s="58">
        <f t="shared" si="31"/>
        <v>1524896.7237729041</v>
      </c>
      <c r="CF36" s="58">
        <f t="shared" si="31"/>
        <v>1524896.7237729041</v>
      </c>
      <c r="CG36" s="58">
        <f t="shared" si="14"/>
        <v>6099586.8950916165</v>
      </c>
      <c r="CH36" s="58">
        <f t="shared" si="15"/>
        <v>1524896.7237729041</v>
      </c>
      <c r="CI36" s="58">
        <f t="shared" si="16"/>
        <v>1524896.7237729041</v>
      </c>
      <c r="CJ36" s="58">
        <f t="shared" si="16"/>
        <v>1524896.7237729041</v>
      </c>
      <c r="CK36" s="58">
        <f t="shared" si="16"/>
        <v>1524896.7237729041</v>
      </c>
      <c r="CL36" s="58">
        <f t="shared" si="17"/>
        <v>6099586.8950916165</v>
      </c>
      <c r="CN36" s="59">
        <f>BK36/$CN$3</f>
        <v>1.5619285971777586E-3</v>
      </c>
      <c r="CO36" s="64">
        <f>CN36*$CO$4</f>
        <v>32800500.540732931</v>
      </c>
      <c r="CP36" s="2">
        <f t="shared" si="28"/>
        <v>48796695.160732932</v>
      </c>
    </row>
    <row r="37" spans="1:94" hidden="1" x14ac:dyDescent="0.3">
      <c r="A37" s="29">
        <v>32</v>
      </c>
      <c r="B37" s="30" t="s">
        <v>21</v>
      </c>
      <c r="C37" s="30"/>
      <c r="D37" s="30" t="s">
        <v>114</v>
      </c>
      <c r="E37" s="30" t="s">
        <v>115</v>
      </c>
      <c r="F37" s="30" t="s">
        <v>116</v>
      </c>
      <c r="G37" s="48" t="s">
        <v>117</v>
      </c>
      <c r="H37" s="48" t="s">
        <v>118</v>
      </c>
      <c r="I37" s="30" t="s">
        <v>119</v>
      </c>
      <c r="J37" s="30" t="s">
        <v>120</v>
      </c>
      <c r="K37" s="30" t="s">
        <v>121</v>
      </c>
      <c r="L37" s="30" t="s">
        <v>122</v>
      </c>
      <c r="M37" s="73">
        <v>2100259</v>
      </c>
      <c r="N37" s="48" t="s">
        <v>138</v>
      </c>
      <c r="O37" s="48" t="s">
        <v>258</v>
      </c>
      <c r="P37" s="30" t="s">
        <v>172</v>
      </c>
      <c r="Q37" s="30" t="s">
        <v>172</v>
      </c>
      <c r="R37" s="30" t="s">
        <v>173</v>
      </c>
      <c r="S37" s="61" t="s">
        <v>259</v>
      </c>
      <c r="T37" s="30" t="s">
        <v>260</v>
      </c>
      <c r="U37" s="48" t="s">
        <v>219</v>
      </c>
      <c r="V37" s="62" t="s">
        <v>145</v>
      </c>
      <c r="W37" s="48" t="s">
        <v>176</v>
      </c>
      <c r="X37" s="48"/>
      <c r="Y37" s="48" t="s">
        <v>128</v>
      </c>
      <c r="Z37" s="48" t="s">
        <v>128</v>
      </c>
      <c r="AA37" s="20" t="s">
        <v>148</v>
      </c>
      <c r="AB37" s="72" t="s">
        <v>177</v>
      </c>
      <c r="AC37" s="48" t="s">
        <v>249</v>
      </c>
      <c r="AD37" s="48" t="s">
        <v>178</v>
      </c>
      <c r="AE37" s="48"/>
      <c r="AF37" s="48" t="s">
        <v>179</v>
      </c>
      <c r="AG37" s="48" t="s">
        <v>152</v>
      </c>
      <c r="AH37" s="48" t="s">
        <v>180</v>
      </c>
      <c r="AI37" s="48"/>
      <c r="AJ37" s="50">
        <v>40298</v>
      </c>
      <c r="AK37" s="50">
        <v>40298</v>
      </c>
      <c r="AL37" s="51">
        <f t="shared" si="4"/>
        <v>15.515068493150684</v>
      </c>
      <c r="AM37" s="52">
        <v>8</v>
      </c>
      <c r="AN37" s="48" t="s">
        <v>157</v>
      </c>
      <c r="AO37" s="30" t="s">
        <v>133</v>
      </c>
      <c r="AP37" s="30" t="s">
        <v>134</v>
      </c>
      <c r="AQ37" s="30">
        <v>0.56320000000000003</v>
      </c>
      <c r="AR37" s="30">
        <v>1229</v>
      </c>
      <c r="AS37" s="30">
        <v>1142</v>
      </c>
      <c r="AT37" s="30">
        <v>933</v>
      </c>
      <c r="AU37" s="53">
        <v>165318994</v>
      </c>
      <c r="AV37" s="54"/>
      <c r="AW37" s="54"/>
      <c r="AX37" s="54">
        <v>165318994</v>
      </c>
      <c r="AY37" s="54"/>
      <c r="AZ37" s="54"/>
      <c r="BA37" s="74">
        <v>1000</v>
      </c>
      <c r="BB37" s="74">
        <v>1000</v>
      </c>
      <c r="BC37" s="52">
        <v>96</v>
      </c>
      <c r="BD37" s="52">
        <v>188</v>
      </c>
      <c r="BE37" s="52">
        <v>0</v>
      </c>
      <c r="BF37" s="30"/>
      <c r="BG37" s="30" t="s">
        <v>135</v>
      </c>
      <c r="BH37" s="30" t="s">
        <v>136</v>
      </c>
      <c r="BI37" s="30" t="str">
        <f t="shared" si="18"/>
        <v>Test</v>
      </c>
      <c r="BJ37" s="30" t="s">
        <v>250</v>
      </c>
      <c r="BK37" s="56">
        <f t="shared" si="19"/>
        <v>3306379.88</v>
      </c>
      <c r="BL37" s="57">
        <f t="shared" si="20"/>
        <v>103324.37125</v>
      </c>
      <c r="BM37" s="57">
        <f t="shared" si="5"/>
        <v>34441.457083333335</v>
      </c>
      <c r="BU37" s="58">
        <f t="shared" si="6"/>
        <v>103324.37125</v>
      </c>
      <c r="BV37" s="58">
        <f t="shared" si="7"/>
        <v>103324.37125</v>
      </c>
      <c r="BW37" s="58">
        <f t="shared" si="29"/>
        <v>206648.74249999999</v>
      </c>
      <c r="BX37" s="58">
        <f t="shared" si="9"/>
        <v>103324.37125</v>
      </c>
      <c r="BY37" s="58">
        <f t="shared" si="30"/>
        <v>103324.37125</v>
      </c>
      <c r="BZ37" s="58">
        <f t="shared" si="30"/>
        <v>103324.37125</v>
      </c>
      <c r="CA37" s="58">
        <f t="shared" si="30"/>
        <v>103324.37125</v>
      </c>
      <c r="CB37" s="58">
        <f t="shared" si="11"/>
        <v>413297.48499999999</v>
      </c>
      <c r="CC37" s="58">
        <f t="shared" si="12"/>
        <v>103324.37125</v>
      </c>
      <c r="CD37" s="58">
        <f t="shared" si="31"/>
        <v>103324.37125</v>
      </c>
      <c r="CE37" s="58">
        <f t="shared" si="31"/>
        <v>103324.37125</v>
      </c>
      <c r="CF37" s="58">
        <f t="shared" si="31"/>
        <v>103324.37125</v>
      </c>
      <c r="CG37" s="58">
        <f t="shared" si="14"/>
        <v>413297.48499999999</v>
      </c>
      <c r="CH37" s="58">
        <f t="shared" si="15"/>
        <v>103324.37125</v>
      </c>
      <c r="CI37" s="58">
        <f t="shared" si="16"/>
        <v>103324.37125</v>
      </c>
      <c r="CJ37" s="58">
        <f t="shared" si="16"/>
        <v>103324.37125</v>
      </c>
      <c r="CK37" s="58">
        <f t="shared" si="16"/>
        <v>103324.37125</v>
      </c>
      <c r="CL37" s="58">
        <f t="shared" si="17"/>
        <v>413297.48499999999</v>
      </c>
      <c r="CP37" s="2">
        <f t="shared" si="28"/>
        <v>3306379.88</v>
      </c>
    </row>
    <row r="38" spans="1:94" hidden="1" x14ac:dyDescent="0.3">
      <c r="A38" s="29">
        <v>33</v>
      </c>
      <c r="B38" s="30" t="s">
        <v>21</v>
      </c>
      <c r="C38" s="30"/>
      <c r="D38" s="30" t="s">
        <v>114</v>
      </c>
      <c r="E38" s="30" t="s">
        <v>115</v>
      </c>
      <c r="F38" s="30" t="s">
        <v>116</v>
      </c>
      <c r="G38" s="48" t="s">
        <v>117</v>
      </c>
      <c r="H38" s="48" t="s">
        <v>118</v>
      </c>
      <c r="I38" s="30" t="s">
        <v>119</v>
      </c>
      <c r="J38" s="30" t="s">
        <v>120</v>
      </c>
      <c r="K38" s="30" t="s">
        <v>121</v>
      </c>
      <c r="L38" s="30" t="s">
        <v>122</v>
      </c>
      <c r="M38" s="73">
        <v>2100260</v>
      </c>
      <c r="N38" s="48" t="s">
        <v>138</v>
      </c>
      <c r="O38" s="48" t="s">
        <v>261</v>
      </c>
      <c r="P38" s="30" t="s">
        <v>172</v>
      </c>
      <c r="Q38" s="30" t="s">
        <v>172</v>
      </c>
      <c r="R38" s="30" t="s">
        <v>173</v>
      </c>
      <c r="S38" s="61" t="s">
        <v>262</v>
      </c>
      <c r="T38" s="30" t="s">
        <v>263</v>
      </c>
      <c r="U38" s="48" t="s">
        <v>219</v>
      </c>
      <c r="V38" s="62" t="s">
        <v>145</v>
      </c>
      <c r="W38" s="48" t="s">
        <v>176</v>
      </c>
      <c r="X38" s="48"/>
      <c r="Y38" s="48" t="s">
        <v>128</v>
      </c>
      <c r="Z38" s="48" t="s">
        <v>128</v>
      </c>
      <c r="AA38" s="20" t="s">
        <v>148</v>
      </c>
      <c r="AB38" s="72" t="s">
        <v>177</v>
      </c>
      <c r="AC38" s="48" t="s">
        <v>249</v>
      </c>
      <c r="AD38" s="48" t="s">
        <v>178</v>
      </c>
      <c r="AE38" s="48"/>
      <c r="AF38" s="48" t="s">
        <v>179</v>
      </c>
      <c r="AG38" s="48" t="s">
        <v>152</v>
      </c>
      <c r="AH38" s="48" t="s">
        <v>180</v>
      </c>
      <c r="AI38" s="48"/>
      <c r="AJ38" s="50">
        <v>40298</v>
      </c>
      <c r="AK38" s="50">
        <v>40298</v>
      </c>
      <c r="AL38" s="51">
        <f t="shared" si="4"/>
        <v>15.515068493150684</v>
      </c>
      <c r="AM38" s="52">
        <v>8</v>
      </c>
      <c r="AN38" s="48" t="s">
        <v>157</v>
      </c>
      <c r="AO38" s="30" t="s">
        <v>133</v>
      </c>
      <c r="AP38" s="30" t="s">
        <v>134</v>
      </c>
      <c r="AQ38" s="30">
        <v>0.56320000000000003</v>
      </c>
      <c r="AR38" s="30">
        <v>1229</v>
      </c>
      <c r="AS38" s="30">
        <v>1142</v>
      </c>
      <c r="AT38" s="30">
        <v>933</v>
      </c>
      <c r="AU38" s="53">
        <v>165318994</v>
      </c>
      <c r="AV38" s="54"/>
      <c r="AW38" s="54"/>
      <c r="AX38" s="54">
        <v>165318994</v>
      </c>
      <c r="AY38" s="54"/>
      <c r="AZ38" s="54"/>
      <c r="BA38" s="74">
        <v>0</v>
      </c>
      <c r="BB38" s="74">
        <v>0</v>
      </c>
      <c r="BC38" s="52">
        <v>96</v>
      </c>
      <c r="BD38" s="52">
        <v>188</v>
      </c>
      <c r="BE38" s="52">
        <v>0</v>
      </c>
      <c r="BF38" s="30"/>
      <c r="BG38" s="30" t="s">
        <v>135</v>
      </c>
      <c r="BH38" s="30" t="s">
        <v>136</v>
      </c>
      <c r="BI38" s="30" t="str">
        <f t="shared" si="18"/>
        <v>Test</v>
      </c>
      <c r="BJ38" s="30" t="s">
        <v>250</v>
      </c>
      <c r="BK38" s="56">
        <f t="shared" si="19"/>
        <v>3306379.88</v>
      </c>
      <c r="BL38" s="57">
        <f t="shared" si="20"/>
        <v>103324.37125</v>
      </c>
      <c r="BM38" s="57">
        <f t="shared" si="5"/>
        <v>34441.457083333335</v>
      </c>
      <c r="BU38" s="58">
        <f t="shared" si="6"/>
        <v>103324.37125</v>
      </c>
      <c r="BV38" s="58">
        <f t="shared" si="7"/>
        <v>103324.37125</v>
      </c>
      <c r="BW38" s="58">
        <f t="shared" si="29"/>
        <v>206648.74249999999</v>
      </c>
      <c r="BX38" s="58">
        <f t="shared" si="9"/>
        <v>103324.37125</v>
      </c>
      <c r="BY38" s="58">
        <f t="shared" si="30"/>
        <v>103324.37125</v>
      </c>
      <c r="BZ38" s="58">
        <f t="shared" si="30"/>
        <v>103324.37125</v>
      </c>
      <c r="CA38" s="58">
        <f t="shared" si="30"/>
        <v>103324.37125</v>
      </c>
      <c r="CB38" s="58">
        <f t="shared" si="11"/>
        <v>413297.48499999999</v>
      </c>
      <c r="CC38" s="58">
        <f t="shared" si="12"/>
        <v>103324.37125</v>
      </c>
      <c r="CD38" s="58">
        <f t="shared" si="31"/>
        <v>103324.37125</v>
      </c>
      <c r="CE38" s="58">
        <f t="shared" si="31"/>
        <v>103324.37125</v>
      </c>
      <c r="CF38" s="58">
        <f t="shared" si="31"/>
        <v>103324.37125</v>
      </c>
      <c r="CG38" s="58">
        <f t="shared" si="14"/>
        <v>413297.48499999999</v>
      </c>
      <c r="CH38" s="58">
        <f t="shared" si="15"/>
        <v>103324.37125</v>
      </c>
      <c r="CI38" s="58">
        <f t="shared" si="16"/>
        <v>103324.37125</v>
      </c>
      <c r="CJ38" s="58">
        <f t="shared" si="16"/>
        <v>103324.37125</v>
      </c>
      <c r="CK38" s="58">
        <f t="shared" si="16"/>
        <v>103324.37125</v>
      </c>
      <c r="CL38" s="58">
        <f t="shared" si="17"/>
        <v>413297.48499999999</v>
      </c>
      <c r="CP38" s="2">
        <f t="shared" si="28"/>
        <v>3306379.88</v>
      </c>
    </row>
    <row r="39" spans="1:94" ht="16.5" hidden="1" x14ac:dyDescent="0.3">
      <c r="A39" s="2">
        <v>34</v>
      </c>
      <c r="B39" s="47" t="s">
        <v>21</v>
      </c>
      <c r="C39" s="47"/>
      <c r="D39" s="30" t="s">
        <v>114</v>
      </c>
      <c r="E39" s="30" t="s">
        <v>115</v>
      </c>
      <c r="F39" s="30" t="s">
        <v>116</v>
      </c>
      <c r="G39" s="48" t="s">
        <v>117</v>
      </c>
      <c r="H39" s="48" t="s">
        <v>118</v>
      </c>
      <c r="I39" s="30" t="s">
        <v>119</v>
      </c>
      <c r="J39" s="30" t="s">
        <v>120</v>
      </c>
      <c r="K39" s="30" t="s">
        <v>121</v>
      </c>
      <c r="L39" s="30" t="s">
        <v>122</v>
      </c>
      <c r="M39" s="73">
        <v>2100261</v>
      </c>
      <c r="N39" s="48" t="s">
        <v>138</v>
      </c>
      <c r="O39" s="48" t="s">
        <v>264</v>
      </c>
      <c r="P39" s="30" t="s">
        <v>231</v>
      </c>
      <c r="Q39" s="30" t="s">
        <v>232</v>
      </c>
      <c r="R39" s="30" t="s">
        <v>142</v>
      </c>
      <c r="S39" s="61">
        <v>310467051</v>
      </c>
      <c r="T39" s="30" t="s">
        <v>265</v>
      </c>
      <c r="U39" s="48" t="s">
        <v>219</v>
      </c>
      <c r="V39" s="62" t="s">
        <v>145</v>
      </c>
      <c r="W39" s="48" t="s">
        <v>146</v>
      </c>
      <c r="X39" s="48" t="s">
        <v>255</v>
      </c>
      <c r="Y39" s="48" t="s">
        <v>128</v>
      </c>
      <c r="Z39" s="48" t="s">
        <v>128</v>
      </c>
      <c r="AA39" s="20" t="s">
        <v>148</v>
      </c>
      <c r="AB39" s="48" t="s">
        <v>149</v>
      </c>
      <c r="AC39" s="48" t="s">
        <v>150</v>
      </c>
      <c r="AD39" s="48"/>
      <c r="AE39" s="48"/>
      <c r="AF39" s="48" t="s">
        <v>151</v>
      </c>
      <c r="AG39" s="48" t="s">
        <v>152</v>
      </c>
      <c r="AH39" s="48" t="s">
        <v>153</v>
      </c>
      <c r="AI39" s="48"/>
      <c r="AJ39" s="50">
        <v>40329</v>
      </c>
      <c r="AK39" s="50">
        <v>40329</v>
      </c>
      <c r="AL39" s="51">
        <f t="shared" si="4"/>
        <v>15.43013698630137</v>
      </c>
      <c r="AM39" s="52">
        <v>8</v>
      </c>
      <c r="AN39" s="48" t="s">
        <v>157</v>
      </c>
      <c r="AO39" s="30" t="s">
        <v>133</v>
      </c>
      <c r="AP39" s="30" t="s">
        <v>134</v>
      </c>
      <c r="AQ39" s="30">
        <v>9.8308320000000009</v>
      </c>
      <c r="AR39" s="30">
        <v>950</v>
      </c>
      <c r="AS39" s="30">
        <v>1250</v>
      </c>
      <c r="AT39" s="30">
        <v>1800</v>
      </c>
      <c r="AU39" s="53">
        <v>862466654</v>
      </c>
      <c r="AV39" s="54"/>
      <c r="AW39" s="54"/>
      <c r="AX39" s="54">
        <v>862466654</v>
      </c>
      <c r="AY39" s="54"/>
      <c r="AZ39" s="54"/>
      <c r="BA39" s="54">
        <v>1000</v>
      </c>
      <c r="BB39" s="54">
        <v>1000</v>
      </c>
      <c r="BC39" s="52">
        <v>96</v>
      </c>
      <c r="BD39" s="52">
        <v>187</v>
      </c>
      <c r="BE39" s="52">
        <v>0</v>
      </c>
      <c r="BF39" s="30"/>
      <c r="BG39" s="30" t="s">
        <v>135</v>
      </c>
      <c r="BH39" s="30" t="s">
        <v>136</v>
      </c>
      <c r="BI39" s="30" t="str">
        <f t="shared" si="18"/>
        <v>Test</v>
      </c>
      <c r="BJ39" s="47" t="s">
        <v>137</v>
      </c>
      <c r="BK39" s="56">
        <f t="shared" si="19"/>
        <v>17249333.080000002</v>
      </c>
      <c r="BL39" s="57">
        <f t="shared" si="20"/>
        <v>539041.65875000006</v>
      </c>
      <c r="BM39" s="57">
        <f t="shared" si="5"/>
        <v>179680.5529166667</v>
      </c>
      <c r="BU39" s="58">
        <f t="shared" si="6"/>
        <v>539041.65875000006</v>
      </c>
      <c r="BV39" s="58">
        <f t="shared" si="7"/>
        <v>539041.65875000006</v>
      </c>
      <c r="BW39" s="58">
        <f t="shared" si="29"/>
        <v>1078083.3175000001</v>
      </c>
      <c r="BX39" s="58">
        <f t="shared" si="9"/>
        <v>539041.65875000006</v>
      </c>
      <c r="BY39" s="58">
        <f t="shared" si="30"/>
        <v>539041.65875000006</v>
      </c>
      <c r="BZ39" s="58">
        <f t="shared" si="30"/>
        <v>539041.65875000006</v>
      </c>
      <c r="CA39" s="58">
        <f t="shared" si="30"/>
        <v>539041.65875000006</v>
      </c>
      <c r="CB39" s="58">
        <f t="shared" si="11"/>
        <v>2156166.6350000002</v>
      </c>
      <c r="CC39" s="58">
        <f t="shared" si="12"/>
        <v>539041.65875000006</v>
      </c>
      <c r="CD39" s="58">
        <f t="shared" si="31"/>
        <v>539041.65875000006</v>
      </c>
      <c r="CE39" s="58">
        <f t="shared" si="31"/>
        <v>539041.65875000006</v>
      </c>
      <c r="CF39" s="58">
        <f t="shared" si="31"/>
        <v>539041.65875000006</v>
      </c>
      <c r="CG39" s="58">
        <f t="shared" si="14"/>
        <v>2156166.6350000002</v>
      </c>
      <c r="CH39" s="58">
        <f t="shared" si="15"/>
        <v>539041.65875000006</v>
      </c>
      <c r="CI39" s="58">
        <f t="shared" si="16"/>
        <v>539041.65875000006</v>
      </c>
      <c r="CJ39" s="58">
        <f t="shared" si="16"/>
        <v>539041.65875000006</v>
      </c>
      <c r="CK39" s="58">
        <f t="shared" si="16"/>
        <v>539041.65875000006</v>
      </c>
      <c r="CL39" s="58">
        <f t="shared" si="17"/>
        <v>2156166.6350000002</v>
      </c>
      <c r="CP39" s="2">
        <f t="shared" si="28"/>
        <v>17249333.080000002</v>
      </c>
    </row>
    <row r="40" spans="1:94" ht="16.5" hidden="1" x14ac:dyDescent="0.3">
      <c r="A40" s="2">
        <v>35</v>
      </c>
      <c r="B40" s="47" t="s">
        <v>21</v>
      </c>
      <c r="C40" s="47"/>
      <c r="D40" s="30" t="s">
        <v>114</v>
      </c>
      <c r="E40" s="30" t="s">
        <v>115</v>
      </c>
      <c r="F40" s="30" t="s">
        <v>116</v>
      </c>
      <c r="G40" s="48" t="s">
        <v>117</v>
      </c>
      <c r="H40" s="48" t="s">
        <v>118</v>
      </c>
      <c r="I40" s="30" t="s">
        <v>119</v>
      </c>
      <c r="J40" s="30" t="s">
        <v>120</v>
      </c>
      <c r="K40" s="30" t="s">
        <v>121</v>
      </c>
      <c r="L40" s="30" t="s">
        <v>122</v>
      </c>
      <c r="M40" s="73">
        <v>2100262</v>
      </c>
      <c r="N40" s="48" t="s">
        <v>138</v>
      </c>
      <c r="O40" s="48" t="s">
        <v>266</v>
      </c>
      <c r="P40" s="30" t="s">
        <v>231</v>
      </c>
      <c r="Q40" s="30" t="s">
        <v>232</v>
      </c>
      <c r="R40" s="30" t="s">
        <v>142</v>
      </c>
      <c r="S40" s="61">
        <v>310466002</v>
      </c>
      <c r="T40" s="30" t="s">
        <v>267</v>
      </c>
      <c r="U40" s="48" t="s">
        <v>219</v>
      </c>
      <c r="V40" s="62" t="s">
        <v>145</v>
      </c>
      <c r="W40" s="48" t="s">
        <v>146</v>
      </c>
      <c r="X40" s="48" t="s">
        <v>127</v>
      </c>
      <c r="Y40" s="48" t="s">
        <v>128</v>
      </c>
      <c r="Z40" s="48" t="s">
        <v>128</v>
      </c>
      <c r="AA40" s="20" t="s">
        <v>148</v>
      </c>
      <c r="AB40" s="48" t="s">
        <v>149</v>
      </c>
      <c r="AC40" s="48" t="s">
        <v>150</v>
      </c>
      <c r="AD40" s="48"/>
      <c r="AE40" s="48"/>
      <c r="AF40" s="48" t="s">
        <v>151</v>
      </c>
      <c r="AG40" s="48" t="s">
        <v>152</v>
      </c>
      <c r="AH40" s="48" t="s">
        <v>153</v>
      </c>
      <c r="AI40" s="48"/>
      <c r="AJ40" s="50">
        <v>40329</v>
      </c>
      <c r="AK40" s="50">
        <v>40329</v>
      </c>
      <c r="AL40" s="51">
        <f t="shared" si="4"/>
        <v>15.43013698630137</v>
      </c>
      <c r="AM40" s="52">
        <v>8</v>
      </c>
      <c r="AN40" s="48" t="s">
        <v>212</v>
      </c>
      <c r="AO40" s="30" t="s">
        <v>133</v>
      </c>
      <c r="AP40" s="30" t="s">
        <v>134</v>
      </c>
      <c r="AQ40" s="30">
        <v>9.8308320000000009</v>
      </c>
      <c r="AR40" s="30">
        <v>950</v>
      </c>
      <c r="AS40" s="30">
        <v>1250</v>
      </c>
      <c r="AT40" s="30">
        <v>1800</v>
      </c>
      <c r="AU40" s="53">
        <v>862466653</v>
      </c>
      <c r="AV40" s="54"/>
      <c r="AW40" s="54"/>
      <c r="AX40" s="54">
        <v>862466653</v>
      </c>
      <c r="AY40" s="54"/>
      <c r="AZ40" s="54"/>
      <c r="BA40" s="54">
        <v>0</v>
      </c>
      <c r="BB40" s="55">
        <v>0</v>
      </c>
      <c r="BC40" s="52">
        <v>96</v>
      </c>
      <c r="BD40" s="52">
        <v>187</v>
      </c>
      <c r="BE40" s="52">
        <v>0</v>
      </c>
      <c r="BF40" s="30"/>
      <c r="BG40" s="30" t="s">
        <v>135</v>
      </c>
      <c r="BH40" s="30" t="s">
        <v>136</v>
      </c>
      <c r="BI40" s="30" t="str">
        <f t="shared" si="18"/>
        <v>Test</v>
      </c>
      <c r="BJ40" s="47" t="s">
        <v>137</v>
      </c>
      <c r="BK40" s="56">
        <f t="shared" si="19"/>
        <v>17249333.059999999</v>
      </c>
      <c r="BL40" s="57">
        <f t="shared" si="20"/>
        <v>1644356.8045599107</v>
      </c>
      <c r="BM40" s="57">
        <f t="shared" si="5"/>
        <v>548118.9348533036</v>
      </c>
      <c r="BU40" s="58">
        <f t="shared" si="6"/>
        <v>1644356.8045599107</v>
      </c>
      <c r="BV40" s="58">
        <f t="shared" si="7"/>
        <v>1644356.8045599107</v>
      </c>
      <c r="BW40" s="58">
        <f t="shared" si="29"/>
        <v>3288713.6091198213</v>
      </c>
      <c r="BX40" s="58">
        <f t="shared" si="9"/>
        <v>1644356.8045599107</v>
      </c>
      <c r="BY40" s="58">
        <f t="shared" si="30"/>
        <v>1644356.8045599107</v>
      </c>
      <c r="BZ40" s="58">
        <f t="shared" si="30"/>
        <v>1644356.8045599107</v>
      </c>
      <c r="CA40" s="58">
        <f t="shared" si="30"/>
        <v>1644356.8045599107</v>
      </c>
      <c r="CB40" s="58">
        <f t="shared" si="11"/>
        <v>6577427.2182396427</v>
      </c>
      <c r="CC40" s="58">
        <f t="shared" si="12"/>
        <v>1644356.8045599107</v>
      </c>
      <c r="CD40" s="58">
        <f t="shared" si="31"/>
        <v>1644356.8045599107</v>
      </c>
      <c r="CE40" s="58">
        <f t="shared" si="31"/>
        <v>1644356.8045599107</v>
      </c>
      <c r="CF40" s="58">
        <f t="shared" si="31"/>
        <v>1644356.8045599107</v>
      </c>
      <c r="CG40" s="58">
        <f t="shared" si="14"/>
        <v>6577427.2182396427</v>
      </c>
      <c r="CH40" s="58">
        <f t="shared" si="15"/>
        <v>1644356.8045599107</v>
      </c>
      <c r="CI40" s="58">
        <f t="shared" si="16"/>
        <v>1644356.8045599107</v>
      </c>
      <c r="CJ40" s="58">
        <f t="shared" si="16"/>
        <v>1644356.8045599107</v>
      </c>
      <c r="CK40" s="58">
        <f t="shared" si="16"/>
        <v>1644356.8045599107</v>
      </c>
      <c r="CL40" s="58">
        <f t="shared" si="17"/>
        <v>6577427.2182396427</v>
      </c>
      <c r="CN40" s="59">
        <f>BK40/$CN$3</f>
        <v>1.6842897469484357E-3</v>
      </c>
      <c r="CO40" s="64">
        <f>CN40*$CO$4</f>
        <v>35370084.685917147</v>
      </c>
      <c r="CP40" s="2">
        <f t="shared" si="28"/>
        <v>52619417.745917141</v>
      </c>
    </row>
    <row r="41" spans="1:94" hidden="1" x14ac:dyDescent="0.3">
      <c r="A41" s="29">
        <v>36</v>
      </c>
      <c r="B41" s="30" t="s">
        <v>21</v>
      </c>
      <c r="C41" s="30"/>
      <c r="D41" s="30" t="s">
        <v>114</v>
      </c>
      <c r="E41" s="30" t="s">
        <v>115</v>
      </c>
      <c r="F41" s="30" t="s">
        <v>116</v>
      </c>
      <c r="G41" s="48" t="s">
        <v>117</v>
      </c>
      <c r="H41" s="48" t="s">
        <v>118</v>
      </c>
      <c r="I41" s="30" t="s">
        <v>119</v>
      </c>
      <c r="J41" s="30" t="s">
        <v>120</v>
      </c>
      <c r="K41" s="30" t="s">
        <v>121</v>
      </c>
      <c r="L41" s="30" t="s">
        <v>122</v>
      </c>
      <c r="M41" s="73">
        <v>2100263</v>
      </c>
      <c r="N41" s="48" t="s">
        <v>138</v>
      </c>
      <c r="O41" s="48" t="s">
        <v>268</v>
      </c>
      <c r="P41" s="30" t="s">
        <v>172</v>
      </c>
      <c r="Q41" s="30" t="s">
        <v>172</v>
      </c>
      <c r="R41" s="30" t="s">
        <v>173</v>
      </c>
      <c r="S41" s="61" t="s">
        <v>269</v>
      </c>
      <c r="T41" s="30" t="s">
        <v>270</v>
      </c>
      <c r="U41" s="48" t="s">
        <v>219</v>
      </c>
      <c r="V41" s="62" t="s">
        <v>145</v>
      </c>
      <c r="W41" s="48" t="s">
        <v>176</v>
      </c>
      <c r="X41" s="48"/>
      <c r="Y41" s="48" t="s">
        <v>128</v>
      </c>
      <c r="Z41" s="48" t="s">
        <v>128</v>
      </c>
      <c r="AA41" s="20" t="s">
        <v>148</v>
      </c>
      <c r="AB41" s="72" t="s">
        <v>177</v>
      </c>
      <c r="AC41" s="48" t="s">
        <v>249</v>
      </c>
      <c r="AD41" s="48" t="s">
        <v>178</v>
      </c>
      <c r="AE41" s="48"/>
      <c r="AF41" s="48" t="s">
        <v>179</v>
      </c>
      <c r="AG41" s="48" t="s">
        <v>152</v>
      </c>
      <c r="AH41" s="48" t="s">
        <v>180</v>
      </c>
      <c r="AI41" s="48"/>
      <c r="AJ41" s="50">
        <v>40329</v>
      </c>
      <c r="AK41" s="50">
        <v>40329</v>
      </c>
      <c r="AL41" s="51">
        <f t="shared" si="4"/>
        <v>15.43013698630137</v>
      </c>
      <c r="AM41" s="52">
        <v>8</v>
      </c>
      <c r="AN41" s="48" t="s">
        <v>157</v>
      </c>
      <c r="AO41" s="30" t="s">
        <v>133</v>
      </c>
      <c r="AP41" s="30" t="s">
        <v>134</v>
      </c>
      <c r="AQ41" s="30">
        <v>0.56320000000000003</v>
      </c>
      <c r="AR41" s="30">
        <v>1229</v>
      </c>
      <c r="AS41" s="30">
        <v>1142</v>
      </c>
      <c r="AT41" s="30">
        <v>933</v>
      </c>
      <c r="AU41" s="53">
        <v>174172069</v>
      </c>
      <c r="AV41" s="54"/>
      <c r="AW41" s="54"/>
      <c r="AX41" s="54">
        <v>174172069</v>
      </c>
      <c r="AY41" s="54"/>
      <c r="AZ41" s="54"/>
      <c r="BA41" s="74">
        <v>1000</v>
      </c>
      <c r="BB41" s="74">
        <v>1000</v>
      </c>
      <c r="BC41" s="52">
        <v>96</v>
      </c>
      <c r="BD41" s="52">
        <v>187</v>
      </c>
      <c r="BE41" s="52">
        <v>0</v>
      </c>
      <c r="BF41" s="30"/>
      <c r="BG41" s="30" t="s">
        <v>135</v>
      </c>
      <c r="BH41" s="30" t="s">
        <v>136</v>
      </c>
      <c r="BI41" s="30" t="str">
        <f t="shared" si="18"/>
        <v>Test</v>
      </c>
      <c r="BJ41" s="30" t="s">
        <v>250</v>
      </c>
      <c r="BK41" s="56">
        <f t="shared" si="19"/>
        <v>3483441.38</v>
      </c>
      <c r="BL41" s="57">
        <f t="shared" si="20"/>
        <v>108857.543125</v>
      </c>
      <c r="BM41" s="57">
        <f t="shared" si="5"/>
        <v>36285.847708333335</v>
      </c>
      <c r="BU41" s="58">
        <f t="shared" si="6"/>
        <v>108857.543125</v>
      </c>
      <c r="BV41" s="58">
        <f t="shared" si="7"/>
        <v>108857.543125</v>
      </c>
      <c r="BW41" s="58">
        <f t="shared" si="29"/>
        <v>217715.08624999999</v>
      </c>
      <c r="BX41" s="58">
        <f t="shared" si="9"/>
        <v>108857.543125</v>
      </c>
      <c r="BY41" s="58">
        <f t="shared" si="30"/>
        <v>108857.543125</v>
      </c>
      <c r="BZ41" s="58">
        <f t="shared" si="30"/>
        <v>108857.543125</v>
      </c>
      <c r="CA41" s="58">
        <f t="shared" si="30"/>
        <v>108857.543125</v>
      </c>
      <c r="CB41" s="58">
        <f t="shared" si="11"/>
        <v>435430.17249999999</v>
      </c>
      <c r="CC41" s="58">
        <f t="shared" si="12"/>
        <v>108857.543125</v>
      </c>
      <c r="CD41" s="58">
        <f t="shared" si="31"/>
        <v>108857.543125</v>
      </c>
      <c r="CE41" s="58">
        <f t="shared" si="31"/>
        <v>108857.543125</v>
      </c>
      <c r="CF41" s="58">
        <f t="shared" si="31"/>
        <v>108857.543125</v>
      </c>
      <c r="CG41" s="58">
        <f t="shared" si="14"/>
        <v>435430.17249999999</v>
      </c>
      <c r="CH41" s="58">
        <f t="shared" si="15"/>
        <v>108857.543125</v>
      </c>
      <c r="CI41" s="58">
        <f t="shared" si="16"/>
        <v>108857.543125</v>
      </c>
      <c r="CJ41" s="58">
        <f t="shared" si="16"/>
        <v>108857.543125</v>
      </c>
      <c r="CK41" s="58">
        <f t="shared" si="16"/>
        <v>108857.543125</v>
      </c>
      <c r="CL41" s="58">
        <f t="shared" si="17"/>
        <v>435430.17249999999</v>
      </c>
      <c r="CP41" s="2">
        <f t="shared" si="28"/>
        <v>3483441.38</v>
      </c>
    </row>
    <row r="42" spans="1:94" hidden="1" x14ac:dyDescent="0.3">
      <c r="A42" s="29">
        <v>37</v>
      </c>
      <c r="B42" s="30" t="s">
        <v>21</v>
      </c>
      <c r="C42" s="30"/>
      <c r="D42" s="30" t="s">
        <v>114</v>
      </c>
      <c r="E42" s="30" t="s">
        <v>115</v>
      </c>
      <c r="F42" s="30" t="s">
        <v>116</v>
      </c>
      <c r="G42" s="48" t="s">
        <v>117</v>
      </c>
      <c r="H42" s="48" t="s">
        <v>118</v>
      </c>
      <c r="I42" s="30" t="s">
        <v>119</v>
      </c>
      <c r="J42" s="30" t="s">
        <v>120</v>
      </c>
      <c r="K42" s="30" t="s">
        <v>121</v>
      </c>
      <c r="L42" s="30" t="s">
        <v>122</v>
      </c>
      <c r="M42" s="73">
        <v>2100264</v>
      </c>
      <c r="N42" s="48" t="s">
        <v>138</v>
      </c>
      <c r="O42" s="48" t="s">
        <v>271</v>
      </c>
      <c r="P42" s="30" t="s">
        <v>172</v>
      </c>
      <c r="Q42" s="30" t="s">
        <v>172</v>
      </c>
      <c r="R42" s="30" t="s">
        <v>173</v>
      </c>
      <c r="S42" s="61" t="s">
        <v>272</v>
      </c>
      <c r="T42" s="30" t="s">
        <v>273</v>
      </c>
      <c r="U42" s="48" t="s">
        <v>219</v>
      </c>
      <c r="V42" s="62" t="s">
        <v>145</v>
      </c>
      <c r="W42" s="48" t="s">
        <v>176</v>
      </c>
      <c r="X42" s="48"/>
      <c r="Y42" s="48" t="s">
        <v>128</v>
      </c>
      <c r="Z42" s="48" t="s">
        <v>128</v>
      </c>
      <c r="AA42" s="20" t="s">
        <v>148</v>
      </c>
      <c r="AB42" s="72" t="s">
        <v>177</v>
      </c>
      <c r="AC42" s="48" t="s">
        <v>249</v>
      </c>
      <c r="AD42" s="48" t="s">
        <v>178</v>
      </c>
      <c r="AE42" s="48"/>
      <c r="AF42" s="48" t="s">
        <v>179</v>
      </c>
      <c r="AG42" s="48" t="s">
        <v>152</v>
      </c>
      <c r="AH42" s="48" t="s">
        <v>180</v>
      </c>
      <c r="AI42" s="48"/>
      <c r="AJ42" s="50">
        <v>40329</v>
      </c>
      <c r="AK42" s="50">
        <v>40329</v>
      </c>
      <c r="AL42" s="51">
        <f t="shared" si="4"/>
        <v>15.43013698630137</v>
      </c>
      <c r="AM42" s="52">
        <v>8</v>
      </c>
      <c r="AN42" s="48" t="s">
        <v>157</v>
      </c>
      <c r="AO42" s="30" t="s">
        <v>133</v>
      </c>
      <c r="AP42" s="30" t="s">
        <v>134</v>
      </c>
      <c r="AQ42" s="30">
        <v>0.56320000000000003</v>
      </c>
      <c r="AR42" s="30">
        <v>1229</v>
      </c>
      <c r="AS42" s="30">
        <v>1142</v>
      </c>
      <c r="AT42" s="30">
        <v>933</v>
      </c>
      <c r="AU42" s="53">
        <v>174172069</v>
      </c>
      <c r="AV42" s="54"/>
      <c r="AW42" s="54"/>
      <c r="AX42" s="54">
        <v>174172069</v>
      </c>
      <c r="AY42" s="54"/>
      <c r="AZ42" s="54"/>
      <c r="BA42" s="74">
        <v>0</v>
      </c>
      <c r="BB42" s="74">
        <v>0</v>
      </c>
      <c r="BC42" s="52">
        <v>96</v>
      </c>
      <c r="BD42" s="52">
        <v>187</v>
      </c>
      <c r="BE42" s="52">
        <v>0</v>
      </c>
      <c r="BF42" s="30"/>
      <c r="BG42" s="30" t="s">
        <v>135</v>
      </c>
      <c r="BH42" s="30" t="s">
        <v>136</v>
      </c>
      <c r="BI42" s="30" t="str">
        <f t="shared" si="18"/>
        <v>Test</v>
      </c>
      <c r="BJ42" s="30" t="s">
        <v>250</v>
      </c>
      <c r="BK42" s="56">
        <f t="shared" si="19"/>
        <v>3483441.38</v>
      </c>
      <c r="BL42" s="57">
        <f t="shared" si="20"/>
        <v>108857.543125</v>
      </c>
      <c r="BM42" s="57">
        <f t="shared" si="5"/>
        <v>36285.847708333335</v>
      </c>
      <c r="BU42" s="58">
        <f t="shared" si="6"/>
        <v>108857.543125</v>
      </c>
      <c r="BV42" s="58">
        <f t="shared" si="7"/>
        <v>108857.543125</v>
      </c>
      <c r="BW42" s="58">
        <f t="shared" si="29"/>
        <v>217715.08624999999</v>
      </c>
      <c r="BX42" s="58">
        <f t="shared" si="9"/>
        <v>108857.543125</v>
      </c>
      <c r="BY42" s="58">
        <f t="shared" si="30"/>
        <v>108857.543125</v>
      </c>
      <c r="BZ42" s="58">
        <f t="shared" si="30"/>
        <v>108857.543125</v>
      </c>
      <c r="CA42" s="58">
        <f t="shared" si="30"/>
        <v>108857.543125</v>
      </c>
      <c r="CB42" s="58">
        <f t="shared" si="11"/>
        <v>435430.17249999999</v>
      </c>
      <c r="CC42" s="58">
        <f t="shared" si="12"/>
        <v>108857.543125</v>
      </c>
      <c r="CD42" s="58">
        <f t="shared" si="31"/>
        <v>108857.543125</v>
      </c>
      <c r="CE42" s="58">
        <f t="shared" si="31"/>
        <v>108857.543125</v>
      </c>
      <c r="CF42" s="58">
        <f t="shared" si="31"/>
        <v>108857.543125</v>
      </c>
      <c r="CG42" s="58">
        <f t="shared" si="14"/>
        <v>435430.17249999999</v>
      </c>
      <c r="CH42" s="58">
        <f t="shared" si="15"/>
        <v>108857.543125</v>
      </c>
      <c r="CI42" s="58">
        <f t="shared" si="16"/>
        <v>108857.543125</v>
      </c>
      <c r="CJ42" s="58">
        <f t="shared" si="16"/>
        <v>108857.543125</v>
      </c>
      <c r="CK42" s="58">
        <f t="shared" si="16"/>
        <v>108857.543125</v>
      </c>
      <c r="CL42" s="58">
        <f t="shared" si="17"/>
        <v>435430.17249999999</v>
      </c>
      <c r="CP42" s="2">
        <f t="shared" si="28"/>
        <v>3483441.38</v>
      </c>
    </row>
    <row r="43" spans="1:94" ht="16.5" hidden="1" x14ac:dyDescent="0.3">
      <c r="A43" s="2">
        <v>38</v>
      </c>
      <c r="B43" s="47" t="s">
        <v>21</v>
      </c>
      <c r="C43" s="47"/>
      <c r="D43" s="30" t="s">
        <v>114</v>
      </c>
      <c r="E43" s="30" t="s">
        <v>115</v>
      </c>
      <c r="F43" s="30" t="s">
        <v>116</v>
      </c>
      <c r="G43" s="48" t="s">
        <v>117</v>
      </c>
      <c r="H43" s="48" t="s">
        <v>118</v>
      </c>
      <c r="I43" s="30" t="s">
        <v>119</v>
      </c>
      <c r="J43" s="30" t="s">
        <v>120</v>
      </c>
      <c r="K43" s="30" t="s">
        <v>121</v>
      </c>
      <c r="L43" s="30" t="s">
        <v>122</v>
      </c>
      <c r="M43" s="73">
        <v>2100265</v>
      </c>
      <c r="N43" s="48" t="s">
        <v>138</v>
      </c>
      <c r="O43" s="48" t="s">
        <v>274</v>
      </c>
      <c r="P43" s="30" t="s">
        <v>231</v>
      </c>
      <c r="Q43" s="30" t="s">
        <v>232</v>
      </c>
      <c r="R43" s="30" t="s">
        <v>142</v>
      </c>
      <c r="S43" s="61">
        <v>310467055</v>
      </c>
      <c r="T43" s="30" t="s">
        <v>275</v>
      </c>
      <c r="U43" s="48" t="s">
        <v>219</v>
      </c>
      <c r="V43" s="62" t="s">
        <v>145</v>
      </c>
      <c r="W43" s="48" t="s">
        <v>146</v>
      </c>
      <c r="X43" s="48" t="s">
        <v>127</v>
      </c>
      <c r="Y43" s="48" t="s">
        <v>128</v>
      </c>
      <c r="Z43" s="48" t="s">
        <v>128</v>
      </c>
      <c r="AA43" s="20" t="s">
        <v>148</v>
      </c>
      <c r="AB43" s="48" t="s">
        <v>149</v>
      </c>
      <c r="AC43" s="48" t="s">
        <v>150</v>
      </c>
      <c r="AD43" s="48"/>
      <c r="AE43" s="48"/>
      <c r="AF43" s="48" t="s">
        <v>151</v>
      </c>
      <c r="AG43" s="48" t="s">
        <v>152</v>
      </c>
      <c r="AH43" s="48" t="s">
        <v>153</v>
      </c>
      <c r="AI43" s="48"/>
      <c r="AJ43" s="50">
        <v>40359</v>
      </c>
      <c r="AK43" s="50">
        <v>40359</v>
      </c>
      <c r="AL43" s="51">
        <f t="shared" si="4"/>
        <v>15.347945205479451</v>
      </c>
      <c r="AM43" s="52">
        <v>8</v>
      </c>
      <c r="AN43" s="48" t="s">
        <v>220</v>
      </c>
      <c r="AO43" s="30" t="s">
        <v>133</v>
      </c>
      <c r="AP43" s="30" t="s">
        <v>134</v>
      </c>
      <c r="AQ43" s="30">
        <v>9.8308320000000009</v>
      </c>
      <c r="AR43" s="30">
        <v>950</v>
      </c>
      <c r="AS43" s="30">
        <v>1250</v>
      </c>
      <c r="AT43" s="30">
        <v>1800</v>
      </c>
      <c r="AU43" s="53">
        <v>859370372</v>
      </c>
      <c r="AV43" s="54"/>
      <c r="AW43" s="54"/>
      <c r="AX43" s="54">
        <v>859370372</v>
      </c>
      <c r="AY43" s="54"/>
      <c r="AZ43" s="54"/>
      <c r="BA43" s="54">
        <v>1000</v>
      </c>
      <c r="BB43" s="55">
        <v>1000</v>
      </c>
      <c r="BC43" s="52">
        <v>96</v>
      </c>
      <c r="BD43" s="52">
        <v>186</v>
      </c>
      <c r="BE43" s="52">
        <v>0</v>
      </c>
      <c r="BF43" s="30"/>
      <c r="BG43" s="30" t="s">
        <v>135</v>
      </c>
      <c r="BH43" s="30" t="s">
        <v>136</v>
      </c>
      <c r="BI43" s="30" t="str">
        <f t="shared" si="18"/>
        <v>Test</v>
      </c>
      <c r="BJ43" s="47" t="s">
        <v>137</v>
      </c>
      <c r="BK43" s="56">
        <f t="shared" si="19"/>
        <v>17187407.440000001</v>
      </c>
      <c r="BL43" s="57">
        <f t="shared" si="20"/>
        <v>1638453.5146025899</v>
      </c>
      <c r="BM43" s="57">
        <f t="shared" si="5"/>
        <v>546151.17153419659</v>
      </c>
      <c r="BU43" s="58">
        <f t="shared" si="6"/>
        <v>1638453.5146025899</v>
      </c>
      <c r="BV43" s="58">
        <f t="shared" si="7"/>
        <v>1638453.5146025899</v>
      </c>
      <c r="BW43" s="58">
        <f t="shared" si="29"/>
        <v>3276907.0292051798</v>
      </c>
      <c r="BX43" s="58">
        <f t="shared" si="9"/>
        <v>1638453.5146025899</v>
      </c>
      <c r="BY43" s="58">
        <f t="shared" si="30"/>
        <v>1638453.5146025899</v>
      </c>
      <c r="BZ43" s="58">
        <f t="shared" si="30"/>
        <v>1638453.5146025899</v>
      </c>
      <c r="CA43" s="58">
        <f t="shared" si="30"/>
        <v>1638453.5146025899</v>
      </c>
      <c r="CB43" s="58">
        <f t="shared" si="11"/>
        <v>6553814.0584103595</v>
      </c>
      <c r="CC43" s="58">
        <f t="shared" si="12"/>
        <v>1638453.5146025899</v>
      </c>
      <c r="CD43" s="58">
        <f t="shared" si="31"/>
        <v>1638453.5146025899</v>
      </c>
      <c r="CE43" s="58">
        <f t="shared" si="31"/>
        <v>1638453.5146025899</v>
      </c>
      <c r="CF43" s="58">
        <f t="shared" si="31"/>
        <v>1638453.5146025899</v>
      </c>
      <c r="CG43" s="58">
        <f t="shared" si="14"/>
        <v>6553814.0584103595</v>
      </c>
      <c r="CH43" s="58">
        <f t="shared" si="15"/>
        <v>1638453.5146025899</v>
      </c>
      <c r="CI43" s="58">
        <f t="shared" si="16"/>
        <v>1638453.5146025899</v>
      </c>
      <c r="CJ43" s="58">
        <f t="shared" si="16"/>
        <v>1638453.5146025899</v>
      </c>
      <c r="CK43" s="58">
        <f t="shared" si="16"/>
        <v>1638453.5146025899</v>
      </c>
      <c r="CL43" s="58">
        <f t="shared" si="17"/>
        <v>6553814.0584103595</v>
      </c>
      <c r="CN43" s="59">
        <f>BK43/$CN$3</f>
        <v>1.6782430965372795E-3</v>
      </c>
      <c r="CO43" s="64">
        <f>CN43*$CO$4</f>
        <v>35243105.027282871</v>
      </c>
      <c r="CP43" s="2">
        <f t="shared" si="28"/>
        <v>52430512.467282876</v>
      </c>
    </row>
    <row r="44" spans="1:94" ht="16.5" hidden="1" x14ac:dyDescent="0.3">
      <c r="A44" s="2">
        <v>39</v>
      </c>
      <c r="B44" s="47" t="s">
        <v>21</v>
      </c>
      <c r="C44" s="47"/>
      <c r="D44" s="30" t="s">
        <v>114</v>
      </c>
      <c r="E44" s="30" t="s">
        <v>115</v>
      </c>
      <c r="F44" s="30" t="s">
        <v>116</v>
      </c>
      <c r="G44" s="48" t="s">
        <v>117</v>
      </c>
      <c r="H44" s="48" t="s">
        <v>118</v>
      </c>
      <c r="I44" s="30" t="s">
        <v>119</v>
      </c>
      <c r="J44" s="30" t="s">
        <v>120</v>
      </c>
      <c r="K44" s="30" t="s">
        <v>121</v>
      </c>
      <c r="L44" s="30" t="s">
        <v>122</v>
      </c>
      <c r="M44" s="73">
        <v>2100266</v>
      </c>
      <c r="N44" s="48" t="s">
        <v>138</v>
      </c>
      <c r="O44" s="48" t="s">
        <v>276</v>
      </c>
      <c r="P44" s="30" t="s">
        <v>231</v>
      </c>
      <c r="Q44" s="30" t="s">
        <v>232</v>
      </c>
      <c r="R44" s="30" t="s">
        <v>142</v>
      </c>
      <c r="S44" s="61">
        <v>310468050</v>
      </c>
      <c r="T44" s="30" t="s">
        <v>277</v>
      </c>
      <c r="U44" s="48" t="s">
        <v>219</v>
      </c>
      <c r="V44" s="62" t="s">
        <v>145</v>
      </c>
      <c r="W44" s="48" t="s">
        <v>146</v>
      </c>
      <c r="X44" s="48" t="s">
        <v>255</v>
      </c>
      <c r="Y44" s="48" t="s">
        <v>128</v>
      </c>
      <c r="Z44" s="48" t="s">
        <v>128</v>
      </c>
      <c r="AA44" s="20" t="s">
        <v>148</v>
      </c>
      <c r="AB44" s="48" t="s">
        <v>149</v>
      </c>
      <c r="AC44" s="48" t="s">
        <v>150</v>
      </c>
      <c r="AD44" s="48"/>
      <c r="AE44" s="48"/>
      <c r="AF44" s="48" t="s">
        <v>151</v>
      </c>
      <c r="AG44" s="48" t="s">
        <v>152</v>
      </c>
      <c r="AH44" s="48" t="s">
        <v>153</v>
      </c>
      <c r="AI44" s="48"/>
      <c r="AJ44" s="50">
        <v>40359</v>
      </c>
      <c r="AK44" s="50">
        <v>40359</v>
      </c>
      <c r="AL44" s="51">
        <f t="shared" si="4"/>
        <v>15.347945205479451</v>
      </c>
      <c r="AM44" s="52">
        <v>8</v>
      </c>
      <c r="AN44" s="48" t="s">
        <v>157</v>
      </c>
      <c r="AO44" s="30" t="s">
        <v>133</v>
      </c>
      <c r="AP44" s="30" t="s">
        <v>134</v>
      </c>
      <c r="AQ44" s="30">
        <v>9.8308320000000009</v>
      </c>
      <c r="AR44" s="30">
        <v>950</v>
      </c>
      <c r="AS44" s="30">
        <v>1250</v>
      </c>
      <c r="AT44" s="30">
        <v>1800</v>
      </c>
      <c r="AU44" s="53">
        <v>859370372</v>
      </c>
      <c r="AV44" s="54"/>
      <c r="AW44" s="54"/>
      <c r="AX44" s="54">
        <v>859370372</v>
      </c>
      <c r="AY44" s="54"/>
      <c r="AZ44" s="54"/>
      <c r="BA44" s="54">
        <v>1000</v>
      </c>
      <c r="BB44" s="54">
        <v>1000</v>
      </c>
      <c r="BC44" s="52">
        <v>96</v>
      </c>
      <c r="BD44" s="52">
        <v>186</v>
      </c>
      <c r="BE44" s="52">
        <v>0</v>
      </c>
      <c r="BF44" s="30"/>
      <c r="BG44" s="30" t="s">
        <v>135</v>
      </c>
      <c r="BH44" s="30" t="s">
        <v>136</v>
      </c>
      <c r="BI44" s="30" t="str">
        <f t="shared" si="18"/>
        <v>Test</v>
      </c>
      <c r="BJ44" s="47" t="s">
        <v>137</v>
      </c>
      <c r="BK44" s="56">
        <f t="shared" si="19"/>
        <v>17187407.440000001</v>
      </c>
      <c r="BL44" s="57">
        <f t="shared" si="20"/>
        <v>537106.48250000004</v>
      </c>
      <c r="BM44" s="57">
        <f t="shared" si="5"/>
        <v>179035.49416666667</v>
      </c>
      <c r="BU44" s="58">
        <f t="shared" si="6"/>
        <v>537106.48250000004</v>
      </c>
      <c r="BV44" s="58">
        <f t="shared" si="7"/>
        <v>537106.48250000004</v>
      </c>
      <c r="BW44" s="58">
        <f t="shared" si="29"/>
        <v>1074212.9650000001</v>
      </c>
      <c r="BX44" s="58">
        <f t="shared" si="9"/>
        <v>537106.48250000004</v>
      </c>
      <c r="BY44" s="58">
        <f t="shared" si="30"/>
        <v>537106.48250000004</v>
      </c>
      <c r="BZ44" s="58">
        <f t="shared" si="30"/>
        <v>537106.48250000004</v>
      </c>
      <c r="CA44" s="58">
        <f t="shared" si="30"/>
        <v>537106.48250000004</v>
      </c>
      <c r="CB44" s="58">
        <f t="shared" si="11"/>
        <v>2148425.9300000002</v>
      </c>
      <c r="CC44" s="58">
        <f t="shared" si="12"/>
        <v>537106.48250000004</v>
      </c>
      <c r="CD44" s="58">
        <f t="shared" si="31"/>
        <v>537106.48250000004</v>
      </c>
      <c r="CE44" s="58">
        <f t="shared" si="31"/>
        <v>537106.48250000004</v>
      </c>
      <c r="CF44" s="58">
        <f t="shared" si="31"/>
        <v>537106.48250000004</v>
      </c>
      <c r="CG44" s="58">
        <f t="shared" si="14"/>
        <v>2148425.9300000002</v>
      </c>
      <c r="CH44" s="58">
        <f t="shared" si="15"/>
        <v>537106.48250000004</v>
      </c>
      <c r="CI44" s="58">
        <f t="shared" si="16"/>
        <v>537106.48250000004</v>
      </c>
      <c r="CJ44" s="58">
        <f t="shared" si="16"/>
        <v>537106.48250000004</v>
      </c>
      <c r="CK44" s="58">
        <f t="shared" si="16"/>
        <v>537106.48250000004</v>
      </c>
      <c r="CL44" s="58">
        <f t="shared" si="17"/>
        <v>2148425.9300000002</v>
      </c>
      <c r="CP44" s="2">
        <f t="shared" si="28"/>
        <v>17187407.440000001</v>
      </c>
    </row>
    <row r="45" spans="1:94" ht="16.5" hidden="1" x14ac:dyDescent="0.3">
      <c r="A45" s="2">
        <v>40</v>
      </c>
      <c r="B45" s="47" t="s">
        <v>21</v>
      </c>
      <c r="C45" s="47"/>
      <c r="D45" s="30" t="s">
        <v>114</v>
      </c>
      <c r="E45" s="30" t="s">
        <v>115</v>
      </c>
      <c r="F45" s="30" t="s">
        <v>116</v>
      </c>
      <c r="G45" s="48" t="s">
        <v>117</v>
      </c>
      <c r="H45" s="48" t="s">
        <v>118</v>
      </c>
      <c r="I45" s="30" t="s">
        <v>119</v>
      </c>
      <c r="J45" s="30" t="s">
        <v>120</v>
      </c>
      <c r="K45" s="30" t="s">
        <v>121</v>
      </c>
      <c r="L45" s="30" t="s">
        <v>122</v>
      </c>
      <c r="M45" s="73">
        <v>2100267</v>
      </c>
      <c r="N45" s="48" t="s">
        <v>138</v>
      </c>
      <c r="O45" s="48" t="s">
        <v>278</v>
      </c>
      <c r="P45" s="30" t="s">
        <v>231</v>
      </c>
      <c r="Q45" s="30" t="s">
        <v>232</v>
      </c>
      <c r="R45" s="30" t="s">
        <v>142</v>
      </c>
      <c r="S45" s="61">
        <v>310468051</v>
      </c>
      <c r="T45" s="30" t="s">
        <v>279</v>
      </c>
      <c r="U45" s="48" t="s">
        <v>219</v>
      </c>
      <c r="V45" s="62" t="s">
        <v>145</v>
      </c>
      <c r="W45" s="48" t="s">
        <v>146</v>
      </c>
      <c r="X45" s="48" t="s">
        <v>255</v>
      </c>
      <c r="Y45" s="48" t="s">
        <v>128</v>
      </c>
      <c r="Z45" s="48" t="s">
        <v>128</v>
      </c>
      <c r="AA45" s="20" t="s">
        <v>148</v>
      </c>
      <c r="AB45" s="48" t="s">
        <v>149</v>
      </c>
      <c r="AC45" s="48" t="s">
        <v>150</v>
      </c>
      <c r="AD45" s="48"/>
      <c r="AE45" s="48"/>
      <c r="AF45" s="48" t="s">
        <v>151</v>
      </c>
      <c r="AG45" s="48" t="s">
        <v>152</v>
      </c>
      <c r="AH45" s="48" t="s">
        <v>153</v>
      </c>
      <c r="AI45" s="48"/>
      <c r="AJ45" s="50">
        <v>40359</v>
      </c>
      <c r="AK45" s="50">
        <v>40359</v>
      </c>
      <c r="AL45" s="51">
        <f t="shared" si="4"/>
        <v>15.347945205479451</v>
      </c>
      <c r="AM45" s="52">
        <v>8</v>
      </c>
      <c r="AN45" s="48" t="s">
        <v>212</v>
      </c>
      <c r="AO45" s="30" t="s">
        <v>133</v>
      </c>
      <c r="AP45" s="30" t="s">
        <v>134</v>
      </c>
      <c r="AQ45" s="30">
        <v>9.8308320000000009</v>
      </c>
      <c r="AR45" s="30">
        <v>950</v>
      </c>
      <c r="AS45" s="30">
        <v>120</v>
      </c>
      <c r="AT45" s="30">
        <v>1800</v>
      </c>
      <c r="AU45" s="53">
        <v>859370372</v>
      </c>
      <c r="AV45" s="54"/>
      <c r="AW45" s="54"/>
      <c r="AX45" s="54">
        <v>859370372</v>
      </c>
      <c r="AY45" s="54"/>
      <c r="AZ45" s="54"/>
      <c r="BA45" s="54">
        <v>1000</v>
      </c>
      <c r="BB45" s="54">
        <v>1000</v>
      </c>
      <c r="BC45" s="52">
        <v>96</v>
      </c>
      <c r="BD45" s="52">
        <v>186</v>
      </c>
      <c r="BE45" s="52">
        <v>0</v>
      </c>
      <c r="BF45" s="30"/>
      <c r="BG45" s="30" t="s">
        <v>135</v>
      </c>
      <c r="BH45" s="30" t="s">
        <v>136</v>
      </c>
      <c r="BI45" s="30" t="str">
        <f t="shared" si="18"/>
        <v>Test</v>
      </c>
      <c r="BJ45" s="47" t="s">
        <v>137</v>
      </c>
      <c r="BK45" s="56">
        <f t="shared" si="19"/>
        <v>17187407.440000001</v>
      </c>
      <c r="BL45" s="57">
        <f t="shared" si="20"/>
        <v>537106.48250000004</v>
      </c>
      <c r="BM45" s="57">
        <f t="shared" si="5"/>
        <v>179035.49416666667</v>
      </c>
      <c r="BU45" s="58">
        <f t="shared" si="6"/>
        <v>537106.48250000004</v>
      </c>
      <c r="BV45" s="58">
        <f t="shared" si="7"/>
        <v>537106.48250000004</v>
      </c>
      <c r="BW45" s="58">
        <f t="shared" ref="BW45:BW76" si="32">SUM(BS45:BV45)</f>
        <v>1074212.9650000001</v>
      </c>
      <c r="BX45" s="58">
        <f t="shared" si="9"/>
        <v>537106.48250000004</v>
      </c>
      <c r="BY45" s="58">
        <f t="shared" si="30"/>
        <v>537106.48250000004</v>
      </c>
      <c r="BZ45" s="58">
        <f t="shared" si="30"/>
        <v>537106.48250000004</v>
      </c>
      <c r="CA45" s="58">
        <f t="shared" si="30"/>
        <v>537106.48250000004</v>
      </c>
      <c r="CB45" s="58">
        <f t="shared" si="11"/>
        <v>2148425.9300000002</v>
      </c>
      <c r="CC45" s="58">
        <f t="shared" si="12"/>
        <v>537106.48250000004</v>
      </c>
      <c r="CD45" s="58">
        <f t="shared" si="31"/>
        <v>537106.48250000004</v>
      </c>
      <c r="CE45" s="58">
        <f t="shared" si="31"/>
        <v>537106.48250000004</v>
      </c>
      <c r="CF45" s="58">
        <f t="shared" si="31"/>
        <v>537106.48250000004</v>
      </c>
      <c r="CG45" s="58">
        <f t="shared" si="14"/>
        <v>2148425.9300000002</v>
      </c>
      <c r="CH45" s="58">
        <f t="shared" si="15"/>
        <v>537106.48250000004</v>
      </c>
      <c r="CI45" s="58">
        <f t="shared" si="16"/>
        <v>537106.48250000004</v>
      </c>
      <c r="CJ45" s="58">
        <f t="shared" si="16"/>
        <v>537106.48250000004</v>
      </c>
      <c r="CK45" s="58">
        <f t="shared" si="16"/>
        <v>537106.48250000004</v>
      </c>
      <c r="CL45" s="58">
        <f t="shared" si="17"/>
        <v>2148425.9300000002</v>
      </c>
      <c r="CP45" s="2">
        <f t="shared" si="28"/>
        <v>17187407.440000001</v>
      </c>
    </row>
    <row r="46" spans="1:94" hidden="1" x14ac:dyDescent="0.3">
      <c r="A46" s="29">
        <v>41</v>
      </c>
      <c r="B46" s="30" t="s">
        <v>21</v>
      </c>
      <c r="C46" s="30"/>
      <c r="D46" s="30" t="s">
        <v>114</v>
      </c>
      <c r="E46" s="30" t="s">
        <v>115</v>
      </c>
      <c r="F46" s="30" t="s">
        <v>116</v>
      </c>
      <c r="G46" s="48" t="s">
        <v>117</v>
      </c>
      <c r="H46" s="48" t="s">
        <v>118</v>
      </c>
      <c r="I46" s="30" t="s">
        <v>119</v>
      </c>
      <c r="J46" s="30" t="s">
        <v>120</v>
      </c>
      <c r="K46" s="30" t="s">
        <v>121</v>
      </c>
      <c r="L46" s="30" t="s">
        <v>122</v>
      </c>
      <c r="M46" s="73">
        <v>2100269</v>
      </c>
      <c r="N46" s="48" t="s">
        <v>138</v>
      </c>
      <c r="O46" s="48" t="s">
        <v>280</v>
      </c>
      <c r="P46" s="30" t="s">
        <v>172</v>
      </c>
      <c r="Q46" s="30" t="s">
        <v>172</v>
      </c>
      <c r="R46" s="30" t="s">
        <v>173</v>
      </c>
      <c r="S46" s="61" t="s">
        <v>281</v>
      </c>
      <c r="T46" s="30" t="s">
        <v>282</v>
      </c>
      <c r="U46" s="48" t="s">
        <v>219</v>
      </c>
      <c r="V46" s="62" t="s">
        <v>145</v>
      </c>
      <c r="W46" s="48" t="s">
        <v>176</v>
      </c>
      <c r="X46" s="48"/>
      <c r="Y46" s="48" t="s">
        <v>128</v>
      </c>
      <c r="Z46" s="48" t="s">
        <v>128</v>
      </c>
      <c r="AA46" s="20" t="s">
        <v>148</v>
      </c>
      <c r="AB46" s="72" t="s">
        <v>177</v>
      </c>
      <c r="AC46" s="48" t="s">
        <v>249</v>
      </c>
      <c r="AD46" s="48" t="s">
        <v>178</v>
      </c>
      <c r="AE46" s="48"/>
      <c r="AF46" s="48" t="s">
        <v>179</v>
      </c>
      <c r="AG46" s="48" t="s">
        <v>152</v>
      </c>
      <c r="AH46" s="48" t="s">
        <v>180</v>
      </c>
      <c r="AI46" s="48"/>
      <c r="AJ46" s="50">
        <v>40359</v>
      </c>
      <c r="AK46" s="50">
        <v>40359</v>
      </c>
      <c r="AL46" s="51">
        <f t="shared" si="4"/>
        <v>15.347945205479451</v>
      </c>
      <c r="AM46" s="52">
        <v>8</v>
      </c>
      <c r="AN46" s="48" t="s">
        <v>157</v>
      </c>
      <c r="AO46" s="30" t="s">
        <v>133</v>
      </c>
      <c r="AP46" s="30" t="s">
        <v>134</v>
      </c>
      <c r="AQ46" s="30">
        <v>0.56320000000000003</v>
      </c>
      <c r="AR46" s="30">
        <v>1229</v>
      </c>
      <c r="AS46" s="30">
        <v>1142</v>
      </c>
      <c r="AT46" s="30">
        <v>933</v>
      </c>
      <c r="AU46" s="53">
        <v>184734298</v>
      </c>
      <c r="AV46" s="54"/>
      <c r="AW46" s="54"/>
      <c r="AX46" s="54">
        <v>184734298</v>
      </c>
      <c r="AY46" s="54"/>
      <c r="AZ46" s="54"/>
      <c r="BA46" s="74">
        <v>1000</v>
      </c>
      <c r="BB46" s="74">
        <v>1000</v>
      </c>
      <c r="BC46" s="52">
        <v>96</v>
      </c>
      <c r="BD46" s="52">
        <v>186</v>
      </c>
      <c r="BE46" s="52">
        <v>0</v>
      </c>
      <c r="BF46" s="30"/>
      <c r="BG46" s="30" t="s">
        <v>135</v>
      </c>
      <c r="BH46" s="30" t="s">
        <v>136</v>
      </c>
      <c r="BI46" s="30" t="str">
        <f t="shared" si="18"/>
        <v>Test</v>
      </c>
      <c r="BJ46" s="30" t="s">
        <v>250</v>
      </c>
      <c r="BK46" s="56">
        <f t="shared" si="19"/>
        <v>3694685.96</v>
      </c>
      <c r="BL46" s="57">
        <f t="shared" si="20"/>
        <v>115458.93625</v>
      </c>
      <c r="BM46" s="57">
        <f t="shared" si="5"/>
        <v>38486.312083333331</v>
      </c>
      <c r="BU46" s="58">
        <f t="shared" si="6"/>
        <v>115458.93625</v>
      </c>
      <c r="BV46" s="58">
        <f t="shared" si="7"/>
        <v>115458.93625</v>
      </c>
      <c r="BW46" s="58">
        <f t="shared" si="32"/>
        <v>230917.8725</v>
      </c>
      <c r="BX46" s="58">
        <f t="shared" si="9"/>
        <v>115458.93625</v>
      </c>
      <c r="BY46" s="58">
        <f t="shared" ref="BY46:CA65" si="33">BX46</f>
        <v>115458.93625</v>
      </c>
      <c r="BZ46" s="58">
        <f t="shared" si="33"/>
        <v>115458.93625</v>
      </c>
      <c r="CA46" s="58">
        <f t="shared" si="33"/>
        <v>115458.93625</v>
      </c>
      <c r="CB46" s="58">
        <f t="shared" si="11"/>
        <v>461835.745</v>
      </c>
      <c r="CC46" s="58">
        <f t="shared" si="12"/>
        <v>115458.93625</v>
      </c>
      <c r="CD46" s="58">
        <f t="shared" ref="CD46:CF65" si="34">CC46</f>
        <v>115458.93625</v>
      </c>
      <c r="CE46" s="58">
        <f t="shared" si="34"/>
        <v>115458.93625</v>
      </c>
      <c r="CF46" s="58">
        <f t="shared" si="34"/>
        <v>115458.93625</v>
      </c>
      <c r="CG46" s="58">
        <f t="shared" si="14"/>
        <v>461835.745</v>
      </c>
      <c r="CH46" s="58">
        <f t="shared" si="15"/>
        <v>115458.93625</v>
      </c>
      <c r="CI46" s="58">
        <f t="shared" si="16"/>
        <v>115458.93625</v>
      </c>
      <c r="CJ46" s="58">
        <f t="shared" si="16"/>
        <v>115458.93625</v>
      </c>
      <c r="CK46" s="58">
        <f t="shared" si="16"/>
        <v>115458.93625</v>
      </c>
      <c r="CL46" s="58">
        <f t="shared" si="17"/>
        <v>461835.745</v>
      </c>
      <c r="CP46" s="2">
        <f t="shared" si="28"/>
        <v>3694685.96</v>
      </c>
    </row>
    <row r="47" spans="1:94" ht="16.5" hidden="1" x14ac:dyDescent="0.3">
      <c r="A47" s="2">
        <v>42</v>
      </c>
      <c r="B47" s="47" t="s">
        <v>21</v>
      </c>
      <c r="C47" s="47"/>
      <c r="D47" s="30" t="s">
        <v>114</v>
      </c>
      <c r="E47" s="30" t="s">
        <v>115</v>
      </c>
      <c r="F47" s="30" t="s">
        <v>116</v>
      </c>
      <c r="G47" s="48" t="s">
        <v>117</v>
      </c>
      <c r="H47" s="48" t="s">
        <v>118</v>
      </c>
      <c r="I47" s="30" t="s">
        <v>119</v>
      </c>
      <c r="J47" s="30" t="s">
        <v>120</v>
      </c>
      <c r="K47" s="30" t="s">
        <v>121</v>
      </c>
      <c r="L47" s="30" t="s">
        <v>122</v>
      </c>
      <c r="M47" s="73">
        <v>2100271</v>
      </c>
      <c r="N47" s="48" t="s">
        <v>138</v>
      </c>
      <c r="O47" s="48" t="s">
        <v>283</v>
      </c>
      <c r="P47" s="30" t="s">
        <v>231</v>
      </c>
      <c r="Q47" s="30" t="s">
        <v>232</v>
      </c>
      <c r="R47" s="30" t="s">
        <v>142</v>
      </c>
      <c r="S47" s="61">
        <v>310476268</v>
      </c>
      <c r="T47" s="30" t="s">
        <v>284</v>
      </c>
      <c r="U47" s="48" t="s">
        <v>219</v>
      </c>
      <c r="V47" s="62" t="s">
        <v>145</v>
      </c>
      <c r="W47" s="48" t="s">
        <v>146</v>
      </c>
      <c r="X47" s="48" t="s">
        <v>255</v>
      </c>
      <c r="Y47" s="48" t="s">
        <v>128</v>
      </c>
      <c r="Z47" s="48" t="s">
        <v>128</v>
      </c>
      <c r="AA47" s="20" t="s">
        <v>148</v>
      </c>
      <c r="AB47" s="48" t="s">
        <v>149</v>
      </c>
      <c r="AC47" s="48" t="s">
        <v>150</v>
      </c>
      <c r="AD47" s="48"/>
      <c r="AE47" s="48"/>
      <c r="AF47" s="48" t="s">
        <v>151</v>
      </c>
      <c r="AG47" s="48" t="s">
        <v>152</v>
      </c>
      <c r="AH47" s="48" t="s">
        <v>153</v>
      </c>
      <c r="AI47" s="48"/>
      <c r="AJ47" s="50">
        <v>40663</v>
      </c>
      <c r="AK47" s="50">
        <v>40663</v>
      </c>
      <c r="AL47" s="51">
        <f t="shared" si="4"/>
        <v>14.515068493150684</v>
      </c>
      <c r="AM47" s="52">
        <v>8</v>
      </c>
      <c r="AN47" s="48" t="s">
        <v>157</v>
      </c>
      <c r="AO47" s="30" t="s">
        <v>133</v>
      </c>
      <c r="AP47" s="30" t="s">
        <v>134</v>
      </c>
      <c r="AQ47" s="30">
        <v>9.8308320000000009</v>
      </c>
      <c r="AR47" s="30">
        <v>950</v>
      </c>
      <c r="AS47" s="30">
        <v>1250</v>
      </c>
      <c r="AT47" s="30">
        <v>1800</v>
      </c>
      <c r="AU47" s="53">
        <v>836381827</v>
      </c>
      <c r="AV47" s="54"/>
      <c r="AW47" s="54"/>
      <c r="AX47" s="54">
        <v>836381827</v>
      </c>
      <c r="AY47" s="54"/>
      <c r="AZ47" s="54"/>
      <c r="BA47" s="54">
        <v>1000</v>
      </c>
      <c r="BB47" s="54">
        <v>1000</v>
      </c>
      <c r="BC47" s="52">
        <v>96</v>
      </c>
      <c r="BD47" s="52">
        <v>176</v>
      </c>
      <c r="BE47" s="52">
        <v>0</v>
      </c>
      <c r="BF47" s="30"/>
      <c r="BG47" s="30" t="s">
        <v>135</v>
      </c>
      <c r="BH47" s="30" t="s">
        <v>136</v>
      </c>
      <c r="BI47" s="30" t="str">
        <f t="shared" si="18"/>
        <v>Test</v>
      </c>
      <c r="BJ47" s="47" t="s">
        <v>137</v>
      </c>
      <c r="BK47" s="56">
        <f t="shared" si="19"/>
        <v>16727636.540000001</v>
      </c>
      <c r="BL47" s="57">
        <f t="shared" si="20"/>
        <v>522738.64187500003</v>
      </c>
      <c r="BM47" s="57">
        <f t="shared" si="5"/>
        <v>174246.21395833333</v>
      </c>
      <c r="BU47" s="58">
        <f t="shared" si="6"/>
        <v>522738.64187499997</v>
      </c>
      <c r="BV47" s="58">
        <f t="shared" si="7"/>
        <v>522738.64187499997</v>
      </c>
      <c r="BW47" s="58">
        <f t="shared" si="32"/>
        <v>1045477.2837499999</v>
      </c>
      <c r="BX47" s="58">
        <f t="shared" si="9"/>
        <v>522738.64187499997</v>
      </c>
      <c r="BY47" s="58">
        <f t="shared" si="33"/>
        <v>522738.64187499997</v>
      </c>
      <c r="BZ47" s="58">
        <f t="shared" si="33"/>
        <v>522738.64187499997</v>
      </c>
      <c r="CA47" s="58">
        <f t="shared" si="33"/>
        <v>522738.64187499997</v>
      </c>
      <c r="CB47" s="58">
        <f t="shared" si="11"/>
        <v>2090954.5674999999</v>
      </c>
      <c r="CC47" s="58">
        <f t="shared" si="12"/>
        <v>522738.64187499997</v>
      </c>
      <c r="CD47" s="58">
        <f t="shared" si="34"/>
        <v>522738.64187499997</v>
      </c>
      <c r="CE47" s="58">
        <f t="shared" si="34"/>
        <v>522738.64187499997</v>
      </c>
      <c r="CF47" s="58">
        <f t="shared" si="34"/>
        <v>522738.64187499997</v>
      </c>
      <c r="CG47" s="58">
        <f t="shared" si="14"/>
        <v>2090954.5674999999</v>
      </c>
      <c r="CH47" s="58">
        <f t="shared" si="15"/>
        <v>522738.64187499997</v>
      </c>
      <c r="CI47" s="58">
        <f t="shared" si="16"/>
        <v>522738.64187499997</v>
      </c>
      <c r="CJ47" s="58">
        <f t="shared" si="16"/>
        <v>522738.64187499997</v>
      </c>
      <c r="CK47" s="58">
        <f t="shared" si="16"/>
        <v>522738.64187499997</v>
      </c>
      <c r="CL47" s="58">
        <f t="shared" si="17"/>
        <v>2090954.5674999999</v>
      </c>
      <c r="CP47" s="2">
        <f t="shared" si="28"/>
        <v>16727636.540000001</v>
      </c>
    </row>
    <row r="48" spans="1:94" ht="16.5" hidden="1" x14ac:dyDescent="0.3">
      <c r="A48" s="2">
        <v>43</v>
      </c>
      <c r="B48" s="47" t="s">
        <v>21</v>
      </c>
      <c r="C48" s="47"/>
      <c r="D48" s="30" t="s">
        <v>114</v>
      </c>
      <c r="E48" s="30" t="s">
        <v>115</v>
      </c>
      <c r="F48" s="30" t="s">
        <v>116</v>
      </c>
      <c r="G48" s="48" t="s">
        <v>117</v>
      </c>
      <c r="H48" s="48" t="s">
        <v>118</v>
      </c>
      <c r="I48" s="30" t="s">
        <v>119</v>
      </c>
      <c r="J48" s="30" t="s">
        <v>120</v>
      </c>
      <c r="K48" s="30" t="s">
        <v>121</v>
      </c>
      <c r="L48" s="30" t="s">
        <v>122</v>
      </c>
      <c r="M48" s="73">
        <v>2100272</v>
      </c>
      <c r="N48" s="48" t="s">
        <v>138</v>
      </c>
      <c r="O48" s="48" t="s">
        <v>285</v>
      </c>
      <c r="P48" s="30" t="s">
        <v>231</v>
      </c>
      <c r="Q48" s="30" t="s">
        <v>232</v>
      </c>
      <c r="R48" s="30" t="s">
        <v>142</v>
      </c>
      <c r="S48" s="61">
        <v>310476269</v>
      </c>
      <c r="T48" s="30" t="s">
        <v>286</v>
      </c>
      <c r="U48" s="48" t="s">
        <v>219</v>
      </c>
      <c r="V48" s="62" t="s">
        <v>145</v>
      </c>
      <c r="W48" s="48" t="s">
        <v>146</v>
      </c>
      <c r="X48" s="48" t="s">
        <v>127</v>
      </c>
      <c r="Y48" s="48" t="s">
        <v>128</v>
      </c>
      <c r="Z48" s="48" t="s">
        <v>128</v>
      </c>
      <c r="AA48" s="20" t="s">
        <v>148</v>
      </c>
      <c r="AB48" s="48" t="s">
        <v>149</v>
      </c>
      <c r="AC48" s="48" t="s">
        <v>150</v>
      </c>
      <c r="AD48" s="48"/>
      <c r="AE48" s="48"/>
      <c r="AF48" s="48" t="s">
        <v>151</v>
      </c>
      <c r="AG48" s="48" t="s">
        <v>152</v>
      </c>
      <c r="AH48" s="48" t="s">
        <v>153</v>
      </c>
      <c r="AI48" s="48"/>
      <c r="AJ48" s="50">
        <v>40663</v>
      </c>
      <c r="AK48" s="50">
        <v>40663</v>
      </c>
      <c r="AL48" s="51">
        <f t="shared" si="4"/>
        <v>14.515068493150684</v>
      </c>
      <c r="AM48" s="52">
        <v>8</v>
      </c>
      <c r="AN48" s="48" t="s">
        <v>157</v>
      </c>
      <c r="AO48" s="30" t="s">
        <v>133</v>
      </c>
      <c r="AP48" s="30" t="s">
        <v>134</v>
      </c>
      <c r="AQ48" s="30">
        <v>9.8308320000000009</v>
      </c>
      <c r="AR48" s="30">
        <v>950</v>
      </c>
      <c r="AS48" s="30">
        <v>1250</v>
      </c>
      <c r="AT48" s="30">
        <v>1800</v>
      </c>
      <c r="AU48" s="53">
        <v>836381827</v>
      </c>
      <c r="AV48" s="54"/>
      <c r="AW48" s="54"/>
      <c r="AX48" s="54">
        <v>836381827</v>
      </c>
      <c r="AY48" s="54"/>
      <c r="AZ48" s="54"/>
      <c r="BA48" s="54">
        <v>1000</v>
      </c>
      <c r="BB48" s="55">
        <v>1000</v>
      </c>
      <c r="BC48" s="52">
        <v>96</v>
      </c>
      <c r="BD48" s="52">
        <v>176</v>
      </c>
      <c r="BE48" s="52">
        <v>0</v>
      </c>
      <c r="BF48" s="30"/>
      <c r="BG48" s="30" t="s">
        <v>135</v>
      </c>
      <c r="BH48" s="30" t="s">
        <v>136</v>
      </c>
      <c r="BI48" s="30" t="str">
        <f t="shared" si="18"/>
        <v>Test</v>
      </c>
      <c r="BJ48" s="47" t="s">
        <v>137</v>
      </c>
      <c r="BK48" s="56">
        <f t="shared" si="19"/>
        <v>16727636.540000001</v>
      </c>
      <c r="BL48" s="57">
        <f t="shared" si="20"/>
        <v>1594624.1441959848</v>
      </c>
      <c r="BM48" s="57">
        <f t="shared" si="5"/>
        <v>531541.38139866164</v>
      </c>
      <c r="BU48" s="58">
        <f t="shared" si="6"/>
        <v>1594624.144195985</v>
      </c>
      <c r="BV48" s="58">
        <f t="shared" si="7"/>
        <v>1594624.144195985</v>
      </c>
      <c r="BW48" s="58">
        <f t="shared" si="32"/>
        <v>3189248.2883919701</v>
      </c>
      <c r="BX48" s="58">
        <f t="shared" si="9"/>
        <v>1594624.144195985</v>
      </c>
      <c r="BY48" s="58">
        <f t="shared" si="33"/>
        <v>1594624.144195985</v>
      </c>
      <c r="BZ48" s="58">
        <f t="shared" si="33"/>
        <v>1594624.144195985</v>
      </c>
      <c r="CA48" s="58">
        <f t="shared" si="33"/>
        <v>1594624.144195985</v>
      </c>
      <c r="CB48" s="58">
        <f t="shared" si="11"/>
        <v>6378496.5767839402</v>
      </c>
      <c r="CC48" s="58">
        <f t="shared" si="12"/>
        <v>1594624.144195985</v>
      </c>
      <c r="CD48" s="58">
        <f t="shared" si="34"/>
        <v>1594624.144195985</v>
      </c>
      <c r="CE48" s="58">
        <f t="shared" si="34"/>
        <v>1594624.144195985</v>
      </c>
      <c r="CF48" s="58">
        <f t="shared" si="34"/>
        <v>1594624.144195985</v>
      </c>
      <c r="CG48" s="58">
        <f t="shared" si="14"/>
        <v>6378496.5767839402</v>
      </c>
      <c r="CH48" s="58">
        <f t="shared" si="15"/>
        <v>1594624.144195985</v>
      </c>
      <c r="CI48" s="58">
        <f t="shared" si="16"/>
        <v>1594624.144195985</v>
      </c>
      <c r="CJ48" s="58">
        <f t="shared" si="16"/>
        <v>1594624.144195985</v>
      </c>
      <c r="CK48" s="58">
        <f t="shared" si="16"/>
        <v>1594624.144195985</v>
      </c>
      <c r="CL48" s="58">
        <f t="shared" si="17"/>
        <v>6378496.5767839402</v>
      </c>
      <c r="CN48" s="59">
        <f t="shared" ref="CN48:CN49" si="35">BK48/$CN$3</f>
        <v>1.6333493368700721E-3</v>
      </c>
      <c r="CO48" s="64">
        <f t="shared" ref="CO48:CO49" si="36">CN48*$CO$4</f>
        <v>34300336.074271515</v>
      </c>
      <c r="CP48" s="2">
        <f t="shared" si="28"/>
        <v>51027972.614271514</v>
      </c>
    </row>
    <row r="49" spans="1:94" ht="16.5" hidden="1" x14ac:dyDescent="0.3">
      <c r="A49" s="2">
        <v>44</v>
      </c>
      <c r="B49" s="47" t="s">
        <v>21</v>
      </c>
      <c r="C49" s="47"/>
      <c r="D49" s="30" t="s">
        <v>114</v>
      </c>
      <c r="E49" s="30" t="s">
        <v>115</v>
      </c>
      <c r="F49" s="30" t="s">
        <v>116</v>
      </c>
      <c r="G49" s="48" t="s">
        <v>117</v>
      </c>
      <c r="H49" s="48" t="s">
        <v>118</v>
      </c>
      <c r="I49" s="30" t="s">
        <v>119</v>
      </c>
      <c r="J49" s="30" t="s">
        <v>120</v>
      </c>
      <c r="K49" s="30" t="s">
        <v>121</v>
      </c>
      <c r="L49" s="30" t="s">
        <v>122</v>
      </c>
      <c r="M49" s="73">
        <v>2100273</v>
      </c>
      <c r="N49" s="48" t="s">
        <v>138</v>
      </c>
      <c r="O49" s="48" t="s">
        <v>287</v>
      </c>
      <c r="P49" s="30" t="s">
        <v>231</v>
      </c>
      <c r="Q49" s="30" t="s">
        <v>232</v>
      </c>
      <c r="R49" s="30" t="s">
        <v>142</v>
      </c>
      <c r="S49" s="61">
        <v>310480861</v>
      </c>
      <c r="T49" s="30" t="s">
        <v>288</v>
      </c>
      <c r="U49" s="48" t="s">
        <v>219</v>
      </c>
      <c r="V49" s="62" t="s">
        <v>145</v>
      </c>
      <c r="W49" s="48" t="s">
        <v>146</v>
      </c>
      <c r="X49" s="48" t="s">
        <v>127</v>
      </c>
      <c r="Y49" s="48" t="s">
        <v>128</v>
      </c>
      <c r="Z49" s="48" t="s">
        <v>128</v>
      </c>
      <c r="AA49" s="20" t="s">
        <v>148</v>
      </c>
      <c r="AB49" s="48" t="s">
        <v>149</v>
      </c>
      <c r="AC49" s="48" t="s">
        <v>150</v>
      </c>
      <c r="AD49" s="48"/>
      <c r="AE49" s="48"/>
      <c r="AF49" s="48" t="s">
        <v>151</v>
      </c>
      <c r="AG49" s="48" t="s">
        <v>152</v>
      </c>
      <c r="AH49" s="48" t="s">
        <v>153</v>
      </c>
      <c r="AI49" s="48"/>
      <c r="AJ49" s="50">
        <v>40663</v>
      </c>
      <c r="AK49" s="50">
        <v>40663</v>
      </c>
      <c r="AL49" s="51">
        <f t="shared" si="4"/>
        <v>14.515068493150684</v>
      </c>
      <c r="AM49" s="52">
        <v>8</v>
      </c>
      <c r="AN49" s="48" t="s">
        <v>157</v>
      </c>
      <c r="AO49" s="30" t="s">
        <v>133</v>
      </c>
      <c r="AP49" s="30" t="s">
        <v>134</v>
      </c>
      <c r="AQ49" s="30">
        <v>9.8308320000000009</v>
      </c>
      <c r="AR49" s="30">
        <v>950</v>
      </c>
      <c r="AS49" s="30">
        <v>1250</v>
      </c>
      <c r="AT49" s="30">
        <v>1800</v>
      </c>
      <c r="AU49" s="53">
        <v>836381827</v>
      </c>
      <c r="AV49" s="54"/>
      <c r="AW49" s="54"/>
      <c r="AX49" s="54">
        <v>836381827</v>
      </c>
      <c r="AY49" s="54"/>
      <c r="AZ49" s="54"/>
      <c r="BA49" s="54">
        <v>1000</v>
      </c>
      <c r="BB49" s="55">
        <v>1000</v>
      </c>
      <c r="BC49" s="52">
        <v>96</v>
      </c>
      <c r="BD49" s="52">
        <v>176</v>
      </c>
      <c r="BE49" s="52">
        <v>0</v>
      </c>
      <c r="BF49" s="30"/>
      <c r="BG49" s="30" t="s">
        <v>135</v>
      </c>
      <c r="BH49" s="30" t="s">
        <v>136</v>
      </c>
      <c r="BI49" s="30" t="str">
        <f t="shared" si="18"/>
        <v>Test</v>
      </c>
      <c r="BJ49" s="47" t="s">
        <v>137</v>
      </c>
      <c r="BK49" s="56">
        <f t="shared" si="19"/>
        <v>16727636.540000001</v>
      </c>
      <c r="BL49" s="57">
        <f t="shared" si="20"/>
        <v>1594624.1441959848</v>
      </c>
      <c r="BM49" s="57">
        <f t="shared" si="5"/>
        <v>531541.38139866164</v>
      </c>
      <c r="BU49" s="58">
        <f t="shared" si="6"/>
        <v>1594624.144195985</v>
      </c>
      <c r="BV49" s="58">
        <f t="shared" si="7"/>
        <v>1594624.144195985</v>
      </c>
      <c r="BW49" s="58">
        <f t="shared" si="32"/>
        <v>3189248.2883919701</v>
      </c>
      <c r="BX49" s="58">
        <f t="shared" si="9"/>
        <v>1594624.144195985</v>
      </c>
      <c r="BY49" s="58">
        <f t="shared" si="33"/>
        <v>1594624.144195985</v>
      </c>
      <c r="BZ49" s="58">
        <f t="shared" si="33"/>
        <v>1594624.144195985</v>
      </c>
      <c r="CA49" s="58">
        <f t="shared" si="33"/>
        <v>1594624.144195985</v>
      </c>
      <c r="CB49" s="58">
        <f t="shared" si="11"/>
        <v>6378496.5767839402</v>
      </c>
      <c r="CC49" s="58">
        <f t="shared" si="12"/>
        <v>1594624.144195985</v>
      </c>
      <c r="CD49" s="58">
        <f t="shared" si="34"/>
        <v>1594624.144195985</v>
      </c>
      <c r="CE49" s="58">
        <f t="shared" si="34"/>
        <v>1594624.144195985</v>
      </c>
      <c r="CF49" s="58">
        <f t="shared" si="34"/>
        <v>1594624.144195985</v>
      </c>
      <c r="CG49" s="58">
        <f t="shared" si="14"/>
        <v>6378496.5767839402</v>
      </c>
      <c r="CH49" s="58">
        <f t="shared" si="15"/>
        <v>1594624.144195985</v>
      </c>
      <c r="CI49" s="58">
        <f t="shared" si="16"/>
        <v>1594624.144195985</v>
      </c>
      <c r="CJ49" s="58">
        <f t="shared" si="16"/>
        <v>1594624.144195985</v>
      </c>
      <c r="CK49" s="58">
        <f t="shared" si="16"/>
        <v>1594624.144195985</v>
      </c>
      <c r="CL49" s="58">
        <f t="shared" si="17"/>
        <v>6378496.5767839402</v>
      </c>
      <c r="CN49" s="59">
        <f t="shared" si="35"/>
        <v>1.6333493368700721E-3</v>
      </c>
      <c r="CO49" s="64">
        <f t="shared" si="36"/>
        <v>34300336.074271515</v>
      </c>
      <c r="CP49" s="2">
        <f t="shared" si="28"/>
        <v>51027972.614271514</v>
      </c>
    </row>
    <row r="50" spans="1:94" hidden="1" x14ac:dyDescent="0.3">
      <c r="A50" s="29">
        <v>45</v>
      </c>
      <c r="B50" s="30" t="s">
        <v>21</v>
      </c>
      <c r="C50" s="30"/>
      <c r="D50" s="30" t="s">
        <v>114</v>
      </c>
      <c r="E50" s="30" t="s">
        <v>115</v>
      </c>
      <c r="F50" s="30" t="s">
        <v>116</v>
      </c>
      <c r="G50" s="48" t="s">
        <v>117</v>
      </c>
      <c r="H50" s="48" t="s">
        <v>118</v>
      </c>
      <c r="I50" s="30" t="s">
        <v>119</v>
      </c>
      <c r="J50" s="30" t="s">
        <v>120</v>
      </c>
      <c r="K50" s="30" t="s">
        <v>121</v>
      </c>
      <c r="L50" s="30" t="s">
        <v>122</v>
      </c>
      <c r="M50" s="73">
        <v>2100274</v>
      </c>
      <c r="N50" s="48" t="s">
        <v>138</v>
      </c>
      <c r="O50" s="48" t="s">
        <v>289</v>
      </c>
      <c r="P50" s="30" t="s">
        <v>172</v>
      </c>
      <c r="Q50" s="30" t="s">
        <v>172</v>
      </c>
      <c r="R50" s="30" t="s">
        <v>173</v>
      </c>
      <c r="S50" s="61" t="s">
        <v>290</v>
      </c>
      <c r="T50" s="30" t="s">
        <v>291</v>
      </c>
      <c r="U50" s="48" t="s">
        <v>219</v>
      </c>
      <c r="V50" s="62" t="s">
        <v>145</v>
      </c>
      <c r="W50" s="48" t="s">
        <v>176</v>
      </c>
      <c r="X50" s="48"/>
      <c r="Y50" s="48" t="s">
        <v>128</v>
      </c>
      <c r="Z50" s="48" t="s">
        <v>128</v>
      </c>
      <c r="AA50" s="20" t="s">
        <v>148</v>
      </c>
      <c r="AB50" s="72" t="s">
        <v>177</v>
      </c>
      <c r="AC50" s="48" t="s">
        <v>249</v>
      </c>
      <c r="AD50" s="48" t="s">
        <v>178</v>
      </c>
      <c r="AE50" s="48"/>
      <c r="AF50" s="48" t="s">
        <v>179</v>
      </c>
      <c r="AG50" s="48" t="s">
        <v>152</v>
      </c>
      <c r="AH50" s="48" t="s">
        <v>180</v>
      </c>
      <c r="AI50" s="48"/>
      <c r="AJ50" s="50">
        <v>40663</v>
      </c>
      <c r="AK50" s="50">
        <v>40663</v>
      </c>
      <c r="AL50" s="51">
        <f t="shared" si="4"/>
        <v>14.515068493150684</v>
      </c>
      <c r="AM50" s="52">
        <v>8</v>
      </c>
      <c r="AN50" s="48" t="s">
        <v>157</v>
      </c>
      <c r="AO50" s="30" t="s">
        <v>133</v>
      </c>
      <c r="AP50" s="30" t="s">
        <v>134</v>
      </c>
      <c r="AQ50" s="30">
        <v>0.56320000000000003</v>
      </c>
      <c r="AR50" s="30">
        <v>1229</v>
      </c>
      <c r="AS50" s="30">
        <v>1142</v>
      </c>
      <c r="AT50" s="30">
        <v>933</v>
      </c>
      <c r="AU50" s="53">
        <v>181006870</v>
      </c>
      <c r="AV50" s="54"/>
      <c r="AW50" s="54"/>
      <c r="AX50" s="54">
        <v>181006870</v>
      </c>
      <c r="AY50" s="54"/>
      <c r="AZ50" s="54"/>
      <c r="BA50" s="74">
        <v>1000</v>
      </c>
      <c r="BB50" s="74">
        <v>1000</v>
      </c>
      <c r="BC50" s="52">
        <v>96</v>
      </c>
      <c r="BD50" s="52">
        <v>176</v>
      </c>
      <c r="BE50" s="52">
        <v>0</v>
      </c>
      <c r="BF50" s="30"/>
      <c r="BG50" s="30" t="s">
        <v>135</v>
      </c>
      <c r="BH50" s="30" t="s">
        <v>136</v>
      </c>
      <c r="BI50" s="30" t="str">
        <f t="shared" si="18"/>
        <v>Test</v>
      </c>
      <c r="BJ50" s="30" t="s">
        <v>250</v>
      </c>
      <c r="BK50" s="56">
        <f t="shared" si="19"/>
        <v>3620137.4</v>
      </c>
      <c r="BL50" s="57">
        <f t="shared" si="20"/>
        <v>113129.29375</v>
      </c>
      <c r="BM50" s="57">
        <f t="shared" si="5"/>
        <v>37709.76458333333</v>
      </c>
      <c r="BU50" s="58">
        <f t="shared" si="6"/>
        <v>113129.29374999998</v>
      </c>
      <c r="BV50" s="58">
        <f t="shared" si="7"/>
        <v>113129.29374999998</v>
      </c>
      <c r="BW50" s="58">
        <f t="shared" si="32"/>
        <v>226258.58749999997</v>
      </c>
      <c r="BX50" s="58">
        <f t="shared" si="9"/>
        <v>113129.29374999998</v>
      </c>
      <c r="BY50" s="58">
        <f t="shared" si="33"/>
        <v>113129.29374999998</v>
      </c>
      <c r="BZ50" s="58">
        <f t="shared" si="33"/>
        <v>113129.29374999998</v>
      </c>
      <c r="CA50" s="58">
        <f t="shared" si="33"/>
        <v>113129.29374999998</v>
      </c>
      <c r="CB50" s="58">
        <f t="shared" si="11"/>
        <v>452517.17499999993</v>
      </c>
      <c r="CC50" s="58">
        <f t="shared" si="12"/>
        <v>113129.29374999998</v>
      </c>
      <c r="CD50" s="58">
        <f t="shared" si="34"/>
        <v>113129.29374999998</v>
      </c>
      <c r="CE50" s="58">
        <f t="shared" si="34"/>
        <v>113129.29374999998</v>
      </c>
      <c r="CF50" s="58">
        <f t="shared" si="34"/>
        <v>113129.29374999998</v>
      </c>
      <c r="CG50" s="58">
        <f t="shared" si="14"/>
        <v>452517.17499999993</v>
      </c>
      <c r="CH50" s="58">
        <f t="shared" si="15"/>
        <v>113129.29374999998</v>
      </c>
      <c r="CI50" s="58">
        <f t="shared" si="16"/>
        <v>113129.29374999998</v>
      </c>
      <c r="CJ50" s="58">
        <f t="shared" si="16"/>
        <v>113129.29374999998</v>
      </c>
      <c r="CK50" s="58">
        <f t="shared" si="16"/>
        <v>113129.29374999998</v>
      </c>
      <c r="CL50" s="58">
        <f t="shared" si="17"/>
        <v>452517.17499999993</v>
      </c>
      <c r="CP50" s="2">
        <f t="shared" si="28"/>
        <v>3620137.4</v>
      </c>
    </row>
    <row r="51" spans="1:94" hidden="1" x14ac:dyDescent="0.3">
      <c r="A51" s="29">
        <v>46</v>
      </c>
      <c r="B51" s="30" t="s">
        <v>21</v>
      </c>
      <c r="C51" s="30"/>
      <c r="D51" s="30" t="s">
        <v>114</v>
      </c>
      <c r="E51" s="30" t="s">
        <v>115</v>
      </c>
      <c r="F51" s="30" t="s">
        <v>116</v>
      </c>
      <c r="G51" s="48" t="s">
        <v>117</v>
      </c>
      <c r="H51" s="48" t="s">
        <v>118</v>
      </c>
      <c r="I51" s="30" t="s">
        <v>119</v>
      </c>
      <c r="J51" s="30" t="s">
        <v>120</v>
      </c>
      <c r="K51" s="30" t="s">
        <v>121</v>
      </c>
      <c r="L51" s="30" t="s">
        <v>122</v>
      </c>
      <c r="M51" s="73">
        <v>2100275</v>
      </c>
      <c r="N51" s="48" t="s">
        <v>138</v>
      </c>
      <c r="O51" s="48" t="s">
        <v>292</v>
      </c>
      <c r="P51" s="30" t="s">
        <v>172</v>
      </c>
      <c r="Q51" s="30" t="s">
        <v>172</v>
      </c>
      <c r="R51" s="30" t="s">
        <v>173</v>
      </c>
      <c r="S51" s="61" t="s">
        <v>293</v>
      </c>
      <c r="T51" s="30" t="s">
        <v>294</v>
      </c>
      <c r="U51" s="48" t="s">
        <v>219</v>
      </c>
      <c r="V51" s="62" t="s">
        <v>145</v>
      </c>
      <c r="W51" s="48" t="s">
        <v>176</v>
      </c>
      <c r="X51" s="48"/>
      <c r="Y51" s="48" t="s">
        <v>128</v>
      </c>
      <c r="Z51" s="48" t="s">
        <v>128</v>
      </c>
      <c r="AA51" s="20" t="s">
        <v>148</v>
      </c>
      <c r="AB51" s="72" t="s">
        <v>177</v>
      </c>
      <c r="AC51" s="48" t="s">
        <v>249</v>
      </c>
      <c r="AD51" s="48" t="s">
        <v>178</v>
      </c>
      <c r="AE51" s="48"/>
      <c r="AF51" s="48" t="s">
        <v>179</v>
      </c>
      <c r="AG51" s="48" t="s">
        <v>152</v>
      </c>
      <c r="AH51" s="48" t="s">
        <v>180</v>
      </c>
      <c r="AI51" s="48"/>
      <c r="AJ51" s="50">
        <v>40663</v>
      </c>
      <c r="AK51" s="50">
        <v>40663</v>
      </c>
      <c r="AL51" s="51">
        <f t="shared" si="4"/>
        <v>14.515068493150684</v>
      </c>
      <c r="AM51" s="52">
        <v>8</v>
      </c>
      <c r="AN51" s="48" t="s">
        <v>157</v>
      </c>
      <c r="AO51" s="30" t="s">
        <v>133</v>
      </c>
      <c r="AP51" s="30" t="s">
        <v>134</v>
      </c>
      <c r="AQ51" s="30">
        <v>0.56320000000000003</v>
      </c>
      <c r="AR51" s="30">
        <v>1229</v>
      </c>
      <c r="AS51" s="30">
        <v>1142</v>
      </c>
      <c r="AT51" s="30">
        <v>933</v>
      </c>
      <c r="AU51" s="53">
        <v>181006870</v>
      </c>
      <c r="AV51" s="54"/>
      <c r="AW51" s="54"/>
      <c r="AX51" s="54">
        <v>181006870</v>
      </c>
      <c r="AY51" s="54"/>
      <c r="AZ51" s="54"/>
      <c r="BA51" s="74">
        <v>1000</v>
      </c>
      <c r="BB51" s="74">
        <v>1000</v>
      </c>
      <c r="BC51" s="52">
        <v>96</v>
      </c>
      <c r="BD51" s="52">
        <v>176</v>
      </c>
      <c r="BE51" s="52">
        <v>0</v>
      </c>
      <c r="BF51" s="30"/>
      <c r="BG51" s="30" t="s">
        <v>135</v>
      </c>
      <c r="BH51" s="30" t="s">
        <v>136</v>
      </c>
      <c r="BI51" s="30" t="str">
        <f t="shared" si="18"/>
        <v>Test</v>
      </c>
      <c r="BJ51" s="30" t="s">
        <v>250</v>
      </c>
      <c r="BK51" s="56">
        <f t="shared" si="19"/>
        <v>3620137.4</v>
      </c>
      <c r="BL51" s="57">
        <f t="shared" si="20"/>
        <v>113129.29375</v>
      </c>
      <c r="BM51" s="57">
        <f t="shared" si="5"/>
        <v>37709.76458333333</v>
      </c>
      <c r="BU51" s="58">
        <f t="shared" si="6"/>
        <v>113129.29374999998</v>
      </c>
      <c r="BV51" s="58">
        <f t="shared" si="7"/>
        <v>113129.29374999998</v>
      </c>
      <c r="BW51" s="58">
        <f t="shared" si="32"/>
        <v>226258.58749999997</v>
      </c>
      <c r="BX51" s="58">
        <f t="shared" si="9"/>
        <v>113129.29374999998</v>
      </c>
      <c r="BY51" s="58">
        <f t="shared" si="33"/>
        <v>113129.29374999998</v>
      </c>
      <c r="BZ51" s="58">
        <f t="shared" si="33"/>
        <v>113129.29374999998</v>
      </c>
      <c r="CA51" s="58">
        <f t="shared" si="33"/>
        <v>113129.29374999998</v>
      </c>
      <c r="CB51" s="58">
        <f t="shared" si="11"/>
        <v>452517.17499999993</v>
      </c>
      <c r="CC51" s="58">
        <f t="shared" si="12"/>
        <v>113129.29374999998</v>
      </c>
      <c r="CD51" s="58">
        <f t="shared" si="34"/>
        <v>113129.29374999998</v>
      </c>
      <c r="CE51" s="58">
        <f t="shared" si="34"/>
        <v>113129.29374999998</v>
      </c>
      <c r="CF51" s="58">
        <f t="shared" si="34"/>
        <v>113129.29374999998</v>
      </c>
      <c r="CG51" s="58">
        <f t="shared" si="14"/>
        <v>452517.17499999993</v>
      </c>
      <c r="CH51" s="58">
        <f t="shared" si="15"/>
        <v>113129.29374999998</v>
      </c>
      <c r="CI51" s="58">
        <f t="shared" si="16"/>
        <v>113129.29374999998</v>
      </c>
      <c r="CJ51" s="58">
        <f t="shared" si="16"/>
        <v>113129.29374999998</v>
      </c>
      <c r="CK51" s="58">
        <f t="shared" si="16"/>
        <v>113129.29374999998</v>
      </c>
      <c r="CL51" s="58">
        <f t="shared" si="17"/>
        <v>452517.17499999993</v>
      </c>
      <c r="CP51" s="2">
        <f t="shared" si="28"/>
        <v>3620137.4</v>
      </c>
    </row>
    <row r="52" spans="1:94" hidden="1" x14ac:dyDescent="0.3">
      <c r="A52" s="29">
        <v>47</v>
      </c>
      <c r="B52" s="30" t="s">
        <v>21</v>
      </c>
      <c r="C52" s="30"/>
      <c r="D52" s="30" t="s">
        <v>114</v>
      </c>
      <c r="E52" s="30" t="s">
        <v>115</v>
      </c>
      <c r="F52" s="30" t="s">
        <v>116</v>
      </c>
      <c r="G52" s="48" t="s">
        <v>117</v>
      </c>
      <c r="H52" s="48" t="s">
        <v>118</v>
      </c>
      <c r="I52" s="30" t="s">
        <v>119</v>
      </c>
      <c r="J52" s="30" t="s">
        <v>120</v>
      </c>
      <c r="K52" s="30" t="s">
        <v>121</v>
      </c>
      <c r="L52" s="30" t="s">
        <v>122</v>
      </c>
      <c r="M52" s="73">
        <v>2100276</v>
      </c>
      <c r="N52" s="48" t="s">
        <v>138</v>
      </c>
      <c r="O52" s="48" t="s">
        <v>295</v>
      </c>
      <c r="P52" s="30" t="s">
        <v>172</v>
      </c>
      <c r="Q52" s="30" t="s">
        <v>172</v>
      </c>
      <c r="R52" s="30" t="s">
        <v>173</v>
      </c>
      <c r="S52" s="61" t="s">
        <v>296</v>
      </c>
      <c r="T52" s="30" t="s">
        <v>297</v>
      </c>
      <c r="U52" s="48" t="s">
        <v>219</v>
      </c>
      <c r="V52" s="62" t="s">
        <v>145</v>
      </c>
      <c r="W52" s="48" t="s">
        <v>176</v>
      </c>
      <c r="X52" s="48"/>
      <c r="Y52" s="48" t="s">
        <v>128</v>
      </c>
      <c r="Z52" s="48" t="s">
        <v>128</v>
      </c>
      <c r="AA52" s="20" t="s">
        <v>148</v>
      </c>
      <c r="AB52" s="72" t="s">
        <v>177</v>
      </c>
      <c r="AC52" s="48" t="s">
        <v>249</v>
      </c>
      <c r="AD52" s="48" t="s">
        <v>178</v>
      </c>
      <c r="AE52" s="48"/>
      <c r="AF52" s="48" t="s">
        <v>179</v>
      </c>
      <c r="AG52" s="48" t="s">
        <v>152</v>
      </c>
      <c r="AH52" s="48" t="s">
        <v>180</v>
      </c>
      <c r="AI52" s="48"/>
      <c r="AJ52" s="50">
        <v>40663</v>
      </c>
      <c r="AK52" s="50">
        <v>40663</v>
      </c>
      <c r="AL52" s="51">
        <f t="shared" si="4"/>
        <v>14.515068493150684</v>
      </c>
      <c r="AM52" s="52">
        <v>8</v>
      </c>
      <c r="AN52" s="48" t="s">
        <v>212</v>
      </c>
      <c r="AO52" s="30" t="s">
        <v>133</v>
      </c>
      <c r="AP52" s="30" t="s">
        <v>134</v>
      </c>
      <c r="AQ52" s="30">
        <v>0.56320000000000003</v>
      </c>
      <c r="AR52" s="30">
        <v>1229</v>
      </c>
      <c r="AS52" s="30">
        <v>1142</v>
      </c>
      <c r="AT52" s="30">
        <v>933</v>
      </c>
      <c r="AU52" s="53">
        <v>181006870</v>
      </c>
      <c r="AV52" s="54"/>
      <c r="AW52" s="54"/>
      <c r="AX52" s="54">
        <v>181006870</v>
      </c>
      <c r="AY52" s="54"/>
      <c r="AZ52" s="54"/>
      <c r="BA52" s="74">
        <v>1000</v>
      </c>
      <c r="BB52" s="74">
        <v>1000</v>
      </c>
      <c r="BC52" s="52">
        <v>96</v>
      </c>
      <c r="BD52" s="52">
        <v>176</v>
      </c>
      <c r="BE52" s="52">
        <v>0</v>
      </c>
      <c r="BF52" s="30"/>
      <c r="BG52" s="30" t="s">
        <v>135</v>
      </c>
      <c r="BH52" s="30" t="s">
        <v>136</v>
      </c>
      <c r="BI52" s="30" t="str">
        <f t="shared" si="18"/>
        <v>Test</v>
      </c>
      <c r="BJ52" s="30" t="s">
        <v>250</v>
      </c>
      <c r="BK52" s="56">
        <f t="shared" si="19"/>
        <v>3620137.4</v>
      </c>
      <c r="BL52" s="57">
        <f t="shared" si="20"/>
        <v>113129.29375</v>
      </c>
      <c r="BM52" s="57">
        <f t="shared" si="5"/>
        <v>37709.76458333333</v>
      </c>
      <c r="BU52" s="58">
        <f t="shared" si="6"/>
        <v>113129.29374999998</v>
      </c>
      <c r="BV52" s="58">
        <f t="shared" si="7"/>
        <v>113129.29374999998</v>
      </c>
      <c r="BW52" s="58">
        <f t="shared" si="32"/>
        <v>226258.58749999997</v>
      </c>
      <c r="BX52" s="58">
        <f t="shared" si="9"/>
        <v>113129.29374999998</v>
      </c>
      <c r="BY52" s="58">
        <f t="shared" si="33"/>
        <v>113129.29374999998</v>
      </c>
      <c r="BZ52" s="58">
        <f t="shared" si="33"/>
        <v>113129.29374999998</v>
      </c>
      <c r="CA52" s="58">
        <f t="shared" si="33"/>
        <v>113129.29374999998</v>
      </c>
      <c r="CB52" s="58">
        <f t="shared" si="11"/>
        <v>452517.17499999993</v>
      </c>
      <c r="CC52" s="58">
        <f t="shared" si="12"/>
        <v>113129.29374999998</v>
      </c>
      <c r="CD52" s="58">
        <f t="shared" si="34"/>
        <v>113129.29374999998</v>
      </c>
      <c r="CE52" s="58">
        <f t="shared" si="34"/>
        <v>113129.29374999998</v>
      </c>
      <c r="CF52" s="58">
        <f t="shared" si="34"/>
        <v>113129.29374999998</v>
      </c>
      <c r="CG52" s="58">
        <f t="shared" si="14"/>
        <v>452517.17499999993</v>
      </c>
      <c r="CH52" s="58">
        <f t="shared" si="15"/>
        <v>113129.29374999998</v>
      </c>
      <c r="CI52" s="58">
        <f t="shared" si="16"/>
        <v>113129.29374999998</v>
      </c>
      <c r="CJ52" s="58">
        <f t="shared" si="16"/>
        <v>113129.29374999998</v>
      </c>
      <c r="CK52" s="58">
        <f t="shared" si="16"/>
        <v>113129.29374999998</v>
      </c>
      <c r="CL52" s="58">
        <f t="shared" si="17"/>
        <v>452517.17499999993</v>
      </c>
      <c r="CP52" s="2">
        <f t="shared" si="28"/>
        <v>3620137.4</v>
      </c>
    </row>
    <row r="53" spans="1:94" ht="16.5" hidden="1" x14ac:dyDescent="0.3">
      <c r="A53" s="2">
        <v>48</v>
      </c>
      <c r="B53" s="47" t="s">
        <v>21</v>
      </c>
      <c r="C53" s="47"/>
      <c r="D53" s="30" t="s">
        <v>114</v>
      </c>
      <c r="E53" s="30" t="s">
        <v>115</v>
      </c>
      <c r="F53" s="30" t="s">
        <v>116</v>
      </c>
      <c r="G53" s="48" t="s">
        <v>117</v>
      </c>
      <c r="H53" s="48" t="s">
        <v>118</v>
      </c>
      <c r="I53" s="30" t="s">
        <v>119</v>
      </c>
      <c r="J53" s="30" t="s">
        <v>120</v>
      </c>
      <c r="K53" s="30" t="s">
        <v>121</v>
      </c>
      <c r="L53" s="30" t="s">
        <v>122</v>
      </c>
      <c r="M53" s="73">
        <v>2100277</v>
      </c>
      <c r="N53" s="48" t="s">
        <v>138</v>
      </c>
      <c r="O53" s="48" t="s">
        <v>298</v>
      </c>
      <c r="P53" s="30" t="s">
        <v>164</v>
      </c>
      <c r="Q53" s="30" t="s">
        <v>164</v>
      </c>
      <c r="R53" s="30" t="s">
        <v>142</v>
      </c>
      <c r="S53" s="61" t="s">
        <v>299</v>
      </c>
      <c r="T53" s="30" t="s">
        <v>300</v>
      </c>
      <c r="U53" s="48" t="s">
        <v>219</v>
      </c>
      <c r="V53" s="62" t="s">
        <v>145</v>
      </c>
      <c r="W53" s="48" t="s">
        <v>167</v>
      </c>
      <c r="X53" s="48" t="s">
        <v>127</v>
      </c>
      <c r="Y53" s="48" t="s">
        <v>128</v>
      </c>
      <c r="Z53" s="48" t="s">
        <v>128</v>
      </c>
      <c r="AA53" s="66" t="s">
        <v>148</v>
      </c>
      <c r="AB53" s="48" t="s">
        <v>149</v>
      </c>
      <c r="AC53" s="48" t="s">
        <v>150</v>
      </c>
      <c r="AD53" s="48" t="s">
        <v>168</v>
      </c>
      <c r="AE53" s="48"/>
      <c r="AF53" s="48" t="s">
        <v>151</v>
      </c>
      <c r="AG53" s="48" t="s">
        <v>152</v>
      </c>
      <c r="AH53" s="48" t="s">
        <v>153</v>
      </c>
      <c r="AI53" s="48"/>
      <c r="AJ53" s="50">
        <v>40663</v>
      </c>
      <c r="AK53" s="50">
        <v>40663</v>
      </c>
      <c r="AL53" s="51">
        <f t="shared" si="4"/>
        <v>14.515068493150684</v>
      </c>
      <c r="AM53" s="52">
        <v>8</v>
      </c>
      <c r="AN53" s="48" t="s">
        <v>220</v>
      </c>
      <c r="AO53" s="30" t="s">
        <v>133</v>
      </c>
      <c r="AP53" s="30" t="s">
        <v>134</v>
      </c>
      <c r="AQ53" s="30">
        <v>6.1347440000000004</v>
      </c>
      <c r="AR53" s="30">
        <v>960</v>
      </c>
      <c r="AS53" s="30">
        <v>840</v>
      </c>
      <c r="AT53" s="30">
        <v>1860</v>
      </c>
      <c r="AU53" s="53">
        <v>682607536</v>
      </c>
      <c r="AV53" s="54"/>
      <c r="AW53" s="54"/>
      <c r="AX53" s="54">
        <v>682607536</v>
      </c>
      <c r="AY53" s="54"/>
      <c r="AZ53" s="54"/>
      <c r="BA53" s="54">
        <v>1000</v>
      </c>
      <c r="BB53" s="55">
        <v>1000</v>
      </c>
      <c r="BC53" s="52">
        <v>96</v>
      </c>
      <c r="BD53" s="52">
        <v>176</v>
      </c>
      <c r="BE53" s="52">
        <v>0</v>
      </c>
      <c r="BF53" s="30"/>
      <c r="BG53" s="30" t="s">
        <v>135</v>
      </c>
      <c r="BH53" s="30" t="s">
        <v>136</v>
      </c>
      <c r="BI53" s="30" t="str">
        <f t="shared" si="18"/>
        <v>Test</v>
      </c>
      <c r="BJ53" s="47" t="s">
        <v>137</v>
      </c>
      <c r="BK53" s="56">
        <f t="shared" si="19"/>
        <v>13652150.720000001</v>
      </c>
      <c r="BL53" s="57">
        <f t="shared" si="20"/>
        <v>1301442.0241769911</v>
      </c>
      <c r="BM53" s="57">
        <f t="shared" si="5"/>
        <v>433814.00805899705</v>
      </c>
      <c r="BU53" s="58">
        <f t="shared" si="6"/>
        <v>1301442.0241769911</v>
      </c>
      <c r="BV53" s="58">
        <f t="shared" si="7"/>
        <v>1301442.0241769911</v>
      </c>
      <c r="BW53" s="58">
        <f t="shared" si="32"/>
        <v>2602884.0483539822</v>
      </c>
      <c r="BX53" s="58">
        <f t="shared" si="9"/>
        <v>1301442.0241769911</v>
      </c>
      <c r="BY53" s="58">
        <f t="shared" si="33"/>
        <v>1301442.0241769911</v>
      </c>
      <c r="BZ53" s="58">
        <f t="shared" si="33"/>
        <v>1301442.0241769911</v>
      </c>
      <c r="CA53" s="58">
        <f t="shared" si="33"/>
        <v>1301442.0241769911</v>
      </c>
      <c r="CB53" s="58">
        <f t="shared" si="11"/>
        <v>5205768.0967079643</v>
      </c>
      <c r="CC53" s="58">
        <f t="shared" si="12"/>
        <v>1301442.0241769911</v>
      </c>
      <c r="CD53" s="58">
        <f t="shared" si="34"/>
        <v>1301442.0241769911</v>
      </c>
      <c r="CE53" s="58">
        <f t="shared" si="34"/>
        <v>1301442.0241769911</v>
      </c>
      <c r="CF53" s="58">
        <f t="shared" si="34"/>
        <v>1301442.0241769911</v>
      </c>
      <c r="CG53" s="58">
        <f t="shared" si="14"/>
        <v>5205768.0967079643</v>
      </c>
      <c r="CH53" s="58">
        <f t="shared" si="15"/>
        <v>1301442.0241769911</v>
      </c>
      <c r="CI53" s="58">
        <f t="shared" si="16"/>
        <v>1301442.0241769911</v>
      </c>
      <c r="CJ53" s="58">
        <f t="shared" si="16"/>
        <v>1301442.0241769911</v>
      </c>
      <c r="CK53" s="58">
        <f t="shared" si="16"/>
        <v>1301442.0241769911</v>
      </c>
      <c r="CL53" s="58">
        <f t="shared" si="17"/>
        <v>5205768.0967079643</v>
      </c>
      <c r="CN53" s="59">
        <f t="shared" ref="CN53:CN55" si="37">BK53/$CN$3</f>
        <v>1.3330473358887482E-3</v>
      </c>
      <c r="CO53" s="64">
        <f t="shared" ref="CO53:CO55" si="38">CN53*$CO$4</f>
        <v>27993994.053663712</v>
      </c>
      <c r="CP53" s="2">
        <f t="shared" si="28"/>
        <v>41646144.773663715</v>
      </c>
    </row>
    <row r="54" spans="1:94" ht="16.5" hidden="1" x14ac:dyDescent="0.3">
      <c r="A54" s="2">
        <v>49</v>
      </c>
      <c r="B54" s="47" t="s">
        <v>21</v>
      </c>
      <c r="C54" s="47"/>
      <c r="D54" s="30" t="s">
        <v>114</v>
      </c>
      <c r="E54" s="30" t="s">
        <v>115</v>
      </c>
      <c r="F54" s="30" t="s">
        <v>116</v>
      </c>
      <c r="G54" s="48" t="s">
        <v>117</v>
      </c>
      <c r="H54" s="48" t="s">
        <v>118</v>
      </c>
      <c r="I54" s="30" t="s">
        <v>119</v>
      </c>
      <c r="J54" s="30" t="s">
        <v>120</v>
      </c>
      <c r="K54" s="30" t="s">
        <v>121</v>
      </c>
      <c r="L54" s="30" t="s">
        <v>122</v>
      </c>
      <c r="M54" s="73">
        <v>2100279</v>
      </c>
      <c r="N54" s="48" t="s">
        <v>138</v>
      </c>
      <c r="O54" s="48" t="s">
        <v>301</v>
      </c>
      <c r="P54" s="30" t="s">
        <v>164</v>
      </c>
      <c r="Q54" s="30" t="s">
        <v>164</v>
      </c>
      <c r="R54" s="30" t="s">
        <v>142</v>
      </c>
      <c r="S54" s="61" t="s">
        <v>302</v>
      </c>
      <c r="T54" s="30" t="s">
        <v>303</v>
      </c>
      <c r="U54" s="48" t="s">
        <v>219</v>
      </c>
      <c r="V54" s="62" t="s">
        <v>145</v>
      </c>
      <c r="W54" s="48" t="s">
        <v>167</v>
      </c>
      <c r="X54" s="48" t="s">
        <v>127</v>
      </c>
      <c r="Y54" s="48" t="s">
        <v>128</v>
      </c>
      <c r="Z54" s="48" t="s">
        <v>128</v>
      </c>
      <c r="AA54" s="66" t="s">
        <v>148</v>
      </c>
      <c r="AB54" s="48" t="s">
        <v>149</v>
      </c>
      <c r="AC54" s="48" t="s">
        <v>150</v>
      </c>
      <c r="AD54" s="48" t="s">
        <v>168</v>
      </c>
      <c r="AE54" s="48"/>
      <c r="AF54" s="48" t="s">
        <v>151</v>
      </c>
      <c r="AG54" s="48" t="s">
        <v>152</v>
      </c>
      <c r="AH54" s="48" t="s">
        <v>153</v>
      </c>
      <c r="AI54" s="48"/>
      <c r="AJ54" s="50">
        <v>40663</v>
      </c>
      <c r="AK54" s="50">
        <v>40663</v>
      </c>
      <c r="AL54" s="51">
        <f t="shared" si="4"/>
        <v>14.515068493150684</v>
      </c>
      <c r="AM54" s="52">
        <v>8</v>
      </c>
      <c r="AN54" s="48" t="s">
        <v>157</v>
      </c>
      <c r="AO54" s="30" t="s">
        <v>133</v>
      </c>
      <c r="AP54" s="30" t="s">
        <v>134</v>
      </c>
      <c r="AQ54" s="30">
        <v>6.1347440000000004</v>
      </c>
      <c r="AR54" s="30">
        <v>960</v>
      </c>
      <c r="AS54" s="30">
        <v>840</v>
      </c>
      <c r="AT54" s="30">
        <v>1860</v>
      </c>
      <c r="AU54" s="53">
        <v>682607535</v>
      </c>
      <c r="AV54" s="54"/>
      <c r="AW54" s="54"/>
      <c r="AX54" s="54">
        <v>682607535</v>
      </c>
      <c r="AY54" s="54"/>
      <c r="AZ54" s="54"/>
      <c r="BA54" s="54">
        <v>1000</v>
      </c>
      <c r="BB54" s="55">
        <v>1000</v>
      </c>
      <c r="BC54" s="52">
        <v>96</v>
      </c>
      <c r="BD54" s="52">
        <v>176</v>
      </c>
      <c r="BE54" s="52">
        <v>0</v>
      </c>
      <c r="BF54" s="30"/>
      <c r="BG54" s="30" t="s">
        <v>135</v>
      </c>
      <c r="BH54" s="30" t="s">
        <v>136</v>
      </c>
      <c r="BI54" s="30" t="str">
        <f t="shared" si="18"/>
        <v>Test</v>
      </c>
      <c r="BJ54" s="47" t="s">
        <v>137</v>
      </c>
      <c r="BK54" s="56">
        <f t="shared" si="19"/>
        <v>13652150.700000001</v>
      </c>
      <c r="BL54" s="57">
        <f t="shared" si="20"/>
        <v>1301442.0222704168</v>
      </c>
      <c r="BM54" s="57">
        <f t="shared" si="5"/>
        <v>433814.0074234723</v>
      </c>
      <c r="BU54" s="58">
        <f t="shared" si="6"/>
        <v>1301442.0222704168</v>
      </c>
      <c r="BV54" s="58">
        <f t="shared" si="7"/>
        <v>1301442.0222704168</v>
      </c>
      <c r="BW54" s="58">
        <f t="shared" si="32"/>
        <v>2602884.0445408337</v>
      </c>
      <c r="BX54" s="58">
        <f t="shared" si="9"/>
        <v>1301442.0222704168</v>
      </c>
      <c r="BY54" s="58">
        <f t="shared" si="33"/>
        <v>1301442.0222704168</v>
      </c>
      <c r="BZ54" s="58">
        <f t="shared" si="33"/>
        <v>1301442.0222704168</v>
      </c>
      <c r="CA54" s="58">
        <f t="shared" si="33"/>
        <v>1301442.0222704168</v>
      </c>
      <c r="CB54" s="58">
        <f t="shared" si="11"/>
        <v>5205768.0890816674</v>
      </c>
      <c r="CC54" s="58">
        <f t="shared" si="12"/>
        <v>1301442.0222704168</v>
      </c>
      <c r="CD54" s="58">
        <f t="shared" si="34"/>
        <v>1301442.0222704168</v>
      </c>
      <c r="CE54" s="58">
        <f t="shared" si="34"/>
        <v>1301442.0222704168</v>
      </c>
      <c r="CF54" s="58">
        <f t="shared" si="34"/>
        <v>1301442.0222704168</v>
      </c>
      <c r="CG54" s="58">
        <f t="shared" si="14"/>
        <v>5205768.0890816674</v>
      </c>
      <c r="CH54" s="58">
        <f t="shared" si="15"/>
        <v>1301442.0222704168</v>
      </c>
      <c r="CI54" s="58">
        <f t="shared" si="16"/>
        <v>1301442.0222704168</v>
      </c>
      <c r="CJ54" s="58">
        <f t="shared" si="16"/>
        <v>1301442.0222704168</v>
      </c>
      <c r="CK54" s="58">
        <f t="shared" si="16"/>
        <v>1301442.0222704168</v>
      </c>
      <c r="CL54" s="58">
        <f t="shared" si="17"/>
        <v>5205768.0890816674</v>
      </c>
      <c r="CN54" s="59">
        <f t="shared" si="37"/>
        <v>1.3330473339358731E-3</v>
      </c>
      <c r="CO54" s="64">
        <f t="shared" si="38"/>
        <v>27993994.012653336</v>
      </c>
      <c r="CP54" s="2">
        <f t="shared" si="28"/>
        <v>41646144.712653339</v>
      </c>
    </row>
    <row r="55" spans="1:94" ht="16.5" hidden="1" x14ac:dyDescent="0.3">
      <c r="A55" s="2">
        <v>50</v>
      </c>
      <c r="B55" s="47" t="s">
        <v>21</v>
      </c>
      <c r="C55" s="47"/>
      <c r="D55" s="30" t="s">
        <v>114</v>
      </c>
      <c r="E55" s="30" t="s">
        <v>115</v>
      </c>
      <c r="F55" s="30" t="s">
        <v>116</v>
      </c>
      <c r="G55" s="48" t="s">
        <v>117</v>
      </c>
      <c r="H55" s="48" t="s">
        <v>118</v>
      </c>
      <c r="I55" s="30" t="s">
        <v>119</v>
      </c>
      <c r="J55" s="30" t="s">
        <v>120</v>
      </c>
      <c r="K55" s="30" t="s">
        <v>121</v>
      </c>
      <c r="L55" s="30" t="s">
        <v>122</v>
      </c>
      <c r="M55" s="73">
        <v>2100282</v>
      </c>
      <c r="N55" s="48" t="s">
        <v>138</v>
      </c>
      <c r="O55" s="48" t="s">
        <v>304</v>
      </c>
      <c r="P55" s="30" t="s">
        <v>231</v>
      </c>
      <c r="Q55" s="30" t="s">
        <v>232</v>
      </c>
      <c r="R55" s="30" t="s">
        <v>142</v>
      </c>
      <c r="S55" s="61">
        <v>310480867</v>
      </c>
      <c r="T55" s="30" t="s">
        <v>305</v>
      </c>
      <c r="U55" s="48" t="s">
        <v>219</v>
      </c>
      <c r="V55" s="62" t="s">
        <v>145</v>
      </c>
      <c r="W55" s="48" t="s">
        <v>146</v>
      </c>
      <c r="X55" s="48" t="s">
        <v>147</v>
      </c>
      <c r="Y55" s="65" t="s">
        <v>128</v>
      </c>
      <c r="Z55" s="65" t="s">
        <v>128</v>
      </c>
      <c r="AA55" s="20" t="s">
        <v>148</v>
      </c>
      <c r="AB55" s="48" t="s">
        <v>149</v>
      </c>
      <c r="AC55" s="48" t="s">
        <v>150</v>
      </c>
      <c r="AD55" s="48"/>
      <c r="AE55" s="48"/>
      <c r="AF55" s="48" t="s">
        <v>151</v>
      </c>
      <c r="AG55" s="48" t="s">
        <v>152</v>
      </c>
      <c r="AH55" s="48" t="s">
        <v>153</v>
      </c>
      <c r="AI55" s="48"/>
      <c r="AJ55" s="50">
        <v>40724</v>
      </c>
      <c r="AK55" s="50">
        <v>40724</v>
      </c>
      <c r="AL55" s="51">
        <f t="shared" si="4"/>
        <v>14.347945205479451</v>
      </c>
      <c r="AM55" s="52">
        <v>8</v>
      </c>
      <c r="AN55" s="48" t="s">
        <v>212</v>
      </c>
      <c r="AO55" s="30" t="s">
        <v>133</v>
      </c>
      <c r="AP55" s="30" t="s">
        <v>134</v>
      </c>
      <c r="AQ55" s="30">
        <v>9.8308320000000009</v>
      </c>
      <c r="AR55" s="30">
        <v>950</v>
      </c>
      <c r="AS55" s="30">
        <v>1250</v>
      </c>
      <c r="AT55" s="30">
        <v>1800</v>
      </c>
      <c r="AU55" s="53">
        <v>804003924</v>
      </c>
      <c r="AV55" s="54"/>
      <c r="AW55" s="54"/>
      <c r="AX55" s="54">
        <v>804003924</v>
      </c>
      <c r="AY55" s="54"/>
      <c r="AZ55" s="54"/>
      <c r="BA55" s="54">
        <v>1000</v>
      </c>
      <c r="BB55" s="55">
        <v>1000</v>
      </c>
      <c r="BC55" s="52">
        <v>96</v>
      </c>
      <c r="BD55" s="52">
        <v>174</v>
      </c>
      <c r="BE55" s="52">
        <v>0</v>
      </c>
      <c r="BF55" s="30"/>
      <c r="BG55" s="30" t="s">
        <v>135</v>
      </c>
      <c r="BH55" s="30" t="s">
        <v>136</v>
      </c>
      <c r="BI55" s="30" t="str">
        <f t="shared" si="18"/>
        <v>Test</v>
      </c>
      <c r="BJ55" s="47" t="s">
        <v>137</v>
      </c>
      <c r="BK55" s="67">
        <f t="shared" si="19"/>
        <v>16080078.48</v>
      </c>
      <c r="BL55" s="68">
        <f t="shared" si="20"/>
        <v>1532893.2645959004</v>
      </c>
      <c r="BM55" s="68">
        <f t="shared" si="5"/>
        <v>510964.42153196683</v>
      </c>
      <c r="BP55" s="69">
        <f>BM55*3</f>
        <v>1532893.2645959004</v>
      </c>
      <c r="BQ55" s="69">
        <f>BP55</f>
        <v>1532893.2645959004</v>
      </c>
      <c r="BR55" s="69">
        <f>SUM(BN55:BQ55)</f>
        <v>3065786.5291918009</v>
      </c>
      <c r="BS55" s="69">
        <f>BQ55</f>
        <v>1532893.2645959004</v>
      </c>
      <c r="BT55" s="69">
        <f>BS55</f>
        <v>1532893.2645959004</v>
      </c>
      <c r="BU55" s="70">
        <f t="shared" si="6"/>
        <v>1532893.2645959004</v>
      </c>
      <c r="BV55" s="70">
        <f t="shared" si="7"/>
        <v>1532893.2645959004</v>
      </c>
      <c r="BW55" s="70">
        <f t="shared" si="32"/>
        <v>6131573.0583836017</v>
      </c>
      <c r="BX55" s="18">
        <f t="shared" si="9"/>
        <v>1532893.2645959004</v>
      </c>
      <c r="BY55" s="18">
        <f t="shared" si="33"/>
        <v>1532893.2645959004</v>
      </c>
      <c r="BZ55" s="18">
        <f t="shared" si="33"/>
        <v>1532893.2645959004</v>
      </c>
      <c r="CA55" s="18">
        <f t="shared" si="33"/>
        <v>1532893.2645959004</v>
      </c>
      <c r="CB55" s="70">
        <f t="shared" si="11"/>
        <v>6131573.0583836017</v>
      </c>
      <c r="CC55" s="18">
        <f t="shared" si="12"/>
        <v>1532893.2645959004</v>
      </c>
      <c r="CD55" s="18">
        <f t="shared" si="34"/>
        <v>1532893.2645959004</v>
      </c>
      <c r="CE55" s="18">
        <f t="shared" si="34"/>
        <v>1532893.2645959004</v>
      </c>
      <c r="CF55" s="18">
        <f t="shared" si="34"/>
        <v>1532893.2645959004</v>
      </c>
      <c r="CG55" s="70">
        <f t="shared" si="14"/>
        <v>6131573.0583836017</v>
      </c>
      <c r="CH55" s="18">
        <f t="shared" si="15"/>
        <v>1532893.2645959004</v>
      </c>
      <c r="CI55" s="18">
        <f t="shared" si="16"/>
        <v>1532893.2645959004</v>
      </c>
      <c r="CJ55" s="18">
        <f t="shared" si="16"/>
        <v>1532893.2645959004</v>
      </c>
      <c r="CK55" s="18">
        <f t="shared" si="16"/>
        <v>1532893.2645959004</v>
      </c>
      <c r="CL55" s="70">
        <f t="shared" si="17"/>
        <v>6131573.0583836017</v>
      </c>
      <c r="CM55" s="71"/>
      <c r="CN55" s="59">
        <f t="shared" si="37"/>
        <v>1.5701193327175625E-3</v>
      </c>
      <c r="CO55" s="64">
        <f t="shared" si="38"/>
        <v>32972505.987068813</v>
      </c>
      <c r="CP55" s="2">
        <f t="shared" si="28"/>
        <v>49052584.467068814</v>
      </c>
    </row>
    <row r="56" spans="1:94" hidden="1" x14ac:dyDescent="0.3">
      <c r="A56" s="29">
        <v>51</v>
      </c>
      <c r="B56" s="30" t="s">
        <v>21</v>
      </c>
      <c r="C56" s="30"/>
      <c r="D56" s="30" t="s">
        <v>114</v>
      </c>
      <c r="E56" s="30" t="s">
        <v>115</v>
      </c>
      <c r="F56" s="30" t="s">
        <v>116</v>
      </c>
      <c r="G56" s="48" t="s">
        <v>117</v>
      </c>
      <c r="H56" s="48" t="s">
        <v>118</v>
      </c>
      <c r="I56" s="30" t="s">
        <v>119</v>
      </c>
      <c r="J56" s="30" t="s">
        <v>120</v>
      </c>
      <c r="K56" s="30" t="s">
        <v>121</v>
      </c>
      <c r="L56" s="30" t="s">
        <v>122</v>
      </c>
      <c r="M56" s="73">
        <v>2100283</v>
      </c>
      <c r="N56" s="48" t="s">
        <v>138</v>
      </c>
      <c r="O56" s="48" t="s">
        <v>306</v>
      </c>
      <c r="P56" s="30" t="s">
        <v>231</v>
      </c>
      <c r="Q56" s="30" t="s">
        <v>232</v>
      </c>
      <c r="R56" s="30" t="s">
        <v>142</v>
      </c>
      <c r="S56" s="61">
        <v>310511529</v>
      </c>
      <c r="T56" s="30" t="s">
        <v>307</v>
      </c>
      <c r="U56" s="48" t="s">
        <v>219</v>
      </c>
      <c r="V56" s="62" t="s">
        <v>145</v>
      </c>
      <c r="W56" s="48" t="s">
        <v>146</v>
      </c>
      <c r="X56" s="48" t="s">
        <v>308</v>
      </c>
      <c r="Y56" s="48" t="s">
        <v>128</v>
      </c>
      <c r="Z56" s="48" t="s">
        <v>128</v>
      </c>
      <c r="AA56" s="20" t="s">
        <v>148</v>
      </c>
      <c r="AB56" s="48" t="s">
        <v>149</v>
      </c>
      <c r="AC56" s="48" t="s">
        <v>150</v>
      </c>
      <c r="AD56" s="48"/>
      <c r="AE56" s="48"/>
      <c r="AF56" s="48" t="s">
        <v>151</v>
      </c>
      <c r="AG56" s="48" t="s">
        <v>152</v>
      </c>
      <c r="AH56" s="48" t="s">
        <v>153</v>
      </c>
      <c r="AI56" s="48"/>
      <c r="AJ56" s="50">
        <v>40724</v>
      </c>
      <c r="AK56" s="50">
        <v>40724</v>
      </c>
      <c r="AL56" s="51">
        <f t="shared" si="4"/>
        <v>14.347945205479451</v>
      </c>
      <c r="AM56" s="52">
        <v>8</v>
      </c>
      <c r="AN56" s="48" t="s">
        <v>212</v>
      </c>
      <c r="AO56" s="30" t="s">
        <v>133</v>
      </c>
      <c r="AP56" s="30" t="s">
        <v>134</v>
      </c>
      <c r="AQ56" s="30">
        <v>9.8308320000000009</v>
      </c>
      <c r="AR56" s="30">
        <v>950</v>
      </c>
      <c r="AS56" s="30">
        <v>1250</v>
      </c>
      <c r="AT56" s="30">
        <v>1800</v>
      </c>
      <c r="AU56" s="53">
        <v>804003924</v>
      </c>
      <c r="AV56" s="54"/>
      <c r="AW56" s="54"/>
      <c r="AX56" s="54">
        <v>804003924</v>
      </c>
      <c r="AY56" s="54"/>
      <c r="AZ56" s="54"/>
      <c r="BA56" s="74">
        <v>1000</v>
      </c>
      <c r="BB56" s="74">
        <v>1000</v>
      </c>
      <c r="BC56" s="52">
        <v>96</v>
      </c>
      <c r="BD56" s="52">
        <v>174</v>
      </c>
      <c r="BE56" s="52">
        <v>0</v>
      </c>
      <c r="BF56" s="30"/>
      <c r="BG56" s="30" t="s">
        <v>135</v>
      </c>
      <c r="BH56" s="30" t="s">
        <v>136</v>
      </c>
      <c r="BI56" s="30" t="str">
        <f t="shared" si="18"/>
        <v>Test</v>
      </c>
      <c r="BJ56" s="30" t="s">
        <v>250</v>
      </c>
      <c r="BK56" s="56">
        <f t="shared" si="19"/>
        <v>16080078.48</v>
      </c>
      <c r="BL56" s="57">
        <f t="shared" si="20"/>
        <v>502502.45250000001</v>
      </c>
      <c r="BM56" s="57">
        <f t="shared" si="5"/>
        <v>167500.8175</v>
      </c>
      <c r="BU56" s="58">
        <f t="shared" si="6"/>
        <v>502502.45250000001</v>
      </c>
      <c r="BV56" s="58">
        <f t="shared" si="7"/>
        <v>502502.45250000001</v>
      </c>
      <c r="BW56" s="58">
        <f t="shared" si="32"/>
        <v>1005004.905</v>
      </c>
      <c r="BX56" s="58">
        <f t="shared" si="9"/>
        <v>502502.45250000001</v>
      </c>
      <c r="BY56" s="58">
        <f t="shared" si="33"/>
        <v>502502.45250000001</v>
      </c>
      <c r="BZ56" s="58">
        <f t="shared" si="33"/>
        <v>502502.45250000001</v>
      </c>
      <c r="CA56" s="58">
        <f t="shared" si="33"/>
        <v>502502.45250000001</v>
      </c>
      <c r="CB56" s="58">
        <f t="shared" si="11"/>
        <v>2010009.81</v>
      </c>
      <c r="CC56" s="58">
        <f t="shared" si="12"/>
        <v>502502.45250000001</v>
      </c>
      <c r="CD56" s="58">
        <f t="shared" si="34"/>
        <v>502502.45250000001</v>
      </c>
      <c r="CE56" s="58">
        <f t="shared" si="34"/>
        <v>502502.45250000001</v>
      </c>
      <c r="CF56" s="58">
        <f t="shared" si="34"/>
        <v>502502.45250000001</v>
      </c>
      <c r="CG56" s="58">
        <f t="shared" si="14"/>
        <v>2010009.81</v>
      </c>
      <c r="CH56" s="58">
        <f t="shared" si="15"/>
        <v>502502.45250000001</v>
      </c>
      <c r="CI56" s="58">
        <f t="shared" si="16"/>
        <v>502502.45250000001</v>
      </c>
      <c r="CJ56" s="58">
        <f t="shared" si="16"/>
        <v>502502.45250000001</v>
      </c>
      <c r="CK56" s="58">
        <f t="shared" si="16"/>
        <v>502502.45250000001</v>
      </c>
      <c r="CL56" s="58">
        <f t="shared" si="17"/>
        <v>2010009.81</v>
      </c>
      <c r="CP56" s="2">
        <f t="shared" si="28"/>
        <v>16080078.48</v>
      </c>
    </row>
    <row r="57" spans="1:94" ht="16.5" hidden="1" x14ac:dyDescent="0.3">
      <c r="A57" s="2">
        <v>52</v>
      </c>
      <c r="B57" s="47" t="s">
        <v>21</v>
      </c>
      <c r="C57" s="47"/>
      <c r="D57" s="30" t="s">
        <v>114</v>
      </c>
      <c r="E57" s="30" t="s">
        <v>115</v>
      </c>
      <c r="F57" s="30" t="s">
        <v>116</v>
      </c>
      <c r="G57" s="48" t="s">
        <v>117</v>
      </c>
      <c r="H57" s="48" t="s">
        <v>118</v>
      </c>
      <c r="I57" s="30" t="s">
        <v>119</v>
      </c>
      <c r="J57" s="30" t="s">
        <v>120</v>
      </c>
      <c r="K57" s="30" t="s">
        <v>121</v>
      </c>
      <c r="L57" s="30" t="s">
        <v>122</v>
      </c>
      <c r="M57" s="73">
        <v>2100284</v>
      </c>
      <c r="N57" s="48" t="s">
        <v>138</v>
      </c>
      <c r="O57" s="48" t="s">
        <v>309</v>
      </c>
      <c r="P57" s="30" t="s">
        <v>172</v>
      </c>
      <c r="Q57" s="30" t="s">
        <v>172</v>
      </c>
      <c r="R57" s="30" t="s">
        <v>173</v>
      </c>
      <c r="S57" s="61" t="s">
        <v>310</v>
      </c>
      <c r="T57" s="30" t="s">
        <v>311</v>
      </c>
      <c r="U57" s="48" t="s">
        <v>219</v>
      </c>
      <c r="V57" s="62" t="s">
        <v>145</v>
      </c>
      <c r="W57" s="48" t="s">
        <v>176</v>
      </c>
      <c r="X57" s="48" t="s">
        <v>147</v>
      </c>
      <c r="Y57" s="65" t="s">
        <v>128</v>
      </c>
      <c r="Z57" s="65" t="s">
        <v>128</v>
      </c>
      <c r="AA57" s="20" t="s">
        <v>148</v>
      </c>
      <c r="AB57" s="72" t="s">
        <v>177</v>
      </c>
      <c r="AC57" s="48" t="s">
        <v>150</v>
      </c>
      <c r="AD57" s="48" t="s">
        <v>178</v>
      </c>
      <c r="AE57" s="48"/>
      <c r="AF57" s="48" t="s">
        <v>179</v>
      </c>
      <c r="AG57" s="48" t="s">
        <v>152</v>
      </c>
      <c r="AH57" s="48" t="s">
        <v>180</v>
      </c>
      <c r="AI57" s="48"/>
      <c r="AJ57" s="50">
        <v>40724</v>
      </c>
      <c r="AK57" s="50">
        <v>40724</v>
      </c>
      <c r="AL57" s="51">
        <f t="shared" si="4"/>
        <v>14.347945205479451</v>
      </c>
      <c r="AM57" s="52">
        <v>8</v>
      </c>
      <c r="AN57" s="48" t="s">
        <v>212</v>
      </c>
      <c r="AO57" s="30" t="s">
        <v>133</v>
      </c>
      <c r="AP57" s="30" t="s">
        <v>134</v>
      </c>
      <c r="AQ57" s="30">
        <v>0.56320000000000003</v>
      </c>
      <c r="AR57" s="30">
        <v>1229</v>
      </c>
      <c r="AS57" s="30">
        <v>1142</v>
      </c>
      <c r="AT57" s="30">
        <v>933</v>
      </c>
      <c r="AU57" s="53">
        <v>177702087</v>
      </c>
      <c r="AV57" s="54"/>
      <c r="AW57" s="54"/>
      <c r="AX57" s="54">
        <v>177702087</v>
      </c>
      <c r="AY57" s="54"/>
      <c r="AZ57" s="54"/>
      <c r="BA57" s="54">
        <v>1000</v>
      </c>
      <c r="BB57" s="55">
        <v>1000</v>
      </c>
      <c r="BC57" s="52">
        <v>96</v>
      </c>
      <c r="BD57" s="52">
        <v>174</v>
      </c>
      <c r="BE57" s="52">
        <v>0</v>
      </c>
      <c r="BF57" s="30"/>
      <c r="BG57" s="30" t="s">
        <v>135</v>
      </c>
      <c r="BH57" s="30" t="s">
        <v>136</v>
      </c>
      <c r="BI57" s="30" t="str">
        <f t="shared" si="18"/>
        <v>Test</v>
      </c>
      <c r="BJ57" s="47" t="s">
        <v>137</v>
      </c>
      <c r="BK57" s="67">
        <f t="shared" si="19"/>
        <v>3554041.74</v>
      </c>
      <c r="BL57" s="68">
        <f t="shared" si="20"/>
        <v>338802.24229718401</v>
      </c>
      <c r="BM57" s="68">
        <f t="shared" si="5"/>
        <v>112934.08076572801</v>
      </c>
      <c r="BP57" s="69">
        <f>BM57*3</f>
        <v>338802.24229718401</v>
      </c>
      <c r="BQ57" s="69">
        <f>BP57</f>
        <v>338802.24229718401</v>
      </c>
      <c r="BR57" s="69">
        <f>SUM(BN57:BQ57)</f>
        <v>677604.48459436803</v>
      </c>
      <c r="BS57" s="69">
        <f>BQ57</f>
        <v>338802.24229718401</v>
      </c>
      <c r="BT57" s="69">
        <f>BS57</f>
        <v>338802.24229718401</v>
      </c>
      <c r="BU57" s="70">
        <f t="shared" si="6"/>
        <v>338802.24229718401</v>
      </c>
      <c r="BV57" s="70">
        <f t="shared" si="7"/>
        <v>338802.24229718401</v>
      </c>
      <c r="BW57" s="70">
        <f t="shared" si="32"/>
        <v>1355208.9691887361</v>
      </c>
      <c r="BX57" s="18">
        <f t="shared" si="9"/>
        <v>338802.24229718401</v>
      </c>
      <c r="BY57" s="18">
        <f t="shared" si="33"/>
        <v>338802.24229718401</v>
      </c>
      <c r="BZ57" s="18">
        <f t="shared" si="33"/>
        <v>338802.24229718401</v>
      </c>
      <c r="CA57" s="18">
        <f t="shared" si="33"/>
        <v>338802.24229718401</v>
      </c>
      <c r="CB57" s="70">
        <f t="shared" si="11"/>
        <v>1355208.9691887361</v>
      </c>
      <c r="CC57" s="18">
        <f t="shared" si="12"/>
        <v>338802.24229718401</v>
      </c>
      <c r="CD57" s="18">
        <f t="shared" si="34"/>
        <v>338802.24229718401</v>
      </c>
      <c r="CE57" s="18">
        <f t="shared" si="34"/>
        <v>338802.24229718401</v>
      </c>
      <c r="CF57" s="18">
        <f t="shared" si="34"/>
        <v>338802.24229718401</v>
      </c>
      <c r="CG57" s="70">
        <f t="shared" si="14"/>
        <v>1355208.9691887361</v>
      </c>
      <c r="CH57" s="18">
        <f t="shared" si="15"/>
        <v>338802.24229718401</v>
      </c>
      <c r="CI57" s="18">
        <f t="shared" si="16"/>
        <v>338802.24229718401</v>
      </c>
      <c r="CJ57" s="18">
        <f t="shared" si="16"/>
        <v>338802.24229718401</v>
      </c>
      <c r="CK57" s="18">
        <f t="shared" si="16"/>
        <v>338802.24229718401</v>
      </c>
      <c r="CL57" s="70">
        <f t="shared" si="17"/>
        <v>1355208.9691887361</v>
      </c>
      <c r="CM57" s="71"/>
      <c r="CN57" s="59">
        <f>BK57/$CN$3</f>
        <v>3.4703000064332802E-4</v>
      </c>
      <c r="CO57" s="64">
        <f>CN57*$CO$4</f>
        <v>7287630.0135098882</v>
      </c>
      <c r="CP57" s="2">
        <f t="shared" si="28"/>
        <v>10841671.753509888</v>
      </c>
    </row>
    <row r="58" spans="1:94" hidden="1" x14ac:dyDescent="0.3">
      <c r="A58" s="29">
        <v>53</v>
      </c>
      <c r="B58" s="30" t="s">
        <v>21</v>
      </c>
      <c r="C58" s="30"/>
      <c r="D58" s="30" t="s">
        <v>114</v>
      </c>
      <c r="E58" s="30" t="s">
        <v>115</v>
      </c>
      <c r="F58" s="30" t="s">
        <v>116</v>
      </c>
      <c r="G58" s="48" t="s">
        <v>117</v>
      </c>
      <c r="H58" s="48" t="s">
        <v>118</v>
      </c>
      <c r="I58" s="30" t="s">
        <v>119</v>
      </c>
      <c r="J58" s="30" t="s">
        <v>120</v>
      </c>
      <c r="K58" s="30" t="s">
        <v>121</v>
      </c>
      <c r="L58" s="30" t="s">
        <v>122</v>
      </c>
      <c r="M58" s="73">
        <v>2100285</v>
      </c>
      <c r="N58" s="48" t="s">
        <v>138</v>
      </c>
      <c r="O58" s="48" t="s">
        <v>312</v>
      </c>
      <c r="P58" s="30" t="s">
        <v>172</v>
      </c>
      <c r="Q58" s="30" t="s">
        <v>172</v>
      </c>
      <c r="R58" s="30" t="s">
        <v>173</v>
      </c>
      <c r="S58" s="61" t="s">
        <v>313</v>
      </c>
      <c r="T58" s="30" t="s">
        <v>314</v>
      </c>
      <c r="U58" s="48" t="s">
        <v>219</v>
      </c>
      <c r="V58" s="62" t="s">
        <v>145</v>
      </c>
      <c r="W58" s="48" t="s">
        <v>176</v>
      </c>
      <c r="X58" s="48"/>
      <c r="Y58" s="48" t="s">
        <v>128</v>
      </c>
      <c r="Z58" s="48" t="s">
        <v>128</v>
      </c>
      <c r="AA58" s="20" t="s">
        <v>148</v>
      </c>
      <c r="AB58" s="72" t="s">
        <v>177</v>
      </c>
      <c r="AC58" s="48" t="s">
        <v>249</v>
      </c>
      <c r="AD58" s="48" t="s">
        <v>178</v>
      </c>
      <c r="AE58" s="48"/>
      <c r="AF58" s="48" t="s">
        <v>179</v>
      </c>
      <c r="AG58" s="48" t="s">
        <v>152</v>
      </c>
      <c r="AH58" s="48" t="s">
        <v>180</v>
      </c>
      <c r="AI58" s="48"/>
      <c r="AJ58" s="50">
        <v>40724</v>
      </c>
      <c r="AK58" s="50">
        <v>40724</v>
      </c>
      <c r="AL58" s="51">
        <f t="shared" si="4"/>
        <v>14.347945205479451</v>
      </c>
      <c r="AM58" s="52">
        <v>8</v>
      </c>
      <c r="AN58" s="48" t="s">
        <v>212</v>
      </c>
      <c r="AO58" s="30" t="s">
        <v>133</v>
      </c>
      <c r="AP58" s="30" t="s">
        <v>134</v>
      </c>
      <c r="AQ58" s="30">
        <v>0.56320000000000003</v>
      </c>
      <c r="AR58" s="30">
        <v>1229</v>
      </c>
      <c r="AS58" s="30">
        <v>1142</v>
      </c>
      <c r="AT58" s="30">
        <v>933</v>
      </c>
      <c r="AU58" s="53">
        <v>177702087</v>
      </c>
      <c r="AV58" s="54"/>
      <c r="AW58" s="54"/>
      <c r="AX58" s="54">
        <v>177702087</v>
      </c>
      <c r="AY58" s="54"/>
      <c r="AZ58" s="54"/>
      <c r="BA58" s="74">
        <v>1000</v>
      </c>
      <c r="BB58" s="74">
        <v>1000</v>
      </c>
      <c r="BC58" s="52">
        <v>96</v>
      </c>
      <c r="BD58" s="52">
        <v>174</v>
      </c>
      <c r="BE58" s="52">
        <v>0</v>
      </c>
      <c r="BF58" s="30"/>
      <c r="BG58" s="30" t="s">
        <v>135</v>
      </c>
      <c r="BH58" s="30" t="s">
        <v>136</v>
      </c>
      <c r="BI58" s="30" t="str">
        <f t="shared" si="18"/>
        <v>Test</v>
      </c>
      <c r="BJ58" s="30" t="s">
        <v>250</v>
      </c>
      <c r="BK58" s="56">
        <f t="shared" si="19"/>
        <v>3554041.74</v>
      </c>
      <c r="BL58" s="57">
        <f t="shared" si="20"/>
        <v>111063.80437500001</v>
      </c>
      <c r="BM58" s="57">
        <f t="shared" si="5"/>
        <v>37021.268125000002</v>
      </c>
      <c r="BU58" s="58">
        <f t="shared" si="6"/>
        <v>111063.80437500001</v>
      </c>
      <c r="BV58" s="58">
        <f t="shared" si="7"/>
        <v>111063.80437500001</v>
      </c>
      <c r="BW58" s="58">
        <f t="shared" si="32"/>
        <v>222127.60875000001</v>
      </c>
      <c r="BX58" s="58">
        <f t="shared" si="9"/>
        <v>111063.80437500001</v>
      </c>
      <c r="BY58" s="58">
        <f t="shared" si="33"/>
        <v>111063.80437500001</v>
      </c>
      <c r="BZ58" s="58">
        <f t="shared" si="33"/>
        <v>111063.80437500001</v>
      </c>
      <c r="CA58" s="58">
        <f t="shared" si="33"/>
        <v>111063.80437500001</v>
      </c>
      <c r="CB58" s="58">
        <f t="shared" si="11"/>
        <v>444255.21750000003</v>
      </c>
      <c r="CC58" s="58">
        <f t="shared" si="12"/>
        <v>111063.80437500001</v>
      </c>
      <c r="CD58" s="58">
        <f t="shared" si="34"/>
        <v>111063.80437500001</v>
      </c>
      <c r="CE58" s="58">
        <f t="shared" si="34"/>
        <v>111063.80437500001</v>
      </c>
      <c r="CF58" s="58">
        <f t="shared" si="34"/>
        <v>111063.80437500001</v>
      </c>
      <c r="CG58" s="58">
        <f t="shared" si="14"/>
        <v>444255.21750000003</v>
      </c>
      <c r="CH58" s="58">
        <f t="shared" si="15"/>
        <v>111063.80437500001</v>
      </c>
      <c r="CI58" s="58">
        <f t="shared" si="16"/>
        <v>111063.80437500001</v>
      </c>
      <c r="CJ58" s="58">
        <f t="shared" si="16"/>
        <v>111063.80437500001</v>
      </c>
      <c r="CK58" s="58">
        <f t="shared" si="16"/>
        <v>111063.80437500001</v>
      </c>
      <c r="CL58" s="58">
        <f t="shared" si="17"/>
        <v>444255.21750000003</v>
      </c>
      <c r="CP58" s="2">
        <f t="shared" si="28"/>
        <v>3554041.74</v>
      </c>
    </row>
    <row r="59" spans="1:94" hidden="1" x14ac:dyDescent="0.3">
      <c r="A59" s="29">
        <v>54</v>
      </c>
      <c r="B59" s="30" t="s">
        <v>21</v>
      </c>
      <c r="C59" s="30"/>
      <c r="D59" s="30" t="s">
        <v>114</v>
      </c>
      <c r="E59" s="30" t="s">
        <v>115</v>
      </c>
      <c r="F59" s="30" t="s">
        <v>116</v>
      </c>
      <c r="G59" s="48" t="s">
        <v>117</v>
      </c>
      <c r="H59" s="48" t="s">
        <v>118</v>
      </c>
      <c r="I59" s="30" t="s">
        <v>119</v>
      </c>
      <c r="J59" s="30" t="s">
        <v>120</v>
      </c>
      <c r="K59" s="30" t="s">
        <v>121</v>
      </c>
      <c r="L59" s="30" t="s">
        <v>122</v>
      </c>
      <c r="M59" s="73">
        <v>2100288</v>
      </c>
      <c r="N59" s="48" t="s">
        <v>138</v>
      </c>
      <c r="O59" s="48" t="s">
        <v>315</v>
      </c>
      <c r="P59" s="30" t="s">
        <v>172</v>
      </c>
      <c r="Q59" s="30" t="s">
        <v>172</v>
      </c>
      <c r="R59" s="30" t="s">
        <v>173</v>
      </c>
      <c r="S59" s="61" t="s">
        <v>316</v>
      </c>
      <c r="T59" s="30" t="s">
        <v>317</v>
      </c>
      <c r="U59" s="48" t="s">
        <v>219</v>
      </c>
      <c r="V59" s="62" t="s">
        <v>145</v>
      </c>
      <c r="W59" s="48" t="s">
        <v>176</v>
      </c>
      <c r="X59" s="48"/>
      <c r="Y59" s="48" t="s">
        <v>128</v>
      </c>
      <c r="Z59" s="48" t="s">
        <v>128</v>
      </c>
      <c r="AA59" s="20" t="s">
        <v>148</v>
      </c>
      <c r="AB59" s="72" t="s">
        <v>177</v>
      </c>
      <c r="AC59" s="48" t="s">
        <v>249</v>
      </c>
      <c r="AD59" s="48" t="s">
        <v>178</v>
      </c>
      <c r="AE59" s="48"/>
      <c r="AF59" s="48" t="s">
        <v>179</v>
      </c>
      <c r="AG59" s="48" t="s">
        <v>152</v>
      </c>
      <c r="AH59" s="48" t="s">
        <v>180</v>
      </c>
      <c r="AI59" s="48"/>
      <c r="AJ59" s="50">
        <v>40724</v>
      </c>
      <c r="AK59" s="50">
        <v>40724</v>
      </c>
      <c r="AL59" s="51">
        <f t="shared" si="4"/>
        <v>14.347945205479451</v>
      </c>
      <c r="AM59" s="52">
        <v>8</v>
      </c>
      <c r="AN59" s="48" t="s">
        <v>157</v>
      </c>
      <c r="AO59" s="30" t="s">
        <v>133</v>
      </c>
      <c r="AP59" s="30" t="s">
        <v>134</v>
      </c>
      <c r="AQ59" s="30">
        <v>0.56320000000000003</v>
      </c>
      <c r="AR59" s="30">
        <v>1229</v>
      </c>
      <c r="AS59" s="30">
        <v>1142</v>
      </c>
      <c r="AT59" s="30">
        <v>933</v>
      </c>
      <c r="AU59" s="53">
        <v>172827730</v>
      </c>
      <c r="AV59" s="54"/>
      <c r="AW59" s="54"/>
      <c r="AX59" s="54">
        <v>172827730</v>
      </c>
      <c r="AY59" s="54"/>
      <c r="AZ59" s="54"/>
      <c r="BA59" s="74">
        <v>1000</v>
      </c>
      <c r="BB59" s="74">
        <v>1000</v>
      </c>
      <c r="BC59" s="52">
        <v>96</v>
      </c>
      <c r="BD59" s="52">
        <v>174</v>
      </c>
      <c r="BE59" s="52">
        <v>0</v>
      </c>
      <c r="BF59" s="30"/>
      <c r="BG59" s="30" t="s">
        <v>135</v>
      </c>
      <c r="BH59" s="30" t="s">
        <v>136</v>
      </c>
      <c r="BI59" s="30" t="str">
        <f t="shared" si="18"/>
        <v>Test</v>
      </c>
      <c r="BJ59" s="30" t="s">
        <v>250</v>
      </c>
      <c r="BK59" s="56">
        <f t="shared" si="19"/>
        <v>3456554.6</v>
      </c>
      <c r="BL59" s="57">
        <f t="shared" si="20"/>
        <v>108017.33125</v>
      </c>
      <c r="BM59" s="57">
        <f t="shared" si="5"/>
        <v>36005.777083333334</v>
      </c>
      <c r="BU59" s="58">
        <f t="shared" si="6"/>
        <v>108017.33125</v>
      </c>
      <c r="BV59" s="58">
        <f t="shared" si="7"/>
        <v>108017.33125</v>
      </c>
      <c r="BW59" s="58">
        <f t="shared" si="32"/>
        <v>216034.66250000001</v>
      </c>
      <c r="BX59" s="58">
        <f t="shared" si="9"/>
        <v>108017.33125</v>
      </c>
      <c r="BY59" s="58">
        <f t="shared" si="33"/>
        <v>108017.33125</v>
      </c>
      <c r="BZ59" s="58">
        <f t="shared" si="33"/>
        <v>108017.33125</v>
      </c>
      <c r="CA59" s="58">
        <f t="shared" si="33"/>
        <v>108017.33125</v>
      </c>
      <c r="CB59" s="58">
        <f t="shared" si="11"/>
        <v>432069.32500000001</v>
      </c>
      <c r="CC59" s="58">
        <f t="shared" si="12"/>
        <v>108017.33125</v>
      </c>
      <c r="CD59" s="58">
        <f t="shared" si="34"/>
        <v>108017.33125</v>
      </c>
      <c r="CE59" s="58">
        <f t="shared" si="34"/>
        <v>108017.33125</v>
      </c>
      <c r="CF59" s="58">
        <f t="shared" si="34"/>
        <v>108017.33125</v>
      </c>
      <c r="CG59" s="58">
        <f t="shared" si="14"/>
        <v>432069.32500000001</v>
      </c>
      <c r="CH59" s="58">
        <f t="shared" si="15"/>
        <v>108017.33125</v>
      </c>
      <c r="CI59" s="58">
        <f t="shared" si="16"/>
        <v>108017.33125</v>
      </c>
      <c r="CJ59" s="58">
        <f t="shared" si="16"/>
        <v>108017.33125</v>
      </c>
      <c r="CK59" s="58">
        <f t="shared" si="16"/>
        <v>108017.33125</v>
      </c>
      <c r="CL59" s="58">
        <f t="shared" si="17"/>
        <v>432069.32500000001</v>
      </c>
      <c r="CP59" s="2">
        <f t="shared" si="28"/>
        <v>3456554.6</v>
      </c>
    </row>
    <row r="60" spans="1:94" hidden="1" x14ac:dyDescent="0.3">
      <c r="A60" s="29">
        <v>55</v>
      </c>
      <c r="B60" s="30" t="s">
        <v>21</v>
      </c>
      <c r="C60" s="30"/>
      <c r="D60" s="30" t="s">
        <v>114</v>
      </c>
      <c r="E60" s="30" t="s">
        <v>115</v>
      </c>
      <c r="F60" s="30" t="s">
        <v>116</v>
      </c>
      <c r="G60" s="48" t="s">
        <v>117</v>
      </c>
      <c r="H60" s="48" t="s">
        <v>118</v>
      </c>
      <c r="I60" s="30" t="s">
        <v>119</v>
      </c>
      <c r="J60" s="30" t="s">
        <v>120</v>
      </c>
      <c r="K60" s="30" t="s">
        <v>121</v>
      </c>
      <c r="L60" s="30" t="s">
        <v>122</v>
      </c>
      <c r="M60" s="73">
        <v>2100293</v>
      </c>
      <c r="N60" s="48" t="s">
        <v>138</v>
      </c>
      <c r="O60" s="48" t="s">
        <v>318</v>
      </c>
      <c r="P60" s="30" t="s">
        <v>231</v>
      </c>
      <c r="Q60" s="30" t="s">
        <v>232</v>
      </c>
      <c r="R60" s="30" t="s">
        <v>142</v>
      </c>
      <c r="S60" s="61">
        <v>310511424</v>
      </c>
      <c r="T60" s="30" t="s">
        <v>319</v>
      </c>
      <c r="U60" s="48" t="s">
        <v>219</v>
      </c>
      <c r="V60" s="62" t="s">
        <v>145</v>
      </c>
      <c r="W60" s="48" t="s">
        <v>146</v>
      </c>
      <c r="X60" s="48" t="s">
        <v>308</v>
      </c>
      <c r="Y60" s="48" t="s">
        <v>128</v>
      </c>
      <c r="Z60" s="48" t="s">
        <v>128</v>
      </c>
      <c r="AA60" s="20" t="s">
        <v>148</v>
      </c>
      <c r="AB60" s="48" t="s">
        <v>149</v>
      </c>
      <c r="AC60" s="48" t="s">
        <v>150</v>
      </c>
      <c r="AD60" s="48"/>
      <c r="AE60" s="48"/>
      <c r="AF60" s="48" t="s">
        <v>151</v>
      </c>
      <c r="AG60" s="48" t="s">
        <v>152</v>
      </c>
      <c r="AH60" s="48" t="s">
        <v>153</v>
      </c>
      <c r="AI60" s="48"/>
      <c r="AJ60" s="50">
        <v>40816</v>
      </c>
      <c r="AK60" s="50">
        <v>40816</v>
      </c>
      <c r="AL60" s="51">
        <f t="shared" si="4"/>
        <v>14.095890410958905</v>
      </c>
      <c r="AM60" s="52">
        <v>8</v>
      </c>
      <c r="AN60" s="48" t="s">
        <v>157</v>
      </c>
      <c r="AO60" s="30" t="s">
        <v>133</v>
      </c>
      <c r="AP60" s="30" t="s">
        <v>134</v>
      </c>
      <c r="AQ60" s="30">
        <v>9.8308320000000009</v>
      </c>
      <c r="AR60" s="30">
        <v>950</v>
      </c>
      <c r="AS60" s="30">
        <v>1250</v>
      </c>
      <c r="AT60" s="30">
        <v>1800</v>
      </c>
      <c r="AU60" s="53">
        <v>843541971</v>
      </c>
      <c r="AV60" s="54"/>
      <c r="AW60" s="54"/>
      <c r="AX60" s="54">
        <v>843541971</v>
      </c>
      <c r="AY60" s="54"/>
      <c r="AZ60" s="54"/>
      <c r="BA60" s="74">
        <v>1000</v>
      </c>
      <c r="BB60" s="74">
        <v>1000</v>
      </c>
      <c r="BC60" s="52">
        <v>96</v>
      </c>
      <c r="BD60" s="52">
        <v>171</v>
      </c>
      <c r="BE60" s="52">
        <v>0</v>
      </c>
      <c r="BF60" s="30"/>
      <c r="BG60" s="30" t="s">
        <v>135</v>
      </c>
      <c r="BH60" s="30" t="s">
        <v>136</v>
      </c>
      <c r="BI60" s="30" t="str">
        <f t="shared" si="18"/>
        <v>Test</v>
      </c>
      <c r="BJ60" s="30" t="s">
        <v>250</v>
      </c>
      <c r="BK60" s="56">
        <f t="shared" si="19"/>
        <v>16870839.420000002</v>
      </c>
      <c r="BL60" s="57">
        <f t="shared" si="20"/>
        <v>527213.73187500006</v>
      </c>
      <c r="BM60" s="57">
        <f t="shared" si="5"/>
        <v>175737.91062500002</v>
      </c>
      <c r="BU60" s="58">
        <f t="shared" si="6"/>
        <v>527213.73187500006</v>
      </c>
      <c r="BV60" s="58">
        <f t="shared" si="7"/>
        <v>527213.73187500006</v>
      </c>
      <c r="BW60" s="58">
        <f t="shared" si="32"/>
        <v>1054427.4637500001</v>
      </c>
      <c r="BX60" s="58">
        <f t="shared" si="9"/>
        <v>527213.73187500006</v>
      </c>
      <c r="BY60" s="58">
        <f t="shared" si="33"/>
        <v>527213.73187500006</v>
      </c>
      <c r="BZ60" s="58">
        <f t="shared" si="33"/>
        <v>527213.73187500006</v>
      </c>
      <c r="CA60" s="58">
        <f t="shared" si="33"/>
        <v>527213.73187500006</v>
      </c>
      <c r="CB60" s="58">
        <f t="shared" si="11"/>
        <v>2108854.9275000002</v>
      </c>
      <c r="CC60" s="58">
        <f t="shared" si="12"/>
        <v>527213.73187500006</v>
      </c>
      <c r="CD60" s="58">
        <f t="shared" si="34"/>
        <v>527213.73187500006</v>
      </c>
      <c r="CE60" s="58">
        <f t="shared" si="34"/>
        <v>527213.73187500006</v>
      </c>
      <c r="CF60" s="58">
        <f t="shared" si="34"/>
        <v>527213.73187500006</v>
      </c>
      <c r="CG60" s="58">
        <f t="shared" si="14"/>
        <v>2108854.9275000002</v>
      </c>
      <c r="CH60" s="58">
        <f t="shared" si="15"/>
        <v>527213.73187500006</v>
      </c>
      <c r="CI60" s="58">
        <f t="shared" si="16"/>
        <v>527213.73187500006</v>
      </c>
      <c r="CJ60" s="58">
        <f t="shared" si="16"/>
        <v>527213.73187500006</v>
      </c>
      <c r="CK60" s="58">
        <f t="shared" si="16"/>
        <v>527213.73187500006</v>
      </c>
      <c r="CL60" s="58">
        <f t="shared" si="17"/>
        <v>2108854.9275000002</v>
      </c>
      <c r="CP60" s="2">
        <f t="shared" si="28"/>
        <v>16870839.420000002</v>
      </c>
    </row>
    <row r="61" spans="1:94" hidden="1" x14ac:dyDescent="0.3">
      <c r="A61" s="29">
        <v>56</v>
      </c>
      <c r="B61" s="30" t="s">
        <v>21</v>
      </c>
      <c r="C61" s="30"/>
      <c r="D61" s="30" t="s">
        <v>114</v>
      </c>
      <c r="E61" s="30" t="s">
        <v>115</v>
      </c>
      <c r="F61" s="30" t="s">
        <v>116</v>
      </c>
      <c r="G61" s="48" t="s">
        <v>117</v>
      </c>
      <c r="H61" s="48" t="s">
        <v>118</v>
      </c>
      <c r="I61" s="30" t="s">
        <v>119</v>
      </c>
      <c r="J61" s="30" t="s">
        <v>120</v>
      </c>
      <c r="K61" s="30" t="s">
        <v>121</v>
      </c>
      <c r="L61" s="30" t="s">
        <v>122</v>
      </c>
      <c r="M61" s="73">
        <v>2100294</v>
      </c>
      <c r="N61" s="48" t="s">
        <v>138</v>
      </c>
      <c r="O61" s="48" t="s">
        <v>320</v>
      </c>
      <c r="P61" s="30" t="s">
        <v>231</v>
      </c>
      <c r="Q61" s="30" t="s">
        <v>232</v>
      </c>
      <c r="R61" s="30" t="s">
        <v>142</v>
      </c>
      <c r="S61" s="61">
        <v>310528681</v>
      </c>
      <c r="T61" s="30" t="s">
        <v>321</v>
      </c>
      <c r="U61" s="48" t="s">
        <v>219</v>
      </c>
      <c r="V61" s="62" t="s">
        <v>145</v>
      </c>
      <c r="W61" s="48" t="s">
        <v>146</v>
      </c>
      <c r="X61" s="48" t="s">
        <v>308</v>
      </c>
      <c r="Y61" s="48" t="s">
        <v>128</v>
      </c>
      <c r="Z61" s="48" t="s">
        <v>128</v>
      </c>
      <c r="AA61" s="20" t="s">
        <v>148</v>
      </c>
      <c r="AB61" s="48" t="s">
        <v>149</v>
      </c>
      <c r="AC61" s="48" t="s">
        <v>150</v>
      </c>
      <c r="AD61" s="48"/>
      <c r="AE61" s="48"/>
      <c r="AF61" s="48" t="s">
        <v>151</v>
      </c>
      <c r="AG61" s="48" t="s">
        <v>152</v>
      </c>
      <c r="AH61" s="48" t="s">
        <v>153</v>
      </c>
      <c r="AI61" s="48"/>
      <c r="AJ61" s="50">
        <v>40816</v>
      </c>
      <c r="AK61" s="50">
        <v>40816</v>
      </c>
      <c r="AL61" s="51">
        <f t="shared" si="4"/>
        <v>14.095890410958905</v>
      </c>
      <c r="AM61" s="52">
        <v>8</v>
      </c>
      <c r="AN61" s="48" t="s">
        <v>212</v>
      </c>
      <c r="AO61" s="30" t="s">
        <v>133</v>
      </c>
      <c r="AP61" s="30" t="s">
        <v>134</v>
      </c>
      <c r="AQ61" s="30">
        <v>9.8308320000000009</v>
      </c>
      <c r="AR61" s="30">
        <v>950</v>
      </c>
      <c r="AS61" s="30">
        <v>1250</v>
      </c>
      <c r="AT61" s="30">
        <v>1800</v>
      </c>
      <c r="AU61" s="53">
        <v>843541970</v>
      </c>
      <c r="AV61" s="54"/>
      <c r="AW61" s="54"/>
      <c r="AX61" s="54">
        <v>843541970</v>
      </c>
      <c r="AY61" s="54"/>
      <c r="AZ61" s="54"/>
      <c r="BA61" s="74">
        <v>1000</v>
      </c>
      <c r="BB61" s="74">
        <v>1000</v>
      </c>
      <c r="BC61" s="52">
        <v>96</v>
      </c>
      <c r="BD61" s="52">
        <v>171</v>
      </c>
      <c r="BE61" s="52">
        <v>0</v>
      </c>
      <c r="BF61" s="30"/>
      <c r="BG61" s="30" t="s">
        <v>135</v>
      </c>
      <c r="BH61" s="30" t="s">
        <v>136</v>
      </c>
      <c r="BI61" s="30" t="str">
        <f t="shared" si="18"/>
        <v>Test</v>
      </c>
      <c r="BJ61" s="30" t="s">
        <v>250</v>
      </c>
      <c r="BK61" s="56">
        <f t="shared" si="19"/>
        <v>16870839.399999999</v>
      </c>
      <c r="BL61" s="57">
        <f t="shared" si="20"/>
        <v>527213.73124999995</v>
      </c>
      <c r="BM61" s="57">
        <f t="shared" si="5"/>
        <v>175737.91041666665</v>
      </c>
      <c r="BU61" s="58">
        <f t="shared" si="6"/>
        <v>527213.73124999995</v>
      </c>
      <c r="BV61" s="58">
        <f t="shared" si="7"/>
        <v>527213.73124999995</v>
      </c>
      <c r="BW61" s="58">
        <f t="shared" si="32"/>
        <v>1054427.4624999999</v>
      </c>
      <c r="BX61" s="58">
        <f t="shared" si="9"/>
        <v>527213.73124999995</v>
      </c>
      <c r="BY61" s="58">
        <f t="shared" si="33"/>
        <v>527213.73124999995</v>
      </c>
      <c r="BZ61" s="58">
        <f t="shared" si="33"/>
        <v>527213.73124999995</v>
      </c>
      <c r="CA61" s="58">
        <f t="shared" si="33"/>
        <v>527213.73124999995</v>
      </c>
      <c r="CB61" s="58">
        <f t="shared" si="11"/>
        <v>2108854.9249999998</v>
      </c>
      <c r="CC61" s="58">
        <f t="shared" si="12"/>
        <v>527213.73124999995</v>
      </c>
      <c r="CD61" s="58">
        <f t="shared" si="34"/>
        <v>527213.73124999995</v>
      </c>
      <c r="CE61" s="58">
        <f t="shared" si="34"/>
        <v>527213.73124999995</v>
      </c>
      <c r="CF61" s="58">
        <f t="shared" si="34"/>
        <v>527213.73124999995</v>
      </c>
      <c r="CG61" s="58">
        <f t="shared" si="14"/>
        <v>2108854.9249999998</v>
      </c>
      <c r="CH61" s="58">
        <f t="shared" si="15"/>
        <v>527213.73124999995</v>
      </c>
      <c r="CI61" s="58">
        <f t="shared" si="16"/>
        <v>527213.73124999995</v>
      </c>
      <c r="CJ61" s="58">
        <f t="shared" si="16"/>
        <v>527213.73124999995</v>
      </c>
      <c r="CK61" s="58">
        <f t="shared" si="16"/>
        <v>527213.73124999995</v>
      </c>
      <c r="CL61" s="58">
        <f t="shared" si="17"/>
        <v>2108854.9249999998</v>
      </c>
      <c r="CP61" s="2">
        <f t="shared" si="28"/>
        <v>16870839.399999999</v>
      </c>
    </row>
    <row r="62" spans="1:94" hidden="1" x14ac:dyDescent="0.3">
      <c r="A62" s="29">
        <v>57</v>
      </c>
      <c r="B62" s="30" t="s">
        <v>21</v>
      </c>
      <c r="C62" s="30"/>
      <c r="D62" s="30" t="s">
        <v>114</v>
      </c>
      <c r="E62" s="30" t="s">
        <v>115</v>
      </c>
      <c r="F62" s="30" t="s">
        <v>116</v>
      </c>
      <c r="G62" s="48" t="s">
        <v>117</v>
      </c>
      <c r="H62" s="48" t="s">
        <v>118</v>
      </c>
      <c r="I62" s="30" t="s">
        <v>119</v>
      </c>
      <c r="J62" s="30" t="s">
        <v>120</v>
      </c>
      <c r="K62" s="30" t="s">
        <v>121</v>
      </c>
      <c r="L62" s="30" t="s">
        <v>122</v>
      </c>
      <c r="M62" s="73">
        <v>2100295</v>
      </c>
      <c r="N62" s="48" t="s">
        <v>138</v>
      </c>
      <c r="O62" s="48" t="s">
        <v>322</v>
      </c>
      <c r="P62" s="30" t="s">
        <v>172</v>
      </c>
      <c r="Q62" s="30" t="s">
        <v>172</v>
      </c>
      <c r="R62" s="30" t="s">
        <v>173</v>
      </c>
      <c r="S62" s="61" t="s">
        <v>323</v>
      </c>
      <c r="T62" s="30" t="s">
        <v>324</v>
      </c>
      <c r="U62" s="48" t="s">
        <v>219</v>
      </c>
      <c r="V62" s="62" t="s">
        <v>145</v>
      </c>
      <c r="W62" s="48" t="s">
        <v>176</v>
      </c>
      <c r="X62" s="48"/>
      <c r="Y62" s="48" t="s">
        <v>128</v>
      </c>
      <c r="Z62" s="48" t="s">
        <v>128</v>
      </c>
      <c r="AA62" s="20" t="s">
        <v>148</v>
      </c>
      <c r="AB62" s="72" t="s">
        <v>177</v>
      </c>
      <c r="AC62" s="48" t="s">
        <v>249</v>
      </c>
      <c r="AD62" s="48" t="s">
        <v>178</v>
      </c>
      <c r="AE62" s="48"/>
      <c r="AF62" s="48" t="s">
        <v>179</v>
      </c>
      <c r="AG62" s="48" t="s">
        <v>152</v>
      </c>
      <c r="AH62" s="48" t="s">
        <v>180</v>
      </c>
      <c r="AI62" s="48"/>
      <c r="AJ62" s="50">
        <v>40816</v>
      </c>
      <c r="AK62" s="50">
        <v>40816</v>
      </c>
      <c r="AL62" s="51">
        <f t="shared" si="4"/>
        <v>14.095890410958905</v>
      </c>
      <c r="AM62" s="52">
        <v>8</v>
      </c>
      <c r="AN62" s="48" t="s">
        <v>157</v>
      </c>
      <c r="AO62" s="30" t="s">
        <v>133</v>
      </c>
      <c r="AP62" s="30" t="s">
        <v>134</v>
      </c>
      <c r="AQ62" s="30">
        <v>0.56320000000000003</v>
      </c>
      <c r="AR62" s="30">
        <v>1229</v>
      </c>
      <c r="AS62" s="30">
        <v>1142</v>
      </c>
      <c r="AT62" s="30">
        <v>933</v>
      </c>
      <c r="AU62" s="53">
        <v>187985321</v>
      </c>
      <c r="AV62" s="54"/>
      <c r="AW62" s="54"/>
      <c r="AX62" s="54">
        <v>187985321</v>
      </c>
      <c r="AY62" s="54"/>
      <c r="AZ62" s="54"/>
      <c r="BA62" s="74">
        <v>1000</v>
      </c>
      <c r="BB62" s="74">
        <v>1000</v>
      </c>
      <c r="BC62" s="52">
        <v>96</v>
      </c>
      <c r="BD62" s="52">
        <v>171</v>
      </c>
      <c r="BE62" s="52">
        <v>0</v>
      </c>
      <c r="BF62" s="30"/>
      <c r="BG62" s="30" t="s">
        <v>135</v>
      </c>
      <c r="BH62" s="30" t="s">
        <v>136</v>
      </c>
      <c r="BI62" s="30" t="str">
        <f t="shared" si="18"/>
        <v>Test</v>
      </c>
      <c r="BJ62" s="30" t="s">
        <v>250</v>
      </c>
      <c r="BK62" s="56">
        <f t="shared" si="19"/>
        <v>3759706.42</v>
      </c>
      <c r="BL62" s="57">
        <f t="shared" si="20"/>
        <v>117490.825625</v>
      </c>
      <c r="BM62" s="57">
        <f t="shared" si="5"/>
        <v>39163.608541666668</v>
      </c>
      <c r="BU62" s="58">
        <f t="shared" si="6"/>
        <v>117490.825625</v>
      </c>
      <c r="BV62" s="58">
        <f t="shared" si="7"/>
        <v>117490.825625</v>
      </c>
      <c r="BW62" s="58">
        <f t="shared" si="32"/>
        <v>234981.65125</v>
      </c>
      <c r="BX62" s="58">
        <f t="shared" si="9"/>
        <v>117490.825625</v>
      </c>
      <c r="BY62" s="58">
        <f t="shared" si="33"/>
        <v>117490.825625</v>
      </c>
      <c r="BZ62" s="58">
        <f t="shared" si="33"/>
        <v>117490.825625</v>
      </c>
      <c r="CA62" s="58">
        <f t="shared" si="33"/>
        <v>117490.825625</v>
      </c>
      <c r="CB62" s="58">
        <f t="shared" si="11"/>
        <v>469963.30249999999</v>
      </c>
      <c r="CC62" s="58">
        <f t="shared" si="12"/>
        <v>117490.825625</v>
      </c>
      <c r="CD62" s="58">
        <f t="shared" si="34"/>
        <v>117490.825625</v>
      </c>
      <c r="CE62" s="58">
        <f t="shared" si="34"/>
        <v>117490.825625</v>
      </c>
      <c r="CF62" s="58">
        <f t="shared" si="34"/>
        <v>117490.825625</v>
      </c>
      <c r="CG62" s="58">
        <f t="shared" si="14"/>
        <v>469963.30249999999</v>
      </c>
      <c r="CH62" s="58">
        <f t="shared" si="15"/>
        <v>117490.825625</v>
      </c>
      <c r="CI62" s="58">
        <f t="shared" si="16"/>
        <v>117490.825625</v>
      </c>
      <c r="CJ62" s="58">
        <f t="shared" si="16"/>
        <v>117490.825625</v>
      </c>
      <c r="CK62" s="58">
        <f t="shared" si="16"/>
        <v>117490.825625</v>
      </c>
      <c r="CL62" s="58">
        <f t="shared" si="17"/>
        <v>469963.30249999999</v>
      </c>
      <c r="CP62" s="2">
        <f t="shared" si="28"/>
        <v>3759706.42</v>
      </c>
    </row>
    <row r="63" spans="1:94" hidden="1" x14ac:dyDescent="0.3">
      <c r="A63" s="29">
        <v>58</v>
      </c>
      <c r="B63" s="30" t="s">
        <v>21</v>
      </c>
      <c r="C63" s="30"/>
      <c r="D63" s="30" t="s">
        <v>114</v>
      </c>
      <c r="E63" s="30" t="s">
        <v>115</v>
      </c>
      <c r="F63" s="30" t="s">
        <v>116</v>
      </c>
      <c r="G63" s="48" t="s">
        <v>117</v>
      </c>
      <c r="H63" s="48" t="s">
        <v>118</v>
      </c>
      <c r="I63" s="30" t="s">
        <v>119</v>
      </c>
      <c r="J63" s="30" t="s">
        <v>120</v>
      </c>
      <c r="K63" s="30" t="s">
        <v>121</v>
      </c>
      <c r="L63" s="30" t="s">
        <v>122</v>
      </c>
      <c r="M63" s="73">
        <v>2100306</v>
      </c>
      <c r="N63" s="48" t="s">
        <v>138</v>
      </c>
      <c r="O63" s="48" t="s">
        <v>325</v>
      </c>
      <c r="P63" s="30" t="s">
        <v>231</v>
      </c>
      <c r="Q63" s="30" t="s">
        <v>232</v>
      </c>
      <c r="R63" s="30" t="s">
        <v>142</v>
      </c>
      <c r="S63" s="61">
        <v>310576191</v>
      </c>
      <c r="T63" s="30" t="s">
        <v>326</v>
      </c>
      <c r="U63" s="48" t="s">
        <v>219</v>
      </c>
      <c r="V63" s="62" t="s">
        <v>145</v>
      </c>
      <c r="W63" s="48" t="s">
        <v>146</v>
      </c>
      <c r="X63" s="48" t="s">
        <v>127</v>
      </c>
      <c r="Y63" s="48" t="s">
        <v>128</v>
      </c>
      <c r="Z63" s="48" t="s">
        <v>128</v>
      </c>
      <c r="AA63" s="20" t="s">
        <v>148</v>
      </c>
      <c r="AB63" s="48" t="s">
        <v>149</v>
      </c>
      <c r="AC63" s="48" t="s">
        <v>150</v>
      </c>
      <c r="AD63" s="48"/>
      <c r="AE63" s="48"/>
      <c r="AF63" s="48" t="s">
        <v>151</v>
      </c>
      <c r="AG63" s="48" t="s">
        <v>152</v>
      </c>
      <c r="AH63" s="48" t="s">
        <v>153</v>
      </c>
      <c r="AI63" s="48"/>
      <c r="AJ63" s="50">
        <v>40968</v>
      </c>
      <c r="AK63" s="50">
        <v>40968</v>
      </c>
      <c r="AL63" s="51">
        <f t="shared" si="4"/>
        <v>13.67945205479452</v>
      </c>
      <c r="AM63" s="52">
        <v>8</v>
      </c>
      <c r="AN63" s="48" t="s">
        <v>212</v>
      </c>
      <c r="AO63" s="30" t="s">
        <v>133</v>
      </c>
      <c r="AP63" s="30" t="s">
        <v>134</v>
      </c>
      <c r="AQ63" s="30">
        <v>9.8308320000000009</v>
      </c>
      <c r="AR63" s="30">
        <v>950</v>
      </c>
      <c r="AS63" s="30">
        <v>1250</v>
      </c>
      <c r="AT63" s="30">
        <v>1800</v>
      </c>
      <c r="AU63" s="53">
        <v>895656777</v>
      </c>
      <c r="AV63" s="54"/>
      <c r="AW63" s="54"/>
      <c r="AX63" s="54">
        <v>895656777</v>
      </c>
      <c r="AY63" s="54"/>
      <c r="AZ63" s="54"/>
      <c r="BA63" s="74">
        <v>1000</v>
      </c>
      <c r="BB63" s="75">
        <v>1000</v>
      </c>
      <c r="BC63" s="52">
        <v>96</v>
      </c>
      <c r="BD63" s="52">
        <v>166</v>
      </c>
      <c r="BE63" s="52">
        <v>0</v>
      </c>
      <c r="BF63" s="30"/>
      <c r="BG63" s="30" t="s">
        <v>135</v>
      </c>
      <c r="BH63" s="30" t="s">
        <v>136</v>
      </c>
      <c r="BI63" s="30" t="str">
        <f t="shared" si="18"/>
        <v>Test</v>
      </c>
      <c r="BJ63" s="30" t="s">
        <v>250</v>
      </c>
      <c r="BK63" s="56">
        <f t="shared" si="19"/>
        <v>17913135.539999999</v>
      </c>
      <c r="BL63" s="57">
        <f t="shared" si="20"/>
        <v>1707636.2438909842</v>
      </c>
      <c r="BM63" s="57">
        <f t="shared" si="5"/>
        <v>569212.0812969947</v>
      </c>
      <c r="BU63" s="58">
        <f t="shared" si="6"/>
        <v>1707636.243890984</v>
      </c>
      <c r="BV63" s="58">
        <f t="shared" si="7"/>
        <v>1707636.243890984</v>
      </c>
      <c r="BW63" s="58">
        <f t="shared" si="32"/>
        <v>3415272.487781968</v>
      </c>
      <c r="BX63" s="58">
        <f t="shared" si="9"/>
        <v>1707636.243890984</v>
      </c>
      <c r="BY63" s="58">
        <f t="shared" si="33"/>
        <v>1707636.243890984</v>
      </c>
      <c r="BZ63" s="58">
        <f t="shared" si="33"/>
        <v>1707636.243890984</v>
      </c>
      <c r="CA63" s="58">
        <f t="shared" si="33"/>
        <v>1707636.243890984</v>
      </c>
      <c r="CB63" s="58">
        <f t="shared" si="11"/>
        <v>6830544.9755639359</v>
      </c>
      <c r="CC63" s="58">
        <f t="shared" si="12"/>
        <v>1707636.243890984</v>
      </c>
      <c r="CD63" s="58">
        <f t="shared" si="34"/>
        <v>1707636.243890984</v>
      </c>
      <c r="CE63" s="58">
        <f t="shared" si="34"/>
        <v>1707636.243890984</v>
      </c>
      <c r="CF63" s="58">
        <f t="shared" si="34"/>
        <v>1707636.243890984</v>
      </c>
      <c r="CG63" s="58">
        <f t="shared" si="14"/>
        <v>6830544.9755639359</v>
      </c>
      <c r="CH63" s="58">
        <f t="shared" si="15"/>
        <v>1707636.243890984</v>
      </c>
      <c r="CI63" s="58">
        <f t="shared" si="16"/>
        <v>1707636.243890984</v>
      </c>
      <c r="CJ63" s="58">
        <f t="shared" si="16"/>
        <v>1707636.243890984</v>
      </c>
      <c r="CK63" s="58">
        <f t="shared" si="16"/>
        <v>1707636.243890984</v>
      </c>
      <c r="CL63" s="58">
        <f t="shared" si="17"/>
        <v>6830544.9755639359</v>
      </c>
      <c r="CN63" s="59">
        <f t="shared" ref="CN63:CN64" si="39">BK63/$CN$3</f>
        <v>1.7491059173576902E-3</v>
      </c>
      <c r="CO63" s="64">
        <f t="shared" ref="CO63:CO64" si="40">CN63*$CO$4</f>
        <v>36731224.264511496</v>
      </c>
      <c r="CP63" s="2">
        <f t="shared" si="28"/>
        <v>54644359.804511495</v>
      </c>
    </row>
    <row r="64" spans="1:94" hidden="1" x14ac:dyDescent="0.3">
      <c r="A64" s="29">
        <v>59</v>
      </c>
      <c r="B64" s="30" t="s">
        <v>21</v>
      </c>
      <c r="C64" s="30"/>
      <c r="D64" s="30" t="s">
        <v>114</v>
      </c>
      <c r="E64" s="30" t="s">
        <v>115</v>
      </c>
      <c r="F64" s="30" t="s">
        <v>116</v>
      </c>
      <c r="G64" s="48" t="s">
        <v>117</v>
      </c>
      <c r="H64" s="48" t="s">
        <v>118</v>
      </c>
      <c r="I64" s="30" t="s">
        <v>119</v>
      </c>
      <c r="J64" s="30" t="s">
        <v>120</v>
      </c>
      <c r="K64" s="30" t="s">
        <v>121</v>
      </c>
      <c r="L64" s="30" t="s">
        <v>122</v>
      </c>
      <c r="M64" s="73">
        <v>2100307</v>
      </c>
      <c r="N64" s="48" t="s">
        <v>138</v>
      </c>
      <c r="O64" s="48" t="s">
        <v>327</v>
      </c>
      <c r="P64" s="30" t="s">
        <v>231</v>
      </c>
      <c r="Q64" s="30" t="s">
        <v>232</v>
      </c>
      <c r="R64" s="30" t="s">
        <v>142</v>
      </c>
      <c r="S64" s="61">
        <v>310576396</v>
      </c>
      <c r="T64" s="30" t="s">
        <v>328</v>
      </c>
      <c r="U64" s="48" t="s">
        <v>219</v>
      </c>
      <c r="V64" s="62" t="s">
        <v>145</v>
      </c>
      <c r="W64" s="48" t="s">
        <v>146</v>
      </c>
      <c r="X64" s="48" t="s">
        <v>127</v>
      </c>
      <c r="Y64" s="48" t="s">
        <v>128</v>
      </c>
      <c r="Z64" s="48" t="s">
        <v>128</v>
      </c>
      <c r="AA64" s="20" t="s">
        <v>148</v>
      </c>
      <c r="AB64" s="48" t="s">
        <v>149</v>
      </c>
      <c r="AC64" s="48" t="s">
        <v>150</v>
      </c>
      <c r="AD64" s="48"/>
      <c r="AE64" s="48"/>
      <c r="AF64" s="48" t="s">
        <v>151</v>
      </c>
      <c r="AG64" s="48" t="s">
        <v>152</v>
      </c>
      <c r="AH64" s="48" t="s">
        <v>153</v>
      </c>
      <c r="AI64" s="48"/>
      <c r="AJ64" s="50">
        <v>40968</v>
      </c>
      <c r="AK64" s="50">
        <v>40968</v>
      </c>
      <c r="AL64" s="51">
        <f t="shared" si="4"/>
        <v>13.67945205479452</v>
      </c>
      <c r="AM64" s="52">
        <v>8</v>
      </c>
      <c r="AN64" s="48" t="s">
        <v>212</v>
      </c>
      <c r="AO64" s="30" t="s">
        <v>133</v>
      </c>
      <c r="AP64" s="30" t="s">
        <v>134</v>
      </c>
      <c r="AQ64" s="30">
        <v>9.8308320000000009</v>
      </c>
      <c r="AR64" s="30">
        <v>950</v>
      </c>
      <c r="AS64" s="30">
        <v>1250</v>
      </c>
      <c r="AT64" s="30">
        <v>1800</v>
      </c>
      <c r="AU64" s="53">
        <v>895656776</v>
      </c>
      <c r="AV64" s="54"/>
      <c r="AW64" s="54"/>
      <c r="AX64" s="54">
        <v>895656776</v>
      </c>
      <c r="AY64" s="54"/>
      <c r="AZ64" s="54"/>
      <c r="BA64" s="74">
        <v>1000</v>
      </c>
      <c r="BB64" s="75">
        <v>1000</v>
      </c>
      <c r="BC64" s="52">
        <v>96</v>
      </c>
      <c r="BD64" s="52">
        <v>166</v>
      </c>
      <c r="BE64" s="52">
        <v>0</v>
      </c>
      <c r="BF64" s="30"/>
      <c r="BG64" s="30" t="s">
        <v>135</v>
      </c>
      <c r="BH64" s="30" t="s">
        <v>136</v>
      </c>
      <c r="BI64" s="30" t="str">
        <f t="shared" si="18"/>
        <v>Test</v>
      </c>
      <c r="BJ64" s="30" t="s">
        <v>250</v>
      </c>
      <c r="BK64" s="56">
        <f t="shared" si="19"/>
        <v>17913135.52</v>
      </c>
      <c r="BL64" s="57">
        <f t="shared" si="20"/>
        <v>1707636.2419844097</v>
      </c>
      <c r="BM64" s="57">
        <f t="shared" si="5"/>
        <v>569212.08066146995</v>
      </c>
      <c r="BU64" s="58">
        <f t="shared" si="6"/>
        <v>1707636.2419844097</v>
      </c>
      <c r="BV64" s="58">
        <f t="shared" si="7"/>
        <v>1707636.2419844097</v>
      </c>
      <c r="BW64" s="58">
        <f t="shared" si="32"/>
        <v>3415272.4839688195</v>
      </c>
      <c r="BX64" s="58">
        <f t="shared" si="9"/>
        <v>1707636.2419844097</v>
      </c>
      <c r="BY64" s="58">
        <f t="shared" si="33"/>
        <v>1707636.2419844097</v>
      </c>
      <c r="BZ64" s="58">
        <f t="shared" si="33"/>
        <v>1707636.2419844097</v>
      </c>
      <c r="CA64" s="58">
        <f t="shared" si="33"/>
        <v>1707636.2419844097</v>
      </c>
      <c r="CB64" s="58">
        <f t="shared" si="11"/>
        <v>6830544.967937639</v>
      </c>
      <c r="CC64" s="58">
        <f t="shared" si="12"/>
        <v>1707636.2419844097</v>
      </c>
      <c r="CD64" s="58">
        <f t="shared" si="34"/>
        <v>1707636.2419844097</v>
      </c>
      <c r="CE64" s="58">
        <f t="shared" si="34"/>
        <v>1707636.2419844097</v>
      </c>
      <c r="CF64" s="58">
        <f t="shared" si="34"/>
        <v>1707636.2419844097</v>
      </c>
      <c r="CG64" s="58">
        <f t="shared" si="14"/>
        <v>6830544.967937639</v>
      </c>
      <c r="CH64" s="58">
        <f t="shared" si="15"/>
        <v>1707636.2419844097</v>
      </c>
      <c r="CI64" s="58">
        <f t="shared" si="16"/>
        <v>1707636.2419844097</v>
      </c>
      <c r="CJ64" s="58">
        <f t="shared" si="16"/>
        <v>1707636.2419844097</v>
      </c>
      <c r="CK64" s="58">
        <f t="shared" si="16"/>
        <v>1707636.2419844097</v>
      </c>
      <c r="CL64" s="58">
        <f t="shared" si="17"/>
        <v>6830544.967937639</v>
      </c>
      <c r="CN64" s="59">
        <f t="shared" si="39"/>
        <v>1.7491059154048148E-3</v>
      </c>
      <c r="CO64" s="64">
        <f t="shared" si="40"/>
        <v>36731224.223501109</v>
      </c>
      <c r="CP64" s="2">
        <f t="shared" si="28"/>
        <v>54644359.743501112</v>
      </c>
    </row>
    <row r="65" spans="1:94" hidden="1" x14ac:dyDescent="0.3">
      <c r="A65" s="29">
        <v>60</v>
      </c>
      <c r="B65" s="30" t="s">
        <v>21</v>
      </c>
      <c r="C65" s="30"/>
      <c r="D65" s="30" t="s">
        <v>114</v>
      </c>
      <c r="E65" s="30" t="s">
        <v>115</v>
      </c>
      <c r="F65" s="30" t="s">
        <v>116</v>
      </c>
      <c r="G65" s="48" t="s">
        <v>117</v>
      </c>
      <c r="H65" s="48" t="s">
        <v>118</v>
      </c>
      <c r="I65" s="30" t="s">
        <v>119</v>
      </c>
      <c r="J65" s="30" t="s">
        <v>120</v>
      </c>
      <c r="K65" s="30" t="s">
        <v>121</v>
      </c>
      <c r="L65" s="30" t="s">
        <v>122</v>
      </c>
      <c r="M65" s="73">
        <v>2100308</v>
      </c>
      <c r="N65" s="48" t="s">
        <v>138</v>
      </c>
      <c r="O65" s="48" t="s">
        <v>329</v>
      </c>
      <c r="P65" s="30" t="s">
        <v>172</v>
      </c>
      <c r="Q65" s="30" t="s">
        <v>172</v>
      </c>
      <c r="R65" s="30" t="s">
        <v>173</v>
      </c>
      <c r="S65" s="61" t="s">
        <v>330</v>
      </c>
      <c r="T65" s="30" t="s">
        <v>331</v>
      </c>
      <c r="U65" s="48" t="s">
        <v>219</v>
      </c>
      <c r="V65" s="62" t="s">
        <v>145</v>
      </c>
      <c r="W65" s="48" t="s">
        <v>176</v>
      </c>
      <c r="X65" s="48"/>
      <c r="Y65" s="48" t="s">
        <v>128</v>
      </c>
      <c r="Z65" s="48" t="s">
        <v>128</v>
      </c>
      <c r="AA65" s="20" t="s">
        <v>148</v>
      </c>
      <c r="AB65" s="72" t="s">
        <v>177</v>
      </c>
      <c r="AC65" s="48" t="s">
        <v>249</v>
      </c>
      <c r="AD65" s="48" t="s">
        <v>178</v>
      </c>
      <c r="AE65" s="48"/>
      <c r="AF65" s="48" t="s">
        <v>179</v>
      </c>
      <c r="AG65" s="48" t="s">
        <v>152</v>
      </c>
      <c r="AH65" s="48" t="s">
        <v>180</v>
      </c>
      <c r="AI65" s="48"/>
      <c r="AJ65" s="50">
        <v>40968</v>
      </c>
      <c r="AK65" s="50">
        <v>40968</v>
      </c>
      <c r="AL65" s="51">
        <f t="shared" si="4"/>
        <v>13.67945205479452</v>
      </c>
      <c r="AM65" s="52">
        <v>8</v>
      </c>
      <c r="AN65" s="48" t="s">
        <v>154</v>
      </c>
      <c r="AO65" s="30" t="s">
        <v>133</v>
      </c>
      <c r="AP65" s="30" t="s">
        <v>134</v>
      </c>
      <c r="AQ65" s="30">
        <v>0.56320000000000003</v>
      </c>
      <c r="AR65" s="30">
        <v>1229</v>
      </c>
      <c r="AS65" s="30">
        <v>1142</v>
      </c>
      <c r="AT65" s="30">
        <v>933</v>
      </c>
      <c r="AU65" s="53">
        <v>189468533</v>
      </c>
      <c r="AV65" s="54"/>
      <c r="AW65" s="54"/>
      <c r="AX65" s="54">
        <v>189468533</v>
      </c>
      <c r="AY65" s="54"/>
      <c r="AZ65" s="54"/>
      <c r="BA65" s="74">
        <v>1000</v>
      </c>
      <c r="BB65" s="74">
        <v>1000</v>
      </c>
      <c r="BC65" s="52">
        <v>96</v>
      </c>
      <c r="BD65" s="52">
        <v>166</v>
      </c>
      <c r="BE65" s="52">
        <v>0</v>
      </c>
      <c r="BF65" s="30"/>
      <c r="BG65" s="30" t="s">
        <v>135</v>
      </c>
      <c r="BH65" s="30" t="s">
        <v>136</v>
      </c>
      <c r="BI65" s="30" t="str">
        <f t="shared" si="18"/>
        <v>Test</v>
      </c>
      <c r="BJ65" s="30" t="s">
        <v>250</v>
      </c>
      <c r="BK65" s="56">
        <f t="shared" si="19"/>
        <v>3789370.66</v>
      </c>
      <c r="BL65" s="57">
        <f t="shared" si="20"/>
        <v>118417.833125</v>
      </c>
      <c r="BM65" s="57">
        <f t="shared" si="5"/>
        <v>39472.611041666671</v>
      </c>
      <c r="BU65" s="58">
        <f t="shared" si="6"/>
        <v>118417.833125</v>
      </c>
      <c r="BV65" s="58">
        <f t="shared" si="7"/>
        <v>118417.833125</v>
      </c>
      <c r="BW65" s="58">
        <f t="shared" si="32"/>
        <v>236835.66625000001</v>
      </c>
      <c r="BX65" s="58">
        <f t="shared" si="9"/>
        <v>118417.833125</v>
      </c>
      <c r="BY65" s="58">
        <f t="shared" si="33"/>
        <v>118417.833125</v>
      </c>
      <c r="BZ65" s="58">
        <f t="shared" si="33"/>
        <v>118417.833125</v>
      </c>
      <c r="CA65" s="58">
        <f t="shared" si="33"/>
        <v>118417.833125</v>
      </c>
      <c r="CB65" s="58">
        <f t="shared" si="11"/>
        <v>473671.33250000002</v>
      </c>
      <c r="CC65" s="58">
        <f t="shared" si="12"/>
        <v>118417.833125</v>
      </c>
      <c r="CD65" s="58">
        <f t="shared" si="34"/>
        <v>118417.833125</v>
      </c>
      <c r="CE65" s="58">
        <f t="shared" si="34"/>
        <v>118417.833125</v>
      </c>
      <c r="CF65" s="58">
        <f t="shared" si="34"/>
        <v>118417.833125</v>
      </c>
      <c r="CG65" s="58">
        <f t="shared" si="14"/>
        <v>473671.33250000002</v>
      </c>
      <c r="CH65" s="58">
        <f t="shared" si="15"/>
        <v>118417.833125</v>
      </c>
      <c r="CI65" s="58">
        <f t="shared" si="16"/>
        <v>118417.833125</v>
      </c>
      <c r="CJ65" s="58">
        <f t="shared" si="16"/>
        <v>118417.833125</v>
      </c>
      <c r="CK65" s="58">
        <f t="shared" si="16"/>
        <v>118417.833125</v>
      </c>
      <c r="CL65" s="58">
        <f t="shared" si="17"/>
        <v>473671.33250000002</v>
      </c>
      <c r="CP65" s="2">
        <f t="shared" si="28"/>
        <v>3789370.66</v>
      </c>
    </row>
    <row r="66" spans="1:94" hidden="1" x14ac:dyDescent="0.3">
      <c r="A66" s="29">
        <v>61</v>
      </c>
      <c r="B66" s="30" t="s">
        <v>21</v>
      </c>
      <c r="C66" s="30"/>
      <c r="D66" s="30" t="s">
        <v>114</v>
      </c>
      <c r="E66" s="30" t="s">
        <v>115</v>
      </c>
      <c r="F66" s="30" t="s">
        <v>116</v>
      </c>
      <c r="G66" s="48" t="s">
        <v>117</v>
      </c>
      <c r="H66" s="48" t="s">
        <v>118</v>
      </c>
      <c r="I66" s="30" t="s">
        <v>119</v>
      </c>
      <c r="J66" s="30" t="s">
        <v>120</v>
      </c>
      <c r="K66" s="30" t="s">
        <v>121</v>
      </c>
      <c r="L66" s="30" t="s">
        <v>122</v>
      </c>
      <c r="M66" s="73">
        <v>2100309</v>
      </c>
      <c r="N66" s="48" t="s">
        <v>138</v>
      </c>
      <c r="O66" s="48" t="s">
        <v>332</v>
      </c>
      <c r="P66" s="30" t="s">
        <v>172</v>
      </c>
      <c r="Q66" s="30" t="s">
        <v>172</v>
      </c>
      <c r="R66" s="30" t="s">
        <v>173</v>
      </c>
      <c r="S66" s="61" t="s">
        <v>333</v>
      </c>
      <c r="T66" s="30" t="s">
        <v>334</v>
      </c>
      <c r="U66" s="48" t="s">
        <v>219</v>
      </c>
      <c r="V66" s="62" t="s">
        <v>145</v>
      </c>
      <c r="W66" s="48" t="s">
        <v>176</v>
      </c>
      <c r="X66" s="48"/>
      <c r="Y66" s="48" t="s">
        <v>128</v>
      </c>
      <c r="Z66" s="48" t="s">
        <v>128</v>
      </c>
      <c r="AA66" s="20" t="s">
        <v>148</v>
      </c>
      <c r="AB66" s="72" t="s">
        <v>177</v>
      </c>
      <c r="AC66" s="48" t="s">
        <v>249</v>
      </c>
      <c r="AD66" s="48" t="s">
        <v>178</v>
      </c>
      <c r="AE66" s="48"/>
      <c r="AF66" s="48" t="s">
        <v>179</v>
      </c>
      <c r="AG66" s="48" t="s">
        <v>152</v>
      </c>
      <c r="AH66" s="48" t="s">
        <v>180</v>
      </c>
      <c r="AI66" s="48"/>
      <c r="AJ66" s="50">
        <v>40968</v>
      </c>
      <c r="AK66" s="50">
        <v>40968</v>
      </c>
      <c r="AL66" s="51">
        <f t="shared" si="4"/>
        <v>13.67945205479452</v>
      </c>
      <c r="AM66" s="52">
        <v>8</v>
      </c>
      <c r="AN66" s="48" t="s">
        <v>212</v>
      </c>
      <c r="AO66" s="30" t="s">
        <v>133</v>
      </c>
      <c r="AP66" s="30" t="s">
        <v>134</v>
      </c>
      <c r="AQ66" s="30">
        <v>0.56320000000000003</v>
      </c>
      <c r="AR66" s="30">
        <v>1229</v>
      </c>
      <c r="AS66" s="30">
        <v>1142</v>
      </c>
      <c r="AT66" s="30">
        <v>933</v>
      </c>
      <c r="AU66" s="53">
        <v>189468532</v>
      </c>
      <c r="AV66" s="54"/>
      <c r="AW66" s="54"/>
      <c r="AX66" s="54">
        <v>189468532</v>
      </c>
      <c r="AY66" s="54"/>
      <c r="AZ66" s="54"/>
      <c r="BA66" s="74">
        <v>1000</v>
      </c>
      <c r="BB66" s="74">
        <v>1000</v>
      </c>
      <c r="BC66" s="52">
        <v>96</v>
      </c>
      <c r="BD66" s="52">
        <v>166</v>
      </c>
      <c r="BE66" s="52">
        <v>0</v>
      </c>
      <c r="BF66" s="30"/>
      <c r="BG66" s="30" t="s">
        <v>135</v>
      </c>
      <c r="BH66" s="30" t="s">
        <v>136</v>
      </c>
      <c r="BI66" s="30" t="str">
        <f t="shared" si="18"/>
        <v>Test</v>
      </c>
      <c r="BJ66" s="30" t="s">
        <v>250</v>
      </c>
      <c r="BK66" s="56">
        <f t="shared" si="19"/>
        <v>3789370.64</v>
      </c>
      <c r="BL66" s="57">
        <f t="shared" si="20"/>
        <v>118417.8325</v>
      </c>
      <c r="BM66" s="57">
        <f t="shared" si="5"/>
        <v>39472.610833333332</v>
      </c>
      <c r="BU66" s="58">
        <f t="shared" si="6"/>
        <v>118417.83249999999</v>
      </c>
      <c r="BV66" s="58">
        <f t="shared" si="7"/>
        <v>118417.83249999999</v>
      </c>
      <c r="BW66" s="58">
        <f t="shared" si="32"/>
        <v>236835.66499999998</v>
      </c>
      <c r="BX66" s="58">
        <f t="shared" si="9"/>
        <v>118417.83249999999</v>
      </c>
      <c r="BY66" s="58">
        <f t="shared" ref="BY66:CA85" si="41">BX66</f>
        <v>118417.83249999999</v>
      </c>
      <c r="BZ66" s="58">
        <f t="shared" si="41"/>
        <v>118417.83249999999</v>
      </c>
      <c r="CA66" s="58">
        <f t="shared" si="41"/>
        <v>118417.83249999999</v>
      </c>
      <c r="CB66" s="58">
        <f t="shared" si="11"/>
        <v>473671.32999999996</v>
      </c>
      <c r="CC66" s="58">
        <f t="shared" si="12"/>
        <v>118417.83249999999</v>
      </c>
      <c r="CD66" s="58">
        <f t="shared" ref="CD66:CF85" si="42">CC66</f>
        <v>118417.83249999999</v>
      </c>
      <c r="CE66" s="58">
        <f t="shared" si="42"/>
        <v>118417.83249999999</v>
      </c>
      <c r="CF66" s="58">
        <f t="shared" si="42"/>
        <v>118417.83249999999</v>
      </c>
      <c r="CG66" s="58">
        <f t="shared" si="14"/>
        <v>473671.32999999996</v>
      </c>
      <c r="CH66" s="58">
        <f t="shared" si="15"/>
        <v>118417.83249999999</v>
      </c>
      <c r="CI66" s="58">
        <f t="shared" si="16"/>
        <v>118417.83249999999</v>
      </c>
      <c r="CJ66" s="58">
        <f t="shared" si="16"/>
        <v>118417.83249999999</v>
      </c>
      <c r="CK66" s="58">
        <f t="shared" si="16"/>
        <v>118417.83249999999</v>
      </c>
      <c r="CL66" s="58">
        <f t="shared" si="17"/>
        <v>473671.32999999996</v>
      </c>
      <c r="CP66" s="2">
        <f t="shared" si="28"/>
        <v>3789370.64</v>
      </c>
    </row>
    <row r="67" spans="1:94" hidden="1" x14ac:dyDescent="0.3">
      <c r="A67" s="29">
        <v>62</v>
      </c>
      <c r="B67" s="30" t="s">
        <v>21</v>
      </c>
      <c r="C67" s="30"/>
      <c r="D67" s="30" t="s">
        <v>114</v>
      </c>
      <c r="E67" s="30" t="s">
        <v>115</v>
      </c>
      <c r="F67" s="30" t="s">
        <v>116</v>
      </c>
      <c r="G67" s="48" t="s">
        <v>117</v>
      </c>
      <c r="H67" s="48" t="s">
        <v>118</v>
      </c>
      <c r="I67" s="30" t="s">
        <v>119</v>
      </c>
      <c r="J67" s="30" t="s">
        <v>120</v>
      </c>
      <c r="K67" s="30" t="s">
        <v>121</v>
      </c>
      <c r="L67" s="30" t="s">
        <v>122</v>
      </c>
      <c r="M67" s="73">
        <v>2100310</v>
      </c>
      <c r="N67" s="48" t="s">
        <v>138</v>
      </c>
      <c r="O67" s="48" t="s">
        <v>335</v>
      </c>
      <c r="P67" s="30" t="s">
        <v>231</v>
      </c>
      <c r="Q67" s="30" t="s">
        <v>232</v>
      </c>
      <c r="R67" s="30" t="s">
        <v>142</v>
      </c>
      <c r="S67" s="61">
        <v>310575756</v>
      </c>
      <c r="T67" s="30" t="s">
        <v>336</v>
      </c>
      <c r="U67" s="48" t="s">
        <v>219</v>
      </c>
      <c r="V67" s="62" t="s">
        <v>145</v>
      </c>
      <c r="W67" s="48" t="s">
        <v>146</v>
      </c>
      <c r="X67" s="48" t="s">
        <v>308</v>
      </c>
      <c r="Y67" s="48" t="s">
        <v>128</v>
      </c>
      <c r="Z67" s="48" t="s">
        <v>128</v>
      </c>
      <c r="AA67" s="20" t="s">
        <v>148</v>
      </c>
      <c r="AB67" s="48" t="s">
        <v>149</v>
      </c>
      <c r="AC67" s="48" t="s">
        <v>150</v>
      </c>
      <c r="AD67" s="48"/>
      <c r="AE67" s="48"/>
      <c r="AF67" s="48" t="s">
        <v>151</v>
      </c>
      <c r="AG67" s="48" t="s">
        <v>152</v>
      </c>
      <c r="AH67" s="48" t="s">
        <v>153</v>
      </c>
      <c r="AI67" s="48"/>
      <c r="AJ67" s="50">
        <v>40968</v>
      </c>
      <c r="AK67" s="50">
        <v>40968</v>
      </c>
      <c r="AL67" s="51">
        <f t="shared" si="4"/>
        <v>13.67945205479452</v>
      </c>
      <c r="AM67" s="52">
        <v>8</v>
      </c>
      <c r="AN67" s="48" t="s">
        <v>157</v>
      </c>
      <c r="AO67" s="30" t="s">
        <v>133</v>
      </c>
      <c r="AP67" s="30" t="s">
        <v>134</v>
      </c>
      <c r="AQ67" s="30">
        <v>9.8308320000000009</v>
      </c>
      <c r="AR67" s="30">
        <v>950</v>
      </c>
      <c r="AS67" s="30">
        <v>1250</v>
      </c>
      <c r="AT67" s="30">
        <v>1800</v>
      </c>
      <c r="AU67" s="53">
        <v>849910786</v>
      </c>
      <c r="AV67" s="54"/>
      <c r="AW67" s="54"/>
      <c r="AX67" s="54">
        <v>849910786</v>
      </c>
      <c r="AY67" s="54"/>
      <c r="AZ67" s="54"/>
      <c r="BA67" s="74">
        <v>1000</v>
      </c>
      <c r="BB67" s="74">
        <v>1000</v>
      </c>
      <c r="BC67" s="52">
        <v>96</v>
      </c>
      <c r="BD67" s="52">
        <v>166</v>
      </c>
      <c r="BE67" s="52">
        <v>0</v>
      </c>
      <c r="BF67" s="30"/>
      <c r="BG67" s="30" t="s">
        <v>135</v>
      </c>
      <c r="BH67" s="30" t="s">
        <v>136</v>
      </c>
      <c r="BI67" s="30" t="str">
        <f t="shared" si="18"/>
        <v>Test</v>
      </c>
      <c r="BJ67" s="30" t="s">
        <v>250</v>
      </c>
      <c r="BK67" s="56">
        <f t="shared" si="19"/>
        <v>16998215.719999999</v>
      </c>
      <c r="BL67" s="57">
        <f t="shared" si="20"/>
        <v>531194.24124999996</v>
      </c>
      <c r="BM67" s="57">
        <f t="shared" si="5"/>
        <v>177064.74708333332</v>
      </c>
      <c r="BU67" s="58">
        <f t="shared" si="6"/>
        <v>531194.24124999996</v>
      </c>
      <c r="BV67" s="58">
        <f t="shared" si="7"/>
        <v>531194.24124999996</v>
      </c>
      <c r="BW67" s="58">
        <f t="shared" si="32"/>
        <v>1062388.4824999999</v>
      </c>
      <c r="BX67" s="58">
        <f t="shared" si="9"/>
        <v>531194.24124999996</v>
      </c>
      <c r="BY67" s="58">
        <f t="shared" si="41"/>
        <v>531194.24124999996</v>
      </c>
      <c r="BZ67" s="58">
        <f t="shared" si="41"/>
        <v>531194.24124999996</v>
      </c>
      <c r="CA67" s="58">
        <f t="shared" si="41"/>
        <v>531194.24124999996</v>
      </c>
      <c r="CB67" s="58">
        <f t="shared" si="11"/>
        <v>2124776.9649999999</v>
      </c>
      <c r="CC67" s="58">
        <f t="shared" si="12"/>
        <v>531194.24124999996</v>
      </c>
      <c r="CD67" s="58">
        <f t="shared" si="42"/>
        <v>531194.24124999996</v>
      </c>
      <c r="CE67" s="58">
        <f t="shared" si="42"/>
        <v>531194.24124999996</v>
      </c>
      <c r="CF67" s="58">
        <f t="shared" si="42"/>
        <v>531194.24124999996</v>
      </c>
      <c r="CG67" s="58">
        <f t="shared" si="14"/>
        <v>2124776.9649999999</v>
      </c>
      <c r="CH67" s="58">
        <f t="shared" si="15"/>
        <v>531194.24124999996</v>
      </c>
      <c r="CI67" s="58">
        <f t="shared" si="16"/>
        <v>531194.24124999996</v>
      </c>
      <c r="CJ67" s="58">
        <f t="shared" si="16"/>
        <v>531194.24124999996</v>
      </c>
      <c r="CK67" s="58">
        <f t="shared" si="16"/>
        <v>531194.24124999996</v>
      </c>
      <c r="CL67" s="58">
        <f t="shared" si="17"/>
        <v>2124776.9649999999</v>
      </c>
      <c r="CP67" s="2">
        <f t="shared" si="28"/>
        <v>16998215.719999999</v>
      </c>
    </row>
    <row r="68" spans="1:94" hidden="1" x14ac:dyDescent="0.3">
      <c r="A68" s="29">
        <v>63</v>
      </c>
      <c r="B68" s="30" t="s">
        <v>21</v>
      </c>
      <c r="C68" s="30"/>
      <c r="D68" s="30" t="s">
        <v>114</v>
      </c>
      <c r="E68" s="30" t="s">
        <v>115</v>
      </c>
      <c r="F68" s="30" t="s">
        <v>116</v>
      </c>
      <c r="G68" s="48" t="s">
        <v>117</v>
      </c>
      <c r="H68" s="48" t="s">
        <v>118</v>
      </c>
      <c r="I68" s="30" t="s">
        <v>119</v>
      </c>
      <c r="J68" s="30" t="s">
        <v>120</v>
      </c>
      <c r="K68" s="30" t="s">
        <v>121</v>
      </c>
      <c r="L68" s="30" t="s">
        <v>122</v>
      </c>
      <c r="M68" s="73">
        <v>2100311</v>
      </c>
      <c r="N68" s="48" t="s">
        <v>138</v>
      </c>
      <c r="O68" s="48" t="s">
        <v>337</v>
      </c>
      <c r="P68" s="30" t="s">
        <v>231</v>
      </c>
      <c r="Q68" s="30" t="s">
        <v>232</v>
      </c>
      <c r="R68" s="30" t="s">
        <v>142</v>
      </c>
      <c r="S68" s="61">
        <v>310576365</v>
      </c>
      <c r="T68" s="30" t="s">
        <v>338</v>
      </c>
      <c r="U68" s="48" t="s">
        <v>219</v>
      </c>
      <c r="V68" s="62" t="s">
        <v>145</v>
      </c>
      <c r="W68" s="48" t="s">
        <v>146</v>
      </c>
      <c r="X68" s="48" t="s">
        <v>127</v>
      </c>
      <c r="Y68" s="48" t="s">
        <v>128</v>
      </c>
      <c r="Z68" s="48" t="s">
        <v>128</v>
      </c>
      <c r="AA68" s="20" t="s">
        <v>148</v>
      </c>
      <c r="AB68" s="48" t="s">
        <v>149</v>
      </c>
      <c r="AC68" s="48" t="s">
        <v>150</v>
      </c>
      <c r="AD68" s="48"/>
      <c r="AE68" s="48"/>
      <c r="AF68" s="48" t="s">
        <v>151</v>
      </c>
      <c r="AG68" s="48" t="s">
        <v>152</v>
      </c>
      <c r="AH68" s="48" t="s">
        <v>153</v>
      </c>
      <c r="AI68" s="48"/>
      <c r="AJ68" s="50">
        <v>40968</v>
      </c>
      <c r="AK68" s="50">
        <v>40968</v>
      </c>
      <c r="AL68" s="51">
        <f t="shared" si="4"/>
        <v>13.67945205479452</v>
      </c>
      <c r="AM68" s="52">
        <v>8</v>
      </c>
      <c r="AN68" s="48" t="s">
        <v>157</v>
      </c>
      <c r="AO68" s="30" t="s">
        <v>133</v>
      </c>
      <c r="AP68" s="30" t="s">
        <v>134</v>
      </c>
      <c r="AQ68" s="30">
        <v>9.8308320000000009</v>
      </c>
      <c r="AR68" s="30">
        <v>950</v>
      </c>
      <c r="AS68" s="30">
        <v>1250</v>
      </c>
      <c r="AT68" s="30">
        <v>1800</v>
      </c>
      <c r="AU68" s="53">
        <v>849910785</v>
      </c>
      <c r="AV68" s="54"/>
      <c r="AW68" s="54"/>
      <c r="AX68" s="54">
        <v>849910785</v>
      </c>
      <c r="AY68" s="54"/>
      <c r="AZ68" s="54"/>
      <c r="BA68" s="74">
        <v>1000</v>
      </c>
      <c r="BB68" s="75">
        <v>1000</v>
      </c>
      <c r="BC68" s="52">
        <v>96</v>
      </c>
      <c r="BD68" s="52">
        <v>166</v>
      </c>
      <c r="BE68" s="52">
        <v>0</v>
      </c>
      <c r="BF68" s="30"/>
      <c r="BG68" s="30" t="s">
        <v>135</v>
      </c>
      <c r="BH68" s="30" t="s">
        <v>136</v>
      </c>
      <c r="BI68" s="30" t="str">
        <f t="shared" si="18"/>
        <v>Test</v>
      </c>
      <c r="BJ68" s="30" t="s">
        <v>250</v>
      </c>
      <c r="BK68" s="56">
        <f t="shared" si="19"/>
        <v>16998215.699999999</v>
      </c>
      <c r="BL68" s="57">
        <f t="shared" si="20"/>
        <v>1620418.1085985773</v>
      </c>
      <c r="BM68" s="57">
        <f t="shared" si="5"/>
        <v>540139.36953285907</v>
      </c>
      <c r="BU68" s="58">
        <f t="shared" si="6"/>
        <v>1620418.1085985773</v>
      </c>
      <c r="BV68" s="58">
        <f t="shared" si="7"/>
        <v>1620418.1085985773</v>
      </c>
      <c r="BW68" s="58">
        <f t="shared" si="32"/>
        <v>3240836.2171971546</v>
      </c>
      <c r="BX68" s="58">
        <f t="shared" si="9"/>
        <v>1620418.1085985773</v>
      </c>
      <c r="BY68" s="58">
        <f t="shared" si="41"/>
        <v>1620418.1085985773</v>
      </c>
      <c r="BZ68" s="58">
        <f t="shared" si="41"/>
        <v>1620418.1085985773</v>
      </c>
      <c r="CA68" s="58">
        <f t="shared" si="41"/>
        <v>1620418.1085985773</v>
      </c>
      <c r="CB68" s="58">
        <f t="shared" si="11"/>
        <v>6481672.4343943093</v>
      </c>
      <c r="CC68" s="58">
        <f t="shared" si="12"/>
        <v>1620418.1085985773</v>
      </c>
      <c r="CD68" s="58">
        <f t="shared" si="42"/>
        <v>1620418.1085985773</v>
      </c>
      <c r="CE68" s="58">
        <f t="shared" si="42"/>
        <v>1620418.1085985773</v>
      </c>
      <c r="CF68" s="58">
        <f t="shared" si="42"/>
        <v>1620418.1085985773</v>
      </c>
      <c r="CG68" s="58">
        <f t="shared" si="14"/>
        <v>6481672.4343943093</v>
      </c>
      <c r="CH68" s="58">
        <f t="shared" si="15"/>
        <v>1620418.1085985773</v>
      </c>
      <c r="CI68" s="58">
        <f t="shared" si="16"/>
        <v>1620418.1085985773</v>
      </c>
      <c r="CJ68" s="58">
        <f t="shared" si="16"/>
        <v>1620418.1085985773</v>
      </c>
      <c r="CK68" s="58">
        <f t="shared" si="16"/>
        <v>1620418.1085985773</v>
      </c>
      <c r="CL68" s="58">
        <f t="shared" si="17"/>
        <v>6481672.4343943093</v>
      </c>
      <c r="CN68" s="59">
        <f t="shared" ref="CN68:CN70" si="43">BK68/$CN$3</f>
        <v>1.6597697035787846E-3</v>
      </c>
      <c r="CO68" s="64">
        <f t="shared" ref="CO68:CO70" si="44">CN68*$CO$4</f>
        <v>34855163.775154479</v>
      </c>
      <c r="CP68" s="2">
        <f t="shared" si="28"/>
        <v>51853379.475154474</v>
      </c>
    </row>
    <row r="69" spans="1:94" hidden="1" x14ac:dyDescent="0.3">
      <c r="A69" s="29">
        <v>64</v>
      </c>
      <c r="B69" s="30" t="s">
        <v>21</v>
      </c>
      <c r="C69" s="30"/>
      <c r="D69" s="30" t="s">
        <v>114</v>
      </c>
      <c r="E69" s="30" t="s">
        <v>115</v>
      </c>
      <c r="F69" s="30" t="s">
        <v>116</v>
      </c>
      <c r="G69" s="48" t="s">
        <v>117</v>
      </c>
      <c r="H69" s="48" t="s">
        <v>118</v>
      </c>
      <c r="I69" s="30" t="s">
        <v>119</v>
      </c>
      <c r="J69" s="30" t="s">
        <v>120</v>
      </c>
      <c r="K69" s="30" t="s">
        <v>121</v>
      </c>
      <c r="L69" s="30" t="s">
        <v>122</v>
      </c>
      <c r="M69" s="73">
        <v>2100312</v>
      </c>
      <c r="N69" s="48" t="s">
        <v>138</v>
      </c>
      <c r="O69" s="48" t="s">
        <v>339</v>
      </c>
      <c r="P69" s="30" t="s">
        <v>231</v>
      </c>
      <c r="Q69" s="30" t="s">
        <v>232</v>
      </c>
      <c r="R69" s="30" t="s">
        <v>142</v>
      </c>
      <c r="S69" s="61">
        <v>310576394</v>
      </c>
      <c r="T69" s="30" t="s">
        <v>340</v>
      </c>
      <c r="U69" s="48" t="s">
        <v>219</v>
      </c>
      <c r="V69" s="62" t="s">
        <v>145</v>
      </c>
      <c r="W69" s="48" t="s">
        <v>146</v>
      </c>
      <c r="X69" s="48" t="s">
        <v>127</v>
      </c>
      <c r="Y69" s="48" t="s">
        <v>128</v>
      </c>
      <c r="Z69" s="48" t="s">
        <v>128</v>
      </c>
      <c r="AA69" s="20" t="s">
        <v>148</v>
      </c>
      <c r="AB69" s="48" t="s">
        <v>149</v>
      </c>
      <c r="AC69" s="48" t="s">
        <v>150</v>
      </c>
      <c r="AD69" s="48"/>
      <c r="AE69" s="48"/>
      <c r="AF69" s="48" t="s">
        <v>151</v>
      </c>
      <c r="AG69" s="48" t="s">
        <v>152</v>
      </c>
      <c r="AH69" s="48" t="s">
        <v>153</v>
      </c>
      <c r="AI69" s="48"/>
      <c r="AJ69" s="50">
        <v>40968</v>
      </c>
      <c r="AK69" s="50">
        <v>40968</v>
      </c>
      <c r="AL69" s="51">
        <f t="shared" si="4"/>
        <v>13.67945205479452</v>
      </c>
      <c r="AM69" s="52">
        <v>8</v>
      </c>
      <c r="AN69" s="48" t="s">
        <v>212</v>
      </c>
      <c r="AO69" s="30" t="s">
        <v>133</v>
      </c>
      <c r="AP69" s="30" t="s">
        <v>134</v>
      </c>
      <c r="AQ69" s="30">
        <v>9.8308320000000009</v>
      </c>
      <c r="AR69" s="30">
        <v>950</v>
      </c>
      <c r="AS69" s="30">
        <v>1250</v>
      </c>
      <c r="AT69" s="30">
        <v>1800</v>
      </c>
      <c r="AU69" s="53">
        <v>843363964</v>
      </c>
      <c r="AV69" s="54"/>
      <c r="AW69" s="54"/>
      <c r="AX69" s="54">
        <v>843363964</v>
      </c>
      <c r="AY69" s="54"/>
      <c r="AZ69" s="54"/>
      <c r="BA69" s="74">
        <v>1000</v>
      </c>
      <c r="BB69" s="75">
        <v>1000</v>
      </c>
      <c r="BC69" s="52">
        <v>96</v>
      </c>
      <c r="BD69" s="52">
        <v>166</v>
      </c>
      <c r="BE69" s="52">
        <v>0</v>
      </c>
      <c r="BF69" s="30"/>
      <c r="BG69" s="30" t="s">
        <v>135</v>
      </c>
      <c r="BH69" s="30" t="s">
        <v>136</v>
      </c>
      <c r="BI69" s="30" t="str">
        <f t="shared" si="18"/>
        <v>Test</v>
      </c>
      <c r="BJ69" s="30" t="s">
        <v>250</v>
      </c>
      <c r="BK69" s="56">
        <f t="shared" si="19"/>
        <v>16867279.280000001</v>
      </c>
      <c r="BL69" s="57">
        <f t="shared" si="20"/>
        <v>1607936.1075587231</v>
      </c>
      <c r="BM69" s="57">
        <f t="shared" si="5"/>
        <v>535978.70251957432</v>
      </c>
      <c r="BU69" s="58">
        <f t="shared" si="6"/>
        <v>1607936.1075587231</v>
      </c>
      <c r="BV69" s="58">
        <f t="shared" si="7"/>
        <v>1607936.1075587231</v>
      </c>
      <c r="BW69" s="58">
        <f t="shared" si="32"/>
        <v>3215872.2151174461</v>
      </c>
      <c r="BX69" s="58">
        <f t="shared" si="9"/>
        <v>1607936.1075587231</v>
      </c>
      <c r="BY69" s="58">
        <f t="shared" si="41"/>
        <v>1607936.1075587231</v>
      </c>
      <c r="BZ69" s="58">
        <f t="shared" si="41"/>
        <v>1607936.1075587231</v>
      </c>
      <c r="CA69" s="58">
        <f t="shared" si="41"/>
        <v>1607936.1075587231</v>
      </c>
      <c r="CB69" s="58">
        <f t="shared" si="11"/>
        <v>6431744.4302348923</v>
      </c>
      <c r="CC69" s="58">
        <f t="shared" si="12"/>
        <v>1607936.1075587231</v>
      </c>
      <c r="CD69" s="58">
        <f t="shared" si="42"/>
        <v>1607936.1075587231</v>
      </c>
      <c r="CE69" s="58">
        <f t="shared" si="42"/>
        <v>1607936.1075587231</v>
      </c>
      <c r="CF69" s="58">
        <f t="shared" si="42"/>
        <v>1607936.1075587231</v>
      </c>
      <c r="CG69" s="58">
        <f t="shared" si="14"/>
        <v>6431744.4302348923</v>
      </c>
      <c r="CH69" s="58">
        <f t="shared" si="15"/>
        <v>1607936.1075587231</v>
      </c>
      <c r="CI69" s="58">
        <f t="shared" si="16"/>
        <v>1607936.1075587231</v>
      </c>
      <c r="CJ69" s="58">
        <f t="shared" si="16"/>
        <v>1607936.1075587231</v>
      </c>
      <c r="CK69" s="58">
        <f t="shared" si="16"/>
        <v>1607936.1075587231</v>
      </c>
      <c r="CL69" s="58">
        <f t="shared" si="17"/>
        <v>6431744.4302348923</v>
      </c>
      <c r="CN69" s="59">
        <f t="shared" si="43"/>
        <v>1.6469845791371018E-3</v>
      </c>
      <c r="CO69" s="64">
        <f t="shared" si="44"/>
        <v>34586676.161879137</v>
      </c>
      <c r="CP69" s="2">
        <f t="shared" si="28"/>
        <v>51453955.441879138</v>
      </c>
    </row>
    <row r="70" spans="1:94" hidden="1" x14ac:dyDescent="0.3">
      <c r="A70" s="29">
        <v>65</v>
      </c>
      <c r="B70" s="30" t="s">
        <v>21</v>
      </c>
      <c r="C70" s="30"/>
      <c r="D70" s="30" t="s">
        <v>114</v>
      </c>
      <c r="E70" s="30" t="s">
        <v>115</v>
      </c>
      <c r="F70" s="30" t="s">
        <v>116</v>
      </c>
      <c r="G70" s="48" t="s">
        <v>117</v>
      </c>
      <c r="H70" s="48" t="s">
        <v>118</v>
      </c>
      <c r="I70" s="30" t="s">
        <v>119</v>
      </c>
      <c r="J70" s="30" t="s">
        <v>120</v>
      </c>
      <c r="K70" s="30" t="s">
        <v>121</v>
      </c>
      <c r="L70" s="30" t="s">
        <v>122</v>
      </c>
      <c r="M70" s="73">
        <v>2100313</v>
      </c>
      <c r="N70" s="48" t="s">
        <v>138</v>
      </c>
      <c r="O70" s="48" t="s">
        <v>341</v>
      </c>
      <c r="P70" s="30" t="s">
        <v>231</v>
      </c>
      <c r="Q70" s="30" t="s">
        <v>232</v>
      </c>
      <c r="R70" s="30" t="s">
        <v>142</v>
      </c>
      <c r="S70" s="61">
        <v>310576395</v>
      </c>
      <c r="T70" s="30" t="s">
        <v>342</v>
      </c>
      <c r="U70" s="48" t="s">
        <v>219</v>
      </c>
      <c r="V70" s="62" t="s">
        <v>145</v>
      </c>
      <c r="W70" s="48" t="s">
        <v>146</v>
      </c>
      <c r="X70" s="48" t="s">
        <v>127</v>
      </c>
      <c r="Y70" s="48" t="s">
        <v>128</v>
      </c>
      <c r="Z70" s="48" t="s">
        <v>128</v>
      </c>
      <c r="AA70" s="20" t="s">
        <v>148</v>
      </c>
      <c r="AB70" s="48" t="s">
        <v>149</v>
      </c>
      <c r="AC70" s="48" t="s">
        <v>150</v>
      </c>
      <c r="AD70" s="48"/>
      <c r="AE70" s="48"/>
      <c r="AF70" s="48" t="s">
        <v>151</v>
      </c>
      <c r="AG70" s="48" t="s">
        <v>152</v>
      </c>
      <c r="AH70" s="48" t="s">
        <v>153</v>
      </c>
      <c r="AI70" s="48"/>
      <c r="AJ70" s="50">
        <v>40968</v>
      </c>
      <c r="AK70" s="50">
        <v>40968</v>
      </c>
      <c r="AL70" s="51">
        <f t="shared" ref="AL70:AL108" si="45">($AL$1-AK70)/365</f>
        <v>13.67945205479452</v>
      </c>
      <c r="AM70" s="52">
        <v>8</v>
      </c>
      <c r="AN70" s="48" t="s">
        <v>157</v>
      </c>
      <c r="AO70" s="30" t="s">
        <v>133</v>
      </c>
      <c r="AP70" s="30" t="s">
        <v>134</v>
      </c>
      <c r="AQ70" s="30">
        <v>9.8308320000000009</v>
      </c>
      <c r="AR70" s="30">
        <v>950</v>
      </c>
      <c r="AS70" s="30">
        <v>1250</v>
      </c>
      <c r="AT70" s="30">
        <v>1800</v>
      </c>
      <c r="AU70" s="53">
        <v>843363963</v>
      </c>
      <c r="AV70" s="54"/>
      <c r="AW70" s="54"/>
      <c r="AX70" s="54">
        <v>843363963</v>
      </c>
      <c r="AY70" s="54"/>
      <c r="AZ70" s="54"/>
      <c r="BA70" s="74">
        <v>1000</v>
      </c>
      <c r="BB70" s="75">
        <v>1000</v>
      </c>
      <c r="BC70" s="52">
        <v>96</v>
      </c>
      <c r="BD70" s="52">
        <v>166</v>
      </c>
      <c r="BE70" s="52">
        <v>0</v>
      </c>
      <c r="BF70" s="30"/>
      <c r="BG70" s="30" t="s">
        <v>135</v>
      </c>
      <c r="BH70" s="30" t="s">
        <v>136</v>
      </c>
      <c r="BI70" s="30" t="str">
        <f t="shared" si="18"/>
        <v>Test</v>
      </c>
      <c r="BJ70" s="30" t="s">
        <v>250</v>
      </c>
      <c r="BK70" s="56">
        <f t="shared" si="19"/>
        <v>16867279.260000002</v>
      </c>
      <c r="BL70" s="57">
        <f t="shared" si="20"/>
        <v>1607936.1056521488</v>
      </c>
      <c r="BM70" s="57">
        <f t="shared" ref="BM70:BM133" si="46">CP70/$BL$1/12</f>
        <v>535978.70188404957</v>
      </c>
      <c r="BU70" s="58">
        <f t="shared" ref="BU70:BU107" si="47">BM70*3</f>
        <v>1607936.1056521488</v>
      </c>
      <c r="BV70" s="58">
        <f t="shared" ref="BV70:BV107" si="48">BU70</f>
        <v>1607936.1056521488</v>
      </c>
      <c r="BW70" s="58">
        <f t="shared" si="32"/>
        <v>3215872.2113042977</v>
      </c>
      <c r="BX70" s="58">
        <f t="shared" ref="BX70:BX133" si="49">BV70</f>
        <v>1607936.1056521488</v>
      </c>
      <c r="BY70" s="58">
        <f t="shared" si="41"/>
        <v>1607936.1056521488</v>
      </c>
      <c r="BZ70" s="58">
        <f t="shared" si="41"/>
        <v>1607936.1056521488</v>
      </c>
      <c r="CA70" s="58">
        <f t="shared" si="41"/>
        <v>1607936.1056521488</v>
      </c>
      <c r="CB70" s="58">
        <f t="shared" ref="CB70:CB133" si="50">SUM(BX70:CA70)</f>
        <v>6431744.4226085953</v>
      </c>
      <c r="CC70" s="58">
        <f t="shared" ref="CC70:CC133" si="51">CA70</f>
        <v>1607936.1056521488</v>
      </c>
      <c r="CD70" s="58">
        <f t="shared" si="42"/>
        <v>1607936.1056521488</v>
      </c>
      <c r="CE70" s="58">
        <f t="shared" si="42"/>
        <v>1607936.1056521488</v>
      </c>
      <c r="CF70" s="58">
        <f t="shared" si="42"/>
        <v>1607936.1056521488</v>
      </c>
      <c r="CG70" s="58">
        <f t="shared" ref="CG70:CG133" si="52">SUM(CC70:CF70)</f>
        <v>6431744.4226085953</v>
      </c>
      <c r="CH70" s="58">
        <f t="shared" ref="CH70:CH133" si="53">CF70</f>
        <v>1607936.1056521488</v>
      </c>
      <c r="CI70" s="58">
        <f t="shared" ref="CI70:CK133" si="54">CH70</f>
        <v>1607936.1056521488</v>
      </c>
      <c r="CJ70" s="58">
        <f t="shared" si="54"/>
        <v>1607936.1056521488</v>
      </c>
      <c r="CK70" s="58">
        <f t="shared" si="54"/>
        <v>1607936.1056521488</v>
      </c>
      <c r="CL70" s="58">
        <f t="shared" ref="CL70:CL133" si="55">SUM(CH70:CK70)</f>
        <v>6431744.4226085953</v>
      </c>
      <c r="CN70" s="59">
        <f t="shared" si="43"/>
        <v>1.6469845771842266E-3</v>
      </c>
      <c r="CO70" s="64">
        <f t="shared" si="44"/>
        <v>34586676.120868757</v>
      </c>
      <c r="CP70" s="2">
        <f t="shared" si="28"/>
        <v>51453955.380868763</v>
      </c>
    </row>
    <row r="71" spans="1:94" hidden="1" x14ac:dyDescent="0.3">
      <c r="A71" s="29">
        <v>66</v>
      </c>
      <c r="B71" s="30" t="s">
        <v>21</v>
      </c>
      <c r="C71" s="30"/>
      <c r="D71" s="30" t="s">
        <v>114</v>
      </c>
      <c r="E71" s="30" t="s">
        <v>115</v>
      </c>
      <c r="F71" s="30" t="s">
        <v>116</v>
      </c>
      <c r="G71" s="48" t="s">
        <v>117</v>
      </c>
      <c r="H71" s="48" t="s">
        <v>118</v>
      </c>
      <c r="I71" s="30" t="s">
        <v>119</v>
      </c>
      <c r="J71" s="30" t="s">
        <v>120</v>
      </c>
      <c r="K71" s="30" t="s">
        <v>121</v>
      </c>
      <c r="L71" s="30" t="s">
        <v>122</v>
      </c>
      <c r="M71" s="73">
        <v>2100314</v>
      </c>
      <c r="N71" s="48" t="s">
        <v>138</v>
      </c>
      <c r="O71" s="48" t="s">
        <v>343</v>
      </c>
      <c r="P71" s="30" t="s">
        <v>172</v>
      </c>
      <c r="Q71" s="30" t="s">
        <v>172</v>
      </c>
      <c r="R71" s="30" t="s">
        <v>173</v>
      </c>
      <c r="S71" s="61" t="s">
        <v>344</v>
      </c>
      <c r="T71" s="30" t="s">
        <v>345</v>
      </c>
      <c r="U71" s="48" t="s">
        <v>219</v>
      </c>
      <c r="V71" s="62" t="s">
        <v>145</v>
      </c>
      <c r="W71" s="48" t="s">
        <v>176</v>
      </c>
      <c r="X71" s="48"/>
      <c r="Y71" s="48" t="s">
        <v>128</v>
      </c>
      <c r="Z71" s="48" t="s">
        <v>128</v>
      </c>
      <c r="AA71" s="20" t="s">
        <v>148</v>
      </c>
      <c r="AB71" s="72" t="s">
        <v>177</v>
      </c>
      <c r="AC71" s="48" t="s">
        <v>249</v>
      </c>
      <c r="AD71" s="48" t="s">
        <v>178</v>
      </c>
      <c r="AE71" s="48"/>
      <c r="AF71" s="48" t="s">
        <v>179</v>
      </c>
      <c r="AG71" s="48" t="s">
        <v>152</v>
      </c>
      <c r="AH71" s="48" t="s">
        <v>180</v>
      </c>
      <c r="AI71" s="48"/>
      <c r="AJ71" s="50">
        <v>40968</v>
      </c>
      <c r="AK71" s="50">
        <v>40968</v>
      </c>
      <c r="AL71" s="51">
        <f t="shared" si="45"/>
        <v>13.67945205479452</v>
      </c>
      <c r="AM71" s="52">
        <v>8</v>
      </c>
      <c r="AN71" s="48" t="s">
        <v>212</v>
      </c>
      <c r="AO71" s="30" t="s">
        <v>133</v>
      </c>
      <c r="AP71" s="30" t="s">
        <v>134</v>
      </c>
      <c r="AQ71" s="30">
        <v>0.56320000000000003</v>
      </c>
      <c r="AR71" s="30">
        <v>1229</v>
      </c>
      <c r="AS71" s="30">
        <v>1142</v>
      </c>
      <c r="AT71" s="30">
        <v>933</v>
      </c>
      <c r="AU71" s="53">
        <v>191091777</v>
      </c>
      <c r="AV71" s="54"/>
      <c r="AW71" s="54"/>
      <c r="AX71" s="54">
        <v>191091777</v>
      </c>
      <c r="AY71" s="54"/>
      <c r="AZ71" s="54"/>
      <c r="BA71" s="74">
        <v>1000</v>
      </c>
      <c r="BB71" s="74">
        <v>1000</v>
      </c>
      <c r="BC71" s="52">
        <v>96</v>
      </c>
      <c r="BD71" s="52">
        <v>166</v>
      </c>
      <c r="BE71" s="52">
        <v>0</v>
      </c>
      <c r="BF71" s="30"/>
      <c r="BG71" s="30" t="s">
        <v>135</v>
      </c>
      <c r="BH71" s="30" t="s">
        <v>136</v>
      </c>
      <c r="BI71" s="30" t="str">
        <f t="shared" ref="BI71:BI134" si="56">BH71</f>
        <v>Test</v>
      </c>
      <c r="BJ71" s="30" t="s">
        <v>250</v>
      </c>
      <c r="BK71" s="56">
        <f t="shared" ref="BK71:BK134" si="57">IF(OR(BA71=1000, BA71=0), AU71*$BQ$1, BA71*(1+$BL$2))</f>
        <v>3821835.54</v>
      </c>
      <c r="BL71" s="57">
        <f t="shared" ref="BL71:BL134" si="58">CP71/$BL$1/4</f>
        <v>119432.360625</v>
      </c>
      <c r="BM71" s="57">
        <f t="shared" si="46"/>
        <v>39810.786874999998</v>
      </c>
      <c r="BU71" s="58">
        <f t="shared" si="47"/>
        <v>119432.360625</v>
      </c>
      <c r="BV71" s="58">
        <f t="shared" si="48"/>
        <v>119432.360625</v>
      </c>
      <c r="BW71" s="58">
        <f t="shared" si="32"/>
        <v>238864.72125</v>
      </c>
      <c r="BX71" s="58">
        <f t="shared" si="49"/>
        <v>119432.360625</v>
      </c>
      <c r="BY71" s="58">
        <f t="shared" si="41"/>
        <v>119432.360625</v>
      </c>
      <c r="BZ71" s="58">
        <f t="shared" si="41"/>
        <v>119432.360625</v>
      </c>
      <c r="CA71" s="58">
        <f t="shared" si="41"/>
        <v>119432.360625</v>
      </c>
      <c r="CB71" s="58">
        <f t="shared" si="50"/>
        <v>477729.4425</v>
      </c>
      <c r="CC71" s="58">
        <f t="shared" si="51"/>
        <v>119432.360625</v>
      </c>
      <c r="CD71" s="58">
        <f t="shared" si="42"/>
        <v>119432.360625</v>
      </c>
      <c r="CE71" s="58">
        <f t="shared" si="42"/>
        <v>119432.360625</v>
      </c>
      <c r="CF71" s="58">
        <f t="shared" si="42"/>
        <v>119432.360625</v>
      </c>
      <c r="CG71" s="58">
        <f t="shared" si="52"/>
        <v>477729.4425</v>
      </c>
      <c r="CH71" s="58">
        <f t="shared" si="53"/>
        <v>119432.360625</v>
      </c>
      <c r="CI71" s="58">
        <f t="shared" si="54"/>
        <v>119432.360625</v>
      </c>
      <c r="CJ71" s="58">
        <f t="shared" si="54"/>
        <v>119432.360625</v>
      </c>
      <c r="CK71" s="58">
        <f t="shared" si="54"/>
        <v>119432.360625</v>
      </c>
      <c r="CL71" s="58">
        <f t="shared" si="55"/>
        <v>477729.4425</v>
      </c>
      <c r="CP71" s="2">
        <f t="shared" ref="CP71:CP134" si="59">CO71+BK71</f>
        <v>3821835.54</v>
      </c>
    </row>
    <row r="72" spans="1:94" hidden="1" x14ac:dyDescent="0.3">
      <c r="A72" s="29">
        <v>67</v>
      </c>
      <c r="B72" s="30" t="s">
        <v>21</v>
      </c>
      <c r="C72" s="30"/>
      <c r="D72" s="30" t="s">
        <v>114</v>
      </c>
      <c r="E72" s="30" t="s">
        <v>115</v>
      </c>
      <c r="F72" s="30" t="s">
        <v>116</v>
      </c>
      <c r="G72" s="48" t="s">
        <v>117</v>
      </c>
      <c r="H72" s="48" t="s">
        <v>118</v>
      </c>
      <c r="I72" s="30" t="s">
        <v>119</v>
      </c>
      <c r="J72" s="30" t="s">
        <v>120</v>
      </c>
      <c r="K72" s="30" t="s">
        <v>121</v>
      </c>
      <c r="L72" s="30" t="s">
        <v>122</v>
      </c>
      <c r="M72" s="73">
        <v>2100315</v>
      </c>
      <c r="N72" s="48" t="s">
        <v>138</v>
      </c>
      <c r="O72" s="48" t="s">
        <v>346</v>
      </c>
      <c r="P72" s="30" t="s">
        <v>172</v>
      </c>
      <c r="Q72" s="30" t="s">
        <v>172</v>
      </c>
      <c r="R72" s="30" t="s">
        <v>173</v>
      </c>
      <c r="S72" s="61" t="s">
        <v>347</v>
      </c>
      <c r="T72" s="30" t="s">
        <v>348</v>
      </c>
      <c r="U72" s="48" t="s">
        <v>219</v>
      </c>
      <c r="V72" s="62" t="s">
        <v>145</v>
      </c>
      <c r="W72" s="48" t="s">
        <v>176</v>
      </c>
      <c r="X72" s="48"/>
      <c r="Y72" s="48" t="s">
        <v>128</v>
      </c>
      <c r="Z72" s="48" t="s">
        <v>128</v>
      </c>
      <c r="AA72" s="20" t="s">
        <v>148</v>
      </c>
      <c r="AB72" s="72" t="s">
        <v>177</v>
      </c>
      <c r="AC72" s="48" t="s">
        <v>249</v>
      </c>
      <c r="AD72" s="48" t="s">
        <v>178</v>
      </c>
      <c r="AE72" s="48"/>
      <c r="AF72" s="48" t="s">
        <v>179</v>
      </c>
      <c r="AG72" s="48" t="s">
        <v>152</v>
      </c>
      <c r="AH72" s="48" t="s">
        <v>180</v>
      </c>
      <c r="AI72" s="48"/>
      <c r="AJ72" s="50">
        <v>40968</v>
      </c>
      <c r="AK72" s="50">
        <v>40968</v>
      </c>
      <c r="AL72" s="51">
        <f t="shared" si="45"/>
        <v>13.67945205479452</v>
      </c>
      <c r="AM72" s="52">
        <v>8</v>
      </c>
      <c r="AN72" s="48" t="s">
        <v>157</v>
      </c>
      <c r="AO72" s="30" t="s">
        <v>133</v>
      </c>
      <c r="AP72" s="30" t="s">
        <v>134</v>
      </c>
      <c r="AQ72" s="30">
        <v>0.56320000000000003</v>
      </c>
      <c r="AR72" s="30">
        <v>1229</v>
      </c>
      <c r="AS72" s="30">
        <v>1142</v>
      </c>
      <c r="AT72" s="30">
        <v>933</v>
      </c>
      <c r="AU72" s="53">
        <v>191091777</v>
      </c>
      <c r="AV72" s="54"/>
      <c r="AW72" s="54"/>
      <c r="AX72" s="54">
        <v>191091777</v>
      </c>
      <c r="AY72" s="54"/>
      <c r="AZ72" s="54"/>
      <c r="BA72" s="74">
        <v>1000</v>
      </c>
      <c r="BB72" s="74">
        <v>1000</v>
      </c>
      <c r="BC72" s="52">
        <v>96</v>
      </c>
      <c r="BD72" s="52">
        <v>166</v>
      </c>
      <c r="BE72" s="52">
        <v>0</v>
      </c>
      <c r="BF72" s="30"/>
      <c r="BG72" s="30" t="s">
        <v>135</v>
      </c>
      <c r="BH72" s="30" t="s">
        <v>136</v>
      </c>
      <c r="BI72" s="30" t="str">
        <f t="shared" si="56"/>
        <v>Test</v>
      </c>
      <c r="BJ72" s="30" t="s">
        <v>250</v>
      </c>
      <c r="BK72" s="56">
        <f t="shared" si="57"/>
        <v>3821835.54</v>
      </c>
      <c r="BL72" s="57">
        <f t="shared" si="58"/>
        <v>119432.360625</v>
      </c>
      <c r="BM72" s="57">
        <f t="shared" si="46"/>
        <v>39810.786874999998</v>
      </c>
      <c r="BU72" s="58">
        <f t="shared" si="47"/>
        <v>119432.360625</v>
      </c>
      <c r="BV72" s="58">
        <f t="shared" si="48"/>
        <v>119432.360625</v>
      </c>
      <c r="BW72" s="58">
        <f t="shared" si="32"/>
        <v>238864.72125</v>
      </c>
      <c r="BX72" s="58">
        <f t="shared" si="49"/>
        <v>119432.360625</v>
      </c>
      <c r="BY72" s="58">
        <f t="shared" si="41"/>
        <v>119432.360625</v>
      </c>
      <c r="BZ72" s="58">
        <f t="shared" si="41"/>
        <v>119432.360625</v>
      </c>
      <c r="CA72" s="58">
        <f t="shared" si="41"/>
        <v>119432.360625</v>
      </c>
      <c r="CB72" s="58">
        <f t="shared" si="50"/>
        <v>477729.4425</v>
      </c>
      <c r="CC72" s="58">
        <f t="shared" si="51"/>
        <v>119432.360625</v>
      </c>
      <c r="CD72" s="58">
        <f t="shared" si="42"/>
        <v>119432.360625</v>
      </c>
      <c r="CE72" s="58">
        <f t="shared" si="42"/>
        <v>119432.360625</v>
      </c>
      <c r="CF72" s="58">
        <f t="shared" si="42"/>
        <v>119432.360625</v>
      </c>
      <c r="CG72" s="58">
        <f t="shared" si="52"/>
        <v>477729.4425</v>
      </c>
      <c r="CH72" s="58">
        <f t="shared" si="53"/>
        <v>119432.360625</v>
      </c>
      <c r="CI72" s="58">
        <f t="shared" si="54"/>
        <v>119432.360625</v>
      </c>
      <c r="CJ72" s="58">
        <f t="shared" si="54"/>
        <v>119432.360625</v>
      </c>
      <c r="CK72" s="58">
        <f t="shared" si="54"/>
        <v>119432.360625</v>
      </c>
      <c r="CL72" s="58">
        <f t="shared" si="55"/>
        <v>477729.4425</v>
      </c>
      <c r="CP72" s="2">
        <f t="shared" si="59"/>
        <v>3821835.54</v>
      </c>
    </row>
    <row r="73" spans="1:94" hidden="1" x14ac:dyDescent="0.3">
      <c r="A73" s="29">
        <v>68</v>
      </c>
      <c r="B73" s="30" t="s">
        <v>21</v>
      </c>
      <c r="C73" s="30"/>
      <c r="D73" s="30" t="s">
        <v>114</v>
      </c>
      <c r="E73" s="30" t="s">
        <v>115</v>
      </c>
      <c r="F73" s="30" t="s">
        <v>116</v>
      </c>
      <c r="G73" s="48" t="s">
        <v>117</v>
      </c>
      <c r="H73" s="48" t="s">
        <v>118</v>
      </c>
      <c r="I73" s="30" t="s">
        <v>119</v>
      </c>
      <c r="J73" s="30" t="s">
        <v>120</v>
      </c>
      <c r="K73" s="30" t="s">
        <v>121</v>
      </c>
      <c r="L73" s="30" t="s">
        <v>122</v>
      </c>
      <c r="M73" s="73">
        <v>2100318</v>
      </c>
      <c r="N73" s="48" t="s">
        <v>138</v>
      </c>
      <c r="O73" s="48" t="s">
        <v>349</v>
      </c>
      <c r="P73" s="30" t="s">
        <v>231</v>
      </c>
      <c r="Q73" s="30" t="s">
        <v>232</v>
      </c>
      <c r="R73" s="30" t="s">
        <v>142</v>
      </c>
      <c r="S73" s="61">
        <v>310579723</v>
      </c>
      <c r="T73" s="30" t="s">
        <v>350</v>
      </c>
      <c r="U73" s="48" t="s">
        <v>219</v>
      </c>
      <c r="V73" s="62" t="s">
        <v>145</v>
      </c>
      <c r="W73" s="48" t="s">
        <v>146</v>
      </c>
      <c r="X73" s="48" t="s">
        <v>308</v>
      </c>
      <c r="Y73" s="48" t="s">
        <v>128</v>
      </c>
      <c r="Z73" s="48" t="s">
        <v>128</v>
      </c>
      <c r="AA73" s="20" t="s">
        <v>148</v>
      </c>
      <c r="AB73" s="48" t="s">
        <v>149</v>
      </c>
      <c r="AC73" s="48" t="s">
        <v>150</v>
      </c>
      <c r="AD73" s="48"/>
      <c r="AE73" s="48"/>
      <c r="AF73" s="48" t="s">
        <v>151</v>
      </c>
      <c r="AG73" s="48" t="s">
        <v>152</v>
      </c>
      <c r="AH73" s="48" t="s">
        <v>153</v>
      </c>
      <c r="AI73" s="48"/>
      <c r="AJ73" s="50">
        <v>41029</v>
      </c>
      <c r="AK73" s="50">
        <v>41029</v>
      </c>
      <c r="AL73" s="51">
        <f t="shared" si="45"/>
        <v>13.512328767123288</v>
      </c>
      <c r="AM73" s="52">
        <v>8</v>
      </c>
      <c r="AN73" s="48" t="s">
        <v>157</v>
      </c>
      <c r="AO73" s="30" t="s">
        <v>133</v>
      </c>
      <c r="AP73" s="30" t="s">
        <v>134</v>
      </c>
      <c r="AQ73" s="30">
        <v>9.8308320000000009</v>
      </c>
      <c r="AR73" s="30">
        <v>950</v>
      </c>
      <c r="AS73" s="30">
        <v>1250</v>
      </c>
      <c r="AT73" s="30">
        <v>1800</v>
      </c>
      <c r="AU73" s="53">
        <v>822357295</v>
      </c>
      <c r="AV73" s="54"/>
      <c r="AW73" s="54"/>
      <c r="AX73" s="54">
        <v>822357295</v>
      </c>
      <c r="AY73" s="54"/>
      <c r="AZ73" s="54"/>
      <c r="BA73" s="74">
        <v>1000</v>
      </c>
      <c r="BB73" s="74">
        <v>1000</v>
      </c>
      <c r="BC73" s="52">
        <v>96</v>
      </c>
      <c r="BD73" s="52">
        <v>164</v>
      </c>
      <c r="BE73" s="52">
        <v>0</v>
      </c>
      <c r="BF73" s="30"/>
      <c r="BG73" s="30" t="s">
        <v>135</v>
      </c>
      <c r="BH73" s="30" t="s">
        <v>136</v>
      </c>
      <c r="BI73" s="30" t="str">
        <f t="shared" si="56"/>
        <v>Test</v>
      </c>
      <c r="BJ73" s="30" t="s">
        <v>250</v>
      </c>
      <c r="BK73" s="56">
        <f t="shared" si="57"/>
        <v>16447145.9</v>
      </c>
      <c r="BL73" s="57">
        <f t="shared" si="58"/>
        <v>513973.30937500001</v>
      </c>
      <c r="BM73" s="57">
        <f t="shared" si="46"/>
        <v>171324.43645833334</v>
      </c>
      <c r="BU73" s="58">
        <f t="shared" si="47"/>
        <v>513973.30937500001</v>
      </c>
      <c r="BV73" s="58">
        <f t="shared" si="48"/>
        <v>513973.30937500001</v>
      </c>
      <c r="BW73" s="58">
        <f t="shared" si="32"/>
        <v>1027946.61875</v>
      </c>
      <c r="BX73" s="58">
        <f t="shared" si="49"/>
        <v>513973.30937500001</v>
      </c>
      <c r="BY73" s="58">
        <f t="shared" si="41"/>
        <v>513973.30937500001</v>
      </c>
      <c r="BZ73" s="58">
        <f t="shared" si="41"/>
        <v>513973.30937500001</v>
      </c>
      <c r="CA73" s="58">
        <f t="shared" si="41"/>
        <v>513973.30937500001</v>
      </c>
      <c r="CB73" s="58">
        <f t="shared" si="50"/>
        <v>2055893.2375</v>
      </c>
      <c r="CC73" s="58">
        <f t="shared" si="51"/>
        <v>513973.30937500001</v>
      </c>
      <c r="CD73" s="58">
        <f t="shared" si="42"/>
        <v>513973.30937500001</v>
      </c>
      <c r="CE73" s="58">
        <f t="shared" si="42"/>
        <v>513973.30937500001</v>
      </c>
      <c r="CF73" s="58">
        <f t="shared" si="42"/>
        <v>513973.30937500001</v>
      </c>
      <c r="CG73" s="58">
        <f t="shared" si="52"/>
        <v>2055893.2375</v>
      </c>
      <c r="CH73" s="58">
        <f t="shared" si="53"/>
        <v>513973.30937500001</v>
      </c>
      <c r="CI73" s="58">
        <f t="shared" si="54"/>
        <v>513973.30937500001</v>
      </c>
      <c r="CJ73" s="58">
        <f t="shared" si="54"/>
        <v>513973.30937500001</v>
      </c>
      <c r="CK73" s="58">
        <f t="shared" si="54"/>
        <v>513973.30937500001</v>
      </c>
      <c r="CL73" s="58">
        <f t="shared" si="55"/>
        <v>2055893.2375</v>
      </c>
      <c r="CP73" s="2">
        <f t="shared" si="59"/>
        <v>16447145.9</v>
      </c>
    </row>
    <row r="74" spans="1:94" ht="16.5" hidden="1" x14ac:dyDescent="0.3">
      <c r="A74" s="29">
        <v>69</v>
      </c>
      <c r="B74" s="30" t="s">
        <v>21</v>
      </c>
      <c r="C74" s="30"/>
      <c r="D74" s="30" t="s">
        <v>114</v>
      </c>
      <c r="E74" s="30" t="s">
        <v>115</v>
      </c>
      <c r="F74" s="30" t="s">
        <v>116</v>
      </c>
      <c r="G74" s="48" t="s">
        <v>117</v>
      </c>
      <c r="H74" s="48" t="s">
        <v>118</v>
      </c>
      <c r="I74" s="30" t="s">
        <v>119</v>
      </c>
      <c r="J74" s="30" t="s">
        <v>120</v>
      </c>
      <c r="K74" s="30" t="s">
        <v>121</v>
      </c>
      <c r="L74" s="30" t="s">
        <v>122</v>
      </c>
      <c r="M74" s="73">
        <v>2100319</v>
      </c>
      <c r="N74" s="48" t="s">
        <v>138</v>
      </c>
      <c r="O74" s="48" t="s">
        <v>351</v>
      </c>
      <c r="P74" s="30" t="s">
        <v>231</v>
      </c>
      <c r="Q74" s="30" t="s">
        <v>232</v>
      </c>
      <c r="R74" s="30" t="s">
        <v>142</v>
      </c>
      <c r="S74" s="61">
        <v>310579724</v>
      </c>
      <c r="T74" s="30" t="s">
        <v>352</v>
      </c>
      <c r="U74" s="48" t="s">
        <v>219</v>
      </c>
      <c r="V74" s="62" t="s">
        <v>145</v>
      </c>
      <c r="W74" s="48" t="s">
        <v>146</v>
      </c>
      <c r="X74" s="2" t="s">
        <v>353</v>
      </c>
      <c r="Y74" s="48" t="s">
        <v>128</v>
      </c>
      <c r="Z74" s="48" t="s">
        <v>128</v>
      </c>
      <c r="AA74" s="20" t="s">
        <v>148</v>
      </c>
      <c r="AB74" s="48" t="s">
        <v>149</v>
      </c>
      <c r="AC74" s="48" t="s">
        <v>150</v>
      </c>
      <c r="AD74" s="48"/>
      <c r="AE74" s="48"/>
      <c r="AF74" s="48" t="s">
        <v>151</v>
      </c>
      <c r="AG74" s="48" t="s">
        <v>152</v>
      </c>
      <c r="AH74" s="48" t="s">
        <v>153</v>
      </c>
      <c r="AI74" s="48"/>
      <c r="AJ74" s="50">
        <v>41029</v>
      </c>
      <c r="AK74" s="50">
        <v>41029</v>
      </c>
      <c r="AL74" s="51">
        <f t="shared" si="45"/>
        <v>13.512328767123288</v>
      </c>
      <c r="AM74" s="52">
        <v>8</v>
      </c>
      <c r="AN74" s="48" t="s">
        <v>157</v>
      </c>
      <c r="AO74" s="30" t="s">
        <v>133</v>
      </c>
      <c r="AP74" s="30" t="s">
        <v>134</v>
      </c>
      <c r="AQ74" s="30">
        <v>9.8308320000000009</v>
      </c>
      <c r="AR74" s="30">
        <v>950</v>
      </c>
      <c r="AS74" s="30">
        <v>1250</v>
      </c>
      <c r="AT74" s="30">
        <v>1800</v>
      </c>
      <c r="AU74" s="53">
        <v>822357294</v>
      </c>
      <c r="AV74" s="54"/>
      <c r="AW74" s="54"/>
      <c r="AX74" s="54">
        <v>822357294</v>
      </c>
      <c r="AY74" s="54"/>
      <c r="AZ74" s="54"/>
      <c r="BA74" s="74">
        <v>1000</v>
      </c>
      <c r="BB74" s="75">
        <v>1000</v>
      </c>
      <c r="BC74" s="52">
        <v>96</v>
      </c>
      <c r="BD74" s="52">
        <v>164</v>
      </c>
      <c r="BE74" s="52">
        <v>0</v>
      </c>
      <c r="BF74" s="30"/>
      <c r="BG74" s="30" t="s">
        <v>135</v>
      </c>
      <c r="BH74" s="30" t="s">
        <v>136</v>
      </c>
      <c r="BI74" s="30" t="str">
        <f t="shared" si="56"/>
        <v>Test</v>
      </c>
      <c r="BJ74" s="30" t="s">
        <v>250</v>
      </c>
      <c r="BK74" s="56">
        <f t="shared" si="57"/>
        <v>16447145.880000001</v>
      </c>
      <c r="BL74" s="57">
        <f t="shared" si="58"/>
        <v>1567885.3292063172</v>
      </c>
      <c r="BM74" s="57">
        <f t="shared" si="46"/>
        <v>522628.44306877238</v>
      </c>
      <c r="BU74" s="58">
        <f t="shared" si="47"/>
        <v>1567885.3292063172</v>
      </c>
      <c r="BV74" s="58">
        <f t="shared" si="48"/>
        <v>1567885.3292063172</v>
      </c>
      <c r="BW74" s="58">
        <f t="shared" si="32"/>
        <v>3135770.6584126344</v>
      </c>
      <c r="BX74" s="58">
        <f t="shared" si="49"/>
        <v>1567885.3292063172</v>
      </c>
      <c r="BY74" s="58">
        <f t="shared" si="41"/>
        <v>1567885.3292063172</v>
      </c>
      <c r="BZ74" s="58">
        <f t="shared" si="41"/>
        <v>1567885.3292063172</v>
      </c>
      <c r="CA74" s="58">
        <f t="shared" si="41"/>
        <v>1567885.3292063172</v>
      </c>
      <c r="CB74" s="58">
        <f t="shared" si="50"/>
        <v>6271541.3168252688</v>
      </c>
      <c r="CC74" s="58">
        <f t="shared" si="51"/>
        <v>1567885.3292063172</v>
      </c>
      <c r="CD74" s="58">
        <f t="shared" si="42"/>
        <v>1567885.3292063172</v>
      </c>
      <c r="CE74" s="58">
        <f t="shared" si="42"/>
        <v>1567885.3292063172</v>
      </c>
      <c r="CF74" s="58">
        <f t="shared" si="42"/>
        <v>1567885.3292063172</v>
      </c>
      <c r="CG74" s="58">
        <f t="shared" si="52"/>
        <v>6271541.3168252688</v>
      </c>
      <c r="CH74" s="58">
        <f t="shared" si="53"/>
        <v>1567885.3292063172</v>
      </c>
      <c r="CI74" s="58">
        <f t="shared" si="54"/>
        <v>1567885.3292063172</v>
      </c>
      <c r="CJ74" s="58">
        <f t="shared" si="54"/>
        <v>1567885.3292063172</v>
      </c>
      <c r="CK74" s="58">
        <f t="shared" si="54"/>
        <v>1567885.3292063172</v>
      </c>
      <c r="CL74" s="58">
        <f t="shared" si="55"/>
        <v>6271541.3168252688</v>
      </c>
      <c r="CN74" s="59">
        <f t="shared" ref="CN74:CN76" si="60">BK74/$CN$3</f>
        <v>1.6059611740286736E-3</v>
      </c>
      <c r="CO74" s="64">
        <f t="shared" ref="CO74:CO76" si="61">CN74*$CO$4</f>
        <v>33725184.654602148</v>
      </c>
      <c r="CP74" s="2">
        <f t="shared" si="59"/>
        <v>50172330.53460215</v>
      </c>
    </row>
    <row r="75" spans="1:94" hidden="1" x14ac:dyDescent="0.3">
      <c r="A75" s="29">
        <v>70</v>
      </c>
      <c r="B75" s="30" t="s">
        <v>21</v>
      </c>
      <c r="C75" s="30"/>
      <c r="D75" s="30" t="s">
        <v>114</v>
      </c>
      <c r="E75" s="30" t="s">
        <v>115</v>
      </c>
      <c r="F75" s="30" t="s">
        <v>116</v>
      </c>
      <c r="G75" s="48" t="s">
        <v>117</v>
      </c>
      <c r="H75" s="48" t="s">
        <v>118</v>
      </c>
      <c r="I75" s="30" t="s">
        <v>119</v>
      </c>
      <c r="J75" s="30" t="s">
        <v>120</v>
      </c>
      <c r="K75" s="30" t="s">
        <v>121</v>
      </c>
      <c r="L75" s="30" t="s">
        <v>122</v>
      </c>
      <c r="M75" s="73">
        <v>2100320</v>
      </c>
      <c r="N75" s="48" t="s">
        <v>138</v>
      </c>
      <c r="O75" s="48" t="s">
        <v>354</v>
      </c>
      <c r="P75" s="30" t="s">
        <v>231</v>
      </c>
      <c r="Q75" s="30" t="s">
        <v>232</v>
      </c>
      <c r="R75" s="30" t="s">
        <v>142</v>
      </c>
      <c r="S75" s="61">
        <v>310580596</v>
      </c>
      <c r="T75" s="30" t="s">
        <v>355</v>
      </c>
      <c r="U75" s="48" t="s">
        <v>219</v>
      </c>
      <c r="V75" s="62" t="s">
        <v>145</v>
      </c>
      <c r="W75" s="48" t="s">
        <v>146</v>
      </c>
      <c r="X75" s="48" t="s">
        <v>127</v>
      </c>
      <c r="Y75" s="48" t="s">
        <v>128</v>
      </c>
      <c r="Z75" s="48" t="s">
        <v>128</v>
      </c>
      <c r="AA75" s="20" t="s">
        <v>148</v>
      </c>
      <c r="AB75" s="48" t="s">
        <v>149</v>
      </c>
      <c r="AC75" s="48" t="s">
        <v>150</v>
      </c>
      <c r="AD75" s="48"/>
      <c r="AE75" s="48"/>
      <c r="AF75" s="48" t="s">
        <v>151</v>
      </c>
      <c r="AG75" s="48" t="s">
        <v>152</v>
      </c>
      <c r="AH75" s="48" t="s">
        <v>153</v>
      </c>
      <c r="AI75" s="48"/>
      <c r="AJ75" s="50">
        <v>41029</v>
      </c>
      <c r="AK75" s="50">
        <v>41029</v>
      </c>
      <c r="AL75" s="51">
        <f t="shared" si="45"/>
        <v>13.512328767123288</v>
      </c>
      <c r="AM75" s="52">
        <v>8</v>
      </c>
      <c r="AN75" s="48" t="s">
        <v>157</v>
      </c>
      <c r="AO75" s="30" t="s">
        <v>133</v>
      </c>
      <c r="AP75" s="30" t="s">
        <v>134</v>
      </c>
      <c r="AQ75" s="30">
        <v>9.8308320000000009</v>
      </c>
      <c r="AR75" s="30">
        <v>950</v>
      </c>
      <c r="AS75" s="30">
        <v>1250</v>
      </c>
      <c r="AT75" s="30">
        <v>1800</v>
      </c>
      <c r="AU75" s="53">
        <v>822357294</v>
      </c>
      <c r="AV75" s="54"/>
      <c r="AW75" s="54"/>
      <c r="AX75" s="54">
        <v>822357294</v>
      </c>
      <c r="AY75" s="54"/>
      <c r="AZ75" s="54"/>
      <c r="BA75" s="74">
        <v>1000</v>
      </c>
      <c r="BB75" s="75">
        <v>1000</v>
      </c>
      <c r="BC75" s="52">
        <v>96</v>
      </c>
      <c r="BD75" s="52">
        <v>164</v>
      </c>
      <c r="BE75" s="52">
        <v>0</v>
      </c>
      <c r="BF75" s="30"/>
      <c r="BG75" s="30" t="s">
        <v>135</v>
      </c>
      <c r="BH75" s="30" t="s">
        <v>136</v>
      </c>
      <c r="BI75" s="30" t="str">
        <f t="shared" si="56"/>
        <v>Test</v>
      </c>
      <c r="BJ75" s="30" t="s">
        <v>250</v>
      </c>
      <c r="BK75" s="56">
        <f t="shared" si="57"/>
        <v>16447145.880000001</v>
      </c>
      <c r="BL75" s="57">
        <f t="shared" si="58"/>
        <v>1567885.3292063172</v>
      </c>
      <c r="BM75" s="57">
        <f t="shared" si="46"/>
        <v>522628.44306877238</v>
      </c>
      <c r="BU75" s="58">
        <f t="shared" si="47"/>
        <v>1567885.3292063172</v>
      </c>
      <c r="BV75" s="58">
        <f t="shared" si="48"/>
        <v>1567885.3292063172</v>
      </c>
      <c r="BW75" s="58">
        <f t="shared" si="32"/>
        <v>3135770.6584126344</v>
      </c>
      <c r="BX75" s="58">
        <f t="shared" si="49"/>
        <v>1567885.3292063172</v>
      </c>
      <c r="BY75" s="58">
        <f t="shared" si="41"/>
        <v>1567885.3292063172</v>
      </c>
      <c r="BZ75" s="58">
        <f t="shared" si="41"/>
        <v>1567885.3292063172</v>
      </c>
      <c r="CA75" s="58">
        <f t="shared" si="41"/>
        <v>1567885.3292063172</v>
      </c>
      <c r="CB75" s="58">
        <f t="shared" si="50"/>
        <v>6271541.3168252688</v>
      </c>
      <c r="CC75" s="58">
        <f t="shared" si="51"/>
        <v>1567885.3292063172</v>
      </c>
      <c r="CD75" s="58">
        <f t="shared" si="42"/>
        <v>1567885.3292063172</v>
      </c>
      <c r="CE75" s="58">
        <f t="shared" si="42"/>
        <v>1567885.3292063172</v>
      </c>
      <c r="CF75" s="58">
        <f t="shared" si="42"/>
        <v>1567885.3292063172</v>
      </c>
      <c r="CG75" s="58">
        <f t="shared" si="52"/>
        <v>6271541.3168252688</v>
      </c>
      <c r="CH75" s="58">
        <f t="shared" si="53"/>
        <v>1567885.3292063172</v>
      </c>
      <c r="CI75" s="58">
        <f t="shared" si="54"/>
        <v>1567885.3292063172</v>
      </c>
      <c r="CJ75" s="58">
        <f t="shared" si="54"/>
        <v>1567885.3292063172</v>
      </c>
      <c r="CK75" s="58">
        <f t="shared" si="54"/>
        <v>1567885.3292063172</v>
      </c>
      <c r="CL75" s="58">
        <f t="shared" si="55"/>
        <v>6271541.3168252688</v>
      </c>
      <c r="CN75" s="59">
        <f t="shared" si="60"/>
        <v>1.6059611740286736E-3</v>
      </c>
      <c r="CO75" s="64">
        <f t="shared" si="61"/>
        <v>33725184.654602148</v>
      </c>
      <c r="CP75" s="2">
        <f t="shared" si="59"/>
        <v>50172330.53460215</v>
      </c>
    </row>
    <row r="76" spans="1:94" hidden="1" x14ac:dyDescent="0.3">
      <c r="A76" s="29">
        <v>71</v>
      </c>
      <c r="B76" s="30" t="s">
        <v>21</v>
      </c>
      <c r="C76" s="30"/>
      <c r="D76" s="30" t="s">
        <v>114</v>
      </c>
      <c r="E76" s="30" t="s">
        <v>115</v>
      </c>
      <c r="F76" s="30" t="s">
        <v>116</v>
      </c>
      <c r="G76" s="48" t="s">
        <v>117</v>
      </c>
      <c r="H76" s="48" t="s">
        <v>118</v>
      </c>
      <c r="I76" s="30" t="s">
        <v>119</v>
      </c>
      <c r="J76" s="30" t="s">
        <v>120</v>
      </c>
      <c r="K76" s="30" t="s">
        <v>121</v>
      </c>
      <c r="L76" s="30" t="s">
        <v>122</v>
      </c>
      <c r="M76" s="73">
        <v>2100321</v>
      </c>
      <c r="N76" s="48" t="s">
        <v>138</v>
      </c>
      <c r="O76" s="48" t="s">
        <v>356</v>
      </c>
      <c r="P76" s="30" t="s">
        <v>231</v>
      </c>
      <c r="Q76" s="30" t="s">
        <v>232</v>
      </c>
      <c r="R76" s="30" t="s">
        <v>142</v>
      </c>
      <c r="S76" s="61">
        <v>310582827</v>
      </c>
      <c r="T76" s="30" t="s">
        <v>357</v>
      </c>
      <c r="U76" s="48" t="s">
        <v>219</v>
      </c>
      <c r="V76" s="62" t="s">
        <v>145</v>
      </c>
      <c r="W76" s="48" t="s">
        <v>146</v>
      </c>
      <c r="X76" s="48" t="s">
        <v>127</v>
      </c>
      <c r="Y76" s="48" t="s">
        <v>128</v>
      </c>
      <c r="Z76" s="48" t="s">
        <v>128</v>
      </c>
      <c r="AA76" s="20" t="s">
        <v>148</v>
      </c>
      <c r="AB76" s="48" t="s">
        <v>149</v>
      </c>
      <c r="AC76" s="48" t="s">
        <v>150</v>
      </c>
      <c r="AD76" s="48"/>
      <c r="AE76" s="48"/>
      <c r="AF76" s="48" t="s">
        <v>151</v>
      </c>
      <c r="AG76" s="48" t="s">
        <v>152</v>
      </c>
      <c r="AH76" s="48" t="s">
        <v>153</v>
      </c>
      <c r="AI76" s="48"/>
      <c r="AJ76" s="50">
        <v>41029</v>
      </c>
      <c r="AK76" s="50">
        <v>41029</v>
      </c>
      <c r="AL76" s="51">
        <f t="shared" si="45"/>
        <v>13.512328767123288</v>
      </c>
      <c r="AM76" s="52">
        <v>8</v>
      </c>
      <c r="AN76" s="48" t="s">
        <v>157</v>
      </c>
      <c r="AO76" s="30" t="s">
        <v>133</v>
      </c>
      <c r="AP76" s="30" t="s">
        <v>134</v>
      </c>
      <c r="AQ76" s="30">
        <v>9.8308320000000009</v>
      </c>
      <c r="AR76" s="30">
        <v>950</v>
      </c>
      <c r="AS76" s="30">
        <v>1250</v>
      </c>
      <c r="AT76" s="30">
        <v>1800</v>
      </c>
      <c r="AU76" s="53">
        <v>822357294</v>
      </c>
      <c r="AV76" s="54"/>
      <c r="AW76" s="54"/>
      <c r="AX76" s="54">
        <v>822357294</v>
      </c>
      <c r="AY76" s="54"/>
      <c r="AZ76" s="54"/>
      <c r="BA76" s="74">
        <v>1000</v>
      </c>
      <c r="BB76" s="75">
        <v>1000</v>
      </c>
      <c r="BC76" s="52">
        <v>96</v>
      </c>
      <c r="BD76" s="52">
        <v>164</v>
      </c>
      <c r="BE76" s="52">
        <v>0</v>
      </c>
      <c r="BF76" s="30"/>
      <c r="BG76" s="30" t="s">
        <v>135</v>
      </c>
      <c r="BH76" s="30" t="s">
        <v>136</v>
      </c>
      <c r="BI76" s="30" t="str">
        <f t="shared" si="56"/>
        <v>Test</v>
      </c>
      <c r="BJ76" s="30" t="s">
        <v>250</v>
      </c>
      <c r="BK76" s="56">
        <f t="shared" si="57"/>
        <v>16447145.880000001</v>
      </c>
      <c r="BL76" s="57">
        <f t="shared" si="58"/>
        <v>1567885.3292063172</v>
      </c>
      <c r="BM76" s="57">
        <f t="shared" si="46"/>
        <v>522628.44306877238</v>
      </c>
      <c r="BU76" s="58">
        <f t="shared" si="47"/>
        <v>1567885.3292063172</v>
      </c>
      <c r="BV76" s="58">
        <f t="shared" si="48"/>
        <v>1567885.3292063172</v>
      </c>
      <c r="BW76" s="58">
        <f t="shared" si="32"/>
        <v>3135770.6584126344</v>
      </c>
      <c r="BX76" s="58">
        <f t="shared" si="49"/>
        <v>1567885.3292063172</v>
      </c>
      <c r="BY76" s="58">
        <f t="shared" si="41"/>
        <v>1567885.3292063172</v>
      </c>
      <c r="BZ76" s="58">
        <f t="shared" si="41"/>
        <v>1567885.3292063172</v>
      </c>
      <c r="CA76" s="58">
        <f t="shared" si="41"/>
        <v>1567885.3292063172</v>
      </c>
      <c r="CB76" s="58">
        <f t="shared" si="50"/>
        <v>6271541.3168252688</v>
      </c>
      <c r="CC76" s="58">
        <f t="shared" si="51"/>
        <v>1567885.3292063172</v>
      </c>
      <c r="CD76" s="58">
        <f t="shared" si="42"/>
        <v>1567885.3292063172</v>
      </c>
      <c r="CE76" s="58">
        <f t="shared" si="42"/>
        <v>1567885.3292063172</v>
      </c>
      <c r="CF76" s="58">
        <f t="shared" si="42"/>
        <v>1567885.3292063172</v>
      </c>
      <c r="CG76" s="58">
        <f t="shared" si="52"/>
        <v>6271541.3168252688</v>
      </c>
      <c r="CH76" s="58">
        <f t="shared" si="53"/>
        <v>1567885.3292063172</v>
      </c>
      <c r="CI76" s="58">
        <f t="shared" si="54"/>
        <v>1567885.3292063172</v>
      </c>
      <c r="CJ76" s="58">
        <f t="shared" si="54"/>
        <v>1567885.3292063172</v>
      </c>
      <c r="CK76" s="58">
        <f t="shared" si="54"/>
        <v>1567885.3292063172</v>
      </c>
      <c r="CL76" s="58">
        <f t="shared" si="55"/>
        <v>6271541.3168252688</v>
      </c>
      <c r="CN76" s="59">
        <f t="shared" si="60"/>
        <v>1.6059611740286736E-3</v>
      </c>
      <c r="CO76" s="64">
        <f t="shared" si="61"/>
        <v>33725184.654602148</v>
      </c>
      <c r="CP76" s="2">
        <f t="shared" si="59"/>
        <v>50172330.53460215</v>
      </c>
    </row>
    <row r="77" spans="1:94" hidden="1" x14ac:dyDescent="0.3">
      <c r="A77" s="29">
        <v>72</v>
      </c>
      <c r="B77" s="30" t="s">
        <v>21</v>
      </c>
      <c r="C77" s="30"/>
      <c r="D77" s="30" t="s">
        <v>114</v>
      </c>
      <c r="E77" s="30" t="s">
        <v>115</v>
      </c>
      <c r="F77" s="30" t="s">
        <v>116</v>
      </c>
      <c r="G77" s="48" t="s">
        <v>117</v>
      </c>
      <c r="H77" s="48" t="s">
        <v>118</v>
      </c>
      <c r="I77" s="30" t="s">
        <v>119</v>
      </c>
      <c r="J77" s="30" t="s">
        <v>120</v>
      </c>
      <c r="K77" s="30" t="s">
        <v>121</v>
      </c>
      <c r="L77" s="30" t="s">
        <v>122</v>
      </c>
      <c r="M77" s="73">
        <v>2100323</v>
      </c>
      <c r="N77" s="48" t="s">
        <v>138</v>
      </c>
      <c r="O77" s="48" t="s">
        <v>358</v>
      </c>
      <c r="P77" s="30" t="s">
        <v>172</v>
      </c>
      <c r="Q77" s="30" t="s">
        <v>172</v>
      </c>
      <c r="R77" s="30" t="s">
        <v>173</v>
      </c>
      <c r="S77" s="61" t="s">
        <v>359</v>
      </c>
      <c r="T77" s="30" t="s">
        <v>360</v>
      </c>
      <c r="U77" s="48" t="s">
        <v>219</v>
      </c>
      <c r="V77" s="62" t="s">
        <v>145</v>
      </c>
      <c r="W77" s="48" t="s">
        <v>176</v>
      </c>
      <c r="X77" s="48"/>
      <c r="Y77" s="48" t="s">
        <v>128</v>
      </c>
      <c r="Z77" s="48" t="s">
        <v>128</v>
      </c>
      <c r="AA77" s="20" t="s">
        <v>148</v>
      </c>
      <c r="AB77" s="72" t="s">
        <v>177</v>
      </c>
      <c r="AC77" s="48" t="s">
        <v>249</v>
      </c>
      <c r="AD77" s="48" t="s">
        <v>178</v>
      </c>
      <c r="AE77" s="48"/>
      <c r="AF77" s="48" t="s">
        <v>179</v>
      </c>
      <c r="AG77" s="48" t="s">
        <v>152</v>
      </c>
      <c r="AH77" s="48" t="s">
        <v>180</v>
      </c>
      <c r="AI77" s="48"/>
      <c r="AJ77" s="50">
        <v>41029</v>
      </c>
      <c r="AK77" s="50">
        <v>41029</v>
      </c>
      <c r="AL77" s="51">
        <f t="shared" si="45"/>
        <v>13.512328767123288</v>
      </c>
      <c r="AM77" s="52">
        <v>8</v>
      </c>
      <c r="AN77" s="48" t="s">
        <v>157</v>
      </c>
      <c r="AO77" s="30" t="s">
        <v>133</v>
      </c>
      <c r="AP77" s="30" t="s">
        <v>134</v>
      </c>
      <c r="AQ77" s="30">
        <v>0.56320000000000003</v>
      </c>
      <c r="AR77" s="30">
        <v>1229</v>
      </c>
      <c r="AS77" s="30">
        <v>1142</v>
      </c>
      <c r="AT77" s="30">
        <v>933</v>
      </c>
      <c r="AU77" s="53">
        <v>183879160</v>
      </c>
      <c r="AV77" s="54"/>
      <c r="AW77" s="54"/>
      <c r="AX77" s="54">
        <v>183879160</v>
      </c>
      <c r="AY77" s="54"/>
      <c r="AZ77" s="54"/>
      <c r="BA77" s="74">
        <v>1000</v>
      </c>
      <c r="BB77" s="74">
        <v>1000</v>
      </c>
      <c r="BC77" s="52">
        <v>96</v>
      </c>
      <c r="BD77" s="52">
        <v>164</v>
      </c>
      <c r="BE77" s="52">
        <v>0</v>
      </c>
      <c r="BF77" s="30"/>
      <c r="BG77" s="30" t="s">
        <v>135</v>
      </c>
      <c r="BH77" s="30" t="s">
        <v>136</v>
      </c>
      <c r="BI77" s="30" t="str">
        <f t="shared" si="56"/>
        <v>Test</v>
      </c>
      <c r="BJ77" s="30" t="s">
        <v>250</v>
      </c>
      <c r="BK77" s="56">
        <f t="shared" si="57"/>
        <v>3677583.2</v>
      </c>
      <c r="BL77" s="57">
        <f t="shared" si="58"/>
        <v>114924.47500000001</v>
      </c>
      <c r="BM77" s="57">
        <f t="shared" si="46"/>
        <v>38308.158333333333</v>
      </c>
      <c r="BU77" s="58">
        <f t="shared" si="47"/>
        <v>114924.47500000001</v>
      </c>
      <c r="BV77" s="58">
        <f t="shared" si="48"/>
        <v>114924.47500000001</v>
      </c>
      <c r="BW77" s="58">
        <f t="shared" ref="BW77:BW108" si="62">SUM(BS77:BV77)</f>
        <v>229848.95</v>
      </c>
      <c r="BX77" s="58">
        <f t="shared" si="49"/>
        <v>114924.47500000001</v>
      </c>
      <c r="BY77" s="58">
        <f t="shared" si="41"/>
        <v>114924.47500000001</v>
      </c>
      <c r="BZ77" s="58">
        <f t="shared" si="41"/>
        <v>114924.47500000001</v>
      </c>
      <c r="CA77" s="58">
        <f t="shared" si="41"/>
        <v>114924.47500000001</v>
      </c>
      <c r="CB77" s="58">
        <f t="shared" si="50"/>
        <v>459697.9</v>
      </c>
      <c r="CC77" s="58">
        <f t="shared" si="51"/>
        <v>114924.47500000001</v>
      </c>
      <c r="CD77" s="58">
        <f t="shared" si="42"/>
        <v>114924.47500000001</v>
      </c>
      <c r="CE77" s="58">
        <f t="shared" si="42"/>
        <v>114924.47500000001</v>
      </c>
      <c r="CF77" s="58">
        <f t="shared" si="42"/>
        <v>114924.47500000001</v>
      </c>
      <c r="CG77" s="58">
        <f t="shared" si="52"/>
        <v>459697.9</v>
      </c>
      <c r="CH77" s="58">
        <f t="shared" si="53"/>
        <v>114924.47500000001</v>
      </c>
      <c r="CI77" s="58">
        <f t="shared" si="54"/>
        <v>114924.47500000001</v>
      </c>
      <c r="CJ77" s="58">
        <f t="shared" si="54"/>
        <v>114924.47500000001</v>
      </c>
      <c r="CK77" s="58">
        <f t="shared" si="54"/>
        <v>114924.47500000001</v>
      </c>
      <c r="CL77" s="58">
        <f t="shared" si="55"/>
        <v>459697.9</v>
      </c>
      <c r="CP77" s="2">
        <f t="shared" si="59"/>
        <v>3677583.2</v>
      </c>
    </row>
    <row r="78" spans="1:94" hidden="1" x14ac:dyDescent="0.3">
      <c r="A78" s="29">
        <v>73</v>
      </c>
      <c r="B78" s="30" t="s">
        <v>21</v>
      </c>
      <c r="C78" s="30"/>
      <c r="D78" s="30" t="s">
        <v>114</v>
      </c>
      <c r="E78" s="30" t="s">
        <v>115</v>
      </c>
      <c r="F78" s="30" t="s">
        <v>116</v>
      </c>
      <c r="G78" s="48" t="s">
        <v>117</v>
      </c>
      <c r="H78" s="48" t="s">
        <v>118</v>
      </c>
      <c r="I78" s="30" t="s">
        <v>119</v>
      </c>
      <c r="J78" s="30" t="s">
        <v>120</v>
      </c>
      <c r="K78" s="30" t="s">
        <v>121</v>
      </c>
      <c r="L78" s="30" t="s">
        <v>122</v>
      </c>
      <c r="M78" s="73">
        <v>2100324</v>
      </c>
      <c r="N78" s="48" t="s">
        <v>138</v>
      </c>
      <c r="O78" s="48" t="s">
        <v>361</v>
      </c>
      <c r="P78" s="30" t="s">
        <v>172</v>
      </c>
      <c r="Q78" s="30" t="s">
        <v>172</v>
      </c>
      <c r="R78" s="30" t="s">
        <v>173</v>
      </c>
      <c r="S78" s="61" t="s">
        <v>362</v>
      </c>
      <c r="T78" s="30" t="s">
        <v>363</v>
      </c>
      <c r="U78" s="48" t="s">
        <v>219</v>
      </c>
      <c r="V78" s="62" t="s">
        <v>145</v>
      </c>
      <c r="W78" s="48" t="s">
        <v>176</v>
      </c>
      <c r="X78" s="48"/>
      <c r="Y78" s="48" t="s">
        <v>128</v>
      </c>
      <c r="Z78" s="48" t="s">
        <v>128</v>
      </c>
      <c r="AA78" s="20" t="s">
        <v>148</v>
      </c>
      <c r="AB78" s="72" t="s">
        <v>177</v>
      </c>
      <c r="AC78" s="48" t="s">
        <v>249</v>
      </c>
      <c r="AD78" s="48" t="s">
        <v>178</v>
      </c>
      <c r="AE78" s="48"/>
      <c r="AF78" s="48" t="s">
        <v>179</v>
      </c>
      <c r="AG78" s="48" t="s">
        <v>152</v>
      </c>
      <c r="AH78" s="48" t="s">
        <v>180</v>
      </c>
      <c r="AI78" s="48"/>
      <c r="AJ78" s="50">
        <v>41029</v>
      </c>
      <c r="AK78" s="50">
        <v>41029</v>
      </c>
      <c r="AL78" s="51">
        <f t="shared" si="45"/>
        <v>13.512328767123288</v>
      </c>
      <c r="AM78" s="52">
        <v>8</v>
      </c>
      <c r="AN78" s="48" t="s">
        <v>157</v>
      </c>
      <c r="AO78" s="30" t="s">
        <v>133</v>
      </c>
      <c r="AP78" s="30" t="s">
        <v>134</v>
      </c>
      <c r="AQ78" s="30">
        <v>0.56320000000000003</v>
      </c>
      <c r="AR78" s="30">
        <v>1229</v>
      </c>
      <c r="AS78" s="30">
        <v>1142</v>
      </c>
      <c r="AT78" s="30">
        <v>933</v>
      </c>
      <c r="AU78" s="53">
        <v>183879159</v>
      </c>
      <c r="AV78" s="54"/>
      <c r="AW78" s="54"/>
      <c r="AX78" s="54">
        <v>183879159</v>
      </c>
      <c r="AY78" s="54"/>
      <c r="AZ78" s="54"/>
      <c r="BA78" s="74">
        <v>1000</v>
      </c>
      <c r="BB78" s="74">
        <v>1000</v>
      </c>
      <c r="BC78" s="52">
        <v>96</v>
      </c>
      <c r="BD78" s="52">
        <v>164</v>
      </c>
      <c r="BE78" s="52">
        <v>0</v>
      </c>
      <c r="BF78" s="30"/>
      <c r="BG78" s="30" t="s">
        <v>135</v>
      </c>
      <c r="BH78" s="30" t="s">
        <v>136</v>
      </c>
      <c r="BI78" s="30" t="str">
        <f t="shared" si="56"/>
        <v>Test</v>
      </c>
      <c r="BJ78" s="30" t="s">
        <v>250</v>
      </c>
      <c r="BK78" s="56">
        <f t="shared" si="57"/>
        <v>3677583.18</v>
      </c>
      <c r="BL78" s="57">
        <f t="shared" si="58"/>
        <v>114924.47437500001</v>
      </c>
      <c r="BM78" s="57">
        <f t="shared" si="46"/>
        <v>38308.158125000002</v>
      </c>
      <c r="BU78" s="58">
        <f t="shared" si="47"/>
        <v>114924.47437500001</v>
      </c>
      <c r="BV78" s="58">
        <f t="shared" si="48"/>
        <v>114924.47437500001</v>
      </c>
      <c r="BW78" s="58">
        <f t="shared" si="62"/>
        <v>229848.94875000001</v>
      </c>
      <c r="BX78" s="58">
        <f t="shared" si="49"/>
        <v>114924.47437500001</v>
      </c>
      <c r="BY78" s="58">
        <f t="shared" si="41"/>
        <v>114924.47437500001</v>
      </c>
      <c r="BZ78" s="58">
        <f t="shared" si="41"/>
        <v>114924.47437500001</v>
      </c>
      <c r="CA78" s="58">
        <f t="shared" si="41"/>
        <v>114924.47437500001</v>
      </c>
      <c r="CB78" s="58">
        <f t="shared" si="50"/>
        <v>459697.89750000002</v>
      </c>
      <c r="CC78" s="58">
        <f t="shared" si="51"/>
        <v>114924.47437500001</v>
      </c>
      <c r="CD78" s="58">
        <f t="shared" si="42"/>
        <v>114924.47437500001</v>
      </c>
      <c r="CE78" s="58">
        <f t="shared" si="42"/>
        <v>114924.47437500001</v>
      </c>
      <c r="CF78" s="58">
        <f t="shared" si="42"/>
        <v>114924.47437500001</v>
      </c>
      <c r="CG78" s="58">
        <f t="shared" si="52"/>
        <v>459697.89750000002</v>
      </c>
      <c r="CH78" s="58">
        <f t="shared" si="53"/>
        <v>114924.47437500001</v>
      </c>
      <c r="CI78" s="58">
        <f t="shared" si="54"/>
        <v>114924.47437500001</v>
      </c>
      <c r="CJ78" s="58">
        <f t="shared" si="54"/>
        <v>114924.47437500001</v>
      </c>
      <c r="CK78" s="58">
        <f t="shared" si="54"/>
        <v>114924.47437500001</v>
      </c>
      <c r="CL78" s="58">
        <f t="shared" si="55"/>
        <v>459697.89750000002</v>
      </c>
      <c r="CP78" s="2">
        <f t="shared" si="59"/>
        <v>3677583.18</v>
      </c>
    </row>
    <row r="79" spans="1:94" hidden="1" x14ac:dyDescent="0.3">
      <c r="A79" s="29">
        <v>74</v>
      </c>
      <c r="B79" s="30" t="s">
        <v>21</v>
      </c>
      <c r="C79" s="30"/>
      <c r="D79" s="30" t="s">
        <v>114</v>
      </c>
      <c r="E79" s="30" t="s">
        <v>115</v>
      </c>
      <c r="F79" s="30" t="s">
        <v>116</v>
      </c>
      <c r="G79" s="48" t="s">
        <v>117</v>
      </c>
      <c r="H79" s="48" t="s">
        <v>118</v>
      </c>
      <c r="I79" s="30" t="s">
        <v>119</v>
      </c>
      <c r="J79" s="30" t="s">
        <v>120</v>
      </c>
      <c r="K79" s="30" t="s">
        <v>121</v>
      </c>
      <c r="L79" s="30" t="s">
        <v>122</v>
      </c>
      <c r="M79" s="73">
        <v>2100325</v>
      </c>
      <c r="N79" s="48" t="s">
        <v>138</v>
      </c>
      <c r="O79" s="48" t="s">
        <v>364</v>
      </c>
      <c r="P79" s="30" t="s">
        <v>172</v>
      </c>
      <c r="Q79" s="30" t="s">
        <v>172</v>
      </c>
      <c r="R79" s="30" t="s">
        <v>173</v>
      </c>
      <c r="S79" s="61" t="s">
        <v>365</v>
      </c>
      <c r="T79" s="30" t="s">
        <v>366</v>
      </c>
      <c r="U79" s="48" t="s">
        <v>219</v>
      </c>
      <c r="V79" s="62" t="s">
        <v>145</v>
      </c>
      <c r="W79" s="48" t="s">
        <v>176</v>
      </c>
      <c r="X79" s="48"/>
      <c r="Y79" s="48" t="s">
        <v>128</v>
      </c>
      <c r="Z79" s="48" t="s">
        <v>128</v>
      </c>
      <c r="AA79" s="20" t="s">
        <v>148</v>
      </c>
      <c r="AB79" s="72" t="s">
        <v>177</v>
      </c>
      <c r="AC79" s="48" t="s">
        <v>249</v>
      </c>
      <c r="AD79" s="48" t="s">
        <v>178</v>
      </c>
      <c r="AE79" s="48"/>
      <c r="AF79" s="48" t="s">
        <v>179</v>
      </c>
      <c r="AG79" s="48" t="s">
        <v>152</v>
      </c>
      <c r="AH79" s="48" t="s">
        <v>180</v>
      </c>
      <c r="AI79" s="48"/>
      <c r="AJ79" s="50">
        <v>41029</v>
      </c>
      <c r="AK79" s="50">
        <v>41029</v>
      </c>
      <c r="AL79" s="51">
        <f t="shared" si="45"/>
        <v>13.512328767123288</v>
      </c>
      <c r="AM79" s="52">
        <v>8</v>
      </c>
      <c r="AN79" s="48" t="s">
        <v>157</v>
      </c>
      <c r="AO79" s="30" t="s">
        <v>133</v>
      </c>
      <c r="AP79" s="30" t="s">
        <v>134</v>
      </c>
      <c r="AQ79" s="30">
        <v>0.56320000000000003</v>
      </c>
      <c r="AR79" s="30">
        <v>1229</v>
      </c>
      <c r="AS79" s="30">
        <v>1142</v>
      </c>
      <c r="AT79" s="30">
        <v>933</v>
      </c>
      <c r="AU79" s="53">
        <v>183879159</v>
      </c>
      <c r="AV79" s="54"/>
      <c r="AW79" s="54"/>
      <c r="AX79" s="54">
        <v>183879159</v>
      </c>
      <c r="AY79" s="54"/>
      <c r="AZ79" s="54"/>
      <c r="BA79" s="74">
        <v>1000</v>
      </c>
      <c r="BB79" s="74">
        <v>1000</v>
      </c>
      <c r="BC79" s="52">
        <v>96</v>
      </c>
      <c r="BD79" s="52">
        <v>164</v>
      </c>
      <c r="BE79" s="52">
        <v>0</v>
      </c>
      <c r="BF79" s="30"/>
      <c r="BG79" s="30" t="s">
        <v>135</v>
      </c>
      <c r="BH79" s="30" t="s">
        <v>136</v>
      </c>
      <c r="BI79" s="30" t="str">
        <f t="shared" si="56"/>
        <v>Test</v>
      </c>
      <c r="BJ79" s="30" t="s">
        <v>250</v>
      </c>
      <c r="BK79" s="56">
        <f t="shared" si="57"/>
        <v>3677583.18</v>
      </c>
      <c r="BL79" s="57">
        <f t="shared" si="58"/>
        <v>114924.47437500001</v>
      </c>
      <c r="BM79" s="57">
        <f t="shared" si="46"/>
        <v>38308.158125000002</v>
      </c>
      <c r="BU79" s="58">
        <f t="shared" si="47"/>
        <v>114924.47437500001</v>
      </c>
      <c r="BV79" s="58">
        <f t="shared" si="48"/>
        <v>114924.47437500001</v>
      </c>
      <c r="BW79" s="58">
        <f t="shared" si="62"/>
        <v>229848.94875000001</v>
      </c>
      <c r="BX79" s="58">
        <f t="shared" si="49"/>
        <v>114924.47437500001</v>
      </c>
      <c r="BY79" s="58">
        <f t="shared" si="41"/>
        <v>114924.47437500001</v>
      </c>
      <c r="BZ79" s="58">
        <f t="shared" si="41"/>
        <v>114924.47437500001</v>
      </c>
      <c r="CA79" s="58">
        <f t="shared" si="41"/>
        <v>114924.47437500001</v>
      </c>
      <c r="CB79" s="58">
        <f t="shared" si="50"/>
        <v>459697.89750000002</v>
      </c>
      <c r="CC79" s="58">
        <f t="shared" si="51"/>
        <v>114924.47437500001</v>
      </c>
      <c r="CD79" s="58">
        <f t="shared" si="42"/>
        <v>114924.47437500001</v>
      </c>
      <c r="CE79" s="58">
        <f t="shared" si="42"/>
        <v>114924.47437500001</v>
      </c>
      <c r="CF79" s="58">
        <f t="shared" si="42"/>
        <v>114924.47437500001</v>
      </c>
      <c r="CG79" s="58">
        <f t="shared" si="52"/>
        <v>459697.89750000002</v>
      </c>
      <c r="CH79" s="58">
        <f t="shared" si="53"/>
        <v>114924.47437500001</v>
      </c>
      <c r="CI79" s="58">
        <f t="shared" si="54"/>
        <v>114924.47437500001</v>
      </c>
      <c r="CJ79" s="58">
        <f t="shared" si="54"/>
        <v>114924.47437500001</v>
      </c>
      <c r="CK79" s="58">
        <f t="shared" si="54"/>
        <v>114924.47437500001</v>
      </c>
      <c r="CL79" s="58">
        <f t="shared" si="55"/>
        <v>459697.89750000002</v>
      </c>
      <c r="CP79" s="2">
        <f t="shared" si="59"/>
        <v>3677583.18</v>
      </c>
    </row>
    <row r="80" spans="1:94" hidden="1" x14ac:dyDescent="0.3">
      <c r="A80" s="29">
        <v>75</v>
      </c>
      <c r="B80" s="30" t="s">
        <v>21</v>
      </c>
      <c r="C80" s="30"/>
      <c r="D80" s="30" t="s">
        <v>114</v>
      </c>
      <c r="E80" s="30" t="s">
        <v>115</v>
      </c>
      <c r="F80" s="30" t="s">
        <v>116</v>
      </c>
      <c r="G80" s="48" t="s">
        <v>117</v>
      </c>
      <c r="H80" s="48" t="s">
        <v>118</v>
      </c>
      <c r="I80" s="30" t="s">
        <v>119</v>
      </c>
      <c r="J80" s="30" t="s">
        <v>120</v>
      </c>
      <c r="K80" s="30" t="s">
        <v>121</v>
      </c>
      <c r="L80" s="30" t="s">
        <v>122</v>
      </c>
      <c r="M80" s="73">
        <v>2100326</v>
      </c>
      <c r="N80" s="48" t="s">
        <v>138</v>
      </c>
      <c r="O80" s="48" t="s">
        <v>367</v>
      </c>
      <c r="P80" s="30" t="s">
        <v>231</v>
      </c>
      <c r="Q80" s="30" t="s">
        <v>232</v>
      </c>
      <c r="R80" s="30" t="s">
        <v>142</v>
      </c>
      <c r="S80" s="61">
        <v>310582828</v>
      </c>
      <c r="T80" s="30" t="s">
        <v>368</v>
      </c>
      <c r="U80" s="48" t="s">
        <v>219</v>
      </c>
      <c r="V80" s="62" t="s">
        <v>145</v>
      </c>
      <c r="W80" s="48" t="s">
        <v>146</v>
      </c>
      <c r="X80" s="48" t="s">
        <v>127</v>
      </c>
      <c r="Y80" s="48" t="s">
        <v>128</v>
      </c>
      <c r="Z80" s="48" t="s">
        <v>128</v>
      </c>
      <c r="AA80" s="20" t="s">
        <v>148</v>
      </c>
      <c r="AB80" s="48" t="s">
        <v>149</v>
      </c>
      <c r="AC80" s="48" t="s">
        <v>150</v>
      </c>
      <c r="AD80" s="48"/>
      <c r="AE80" s="48"/>
      <c r="AF80" s="48" t="s">
        <v>151</v>
      </c>
      <c r="AG80" s="48" t="s">
        <v>152</v>
      </c>
      <c r="AH80" s="48" t="s">
        <v>153</v>
      </c>
      <c r="AI80" s="48"/>
      <c r="AJ80" s="50">
        <v>41029</v>
      </c>
      <c r="AK80" s="50">
        <v>41029</v>
      </c>
      <c r="AL80" s="51">
        <f t="shared" si="45"/>
        <v>13.512328767123288</v>
      </c>
      <c r="AM80" s="52">
        <v>8</v>
      </c>
      <c r="AN80" s="48" t="s">
        <v>169</v>
      </c>
      <c r="AO80" s="30" t="s">
        <v>133</v>
      </c>
      <c r="AP80" s="30" t="s">
        <v>134</v>
      </c>
      <c r="AQ80" s="30">
        <v>9.8308320000000009</v>
      </c>
      <c r="AR80" s="30">
        <v>950</v>
      </c>
      <c r="AS80" s="30">
        <v>1250</v>
      </c>
      <c r="AT80" s="30">
        <v>1800</v>
      </c>
      <c r="AU80" s="53">
        <v>808481507</v>
      </c>
      <c r="AV80" s="54"/>
      <c r="AW80" s="54"/>
      <c r="AX80" s="54">
        <v>808481507</v>
      </c>
      <c r="AY80" s="54"/>
      <c r="AZ80" s="54"/>
      <c r="BA80" s="74">
        <v>1000</v>
      </c>
      <c r="BB80" s="75">
        <v>1000</v>
      </c>
      <c r="BC80" s="52">
        <v>96</v>
      </c>
      <c r="BD80" s="52">
        <v>164</v>
      </c>
      <c r="BE80" s="52">
        <v>0</v>
      </c>
      <c r="BF80" s="30"/>
      <c r="BG80" s="30" t="s">
        <v>135</v>
      </c>
      <c r="BH80" s="30" t="s">
        <v>136</v>
      </c>
      <c r="BI80" s="30" t="str">
        <f t="shared" si="56"/>
        <v>Test</v>
      </c>
      <c r="BJ80" s="30" t="s">
        <v>250</v>
      </c>
      <c r="BK80" s="56">
        <f t="shared" si="57"/>
        <v>16169630.140000001</v>
      </c>
      <c r="BL80" s="57">
        <f t="shared" si="58"/>
        <v>1541430.1095259869</v>
      </c>
      <c r="BM80" s="57">
        <f t="shared" si="46"/>
        <v>513810.03650866234</v>
      </c>
      <c r="BU80" s="58">
        <f t="shared" si="47"/>
        <v>1541430.1095259869</v>
      </c>
      <c r="BV80" s="58">
        <f t="shared" si="48"/>
        <v>1541430.1095259869</v>
      </c>
      <c r="BW80" s="58">
        <f t="shared" si="62"/>
        <v>3082860.2190519739</v>
      </c>
      <c r="BX80" s="58">
        <f t="shared" si="49"/>
        <v>1541430.1095259869</v>
      </c>
      <c r="BY80" s="58">
        <f t="shared" si="41"/>
        <v>1541430.1095259869</v>
      </c>
      <c r="BZ80" s="58">
        <f t="shared" si="41"/>
        <v>1541430.1095259869</v>
      </c>
      <c r="CA80" s="58">
        <f t="shared" si="41"/>
        <v>1541430.1095259869</v>
      </c>
      <c r="CB80" s="58">
        <f t="shared" si="50"/>
        <v>6165720.4381039478</v>
      </c>
      <c r="CC80" s="58">
        <f t="shared" si="51"/>
        <v>1541430.1095259869</v>
      </c>
      <c r="CD80" s="58">
        <f t="shared" si="42"/>
        <v>1541430.1095259869</v>
      </c>
      <c r="CE80" s="58">
        <f t="shared" si="42"/>
        <v>1541430.1095259869</v>
      </c>
      <c r="CF80" s="58">
        <f t="shared" si="42"/>
        <v>1541430.1095259869</v>
      </c>
      <c r="CG80" s="58">
        <f t="shared" si="52"/>
        <v>6165720.4381039478</v>
      </c>
      <c r="CH80" s="58">
        <f t="shared" si="53"/>
        <v>1541430.1095259869</v>
      </c>
      <c r="CI80" s="58">
        <f t="shared" si="54"/>
        <v>1541430.1095259869</v>
      </c>
      <c r="CJ80" s="58">
        <f t="shared" si="54"/>
        <v>1541430.1095259869</v>
      </c>
      <c r="CK80" s="58">
        <f t="shared" si="54"/>
        <v>1541430.1095259869</v>
      </c>
      <c r="CL80" s="58">
        <f t="shared" si="55"/>
        <v>6165720.4381039478</v>
      </c>
      <c r="CN80" s="59">
        <f t="shared" ref="CN80:CN94" si="63">BK80/$CN$3</f>
        <v>1.5788634935634087E-3</v>
      </c>
      <c r="CO80" s="64">
        <f t="shared" ref="CO80:CO94" si="64">CN80*$CO$4</f>
        <v>33156133.364831582</v>
      </c>
      <c r="CP80" s="2">
        <f t="shared" si="59"/>
        <v>49325763.504831582</v>
      </c>
    </row>
    <row r="81" spans="1:94" ht="16.5" hidden="1" x14ac:dyDescent="0.3">
      <c r="A81" s="2">
        <v>76</v>
      </c>
      <c r="B81" s="47" t="s">
        <v>21</v>
      </c>
      <c r="C81" s="47"/>
      <c r="D81" s="30" t="s">
        <v>114</v>
      </c>
      <c r="E81" s="30" t="s">
        <v>115</v>
      </c>
      <c r="F81" s="30" t="s">
        <v>116</v>
      </c>
      <c r="G81" s="48" t="s">
        <v>117</v>
      </c>
      <c r="H81" s="48" t="s">
        <v>118</v>
      </c>
      <c r="I81" s="30" t="s">
        <v>119</v>
      </c>
      <c r="J81" s="30" t="s">
        <v>120</v>
      </c>
      <c r="K81" s="30" t="s">
        <v>121</v>
      </c>
      <c r="L81" s="30" t="s">
        <v>122</v>
      </c>
      <c r="M81" s="73">
        <v>2100369</v>
      </c>
      <c r="N81" s="48" t="s">
        <v>369</v>
      </c>
      <c r="O81" s="48" t="s">
        <v>370</v>
      </c>
      <c r="P81" s="30" t="s">
        <v>371</v>
      </c>
      <c r="Q81" s="48" t="s">
        <v>372</v>
      </c>
      <c r="R81" s="30"/>
      <c r="S81" s="61" t="s">
        <v>373</v>
      </c>
      <c r="T81" s="30"/>
      <c r="U81" s="48"/>
      <c r="V81" s="48" t="s">
        <v>145</v>
      </c>
      <c r="W81" s="48" t="s">
        <v>167</v>
      </c>
      <c r="X81" s="48" t="s">
        <v>127</v>
      </c>
      <c r="Y81" s="48" t="s">
        <v>128</v>
      </c>
      <c r="Z81" s="48" t="s">
        <v>128</v>
      </c>
      <c r="AA81" s="20" t="s">
        <v>374</v>
      </c>
      <c r="AB81" s="48" t="s">
        <v>375</v>
      </c>
      <c r="AC81" s="48" t="s">
        <v>150</v>
      </c>
      <c r="AD81" s="48"/>
      <c r="AE81" s="48"/>
      <c r="AF81" s="48" t="s">
        <v>151</v>
      </c>
      <c r="AG81" s="48" t="s">
        <v>376</v>
      </c>
      <c r="AH81" s="48"/>
      <c r="AI81" s="48"/>
      <c r="AJ81" s="50">
        <v>41729</v>
      </c>
      <c r="AK81" s="50">
        <v>41729</v>
      </c>
      <c r="AL81" s="51">
        <f t="shared" si="45"/>
        <v>11.594520547945205</v>
      </c>
      <c r="AM81" s="52">
        <v>8</v>
      </c>
      <c r="AN81" s="48" t="s">
        <v>132</v>
      </c>
      <c r="AO81" s="30" t="s">
        <v>133</v>
      </c>
      <c r="AP81" s="30" t="s">
        <v>134</v>
      </c>
      <c r="AQ81" s="30"/>
      <c r="AR81" s="30"/>
      <c r="AS81" s="30"/>
      <c r="AT81" s="30" t="e">
        <v>#N/A</v>
      </c>
      <c r="AU81" s="53">
        <v>501249250</v>
      </c>
      <c r="AV81" s="54"/>
      <c r="AW81" s="54"/>
      <c r="AX81" s="54">
        <v>501249250</v>
      </c>
      <c r="AY81" s="54"/>
      <c r="AZ81" s="54"/>
      <c r="BA81" s="54">
        <v>1000</v>
      </c>
      <c r="BB81" s="55">
        <v>1000</v>
      </c>
      <c r="BC81" s="52">
        <v>96</v>
      </c>
      <c r="BD81" s="52">
        <v>141</v>
      </c>
      <c r="BE81" s="52">
        <v>0</v>
      </c>
      <c r="BF81" s="30"/>
      <c r="BG81" s="30" t="s">
        <v>135</v>
      </c>
      <c r="BH81" s="30" t="s">
        <v>136</v>
      </c>
      <c r="BI81" s="30" t="str">
        <f t="shared" si="56"/>
        <v>Test</v>
      </c>
      <c r="BJ81" s="47" t="s">
        <v>137</v>
      </c>
      <c r="BK81" s="56">
        <f t="shared" si="57"/>
        <v>10024985</v>
      </c>
      <c r="BL81" s="57">
        <f t="shared" si="58"/>
        <v>955668.96662154433</v>
      </c>
      <c r="BM81" s="57">
        <f t="shared" si="46"/>
        <v>318556.32220718142</v>
      </c>
      <c r="BU81" s="58">
        <f t="shared" si="47"/>
        <v>955668.96662154421</v>
      </c>
      <c r="BV81" s="58">
        <f t="shared" si="48"/>
        <v>955668.96662154421</v>
      </c>
      <c r="BW81" s="58">
        <f t="shared" si="62"/>
        <v>1911337.9332430884</v>
      </c>
      <c r="BX81" s="58">
        <f t="shared" si="49"/>
        <v>955668.96662154421</v>
      </c>
      <c r="BY81" s="58">
        <f t="shared" si="41"/>
        <v>955668.96662154421</v>
      </c>
      <c r="BZ81" s="58">
        <f t="shared" si="41"/>
        <v>955668.96662154421</v>
      </c>
      <c r="CA81" s="58">
        <f t="shared" si="41"/>
        <v>955668.96662154421</v>
      </c>
      <c r="CB81" s="58">
        <f t="shared" si="50"/>
        <v>3822675.8664861768</v>
      </c>
      <c r="CC81" s="58">
        <f t="shared" si="51"/>
        <v>955668.96662154421</v>
      </c>
      <c r="CD81" s="58">
        <f t="shared" si="42"/>
        <v>955668.96662154421</v>
      </c>
      <c r="CE81" s="58">
        <f t="shared" si="42"/>
        <v>955668.96662154421</v>
      </c>
      <c r="CF81" s="58">
        <f t="shared" si="42"/>
        <v>955668.96662154421</v>
      </c>
      <c r="CG81" s="58">
        <f t="shared" si="52"/>
        <v>3822675.8664861768</v>
      </c>
      <c r="CH81" s="58">
        <f t="shared" si="53"/>
        <v>955668.96662154421</v>
      </c>
      <c r="CI81" s="58">
        <f t="shared" si="54"/>
        <v>955668.96662154421</v>
      </c>
      <c r="CJ81" s="58">
        <f t="shared" si="54"/>
        <v>955668.96662154421</v>
      </c>
      <c r="CK81" s="58">
        <f t="shared" si="54"/>
        <v>955668.96662154421</v>
      </c>
      <c r="CL81" s="58">
        <f t="shared" si="55"/>
        <v>3822675.8664861768</v>
      </c>
      <c r="CN81" s="59">
        <f t="shared" si="63"/>
        <v>9.7887723485187705E-4</v>
      </c>
      <c r="CO81" s="64">
        <f t="shared" si="64"/>
        <v>20556421.931889419</v>
      </c>
      <c r="CP81" s="2">
        <f t="shared" si="59"/>
        <v>30581406.931889419</v>
      </c>
    </row>
    <row r="82" spans="1:94" ht="16.5" hidden="1" x14ac:dyDescent="0.3">
      <c r="A82" s="2">
        <v>77</v>
      </c>
      <c r="B82" s="47" t="s">
        <v>21</v>
      </c>
      <c r="C82" s="47"/>
      <c r="D82" s="30" t="s">
        <v>114</v>
      </c>
      <c r="E82" s="30" t="s">
        <v>115</v>
      </c>
      <c r="F82" s="30" t="s">
        <v>116</v>
      </c>
      <c r="G82" s="48" t="s">
        <v>117</v>
      </c>
      <c r="H82" s="48" t="s">
        <v>118</v>
      </c>
      <c r="I82" s="30" t="s">
        <v>119</v>
      </c>
      <c r="J82" s="30" t="s">
        <v>120</v>
      </c>
      <c r="K82" s="30" t="s">
        <v>121</v>
      </c>
      <c r="L82" s="30" t="s">
        <v>122</v>
      </c>
      <c r="M82" s="73">
        <v>2100387</v>
      </c>
      <c r="N82" s="48" t="s">
        <v>369</v>
      </c>
      <c r="O82" s="48" t="s">
        <v>377</v>
      </c>
      <c r="P82" s="30" t="s">
        <v>371</v>
      </c>
      <c r="Q82" s="48" t="s">
        <v>372</v>
      </c>
      <c r="R82" s="30"/>
      <c r="S82" s="61" t="s">
        <v>373</v>
      </c>
      <c r="T82" s="30"/>
      <c r="U82" s="48"/>
      <c r="V82" s="48" t="s">
        <v>145</v>
      </c>
      <c r="W82" s="48" t="s">
        <v>167</v>
      </c>
      <c r="X82" s="48" t="s">
        <v>127</v>
      </c>
      <c r="Y82" s="48" t="s">
        <v>128</v>
      </c>
      <c r="Z82" s="48" t="s">
        <v>128</v>
      </c>
      <c r="AA82" s="20" t="s">
        <v>374</v>
      </c>
      <c r="AB82" s="48" t="s">
        <v>375</v>
      </c>
      <c r="AC82" s="48" t="s">
        <v>150</v>
      </c>
      <c r="AD82" s="48"/>
      <c r="AE82" s="48"/>
      <c r="AF82" s="48" t="s">
        <v>151</v>
      </c>
      <c r="AG82" s="48" t="s">
        <v>376</v>
      </c>
      <c r="AH82" s="48"/>
      <c r="AI82" s="48"/>
      <c r="AJ82" s="50">
        <v>41912</v>
      </c>
      <c r="AK82" s="50">
        <v>41912</v>
      </c>
      <c r="AL82" s="51">
        <f t="shared" si="45"/>
        <v>11.093150684931507</v>
      </c>
      <c r="AM82" s="52">
        <v>8</v>
      </c>
      <c r="AN82" s="48" t="s">
        <v>132</v>
      </c>
      <c r="AO82" s="30" t="s">
        <v>133</v>
      </c>
      <c r="AP82" s="30" t="s">
        <v>134</v>
      </c>
      <c r="AQ82" s="30"/>
      <c r="AR82" s="30"/>
      <c r="AS82" s="30"/>
      <c r="AT82" s="30" t="e">
        <v>#N/A</v>
      </c>
      <c r="AU82" s="53">
        <v>860357846</v>
      </c>
      <c r="AV82" s="54"/>
      <c r="AW82" s="54"/>
      <c r="AX82" s="54">
        <v>860357846</v>
      </c>
      <c r="AY82" s="54"/>
      <c r="AZ82" s="54"/>
      <c r="BA82" s="54">
        <v>1000</v>
      </c>
      <c r="BB82" s="55">
        <v>1000</v>
      </c>
      <c r="BC82" s="52">
        <v>96</v>
      </c>
      <c r="BD82" s="52">
        <v>135</v>
      </c>
      <c r="BE82" s="52">
        <v>0</v>
      </c>
      <c r="BF82" s="30"/>
      <c r="BG82" s="30" t="s">
        <v>135</v>
      </c>
      <c r="BH82" s="30" t="s">
        <v>136</v>
      </c>
      <c r="BI82" s="30" t="str">
        <f t="shared" si="56"/>
        <v>Test</v>
      </c>
      <c r="BJ82" s="47" t="s">
        <v>137</v>
      </c>
      <c r="BK82" s="56">
        <f t="shared" si="57"/>
        <v>17207156.920000002</v>
      </c>
      <c r="BL82" s="57">
        <f t="shared" si="58"/>
        <v>1640336.2072094029</v>
      </c>
      <c r="BM82" s="57">
        <f t="shared" si="46"/>
        <v>546778.73573646764</v>
      </c>
      <c r="BU82" s="58">
        <f t="shared" si="47"/>
        <v>1640336.2072094029</v>
      </c>
      <c r="BV82" s="58">
        <f t="shared" si="48"/>
        <v>1640336.2072094029</v>
      </c>
      <c r="BW82" s="58">
        <f t="shared" si="62"/>
        <v>3280672.4144188059</v>
      </c>
      <c r="BX82" s="58">
        <f t="shared" si="49"/>
        <v>1640336.2072094029</v>
      </c>
      <c r="BY82" s="58">
        <f t="shared" si="41"/>
        <v>1640336.2072094029</v>
      </c>
      <c r="BZ82" s="58">
        <f t="shared" si="41"/>
        <v>1640336.2072094029</v>
      </c>
      <c r="CA82" s="58">
        <f t="shared" si="41"/>
        <v>1640336.2072094029</v>
      </c>
      <c r="CB82" s="58">
        <f t="shared" si="50"/>
        <v>6561344.8288376117</v>
      </c>
      <c r="CC82" s="58">
        <f t="shared" si="51"/>
        <v>1640336.2072094029</v>
      </c>
      <c r="CD82" s="58">
        <f t="shared" si="42"/>
        <v>1640336.2072094029</v>
      </c>
      <c r="CE82" s="58">
        <f t="shared" si="42"/>
        <v>1640336.2072094029</v>
      </c>
      <c r="CF82" s="58">
        <f t="shared" si="42"/>
        <v>1640336.2072094029</v>
      </c>
      <c r="CG82" s="58">
        <f t="shared" si="52"/>
        <v>6561344.8288376117</v>
      </c>
      <c r="CH82" s="58">
        <f t="shared" si="53"/>
        <v>1640336.2072094029</v>
      </c>
      <c r="CI82" s="58">
        <f t="shared" si="54"/>
        <v>1640336.2072094029</v>
      </c>
      <c r="CJ82" s="58">
        <f t="shared" si="54"/>
        <v>1640336.2072094029</v>
      </c>
      <c r="CK82" s="58">
        <f t="shared" si="54"/>
        <v>1640336.2072094029</v>
      </c>
      <c r="CL82" s="58">
        <f t="shared" si="55"/>
        <v>6561344.8288376117</v>
      </c>
      <c r="CN82" s="59">
        <f t="shared" si="63"/>
        <v>1.6801715100333758E-3</v>
      </c>
      <c r="CO82" s="64">
        <f t="shared" si="64"/>
        <v>35283601.710700892</v>
      </c>
      <c r="CP82" s="2">
        <f t="shared" si="59"/>
        <v>52490758.630700894</v>
      </c>
    </row>
    <row r="83" spans="1:94" ht="16.5" hidden="1" x14ac:dyDescent="0.3">
      <c r="A83" s="2">
        <v>78</v>
      </c>
      <c r="B83" s="47" t="s">
        <v>21</v>
      </c>
      <c r="C83" s="47"/>
      <c r="D83" s="30" t="s">
        <v>114</v>
      </c>
      <c r="E83" s="30" t="s">
        <v>115</v>
      </c>
      <c r="F83" s="30" t="s">
        <v>116</v>
      </c>
      <c r="G83" s="48" t="s">
        <v>117</v>
      </c>
      <c r="H83" s="48" t="s">
        <v>118</v>
      </c>
      <c r="I83" s="30" t="s">
        <v>119</v>
      </c>
      <c r="J83" s="30" t="s">
        <v>120</v>
      </c>
      <c r="K83" s="30" t="s">
        <v>121</v>
      </c>
      <c r="L83" s="30" t="s">
        <v>122</v>
      </c>
      <c r="M83" s="73">
        <v>2100388</v>
      </c>
      <c r="N83" s="48" t="s">
        <v>369</v>
      </c>
      <c r="O83" s="48" t="s">
        <v>378</v>
      </c>
      <c r="P83" s="30" t="s">
        <v>371</v>
      </c>
      <c r="Q83" s="48" t="s">
        <v>372</v>
      </c>
      <c r="R83" s="30"/>
      <c r="S83" s="61" t="s">
        <v>373</v>
      </c>
      <c r="T83" s="30"/>
      <c r="U83" s="48"/>
      <c r="V83" s="62" t="s">
        <v>145</v>
      </c>
      <c r="W83" s="48" t="s">
        <v>146</v>
      </c>
      <c r="X83" s="48" t="s">
        <v>127</v>
      </c>
      <c r="Y83" s="48" t="s">
        <v>128</v>
      </c>
      <c r="Z83" s="48" t="s">
        <v>128</v>
      </c>
      <c r="AA83" s="20" t="s">
        <v>374</v>
      </c>
      <c r="AB83" s="48" t="s">
        <v>375</v>
      </c>
      <c r="AC83" s="48" t="s">
        <v>150</v>
      </c>
      <c r="AD83" s="48"/>
      <c r="AE83" s="48"/>
      <c r="AF83" s="48" t="s">
        <v>151</v>
      </c>
      <c r="AG83" s="48" t="s">
        <v>376</v>
      </c>
      <c r="AH83" s="48"/>
      <c r="AI83" s="48"/>
      <c r="AJ83" s="50">
        <v>41943</v>
      </c>
      <c r="AK83" s="50">
        <v>41943</v>
      </c>
      <c r="AL83" s="51">
        <f t="shared" si="45"/>
        <v>11.008219178082191</v>
      </c>
      <c r="AM83" s="52">
        <v>8</v>
      </c>
      <c r="AN83" s="48" t="s">
        <v>220</v>
      </c>
      <c r="AO83" s="30" t="s">
        <v>133</v>
      </c>
      <c r="AP83" s="30" t="s">
        <v>134</v>
      </c>
      <c r="AQ83" s="30"/>
      <c r="AR83" s="30"/>
      <c r="AS83" s="30"/>
      <c r="AT83" s="30" t="e">
        <v>#N/A</v>
      </c>
      <c r="AU83" s="53">
        <v>1516888750</v>
      </c>
      <c r="AV83" s="54"/>
      <c r="AW83" s="54"/>
      <c r="AX83" s="54">
        <v>1516888750</v>
      </c>
      <c r="AY83" s="54"/>
      <c r="AZ83" s="54"/>
      <c r="BA83" s="54">
        <v>1000</v>
      </c>
      <c r="BB83" s="55">
        <v>1000</v>
      </c>
      <c r="BC83" s="52">
        <v>96</v>
      </c>
      <c r="BD83" s="52">
        <v>134</v>
      </c>
      <c r="BE83" s="52">
        <v>0</v>
      </c>
      <c r="BF83" s="30"/>
      <c r="BG83" s="30" t="s">
        <v>135</v>
      </c>
      <c r="BH83" s="30" t="s">
        <v>136</v>
      </c>
      <c r="BI83" s="30" t="str">
        <f t="shared" si="56"/>
        <v>Test</v>
      </c>
      <c r="BJ83" s="47" t="s">
        <v>137</v>
      </c>
      <c r="BK83" s="56">
        <f t="shared" si="57"/>
        <v>30337775</v>
      </c>
      <c r="BL83" s="57">
        <f t="shared" si="58"/>
        <v>2892061.1934927506</v>
      </c>
      <c r="BM83" s="57">
        <f t="shared" si="46"/>
        <v>964020.39783091692</v>
      </c>
      <c r="BU83" s="58">
        <f t="shared" si="47"/>
        <v>2892061.1934927506</v>
      </c>
      <c r="BV83" s="58">
        <f t="shared" si="48"/>
        <v>2892061.1934927506</v>
      </c>
      <c r="BW83" s="58">
        <f t="shared" si="62"/>
        <v>5784122.3869855013</v>
      </c>
      <c r="BX83" s="58">
        <f t="shared" si="49"/>
        <v>2892061.1934927506</v>
      </c>
      <c r="BY83" s="58">
        <f t="shared" si="41"/>
        <v>2892061.1934927506</v>
      </c>
      <c r="BZ83" s="58">
        <f t="shared" si="41"/>
        <v>2892061.1934927506</v>
      </c>
      <c r="CA83" s="58">
        <f t="shared" si="41"/>
        <v>2892061.1934927506</v>
      </c>
      <c r="CB83" s="58">
        <f t="shared" si="50"/>
        <v>11568244.773971003</v>
      </c>
      <c r="CC83" s="58">
        <f t="shared" si="51"/>
        <v>2892061.1934927506</v>
      </c>
      <c r="CD83" s="58">
        <f t="shared" si="42"/>
        <v>2892061.1934927506</v>
      </c>
      <c r="CE83" s="58">
        <f t="shared" si="42"/>
        <v>2892061.1934927506</v>
      </c>
      <c r="CF83" s="58">
        <f t="shared" si="42"/>
        <v>2892061.1934927506</v>
      </c>
      <c r="CG83" s="58">
        <f t="shared" si="52"/>
        <v>11568244.773971003</v>
      </c>
      <c r="CH83" s="58">
        <f t="shared" si="53"/>
        <v>2892061.1934927506</v>
      </c>
      <c r="CI83" s="58">
        <f t="shared" si="54"/>
        <v>2892061.1934927506</v>
      </c>
      <c r="CJ83" s="58">
        <f t="shared" si="54"/>
        <v>2892061.1934927506</v>
      </c>
      <c r="CK83" s="58">
        <f t="shared" si="54"/>
        <v>2892061.1934927506</v>
      </c>
      <c r="CL83" s="58">
        <f t="shared" si="55"/>
        <v>11568244.773971003</v>
      </c>
      <c r="CN83" s="59">
        <f t="shared" si="63"/>
        <v>2.9622944377032385E-3</v>
      </c>
      <c r="CO83" s="64">
        <f t="shared" si="64"/>
        <v>62208183.191768013</v>
      </c>
      <c r="CP83" s="2">
        <f t="shared" si="59"/>
        <v>92545958.19176802</v>
      </c>
    </row>
    <row r="84" spans="1:94" ht="16.5" hidden="1" x14ac:dyDescent="0.3">
      <c r="A84" s="2">
        <v>79</v>
      </c>
      <c r="B84" s="47" t="s">
        <v>21</v>
      </c>
      <c r="C84" s="47"/>
      <c r="D84" s="30" t="s">
        <v>114</v>
      </c>
      <c r="E84" s="30" t="s">
        <v>115</v>
      </c>
      <c r="F84" s="30" t="s">
        <v>116</v>
      </c>
      <c r="G84" s="48" t="s">
        <v>117</v>
      </c>
      <c r="H84" s="48" t="s">
        <v>118</v>
      </c>
      <c r="I84" s="30" t="s">
        <v>119</v>
      </c>
      <c r="J84" s="30" t="s">
        <v>120</v>
      </c>
      <c r="K84" s="30" t="s">
        <v>121</v>
      </c>
      <c r="L84" s="30" t="s">
        <v>122</v>
      </c>
      <c r="M84" s="73">
        <v>2100435</v>
      </c>
      <c r="N84" s="48" t="s">
        <v>369</v>
      </c>
      <c r="O84" s="48" t="s">
        <v>379</v>
      </c>
      <c r="P84" s="30" t="s">
        <v>371</v>
      </c>
      <c r="Q84" s="48" t="s">
        <v>372</v>
      </c>
      <c r="R84" s="30"/>
      <c r="S84" s="61" t="s">
        <v>373</v>
      </c>
      <c r="T84" s="30"/>
      <c r="U84" s="48"/>
      <c r="V84" s="48" t="s">
        <v>145</v>
      </c>
      <c r="W84" s="48" t="s">
        <v>146</v>
      </c>
      <c r="X84" s="48" t="s">
        <v>127</v>
      </c>
      <c r="Y84" s="48" t="s">
        <v>128</v>
      </c>
      <c r="Z84" s="48" t="s">
        <v>128</v>
      </c>
      <c r="AA84" s="20" t="s">
        <v>374</v>
      </c>
      <c r="AB84" s="48" t="s">
        <v>375</v>
      </c>
      <c r="AC84" s="48" t="s">
        <v>150</v>
      </c>
      <c r="AD84" s="48"/>
      <c r="AE84" s="48"/>
      <c r="AF84" s="48" t="s">
        <v>151</v>
      </c>
      <c r="AG84" s="48" t="s">
        <v>376</v>
      </c>
      <c r="AH84" s="48"/>
      <c r="AI84" s="48"/>
      <c r="AJ84" s="50">
        <v>42400</v>
      </c>
      <c r="AK84" s="50">
        <v>42400</v>
      </c>
      <c r="AL84" s="51">
        <f t="shared" si="45"/>
        <v>9.7561643835616429</v>
      </c>
      <c r="AM84" s="52">
        <v>8</v>
      </c>
      <c r="AN84" s="48" t="s">
        <v>220</v>
      </c>
      <c r="AO84" s="30" t="s">
        <v>133</v>
      </c>
      <c r="AP84" s="30" t="s">
        <v>134</v>
      </c>
      <c r="AQ84" s="30"/>
      <c r="AR84" s="30"/>
      <c r="AS84" s="30"/>
      <c r="AT84" s="30" t="e">
        <v>#N/A</v>
      </c>
      <c r="AU84" s="53">
        <v>63492292</v>
      </c>
      <c r="AV84" s="54"/>
      <c r="AW84" s="54"/>
      <c r="AX84" s="54">
        <v>63492292</v>
      </c>
      <c r="AY84" s="54"/>
      <c r="AZ84" s="54"/>
      <c r="BA84" s="54">
        <v>1000</v>
      </c>
      <c r="BB84" s="55">
        <v>1000</v>
      </c>
      <c r="BC84" s="52">
        <v>96</v>
      </c>
      <c r="BD84" s="52">
        <v>119</v>
      </c>
      <c r="BE84" s="52">
        <v>0</v>
      </c>
      <c r="BF84" s="30"/>
      <c r="BG84" s="30" t="s">
        <v>135</v>
      </c>
      <c r="BH84" s="30" t="s">
        <v>136</v>
      </c>
      <c r="BI84" s="30" t="str">
        <f t="shared" si="56"/>
        <v>Test</v>
      </c>
      <c r="BJ84" s="47" t="s">
        <v>137</v>
      </c>
      <c r="BK84" s="56">
        <f t="shared" si="57"/>
        <v>1269845.8400000001</v>
      </c>
      <c r="BL84" s="57">
        <f t="shared" si="58"/>
        <v>121052.77580779092</v>
      </c>
      <c r="BM84" s="57">
        <f t="shared" si="46"/>
        <v>40350.925269263644</v>
      </c>
      <c r="BU84" s="58">
        <f t="shared" si="47"/>
        <v>121052.77580779092</v>
      </c>
      <c r="BV84" s="58">
        <f t="shared" si="48"/>
        <v>121052.77580779092</v>
      </c>
      <c r="BW84" s="58">
        <f t="shared" si="62"/>
        <v>242105.55161558185</v>
      </c>
      <c r="BX84" s="58">
        <f t="shared" si="49"/>
        <v>121052.77580779092</v>
      </c>
      <c r="BY84" s="58">
        <f t="shared" si="41"/>
        <v>121052.77580779092</v>
      </c>
      <c r="BZ84" s="58">
        <f t="shared" si="41"/>
        <v>121052.77580779092</v>
      </c>
      <c r="CA84" s="58">
        <f t="shared" si="41"/>
        <v>121052.77580779092</v>
      </c>
      <c r="CB84" s="58">
        <f t="shared" si="50"/>
        <v>484211.1032311637</v>
      </c>
      <c r="CC84" s="58">
        <f t="shared" si="51"/>
        <v>121052.77580779092</v>
      </c>
      <c r="CD84" s="58">
        <f t="shared" si="42"/>
        <v>121052.77580779092</v>
      </c>
      <c r="CE84" s="58">
        <f t="shared" si="42"/>
        <v>121052.77580779092</v>
      </c>
      <c r="CF84" s="58">
        <f t="shared" si="42"/>
        <v>121052.77580779092</v>
      </c>
      <c r="CG84" s="58">
        <f t="shared" si="52"/>
        <v>484211.1032311637</v>
      </c>
      <c r="CH84" s="58">
        <f t="shared" si="53"/>
        <v>121052.77580779092</v>
      </c>
      <c r="CI84" s="58">
        <f t="shared" si="54"/>
        <v>121052.77580779092</v>
      </c>
      <c r="CJ84" s="58">
        <f t="shared" si="54"/>
        <v>121052.77580779092</v>
      </c>
      <c r="CK84" s="58">
        <f t="shared" si="54"/>
        <v>121052.77580779092</v>
      </c>
      <c r="CL84" s="58">
        <f t="shared" si="55"/>
        <v>484211.1032311637</v>
      </c>
      <c r="CN84" s="59">
        <f t="shared" si="63"/>
        <v>1.2399252313568141E-4</v>
      </c>
      <c r="CO84" s="64">
        <f t="shared" si="64"/>
        <v>2603842.9858493097</v>
      </c>
      <c r="CP84" s="2">
        <f t="shared" si="59"/>
        <v>3873688.8258493096</v>
      </c>
    </row>
    <row r="85" spans="1:94" ht="16.5" hidden="1" x14ac:dyDescent="0.3">
      <c r="A85" s="2">
        <v>80</v>
      </c>
      <c r="B85" s="47" t="s">
        <v>21</v>
      </c>
      <c r="C85" s="47"/>
      <c r="D85" s="30" t="s">
        <v>114</v>
      </c>
      <c r="E85" s="30" t="s">
        <v>115</v>
      </c>
      <c r="F85" s="30" t="s">
        <v>116</v>
      </c>
      <c r="G85" s="48" t="s">
        <v>117</v>
      </c>
      <c r="H85" s="48" t="s">
        <v>118</v>
      </c>
      <c r="I85" s="30" t="s">
        <v>119</v>
      </c>
      <c r="J85" s="30" t="s">
        <v>120</v>
      </c>
      <c r="K85" s="30" t="s">
        <v>121</v>
      </c>
      <c r="L85" s="30" t="s">
        <v>122</v>
      </c>
      <c r="M85" s="73">
        <v>2100443</v>
      </c>
      <c r="N85" s="48" t="s">
        <v>369</v>
      </c>
      <c r="O85" s="48" t="s">
        <v>380</v>
      </c>
      <c r="P85" s="30" t="s">
        <v>371</v>
      </c>
      <c r="Q85" s="48" t="s">
        <v>372</v>
      </c>
      <c r="R85" s="30"/>
      <c r="S85" s="61" t="s">
        <v>373</v>
      </c>
      <c r="T85" s="30"/>
      <c r="U85" s="48"/>
      <c r="V85" s="48" t="s">
        <v>145</v>
      </c>
      <c r="W85" s="48" t="s">
        <v>146</v>
      </c>
      <c r="X85" s="48" t="s">
        <v>127</v>
      </c>
      <c r="Y85" s="48" t="s">
        <v>128</v>
      </c>
      <c r="Z85" s="48" t="s">
        <v>128</v>
      </c>
      <c r="AA85" s="20" t="s">
        <v>129</v>
      </c>
      <c r="AB85" s="48" t="s">
        <v>375</v>
      </c>
      <c r="AC85" s="48" t="s">
        <v>150</v>
      </c>
      <c r="AD85" s="48"/>
      <c r="AE85" s="48"/>
      <c r="AF85" s="48" t="s">
        <v>151</v>
      </c>
      <c r="AG85" s="48" t="s">
        <v>376</v>
      </c>
      <c r="AH85" s="48"/>
      <c r="AI85" s="48"/>
      <c r="AJ85" s="50">
        <v>42551</v>
      </c>
      <c r="AK85" s="50">
        <v>42551</v>
      </c>
      <c r="AL85" s="51">
        <f t="shared" si="45"/>
        <v>9.3424657534246567</v>
      </c>
      <c r="AM85" s="52">
        <v>8</v>
      </c>
      <c r="AN85" s="48" t="s">
        <v>220</v>
      </c>
      <c r="AO85" s="30" t="s">
        <v>133</v>
      </c>
      <c r="AP85" s="30" t="s">
        <v>134</v>
      </c>
      <c r="AQ85" s="30"/>
      <c r="AR85" s="30"/>
      <c r="AS85" s="30"/>
      <c r="AT85" s="30" t="e">
        <v>#N/A</v>
      </c>
      <c r="AU85" s="53">
        <v>53860034</v>
      </c>
      <c r="AV85" s="54"/>
      <c r="AW85" s="54"/>
      <c r="AX85" s="54">
        <v>53860034</v>
      </c>
      <c r="AY85" s="54"/>
      <c r="AZ85" s="54"/>
      <c r="BA85" s="54">
        <v>1000</v>
      </c>
      <c r="BB85" s="55">
        <v>1000</v>
      </c>
      <c r="BC85" s="52">
        <v>96</v>
      </c>
      <c r="BD85" s="52">
        <v>114</v>
      </c>
      <c r="BE85" s="52">
        <v>0</v>
      </c>
      <c r="BF85" s="30"/>
      <c r="BG85" s="30" t="s">
        <v>135</v>
      </c>
      <c r="BH85" s="30" t="s">
        <v>136</v>
      </c>
      <c r="BI85" s="30" t="str">
        <f t="shared" si="56"/>
        <v>Test</v>
      </c>
      <c r="BJ85" s="47" t="s">
        <v>137</v>
      </c>
      <c r="BK85" s="56">
        <f t="shared" si="57"/>
        <v>1077200.68</v>
      </c>
      <c r="BL85" s="57">
        <f t="shared" si="58"/>
        <v>102688.15970294466</v>
      </c>
      <c r="BM85" s="57">
        <f t="shared" si="46"/>
        <v>34229.386567648216</v>
      </c>
      <c r="BU85" s="58">
        <f t="shared" si="47"/>
        <v>102688.15970294466</v>
      </c>
      <c r="BV85" s="58">
        <f t="shared" si="48"/>
        <v>102688.15970294466</v>
      </c>
      <c r="BW85" s="58">
        <f t="shared" si="62"/>
        <v>205376.31940588931</v>
      </c>
      <c r="BX85" s="58">
        <f t="shared" si="49"/>
        <v>102688.15970294466</v>
      </c>
      <c r="BY85" s="58">
        <f t="shared" si="41"/>
        <v>102688.15970294466</v>
      </c>
      <c r="BZ85" s="58">
        <f t="shared" si="41"/>
        <v>102688.15970294466</v>
      </c>
      <c r="CA85" s="58">
        <f t="shared" si="41"/>
        <v>102688.15970294466</v>
      </c>
      <c r="CB85" s="58">
        <f t="shared" si="50"/>
        <v>410752.63881177863</v>
      </c>
      <c r="CC85" s="58">
        <f t="shared" si="51"/>
        <v>102688.15970294466</v>
      </c>
      <c r="CD85" s="58">
        <f t="shared" si="42"/>
        <v>102688.15970294466</v>
      </c>
      <c r="CE85" s="58">
        <f t="shared" si="42"/>
        <v>102688.15970294466</v>
      </c>
      <c r="CF85" s="58">
        <f t="shared" si="42"/>
        <v>102688.15970294466</v>
      </c>
      <c r="CG85" s="58">
        <f t="shared" si="52"/>
        <v>410752.63881177863</v>
      </c>
      <c r="CH85" s="58">
        <f t="shared" si="53"/>
        <v>102688.15970294466</v>
      </c>
      <c r="CI85" s="58">
        <f t="shared" si="54"/>
        <v>102688.15970294466</v>
      </c>
      <c r="CJ85" s="58">
        <f t="shared" si="54"/>
        <v>102688.15970294466</v>
      </c>
      <c r="CK85" s="58">
        <f t="shared" si="54"/>
        <v>102688.15970294466</v>
      </c>
      <c r="CL85" s="58">
        <f t="shared" si="55"/>
        <v>410752.63881177863</v>
      </c>
      <c r="CN85" s="59">
        <f t="shared" si="63"/>
        <v>1.0518192526162996E-4</v>
      </c>
      <c r="CO85" s="64">
        <f t="shared" si="64"/>
        <v>2208820.4304942293</v>
      </c>
      <c r="CP85" s="2">
        <f t="shared" si="59"/>
        <v>3286021.110494229</v>
      </c>
    </row>
    <row r="86" spans="1:94" ht="16.5" hidden="1" x14ac:dyDescent="0.3">
      <c r="A86" s="2">
        <v>81</v>
      </c>
      <c r="B86" s="47" t="s">
        <v>21</v>
      </c>
      <c r="C86" s="47"/>
      <c r="D86" s="30" t="s">
        <v>114</v>
      </c>
      <c r="E86" s="30" t="s">
        <v>115</v>
      </c>
      <c r="F86" s="30" t="s">
        <v>116</v>
      </c>
      <c r="G86" s="48" t="s">
        <v>117</v>
      </c>
      <c r="H86" s="48" t="s">
        <v>118</v>
      </c>
      <c r="I86" s="30" t="s">
        <v>119</v>
      </c>
      <c r="J86" s="30" t="s">
        <v>120</v>
      </c>
      <c r="K86" s="30" t="s">
        <v>121</v>
      </c>
      <c r="L86" s="30" t="s">
        <v>122</v>
      </c>
      <c r="M86" s="73">
        <v>2100446</v>
      </c>
      <c r="N86" s="48" t="s">
        <v>369</v>
      </c>
      <c r="O86" s="48" t="s">
        <v>381</v>
      </c>
      <c r="P86" s="30" t="s">
        <v>371</v>
      </c>
      <c r="Q86" s="48" t="s">
        <v>372</v>
      </c>
      <c r="R86" s="30"/>
      <c r="S86" s="61" t="s">
        <v>373</v>
      </c>
      <c r="T86" s="30"/>
      <c r="U86" s="48"/>
      <c r="V86" s="48"/>
      <c r="W86" s="48" t="s">
        <v>382</v>
      </c>
      <c r="X86" s="48" t="s">
        <v>127</v>
      </c>
      <c r="Y86" s="48" t="s">
        <v>128</v>
      </c>
      <c r="Z86" s="48" t="s">
        <v>128</v>
      </c>
      <c r="AA86" s="20" t="s">
        <v>129</v>
      </c>
      <c r="AB86" s="48" t="s">
        <v>375</v>
      </c>
      <c r="AC86" s="48" t="s">
        <v>150</v>
      </c>
      <c r="AD86" s="48"/>
      <c r="AE86" s="48"/>
      <c r="AF86" s="48" t="s">
        <v>151</v>
      </c>
      <c r="AG86" s="48" t="s">
        <v>376</v>
      </c>
      <c r="AH86" s="48"/>
      <c r="AI86" s="48"/>
      <c r="AJ86" s="50">
        <v>42794</v>
      </c>
      <c r="AK86" s="50">
        <v>42794</v>
      </c>
      <c r="AL86" s="51">
        <f t="shared" si="45"/>
        <v>8.6767123287671239</v>
      </c>
      <c r="AM86" s="52">
        <v>8</v>
      </c>
      <c r="AN86" s="48" t="s">
        <v>132</v>
      </c>
      <c r="AO86" s="30" t="s">
        <v>133</v>
      </c>
      <c r="AP86" s="30" t="s">
        <v>134</v>
      </c>
      <c r="AQ86" s="30"/>
      <c r="AR86" s="30"/>
      <c r="AS86" s="30"/>
      <c r="AT86" s="30" t="e">
        <v>#N/A</v>
      </c>
      <c r="AU86" s="53">
        <v>71440000</v>
      </c>
      <c r="AV86" s="54"/>
      <c r="AW86" s="54"/>
      <c r="AX86" s="54">
        <v>71440000</v>
      </c>
      <c r="AY86" s="54"/>
      <c r="AZ86" s="54"/>
      <c r="BA86" s="54">
        <v>1000</v>
      </c>
      <c r="BB86" s="55">
        <v>1000</v>
      </c>
      <c r="BC86" s="52">
        <v>96</v>
      </c>
      <c r="BD86" s="52">
        <v>106</v>
      </c>
      <c r="BE86" s="52">
        <v>0</v>
      </c>
      <c r="BF86" s="30"/>
      <c r="BG86" s="30" t="s">
        <v>135</v>
      </c>
      <c r="BH86" s="30" t="s">
        <v>136</v>
      </c>
      <c r="BI86" s="30" t="str">
        <f t="shared" si="56"/>
        <v>Test</v>
      </c>
      <c r="BJ86" s="47" t="s">
        <v>137</v>
      </c>
      <c r="BK86" s="56">
        <f t="shared" si="57"/>
        <v>1428800</v>
      </c>
      <c r="BL86" s="57">
        <f t="shared" si="58"/>
        <v>136205.67207919637</v>
      </c>
      <c r="BM86" s="57">
        <f t="shared" si="46"/>
        <v>45401.890693065456</v>
      </c>
      <c r="BU86" s="58">
        <f t="shared" si="47"/>
        <v>136205.67207919637</v>
      </c>
      <c r="BV86" s="58">
        <f t="shared" si="48"/>
        <v>136205.67207919637</v>
      </c>
      <c r="BW86" s="58">
        <f t="shared" si="62"/>
        <v>272411.34415839275</v>
      </c>
      <c r="BX86" s="58">
        <f t="shared" si="49"/>
        <v>136205.67207919637</v>
      </c>
      <c r="BY86" s="58">
        <f t="shared" ref="BY86:CA105" si="65">BX86</f>
        <v>136205.67207919637</v>
      </c>
      <c r="BZ86" s="58">
        <f t="shared" si="65"/>
        <v>136205.67207919637</v>
      </c>
      <c r="CA86" s="58">
        <f t="shared" si="65"/>
        <v>136205.67207919637</v>
      </c>
      <c r="CB86" s="58">
        <f t="shared" si="50"/>
        <v>544822.6883167855</v>
      </c>
      <c r="CC86" s="58">
        <f t="shared" si="51"/>
        <v>136205.67207919637</v>
      </c>
      <c r="CD86" s="58">
        <f t="shared" ref="CD86:CF105" si="66">CC86</f>
        <v>136205.67207919637</v>
      </c>
      <c r="CE86" s="58">
        <f t="shared" si="66"/>
        <v>136205.67207919637</v>
      </c>
      <c r="CF86" s="58">
        <f t="shared" si="66"/>
        <v>136205.67207919637</v>
      </c>
      <c r="CG86" s="58">
        <f t="shared" si="52"/>
        <v>544822.6883167855</v>
      </c>
      <c r="CH86" s="58">
        <f t="shared" si="53"/>
        <v>136205.67207919637</v>
      </c>
      <c r="CI86" s="58">
        <f t="shared" si="54"/>
        <v>136205.67207919637</v>
      </c>
      <c r="CJ86" s="58">
        <f t="shared" si="54"/>
        <v>136205.67207919637</v>
      </c>
      <c r="CK86" s="58">
        <f t="shared" si="54"/>
        <v>136205.67207919637</v>
      </c>
      <c r="CL86" s="58">
        <f t="shared" si="55"/>
        <v>544822.6883167855</v>
      </c>
      <c r="CN86" s="59">
        <f t="shared" si="63"/>
        <v>1.3951340507306113E-4</v>
      </c>
      <c r="CO86" s="64">
        <f t="shared" si="64"/>
        <v>2929781.5065342835</v>
      </c>
      <c r="CP86" s="2">
        <f t="shared" si="59"/>
        <v>4358581.506534284</v>
      </c>
    </row>
    <row r="87" spans="1:94" ht="16.5" hidden="1" x14ac:dyDescent="0.3">
      <c r="A87" s="2">
        <v>82</v>
      </c>
      <c r="B87" s="47" t="s">
        <v>21</v>
      </c>
      <c r="C87" s="47"/>
      <c r="D87" s="30" t="s">
        <v>114</v>
      </c>
      <c r="E87" s="30" t="s">
        <v>115</v>
      </c>
      <c r="F87" s="30" t="s">
        <v>116</v>
      </c>
      <c r="G87" s="48" t="s">
        <v>117</v>
      </c>
      <c r="H87" s="48" t="s">
        <v>118</v>
      </c>
      <c r="I87" s="30" t="s">
        <v>119</v>
      </c>
      <c r="J87" s="30" t="s">
        <v>120</v>
      </c>
      <c r="K87" s="30" t="s">
        <v>121</v>
      </c>
      <c r="L87" s="30" t="s">
        <v>122</v>
      </c>
      <c r="M87" s="73">
        <v>2100447</v>
      </c>
      <c r="N87" s="48" t="s">
        <v>369</v>
      </c>
      <c r="O87" s="48" t="s">
        <v>383</v>
      </c>
      <c r="P87" s="30" t="s">
        <v>371</v>
      </c>
      <c r="Q87" s="48" t="s">
        <v>372</v>
      </c>
      <c r="R87" s="30"/>
      <c r="S87" s="61" t="s">
        <v>373</v>
      </c>
      <c r="T87" s="30"/>
      <c r="U87" s="48"/>
      <c r="V87" s="48"/>
      <c r="W87" s="48" t="s">
        <v>382</v>
      </c>
      <c r="X87" s="48" t="s">
        <v>127</v>
      </c>
      <c r="Y87" s="48" t="s">
        <v>128</v>
      </c>
      <c r="Z87" s="48" t="s">
        <v>128</v>
      </c>
      <c r="AA87" s="20" t="s">
        <v>129</v>
      </c>
      <c r="AB87" s="48" t="s">
        <v>375</v>
      </c>
      <c r="AC87" s="48" t="s">
        <v>150</v>
      </c>
      <c r="AD87" s="48"/>
      <c r="AE87" s="48"/>
      <c r="AF87" s="48" t="s">
        <v>151</v>
      </c>
      <c r="AG87" s="48" t="s">
        <v>376</v>
      </c>
      <c r="AH87" s="48"/>
      <c r="AI87" s="48"/>
      <c r="AJ87" s="50">
        <v>42794</v>
      </c>
      <c r="AK87" s="50">
        <v>42794</v>
      </c>
      <c r="AL87" s="51">
        <f t="shared" si="45"/>
        <v>8.6767123287671239</v>
      </c>
      <c r="AM87" s="52">
        <v>8</v>
      </c>
      <c r="AN87" s="48" t="s">
        <v>132</v>
      </c>
      <c r="AO87" s="30" t="s">
        <v>133</v>
      </c>
      <c r="AP87" s="30" t="s">
        <v>134</v>
      </c>
      <c r="AQ87" s="30"/>
      <c r="AR87" s="30"/>
      <c r="AS87" s="30"/>
      <c r="AT87" s="30" t="e">
        <v>#N/A</v>
      </c>
      <c r="AU87" s="53">
        <v>36000000</v>
      </c>
      <c r="AV87" s="54"/>
      <c r="AW87" s="54"/>
      <c r="AX87" s="54">
        <v>36000000</v>
      </c>
      <c r="AY87" s="54"/>
      <c r="AZ87" s="54"/>
      <c r="BA87" s="54">
        <v>1000</v>
      </c>
      <c r="BB87" s="55">
        <v>1000</v>
      </c>
      <c r="BC87" s="52">
        <v>96</v>
      </c>
      <c r="BD87" s="52">
        <v>106</v>
      </c>
      <c r="BE87" s="52">
        <v>0</v>
      </c>
      <c r="BF87" s="30"/>
      <c r="BG87" s="30" t="s">
        <v>135</v>
      </c>
      <c r="BH87" s="30" t="s">
        <v>136</v>
      </c>
      <c r="BI87" s="30" t="str">
        <f t="shared" si="56"/>
        <v>Test</v>
      </c>
      <c r="BJ87" s="47" t="s">
        <v>137</v>
      </c>
      <c r="BK87" s="56">
        <f t="shared" si="57"/>
        <v>720000</v>
      </c>
      <c r="BL87" s="57">
        <f t="shared" si="58"/>
        <v>68636.676859617437</v>
      </c>
      <c r="BM87" s="57">
        <f t="shared" si="46"/>
        <v>22878.892286539147</v>
      </c>
      <c r="BU87" s="58">
        <f t="shared" si="47"/>
        <v>68636.676859617437</v>
      </c>
      <c r="BV87" s="58">
        <f t="shared" si="48"/>
        <v>68636.676859617437</v>
      </c>
      <c r="BW87" s="58">
        <f t="shared" si="62"/>
        <v>137273.35371923487</v>
      </c>
      <c r="BX87" s="58">
        <f t="shared" si="49"/>
        <v>68636.676859617437</v>
      </c>
      <c r="BY87" s="58">
        <f t="shared" si="65"/>
        <v>68636.676859617437</v>
      </c>
      <c r="BZ87" s="58">
        <f t="shared" si="65"/>
        <v>68636.676859617437</v>
      </c>
      <c r="CA87" s="58">
        <f t="shared" si="65"/>
        <v>68636.676859617437</v>
      </c>
      <c r="CB87" s="58">
        <f t="shared" si="50"/>
        <v>274546.70743846975</v>
      </c>
      <c r="CC87" s="58">
        <f t="shared" si="51"/>
        <v>68636.676859617437</v>
      </c>
      <c r="CD87" s="58">
        <f t="shared" si="66"/>
        <v>68636.676859617437</v>
      </c>
      <c r="CE87" s="58">
        <f t="shared" si="66"/>
        <v>68636.676859617437</v>
      </c>
      <c r="CF87" s="58">
        <f t="shared" si="66"/>
        <v>68636.676859617437</v>
      </c>
      <c r="CG87" s="58">
        <f t="shared" si="52"/>
        <v>274546.70743846975</v>
      </c>
      <c r="CH87" s="58">
        <f t="shared" si="53"/>
        <v>68636.676859617437</v>
      </c>
      <c r="CI87" s="58">
        <f t="shared" si="54"/>
        <v>68636.676859617437</v>
      </c>
      <c r="CJ87" s="58">
        <f t="shared" si="54"/>
        <v>68636.676859617437</v>
      </c>
      <c r="CK87" s="58">
        <f t="shared" si="54"/>
        <v>68636.676859617437</v>
      </c>
      <c r="CL87" s="58">
        <f t="shared" si="55"/>
        <v>274546.70743846975</v>
      </c>
      <c r="CN87" s="59">
        <f t="shared" si="63"/>
        <v>7.0303507595607508E-5</v>
      </c>
      <c r="CO87" s="64">
        <f t="shared" si="64"/>
        <v>1476373.6595077578</v>
      </c>
      <c r="CP87" s="2">
        <f t="shared" si="59"/>
        <v>2196373.659507758</v>
      </c>
    </row>
    <row r="88" spans="1:94" ht="16.5" hidden="1" x14ac:dyDescent="0.3">
      <c r="A88" s="2">
        <v>83</v>
      </c>
      <c r="B88" s="47" t="s">
        <v>21</v>
      </c>
      <c r="C88" s="47"/>
      <c r="D88" s="30" t="s">
        <v>114</v>
      </c>
      <c r="E88" s="30" t="s">
        <v>115</v>
      </c>
      <c r="F88" s="30" t="s">
        <v>116</v>
      </c>
      <c r="G88" s="48" t="s">
        <v>117</v>
      </c>
      <c r="H88" s="48" t="s">
        <v>118</v>
      </c>
      <c r="I88" s="30" t="s">
        <v>119</v>
      </c>
      <c r="J88" s="30" t="s">
        <v>120</v>
      </c>
      <c r="K88" s="30" t="s">
        <v>121</v>
      </c>
      <c r="L88" s="30" t="s">
        <v>122</v>
      </c>
      <c r="M88" s="73">
        <v>2100449</v>
      </c>
      <c r="N88" s="48" t="s">
        <v>369</v>
      </c>
      <c r="O88" s="48" t="s">
        <v>384</v>
      </c>
      <c r="P88" s="30" t="s">
        <v>371</v>
      </c>
      <c r="Q88" s="48" t="s">
        <v>372</v>
      </c>
      <c r="R88" s="30"/>
      <c r="S88" s="61" t="s">
        <v>373</v>
      </c>
      <c r="T88" s="30"/>
      <c r="U88" s="48"/>
      <c r="V88" s="48" t="s">
        <v>145</v>
      </c>
      <c r="W88" s="48" t="s">
        <v>146</v>
      </c>
      <c r="X88" s="48" t="s">
        <v>127</v>
      </c>
      <c r="Y88" s="48" t="s">
        <v>128</v>
      </c>
      <c r="Z88" s="48" t="s">
        <v>128</v>
      </c>
      <c r="AA88" s="20" t="s">
        <v>129</v>
      </c>
      <c r="AB88" s="48" t="s">
        <v>375</v>
      </c>
      <c r="AC88" s="48" t="s">
        <v>150</v>
      </c>
      <c r="AD88" s="48"/>
      <c r="AE88" s="48"/>
      <c r="AF88" s="48" t="s">
        <v>151</v>
      </c>
      <c r="AG88" s="48" t="s">
        <v>376</v>
      </c>
      <c r="AH88" s="48"/>
      <c r="AI88" s="48"/>
      <c r="AJ88" s="50">
        <v>42794</v>
      </c>
      <c r="AK88" s="50">
        <v>42794</v>
      </c>
      <c r="AL88" s="51">
        <f t="shared" si="45"/>
        <v>8.6767123287671239</v>
      </c>
      <c r="AM88" s="52">
        <v>8</v>
      </c>
      <c r="AN88" s="48" t="s">
        <v>132</v>
      </c>
      <c r="AO88" s="30" t="s">
        <v>133</v>
      </c>
      <c r="AP88" s="30" t="s">
        <v>134</v>
      </c>
      <c r="AQ88" s="30"/>
      <c r="AR88" s="30"/>
      <c r="AS88" s="30"/>
      <c r="AT88" s="30" t="e">
        <v>#N/A</v>
      </c>
      <c r="AU88" s="53">
        <v>93561914</v>
      </c>
      <c r="AV88" s="54"/>
      <c r="AW88" s="54"/>
      <c r="AX88" s="54">
        <v>93561914</v>
      </c>
      <c r="AY88" s="54"/>
      <c r="AZ88" s="54"/>
      <c r="BA88" s="54">
        <v>1000</v>
      </c>
      <c r="BB88" s="55">
        <v>1000</v>
      </c>
      <c r="BC88" s="52">
        <v>96</v>
      </c>
      <c r="BD88" s="52">
        <v>106</v>
      </c>
      <c r="BE88" s="52">
        <v>0</v>
      </c>
      <c r="BF88" s="30"/>
      <c r="BG88" s="30" t="s">
        <v>135</v>
      </c>
      <c r="BH88" s="30" t="s">
        <v>136</v>
      </c>
      <c r="BI88" s="30" t="str">
        <f t="shared" si="56"/>
        <v>Test</v>
      </c>
      <c r="BJ88" s="47" t="s">
        <v>137</v>
      </c>
      <c r="BK88" s="56">
        <f t="shared" si="57"/>
        <v>1871238.28</v>
      </c>
      <c r="BL88" s="57">
        <f t="shared" si="58"/>
        <v>178382.74604403655</v>
      </c>
      <c r="BM88" s="57">
        <f t="shared" si="46"/>
        <v>59460.915348012182</v>
      </c>
      <c r="BU88" s="58">
        <f t="shared" si="47"/>
        <v>178382.74604403655</v>
      </c>
      <c r="BV88" s="58">
        <f t="shared" si="48"/>
        <v>178382.74604403655</v>
      </c>
      <c r="BW88" s="58">
        <f t="shared" si="62"/>
        <v>356765.49208807311</v>
      </c>
      <c r="BX88" s="58">
        <f t="shared" si="49"/>
        <v>178382.74604403655</v>
      </c>
      <c r="BY88" s="58">
        <f t="shared" si="65"/>
        <v>178382.74604403655</v>
      </c>
      <c r="BZ88" s="58">
        <f t="shared" si="65"/>
        <v>178382.74604403655</v>
      </c>
      <c r="CA88" s="58">
        <f t="shared" si="65"/>
        <v>178382.74604403655</v>
      </c>
      <c r="CB88" s="58">
        <f t="shared" si="50"/>
        <v>713530.98417614622</v>
      </c>
      <c r="CC88" s="58">
        <f t="shared" si="51"/>
        <v>178382.74604403655</v>
      </c>
      <c r="CD88" s="58">
        <f t="shared" si="66"/>
        <v>178382.74604403655</v>
      </c>
      <c r="CE88" s="58">
        <f t="shared" si="66"/>
        <v>178382.74604403655</v>
      </c>
      <c r="CF88" s="58">
        <f t="shared" si="66"/>
        <v>178382.74604403655</v>
      </c>
      <c r="CG88" s="58">
        <f t="shared" si="52"/>
        <v>713530.98417614622</v>
      </c>
      <c r="CH88" s="58">
        <f t="shared" si="53"/>
        <v>178382.74604403655</v>
      </c>
      <c r="CI88" s="58">
        <f t="shared" si="54"/>
        <v>178382.74604403655</v>
      </c>
      <c r="CJ88" s="58">
        <f t="shared" si="54"/>
        <v>178382.74604403655</v>
      </c>
      <c r="CK88" s="58">
        <f t="shared" si="54"/>
        <v>178382.74604403655</v>
      </c>
      <c r="CL88" s="58">
        <f t="shared" si="55"/>
        <v>713530.98417614622</v>
      </c>
      <c r="CN88" s="59">
        <f t="shared" si="63"/>
        <v>1.8271474254329381E-4</v>
      </c>
      <c r="CO88" s="64">
        <f t="shared" si="64"/>
        <v>3837009.5934091699</v>
      </c>
      <c r="CP88" s="2">
        <f t="shared" si="59"/>
        <v>5708247.8734091697</v>
      </c>
    </row>
    <row r="89" spans="1:94" ht="16.5" hidden="1" x14ac:dyDescent="0.3">
      <c r="A89" s="2">
        <v>84</v>
      </c>
      <c r="B89" s="47" t="s">
        <v>21</v>
      </c>
      <c r="C89" s="47"/>
      <c r="D89" s="30" t="s">
        <v>114</v>
      </c>
      <c r="E89" s="30" t="s">
        <v>115</v>
      </c>
      <c r="F89" s="30" t="s">
        <v>116</v>
      </c>
      <c r="G89" s="62" t="s">
        <v>117</v>
      </c>
      <c r="H89" s="62" t="s">
        <v>385</v>
      </c>
      <c r="I89" s="30" t="s">
        <v>119</v>
      </c>
      <c r="J89" s="30" t="s">
        <v>120</v>
      </c>
      <c r="K89" s="30" t="s">
        <v>121</v>
      </c>
      <c r="L89" s="30" t="s">
        <v>122</v>
      </c>
      <c r="M89" s="73">
        <v>2100490</v>
      </c>
      <c r="N89" s="48" t="s">
        <v>369</v>
      </c>
      <c r="O89" s="48" t="s">
        <v>386</v>
      </c>
      <c r="P89" s="30" t="s">
        <v>371</v>
      </c>
      <c r="Q89" s="48" t="s">
        <v>372</v>
      </c>
      <c r="R89" s="30"/>
      <c r="S89" s="61" t="s">
        <v>373</v>
      </c>
      <c r="T89" s="30"/>
      <c r="U89" s="48"/>
      <c r="V89" s="48"/>
      <c r="W89" s="48" t="s">
        <v>387</v>
      </c>
      <c r="X89" s="48" t="s">
        <v>127</v>
      </c>
      <c r="Y89" s="48" t="s">
        <v>128</v>
      </c>
      <c r="Z89" s="48" t="s">
        <v>128</v>
      </c>
      <c r="AA89" s="20" t="s">
        <v>129</v>
      </c>
      <c r="AB89" s="48" t="s">
        <v>375</v>
      </c>
      <c r="AC89" s="48" t="s">
        <v>150</v>
      </c>
      <c r="AD89" s="48"/>
      <c r="AE89" s="48"/>
      <c r="AF89" s="48" t="s">
        <v>151</v>
      </c>
      <c r="AG89" s="48" t="s">
        <v>376</v>
      </c>
      <c r="AH89" s="48"/>
      <c r="AI89" s="48"/>
      <c r="AJ89" s="50">
        <v>43130</v>
      </c>
      <c r="AK89" s="50">
        <v>43130</v>
      </c>
      <c r="AL89" s="51">
        <f t="shared" si="45"/>
        <v>7.7561643835616438</v>
      </c>
      <c r="AM89" s="52">
        <v>8</v>
      </c>
      <c r="AN89" s="48" t="s">
        <v>220</v>
      </c>
      <c r="AO89" s="30" t="s">
        <v>133</v>
      </c>
      <c r="AP89" s="30" t="s">
        <v>134</v>
      </c>
      <c r="AQ89" s="30"/>
      <c r="AR89" s="30"/>
      <c r="AS89" s="30"/>
      <c r="AT89" s="30" t="e">
        <v>#N/A</v>
      </c>
      <c r="AU89" s="53">
        <v>30000000</v>
      </c>
      <c r="AV89" s="54"/>
      <c r="AW89" s="54"/>
      <c r="AX89" s="54">
        <v>30000000</v>
      </c>
      <c r="AY89" s="54"/>
      <c r="AZ89" s="54"/>
      <c r="BA89" s="54">
        <v>625000</v>
      </c>
      <c r="BB89" s="55">
        <v>1000</v>
      </c>
      <c r="BC89" s="52">
        <v>96</v>
      </c>
      <c r="BD89" s="52">
        <v>95</v>
      </c>
      <c r="BE89" s="52">
        <v>0</v>
      </c>
      <c r="BF89" s="30"/>
      <c r="BG89" s="30" t="s">
        <v>135</v>
      </c>
      <c r="BH89" s="30" t="s">
        <v>136</v>
      </c>
      <c r="BI89" s="30" t="str">
        <f t="shared" si="56"/>
        <v>Test</v>
      </c>
      <c r="BJ89" s="47" t="s">
        <v>137</v>
      </c>
      <c r="BK89" s="56">
        <f t="shared" si="57"/>
        <v>656250</v>
      </c>
      <c r="BL89" s="57">
        <f t="shared" si="58"/>
        <v>62559.471096005473</v>
      </c>
      <c r="BM89" s="57">
        <f t="shared" si="46"/>
        <v>20853.157032001825</v>
      </c>
      <c r="BU89" s="58">
        <f t="shared" si="47"/>
        <v>62559.47109600548</v>
      </c>
      <c r="BV89" s="58">
        <f t="shared" si="48"/>
        <v>62559.47109600548</v>
      </c>
      <c r="BW89" s="58">
        <f t="shared" si="62"/>
        <v>125118.94219201096</v>
      </c>
      <c r="BX89" s="58">
        <f t="shared" si="49"/>
        <v>62559.47109600548</v>
      </c>
      <c r="BY89" s="58">
        <f t="shared" si="65"/>
        <v>62559.47109600548</v>
      </c>
      <c r="BZ89" s="58">
        <f t="shared" si="65"/>
        <v>62559.47109600548</v>
      </c>
      <c r="CA89" s="58">
        <f t="shared" si="65"/>
        <v>62559.47109600548</v>
      </c>
      <c r="CB89" s="58">
        <f t="shared" si="50"/>
        <v>250237.88438402192</v>
      </c>
      <c r="CC89" s="58">
        <f t="shared" si="51"/>
        <v>62559.47109600548</v>
      </c>
      <c r="CD89" s="58">
        <f t="shared" si="66"/>
        <v>62559.47109600548</v>
      </c>
      <c r="CE89" s="58">
        <f t="shared" si="66"/>
        <v>62559.47109600548</v>
      </c>
      <c r="CF89" s="58">
        <f t="shared" si="66"/>
        <v>62559.47109600548</v>
      </c>
      <c r="CG89" s="58">
        <f t="shared" si="52"/>
        <v>250237.88438402192</v>
      </c>
      <c r="CH89" s="58">
        <f t="shared" si="53"/>
        <v>62559.47109600548</v>
      </c>
      <c r="CI89" s="58">
        <f t="shared" si="54"/>
        <v>62559.47109600548</v>
      </c>
      <c r="CJ89" s="58">
        <f t="shared" si="54"/>
        <v>62559.47109600548</v>
      </c>
      <c r="CK89" s="58">
        <f t="shared" si="54"/>
        <v>62559.47109600548</v>
      </c>
      <c r="CL89" s="58">
        <f t="shared" si="55"/>
        <v>250237.88438402192</v>
      </c>
      <c r="CN89" s="59">
        <f t="shared" si="63"/>
        <v>6.4078717860579769E-5</v>
      </c>
      <c r="CO89" s="64">
        <f t="shared" si="64"/>
        <v>1345653.0750721751</v>
      </c>
      <c r="CP89" s="2">
        <f t="shared" si="59"/>
        <v>2001903.0750721751</v>
      </c>
    </row>
    <row r="90" spans="1:94" ht="16.5" hidden="1" x14ac:dyDescent="0.3">
      <c r="A90" s="2">
        <v>85</v>
      </c>
      <c r="B90" s="47" t="s">
        <v>21</v>
      </c>
      <c r="C90" s="47"/>
      <c r="D90" s="30" t="s">
        <v>114</v>
      </c>
      <c r="E90" s="30" t="s">
        <v>115</v>
      </c>
      <c r="F90" s="30" t="s">
        <v>116</v>
      </c>
      <c r="G90" s="48" t="s">
        <v>117</v>
      </c>
      <c r="H90" s="48" t="s">
        <v>118</v>
      </c>
      <c r="I90" s="30" t="s">
        <v>119</v>
      </c>
      <c r="J90" s="30" t="s">
        <v>120</v>
      </c>
      <c r="K90" s="30" t="s">
        <v>121</v>
      </c>
      <c r="L90" s="30" t="s">
        <v>122</v>
      </c>
      <c r="M90" s="73">
        <v>2100500</v>
      </c>
      <c r="N90" s="48" t="s">
        <v>369</v>
      </c>
      <c r="O90" s="48" t="s">
        <v>388</v>
      </c>
      <c r="P90" s="30" t="s">
        <v>371</v>
      </c>
      <c r="Q90" s="48" t="s">
        <v>372</v>
      </c>
      <c r="R90" s="30"/>
      <c r="S90" s="61" t="s">
        <v>373</v>
      </c>
      <c r="T90" s="30"/>
      <c r="U90" s="48"/>
      <c r="V90" s="48"/>
      <c r="W90" s="48" t="s">
        <v>382</v>
      </c>
      <c r="X90" s="48" t="s">
        <v>127</v>
      </c>
      <c r="Y90" s="48" t="s">
        <v>128</v>
      </c>
      <c r="Z90" s="48" t="s">
        <v>128</v>
      </c>
      <c r="AA90" s="20" t="s">
        <v>129</v>
      </c>
      <c r="AB90" s="48" t="s">
        <v>375</v>
      </c>
      <c r="AC90" s="48" t="s">
        <v>150</v>
      </c>
      <c r="AD90" s="48"/>
      <c r="AE90" s="48"/>
      <c r="AF90" s="48" t="s">
        <v>151</v>
      </c>
      <c r="AG90" s="48" t="s">
        <v>376</v>
      </c>
      <c r="AH90" s="48"/>
      <c r="AI90" s="48"/>
      <c r="AJ90" s="50">
        <v>43220</v>
      </c>
      <c r="AK90" s="50">
        <v>43220</v>
      </c>
      <c r="AL90" s="51">
        <f t="shared" si="45"/>
        <v>7.5095890410958903</v>
      </c>
      <c r="AM90" s="52">
        <v>8</v>
      </c>
      <c r="AN90" s="48" t="s">
        <v>220</v>
      </c>
      <c r="AO90" s="30" t="s">
        <v>133</v>
      </c>
      <c r="AP90" s="30" t="s">
        <v>134</v>
      </c>
      <c r="AQ90" s="30"/>
      <c r="AR90" s="30"/>
      <c r="AS90" s="30"/>
      <c r="AT90" s="30" t="e">
        <v>#N/A</v>
      </c>
      <c r="AU90" s="53">
        <v>38000000</v>
      </c>
      <c r="AV90" s="54"/>
      <c r="AW90" s="54"/>
      <c r="AX90" s="54">
        <v>38000000</v>
      </c>
      <c r="AY90" s="54"/>
      <c r="AZ90" s="54"/>
      <c r="BA90" s="54">
        <v>1900000</v>
      </c>
      <c r="BB90" s="55">
        <v>1000</v>
      </c>
      <c r="BC90" s="52">
        <v>96</v>
      </c>
      <c r="BD90" s="52">
        <v>92</v>
      </c>
      <c r="BE90" s="52">
        <v>3</v>
      </c>
      <c r="BF90" s="30"/>
      <c r="BG90" s="30" t="s">
        <v>135</v>
      </c>
      <c r="BH90" s="30" t="s">
        <v>136</v>
      </c>
      <c r="BI90" s="30" t="str">
        <f t="shared" si="56"/>
        <v>Test</v>
      </c>
      <c r="BJ90" s="47" t="s">
        <v>137</v>
      </c>
      <c r="BK90" s="56">
        <f t="shared" si="57"/>
        <v>1995000</v>
      </c>
      <c r="BL90" s="57">
        <f t="shared" si="58"/>
        <v>190180.79213185664</v>
      </c>
      <c r="BM90" s="57">
        <f t="shared" si="46"/>
        <v>63393.597377285543</v>
      </c>
      <c r="BU90" s="58">
        <f t="shared" si="47"/>
        <v>190180.79213185664</v>
      </c>
      <c r="BV90" s="58">
        <f t="shared" si="48"/>
        <v>190180.79213185664</v>
      </c>
      <c r="BW90" s="58">
        <f t="shared" si="62"/>
        <v>380361.58426371327</v>
      </c>
      <c r="BX90" s="58">
        <f t="shared" si="49"/>
        <v>190180.79213185664</v>
      </c>
      <c r="BY90" s="58">
        <f t="shared" si="65"/>
        <v>190180.79213185664</v>
      </c>
      <c r="BZ90" s="58">
        <f t="shared" si="65"/>
        <v>190180.79213185664</v>
      </c>
      <c r="CA90" s="58">
        <f t="shared" si="65"/>
        <v>190180.79213185664</v>
      </c>
      <c r="CB90" s="58">
        <f t="shared" si="50"/>
        <v>760723.16852742655</v>
      </c>
      <c r="CC90" s="58">
        <f t="shared" si="51"/>
        <v>190180.79213185664</v>
      </c>
      <c r="CD90" s="58">
        <f t="shared" si="66"/>
        <v>190180.79213185664</v>
      </c>
      <c r="CE90" s="58">
        <f t="shared" si="66"/>
        <v>190180.79213185664</v>
      </c>
      <c r="CF90" s="58">
        <f t="shared" si="66"/>
        <v>190180.79213185664</v>
      </c>
      <c r="CG90" s="58">
        <f t="shared" si="52"/>
        <v>760723.16852742655</v>
      </c>
      <c r="CH90" s="58">
        <f t="shared" si="53"/>
        <v>190180.79213185664</v>
      </c>
      <c r="CI90" s="58">
        <f t="shared" si="54"/>
        <v>190180.79213185664</v>
      </c>
      <c r="CJ90" s="58">
        <f t="shared" si="54"/>
        <v>190180.79213185664</v>
      </c>
      <c r="CK90" s="58">
        <f t="shared" si="54"/>
        <v>190180.79213185664</v>
      </c>
      <c r="CL90" s="58">
        <f t="shared" si="55"/>
        <v>760723.16852742655</v>
      </c>
      <c r="CN90" s="59">
        <f t="shared" si="63"/>
        <v>1.947993022961625E-4</v>
      </c>
      <c r="CO90" s="64">
        <f t="shared" si="64"/>
        <v>4090785.3482194124</v>
      </c>
      <c r="CP90" s="2">
        <f t="shared" si="59"/>
        <v>6085785.3482194124</v>
      </c>
    </row>
    <row r="91" spans="1:94" ht="16.5" hidden="1" x14ac:dyDescent="0.3">
      <c r="A91" s="2">
        <v>86</v>
      </c>
      <c r="B91" s="47" t="s">
        <v>21</v>
      </c>
      <c r="C91" s="47"/>
      <c r="D91" s="30" t="s">
        <v>114</v>
      </c>
      <c r="E91" s="30" t="s">
        <v>115</v>
      </c>
      <c r="F91" s="30" t="s">
        <v>116</v>
      </c>
      <c r="G91" s="62" t="s">
        <v>117</v>
      </c>
      <c r="H91" s="62" t="s">
        <v>385</v>
      </c>
      <c r="I91" s="30" t="s">
        <v>119</v>
      </c>
      <c r="J91" s="30" t="s">
        <v>120</v>
      </c>
      <c r="K91" s="30" t="s">
        <v>121</v>
      </c>
      <c r="L91" s="30" t="s">
        <v>122</v>
      </c>
      <c r="M91" s="73">
        <v>2100552</v>
      </c>
      <c r="N91" s="48" t="s">
        <v>369</v>
      </c>
      <c r="O91" s="48" t="s">
        <v>389</v>
      </c>
      <c r="P91" s="30" t="s">
        <v>371</v>
      </c>
      <c r="Q91" s="48" t="s">
        <v>372</v>
      </c>
      <c r="R91" s="30"/>
      <c r="S91" s="61" t="s">
        <v>373</v>
      </c>
      <c r="T91" s="30"/>
      <c r="U91" s="48"/>
      <c r="V91" s="48"/>
      <c r="W91" s="48" t="s">
        <v>382</v>
      </c>
      <c r="X91" s="48" t="s">
        <v>127</v>
      </c>
      <c r="Y91" s="48" t="s">
        <v>128</v>
      </c>
      <c r="Z91" s="48" t="s">
        <v>128</v>
      </c>
      <c r="AA91" s="20" t="s">
        <v>129</v>
      </c>
      <c r="AB91" s="48" t="s">
        <v>375</v>
      </c>
      <c r="AC91" s="48" t="s">
        <v>150</v>
      </c>
      <c r="AD91" s="48"/>
      <c r="AE91" s="48"/>
      <c r="AF91" s="48" t="s">
        <v>151</v>
      </c>
      <c r="AG91" s="48" t="s">
        <v>376</v>
      </c>
      <c r="AH91" s="48"/>
      <c r="AI91" s="48"/>
      <c r="AJ91" s="50">
        <v>43280</v>
      </c>
      <c r="AK91" s="50">
        <v>43280</v>
      </c>
      <c r="AL91" s="51">
        <f t="shared" si="45"/>
        <v>7.3452054794520549</v>
      </c>
      <c r="AM91" s="52">
        <v>8</v>
      </c>
      <c r="AN91" s="48" t="s">
        <v>220</v>
      </c>
      <c r="AO91" s="30" t="s">
        <v>133</v>
      </c>
      <c r="AP91" s="30" t="s">
        <v>134</v>
      </c>
      <c r="AQ91" s="30"/>
      <c r="AR91" s="30"/>
      <c r="AS91" s="30"/>
      <c r="AT91" s="30" t="e">
        <v>#N/A</v>
      </c>
      <c r="AU91" s="53">
        <v>9500000</v>
      </c>
      <c r="AV91" s="54"/>
      <c r="AW91" s="54"/>
      <c r="AX91" s="54">
        <v>9500000</v>
      </c>
      <c r="AY91" s="54"/>
      <c r="AZ91" s="54"/>
      <c r="BA91" s="54">
        <v>647727</v>
      </c>
      <c r="BB91" s="55">
        <v>40825</v>
      </c>
      <c r="BC91" s="52">
        <v>96</v>
      </c>
      <c r="BD91" s="52">
        <v>90</v>
      </c>
      <c r="BE91" s="52">
        <v>5</v>
      </c>
      <c r="BF91" s="30"/>
      <c r="BG91" s="30" t="s">
        <v>135</v>
      </c>
      <c r="BH91" s="30" t="s">
        <v>136</v>
      </c>
      <c r="BI91" s="30" t="str">
        <f t="shared" si="56"/>
        <v>Test</v>
      </c>
      <c r="BJ91" s="47" t="s">
        <v>137</v>
      </c>
      <c r="BK91" s="56">
        <f t="shared" si="57"/>
        <v>680113.35</v>
      </c>
      <c r="BL91" s="57">
        <f t="shared" si="58"/>
        <v>64834.333655363735</v>
      </c>
      <c r="BM91" s="57">
        <f t="shared" si="46"/>
        <v>21611.44455178791</v>
      </c>
      <c r="BU91" s="58">
        <f t="shared" si="47"/>
        <v>64834.333655363735</v>
      </c>
      <c r="BV91" s="58">
        <f t="shared" si="48"/>
        <v>64834.333655363735</v>
      </c>
      <c r="BW91" s="58">
        <f t="shared" si="62"/>
        <v>129668.66731072747</v>
      </c>
      <c r="BX91" s="58">
        <f t="shared" si="49"/>
        <v>64834.333655363735</v>
      </c>
      <c r="BY91" s="58">
        <f t="shared" si="65"/>
        <v>64834.333655363735</v>
      </c>
      <c r="BZ91" s="58">
        <f t="shared" si="65"/>
        <v>64834.333655363735</v>
      </c>
      <c r="CA91" s="58">
        <f t="shared" si="65"/>
        <v>64834.333655363735</v>
      </c>
      <c r="CB91" s="58">
        <f t="shared" si="50"/>
        <v>259337.33462145494</v>
      </c>
      <c r="CC91" s="58">
        <f t="shared" si="51"/>
        <v>64834.333655363735</v>
      </c>
      <c r="CD91" s="58">
        <f t="shared" si="66"/>
        <v>64834.333655363735</v>
      </c>
      <c r="CE91" s="58">
        <f t="shared" si="66"/>
        <v>64834.333655363735</v>
      </c>
      <c r="CF91" s="58">
        <f t="shared" si="66"/>
        <v>64834.333655363735</v>
      </c>
      <c r="CG91" s="58">
        <f t="shared" si="52"/>
        <v>259337.33462145494</v>
      </c>
      <c r="CH91" s="58">
        <f t="shared" si="53"/>
        <v>64834.333655363735</v>
      </c>
      <c r="CI91" s="58">
        <f t="shared" si="54"/>
        <v>64834.333655363735</v>
      </c>
      <c r="CJ91" s="58">
        <f t="shared" si="54"/>
        <v>64834.333655363735</v>
      </c>
      <c r="CK91" s="58">
        <f t="shared" si="54"/>
        <v>64834.333655363735</v>
      </c>
      <c r="CL91" s="58">
        <f t="shared" si="55"/>
        <v>259337.33462145494</v>
      </c>
      <c r="CN91" s="59">
        <f t="shared" si="63"/>
        <v>6.64088250938876E-5</v>
      </c>
      <c r="CO91" s="64">
        <f t="shared" si="64"/>
        <v>1394585.3269716396</v>
      </c>
      <c r="CP91" s="2">
        <f t="shared" si="59"/>
        <v>2074698.6769716395</v>
      </c>
    </row>
    <row r="92" spans="1:94" ht="16.5" hidden="1" x14ac:dyDescent="0.3">
      <c r="A92" s="2">
        <v>87</v>
      </c>
      <c r="B92" s="47" t="s">
        <v>21</v>
      </c>
      <c r="C92" s="47"/>
      <c r="D92" s="30" t="s">
        <v>114</v>
      </c>
      <c r="E92" s="30" t="s">
        <v>115</v>
      </c>
      <c r="F92" s="30" t="s">
        <v>116</v>
      </c>
      <c r="G92" s="62" t="s">
        <v>117</v>
      </c>
      <c r="H92" s="62" t="s">
        <v>385</v>
      </c>
      <c r="I92" s="30" t="s">
        <v>119</v>
      </c>
      <c r="J92" s="30" t="s">
        <v>120</v>
      </c>
      <c r="K92" s="30" t="s">
        <v>121</v>
      </c>
      <c r="L92" s="30" t="s">
        <v>122</v>
      </c>
      <c r="M92" s="73">
        <v>2100557</v>
      </c>
      <c r="N92" s="48" t="s">
        <v>369</v>
      </c>
      <c r="O92" s="48" t="s">
        <v>389</v>
      </c>
      <c r="P92" s="30" t="s">
        <v>371</v>
      </c>
      <c r="Q92" s="48" t="s">
        <v>372</v>
      </c>
      <c r="R92" s="30"/>
      <c r="S92" s="61" t="s">
        <v>373</v>
      </c>
      <c r="T92" s="30"/>
      <c r="U92" s="48"/>
      <c r="V92" s="48"/>
      <c r="W92" s="48" t="s">
        <v>382</v>
      </c>
      <c r="X92" s="48" t="s">
        <v>127</v>
      </c>
      <c r="Y92" s="48" t="s">
        <v>128</v>
      </c>
      <c r="Z92" s="48" t="s">
        <v>128</v>
      </c>
      <c r="AA92" s="20" t="s">
        <v>129</v>
      </c>
      <c r="AB92" s="48" t="s">
        <v>375</v>
      </c>
      <c r="AC92" s="48" t="s">
        <v>150</v>
      </c>
      <c r="AD92" s="48"/>
      <c r="AE92" s="48"/>
      <c r="AF92" s="48" t="s">
        <v>151</v>
      </c>
      <c r="AG92" s="48" t="s">
        <v>376</v>
      </c>
      <c r="AH92" s="48"/>
      <c r="AI92" s="48"/>
      <c r="AJ92" s="50">
        <v>43312</v>
      </c>
      <c r="AK92" s="50">
        <v>43312</v>
      </c>
      <c r="AL92" s="51">
        <f t="shared" si="45"/>
        <v>7.2575342465753421</v>
      </c>
      <c r="AM92" s="52">
        <v>8</v>
      </c>
      <c r="AN92" s="48" t="s">
        <v>220</v>
      </c>
      <c r="AO92" s="30" t="s">
        <v>133</v>
      </c>
      <c r="AP92" s="30" t="s">
        <v>134</v>
      </c>
      <c r="AQ92" s="30"/>
      <c r="AR92" s="30"/>
      <c r="AS92" s="30"/>
      <c r="AT92" s="30" t="e">
        <v>#N/A</v>
      </c>
      <c r="AU92" s="53">
        <v>28500000</v>
      </c>
      <c r="AV92" s="54"/>
      <c r="AW92" s="54"/>
      <c r="AX92" s="54">
        <v>28500000</v>
      </c>
      <c r="AY92" s="54"/>
      <c r="AZ92" s="54"/>
      <c r="BA92" s="54">
        <v>2192308</v>
      </c>
      <c r="BB92" s="55">
        <v>179189</v>
      </c>
      <c r="BC92" s="52">
        <v>96</v>
      </c>
      <c r="BD92" s="52">
        <v>89</v>
      </c>
      <c r="BE92" s="52">
        <v>6</v>
      </c>
      <c r="BF92" s="30"/>
      <c r="BG92" s="30" t="s">
        <v>135</v>
      </c>
      <c r="BH92" s="30" t="s">
        <v>136</v>
      </c>
      <c r="BI92" s="30" t="str">
        <f t="shared" si="56"/>
        <v>Test</v>
      </c>
      <c r="BJ92" s="47" t="s">
        <v>137</v>
      </c>
      <c r="BK92" s="56">
        <f t="shared" si="57"/>
        <v>2301923.4</v>
      </c>
      <c r="BL92" s="57">
        <f t="shared" si="58"/>
        <v>219439.40633526648</v>
      </c>
      <c r="BM92" s="57">
        <f t="shared" si="46"/>
        <v>73146.468778422161</v>
      </c>
      <c r="BU92" s="58">
        <f t="shared" si="47"/>
        <v>219439.40633526648</v>
      </c>
      <c r="BV92" s="58">
        <f t="shared" si="48"/>
        <v>219439.40633526648</v>
      </c>
      <c r="BW92" s="58">
        <f t="shared" si="62"/>
        <v>438878.81267053296</v>
      </c>
      <c r="BX92" s="58">
        <f t="shared" si="49"/>
        <v>219439.40633526648</v>
      </c>
      <c r="BY92" s="58">
        <f t="shared" si="65"/>
        <v>219439.40633526648</v>
      </c>
      <c r="BZ92" s="58">
        <f t="shared" si="65"/>
        <v>219439.40633526648</v>
      </c>
      <c r="CA92" s="58">
        <f t="shared" si="65"/>
        <v>219439.40633526648</v>
      </c>
      <c r="CB92" s="58">
        <f t="shared" si="50"/>
        <v>877757.62534106593</v>
      </c>
      <c r="CC92" s="58">
        <f t="shared" si="51"/>
        <v>219439.40633526648</v>
      </c>
      <c r="CD92" s="58">
        <f t="shared" si="66"/>
        <v>219439.40633526648</v>
      </c>
      <c r="CE92" s="58">
        <f t="shared" si="66"/>
        <v>219439.40633526648</v>
      </c>
      <c r="CF92" s="58">
        <f t="shared" si="66"/>
        <v>219439.40633526648</v>
      </c>
      <c r="CG92" s="58">
        <f t="shared" si="52"/>
        <v>877757.62534106593</v>
      </c>
      <c r="CH92" s="58">
        <f t="shared" si="53"/>
        <v>219439.40633526648</v>
      </c>
      <c r="CI92" s="58">
        <f t="shared" si="54"/>
        <v>219439.40633526648</v>
      </c>
      <c r="CJ92" s="58">
        <f t="shared" si="54"/>
        <v>219439.40633526648</v>
      </c>
      <c r="CK92" s="58">
        <f t="shared" si="54"/>
        <v>219439.40633526648</v>
      </c>
      <c r="CL92" s="58">
        <f t="shared" si="55"/>
        <v>877757.62534106593</v>
      </c>
      <c r="CN92" s="59">
        <f t="shared" si="63"/>
        <v>2.2476845727278705E-4</v>
      </c>
      <c r="CO92" s="64">
        <f t="shared" si="64"/>
        <v>4720137.602728528</v>
      </c>
      <c r="CP92" s="2">
        <f t="shared" si="59"/>
        <v>7022061.0027285274</v>
      </c>
    </row>
    <row r="93" spans="1:94" ht="16.5" hidden="1" x14ac:dyDescent="0.3">
      <c r="A93" s="2">
        <v>88</v>
      </c>
      <c r="B93" s="47" t="s">
        <v>21</v>
      </c>
      <c r="C93" s="47"/>
      <c r="D93" s="30" t="s">
        <v>114</v>
      </c>
      <c r="E93" s="30" t="s">
        <v>115</v>
      </c>
      <c r="F93" s="30" t="s">
        <v>116</v>
      </c>
      <c r="G93" s="48" t="s">
        <v>117</v>
      </c>
      <c r="H93" s="48" t="s">
        <v>118</v>
      </c>
      <c r="I93" s="30" t="s">
        <v>119</v>
      </c>
      <c r="J93" s="30" t="s">
        <v>120</v>
      </c>
      <c r="K93" s="30" t="s">
        <v>121</v>
      </c>
      <c r="L93" s="30" t="s">
        <v>122</v>
      </c>
      <c r="M93" s="73">
        <v>2100561</v>
      </c>
      <c r="N93" s="48" t="s">
        <v>369</v>
      </c>
      <c r="O93" s="48" t="s">
        <v>390</v>
      </c>
      <c r="P93" s="30" t="s">
        <v>371</v>
      </c>
      <c r="Q93" s="48" t="s">
        <v>372</v>
      </c>
      <c r="R93" s="30"/>
      <c r="S93" s="61" t="s">
        <v>373</v>
      </c>
      <c r="T93" s="30"/>
      <c r="U93" s="48"/>
      <c r="V93" s="48" t="s">
        <v>145</v>
      </c>
      <c r="W93" s="48" t="s">
        <v>146</v>
      </c>
      <c r="X93" s="48" t="s">
        <v>127</v>
      </c>
      <c r="Y93" s="48" t="s">
        <v>128</v>
      </c>
      <c r="Z93" s="48" t="s">
        <v>128</v>
      </c>
      <c r="AA93" s="20" t="s">
        <v>374</v>
      </c>
      <c r="AB93" s="48" t="s">
        <v>375</v>
      </c>
      <c r="AC93" s="48" t="s">
        <v>150</v>
      </c>
      <c r="AD93" s="48"/>
      <c r="AE93" s="48"/>
      <c r="AF93" s="48" t="s">
        <v>151</v>
      </c>
      <c r="AG93" s="48" t="s">
        <v>376</v>
      </c>
      <c r="AH93" s="48"/>
      <c r="AI93" s="48"/>
      <c r="AJ93" s="50">
        <v>43312</v>
      </c>
      <c r="AK93" s="50">
        <v>43312</v>
      </c>
      <c r="AL93" s="51">
        <f t="shared" si="45"/>
        <v>7.2575342465753421</v>
      </c>
      <c r="AM93" s="52">
        <v>8</v>
      </c>
      <c r="AN93" s="48" t="s">
        <v>220</v>
      </c>
      <c r="AO93" s="30" t="s">
        <v>133</v>
      </c>
      <c r="AP93" s="30" t="s">
        <v>134</v>
      </c>
      <c r="AQ93" s="30"/>
      <c r="AR93" s="30"/>
      <c r="AS93" s="30"/>
      <c r="AT93" s="30" t="e">
        <v>#N/A</v>
      </c>
      <c r="AU93" s="53">
        <v>179022740</v>
      </c>
      <c r="AV93" s="54"/>
      <c r="AW93" s="54"/>
      <c r="AX93" s="54">
        <v>179022740</v>
      </c>
      <c r="AY93" s="54"/>
      <c r="AZ93" s="54"/>
      <c r="BA93" s="54">
        <v>13770980</v>
      </c>
      <c r="BB93" s="55">
        <v>1122940</v>
      </c>
      <c r="BC93" s="52">
        <v>96</v>
      </c>
      <c r="BD93" s="52">
        <v>89</v>
      </c>
      <c r="BE93" s="52">
        <v>6</v>
      </c>
      <c r="BF93" s="30"/>
      <c r="BG93" s="30" t="s">
        <v>135</v>
      </c>
      <c r="BH93" s="30" t="s">
        <v>136</v>
      </c>
      <c r="BI93" s="30" t="str">
        <f t="shared" si="56"/>
        <v>Test</v>
      </c>
      <c r="BJ93" s="47" t="s">
        <v>137</v>
      </c>
      <c r="BK93" s="56">
        <f t="shared" si="57"/>
        <v>14459529</v>
      </c>
      <c r="BL93" s="57">
        <f t="shared" si="58"/>
        <v>1378408.360437871</v>
      </c>
      <c r="BM93" s="57">
        <f t="shared" si="46"/>
        <v>459469.4534792903</v>
      </c>
      <c r="BU93" s="58">
        <f t="shared" si="47"/>
        <v>1378408.360437871</v>
      </c>
      <c r="BV93" s="58">
        <f t="shared" si="48"/>
        <v>1378408.360437871</v>
      </c>
      <c r="BW93" s="58">
        <f t="shared" si="62"/>
        <v>2756816.7208757419</v>
      </c>
      <c r="BX93" s="58">
        <f t="shared" si="49"/>
        <v>1378408.360437871</v>
      </c>
      <c r="BY93" s="58">
        <f t="shared" si="65"/>
        <v>1378408.360437871</v>
      </c>
      <c r="BZ93" s="58">
        <f t="shared" si="65"/>
        <v>1378408.360437871</v>
      </c>
      <c r="CA93" s="58">
        <f t="shared" si="65"/>
        <v>1378408.360437871</v>
      </c>
      <c r="CB93" s="58">
        <f t="shared" si="50"/>
        <v>5513633.4417514838</v>
      </c>
      <c r="CC93" s="58">
        <f t="shared" si="51"/>
        <v>1378408.360437871</v>
      </c>
      <c r="CD93" s="58">
        <f t="shared" si="66"/>
        <v>1378408.360437871</v>
      </c>
      <c r="CE93" s="58">
        <f t="shared" si="66"/>
        <v>1378408.360437871</v>
      </c>
      <c r="CF93" s="58">
        <f t="shared" si="66"/>
        <v>1378408.360437871</v>
      </c>
      <c r="CG93" s="58">
        <f t="shared" si="52"/>
        <v>5513633.4417514838</v>
      </c>
      <c r="CH93" s="58">
        <f t="shared" si="53"/>
        <v>1378408.360437871</v>
      </c>
      <c r="CI93" s="58">
        <f t="shared" si="54"/>
        <v>1378408.360437871</v>
      </c>
      <c r="CJ93" s="58">
        <f t="shared" si="54"/>
        <v>1378408.360437871</v>
      </c>
      <c r="CK93" s="58">
        <f t="shared" si="54"/>
        <v>1378408.360437871</v>
      </c>
      <c r="CL93" s="58">
        <f t="shared" si="55"/>
        <v>5513633.4417514838</v>
      </c>
      <c r="CN93" s="59">
        <f t="shared" si="63"/>
        <v>1.4118827873338988E-3</v>
      </c>
      <c r="CO93" s="64">
        <f t="shared" si="64"/>
        <v>29649538.534011874</v>
      </c>
      <c r="CP93" s="2">
        <f t="shared" si="59"/>
        <v>44109067.534011871</v>
      </c>
    </row>
    <row r="94" spans="1:94" ht="16.5" hidden="1" x14ac:dyDescent="0.3">
      <c r="A94" s="2">
        <v>89</v>
      </c>
      <c r="B94" s="47" t="s">
        <v>21</v>
      </c>
      <c r="C94" s="47"/>
      <c r="D94" s="30" t="s">
        <v>114</v>
      </c>
      <c r="E94" s="30" t="s">
        <v>115</v>
      </c>
      <c r="F94" s="30" t="s">
        <v>116</v>
      </c>
      <c r="G94" s="62" t="s">
        <v>117</v>
      </c>
      <c r="H94" s="62" t="s">
        <v>385</v>
      </c>
      <c r="I94" s="30" t="s">
        <v>119</v>
      </c>
      <c r="J94" s="30" t="s">
        <v>120</v>
      </c>
      <c r="K94" s="30" t="s">
        <v>121</v>
      </c>
      <c r="L94" s="30" t="s">
        <v>122</v>
      </c>
      <c r="M94" s="73">
        <v>2100652</v>
      </c>
      <c r="N94" s="48" t="s">
        <v>369</v>
      </c>
      <c r="O94" s="48" t="s">
        <v>391</v>
      </c>
      <c r="P94" s="30" t="s">
        <v>371</v>
      </c>
      <c r="Q94" s="48" t="s">
        <v>372</v>
      </c>
      <c r="R94" s="30"/>
      <c r="S94" s="61" t="s">
        <v>373</v>
      </c>
      <c r="T94" s="30"/>
      <c r="U94" s="48"/>
      <c r="V94" s="48" t="s">
        <v>145</v>
      </c>
      <c r="W94" s="48" t="s">
        <v>392</v>
      </c>
      <c r="X94" s="48" t="s">
        <v>127</v>
      </c>
      <c r="Y94" s="48" t="s">
        <v>128</v>
      </c>
      <c r="Z94" s="48" t="s">
        <v>128</v>
      </c>
      <c r="AA94" s="48" t="s">
        <v>129</v>
      </c>
      <c r="AB94" s="48" t="s">
        <v>393</v>
      </c>
      <c r="AC94" s="48" t="s">
        <v>150</v>
      </c>
      <c r="AD94" s="48"/>
      <c r="AE94" s="48"/>
      <c r="AF94" s="48" t="s">
        <v>151</v>
      </c>
      <c r="AG94" s="48" t="s">
        <v>376</v>
      </c>
      <c r="AH94" s="48"/>
      <c r="AI94" s="48"/>
      <c r="AJ94" s="50">
        <v>43466</v>
      </c>
      <c r="AK94" s="50">
        <v>43466</v>
      </c>
      <c r="AL94" s="51">
        <f t="shared" si="45"/>
        <v>6.8356164383561646</v>
      </c>
      <c r="AM94" s="52">
        <v>8</v>
      </c>
      <c r="AN94" s="48" t="s">
        <v>220</v>
      </c>
      <c r="AO94" s="30" t="s">
        <v>133</v>
      </c>
      <c r="AP94" s="30" t="s">
        <v>134</v>
      </c>
      <c r="AQ94" s="30"/>
      <c r="AR94" s="30"/>
      <c r="AS94" s="30"/>
      <c r="AT94" s="30" t="e">
        <v>#N/A</v>
      </c>
      <c r="AU94" s="53">
        <v>10700000</v>
      </c>
      <c r="AV94" s="54"/>
      <c r="AW94" s="54"/>
      <c r="AX94" s="54">
        <v>10700000</v>
      </c>
      <c r="AY94" s="54"/>
      <c r="AZ94" s="54"/>
      <c r="BA94" s="54">
        <v>1560417</v>
      </c>
      <c r="BB94" s="55">
        <v>218282</v>
      </c>
      <c r="BC94" s="52">
        <v>96</v>
      </c>
      <c r="BD94" s="52">
        <v>84</v>
      </c>
      <c r="BE94" s="52">
        <v>12</v>
      </c>
      <c r="BF94" s="30"/>
      <c r="BG94" s="30" t="s">
        <v>135</v>
      </c>
      <c r="BH94" s="30" t="s">
        <v>136</v>
      </c>
      <c r="BI94" s="30" t="str">
        <f t="shared" si="56"/>
        <v>Test</v>
      </c>
      <c r="BJ94" s="47" t="s">
        <v>137</v>
      </c>
      <c r="BK94" s="56">
        <f t="shared" si="57"/>
        <v>1638437.85</v>
      </c>
      <c r="BL94" s="57">
        <f t="shared" si="58"/>
        <v>156190.17953474494</v>
      </c>
      <c r="BM94" s="57">
        <f t="shared" si="46"/>
        <v>52063.393178248312</v>
      </c>
      <c r="BU94" s="58">
        <f t="shared" si="47"/>
        <v>156190.17953474494</v>
      </c>
      <c r="BV94" s="58">
        <f t="shared" si="48"/>
        <v>156190.17953474494</v>
      </c>
      <c r="BW94" s="58">
        <f t="shared" si="62"/>
        <v>312380.35906948987</v>
      </c>
      <c r="BX94" s="58">
        <f t="shared" si="49"/>
        <v>156190.17953474494</v>
      </c>
      <c r="BY94" s="58">
        <f t="shared" si="65"/>
        <v>156190.17953474494</v>
      </c>
      <c r="BZ94" s="58">
        <f t="shared" si="65"/>
        <v>156190.17953474494</v>
      </c>
      <c r="CA94" s="58">
        <f t="shared" si="65"/>
        <v>156190.17953474494</v>
      </c>
      <c r="CB94" s="58">
        <f t="shared" si="50"/>
        <v>624760.71813897975</v>
      </c>
      <c r="CC94" s="58">
        <f t="shared" si="51"/>
        <v>156190.17953474494</v>
      </c>
      <c r="CD94" s="58">
        <f t="shared" si="66"/>
        <v>156190.17953474494</v>
      </c>
      <c r="CE94" s="58">
        <f t="shared" si="66"/>
        <v>156190.17953474494</v>
      </c>
      <c r="CF94" s="58">
        <f t="shared" si="66"/>
        <v>156190.17953474494</v>
      </c>
      <c r="CG94" s="58">
        <f t="shared" si="52"/>
        <v>624760.71813897975</v>
      </c>
      <c r="CH94" s="58">
        <f t="shared" si="53"/>
        <v>156190.17953474494</v>
      </c>
      <c r="CI94" s="58">
        <f t="shared" si="54"/>
        <v>156190.17953474494</v>
      </c>
      <c r="CJ94" s="58">
        <f t="shared" si="54"/>
        <v>156190.17953474494</v>
      </c>
      <c r="CK94" s="58">
        <f t="shared" si="54"/>
        <v>156190.17953474494</v>
      </c>
      <c r="CL94" s="58">
        <f t="shared" si="55"/>
        <v>624760.71813897975</v>
      </c>
      <c r="CN94" s="59">
        <f t="shared" si="63"/>
        <v>1.5998323310056369E-4</v>
      </c>
      <c r="CO94" s="64">
        <f t="shared" si="64"/>
        <v>3359647.8951118374</v>
      </c>
      <c r="CP94" s="2">
        <f t="shared" si="59"/>
        <v>4998085.745111838</v>
      </c>
    </row>
    <row r="95" spans="1:94" hidden="1" x14ac:dyDescent="0.3">
      <c r="A95" s="29">
        <v>90</v>
      </c>
      <c r="B95" s="30" t="s">
        <v>21</v>
      </c>
      <c r="C95" s="30"/>
      <c r="D95" s="30" t="s">
        <v>114</v>
      </c>
      <c r="E95" s="30" t="s">
        <v>115</v>
      </c>
      <c r="F95" s="30" t="s">
        <v>116</v>
      </c>
      <c r="G95" s="48" t="s">
        <v>117</v>
      </c>
      <c r="H95" s="48" t="s">
        <v>385</v>
      </c>
      <c r="I95" s="30" t="s">
        <v>119</v>
      </c>
      <c r="J95" s="30" t="s">
        <v>120</v>
      </c>
      <c r="K95" s="30" t="s">
        <v>121</v>
      </c>
      <c r="L95" s="30" t="s">
        <v>122</v>
      </c>
      <c r="M95" s="73">
        <v>2100655</v>
      </c>
      <c r="N95" s="48" t="s">
        <v>138</v>
      </c>
      <c r="O95" s="48" t="s">
        <v>394</v>
      </c>
      <c r="P95" s="30" t="s">
        <v>371</v>
      </c>
      <c r="Q95" s="30" t="s">
        <v>395</v>
      </c>
      <c r="R95" s="30"/>
      <c r="S95" s="61" t="s">
        <v>373</v>
      </c>
      <c r="T95" s="30"/>
      <c r="U95" s="48"/>
      <c r="V95" s="48"/>
      <c r="W95" s="48"/>
      <c r="X95" s="48"/>
      <c r="Y95" s="48" t="s">
        <v>128</v>
      </c>
      <c r="Z95" s="48" t="s">
        <v>128</v>
      </c>
      <c r="AA95" s="48" t="s">
        <v>129</v>
      </c>
      <c r="AB95" s="48" t="s">
        <v>396</v>
      </c>
      <c r="AC95" s="48" t="s">
        <v>396</v>
      </c>
      <c r="AD95" s="48"/>
      <c r="AE95" s="48"/>
      <c r="AF95" s="48" t="s">
        <v>131</v>
      </c>
      <c r="AG95" s="48" t="s">
        <v>397</v>
      </c>
      <c r="AH95" s="48"/>
      <c r="AI95" s="48"/>
      <c r="AJ95" s="50">
        <v>43670</v>
      </c>
      <c r="AK95" s="50">
        <v>43670</v>
      </c>
      <c r="AL95" s="51">
        <f t="shared" si="45"/>
        <v>6.2767123287671236</v>
      </c>
      <c r="AM95" s="52">
        <v>8</v>
      </c>
      <c r="AN95" s="48" t="s">
        <v>220</v>
      </c>
      <c r="AO95" s="30" t="s">
        <v>133</v>
      </c>
      <c r="AP95" s="30" t="s">
        <v>134</v>
      </c>
      <c r="AQ95" s="30"/>
      <c r="AR95" s="30"/>
      <c r="AS95" s="30"/>
      <c r="AT95" s="30" t="e">
        <v>#N/A</v>
      </c>
      <c r="AU95" s="53">
        <v>443800000</v>
      </c>
      <c r="AV95" s="54"/>
      <c r="AW95" s="54"/>
      <c r="AX95" s="54">
        <v>443800000</v>
      </c>
      <c r="AY95" s="54"/>
      <c r="AZ95" s="54"/>
      <c r="BA95" s="74">
        <v>92458333</v>
      </c>
      <c r="BB95" s="74">
        <v>15072122</v>
      </c>
      <c r="BC95" s="52">
        <v>96</v>
      </c>
      <c r="BD95" s="52">
        <v>77</v>
      </c>
      <c r="BE95" s="52">
        <v>18</v>
      </c>
      <c r="BF95" s="30"/>
      <c r="BG95" s="30" t="s">
        <v>135</v>
      </c>
      <c r="BH95" s="30" t="s">
        <v>136</v>
      </c>
      <c r="BI95" s="30" t="str">
        <f t="shared" si="56"/>
        <v>Test</v>
      </c>
      <c r="BJ95" s="30" t="s">
        <v>250</v>
      </c>
      <c r="BK95" s="56">
        <f t="shared" si="57"/>
        <v>97081249.650000006</v>
      </c>
      <c r="BL95" s="57">
        <f t="shared" si="58"/>
        <v>3033789.0515625002</v>
      </c>
      <c r="BM95" s="57">
        <f t="shared" si="46"/>
        <v>1011263.0171875</v>
      </c>
      <c r="BU95" s="58">
        <f t="shared" si="47"/>
        <v>3033789.0515625002</v>
      </c>
      <c r="BV95" s="58">
        <f t="shared" si="48"/>
        <v>3033789.0515625002</v>
      </c>
      <c r="BW95" s="58">
        <f t="shared" si="62"/>
        <v>6067578.1031250004</v>
      </c>
      <c r="BX95" s="58">
        <f t="shared" si="49"/>
        <v>3033789.0515625002</v>
      </c>
      <c r="BY95" s="58">
        <f t="shared" si="65"/>
        <v>3033789.0515625002</v>
      </c>
      <c r="BZ95" s="58">
        <f t="shared" si="65"/>
        <v>3033789.0515625002</v>
      </c>
      <c r="CA95" s="58">
        <f t="shared" si="65"/>
        <v>3033789.0515625002</v>
      </c>
      <c r="CB95" s="58">
        <f t="shared" si="50"/>
        <v>12135156.206250001</v>
      </c>
      <c r="CC95" s="58">
        <f t="shared" si="51"/>
        <v>3033789.0515625002</v>
      </c>
      <c r="CD95" s="58">
        <f t="shared" si="66"/>
        <v>3033789.0515625002</v>
      </c>
      <c r="CE95" s="58">
        <f t="shared" si="66"/>
        <v>3033789.0515625002</v>
      </c>
      <c r="CF95" s="58">
        <f t="shared" si="66"/>
        <v>3033789.0515625002</v>
      </c>
      <c r="CG95" s="58">
        <f t="shared" si="52"/>
        <v>12135156.206250001</v>
      </c>
      <c r="CH95" s="58">
        <f t="shared" si="53"/>
        <v>3033789.0515625002</v>
      </c>
      <c r="CI95" s="58">
        <f t="shared" si="54"/>
        <v>3033789.0515625002</v>
      </c>
      <c r="CJ95" s="58">
        <f t="shared" si="54"/>
        <v>3033789.0515625002</v>
      </c>
      <c r="CK95" s="58">
        <f t="shared" si="54"/>
        <v>3033789.0515625002</v>
      </c>
      <c r="CL95" s="58">
        <f t="shared" si="55"/>
        <v>12135156.206250001</v>
      </c>
      <c r="CP95" s="2">
        <f t="shared" si="59"/>
        <v>97081249.650000006</v>
      </c>
    </row>
    <row r="96" spans="1:94" ht="16.5" hidden="1" x14ac:dyDescent="0.3">
      <c r="A96" s="2">
        <v>91</v>
      </c>
      <c r="B96" s="47" t="s">
        <v>21</v>
      </c>
      <c r="C96" s="47"/>
      <c r="D96" s="30" t="s">
        <v>114</v>
      </c>
      <c r="E96" s="30" t="s">
        <v>115</v>
      </c>
      <c r="F96" s="30" t="s">
        <v>116</v>
      </c>
      <c r="G96" s="48" t="s">
        <v>117</v>
      </c>
      <c r="H96" s="48" t="s">
        <v>385</v>
      </c>
      <c r="I96" s="30" t="s">
        <v>119</v>
      </c>
      <c r="J96" s="30" t="s">
        <v>120</v>
      </c>
      <c r="K96" s="30" t="s">
        <v>121</v>
      </c>
      <c r="L96" s="30" t="s">
        <v>122</v>
      </c>
      <c r="M96" s="73">
        <v>2100962</v>
      </c>
      <c r="N96" s="48" t="s">
        <v>369</v>
      </c>
      <c r="O96" s="48" t="s">
        <v>398</v>
      </c>
      <c r="P96" s="30" t="s">
        <v>371</v>
      </c>
      <c r="Q96" s="48" t="s">
        <v>372</v>
      </c>
      <c r="R96" s="30"/>
      <c r="S96" s="61" t="s">
        <v>373</v>
      </c>
      <c r="T96" s="30"/>
      <c r="U96" s="48"/>
      <c r="V96" s="48" t="s">
        <v>145</v>
      </c>
      <c r="W96" s="48" t="s">
        <v>399</v>
      </c>
      <c r="X96" s="48" t="s">
        <v>127</v>
      </c>
      <c r="Y96" s="48" t="s">
        <v>128</v>
      </c>
      <c r="Z96" s="48" t="s">
        <v>128</v>
      </c>
      <c r="AA96" s="48" t="s">
        <v>374</v>
      </c>
      <c r="AB96" s="48" t="s">
        <v>375</v>
      </c>
      <c r="AC96" s="48" t="s">
        <v>150</v>
      </c>
      <c r="AD96" s="48"/>
      <c r="AE96" s="48"/>
      <c r="AF96" s="48" t="s">
        <v>151</v>
      </c>
      <c r="AG96" s="48" t="s">
        <v>376</v>
      </c>
      <c r="AH96" s="48"/>
      <c r="AI96" s="48"/>
      <c r="AJ96" s="50">
        <v>43888</v>
      </c>
      <c r="AK96" s="50">
        <v>43888</v>
      </c>
      <c r="AL96" s="51">
        <f t="shared" si="45"/>
        <v>5.6794520547945204</v>
      </c>
      <c r="AM96" s="52">
        <v>8</v>
      </c>
      <c r="AN96" s="48" t="s">
        <v>220</v>
      </c>
      <c r="AO96" s="30" t="s">
        <v>133</v>
      </c>
      <c r="AP96" s="30" t="s">
        <v>134</v>
      </c>
      <c r="AQ96" s="30"/>
      <c r="AR96" s="30"/>
      <c r="AS96" s="30"/>
      <c r="AT96" s="30" t="e">
        <v>#N/A</v>
      </c>
      <c r="AU96" s="53">
        <v>12000000</v>
      </c>
      <c r="AV96" s="54"/>
      <c r="AW96" s="54"/>
      <c r="AX96" s="54">
        <v>12000000</v>
      </c>
      <c r="AY96" s="54"/>
      <c r="AZ96" s="54"/>
      <c r="BA96" s="54">
        <v>3335294</v>
      </c>
      <c r="BB96" s="55">
        <v>587335</v>
      </c>
      <c r="BC96" s="52">
        <v>96</v>
      </c>
      <c r="BD96" s="52">
        <v>70</v>
      </c>
      <c r="BE96" s="52">
        <v>25</v>
      </c>
      <c r="BF96" s="30"/>
      <c r="BG96" s="30" t="s">
        <v>135</v>
      </c>
      <c r="BH96" s="30" t="s">
        <v>136</v>
      </c>
      <c r="BI96" s="30" t="str">
        <f t="shared" si="56"/>
        <v>Test</v>
      </c>
      <c r="BJ96" s="47" t="s">
        <v>137</v>
      </c>
      <c r="BK96" s="56">
        <f t="shared" si="57"/>
        <v>3502058.7</v>
      </c>
      <c r="BL96" s="57">
        <f t="shared" si="58"/>
        <v>333846.7657434888</v>
      </c>
      <c r="BM96" s="57">
        <f t="shared" si="46"/>
        <v>111282.2552478296</v>
      </c>
      <c r="BU96" s="58">
        <f t="shared" si="47"/>
        <v>333846.7657434888</v>
      </c>
      <c r="BV96" s="58">
        <f t="shared" si="48"/>
        <v>333846.7657434888</v>
      </c>
      <c r="BW96" s="58">
        <f t="shared" si="62"/>
        <v>667693.53148697759</v>
      </c>
      <c r="BX96" s="58">
        <f t="shared" si="49"/>
        <v>333846.7657434888</v>
      </c>
      <c r="BY96" s="58">
        <f t="shared" si="65"/>
        <v>333846.7657434888</v>
      </c>
      <c r="BZ96" s="58">
        <f t="shared" si="65"/>
        <v>333846.7657434888</v>
      </c>
      <c r="CA96" s="58">
        <f t="shared" si="65"/>
        <v>333846.7657434888</v>
      </c>
      <c r="CB96" s="58">
        <f t="shared" si="50"/>
        <v>1335387.0629739552</v>
      </c>
      <c r="CC96" s="58">
        <f t="shared" si="51"/>
        <v>333846.7657434888</v>
      </c>
      <c r="CD96" s="58">
        <f t="shared" si="66"/>
        <v>333846.7657434888</v>
      </c>
      <c r="CE96" s="58">
        <f t="shared" si="66"/>
        <v>333846.7657434888</v>
      </c>
      <c r="CF96" s="58">
        <f t="shared" si="66"/>
        <v>333846.7657434888</v>
      </c>
      <c r="CG96" s="58">
        <f t="shared" si="52"/>
        <v>1335387.0629739552</v>
      </c>
      <c r="CH96" s="58">
        <f t="shared" si="53"/>
        <v>333846.7657434888</v>
      </c>
      <c r="CI96" s="58">
        <f t="shared" si="54"/>
        <v>333846.7657434888</v>
      </c>
      <c r="CJ96" s="58">
        <f t="shared" si="54"/>
        <v>333846.7657434888</v>
      </c>
      <c r="CK96" s="58">
        <f t="shared" si="54"/>
        <v>333846.7657434888</v>
      </c>
      <c r="CL96" s="58">
        <f t="shared" si="55"/>
        <v>1335387.0629739552</v>
      </c>
      <c r="CN96" s="59">
        <f t="shared" ref="CN96:CN99" si="67">BK96/$CN$3</f>
        <v>3.4195418113293526E-4</v>
      </c>
      <c r="CO96" s="64">
        <f t="shared" ref="CO96:CO99" si="68">CN96*$CO$4</f>
        <v>7181037.8037916403</v>
      </c>
      <c r="CP96" s="2">
        <f t="shared" si="59"/>
        <v>10683096.503791641</v>
      </c>
    </row>
    <row r="97" spans="1:94" ht="16.5" hidden="1" x14ac:dyDescent="0.3">
      <c r="A97" s="2">
        <v>92</v>
      </c>
      <c r="B97" s="47" t="s">
        <v>21</v>
      </c>
      <c r="C97" s="47"/>
      <c r="D97" s="30" t="s">
        <v>114</v>
      </c>
      <c r="E97" s="30" t="s">
        <v>115</v>
      </c>
      <c r="F97" s="30" t="s">
        <v>116</v>
      </c>
      <c r="G97" s="48" t="s">
        <v>117</v>
      </c>
      <c r="H97" s="48" t="s">
        <v>385</v>
      </c>
      <c r="I97" s="30" t="s">
        <v>119</v>
      </c>
      <c r="J97" s="30" t="s">
        <v>120</v>
      </c>
      <c r="K97" s="30" t="s">
        <v>121</v>
      </c>
      <c r="L97" s="30" t="s">
        <v>122</v>
      </c>
      <c r="M97" s="73">
        <v>2101017</v>
      </c>
      <c r="N97" s="48" t="s">
        <v>369</v>
      </c>
      <c r="O97" s="48" t="s">
        <v>400</v>
      </c>
      <c r="P97" s="30" t="s">
        <v>371</v>
      </c>
      <c r="Q97" s="48" t="s">
        <v>372</v>
      </c>
      <c r="R97" s="30"/>
      <c r="S97" s="61" t="s">
        <v>373</v>
      </c>
      <c r="T97" s="30"/>
      <c r="U97" s="48"/>
      <c r="V97" s="48" t="s">
        <v>145</v>
      </c>
      <c r="W97" s="48" t="s">
        <v>399</v>
      </c>
      <c r="X97" s="48" t="s">
        <v>127</v>
      </c>
      <c r="Y97" s="48" t="s">
        <v>128</v>
      </c>
      <c r="Z97" s="48" t="s">
        <v>128</v>
      </c>
      <c r="AA97" s="48" t="s">
        <v>374</v>
      </c>
      <c r="AB97" s="48" t="s">
        <v>375</v>
      </c>
      <c r="AC97" s="48" t="s">
        <v>150</v>
      </c>
      <c r="AD97" s="48"/>
      <c r="AE97" s="48"/>
      <c r="AF97" s="48" t="s">
        <v>151</v>
      </c>
      <c r="AG97" s="48" t="s">
        <v>376</v>
      </c>
      <c r="AH97" s="48"/>
      <c r="AI97" s="48"/>
      <c r="AJ97" s="50">
        <v>44125</v>
      </c>
      <c r="AK97" s="50">
        <v>44125</v>
      </c>
      <c r="AL97" s="51">
        <f t="shared" si="45"/>
        <v>5.0301369863013701</v>
      </c>
      <c r="AM97" s="52">
        <v>8</v>
      </c>
      <c r="AN97" s="48" t="s">
        <v>220</v>
      </c>
      <c r="AO97" s="30" t="s">
        <v>133</v>
      </c>
      <c r="AP97" s="30" t="s">
        <v>134</v>
      </c>
      <c r="AQ97" s="30"/>
      <c r="AR97" s="30"/>
      <c r="AS97" s="30"/>
      <c r="AT97" s="30" t="e">
        <v>#N/A</v>
      </c>
      <c r="AU97" s="53">
        <v>20900000</v>
      </c>
      <c r="AV97" s="54"/>
      <c r="AW97" s="54"/>
      <c r="AX97" s="54">
        <v>20900000</v>
      </c>
      <c r="AY97" s="54"/>
      <c r="AZ97" s="54"/>
      <c r="BA97" s="54">
        <v>6882393</v>
      </c>
      <c r="BB97" s="55">
        <v>1234129</v>
      </c>
      <c r="BC97" s="52">
        <v>96</v>
      </c>
      <c r="BD97" s="52">
        <v>62</v>
      </c>
      <c r="BE97" s="52">
        <v>33</v>
      </c>
      <c r="BF97" s="30"/>
      <c r="BG97" s="30" t="s">
        <v>135</v>
      </c>
      <c r="BH97" s="30" t="s">
        <v>136</v>
      </c>
      <c r="BI97" s="30" t="str">
        <f t="shared" si="56"/>
        <v>Test</v>
      </c>
      <c r="BJ97" s="47" t="s">
        <v>137</v>
      </c>
      <c r="BK97" s="56">
        <f t="shared" si="57"/>
        <v>7226512.6500000004</v>
      </c>
      <c r="BL97" s="57">
        <f t="shared" si="58"/>
        <v>688894.18552776065</v>
      </c>
      <c r="BM97" s="57">
        <f t="shared" si="46"/>
        <v>229631.39517592022</v>
      </c>
      <c r="BU97" s="58">
        <f t="shared" si="47"/>
        <v>688894.18552776065</v>
      </c>
      <c r="BV97" s="58">
        <f t="shared" si="48"/>
        <v>688894.18552776065</v>
      </c>
      <c r="BW97" s="58">
        <f t="shared" si="62"/>
        <v>1377788.3710555213</v>
      </c>
      <c r="BX97" s="58">
        <f t="shared" si="49"/>
        <v>688894.18552776065</v>
      </c>
      <c r="BY97" s="58">
        <f t="shared" si="65"/>
        <v>688894.18552776065</v>
      </c>
      <c r="BZ97" s="58">
        <f t="shared" si="65"/>
        <v>688894.18552776065</v>
      </c>
      <c r="CA97" s="58">
        <f t="shared" si="65"/>
        <v>688894.18552776065</v>
      </c>
      <c r="CB97" s="58">
        <f t="shared" si="50"/>
        <v>2755576.7421110426</v>
      </c>
      <c r="CC97" s="58">
        <f t="shared" si="51"/>
        <v>688894.18552776065</v>
      </c>
      <c r="CD97" s="58">
        <f t="shared" si="66"/>
        <v>688894.18552776065</v>
      </c>
      <c r="CE97" s="58">
        <f t="shared" si="66"/>
        <v>688894.18552776065</v>
      </c>
      <c r="CF97" s="58">
        <f t="shared" si="66"/>
        <v>688894.18552776065</v>
      </c>
      <c r="CG97" s="58">
        <f t="shared" si="52"/>
        <v>2755576.7421110426</v>
      </c>
      <c r="CH97" s="58">
        <f t="shared" si="53"/>
        <v>688894.18552776065</v>
      </c>
      <c r="CI97" s="58">
        <f t="shared" si="54"/>
        <v>688894.18552776065</v>
      </c>
      <c r="CJ97" s="58">
        <f t="shared" si="54"/>
        <v>688894.18552776065</v>
      </c>
      <c r="CK97" s="58">
        <f t="shared" si="54"/>
        <v>688894.18552776065</v>
      </c>
      <c r="CL97" s="58">
        <f t="shared" si="55"/>
        <v>2755576.7421110426</v>
      </c>
      <c r="CN97" s="59">
        <f t="shared" si="67"/>
        <v>7.0562387080420669E-4</v>
      </c>
      <c r="CO97" s="64">
        <f t="shared" si="68"/>
        <v>14818101.28688834</v>
      </c>
      <c r="CP97" s="2">
        <f t="shared" si="59"/>
        <v>22044613.936888341</v>
      </c>
    </row>
    <row r="98" spans="1:94" ht="16.5" hidden="1" x14ac:dyDescent="0.3">
      <c r="A98" s="2">
        <v>93</v>
      </c>
      <c r="B98" s="47" t="s">
        <v>21</v>
      </c>
      <c r="C98" s="47"/>
      <c r="D98" s="30" t="s">
        <v>114</v>
      </c>
      <c r="E98" s="30" t="s">
        <v>115</v>
      </c>
      <c r="F98" s="30" t="s">
        <v>116</v>
      </c>
      <c r="G98" s="62" t="s">
        <v>117</v>
      </c>
      <c r="H98" s="48" t="s">
        <v>385</v>
      </c>
      <c r="I98" s="30" t="s">
        <v>119</v>
      </c>
      <c r="J98" s="30" t="s">
        <v>120</v>
      </c>
      <c r="K98" s="30" t="s">
        <v>121</v>
      </c>
      <c r="L98" s="30" t="s">
        <v>122</v>
      </c>
      <c r="M98" s="73">
        <v>2101214</v>
      </c>
      <c r="N98" s="48" t="s">
        <v>138</v>
      </c>
      <c r="O98" s="48" t="s">
        <v>401</v>
      </c>
      <c r="P98" s="30" t="s">
        <v>371</v>
      </c>
      <c r="Q98" s="30" t="s">
        <v>395</v>
      </c>
      <c r="R98" s="30"/>
      <c r="S98" s="61" t="s">
        <v>402</v>
      </c>
      <c r="T98" s="30"/>
      <c r="U98" s="48"/>
      <c r="V98" s="48" t="s">
        <v>403</v>
      </c>
      <c r="W98" s="48" t="s">
        <v>404</v>
      </c>
      <c r="X98" s="48" t="s">
        <v>147</v>
      </c>
      <c r="Y98" s="48" t="s">
        <v>128</v>
      </c>
      <c r="Z98" s="48" t="s">
        <v>128</v>
      </c>
      <c r="AA98" s="48" t="s">
        <v>129</v>
      </c>
      <c r="AB98" s="48" t="s">
        <v>396</v>
      </c>
      <c r="AC98" s="48" t="s">
        <v>396</v>
      </c>
      <c r="AD98" s="48"/>
      <c r="AE98" s="48"/>
      <c r="AF98" s="48" t="s">
        <v>131</v>
      </c>
      <c r="AG98" s="48" t="s">
        <v>397</v>
      </c>
      <c r="AH98" s="48"/>
      <c r="AI98" s="48"/>
      <c r="AJ98" s="50">
        <v>44495</v>
      </c>
      <c r="AK98" s="50">
        <v>44495</v>
      </c>
      <c r="AL98" s="51">
        <f t="shared" si="45"/>
        <v>4.0164383561643833</v>
      </c>
      <c r="AM98" s="52">
        <v>8</v>
      </c>
      <c r="AN98" s="48" t="s">
        <v>169</v>
      </c>
      <c r="AO98" s="30" t="s">
        <v>133</v>
      </c>
      <c r="AP98" s="30" t="s">
        <v>134</v>
      </c>
      <c r="AQ98" s="30"/>
      <c r="AR98" s="30"/>
      <c r="AS98" s="30"/>
      <c r="AT98" s="30" t="e">
        <v>#N/A</v>
      </c>
      <c r="AU98" s="53">
        <v>196000000</v>
      </c>
      <c r="AV98" s="54"/>
      <c r="AW98" s="54"/>
      <c r="AX98" s="54">
        <v>196000000</v>
      </c>
      <c r="AY98" s="54"/>
      <c r="AZ98" s="54"/>
      <c r="BA98" s="54">
        <v>86672044</v>
      </c>
      <c r="BB98" s="55">
        <v>16533781</v>
      </c>
      <c r="BC98" s="52">
        <v>96</v>
      </c>
      <c r="BD98" s="52">
        <v>50</v>
      </c>
      <c r="BE98" s="52">
        <v>45</v>
      </c>
      <c r="BF98" s="30"/>
      <c r="BG98" s="30" t="s">
        <v>135</v>
      </c>
      <c r="BH98" s="30" t="s">
        <v>136</v>
      </c>
      <c r="BI98" s="30" t="str">
        <f t="shared" si="56"/>
        <v>Test</v>
      </c>
      <c r="BJ98" s="47" t="s">
        <v>137</v>
      </c>
      <c r="BK98" s="56">
        <f t="shared" si="57"/>
        <v>91005646.200000003</v>
      </c>
      <c r="BL98" s="57">
        <f t="shared" si="58"/>
        <v>8675451.5703195427</v>
      </c>
      <c r="BM98" s="57">
        <f t="shared" si="46"/>
        <v>2891817.1901065144</v>
      </c>
      <c r="BP98" s="69">
        <f>BM98*3</f>
        <v>8675451.5703195427</v>
      </c>
      <c r="BQ98" s="69">
        <f>BP98</f>
        <v>8675451.5703195427</v>
      </c>
      <c r="BR98" s="69">
        <f>SUM(BN98:BQ98)</f>
        <v>17350903.140639085</v>
      </c>
      <c r="BS98" s="69">
        <f>BQ98</f>
        <v>8675451.5703195427</v>
      </c>
      <c r="BT98" s="69">
        <f>BS98</f>
        <v>8675451.5703195427</v>
      </c>
      <c r="BU98" s="76">
        <f t="shared" si="47"/>
        <v>8675451.5703195427</v>
      </c>
      <c r="BV98" s="76">
        <f t="shared" si="48"/>
        <v>8675451.5703195427</v>
      </c>
      <c r="BW98" s="76">
        <f t="shared" si="62"/>
        <v>34701806.281278171</v>
      </c>
      <c r="BX98" s="58">
        <f t="shared" si="49"/>
        <v>8675451.5703195427</v>
      </c>
      <c r="BY98" s="58">
        <f t="shared" si="65"/>
        <v>8675451.5703195427</v>
      </c>
      <c r="BZ98" s="58">
        <f t="shared" si="65"/>
        <v>8675451.5703195427</v>
      </c>
      <c r="CA98" s="58">
        <f t="shared" si="65"/>
        <v>8675451.5703195427</v>
      </c>
      <c r="CB98" s="76">
        <f t="shared" si="50"/>
        <v>34701806.281278171</v>
      </c>
      <c r="CC98" s="58">
        <f t="shared" si="51"/>
        <v>8675451.5703195427</v>
      </c>
      <c r="CD98" s="58">
        <f t="shared" si="66"/>
        <v>8675451.5703195427</v>
      </c>
      <c r="CE98" s="58">
        <f t="shared" si="66"/>
        <v>8675451.5703195427</v>
      </c>
      <c r="CF98" s="58">
        <f t="shared" si="66"/>
        <v>8675451.5703195427</v>
      </c>
      <c r="CG98" s="76">
        <f t="shared" si="52"/>
        <v>34701806.281278171</v>
      </c>
      <c r="CH98" s="58">
        <f t="shared" si="53"/>
        <v>8675451.5703195427</v>
      </c>
      <c r="CI98" s="58">
        <f t="shared" si="54"/>
        <v>8675451.5703195427</v>
      </c>
      <c r="CJ98" s="58">
        <f t="shared" si="54"/>
        <v>8675451.5703195427</v>
      </c>
      <c r="CK98" s="58">
        <f t="shared" si="54"/>
        <v>8675451.5703195427</v>
      </c>
      <c r="CL98" s="76">
        <f t="shared" si="55"/>
        <v>34701806.281278171</v>
      </c>
      <c r="CM98" s="71"/>
      <c r="CN98" s="59">
        <f t="shared" si="67"/>
        <v>8.8861335262012085E-3</v>
      </c>
      <c r="CO98" s="64">
        <f t="shared" si="68"/>
        <v>186608804.05022538</v>
      </c>
      <c r="CP98" s="2">
        <f t="shared" si="59"/>
        <v>277614450.25022537</v>
      </c>
    </row>
    <row r="99" spans="1:94" ht="16.5" hidden="1" x14ac:dyDescent="0.3">
      <c r="A99" s="2">
        <v>94</v>
      </c>
      <c r="B99" s="47" t="s">
        <v>21</v>
      </c>
      <c r="C99" s="47"/>
      <c r="D99" s="30" t="s">
        <v>114</v>
      </c>
      <c r="E99" s="30" t="s">
        <v>115</v>
      </c>
      <c r="F99" s="30" t="s">
        <v>116</v>
      </c>
      <c r="G99" s="62" t="s">
        <v>117</v>
      </c>
      <c r="H99" s="48" t="s">
        <v>385</v>
      </c>
      <c r="I99" s="30" t="s">
        <v>119</v>
      </c>
      <c r="J99" s="30" t="s">
        <v>120</v>
      </c>
      <c r="K99" s="30" t="s">
        <v>121</v>
      </c>
      <c r="L99" s="30" t="s">
        <v>122</v>
      </c>
      <c r="M99" s="73">
        <v>2101231</v>
      </c>
      <c r="N99" s="48" t="s">
        <v>138</v>
      </c>
      <c r="O99" s="48" t="s">
        <v>405</v>
      </c>
      <c r="P99" s="30" t="s">
        <v>371</v>
      </c>
      <c r="Q99" s="30" t="s">
        <v>395</v>
      </c>
      <c r="R99" s="30"/>
      <c r="S99" s="61" t="s">
        <v>402</v>
      </c>
      <c r="T99" s="30"/>
      <c r="U99" s="48"/>
      <c r="V99" s="48" t="s">
        <v>403</v>
      </c>
      <c r="W99" s="48" t="s">
        <v>406</v>
      </c>
      <c r="X99" s="48" t="s">
        <v>127</v>
      </c>
      <c r="Y99" s="48" t="s">
        <v>128</v>
      </c>
      <c r="Z99" s="48" t="s">
        <v>128</v>
      </c>
      <c r="AA99" s="48" t="s">
        <v>129</v>
      </c>
      <c r="AB99" s="48" t="s">
        <v>396</v>
      </c>
      <c r="AC99" s="48" t="s">
        <v>396</v>
      </c>
      <c r="AD99" s="48"/>
      <c r="AE99" s="48"/>
      <c r="AF99" s="48" t="s">
        <v>131</v>
      </c>
      <c r="AG99" s="48" t="s">
        <v>397</v>
      </c>
      <c r="AH99" s="48"/>
      <c r="AI99" s="48"/>
      <c r="AJ99" s="50">
        <v>44559</v>
      </c>
      <c r="AK99" s="50">
        <v>44559</v>
      </c>
      <c r="AL99" s="51">
        <f t="shared" si="45"/>
        <v>3.8410958904109589</v>
      </c>
      <c r="AM99" s="52">
        <v>8</v>
      </c>
      <c r="AN99" s="48" t="s">
        <v>169</v>
      </c>
      <c r="AO99" s="30" t="s">
        <v>133</v>
      </c>
      <c r="AP99" s="30" t="s">
        <v>134</v>
      </c>
      <c r="AQ99" s="30"/>
      <c r="AR99" s="30"/>
      <c r="AS99" s="30"/>
      <c r="AT99" s="30" t="e">
        <v>#N/A</v>
      </c>
      <c r="AU99" s="53">
        <v>400000000</v>
      </c>
      <c r="AV99" s="54"/>
      <c r="AW99" s="54"/>
      <c r="AX99" s="54">
        <v>400000000</v>
      </c>
      <c r="AY99" s="54"/>
      <c r="AZ99" s="54"/>
      <c r="BA99" s="54">
        <v>180526317</v>
      </c>
      <c r="BB99" s="55">
        <v>34500134</v>
      </c>
      <c r="BC99" s="52">
        <v>96</v>
      </c>
      <c r="BD99" s="52">
        <v>48</v>
      </c>
      <c r="BE99" s="52">
        <v>47</v>
      </c>
      <c r="BF99" s="30"/>
      <c r="BG99" s="30" t="s">
        <v>135</v>
      </c>
      <c r="BH99" s="30" t="s">
        <v>136</v>
      </c>
      <c r="BI99" s="30" t="str">
        <f t="shared" si="56"/>
        <v>Test</v>
      </c>
      <c r="BJ99" s="47" t="s">
        <v>137</v>
      </c>
      <c r="BK99" s="56">
        <f t="shared" si="57"/>
        <v>189552632.84999999</v>
      </c>
      <c r="BL99" s="57">
        <f t="shared" si="58"/>
        <v>18069809.456687711</v>
      </c>
      <c r="BM99" s="57">
        <f t="shared" si="46"/>
        <v>6023269.8188959034</v>
      </c>
      <c r="BU99" s="58">
        <f t="shared" si="47"/>
        <v>18069809.456687711</v>
      </c>
      <c r="BV99" s="58">
        <f t="shared" si="48"/>
        <v>18069809.456687711</v>
      </c>
      <c r="BW99" s="58">
        <f t="shared" si="62"/>
        <v>36139618.913375422</v>
      </c>
      <c r="BX99" s="58">
        <f t="shared" si="49"/>
        <v>18069809.456687711</v>
      </c>
      <c r="BY99" s="58">
        <f t="shared" si="65"/>
        <v>18069809.456687711</v>
      </c>
      <c r="BZ99" s="58">
        <f t="shared" si="65"/>
        <v>18069809.456687711</v>
      </c>
      <c r="CA99" s="58">
        <f t="shared" si="65"/>
        <v>18069809.456687711</v>
      </c>
      <c r="CB99" s="58">
        <f t="shared" si="50"/>
        <v>72279237.826750845</v>
      </c>
      <c r="CC99" s="58">
        <f t="shared" si="51"/>
        <v>18069809.456687711</v>
      </c>
      <c r="CD99" s="58">
        <f t="shared" si="66"/>
        <v>18069809.456687711</v>
      </c>
      <c r="CE99" s="58">
        <f t="shared" si="66"/>
        <v>18069809.456687711</v>
      </c>
      <c r="CF99" s="58">
        <f t="shared" si="66"/>
        <v>18069809.456687711</v>
      </c>
      <c r="CG99" s="58">
        <f t="shared" si="52"/>
        <v>72279237.826750845</v>
      </c>
      <c r="CH99" s="58">
        <f t="shared" si="53"/>
        <v>18069809.456687711</v>
      </c>
      <c r="CI99" s="58">
        <f t="shared" si="54"/>
        <v>18069809.456687711</v>
      </c>
      <c r="CJ99" s="58">
        <f t="shared" si="54"/>
        <v>18069809.456687711</v>
      </c>
      <c r="CK99" s="58">
        <f t="shared" si="54"/>
        <v>18069809.456687711</v>
      </c>
      <c r="CL99" s="58">
        <f t="shared" si="55"/>
        <v>72279237.826750845</v>
      </c>
      <c r="CN99" s="59">
        <f t="shared" si="67"/>
        <v>1.8508631893524134E-2</v>
      </c>
      <c r="CO99" s="64">
        <f t="shared" si="68"/>
        <v>388681269.76400679</v>
      </c>
      <c r="CP99" s="2">
        <f t="shared" si="59"/>
        <v>578233902.61400676</v>
      </c>
    </row>
    <row r="100" spans="1:94" s="78" customFormat="1" hidden="1" x14ac:dyDescent="0.3">
      <c r="A100" s="29">
        <v>95</v>
      </c>
      <c r="B100" s="30" t="s">
        <v>21</v>
      </c>
      <c r="C100" s="30"/>
      <c r="D100" s="30" t="s">
        <v>114</v>
      </c>
      <c r="E100" s="30" t="s">
        <v>115</v>
      </c>
      <c r="F100" s="30" t="s">
        <v>116</v>
      </c>
      <c r="G100" s="62" t="s">
        <v>117</v>
      </c>
      <c r="H100" s="48" t="s">
        <v>385</v>
      </c>
      <c r="I100" s="30" t="s">
        <v>119</v>
      </c>
      <c r="J100" s="30" t="s">
        <v>120</v>
      </c>
      <c r="K100" s="30" t="s">
        <v>121</v>
      </c>
      <c r="L100" s="30" t="s">
        <v>122</v>
      </c>
      <c r="M100" s="73">
        <v>2101332</v>
      </c>
      <c r="N100" s="48" t="s">
        <v>138</v>
      </c>
      <c r="O100" s="48" t="s">
        <v>407</v>
      </c>
      <c r="P100" s="30" t="s">
        <v>371</v>
      </c>
      <c r="Q100" s="30" t="s">
        <v>395</v>
      </c>
      <c r="R100" s="30"/>
      <c r="S100" s="61" t="s">
        <v>402</v>
      </c>
      <c r="T100" s="30"/>
      <c r="U100" s="48"/>
      <c r="V100" s="48" t="s">
        <v>403</v>
      </c>
      <c r="W100" s="48" t="s">
        <v>408</v>
      </c>
      <c r="X100" s="48"/>
      <c r="Y100" s="48" t="s">
        <v>128</v>
      </c>
      <c r="Z100" s="48" t="s">
        <v>128</v>
      </c>
      <c r="AA100" s="48" t="s">
        <v>129</v>
      </c>
      <c r="AB100" s="48" t="s">
        <v>396</v>
      </c>
      <c r="AC100" s="48" t="s">
        <v>396</v>
      </c>
      <c r="AD100" s="48"/>
      <c r="AE100" s="48"/>
      <c r="AF100" s="48" t="s">
        <v>131</v>
      </c>
      <c r="AG100" s="48" t="s">
        <v>397</v>
      </c>
      <c r="AH100" s="48"/>
      <c r="AI100" s="48"/>
      <c r="AJ100" s="50">
        <v>44708</v>
      </c>
      <c r="AK100" s="50">
        <v>44708</v>
      </c>
      <c r="AL100" s="51">
        <f t="shared" si="45"/>
        <v>3.4328767123287673</v>
      </c>
      <c r="AM100" s="52">
        <v>8</v>
      </c>
      <c r="AN100" s="48" t="s">
        <v>169</v>
      </c>
      <c r="AO100" s="30" t="s">
        <v>133</v>
      </c>
      <c r="AP100" s="30" t="s">
        <v>134</v>
      </c>
      <c r="AQ100" s="30"/>
      <c r="AR100" s="30"/>
      <c r="AS100" s="30"/>
      <c r="AT100" s="30" t="e">
        <v>#N/A</v>
      </c>
      <c r="AU100" s="53">
        <v>83337934</v>
      </c>
      <c r="AV100" s="54"/>
      <c r="AW100" s="54"/>
      <c r="AX100" s="54">
        <v>83337934</v>
      </c>
      <c r="AY100" s="54"/>
      <c r="AZ100" s="54"/>
      <c r="BA100" s="74">
        <v>44746788</v>
      </c>
      <c r="BB100" s="74">
        <v>8780309</v>
      </c>
      <c r="BC100" s="52">
        <v>96</v>
      </c>
      <c r="BD100" s="52">
        <v>43</v>
      </c>
      <c r="BE100" s="52">
        <v>52</v>
      </c>
      <c r="BF100" s="30"/>
      <c r="BG100" s="30" t="s">
        <v>135</v>
      </c>
      <c r="BH100" s="30" t="s">
        <v>136</v>
      </c>
      <c r="BI100" s="30" t="str">
        <f t="shared" si="56"/>
        <v>Test</v>
      </c>
      <c r="BJ100" s="30" t="s">
        <v>250</v>
      </c>
      <c r="BK100" s="56">
        <f t="shared" si="57"/>
        <v>46984127.399999999</v>
      </c>
      <c r="BL100" s="57">
        <f t="shared" si="58"/>
        <v>1468253.98125</v>
      </c>
      <c r="BM100" s="57">
        <f t="shared" si="46"/>
        <v>489417.99374999997</v>
      </c>
      <c r="BN100" s="2"/>
      <c r="BO100" s="2"/>
      <c r="BP100" s="15"/>
      <c r="BQ100" s="15"/>
      <c r="BR100" s="15"/>
      <c r="BS100" s="15"/>
      <c r="BT100" s="15"/>
      <c r="BU100" s="58">
        <f t="shared" si="47"/>
        <v>1468253.98125</v>
      </c>
      <c r="BV100" s="58">
        <f t="shared" si="48"/>
        <v>1468253.98125</v>
      </c>
      <c r="BW100" s="58">
        <f t="shared" si="62"/>
        <v>2936507.9624999999</v>
      </c>
      <c r="BX100" s="58">
        <f t="shared" si="49"/>
        <v>1468253.98125</v>
      </c>
      <c r="BY100" s="58">
        <f t="shared" si="65"/>
        <v>1468253.98125</v>
      </c>
      <c r="BZ100" s="58">
        <f t="shared" si="65"/>
        <v>1468253.98125</v>
      </c>
      <c r="CA100" s="58">
        <f t="shared" si="65"/>
        <v>1468253.98125</v>
      </c>
      <c r="CB100" s="58">
        <f t="shared" si="50"/>
        <v>5873015.9249999998</v>
      </c>
      <c r="CC100" s="58">
        <f t="shared" si="51"/>
        <v>1468253.98125</v>
      </c>
      <c r="CD100" s="58">
        <f t="shared" si="66"/>
        <v>1468253.98125</v>
      </c>
      <c r="CE100" s="58">
        <f t="shared" si="66"/>
        <v>1468253.98125</v>
      </c>
      <c r="CF100" s="58">
        <f t="shared" si="66"/>
        <v>1468253.98125</v>
      </c>
      <c r="CG100" s="58">
        <f t="shared" si="52"/>
        <v>5873015.9249999998</v>
      </c>
      <c r="CH100" s="58">
        <f t="shared" si="53"/>
        <v>1468253.98125</v>
      </c>
      <c r="CI100" s="58">
        <f t="shared" si="54"/>
        <v>1468253.98125</v>
      </c>
      <c r="CJ100" s="58">
        <f t="shared" si="54"/>
        <v>1468253.98125</v>
      </c>
      <c r="CK100" s="58">
        <f t="shared" si="54"/>
        <v>1468253.98125</v>
      </c>
      <c r="CL100" s="58">
        <f t="shared" si="55"/>
        <v>5873015.9249999998</v>
      </c>
      <c r="CM100" s="2"/>
      <c r="CN100" s="2"/>
      <c r="CO100" s="77"/>
      <c r="CP100" s="78">
        <f t="shared" si="59"/>
        <v>46984127.399999999</v>
      </c>
    </row>
    <row r="101" spans="1:94" s="78" customFormat="1" ht="16.5" hidden="1" x14ac:dyDescent="0.3">
      <c r="A101" s="2">
        <v>96</v>
      </c>
      <c r="B101" s="47" t="s">
        <v>21</v>
      </c>
      <c r="C101" s="47"/>
      <c r="D101" s="30" t="s">
        <v>114</v>
      </c>
      <c r="E101" s="30" t="s">
        <v>115</v>
      </c>
      <c r="F101" s="30" t="s">
        <v>116</v>
      </c>
      <c r="G101" s="30" t="s">
        <v>117</v>
      </c>
      <c r="H101" s="62" t="s">
        <v>385</v>
      </c>
      <c r="I101" s="30" t="s">
        <v>119</v>
      </c>
      <c r="J101" s="30" t="s">
        <v>120</v>
      </c>
      <c r="K101" s="30" t="s">
        <v>121</v>
      </c>
      <c r="L101" s="48" t="s">
        <v>409</v>
      </c>
      <c r="M101" s="79">
        <v>2100163</v>
      </c>
      <c r="N101" s="48" t="s">
        <v>138</v>
      </c>
      <c r="O101" s="48" t="s">
        <v>410</v>
      </c>
      <c r="P101" s="30" t="s">
        <v>411</v>
      </c>
      <c r="Q101" s="30" t="s">
        <v>411</v>
      </c>
      <c r="R101" s="30" t="s">
        <v>412</v>
      </c>
      <c r="S101" s="61" t="s">
        <v>413</v>
      </c>
      <c r="T101" s="30" t="s">
        <v>414</v>
      </c>
      <c r="U101" s="48" t="s">
        <v>144</v>
      </c>
      <c r="V101" s="48" t="s">
        <v>415</v>
      </c>
      <c r="W101" s="48" t="s">
        <v>176</v>
      </c>
      <c r="X101" s="48" t="s">
        <v>127</v>
      </c>
      <c r="Y101" s="48" t="s">
        <v>128</v>
      </c>
      <c r="Z101" s="48" t="s">
        <v>128</v>
      </c>
      <c r="AA101" s="20" t="s">
        <v>148</v>
      </c>
      <c r="AB101" s="48" t="s">
        <v>416</v>
      </c>
      <c r="AC101" s="48" t="s">
        <v>416</v>
      </c>
      <c r="AD101" s="48"/>
      <c r="AE101" s="48"/>
      <c r="AF101" s="48" t="s">
        <v>151</v>
      </c>
      <c r="AG101" s="48" t="s">
        <v>152</v>
      </c>
      <c r="AH101" s="48" t="s">
        <v>180</v>
      </c>
      <c r="AI101" s="48"/>
      <c r="AJ101" s="30"/>
      <c r="AK101" s="80">
        <v>37072</v>
      </c>
      <c r="AL101" s="51">
        <f t="shared" si="45"/>
        <v>24.353424657534248</v>
      </c>
      <c r="AM101" s="52">
        <v>8</v>
      </c>
      <c r="AN101" s="48" t="s">
        <v>132</v>
      </c>
      <c r="AO101" s="30" t="s">
        <v>133</v>
      </c>
      <c r="AP101" s="30" t="s">
        <v>134</v>
      </c>
      <c r="AQ101" s="30">
        <v>0.57200000000000006</v>
      </c>
      <c r="AR101" s="81">
        <v>1229</v>
      </c>
      <c r="AS101" s="81">
        <v>1127</v>
      </c>
      <c r="AT101" s="81">
        <v>933</v>
      </c>
      <c r="AU101" s="53">
        <v>133168961</v>
      </c>
      <c r="AV101" s="54"/>
      <c r="AW101" s="54"/>
      <c r="AX101" s="54">
        <v>133168961</v>
      </c>
      <c r="AY101" s="54"/>
      <c r="AZ101" s="54"/>
      <c r="BA101" s="54">
        <v>1000</v>
      </c>
      <c r="BB101" s="55">
        <v>1000</v>
      </c>
      <c r="BC101" s="52">
        <v>96</v>
      </c>
      <c r="BD101" s="52">
        <v>294</v>
      </c>
      <c r="BE101" s="52">
        <v>0</v>
      </c>
      <c r="BF101" s="30"/>
      <c r="BG101" s="30" t="s">
        <v>417</v>
      </c>
      <c r="BH101" s="30" t="s">
        <v>136</v>
      </c>
      <c r="BI101" s="30" t="str">
        <f t="shared" si="56"/>
        <v>Test</v>
      </c>
      <c r="BJ101" s="47" t="s">
        <v>137</v>
      </c>
      <c r="BK101" s="56">
        <f t="shared" si="57"/>
        <v>2663379.2200000002</v>
      </c>
      <c r="BL101" s="57">
        <f t="shared" si="58"/>
        <v>253896.52621911105</v>
      </c>
      <c r="BM101" s="57">
        <f t="shared" si="46"/>
        <v>84632.175406370356</v>
      </c>
      <c r="BN101" s="2"/>
      <c r="BO101" s="2"/>
      <c r="BP101" s="15"/>
      <c r="BQ101" s="15"/>
      <c r="BR101" s="15"/>
      <c r="BS101" s="15"/>
      <c r="BT101" s="15"/>
      <c r="BU101" s="58">
        <f t="shared" si="47"/>
        <v>253896.52621911105</v>
      </c>
      <c r="BV101" s="58">
        <f t="shared" si="48"/>
        <v>253896.52621911105</v>
      </c>
      <c r="BW101" s="58">
        <f t="shared" si="62"/>
        <v>507793.0524382221</v>
      </c>
      <c r="BX101" s="58">
        <f t="shared" si="49"/>
        <v>253896.52621911105</v>
      </c>
      <c r="BY101" s="58">
        <f t="shared" si="65"/>
        <v>253896.52621911105</v>
      </c>
      <c r="BZ101" s="58">
        <f t="shared" si="65"/>
        <v>253896.52621911105</v>
      </c>
      <c r="CA101" s="58">
        <f t="shared" si="65"/>
        <v>253896.52621911105</v>
      </c>
      <c r="CB101" s="58">
        <f t="shared" si="50"/>
        <v>1015586.1048764442</v>
      </c>
      <c r="CC101" s="58">
        <f t="shared" si="51"/>
        <v>253896.52621911105</v>
      </c>
      <c r="CD101" s="58">
        <f t="shared" si="66"/>
        <v>253896.52621911105</v>
      </c>
      <c r="CE101" s="58">
        <f t="shared" si="66"/>
        <v>253896.52621911105</v>
      </c>
      <c r="CF101" s="58">
        <f t="shared" si="66"/>
        <v>253896.52621911105</v>
      </c>
      <c r="CG101" s="58">
        <f t="shared" si="52"/>
        <v>1015586.1048764442</v>
      </c>
      <c r="CH101" s="58">
        <f t="shared" si="53"/>
        <v>253896.52621911105</v>
      </c>
      <c r="CI101" s="58">
        <f t="shared" si="54"/>
        <v>253896.52621911105</v>
      </c>
      <c r="CJ101" s="58">
        <f t="shared" si="54"/>
        <v>253896.52621911105</v>
      </c>
      <c r="CK101" s="58">
        <f t="shared" si="54"/>
        <v>253896.52621911105</v>
      </c>
      <c r="CL101" s="58">
        <f t="shared" si="55"/>
        <v>1015586.1048764442</v>
      </c>
      <c r="CM101" s="2"/>
      <c r="CN101" s="59">
        <f t="shared" ref="CN101:CN106" si="69">BK101/$CN$3</f>
        <v>2.6006236281007395E-4</v>
      </c>
      <c r="CO101" s="64">
        <f t="shared" ref="CO101:CO106" si="70">CN101*$CO$4</f>
        <v>5461309.619011553</v>
      </c>
      <c r="CP101" s="78">
        <f t="shared" si="59"/>
        <v>8124688.8390115537</v>
      </c>
    </row>
    <row r="102" spans="1:94" s="78" customFormat="1" ht="16.5" hidden="1" x14ac:dyDescent="0.3">
      <c r="A102" s="2">
        <v>97</v>
      </c>
      <c r="B102" s="47" t="s">
        <v>21</v>
      </c>
      <c r="C102" s="47"/>
      <c r="D102" s="30" t="s">
        <v>114</v>
      </c>
      <c r="E102" s="30" t="s">
        <v>115</v>
      </c>
      <c r="F102" s="30" t="s">
        <v>116</v>
      </c>
      <c r="G102" s="30" t="s">
        <v>117</v>
      </c>
      <c r="H102" s="62" t="s">
        <v>385</v>
      </c>
      <c r="I102" s="30" t="s">
        <v>119</v>
      </c>
      <c r="J102" s="30" t="s">
        <v>120</v>
      </c>
      <c r="K102" s="30" t="s">
        <v>121</v>
      </c>
      <c r="L102" s="48" t="s">
        <v>409</v>
      </c>
      <c r="M102" s="79">
        <v>2100167</v>
      </c>
      <c r="N102" s="48" t="s">
        <v>138</v>
      </c>
      <c r="O102" s="48" t="s">
        <v>418</v>
      </c>
      <c r="P102" s="30" t="s">
        <v>419</v>
      </c>
      <c r="Q102" s="30" t="s">
        <v>419</v>
      </c>
      <c r="R102" s="30"/>
      <c r="S102" s="61" t="s">
        <v>420</v>
      </c>
      <c r="T102" s="30" t="s">
        <v>421</v>
      </c>
      <c r="U102" s="48" t="s">
        <v>144</v>
      </c>
      <c r="V102" s="48" t="s">
        <v>415</v>
      </c>
      <c r="W102" s="48" t="s">
        <v>176</v>
      </c>
      <c r="X102" s="48" t="s">
        <v>127</v>
      </c>
      <c r="Y102" s="48" t="s">
        <v>128</v>
      </c>
      <c r="Z102" s="48" t="s">
        <v>128</v>
      </c>
      <c r="AA102" s="20" t="s">
        <v>148</v>
      </c>
      <c r="AB102" s="48" t="s">
        <v>416</v>
      </c>
      <c r="AC102" s="48" t="s">
        <v>416</v>
      </c>
      <c r="AD102" s="48"/>
      <c r="AE102" s="48"/>
      <c r="AF102" s="48" t="s">
        <v>151</v>
      </c>
      <c r="AG102" s="48" t="s">
        <v>152</v>
      </c>
      <c r="AH102" s="48" t="s">
        <v>180</v>
      </c>
      <c r="AI102" s="48"/>
      <c r="AJ102" s="30"/>
      <c r="AK102" s="80">
        <v>37183</v>
      </c>
      <c r="AL102" s="51">
        <f t="shared" si="45"/>
        <v>24.049315068493151</v>
      </c>
      <c r="AM102" s="52">
        <v>8</v>
      </c>
      <c r="AN102" s="48" t="s">
        <v>132</v>
      </c>
      <c r="AO102" s="30" t="s">
        <v>133</v>
      </c>
      <c r="AP102" s="30" t="s">
        <v>134</v>
      </c>
      <c r="AQ102" s="30">
        <v>0.56999999999999995</v>
      </c>
      <c r="AR102" s="81">
        <v>1229</v>
      </c>
      <c r="AS102" s="81">
        <v>1127</v>
      </c>
      <c r="AT102" s="81">
        <v>933</v>
      </c>
      <c r="AU102" s="53">
        <v>102694818</v>
      </c>
      <c r="AV102" s="54"/>
      <c r="AW102" s="54"/>
      <c r="AX102" s="54">
        <v>102694818</v>
      </c>
      <c r="AY102" s="54"/>
      <c r="AZ102" s="54"/>
      <c r="BA102" s="54">
        <v>1000</v>
      </c>
      <c r="BB102" s="55">
        <v>1000</v>
      </c>
      <c r="BC102" s="52">
        <v>96</v>
      </c>
      <c r="BD102" s="52">
        <v>290</v>
      </c>
      <c r="BE102" s="52">
        <v>0</v>
      </c>
      <c r="BF102" s="30"/>
      <c r="BG102" s="30" t="s">
        <v>417</v>
      </c>
      <c r="BH102" s="30" t="s">
        <v>136</v>
      </c>
      <c r="BI102" s="30" t="str">
        <f t="shared" si="56"/>
        <v>Test</v>
      </c>
      <c r="BJ102" s="47" t="s">
        <v>137</v>
      </c>
      <c r="BK102" s="56">
        <f t="shared" si="57"/>
        <v>2053896.36</v>
      </c>
      <c r="BL102" s="57">
        <f t="shared" si="58"/>
        <v>195795.30661731178</v>
      </c>
      <c r="BM102" s="57">
        <f t="shared" si="46"/>
        <v>65265.102205770592</v>
      </c>
      <c r="BN102" s="2"/>
      <c r="BO102" s="2"/>
      <c r="BP102" s="15"/>
      <c r="BQ102" s="15"/>
      <c r="BR102" s="15"/>
      <c r="BS102" s="15"/>
      <c r="BT102" s="15"/>
      <c r="BU102" s="58">
        <f t="shared" si="47"/>
        <v>195795.30661731178</v>
      </c>
      <c r="BV102" s="58">
        <f t="shared" si="48"/>
        <v>195795.30661731178</v>
      </c>
      <c r="BW102" s="58">
        <f t="shared" si="62"/>
        <v>391590.61323462357</v>
      </c>
      <c r="BX102" s="58">
        <f t="shared" si="49"/>
        <v>195795.30661731178</v>
      </c>
      <c r="BY102" s="58">
        <f t="shared" si="65"/>
        <v>195795.30661731178</v>
      </c>
      <c r="BZ102" s="58">
        <f t="shared" si="65"/>
        <v>195795.30661731178</v>
      </c>
      <c r="CA102" s="58">
        <f t="shared" si="65"/>
        <v>195795.30661731178</v>
      </c>
      <c r="CB102" s="58">
        <f t="shared" si="50"/>
        <v>783181.22646924714</v>
      </c>
      <c r="CC102" s="58">
        <f t="shared" si="51"/>
        <v>195795.30661731178</v>
      </c>
      <c r="CD102" s="58">
        <f t="shared" si="66"/>
        <v>195795.30661731178</v>
      </c>
      <c r="CE102" s="58">
        <f t="shared" si="66"/>
        <v>195795.30661731178</v>
      </c>
      <c r="CF102" s="58">
        <f t="shared" si="66"/>
        <v>195795.30661731178</v>
      </c>
      <c r="CG102" s="58">
        <f t="shared" si="52"/>
        <v>783181.22646924714</v>
      </c>
      <c r="CH102" s="58">
        <f t="shared" si="53"/>
        <v>195795.30661731178</v>
      </c>
      <c r="CI102" s="58">
        <f t="shared" si="54"/>
        <v>195795.30661731178</v>
      </c>
      <c r="CJ102" s="58">
        <f t="shared" si="54"/>
        <v>195795.30661731178</v>
      </c>
      <c r="CK102" s="58">
        <f t="shared" si="54"/>
        <v>195795.30661731178</v>
      </c>
      <c r="CL102" s="58">
        <f t="shared" si="55"/>
        <v>783181.22646924714</v>
      </c>
      <c r="CM102" s="2"/>
      <c r="CN102" s="59">
        <f t="shared" si="69"/>
        <v>2.0055016436923699E-4</v>
      </c>
      <c r="CO102" s="64">
        <f t="shared" si="70"/>
        <v>4211553.4517539768</v>
      </c>
      <c r="CP102" s="78">
        <f t="shared" si="59"/>
        <v>6265449.8117539771</v>
      </c>
    </row>
    <row r="103" spans="1:94" s="78" customFormat="1" ht="16.5" hidden="1" x14ac:dyDescent="0.3">
      <c r="A103" s="2">
        <v>98</v>
      </c>
      <c r="B103" s="47" t="s">
        <v>21</v>
      </c>
      <c r="C103" s="47"/>
      <c r="D103" s="30" t="s">
        <v>114</v>
      </c>
      <c r="E103" s="30" t="s">
        <v>115</v>
      </c>
      <c r="F103" s="30" t="s">
        <v>116</v>
      </c>
      <c r="G103" s="30" t="s">
        <v>117</v>
      </c>
      <c r="H103" s="62" t="s">
        <v>385</v>
      </c>
      <c r="I103" s="30" t="s">
        <v>119</v>
      </c>
      <c r="J103" s="30" t="s">
        <v>120</v>
      </c>
      <c r="K103" s="30" t="s">
        <v>121</v>
      </c>
      <c r="L103" s="48" t="s">
        <v>409</v>
      </c>
      <c r="M103" s="79">
        <v>2100210</v>
      </c>
      <c r="N103" s="48" t="s">
        <v>138</v>
      </c>
      <c r="O103" s="48" t="s">
        <v>422</v>
      </c>
      <c r="P103" s="30" t="s">
        <v>423</v>
      </c>
      <c r="Q103" s="30" t="s">
        <v>411</v>
      </c>
      <c r="R103" s="30" t="s">
        <v>412</v>
      </c>
      <c r="S103" s="30" t="s">
        <v>424</v>
      </c>
      <c r="T103" s="30" t="s">
        <v>425</v>
      </c>
      <c r="U103" s="48" t="s">
        <v>144</v>
      </c>
      <c r="V103" s="48" t="s">
        <v>415</v>
      </c>
      <c r="W103" s="48" t="s">
        <v>426</v>
      </c>
      <c r="X103" s="48" t="s">
        <v>127</v>
      </c>
      <c r="Y103" s="48" t="s">
        <v>128</v>
      </c>
      <c r="Z103" s="48" t="s">
        <v>128</v>
      </c>
      <c r="AA103" s="20" t="s">
        <v>148</v>
      </c>
      <c r="AB103" s="48" t="s">
        <v>416</v>
      </c>
      <c r="AC103" s="48" t="s">
        <v>416</v>
      </c>
      <c r="AD103" s="48"/>
      <c r="AE103" s="48"/>
      <c r="AF103" s="48" t="s">
        <v>151</v>
      </c>
      <c r="AG103" s="48" t="s">
        <v>152</v>
      </c>
      <c r="AH103" s="48" t="s">
        <v>180</v>
      </c>
      <c r="AI103" s="48"/>
      <c r="AJ103" s="30"/>
      <c r="AK103" s="80">
        <v>39276</v>
      </c>
      <c r="AL103" s="51">
        <f t="shared" si="45"/>
        <v>18.315068493150687</v>
      </c>
      <c r="AM103" s="52">
        <v>8</v>
      </c>
      <c r="AN103" s="48" t="s">
        <v>132</v>
      </c>
      <c r="AO103" s="30" t="s">
        <v>133</v>
      </c>
      <c r="AP103" s="30" t="s">
        <v>134</v>
      </c>
      <c r="AQ103" s="30">
        <v>0.56999999999999995</v>
      </c>
      <c r="AR103" s="81">
        <v>1229</v>
      </c>
      <c r="AS103" s="81">
        <v>1127</v>
      </c>
      <c r="AT103" s="81">
        <v>933</v>
      </c>
      <c r="AU103" s="53">
        <v>53300000</v>
      </c>
      <c r="AV103" s="54"/>
      <c r="AW103" s="54"/>
      <c r="AX103" s="54">
        <v>53300000</v>
      </c>
      <c r="AY103" s="54"/>
      <c r="AZ103" s="54"/>
      <c r="BA103" s="54">
        <v>1000</v>
      </c>
      <c r="BB103" s="55">
        <v>1000</v>
      </c>
      <c r="BC103" s="52">
        <v>96</v>
      </c>
      <c r="BD103" s="52">
        <v>221</v>
      </c>
      <c r="BE103" s="52">
        <v>0</v>
      </c>
      <c r="BF103" s="30"/>
      <c r="BG103" s="30" t="s">
        <v>417</v>
      </c>
      <c r="BH103" s="30" t="s">
        <v>136</v>
      </c>
      <c r="BI103" s="30" t="str">
        <f t="shared" si="56"/>
        <v>Test</v>
      </c>
      <c r="BJ103" s="47" t="s">
        <v>137</v>
      </c>
      <c r="BK103" s="56">
        <f t="shared" si="57"/>
        <v>1066000</v>
      </c>
      <c r="BL103" s="57">
        <f t="shared" si="58"/>
        <v>101620.41323937803</v>
      </c>
      <c r="BM103" s="57">
        <f t="shared" si="46"/>
        <v>33873.471079792675</v>
      </c>
      <c r="BN103" s="2"/>
      <c r="BO103" s="2"/>
      <c r="BP103" s="15"/>
      <c r="BQ103" s="15"/>
      <c r="BR103" s="15"/>
      <c r="BS103" s="15"/>
      <c r="BT103" s="15"/>
      <c r="BU103" s="58">
        <f t="shared" si="47"/>
        <v>101620.41323937802</v>
      </c>
      <c r="BV103" s="58">
        <f t="shared" si="48"/>
        <v>101620.41323937802</v>
      </c>
      <c r="BW103" s="58">
        <f t="shared" si="62"/>
        <v>203240.82647875603</v>
      </c>
      <c r="BX103" s="58">
        <f t="shared" si="49"/>
        <v>101620.41323937802</v>
      </c>
      <c r="BY103" s="58">
        <f t="shared" si="65"/>
        <v>101620.41323937802</v>
      </c>
      <c r="BZ103" s="58">
        <f t="shared" si="65"/>
        <v>101620.41323937802</v>
      </c>
      <c r="CA103" s="58">
        <f t="shared" si="65"/>
        <v>101620.41323937802</v>
      </c>
      <c r="CB103" s="58">
        <f t="shared" si="50"/>
        <v>406481.65295751207</v>
      </c>
      <c r="CC103" s="58">
        <f t="shared" si="51"/>
        <v>101620.41323937802</v>
      </c>
      <c r="CD103" s="58">
        <f t="shared" si="66"/>
        <v>101620.41323937802</v>
      </c>
      <c r="CE103" s="58">
        <f t="shared" si="66"/>
        <v>101620.41323937802</v>
      </c>
      <c r="CF103" s="58">
        <f t="shared" si="66"/>
        <v>101620.41323937802</v>
      </c>
      <c r="CG103" s="58">
        <f t="shared" si="52"/>
        <v>406481.65295751207</v>
      </c>
      <c r="CH103" s="58">
        <f t="shared" si="53"/>
        <v>101620.41323937802</v>
      </c>
      <c r="CI103" s="58">
        <f t="shared" si="54"/>
        <v>101620.41323937802</v>
      </c>
      <c r="CJ103" s="58">
        <f t="shared" si="54"/>
        <v>101620.41323937802</v>
      </c>
      <c r="CK103" s="58">
        <f t="shared" si="54"/>
        <v>101620.41323937802</v>
      </c>
      <c r="CL103" s="58">
        <f t="shared" si="55"/>
        <v>406481.65295751207</v>
      </c>
      <c r="CM103" s="2"/>
      <c r="CN103" s="59">
        <f t="shared" si="69"/>
        <v>1.040882487457189E-4</v>
      </c>
      <c r="CO103" s="64">
        <f t="shared" si="70"/>
        <v>2185853.223660097</v>
      </c>
      <c r="CP103" s="78">
        <f t="shared" si="59"/>
        <v>3251853.223660097</v>
      </c>
    </row>
    <row r="104" spans="1:94" s="78" customFormat="1" ht="16.5" hidden="1" x14ac:dyDescent="0.3">
      <c r="A104" s="2">
        <v>99</v>
      </c>
      <c r="B104" s="47" t="s">
        <v>21</v>
      </c>
      <c r="C104" s="47"/>
      <c r="D104" s="30" t="s">
        <v>114</v>
      </c>
      <c r="E104" s="30" t="s">
        <v>115</v>
      </c>
      <c r="F104" s="30" t="s">
        <v>116</v>
      </c>
      <c r="G104" s="30" t="s">
        <v>117</v>
      </c>
      <c r="H104" s="62" t="s">
        <v>385</v>
      </c>
      <c r="I104" s="30" t="s">
        <v>119</v>
      </c>
      <c r="J104" s="30" t="s">
        <v>120</v>
      </c>
      <c r="K104" s="30" t="s">
        <v>121</v>
      </c>
      <c r="L104" s="48" t="s">
        <v>409</v>
      </c>
      <c r="M104" s="79">
        <v>2100225</v>
      </c>
      <c r="N104" s="48" t="s">
        <v>138</v>
      </c>
      <c r="O104" s="48" t="s">
        <v>422</v>
      </c>
      <c r="P104" s="30" t="s">
        <v>427</v>
      </c>
      <c r="Q104" s="30" t="s">
        <v>419</v>
      </c>
      <c r="R104" s="30"/>
      <c r="S104" s="30" t="s">
        <v>428</v>
      </c>
      <c r="T104" s="30" t="s">
        <v>429</v>
      </c>
      <c r="U104" s="48" t="s">
        <v>144</v>
      </c>
      <c r="V104" s="48" t="s">
        <v>415</v>
      </c>
      <c r="W104" s="48" t="s">
        <v>176</v>
      </c>
      <c r="X104" s="48" t="s">
        <v>127</v>
      </c>
      <c r="Y104" s="48" t="s">
        <v>128</v>
      </c>
      <c r="Z104" s="48" t="s">
        <v>128</v>
      </c>
      <c r="AA104" s="20" t="s">
        <v>148</v>
      </c>
      <c r="AB104" s="48" t="s">
        <v>416</v>
      </c>
      <c r="AC104" s="48" t="s">
        <v>416</v>
      </c>
      <c r="AD104" s="48"/>
      <c r="AE104" s="48"/>
      <c r="AF104" s="48" t="s">
        <v>151</v>
      </c>
      <c r="AG104" s="48" t="s">
        <v>152</v>
      </c>
      <c r="AH104" s="48" t="s">
        <v>180</v>
      </c>
      <c r="AI104" s="48"/>
      <c r="AJ104" s="30"/>
      <c r="AK104" s="80">
        <v>40025</v>
      </c>
      <c r="AL104" s="51">
        <f t="shared" si="45"/>
        <v>16.263013698630136</v>
      </c>
      <c r="AM104" s="52">
        <v>8</v>
      </c>
      <c r="AN104" s="48" t="s">
        <v>132</v>
      </c>
      <c r="AO104" s="30" t="s">
        <v>133</v>
      </c>
      <c r="AP104" s="30" t="s">
        <v>134</v>
      </c>
      <c r="AQ104" s="30">
        <v>0.56999999999999995</v>
      </c>
      <c r="AR104" s="81">
        <v>1229</v>
      </c>
      <c r="AS104" s="81">
        <v>1127</v>
      </c>
      <c r="AT104" s="81">
        <v>933</v>
      </c>
      <c r="AU104" s="53">
        <v>19800000</v>
      </c>
      <c r="AV104" s="54"/>
      <c r="AW104" s="54"/>
      <c r="AX104" s="54">
        <v>19800000</v>
      </c>
      <c r="AY104" s="54"/>
      <c r="AZ104" s="54"/>
      <c r="BA104" s="54">
        <v>1000</v>
      </c>
      <c r="BB104" s="55">
        <v>1000</v>
      </c>
      <c r="BC104" s="52">
        <v>96</v>
      </c>
      <c r="BD104" s="52">
        <v>197</v>
      </c>
      <c r="BE104" s="52">
        <v>0</v>
      </c>
      <c r="BF104" s="30"/>
      <c r="BG104" s="30" t="s">
        <v>417</v>
      </c>
      <c r="BH104" s="30" t="s">
        <v>136</v>
      </c>
      <c r="BI104" s="30" t="str">
        <f t="shared" si="56"/>
        <v>Test</v>
      </c>
      <c r="BJ104" s="47" t="s">
        <v>137</v>
      </c>
      <c r="BK104" s="56">
        <f t="shared" si="57"/>
        <v>396000</v>
      </c>
      <c r="BL104" s="57">
        <f t="shared" si="58"/>
        <v>37750.172272789583</v>
      </c>
      <c r="BM104" s="57">
        <f t="shared" si="46"/>
        <v>12583.390757596528</v>
      </c>
      <c r="BN104" s="2"/>
      <c r="BO104" s="2"/>
      <c r="BP104" s="15"/>
      <c r="BQ104" s="15"/>
      <c r="BR104" s="15"/>
      <c r="BS104" s="15"/>
      <c r="BT104" s="15"/>
      <c r="BU104" s="58">
        <f t="shared" si="47"/>
        <v>37750.172272789583</v>
      </c>
      <c r="BV104" s="58">
        <f t="shared" si="48"/>
        <v>37750.172272789583</v>
      </c>
      <c r="BW104" s="58">
        <f t="shared" si="62"/>
        <v>75500.344545579166</v>
      </c>
      <c r="BX104" s="58">
        <f t="shared" si="49"/>
        <v>37750.172272789583</v>
      </c>
      <c r="BY104" s="58">
        <f t="shared" si="65"/>
        <v>37750.172272789583</v>
      </c>
      <c r="BZ104" s="58">
        <f t="shared" si="65"/>
        <v>37750.172272789583</v>
      </c>
      <c r="CA104" s="58">
        <f t="shared" si="65"/>
        <v>37750.172272789583</v>
      </c>
      <c r="CB104" s="58">
        <f t="shared" si="50"/>
        <v>151000.68909115833</v>
      </c>
      <c r="CC104" s="58">
        <f t="shared" si="51"/>
        <v>37750.172272789583</v>
      </c>
      <c r="CD104" s="58">
        <f t="shared" si="66"/>
        <v>37750.172272789583</v>
      </c>
      <c r="CE104" s="58">
        <f t="shared" si="66"/>
        <v>37750.172272789583</v>
      </c>
      <c r="CF104" s="58">
        <f t="shared" si="66"/>
        <v>37750.172272789583</v>
      </c>
      <c r="CG104" s="58">
        <f t="shared" si="52"/>
        <v>151000.68909115833</v>
      </c>
      <c r="CH104" s="58">
        <f t="shared" si="53"/>
        <v>37750.172272789583</v>
      </c>
      <c r="CI104" s="58">
        <f t="shared" si="54"/>
        <v>37750.172272789583</v>
      </c>
      <c r="CJ104" s="58">
        <f t="shared" si="54"/>
        <v>37750.172272789583</v>
      </c>
      <c r="CK104" s="58">
        <f t="shared" si="54"/>
        <v>37750.172272789583</v>
      </c>
      <c r="CL104" s="58">
        <f t="shared" si="55"/>
        <v>151000.68909115833</v>
      </c>
      <c r="CM104" s="2"/>
      <c r="CN104" s="59">
        <f t="shared" si="69"/>
        <v>3.866692917758413E-5</v>
      </c>
      <c r="CO104" s="64">
        <f t="shared" si="70"/>
        <v>812005.51272926677</v>
      </c>
      <c r="CP104" s="78">
        <f t="shared" si="59"/>
        <v>1208005.5127292667</v>
      </c>
    </row>
    <row r="105" spans="1:94" s="78" customFormat="1" ht="16.5" hidden="1" x14ac:dyDescent="0.3">
      <c r="A105" s="2">
        <v>100</v>
      </c>
      <c r="B105" s="47" t="s">
        <v>21</v>
      </c>
      <c r="C105" s="47"/>
      <c r="D105" s="30" t="s">
        <v>114</v>
      </c>
      <c r="E105" s="30" t="s">
        <v>115</v>
      </c>
      <c r="F105" s="30" t="s">
        <v>116</v>
      </c>
      <c r="G105" s="30" t="s">
        <v>117</v>
      </c>
      <c r="H105" s="62" t="s">
        <v>385</v>
      </c>
      <c r="I105" s="30" t="s">
        <v>119</v>
      </c>
      <c r="J105" s="30" t="s">
        <v>120</v>
      </c>
      <c r="K105" s="30" t="s">
        <v>121</v>
      </c>
      <c r="L105" s="48" t="s">
        <v>409</v>
      </c>
      <c r="M105" s="79">
        <v>2100281</v>
      </c>
      <c r="N105" s="48" t="s">
        <v>138</v>
      </c>
      <c r="O105" s="48" t="s">
        <v>422</v>
      </c>
      <c r="P105" s="30" t="s">
        <v>423</v>
      </c>
      <c r="Q105" s="30" t="s">
        <v>411</v>
      </c>
      <c r="R105" s="30" t="s">
        <v>412</v>
      </c>
      <c r="S105" s="30" t="s">
        <v>430</v>
      </c>
      <c r="T105" s="30" t="s">
        <v>431</v>
      </c>
      <c r="U105" s="48" t="s">
        <v>144</v>
      </c>
      <c r="V105" s="48" t="s">
        <v>415</v>
      </c>
      <c r="W105" s="48" t="s">
        <v>176</v>
      </c>
      <c r="X105" s="48" t="s">
        <v>127</v>
      </c>
      <c r="Y105" s="48" t="s">
        <v>128</v>
      </c>
      <c r="Z105" s="48" t="s">
        <v>128</v>
      </c>
      <c r="AA105" s="20" t="s">
        <v>148</v>
      </c>
      <c r="AB105" s="48" t="s">
        <v>416</v>
      </c>
      <c r="AC105" s="48" t="s">
        <v>416</v>
      </c>
      <c r="AD105" s="48"/>
      <c r="AE105" s="48"/>
      <c r="AF105" s="48" t="s">
        <v>151</v>
      </c>
      <c r="AG105" s="48" t="s">
        <v>152</v>
      </c>
      <c r="AH105" s="48" t="s">
        <v>180</v>
      </c>
      <c r="AI105" s="48"/>
      <c r="AJ105" s="30"/>
      <c r="AK105" s="80">
        <v>40663</v>
      </c>
      <c r="AL105" s="51">
        <f t="shared" si="45"/>
        <v>14.515068493150684</v>
      </c>
      <c r="AM105" s="52">
        <v>8</v>
      </c>
      <c r="AN105" s="48" t="s">
        <v>132</v>
      </c>
      <c r="AO105" s="30" t="s">
        <v>133</v>
      </c>
      <c r="AP105" s="30" t="s">
        <v>134</v>
      </c>
      <c r="AQ105" s="30">
        <v>0.56999999999999995</v>
      </c>
      <c r="AR105" s="81">
        <v>1229</v>
      </c>
      <c r="AS105" s="81">
        <v>1127</v>
      </c>
      <c r="AT105" s="81">
        <v>933</v>
      </c>
      <c r="AU105" s="53">
        <v>45000000</v>
      </c>
      <c r="AV105" s="54"/>
      <c r="AW105" s="54"/>
      <c r="AX105" s="54">
        <v>45000000</v>
      </c>
      <c r="AY105" s="54"/>
      <c r="AZ105" s="54"/>
      <c r="BA105" s="54">
        <v>1000</v>
      </c>
      <c r="BB105" s="55">
        <v>1000</v>
      </c>
      <c r="BC105" s="52">
        <v>96</v>
      </c>
      <c r="BD105" s="52">
        <v>176</v>
      </c>
      <c r="BE105" s="52">
        <v>0</v>
      </c>
      <c r="BF105" s="30"/>
      <c r="BG105" s="30" t="s">
        <v>417</v>
      </c>
      <c r="BH105" s="30" t="s">
        <v>136</v>
      </c>
      <c r="BI105" s="30" t="str">
        <f t="shared" si="56"/>
        <v>Test</v>
      </c>
      <c r="BJ105" s="47" t="s">
        <v>137</v>
      </c>
      <c r="BK105" s="56">
        <f t="shared" si="57"/>
        <v>900000</v>
      </c>
      <c r="BL105" s="57">
        <f t="shared" si="58"/>
        <v>85795.846074521789</v>
      </c>
      <c r="BM105" s="57">
        <f t="shared" si="46"/>
        <v>28598.615358173931</v>
      </c>
      <c r="BN105" s="2"/>
      <c r="BO105" s="2"/>
      <c r="BP105" s="15"/>
      <c r="BQ105" s="15"/>
      <c r="BR105" s="15"/>
      <c r="BS105" s="15"/>
      <c r="BT105" s="15"/>
      <c r="BU105" s="58">
        <f t="shared" si="47"/>
        <v>85795.846074521789</v>
      </c>
      <c r="BV105" s="58">
        <f t="shared" si="48"/>
        <v>85795.846074521789</v>
      </c>
      <c r="BW105" s="58">
        <f t="shared" si="62"/>
        <v>171591.69214904358</v>
      </c>
      <c r="BX105" s="58">
        <f t="shared" si="49"/>
        <v>85795.846074521789</v>
      </c>
      <c r="BY105" s="58">
        <f t="shared" si="65"/>
        <v>85795.846074521789</v>
      </c>
      <c r="BZ105" s="58">
        <f t="shared" si="65"/>
        <v>85795.846074521789</v>
      </c>
      <c r="CA105" s="58">
        <f t="shared" si="65"/>
        <v>85795.846074521789</v>
      </c>
      <c r="CB105" s="58">
        <f t="shared" si="50"/>
        <v>343183.38429808716</v>
      </c>
      <c r="CC105" s="58">
        <f t="shared" si="51"/>
        <v>85795.846074521789</v>
      </c>
      <c r="CD105" s="58">
        <f t="shared" si="66"/>
        <v>85795.846074521789</v>
      </c>
      <c r="CE105" s="58">
        <f t="shared" si="66"/>
        <v>85795.846074521789</v>
      </c>
      <c r="CF105" s="58">
        <f t="shared" si="66"/>
        <v>85795.846074521789</v>
      </c>
      <c r="CG105" s="58">
        <f t="shared" si="52"/>
        <v>343183.38429808716</v>
      </c>
      <c r="CH105" s="58">
        <f t="shared" si="53"/>
        <v>85795.846074521789</v>
      </c>
      <c r="CI105" s="58">
        <f t="shared" si="54"/>
        <v>85795.846074521789</v>
      </c>
      <c r="CJ105" s="58">
        <f t="shared" si="54"/>
        <v>85795.846074521789</v>
      </c>
      <c r="CK105" s="58">
        <f t="shared" si="54"/>
        <v>85795.846074521789</v>
      </c>
      <c r="CL105" s="58">
        <f t="shared" si="55"/>
        <v>343183.38429808716</v>
      </c>
      <c r="CM105" s="2"/>
      <c r="CN105" s="59">
        <f t="shared" si="69"/>
        <v>8.7879384494509395E-5</v>
      </c>
      <c r="CO105" s="64">
        <f t="shared" si="70"/>
        <v>1845467.0743846972</v>
      </c>
      <c r="CP105" s="78">
        <f t="shared" si="59"/>
        <v>2745467.0743846972</v>
      </c>
    </row>
    <row r="106" spans="1:94" s="78" customFormat="1" ht="16.5" hidden="1" x14ac:dyDescent="0.3">
      <c r="A106" s="2">
        <v>101</v>
      </c>
      <c r="B106" s="47" t="s">
        <v>21</v>
      </c>
      <c r="C106" s="47"/>
      <c r="D106" s="30" t="s">
        <v>114</v>
      </c>
      <c r="E106" s="30" t="s">
        <v>115</v>
      </c>
      <c r="F106" s="30" t="s">
        <v>116</v>
      </c>
      <c r="G106" s="30" t="s">
        <v>117</v>
      </c>
      <c r="H106" s="62" t="s">
        <v>385</v>
      </c>
      <c r="I106" s="30" t="s">
        <v>119</v>
      </c>
      <c r="J106" s="30" t="s">
        <v>120</v>
      </c>
      <c r="K106" s="30" t="s">
        <v>121</v>
      </c>
      <c r="L106" s="48" t="s">
        <v>432</v>
      </c>
      <c r="M106" s="79">
        <v>2100368</v>
      </c>
      <c r="N106" s="48" t="s">
        <v>138</v>
      </c>
      <c r="O106" s="48" t="s">
        <v>433</v>
      </c>
      <c r="P106" s="30" t="s">
        <v>434</v>
      </c>
      <c r="Q106" s="30" t="s">
        <v>434</v>
      </c>
      <c r="R106" s="30"/>
      <c r="S106" s="30" t="s">
        <v>435</v>
      </c>
      <c r="T106" s="30" t="s">
        <v>436</v>
      </c>
      <c r="U106" s="48" t="s">
        <v>144</v>
      </c>
      <c r="V106" s="48" t="s">
        <v>437</v>
      </c>
      <c r="W106" s="48" t="s">
        <v>438</v>
      </c>
      <c r="X106" s="48" t="s">
        <v>127</v>
      </c>
      <c r="Y106" s="48" t="s">
        <v>128</v>
      </c>
      <c r="Z106" s="48" t="s">
        <v>128</v>
      </c>
      <c r="AA106" s="20" t="s">
        <v>148</v>
      </c>
      <c r="AB106" s="48" t="s">
        <v>439</v>
      </c>
      <c r="AC106" s="48" t="s">
        <v>439</v>
      </c>
      <c r="AD106" s="48"/>
      <c r="AE106" s="48"/>
      <c r="AF106" s="48" t="s">
        <v>151</v>
      </c>
      <c r="AG106" s="48" t="s">
        <v>440</v>
      </c>
      <c r="AH106" s="48"/>
      <c r="AI106" s="48"/>
      <c r="AJ106" s="30"/>
      <c r="AK106" s="80">
        <v>41698</v>
      </c>
      <c r="AL106" s="51">
        <f t="shared" si="45"/>
        <v>11.67945205479452</v>
      </c>
      <c r="AM106" s="52">
        <v>8</v>
      </c>
      <c r="AN106" s="48" t="s">
        <v>132</v>
      </c>
      <c r="AO106" s="30" t="s">
        <v>133</v>
      </c>
      <c r="AP106" s="30" t="s">
        <v>134</v>
      </c>
      <c r="AQ106" s="30"/>
      <c r="AR106" s="81">
        <v>1150</v>
      </c>
      <c r="AS106" s="81">
        <v>1050</v>
      </c>
      <c r="AT106" s="81">
        <v>1900</v>
      </c>
      <c r="AU106" s="53">
        <v>32000000</v>
      </c>
      <c r="AV106" s="54"/>
      <c r="AW106" s="54"/>
      <c r="AX106" s="54">
        <v>32000000</v>
      </c>
      <c r="AY106" s="54"/>
      <c r="AZ106" s="54"/>
      <c r="BA106" s="54">
        <v>1000</v>
      </c>
      <c r="BB106" s="55">
        <v>1000</v>
      </c>
      <c r="BC106" s="52">
        <v>96</v>
      </c>
      <c r="BD106" s="52">
        <v>142</v>
      </c>
      <c r="BE106" s="52">
        <v>0</v>
      </c>
      <c r="BF106" s="30"/>
      <c r="BG106" s="30" t="s">
        <v>441</v>
      </c>
      <c r="BH106" s="30" t="s">
        <v>136</v>
      </c>
      <c r="BI106" s="30" t="str">
        <f t="shared" si="56"/>
        <v>Test</v>
      </c>
      <c r="BJ106" s="47" t="s">
        <v>137</v>
      </c>
      <c r="BK106" s="56">
        <f t="shared" si="57"/>
        <v>640000</v>
      </c>
      <c r="BL106" s="57">
        <f t="shared" si="58"/>
        <v>61010.379430771056</v>
      </c>
      <c r="BM106" s="57">
        <f t="shared" si="46"/>
        <v>20336.793143590352</v>
      </c>
      <c r="BN106" s="2"/>
      <c r="BO106" s="2"/>
      <c r="BP106" s="15"/>
      <c r="BQ106" s="15"/>
      <c r="BR106" s="15"/>
      <c r="BS106" s="15"/>
      <c r="BT106" s="15"/>
      <c r="BU106" s="58">
        <f t="shared" si="47"/>
        <v>61010.379430771056</v>
      </c>
      <c r="BV106" s="58">
        <f t="shared" si="48"/>
        <v>61010.379430771056</v>
      </c>
      <c r="BW106" s="58">
        <f t="shared" si="62"/>
        <v>122020.75886154211</v>
      </c>
      <c r="BX106" s="58">
        <f t="shared" si="49"/>
        <v>61010.379430771056</v>
      </c>
      <c r="BY106" s="58">
        <f t="shared" ref="BY106:CA121" si="71">BX106</f>
        <v>61010.379430771056</v>
      </c>
      <c r="BZ106" s="58">
        <f t="shared" si="71"/>
        <v>61010.379430771056</v>
      </c>
      <c r="CA106" s="58">
        <f t="shared" si="71"/>
        <v>61010.379430771056</v>
      </c>
      <c r="CB106" s="58">
        <f t="shared" si="50"/>
        <v>244041.51772308422</v>
      </c>
      <c r="CC106" s="58">
        <f t="shared" si="51"/>
        <v>61010.379430771056</v>
      </c>
      <c r="CD106" s="58">
        <f t="shared" ref="CD106:CF125" si="72">CC106</f>
        <v>61010.379430771056</v>
      </c>
      <c r="CE106" s="58">
        <f t="shared" si="72"/>
        <v>61010.379430771056</v>
      </c>
      <c r="CF106" s="58">
        <f t="shared" si="72"/>
        <v>61010.379430771056</v>
      </c>
      <c r="CG106" s="58">
        <f t="shared" si="52"/>
        <v>244041.51772308422</v>
      </c>
      <c r="CH106" s="58">
        <f t="shared" si="53"/>
        <v>61010.379430771056</v>
      </c>
      <c r="CI106" s="58">
        <f t="shared" si="54"/>
        <v>61010.379430771056</v>
      </c>
      <c r="CJ106" s="58">
        <f t="shared" si="54"/>
        <v>61010.379430771056</v>
      </c>
      <c r="CK106" s="58">
        <f t="shared" si="54"/>
        <v>61010.379430771056</v>
      </c>
      <c r="CL106" s="58">
        <f t="shared" si="55"/>
        <v>244041.51772308422</v>
      </c>
      <c r="CM106" s="2"/>
      <c r="CN106" s="59">
        <f t="shared" si="69"/>
        <v>6.2492006751651129E-5</v>
      </c>
      <c r="CO106" s="64">
        <f t="shared" si="70"/>
        <v>1312332.1417846738</v>
      </c>
      <c r="CP106" s="78">
        <f t="shared" si="59"/>
        <v>1952332.1417846738</v>
      </c>
    </row>
    <row r="107" spans="1:94" s="78" customFormat="1" hidden="1" x14ac:dyDescent="0.3">
      <c r="A107" s="29">
        <v>102</v>
      </c>
      <c r="B107" s="30" t="s">
        <v>21</v>
      </c>
      <c r="C107" s="30"/>
      <c r="D107" s="30" t="s">
        <v>114</v>
      </c>
      <c r="E107" s="30" t="s">
        <v>115</v>
      </c>
      <c r="F107" s="30" t="s">
        <v>116</v>
      </c>
      <c r="G107" s="30" t="s">
        <v>117</v>
      </c>
      <c r="H107" s="30" t="s">
        <v>385</v>
      </c>
      <c r="I107" s="30" t="s">
        <v>119</v>
      </c>
      <c r="J107" s="30" t="s">
        <v>120</v>
      </c>
      <c r="K107" s="30" t="s">
        <v>121</v>
      </c>
      <c r="L107" s="48" t="s">
        <v>122</v>
      </c>
      <c r="M107" s="79">
        <v>2100705</v>
      </c>
      <c r="N107" s="48" t="s">
        <v>138</v>
      </c>
      <c r="O107" s="48" t="s">
        <v>442</v>
      </c>
      <c r="P107" s="30" t="s">
        <v>125</v>
      </c>
      <c r="Q107" s="30" t="s">
        <v>395</v>
      </c>
      <c r="R107" s="30"/>
      <c r="S107" s="61" t="s">
        <v>373</v>
      </c>
      <c r="T107" s="30" t="s">
        <v>443</v>
      </c>
      <c r="U107" s="48" t="s">
        <v>144</v>
      </c>
      <c r="V107" s="48"/>
      <c r="W107" s="48" t="s">
        <v>444</v>
      </c>
      <c r="X107" s="48"/>
      <c r="Y107" s="48" t="s">
        <v>128</v>
      </c>
      <c r="Z107" s="48" t="s">
        <v>128</v>
      </c>
      <c r="AA107" s="48" t="s">
        <v>129</v>
      </c>
      <c r="AB107" s="48" t="s">
        <v>396</v>
      </c>
      <c r="AC107" s="48" t="s">
        <v>396</v>
      </c>
      <c r="AD107" s="48"/>
      <c r="AE107" s="48"/>
      <c r="AF107" s="48" t="s">
        <v>131</v>
      </c>
      <c r="AG107" s="48" t="s">
        <v>397</v>
      </c>
      <c r="AH107" s="48"/>
      <c r="AI107" s="48"/>
      <c r="AJ107" s="30"/>
      <c r="AK107" s="80">
        <v>43830</v>
      </c>
      <c r="AL107" s="51">
        <f t="shared" si="45"/>
        <v>5.838356164383562</v>
      </c>
      <c r="AM107" s="52">
        <v>8</v>
      </c>
      <c r="AN107" s="48" t="s">
        <v>220</v>
      </c>
      <c r="AO107" s="30" t="s">
        <v>133</v>
      </c>
      <c r="AP107" s="30" t="s">
        <v>134</v>
      </c>
      <c r="AQ107" s="30"/>
      <c r="AR107" s="81"/>
      <c r="AS107" s="81"/>
      <c r="AT107" s="81"/>
      <c r="AU107" s="53">
        <v>95200000</v>
      </c>
      <c r="AV107" s="54"/>
      <c r="AW107" s="54"/>
      <c r="AX107" s="54">
        <v>95200000</v>
      </c>
      <c r="AY107" s="54"/>
      <c r="AZ107" s="54"/>
      <c r="BA107" s="74">
        <v>24791666</v>
      </c>
      <c r="BB107" s="74">
        <v>12394089</v>
      </c>
      <c r="BC107" s="52">
        <v>96</v>
      </c>
      <c r="BD107" s="52">
        <v>72</v>
      </c>
      <c r="BE107" s="52">
        <v>23</v>
      </c>
      <c r="BF107" s="30"/>
      <c r="BG107" s="30" t="s">
        <v>441</v>
      </c>
      <c r="BH107" s="30" t="s">
        <v>136</v>
      </c>
      <c r="BI107" s="30" t="str">
        <f t="shared" si="56"/>
        <v>Test</v>
      </c>
      <c r="BJ107" s="30" t="s">
        <v>250</v>
      </c>
      <c r="BK107" s="56">
        <f t="shared" si="57"/>
        <v>26031249.300000001</v>
      </c>
      <c r="BL107" s="57">
        <f t="shared" si="58"/>
        <v>813476.54062500002</v>
      </c>
      <c r="BM107" s="57">
        <f t="shared" si="46"/>
        <v>271158.84687499999</v>
      </c>
      <c r="BN107" s="2"/>
      <c r="BO107" s="2"/>
      <c r="BP107" s="15"/>
      <c r="BQ107" s="15"/>
      <c r="BR107" s="15"/>
      <c r="BS107" s="15"/>
      <c r="BT107" s="15"/>
      <c r="BU107" s="58">
        <f t="shared" si="47"/>
        <v>813476.54062499991</v>
      </c>
      <c r="BV107" s="58">
        <f t="shared" si="48"/>
        <v>813476.54062499991</v>
      </c>
      <c r="BW107" s="58">
        <f t="shared" si="62"/>
        <v>1626953.0812499998</v>
      </c>
      <c r="BX107" s="58">
        <f t="shared" si="49"/>
        <v>813476.54062499991</v>
      </c>
      <c r="BY107" s="58">
        <f t="shared" si="71"/>
        <v>813476.54062499991</v>
      </c>
      <c r="BZ107" s="58">
        <f t="shared" si="71"/>
        <v>813476.54062499991</v>
      </c>
      <c r="CA107" s="58">
        <f t="shared" si="71"/>
        <v>813476.54062499991</v>
      </c>
      <c r="CB107" s="58">
        <f t="shared" si="50"/>
        <v>3253906.1624999996</v>
      </c>
      <c r="CC107" s="58">
        <f t="shared" si="51"/>
        <v>813476.54062499991</v>
      </c>
      <c r="CD107" s="58">
        <f t="shared" si="72"/>
        <v>813476.54062499991</v>
      </c>
      <c r="CE107" s="58">
        <f t="shared" si="72"/>
        <v>813476.54062499991</v>
      </c>
      <c r="CF107" s="58">
        <f t="shared" si="72"/>
        <v>813476.54062499991</v>
      </c>
      <c r="CG107" s="58">
        <f t="shared" si="52"/>
        <v>3253906.1624999996</v>
      </c>
      <c r="CH107" s="58">
        <f t="shared" si="53"/>
        <v>813476.54062499991</v>
      </c>
      <c r="CI107" s="58">
        <f t="shared" si="54"/>
        <v>813476.54062499991</v>
      </c>
      <c r="CJ107" s="58">
        <f t="shared" si="54"/>
        <v>813476.54062499991</v>
      </c>
      <c r="CK107" s="58">
        <f t="shared" si="54"/>
        <v>813476.54062499991</v>
      </c>
      <c r="CL107" s="58">
        <f t="shared" si="55"/>
        <v>3253906.1624999996</v>
      </c>
      <c r="CM107" s="2"/>
      <c r="CN107" s="2"/>
      <c r="CO107" s="77"/>
      <c r="CP107" s="78">
        <f t="shared" si="59"/>
        <v>26031249.300000001</v>
      </c>
    </row>
    <row r="108" spans="1:94" s="78" customFormat="1" hidden="1" x14ac:dyDescent="0.3">
      <c r="A108" s="29">
        <v>103</v>
      </c>
      <c r="B108" s="30" t="s">
        <v>21</v>
      </c>
      <c r="C108" s="30"/>
      <c r="D108" s="30" t="s">
        <v>114</v>
      </c>
      <c r="E108" s="30" t="s">
        <v>115</v>
      </c>
      <c r="F108" s="30" t="s">
        <v>116</v>
      </c>
      <c r="G108" s="30" t="s">
        <v>117</v>
      </c>
      <c r="H108" s="30" t="s">
        <v>385</v>
      </c>
      <c r="I108" s="30" t="s">
        <v>119</v>
      </c>
      <c r="J108" s="30" t="s">
        <v>120</v>
      </c>
      <c r="K108" s="30" t="s">
        <v>121</v>
      </c>
      <c r="L108" s="48" t="s">
        <v>122</v>
      </c>
      <c r="M108" s="79">
        <v>2101008</v>
      </c>
      <c r="N108" s="48" t="s">
        <v>138</v>
      </c>
      <c r="O108" s="48" t="s">
        <v>445</v>
      </c>
      <c r="P108" s="30" t="s">
        <v>125</v>
      </c>
      <c r="Q108" s="30" t="s">
        <v>395</v>
      </c>
      <c r="R108" s="30"/>
      <c r="S108" s="61" t="s">
        <v>373</v>
      </c>
      <c r="T108" s="30"/>
      <c r="U108" s="48" t="s">
        <v>144</v>
      </c>
      <c r="V108" s="48"/>
      <c r="W108" s="48" t="s">
        <v>446</v>
      </c>
      <c r="X108" s="48"/>
      <c r="Y108" s="48" t="s">
        <v>128</v>
      </c>
      <c r="Z108" s="48" t="s">
        <v>128</v>
      </c>
      <c r="AA108" s="48" t="s">
        <v>129</v>
      </c>
      <c r="AB108" s="48" t="s">
        <v>396</v>
      </c>
      <c r="AC108" s="48" t="s">
        <v>396</v>
      </c>
      <c r="AD108" s="48"/>
      <c r="AE108" s="48"/>
      <c r="AF108" s="48" t="s">
        <v>131</v>
      </c>
      <c r="AG108" s="48" t="s">
        <v>397</v>
      </c>
      <c r="AH108" s="48"/>
      <c r="AI108" s="48"/>
      <c r="AJ108" s="30"/>
      <c r="AK108" s="80">
        <v>44068</v>
      </c>
      <c r="AL108" s="51">
        <f t="shared" si="45"/>
        <v>5.1863013698630134</v>
      </c>
      <c r="AM108" s="52">
        <v>8</v>
      </c>
      <c r="AN108" s="48" t="s">
        <v>220</v>
      </c>
      <c r="AO108" s="30" t="s">
        <v>133</v>
      </c>
      <c r="AP108" s="30" t="s">
        <v>134</v>
      </c>
      <c r="AQ108" s="30"/>
      <c r="AR108" s="81"/>
      <c r="AS108" s="81"/>
      <c r="AT108" s="81"/>
      <c r="AU108" s="53">
        <v>264000000</v>
      </c>
      <c r="AV108" s="54"/>
      <c r="AW108" s="54"/>
      <c r="AX108" s="54">
        <v>264000000</v>
      </c>
      <c r="AY108" s="54"/>
      <c r="AZ108" s="54"/>
      <c r="BA108" s="74">
        <v>90750000</v>
      </c>
      <c r="BB108" s="74">
        <v>48118222</v>
      </c>
      <c r="BC108" s="52">
        <v>96</v>
      </c>
      <c r="BD108" s="52">
        <v>64</v>
      </c>
      <c r="BE108" s="52">
        <v>31</v>
      </c>
      <c r="BF108" s="30"/>
      <c r="BG108" s="30" t="s">
        <v>441</v>
      </c>
      <c r="BH108" s="30" t="s">
        <v>136</v>
      </c>
      <c r="BI108" s="30" t="str">
        <f t="shared" si="56"/>
        <v>Test</v>
      </c>
      <c r="BJ108" s="30" t="s">
        <v>250</v>
      </c>
      <c r="BK108" s="56">
        <f t="shared" si="57"/>
        <v>95287500</v>
      </c>
      <c r="BL108" s="57">
        <f t="shared" si="58"/>
        <v>2977734.375</v>
      </c>
      <c r="BM108" s="57">
        <f t="shared" si="46"/>
        <v>992578.125</v>
      </c>
      <c r="BN108" s="2"/>
      <c r="BO108" s="2"/>
      <c r="BP108" s="15"/>
      <c r="BQ108" s="15"/>
      <c r="BR108" s="15"/>
      <c r="BS108" s="15"/>
      <c r="BT108" s="15"/>
      <c r="BU108" s="58">
        <f>BM108*3</f>
        <v>2977734.375</v>
      </c>
      <c r="BV108" s="58">
        <f>BU108</f>
        <v>2977734.375</v>
      </c>
      <c r="BW108" s="58">
        <f t="shared" si="62"/>
        <v>5955468.75</v>
      </c>
      <c r="BX108" s="58">
        <f t="shared" si="49"/>
        <v>2977734.375</v>
      </c>
      <c r="BY108" s="58">
        <f t="shared" si="71"/>
        <v>2977734.375</v>
      </c>
      <c r="BZ108" s="58">
        <f t="shared" si="71"/>
        <v>2977734.375</v>
      </c>
      <c r="CA108" s="58">
        <f t="shared" si="71"/>
        <v>2977734.375</v>
      </c>
      <c r="CB108" s="58">
        <f t="shared" si="50"/>
        <v>11910937.5</v>
      </c>
      <c r="CC108" s="58">
        <f t="shared" si="51"/>
        <v>2977734.375</v>
      </c>
      <c r="CD108" s="58">
        <f t="shared" si="72"/>
        <v>2977734.375</v>
      </c>
      <c r="CE108" s="58">
        <f t="shared" si="72"/>
        <v>2977734.375</v>
      </c>
      <c r="CF108" s="58">
        <f t="shared" si="72"/>
        <v>2977734.375</v>
      </c>
      <c r="CG108" s="58">
        <f t="shared" si="52"/>
        <v>11910937.5</v>
      </c>
      <c r="CH108" s="58">
        <f t="shared" si="53"/>
        <v>2977734.375</v>
      </c>
      <c r="CI108" s="58">
        <f t="shared" si="54"/>
        <v>2977734.375</v>
      </c>
      <c r="CJ108" s="58">
        <f t="shared" si="54"/>
        <v>2977734.375</v>
      </c>
      <c r="CK108" s="58">
        <f t="shared" si="54"/>
        <v>2977734.375</v>
      </c>
      <c r="CL108" s="58">
        <f t="shared" si="55"/>
        <v>11910937.5</v>
      </c>
      <c r="CM108" s="2"/>
      <c r="CN108" s="2"/>
      <c r="CO108" s="77"/>
      <c r="CP108" s="78">
        <f t="shared" si="59"/>
        <v>95287500</v>
      </c>
    </row>
    <row r="109" spans="1:94" s="78" customFormat="1" ht="16.5" hidden="1" x14ac:dyDescent="0.3">
      <c r="A109" s="2">
        <v>104</v>
      </c>
      <c r="B109" s="47" t="s">
        <v>21</v>
      </c>
      <c r="C109" s="47"/>
      <c r="D109" s="47" t="s">
        <v>447</v>
      </c>
      <c r="E109" s="30" t="s">
        <v>448</v>
      </c>
      <c r="F109" s="30" t="s">
        <v>449</v>
      </c>
      <c r="G109" s="62" t="s">
        <v>450</v>
      </c>
      <c r="H109" s="62" t="s">
        <v>118</v>
      </c>
      <c r="I109" s="30" t="s">
        <v>119</v>
      </c>
      <c r="J109" s="30" t="s">
        <v>120</v>
      </c>
      <c r="K109" s="30" t="s">
        <v>451</v>
      </c>
      <c r="L109" s="30" t="s">
        <v>122</v>
      </c>
      <c r="M109" s="73">
        <v>2100374</v>
      </c>
      <c r="N109" s="48" t="s">
        <v>138</v>
      </c>
      <c r="O109" s="47" t="s">
        <v>452</v>
      </c>
      <c r="P109" s="82" t="s">
        <v>453</v>
      </c>
      <c r="Q109" s="82" t="s">
        <v>454</v>
      </c>
      <c r="R109" s="82" t="s">
        <v>173</v>
      </c>
      <c r="S109" s="82" t="s">
        <v>455</v>
      </c>
      <c r="T109" s="30"/>
      <c r="U109" s="48"/>
      <c r="V109" s="30" t="s">
        <v>415</v>
      </c>
      <c r="W109" s="30" t="s">
        <v>456</v>
      </c>
      <c r="X109" s="30" t="s">
        <v>127</v>
      </c>
      <c r="Y109" s="48" t="s">
        <v>457</v>
      </c>
      <c r="Z109" s="48" t="s">
        <v>457</v>
      </c>
      <c r="AA109" s="20" t="s">
        <v>148</v>
      </c>
      <c r="AB109" s="72" t="s">
        <v>177</v>
      </c>
      <c r="AC109" s="48" t="s">
        <v>150</v>
      </c>
      <c r="AD109" s="48"/>
      <c r="AE109" s="48"/>
      <c r="AF109" s="48" t="s">
        <v>179</v>
      </c>
      <c r="AG109" s="48" t="s">
        <v>152</v>
      </c>
      <c r="AH109" s="48" t="s">
        <v>458</v>
      </c>
      <c r="AI109" s="48"/>
      <c r="AJ109" s="50"/>
      <c r="AK109" s="50"/>
      <c r="AL109" s="51"/>
      <c r="AM109" s="52"/>
      <c r="AN109" s="48"/>
      <c r="AO109" s="30"/>
      <c r="AP109" s="30"/>
      <c r="AQ109" s="30"/>
      <c r="AR109" s="30"/>
      <c r="AS109" s="30"/>
      <c r="AT109" s="30"/>
      <c r="AU109" s="53">
        <v>150257054</v>
      </c>
      <c r="AV109" s="47"/>
      <c r="AW109" s="47"/>
      <c r="AX109" s="47"/>
      <c r="AY109" s="47"/>
      <c r="AZ109" s="47"/>
      <c r="BA109" s="83">
        <v>1000</v>
      </c>
      <c r="BB109" s="84">
        <v>1000</v>
      </c>
      <c r="BC109" s="52"/>
      <c r="BD109" s="52"/>
      <c r="BE109" s="52"/>
      <c r="BF109" s="30"/>
      <c r="BG109" s="30"/>
      <c r="BH109" s="30" t="s">
        <v>136</v>
      </c>
      <c r="BI109" s="30" t="str">
        <f t="shared" si="56"/>
        <v>Test</v>
      </c>
      <c r="BJ109" s="47" t="s">
        <v>137</v>
      </c>
      <c r="BK109" s="56">
        <f t="shared" si="57"/>
        <v>3005141.08</v>
      </c>
      <c r="BL109" s="57">
        <f t="shared" si="58"/>
        <v>286476.24614655797</v>
      </c>
      <c r="BM109" s="57">
        <f t="shared" si="46"/>
        <v>95492.082048852651</v>
      </c>
      <c r="BN109" s="2"/>
      <c r="BO109" s="2"/>
      <c r="BP109" s="15"/>
      <c r="BQ109" s="15"/>
      <c r="BR109" s="15"/>
      <c r="BS109" s="15"/>
      <c r="BT109" s="15"/>
      <c r="BU109" s="58">
        <f t="shared" ref="BU109:BU169" si="73">BM109*3</f>
        <v>286476.24614655797</v>
      </c>
      <c r="BV109" s="58">
        <f t="shared" ref="BV109:BV169" si="74">BU109</f>
        <v>286476.24614655797</v>
      </c>
      <c r="BW109" s="58">
        <f t="shared" ref="BW109:BW169" si="75">SUM(BS109:BV109)</f>
        <v>572952.49229311594</v>
      </c>
      <c r="BX109" s="58">
        <f t="shared" si="49"/>
        <v>286476.24614655797</v>
      </c>
      <c r="BY109" s="58">
        <f t="shared" si="71"/>
        <v>286476.24614655797</v>
      </c>
      <c r="BZ109" s="58">
        <f t="shared" ref="BZ109:BZ169" si="76">BM109*3</f>
        <v>286476.24614655797</v>
      </c>
      <c r="CA109" s="58">
        <f t="shared" si="71"/>
        <v>286476.24614655797</v>
      </c>
      <c r="CB109" s="58">
        <f t="shared" si="50"/>
        <v>1145904.9845862319</v>
      </c>
      <c r="CC109" s="58">
        <f t="shared" si="51"/>
        <v>286476.24614655797</v>
      </c>
      <c r="CD109" s="58">
        <f t="shared" si="72"/>
        <v>286476.24614655797</v>
      </c>
      <c r="CE109" s="58">
        <f t="shared" si="72"/>
        <v>286476.24614655797</v>
      </c>
      <c r="CF109" s="58">
        <f t="shared" si="72"/>
        <v>286476.24614655797</v>
      </c>
      <c r="CG109" s="58">
        <f t="shared" si="52"/>
        <v>1145904.9845862319</v>
      </c>
      <c r="CH109" s="58">
        <f t="shared" si="53"/>
        <v>286476.24614655797</v>
      </c>
      <c r="CI109" s="58">
        <f t="shared" si="54"/>
        <v>286476.24614655797</v>
      </c>
      <c r="CJ109" s="58">
        <f t="shared" si="54"/>
        <v>286476.24614655797</v>
      </c>
      <c r="CK109" s="58">
        <f t="shared" si="54"/>
        <v>286476.24614655797</v>
      </c>
      <c r="CL109" s="58">
        <f t="shared" si="55"/>
        <v>1145904.9845862319</v>
      </c>
      <c r="CM109" s="2"/>
      <c r="CN109" s="59">
        <f t="shared" ref="CN109:CN113" si="77">BK109/$CN$3</f>
        <v>2.9343327603285023E-4</v>
      </c>
      <c r="CO109" s="64">
        <f t="shared" ref="CO109:CO113" si="78">CN109*$CO$4</f>
        <v>6162098.7966898549</v>
      </c>
      <c r="CP109" s="78">
        <f t="shared" si="59"/>
        <v>9167239.876689855</v>
      </c>
    </row>
    <row r="110" spans="1:94" s="78" customFormat="1" ht="16.5" hidden="1" x14ac:dyDescent="0.3">
      <c r="A110" s="2">
        <v>105</v>
      </c>
      <c r="B110" s="47" t="s">
        <v>21</v>
      </c>
      <c r="C110" s="47"/>
      <c r="D110" s="47" t="s">
        <v>447</v>
      </c>
      <c r="E110" s="30" t="s">
        <v>448</v>
      </c>
      <c r="F110" s="30" t="s">
        <v>449</v>
      </c>
      <c r="G110" s="62" t="s">
        <v>450</v>
      </c>
      <c r="H110" s="62" t="s">
        <v>118</v>
      </c>
      <c r="I110" s="30" t="s">
        <v>119</v>
      </c>
      <c r="J110" s="30" t="s">
        <v>120</v>
      </c>
      <c r="K110" s="30" t="s">
        <v>451</v>
      </c>
      <c r="L110" s="30" t="s">
        <v>122</v>
      </c>
      <c r="M110" s="73">
        <v>2100375</v>
      </c>
      <c r="N110" s="48" t="s">
        <v>138</v>
      </c>
      <c r="O110" s="47" t="s">
        <v>459</v>
      </c>
      <c r="P110" s="82" t="s">
        <v>453</v>
      </c>
      <c r="Q110" s="82" t="s">
        <v>454</v>
      </c>
      <c r="R110" s="82" t="s">
        <v>173</v>
      </c>
      <c r="S110" s="82" t="s">
        <v>460</v>
      </c>
      <c r="T110" s="30"/>
      <c r="U110" s="48"/>
      <c r="V110" s="30" t="s">
        <v>415</v>
      </c>
      <c r="W110" s="30" t="s">
        <v>456</v>
      </c>
      <c r="X110" s="30" t="s">
        <v>127</v>
      </c>
      <c r="Y110" s="48" t="s">
        <v>457</v>
      </c>
      <c r="Z110" s="48" t="s">
        <v>457</v>
      </c>
      <c r="AA110" s="20" t="s">
        <v>148</v>
      </c>
      <c r="AB110" s="72" t="s">
        <v>177</v>
      </c>
      <c r="AC110" s="48" t="s">
        <v>150</v>
      </c>
      <c r="AD110" s="48"/>
      <c r="AE110" s="48"/>
      <c r="AF110" s="48" t="s">
        <v>179</v>
      </c>
      <c r="AG110" s="48" t="s">
        <v>152</v>
      </c>
      <c r="AH110" s="48" t="s">
        <v>458</v>
      </c>
      <c r="AI110" s="48"/>
      <c r="AJ110" s="50"/>
      <c r="AK110" s="50"/>
      <c r="AL110" s="51"/>
      <c r="AM110" s="52"/>
      <c r="AN110" s="48"/>
      <c r="AO110" s="30"/>
      <c r="AP110" s="30"/>
      <c r="AQ110" s="30"/>
      <c r="AR110" s="30"/>
      <c r="AS110" s="30"/>
      <c r="AT110" s="30"/>
      <c r="AU110" s="53">
        <v>150257053</v>
      </c>
      <c r="AV110" s="47"/>
      <c r="AW110" s="47"/>
      <c r="AX110" s="47"/>
      <c r="AY110" s="47"/>
      <c r="AZ110" s="47"/>
      <c r="BA110" s="83">
        <v>1000</v>
      </c>
      <c r="BB110" s="84">
        <v>1000</v>
      </c>
      <c r="BC110" s="52"/>
      <c r="BD110" s="52"/>
      <c r="BE110" s="52"/>
      <c r="BF110" s="30"/>
      <c r="BG110" s="30"/>
      <c r="BH110" s="30" t="s">
        <v>136</v>
      </c>
      <c r="BI110" s="30" t="str">
        <f t="shared" si="56"/>
        <v>Test</v>
      </c>
      <c r="BJ110" s="47" t="s">
        <v>137</v>
      </c>
      <c r="BK110" s="56">
        <f t="shared" si="57"/>
        <v>3005141.06</v>
      </c>
      <c r="BL110" s="57">
        <f t="shared" si="58"/>
        <v>286476.24423998361</v>
      </c>
      <c r="BM110" s="57">
        <f t="shared" si="46"/>
        <v>95492.081413327876</v>
      </c>
      <c r="BN110" s="2"/>
      <c r="BO110" s="2"/>
      <c r="BP110" s="15"/>
      <c r="BQ110" s="15"/>
      <c r="BR110" s="15"/>
      <c r="BS110" s="15"/>
      <c r="BT110" s="15"/>
      <c r="BU110" s="58">
        <f t="shared" si="73"/>
        <v>286476.24423998361</v>
      </c>
      <c r="BV110" s="58">
        <f t="shared" si="74"/>
        <v>286476.24423998361</v>
      </c>
      <c r="BW110" s="58">
        <f t="shared" si="75"/>
        <v>572952.48847996723</v>
      </c>
      <c r="BX110" s="58">
        <f t="shared" si="49"/>
        <v>286476.24423998361</v>
      </c>
      <c r="BY110" s="58">
        <f t="shared" si="71"/>
        <v>286476.24423998361</v>
      </c>
      <c r="BZ110" s="58">
        <f t="shared" si="76"/>
        <v>286476.24423998361</v>
      </c>
      <c r="CA110" s="58">
        <f t="shared" si="71"/>
        <v>286476.24423998361</v>
      </c>
      <c r="CB110" s="58">
        <f t="shared" si="50"/>
        <v>1145904.9769599345</v>
      </c>
      <c r="CC110" s="58">
        <f t="shared" si="51"/>
        <v>286476.24423998361</v>
      </c>
      <c r="CD110" s="58">
        <f t="shared" si="72"/>
        <v>286476.24423998361</v>
      </c>
      <c r="CE110" s="58">
        <f t="shared" si="72"/>
        <v>286476.24423998361</v>
      </c>
      <c r="CF110" s="58">
        <f t="shared" si="72"/>
        <v>286476.24423998361</v>
      </c>
      <c r="CG110" s="58">
        <f t="shared" si="52"/>
        <v>1145904.9769599345</v>
      </c>
      <c r="CH110" s="58">
        <f t="shared" si="53"/>
        <v>286476.24423998361</v>
      </c>
      <c r="CI110" s="58">
        <f t="shared" si="54"/>
        <v>286476.24423998361</v>
      </c>
      <c r="CJ110" s="58">
        <f t="shared" si="54"/>
        <v>286476.24423998361</v>
      </c>
      <c r="CK110" s="58">
        <f t="shared" si="54"/>
        <v>286476.24423998361</v>
      </c>
      <c r="CL110" s="58">
        <f t="shared" si="55"/>
        <v>1145904.9769599345</v>
      </c>
      <c r="CM110" s="2"/>
      <c r="CN110" s="59">
        <f t="shared" si="77"/>
        <v>2.9343327407997503E-4</v>
      </c>
      <c r="CO110" s="64">
        <f t="shared" si="78"/>
        <v>6162098.7556794761</v>
      </c>
      <c r="CP110" s="78">
        <f t="shared" si="59"/>
        <v>9167239.8156794757</v>
      </c>
    </row>
    <row r="111" spans="1:94" s="78" customFormat="1" ht="16.5" hidden="1" x14ac:dyDescent="0.3">
      <c r="A111" s="2">
        <v>106</v>
      </c>
      <c r="B111" s="47" t="s">
        <v>21</v>
      </c>
      <c r="C111" s="47"/>
      <c r="D111" s="47" t="s">
        <v>447</v>
      </c>
      <c r="E111" s="30" t="s">
        <v>448</v>
      </c>
      <c r="F111" s="30" t="s">
        <v>449</v>
      </c>
      <c r="G111" s="62" t="s">
        <v>450</v>
      </c>
      <c r="H111" s="62" t="s">
        <v>118</v>
      </c>
      <c r="I111" s="30" t="s">
        <v>119</v>
      </c>
      <c r="J111" s="30" t="s">
        <v>120</v>
      </c>
      <c r="K111" s="30" t="s">
        <v>451</v>
      </c>
      <c r="L111" s="30" t="s">
        <v>122</v>
      </c>
      <c r="M111" s="73">
        <v>2100400</v>
      </c>
      <c r="N111" s="48" t="s">
        <v>138</v>
      </c>
      <c r="O111" s="47" t="s">
        <v>461</v>
      </c>
      <c r="P111" s="82" t="s">
        <v>453</v>
      </c>
      <c r="Q111" s="82" t="s">
        <v>454</v>
      </c>
      <c r="R111" s="82" t="s">
        <v>173</v>
      </c>
      <c r="S111" s="82" t="s">
        <v>462</v>
      </c>
      <c r="T111" s="30"/>
      <c r="U111" s="48"/>
      <c r="V111" s="30" t="s">
        <v>415</v>
      </c>
      <c r="W111" s="30" t="s">
        <v>456</v>
      </c>
      <c r="X111" s="30" t="s">
        <v>127</v>
      </c>
      <c r="Y111" s="48" t="s">
        <v>457</v>
      </c>
      <c r="Z111" s="48" t="s">
        <v>457</v>
      </c>
      <c r="AA111" s="20" t="s">
        <v>148</v>
      </c>
      <c r="AB111" s="72" t="s">
        <v>177</v>
      </c>
      <c r="AC111" s="48" t="s">
        <v>150</v>
      </c>
      <c r="AD111" s="48"/>
      <c r="AE111" s="48"/>
      <c r="AF111" s="48" t="s">
        <v>179</v>
      </c>
      <c r="AG111" s="48" t="s">
        <v>152</v>
      </c>
      <c r="AH111" s="48" t="s">
        <v>458</v>
      </c>
      <c r="AI111" s="48"/>
      <c r="AJ111" s="50"/>
      <c r="AK111" s="50"/>
      <c r="AL111" s="51"/>
      <c r="AM111" s="52"/>
      <c r="AN111" s="48"/>
      <c r="AO111" s="30"/>
      <c r="AP111" s="30"/>
      <c r="AQ111" s="30"/>
      <c r="AR111" s="30"/>
      <c r="AS111" s="30"/>
      <c r="AT111" s="30"/>
      <c r="AU111" s="53">
        <v>128792397</v>
      </c>
      <c r="AV111" s="47"/>
      <c r="AW111" s="47"/>
      <c r="AX111" s="47"/>
      <c r="AY111" s="47"/>
      <c r="AZ111" s="47"/>
      <c r="BA111" s="83">
        <v>1000</v>
      </c>
      <c r="BB111" s="84">
        <v>1000</v>
      </c>
      <c r="BC111" s="52"/>
      <c r="BD111" s="52"/>
      <c r="BE111" s="52"/>
      <c r="BF111" s="30"/>
      <c r="BG111" s="30"/>
      <c r="BH111" s="30" t="s">
        <v>136</v>
      </c>
      <c r="BI111" s="30" t="str">
        <f t="shared" si="56"/>
        <v>Test</v>
      </c>
      <c r="BJ111" s="47" t="s">
        <v>137</v>
      </c>
      <c r="BK111" s="56">
        <f t="shared" si="57"/>
        <v>2575847.94</v>
      </c>
      <c r="BL111" s="57">
        <f t="shared" si="58"/>
        <v>245552.28152401559</v>
      </c>
      <c r="BM111" s="57">
        <f t="shared" si="46"/>
        <v>81850.760508005202</v>
      </c>
      <c r="BN111" s="2"/>
      <c r="BO111" s="2"/>
      <c r="BP111" s="15"/>
      <c r="BQ111" s="15"/>
      <c r="BR111" s="15"/>
      <c r="BS111" s="15"/>
      <c r="BT111" s="15"/>
      <c r="BU111" s="58">
        <f t="shared" si="73"/>
        <v>245552.28152401559</v>
      </c>
      <c r="BV111" s="58">
        <f t="shared" si="74"/>
        <v>245552.28152401559</v>
      </c>
      <c r="BW111" s="58">
        <f t="shared" si="75"/>
        <v>491104.56304803118</v>
      </c>
      <c r="BX111" s="58">
        <f t="shared" si="49"/>
        <v>245552.28152401559</v>
      </c>
      <c r="BY111" s="58">
        <f t="shared" si="71"/>
        <v>245552.28152401559</v>
      </c>
      <c r="BZ111" s="58">
        <f t="shared" si="76"/>
        <v>245552.28152401559</v>
      </c>
      <c r="CA111" s="58">
        <f t="shared" si="71"/>
        <v>245552.28152401559</v>
      </c>
      <c r="CB111" s="58">
        <f t="shared" si="50"/>
        <v>982209.12609606236</v>
      </c>
      <c r="CC111" s="58">
        <f t="shared" si="51"/>
        <v>245552.28152401559</v>
      </c>
      <c r="CD111" s="58">
        <f t="shared" si="72"/>
        <v>245552.28152401559</v>
      </c>
      <c r="CE111" s="58">
        <f t="shared" si="72"/>
        <v>245552.28152401559</v>
      </c>
      <c r="CF111" s="58">
        <f t="shared" si="72"/>
        <v>245552.28152401559</v>
      </c>
      <c r="CG111" s="58">
        <f t="shared" si="52"/>
        <v>982209.12609606236</v>
      </c>
      <c r="CH111" s="58">
        <f t="shared" si="53"/>
        <v>245552.28152401559</v>
      </c>
      <c r="CI111" s="58">
        <f t="shared" si="54"/>
        <v>245552.28152401559</v>
      </c>
      <c r="CJ111" s="58">
        <f t="shared" si="54"/>
        <v>245552.28152401559</v>
      </c>
      <c r="CK111" s="58">
        <f t="shared" si="54"/>
        <v>245552.28152401559</v>
      </c>
      <c r="CL111" s="58">
        <f t="shared" si="55"/>
        <v>982209.12609606236</v>
      </c>
      <c r="CM111" s="2"/>
      <c r="CN111" s="59">
        <f t="shared" si="77"/>
        <v>2.5151547946516663E-4</v>
      </c>
      <c r="CO111" s="64">
        <f t="shared" si="78"/>
        <v>5281825.0687684994</v>
      </c>
      <c r="CP111" s="78">
        <f t="shared" si="59"/>
        <v>7857673.0087684989</v>
      </c>
    </row>
    <row r="112" spans="1:94" s="78" customFormat="1" ht="16.5" hidden="1" x14ac:dyDescent="0.3">
      <c r="A112" s="2">
        <v>107</v>
      </c>
      <c r="B112" s="47" t="s">
        <v>21</v>
      </c>
      <c r="C112" s="47"/>
      <c r="D112" s="47" t="s">
        <v>447</v>
      </c>
      <c r="E112" s="30" t="s">
        <v>448</v>
      </c>
      <c r="F112" s="30" t="s">
        <v>449</v>
      </c>
      <c r="G112" s="62" t="s">
        <v>450</v>
      </c>
      <c r="H112" s="62" t="s">
        <v>118</v>
      </c>
      <c r="I112" s="30" t="s">
        <v>119</v>
      </c>
      <c r="J112" s="30" t="s">
        <v>120</v>
      </c>
      <c r="K112" s="30" t="s">
        <v>451</v>
      </c>
      <c r="L112" s="30" t="s">
        <v>122</v>
      </c>
      <c r="M112" s="73">
        <v>2100376</v>
      </c>
      <c r="N112" s="48" t="s">
        <v>138</v>
      </c>
      <c r="O112" s="47" t="s">
        <v>463</v>
      </c>
      <c r="P112" s="82" t="s">
        <v>453</v>
      </c>
      <c r="Q112" s="82" t="s">
        <v>454</v>
      </c>
      <c r="R112" s="82" t="s">
        <v>173</v>
      </c>
      <c r="S112" s="82" t="s">
        <v>464</v>
      </c>
      <c r="T112" s="30"/>
      <c r="U112" s="48"/>
      <c r="V112" s="30" t="s">
        <v>415</v>
      </c>
      <c r="W112" s="30" t="s">
        <v>456</v>
      </c>
      <c r="X112" s="30" t="s">
        <v>127</v>
      </c>
      <c r="Y112" s="48" t="s">
        <v>457</v>
      </c>
      <c r="Z112" s="48" t="s">
        <v>457</v>
      </c>
      <c r="AA112" s="20" t="s">
        <v>148</v>
      </c>
      <c r="AB112" s="72" t="s">
        <v>177</v>
      </c>
      <c r="AC112" s="48" t="s">
        <v>150</v>
      </c>
      <c r="AD112" s="48"/>
      <c r="AE112" s="48"/>
      <c r="AF112" s="48" t="s">
        <v>179</v>
      </c>
      <c r="AG112" s="48" t="s">
        <v>152</v>
      </c>
      <c r="AH112" s="48" t="s">
        <v>458</v>
      </c>
      <c r="AI112" s="48"/>
      <c r="AJ112" s="50"/>
      <c r="AK112" s="50"/>
      <c r="AL112" s="51"/>
      <c r="AM112" s="52"/>
      <c r="AN112" s="48"/>
      <c r="AO112" s="30"/>
      <c r="AP112" s="30"/>
      <c r="AQ112" s="30"/>
      <c r="AR112" s="30"/>
      <c r="AS112" s="30"/>
      <c r="AT112" s="30"/>
      <c r="AU112" s="53">
        <v>150257053</v>
      </c>
      <c r="AV112" s="47"/>
      <c r="AW112" s="47"/>
      <c r="AX112" s="47"/>
      <c r="AY112" s="47"/>
      <c r="AZ112" s="47"/>
      <c r="BA112" s="83">
        <v>1000</v>
      </c>
      <c r="BB112" s="84">
        <v>1000</v>
      </c>
      <c r="BC112" s="52"/>
      <c r="BD112" s="52"/>
      <c r="BE112" s="52"/>
      <c r="BF112" s="30"/>
      <c r="BG112" s="30"/>
      <c r="BH112" s="30" t="s">
        <v>136</v>
      </c>
      <c r="BI112" s="30" t="str">
        <f t="shared" si="56"/>
        <v>Test</v>
      </c>
      <c r="BJ112" s="47" t="s">
        <v>137</v>
      </c>
      <c r="BK112" s="56">
        <f t="shared" si="57"/>
        <v>3005141.06</v>
      </c>
      <c r="BL112" s="57">
        <f t="shared" si="58"/>
        <v>286476.24423998361</v>
      </c>
      <c r="BM112" s="57">
        <f t="shared" si="46"/>
        <v>95492.081413327876</v>
      </c>
      <c r="BN112" s="2"/>
      <c r="BO112" s="2"/>
      <c r="BP112" s="15"/>
      <c r="BQ112" s="15"/>
      <c r="BR112" s="15"/>
      <c r="BS112" s="15"/>
      <c r="BT112" s="15"/>
      <c r="BU112" s="58">
        <f t="shared" si="73"/>
        <v>286476.24423998361</v>
      </c>
      <c r="BV112" s="58">
        <f t="shared" si="74"/>
        <v>286476.24423998361</v>
      </c>
      <c r="BW112" s="58">
        <f t="shared" si="75"/>
        <v>572952.48847996723</v>
      </c>
      <c r="BX112" s="58">
        <f t="shared" si="49"/>
        <v>286476.24423998361</v>
      </c>
      <c r="BY112" s="58">
        <f t="shared" si="71"/>
        <v>286476.24423998361</v>
      </c>
      <c r="BZ112" s="58">
        <f t="shared" si="76"/>
        <v>286476.24423998361</v>
      </c>
      <c r="CA112" s="58">
        <f t="shared" si="71"/>
        <v>286476.24423998361</v>
      </c>
      <c r="CB112" s="58">
        <f t="shared" si="50"/>
        <v>1145904.9769599345</v>
      </c>
      <c r="CC112" s="58">
        <f t="shared" si="51"/>
        <v>286476.24423998361</v>
      </c>
      <c r="CD112" s="58">
        <f t="shared" si="72"/>
        <v>286476.24423998361</v>
      </c>
      <c r="CE112" s="58">
        <f t="shared" si="72"/>
        <v>286476.24423998361</v>
      </c>
      <c r="CF112" s="58">
        <f t="shared" si="72"/>
        <v>286476.24423998361</v>
      </c>
      <c r="CG112" s="58">
        <f t="shared" si="52"/>
        <v>1145904.9769599345</v>
      </c>
      <c r="CH112" s="58">
        <f t="shared" si="53"/>
        <v>286476.24423998361</v>
      </c>
      <c r="CI112" s="58">
        <f t="shared" si="54"/>
        <v>286476.24423998361</v>
      </c>
      <c r="CJ112" s="58">
        <f t="shared" si="54"/>
        <v>286476.24423998361</v>
      </c>
      <c r="CK112" s="58">
        <f t="shared" si="54"/>
        <v>286476.24423998361</v>
      </c>
      <c r="CL112" s="58">
        <f t="shared" si="55"/>
        <v>1145904.9769599345</v>
      </c>
      <c r="CM112" s="2"/>
      <c r="CN112" s="59">
        <f t="shared" si="77"/>
        <v>2.9343327407997503E-4</v>
      </c>
      <c r="CO112" s="64">
        <f t="shared" si="78"/>
        <v>6162098.7556794761</v>
      </c>
      <c r="CP112" s="78">
        <f t="shared" si="59"/>
        <v>9167239.8156794757</v>
      </c>
    </row>
    <row r="113" spans="1:94" s="78" customFormat="1" ht="16.5" hidden="1" x14ac:dyDescent="0.3">
      <c r="A113" s="2">
        <v>108</v>
      </c>
      <c r="B113" s="47" t="s">
        <v>21</v>
      </c>
      <c r="C113" s="47"/>
      <c r="D113" s="47" t="s">
        <v>447</v>
      </c>
      <c r="E113" s="30" t="s">
        <v>448</v>
      </c>
      <c r="F113" s="30" t="s">
        <v>449</v>
      </c>
      <c r="G113" s="62" t="s">
        <v>450</v>
      </c>
      <c r="H113" s="62" t="s">
        <v>118</v>
      </c>
      <c r="I113" s="30" t="s">
        <v>119</v>
      </c>
      <c r="J113" s="30" t="s">
        <v>120</v>
      </c>
      <c r="K113" s="30" t="s">
        <v>451</v>
      </c>
      <c r="L113" s="30" t="s">
        <v>122</v>
      </c>
      <c r="M113" s="73">
        <v>2100377</v>
      </c>
      <c r="N113" s="48" t="s">
        <v>138</v>
      </c>
      <c r="O113" s="47" t="s">
        <v>465</v>
      </c>
      <c r="P113" s="82" t="s">
        <v>453</v>
      </c>
      <c r="Q113" s="82" t="s">
        <v>454</v>
      </c>
      <c r="R113" s="82" t="s">
        <v>173</v>
      </c>
      <c r="S113" s="85" t="s">
        <v>466</v>
      </c>
      <c r="T113" s="30"/>
      <c r="U113" s="48"/>
      <c r="V113" s="30" t="s">
        <v>415</v>
      </c>
      <c r="W113" s="30" t="s">
        <v>456</v>
      </c>
      <c r="X113" s="30" t="s">
        <v>127</v>
      </c>
      <c r="Y113" s="48" t="s">
        <v>457</v>
      </c>
      <c r="Z113" s="48" t="s">
        <v>457</v>
      </c>
      <c r="AA113" s="20" t="s">
        <v>148</v>
      </c>
      <c r="AB113" s="72" t="s">
        <v>177</v>
      </c>
      <c r="AC113" s="48" t="s">
        <v>150</v>
      </c>
      <c r="AD113" s="48"/>
      <c r="AE113" s="48"/>
      <c r="AF113" s="48" t="s">
        <v>179</v>
      </c>
      <c r="AG113" s="48" t="s">
        <v>152</v>
      </c>
      <c r="AH113" s="48" t="s">
        <v>458</v>
      </c>
      <c r="AI113" s="48"/>
      <c r="AJ113" s="50"/>
      <c r="AK113" s="50"/>
      <c r="AL113" s="51"/>
      <c r="AM113" s="52"/>
      <c r="AN113" s="48"/>
      <c r="AO113" s="30"/>
      <c r="AP113" s="30"/>
      <c r="AQ113" s="30"/>
      <c r="AR113" s="30"/>
      <c r="AS113" s="30"/>
      <c r="AT113" s="30"/>
      <c r="AU113" s="53">
        <v>150257053</v>
      </c>
      <c r="AV113" s="47"/>
      <c r="AW113" s="47"/>
      <c r="AX113" s="47"/>
      <c r="AY113" s="47"/>
      <c r="AZ113" s="47"/>
      <c r="BA113" s="83">
        <v>1000</v>
      </c>
      <c r="BB113" s="84">
        <v>1000</v>
      </c>
      <c r="BC113" s="52"/>
      <c r="BD113" s="52"/>
      <c r="BE113" s="52"/>
      <c r="BF113" s="30"/>
      <c r="BG113" s="30"/>
      <c r="BH113" s="30" t="s">
        <v>136</v>
      </c>
      <c r="BI113" s="30" t="str">
        <f t="shared" si="56"/>
        <v>Test</v>
      </c>
      <c r="BJ113" s="47" t="s">
        <v>137</v>
      </c>
      <c r="BK113" s="56">
        <f t="shared" si="57"/>
        <v>3005141.06</v>
      </c>
      <c r="BL113" s="57">
        <f t="shared" si="58"/>
        <v>286476.24423998361</v>
      </c>
      <c r="BM113" s="57">
        <f t="shared" si="46"/>
        <v>95492.081413327876</v>
      </c>
      <c r="BN113" s="2"/>
      <c r="BO113" s="2"/>
      <c r="BP113" s="15"/>
      <c r="BQ113" s="15"/>
      <c r="BR113" s="15"/>
      <c r="BS113" s="15"/>
      <c r="BT113" s="15"/>
      <c r="BU113" s="58">
        <f t="shared" si="73"/>
        <v>286476.24423998361</v>
      </c>
      <c r="BV113" s="58">
        <f t="shared" si="74"/>
        <v>286476.24423998361</v>
      </c>
      <c r="BW113" s="58">
        <f t="shared" si="75"/>
        <v>572952.48847996723</v>
      </c>
      <c r="BX113" s="58">
        <f t="shared" si="49"/>
        <v>286476.24423998361</v>
      </c>
      <c r="BY113" s="58">
        <f t="shared" si="71"/>
        <v>286476.24423998361</v>
      </c>
      <c r="BZ113" s="58">
        <f t="shared" si="76"/>
        <v>286476.24423998361</v>
      </c>
      <c r="CA113" s="58">
        <f t="shared" si="71"/>
        <v>286476.24423998361</v>
      </c>
      <c r="CB113" s="58">
        <f t="shared" si="50"/>
        <v>1145904.9769599345</v>
      </c>
      <c r="CC113" s="58">
        <f t="shared" si="51"/>
        <v>286476.24423998361</v>
      </c>
      <c r="CD113" s="58">
        <f t="shared" si="72"/>
        <v>286476.24423998361</v>
      </c>
      <c r="CE113" s="58">
        <f t="shared" si="72"/>
        <v>286476.24423998361</v>
      </c>
      <c r="CF113" s="58">
        <f t="shared" si="72"/>
        <v>286476.24423998361</v>
      </c>
      <c r="CG113" s="58">
        <f t="shared" si="52"/>
        <v>1145904.9769599345</v>
      </c>
      <c r="CH113" s="58">
        <f t="shared" si="53"/>
        <v>286476.24423998361</v>
      </c>
      <c r="CI113" s="58">
        <f t="shared" si="54"/>
        <v>286476.24423998361</v>
      </c>
      <c r="CJ113" s="58">
        <f t="shared" si="54"/>
        <v>286476.24423998361</v>
      </c>
      <c r="CK113" s="58">
        <f t="shared" si="54"/>
        <v>286476.24423998361</v>
      </c>
      <c r="CL113" s="58">
        <f t="shared" si="55"/>
        <v>1145904.9769599345</v>
      </c>
      <c r="CM113" s="2"/>
      <c r="CN113" s="59">
        <f t="shared" si="77"/>
        <v>2.9343327407997503E-4</v>
      </c>
      <c r="CO113" s="64">
        <f t="shared" si="78"/>
        <v>6162098.7556794761</v>
      </c>
      <c r="CP113" s="78">
        <f t="shared" si="59"/>
        <v>9167239.8156794757</v>
      </c>
    </row>
    <row r="114" spans="1:94" s="78" customFormat="1" hidden="1" x14ac:dyDescent="0.3">
      <c r="A114" s="29">
        <v>109</v>
      </c>
      <c r="B114" s="30" t="s">
        <v>21</v>
      </c>
      <c r="C114" s="30"/>
      <c r="D114" s="30" t="s">
        <v>467</v>
      </c>
      <c r="E114" s="30" t="s">
        <v>448</v>
      </c>
      <c r="F114" s="30" t="s">
        <v>449</v>
      </c>
      <c r="G114" s="62" t="s">
        <v>450</v>
      </c>
      <c r="H114" s="62" t="s">
        <v>118</v>
      </c>
      <c r="I114" s="30" t="s">
        <v>119</v>
      </c>
      <c r="J114" s="30" t="s">
        <v>120</v>
      </c>
      <c r="K114" s="30" t="s">
        <v>451</v>
      </c>
      <c r="L114" s="30" t="s">
        <v>122</v>
      </c>
      <c r="M114" s="73">
        <v>2100401</v>
      </c>
      <c r="N114" s="48" t="s">
        <v>138</v>
      </c>
      <c r="O114" s="30" t="s">
        <v>468</v>
      </c>
      <c r="P114" s="86" t="s">
        <v>453</v>
      </c>
      <c r="Q114" s="86" t="s">
        <v>454</v>
      </c>
      <c r="R114" s="86" t="s">
        <v>173</v>
      </c>
      <c r="S114" s="86" t="s">
        <v>469</v>
      </c>
      <c r="T114" s="30"/>
      <c r="U114" s="48"/>
      <c r="V114" s="30" t="s">
        <v>415</v>
      </c>
      <c r="W114" s="30" t="s">
        <v>456</v>
      </c>
      <c r="X114" s="30"/>
      <c r="Y114" s="48" t="s">
        <v>457</v>
      </c>
      <c r="Z114" s="48" t="s">
        <v>457</v>
      </c>
      <c r="AA114" s="20" t="s">
        <v>148</v>
      </c>
      <c r="AB114" s="72" t="s">
        <v>177</v>
      </c>
      <c r="AC114" s="48" t="s">
        <v>470</v>
      </c>
      <c r="AD114" s="87" t="s">
        <v>471</v>
      </c>
      <c r="AE114" s="48"/>
      <c r="AF114" s="48" t="s">
        <v>179</v>
      </c>
      <c r="AG114" s="48" t="s">
        <v>152</v>
      </c>
      <c r="AH114" s="48" t="s">
        <v>458</v>
      </c>
      <c r="AI114" s="48"/>
      <c r="AJ114" s="50"/>
      <c r="AK114" s="50"/>
      <c r="AL114" s="51"/>
      <c r="AM114" s="52"/>
      <c r="AN114" s="48"/>
      <c r="AO114" s="30"/>
      <c r="AP114" s="30"/>
      <c r="AQ114" s="30"/>
      <c r="AR114" s="30"/>
      <c r="AS114" s="30"/>
      <c r="AT114" s="30"/>
      <c r="AU114" s="53">
        <v>128792397</v>
      </c>
      <c r="AV114" s="47"/>
      <c r="AW114" s="47"/>
      <c r="AX114" s="47"/>
      <c r="AY114" s="47"/>
      <c r="AZ114" s="47"/>
      <c r="BA114" s="74">
        <v>1000</v>
      </c>
      <c r="BB114" s="74">
        <v>1000</v>
      </c>
      <c r="BC114" s="52"/>
      <c r="BD114" s="52"/>
      <c r="BE114" s="52"/>
      <c r="BF114" s="30"/>
      <c r="BG114" s="30"/>
      <c r="BH114" s="30" t="s">
        <v>136</v>
      </c>
      <c r="BI114" s="30" t="str">
        <f t="shared" si="56"/>
        <v>Test</v>
      </c>
      <c r="BJ114" s="30" t="s">
        <v>250</v>
      </c>
      <c r="BK114" s="56">
        <f t="shared" si="57"/>
        <v>2575847.94</v>
      </c>
      <c r="BL114" s="57">
        <f t="shared" si="58"/>
        <v>80495.248124999998</v>
      </c>
      <c r="BM114" s="57">
        <f t="shared" si="46"/>
        <v>26831.749374999999</v>
      </c>
      <c r="BN114" s="2"/>
      <c r="BO114" s="2"/>
      <c r="BP114" s="15"/>
      <c r="BQ114" s="15"/>
      <c r="BR114" s="15"/>
      <c r="BS114" s="15"/>
      <c r="BT114" s="15"/>
      <c r="BU114" s="58">
        <f t="shared" si="73"/>
        <v>80495.248124999998</v>
      </c>
      <c r="BV114" s="58">
        <f t="shared" si="74"/>
        <v>80495.248124999998</v>
      </c>
      <c r="BW114" s="58">
        <f t="shared" si="75"/>
        <v>160990.49625</v>
      </c>
      <c r="BX114" s="58">
        <f t="shared" si="49"/>
        <v>80495.248124999998</v>
      </c>
      <c r="BY114" s="58">
        <f t="shared" si="71"/>
        <v>80495.248124999998</v>
      </c>
      <c r="BZ114" s="58">
        <f t="shared" si="76"/>
        <v>80495.248124999998</v>
      </c>
      <c r="CA114" s="58">
        <f t="shared" si="71"/>
        <v>80495.248124999998</v>
      </c>
      <c r="CB114" s="58">
        <f t="shared" si="50"/>
        <v>321980.99249999999</v>
      </c>
      <c r="CC114" s="58">
        <f t="shared" si="51"/>
        <v>80495.248124999998</v>
      </c>
      <c r="CD114" s="58">
        <f t="shared" si="72"/>
        <v>80495.248124999998</v>
      </c>
      <c r="CE114" s="58">
        <f t="shared" si="72"/>
        <v>80495.248124999998</v>
      </c>
      <c r="CF114" s="58">
        <f t="shared" si="72"/>
        <v>80495.248124999998</v>
      </c>
      <c r="CG114" s="58">
        <f t="shared" si="52"/>
        <v>321980.99249999999</v>
      </c>
      <c r="CH114" s="58">
        <f t="shared" si="53"/>
        <v>80495.248124999998</v>
      </c>
      <c r="CI114" s="58">
        <f t="shared" si="54"/>
        <v>80495.248124999998</v>
      </c>
      <c r="CJ114" s="58">
        <f t="shared" si="54"/>
        <v>80495.248124999998</v>
      </c>
      <c r="CK114" s="58">
        <f t="shared" si="54"/>
        <v>80495.248124999998</v>
      </c>
      <c r="CL114" s="58">
        <f t="shared" si="55"/>
        <v>321980.99249999999</v>
      </c>
      <c r="CM114" s="2"/>
      <c r="CN114" s="2"/>
      <c r="CO114" s="77"/>
      <c r="CP114" s="78">
        <f t="shared" si="59"/>
        <v>2575847.94</v>
      </c>
    </row>
    <row r="115" spans="1:94" s="78" customFormat="1" ht="16.5" hidden="1" x14ac:dyDescent="0.3">
      <c r="A115" s="2">
        <v>110</v>
      </c>
      <c r="B115" s="47" t="s">
        <v>21</v>
      </c>
      <c r="C115" s="47"/>
      <c r="D115" s="47" t="s">
        <v>447</v>
      </c>
      <c r="E115" s="30" t="s">
        <v>448</v>
      </c>
      <c r="F115" s="30" t="s">
        <v>449</v>
      </c>
      <c r="G115" s="62" t="s">
        <v>450</v>
      </c>
      <c r="H115" s="62" t="s">
        <v>118</v>
      </c>
      <c r="I115" s="30" t="s">
        <v>119</v>
      </c>
      <c r="J115" s="30" t="s">
        <v>120</v>
      </c>
      <c r="K115" s="30" t="s">
        <v>451</v>
      </c>
      <c r="L115" s="30" t="s">
        <v>122</v>
      </c>
      <c r="M115" s="73">
        <v>2100339</v>
      </c>
      <c r="N115" s="48" t="s">
        <v>138</v>
      </c>
      <c r="O115" s="47" t="s">
        <v>472</v>
      </c>
      <c r="P115" s="88" t="s">
        <v>473</v>
      </c>
      <c r="Q115" s="88" t="s">
        <v>474</v>
      </c>
      <c r="R115" s="82" t="s">
        <v>173</v>
      </c>
      <c r="S115" s="82" t="s">
        <v>475</v>
      </c>
      <c r="T115" s="30"/>
      <c r="U115" s="48"/>
      <c r="V115" s="62"/>
      <c r="W115" s="48" t="s">
        <v>476</v>
      </c>
      <c r="X115" s="48" t="s">
        <v>127</v>
      </c>
      <c r="Y115" s="48" t="s">
        <v>457</v>
      </c>
      <c r="Z115" s="48" t="s">
        <v>457</v>
      </c>
      <c r="AA115" s="20" t="s">
        <v>148</v>
      </c>
      <c r="AB115" s="72" t="s">
        <v>177</v>
      </c>
      <c r="AC115" s="48" t="s">
        <v>150</v>
      </c>
      <c r="AD115" s="48"/>
      <c r="AE115" s="48"/>
      <c r="AF115" s="48" t="s">
        <v>179</v>
      </c>
      <c r="AG115" s="48" t="s">
        <v>152</v>
      </c>
      <c r="AH115" s="48" t="s">
        <v>458</v>
      </c>
      <c r="AI115" s="48"/>
      <c r="AJ115" s="50"/>
      <c r="AK115" s="50"/>
      <c r="AL115" s="51"/>
      <c r="AM115" s="52"/>
      <c r="AN115" s="48"/>
      <c r="AO115" s="30"/>
      <c r="AP115" s="30"/>
      <c r="AQ115" s="30"/>
      <c r="AR115" s="30"/>
      <c r="AS115" s="30"/>
      <c r="AT115" s="30"/>
      <c r="AU115" s="53">
        <v>180000000</v>
      </c>
      <c r="AV115" s="47"/>
      <c r="AW115" s="47"/>
      <c r="AX115" s="47"/>
      <c r="AY115" s="47"/>
      <c r="AZ115" s="47"/>
      <c r="BA115" s="83">
        <v>1000</v>
      </c>
      <c r="BB115" s="84">
        <v>1000</v>
      </c>
      <c r="BC115" s="52"/>
      <c r="BD115" s="52"/>
      <c r="BE115" s="52"/>
      <c r="BF115" s="30"/>
      <c r="BG115" s="30"/>
      <c r="BH115" s="30" t="s">
        <v>136</v>
      </c>
      <c r="BI115" s="30" t="str">
        <f t="shared" si="56"/>
        <v>Test</v>
      </c>
      <c r="BJ115" s="47" t="s">
        <v>137</v>
      </c>
      <c r="BK115" s="56">
        <f t="shared" si="57"/>
        <v>3600000</v>
      </c>
      <c r="BL115" s="57">
        <f t="shared" si="58"/>
        <v>343183.38429808716</v>
      </c>
      <c r="BM115" s="57">
        <f t="shared" si="46"/>
        <v>114394.46143269572</v>
      </c>
      <c r="BN115" s="2"/>
      <c r="BO115" s="2"/>
      <c r="BP115" s="15"/>
      <c r="BQ115" s="15"/>
      <c r="BR115" s="15"/>
      <c r="BS115" s="15"/>
      <c r="BT115" s="15"/>
      <c r="BU115" s="58">
        <f t="shared" si="73"/>
        <v>343183.38429808716</v>
      </c>
      <c r="BV115" s="58">
        <f t="shared" si="74"/>
        <v>343183.38429808716</v>
      </c>
      <c r="BW115" s="58">
        <f t="shared" si="75"/>
        <v>686366.76859617431</v>
      </c>
      <c r="BX115" s="58">
        <f t="shared" si="49"/>
        <v>343183.38429808716</v>
      </c>
      <c r="BY115" s="58">
        <f t="shared" si="71"/>
        <v>343183.38429808716</v>
      </c>
      <c r="BZ115" s="58">
        <f t="shared" si="76"/>
        <v>343183.38429808716</v>
      </c>
      <c r="CA115" s="58">
        <f t="shared" si="71"/>
        <v>343183.38429808716</v>
      </c>
      <c r="CB115" s="58">
        <f t="shared" si="50"/>
        <v>1372733.5371923486</v>
      </c>
      <c r="CC115" s="58">
        <f t="shared" si="51"/>
        <v>343183.38429808716</v>
      </c>
      <c r="CD115" s="58">
        <f t="shared" si="72"/>
        <v>343183.38429808716</v>
      </c>
      <c r="CE115" s="58">
        <f t="shared" si="72"/>
        <v>343183.38429808716</v>
      </c>
      <c r="CF115" s="58">
        <f t="shared" si="72"/>
        <v>343183.38429808716</v>
      </c>
      <c r="CG115" s="58">
        <f t="shared" si="52"/>
        <v>1372733.5371923486</v>
      </c>
      <c r="CH115" s="58">
        <f t="shared" si="53"/>
        <v>343183.38429808716</v>
      </c>
      <c r="CI115" s="58">
        <f t="shared" si="54"/>
        <v>343183.38429808716</v>
      </c>
      <c r="CJ115" s="58">
        <f t="shared" si="54"/>
        <v>343183.38429808716</v>
      </c>
      <c r="CK115" s="58">
        <f t="shared" si="54"/>
        <v>343183.38429808716</v>
      </c>
      <c r="CL115" s="58">
        <f t="shared" si="55"/>
        <v>1372733.5371923486</v>
      </c>
      <c r="CM115" s="2"/>
      <c r="CN115" s="59">
        <f>BK115/$CN$3</f>
        <v>3.5151753797803758E-4</v>
      </c>
      <c r="CO115" s="64">
        <f>CN115*$CO$4</f>
        <v>7381868.297538789</v>
      </c>
      <c r="CP115" s="78">
        <f t="shared" si="59"/>
        <v>10981868.297538789</v>
      </c>
    </row>
    <row r="116" spans="1:94" s="78" customFormat="1" hidden="1" x14ac:dyDescent="0.3">
      <c r="A116" s="29">
        <v>111</v>
      </c>
      <c r="B116" s="30" t="s">
        <v>21</v>
      </c>
      <c r="C116" s="30"/>
      <c r="D116" s="30" t="s">
        <v>467</v>
      </c>
      <c r="E116" s="30" t="s">
        <v>448</v>
      </c>
      <c r="F116" s="30" t="s">
        <v>449</v>
      </c>
      <c r="G116" s="62" t="s">
        <v>450</v>
      </c>
      <c r="H116" s="62" t="s">
        <v>118</v>
      </c>
      <c r="I116" s="30" t="s">
        <v>119</v>
      </c>
      <c r="J116" s="30" t="s">
        <v>120</v>
      </c>
      <c r="K116" s="30" t="s">
        <v>451</v>
      </c>
      <c r="L116" s="30" t="s">
        <v>122</v>
      </c>
      <c r="M116" s="73">
        <v>2100345</v>
      </c>
      <c r="N116" s="48" t="s">
        <v>138</v>
      </c>
      <c r="O116" s="30" t="s">
        <v>477</v>
      </c>
      <c r="P116" s="86" t="s">
        <v>453</v>
      </c>
      <c r="Q116" s="86" t="s">
        <v>454</v>
      </c>
      <c r="R116" s="86" t="s">
        <v>173</v>
      </c>
      <c r="S116" s="86" t="s">
        <v>478</v>
      </c>
      <c r="T116" s="30"/>
      <c r="U116" s="48"/>
      <c r="V116" s="30" t="s">
        <v>415</v>
      </c>
      <c r="W116" s="30" t="s">
        <v>456</v>
      </c>
      <c r="X116" s="30"/>
      <c r="Y116" s="48" t="s">
        <v>457</v>
      </c>
      <c r="Z116" s="48" t="s">
        <v>457</v>
      </c>
      <c r="AA116" s="20" t="s">
        <v>148</v>
      </c>
      <c r="AB116" s="72" t="s">
        <v>177</v>
      </c>
      <c r="AC116" s="48" t="s">
        <v>470</v>
      </c>
      <c r="AD116" s="87" t="s">
        <v>471</v>
      </c>
      <c r="AE116" s="48"/>
      <c r="AF116" s="48" t="s">
        <v>179</v>
      </c>
      <c r="AG116" s="48" t="s">
        <v>152</v>
      </c>
      <c r="AH116" s="48" t="s">
        <v>458</v>
      </c>
      <c r="AI116" s="48"/>
      <c r="AJ116" s="50"/>
      <c r="AK116" s="50"/>
      <c r="AL116" s="51"/>
      <c r="AM116" s="52"/>
      <c r="AN116" s="48"/>
      <c r="AO116" s="30"/>
      <c r="AP116" s="30"/>
      <c r="AQ116" s="30"/>
      <c r="AR116" s="30"/>
      <c r="AS116" s="30"/>
      <c r="AT116" s="30"/>
      <c r="AU116" s="53">
        <v>164545025</v>
      </c>
      <c r="AV116" s="47"/>
      <c r="AW116" s="47"/>
      <c r="AX116" s="47"/>
      <c r="AY116" s="47"/>
      <c r="AZ116" s="47"/>
      <c r="BA116" s="74">
        <v>1000</v>
      </c>
      <c r="BB116" s="74">
        <v>1000</v>
      </c>
      <c r="BC116" s="52"/>
      <c r="BD116" s="52"/>
      <c r="BE116" s="52"/>
      <c r="BF116" s="30"/>
      <c r="BG116" s="30"/>
      <c r="BH116" s="30" t="s">
        <v>136</v>
      </c>
      <c r="BI116" s="30" t="str">
        <f t="shared" si="56"/>
        <v>Test</v>
      </c>
      <c r="BJ116" s="30" t="s">
        <v>250</v>
      </c>
      <c r="BK116" s="56">
        <f t="shared" si="57"/>
        <v>3290900.5</v>
      </c>
      <c r="BL116" s="57">
        <f t="shared" si="58"/>
        <v>102840.640625</v>
      </c>
      <c r="BM116" s="57">
        <f t="shared" si="46"/>
        <v>34280.213541666664</v>
      </c>
      <c r="BN116" s="2"/>
      <c r="BO116" s="2"/>
      <c r="BP116" s="15"/>
      <c r="BQ116" s="15"/>
      <c r="BR116" s="15"/>
      <c r="BS116" s="15"/>
      <c r="BT116" s="15"/>
      <c r="BU116" s="58">
        <f t="shared" si="73"/>
        <v>102840.640625</v>
      </c>
      <c r="BV116" s="58">
        <f t="shared" si="74"/>
        <v>102840.640625</v>
      </c>
      <c r="BW116" s="58">
        <f t="shared" si="75"/>
        <v>205681.28125</v>
      </c>
      <c r="BX116" s="58">
        <f t="shared" si="49"/>
        <v>102840.640625</v>
      </c>
      <c r="BY116" s="58">
        <f t="shared" si="71"/>
        <v>102840.640625</v>
      </c>
      <c r="BZ116" s="58">
        <f t="shared" si="76"/>
        <v>102840.640625</v>
      </c>
      <c r="CA116" s="58">
        <f t="shared" si="71"/>
        <v>102840.640625</v>
      </c>
      <c r="CB116" s="58">
        <f t="shared" si="50"/>
        <v>411362.5625</v>
      </c>
      <c r="CC116" s="58">
        <f t="shared" si="51"/>
        <v>102840.640625</v>
      </c>
      <c r="CD116" s="58">
        <f t="shared" si="72"/>
        <v>102840.640625</v>
      </c>
      <c r="CE116" s="58">
        <f t="shared" si="72"/>
        <v>102840.640625</v>
      </c>
      <c r="CF116" s="58">
        <f t="shared" si="72"/>
        <v>102840.640625</v>
      </c>
      <c r="CG116" s="58">
        <f t="shared" si="52"/>
        <v>411362.5625</v>
      </c>
      <c r="CH116" s="58">
        <f t="shared" si="53"/>
        <v>102840.640625</v>
      </c>
      <c r="CI116" s="58">
        <f t="shared" si="54"/>
        <v>102840.640625</v>
      </c>
      <c r="CJ116" s="58">
        <f t="shared" si="54"/>
        <v>102840.640625</v>
      </c>
      <c r="CK116" s="58">
        <f t="shared" si="54"/>
        <v>102840.640625</v>
      </c>
      <c r="CL116" s="58">
        <f t="shared" si="55"/>
        <v>411362.5625</v>
      </c>
      <c r="CM116" s="2"/>
      <c r="CN116" s="2"/>
      <c r="CO116" s="77"/>
      <c r="CP116" s="78">
        <f t="shared" si="59"/>
        <v>3290900.5</v>
      </c>
    </row>
    <row r="117" spans="1:94" s="78" customFormat="1" hidden="1" x14ac:dyDescent="0.3">
      <c r="A117" s="29">
        <v>112</v>
      </c>
      <c r="B117" s="30" t="s">
        <v>21</v>
      </c>
      <c r="C117" s="30"/>
      <c r="D117" s="30" t="s">
        <v>467</v>
      </c>
      <c r="E117" s="30" t="s">
        <v>448</v>
      </c>
      <c r="F117" s="30" t="s">
        <v>449</v>
      </c>
      <c r="G117" s="62" t="s">
        <v>450</v>
      </c>
      <c r="H117" s="62" t="s">
        <v>118</v>
      </c>
      <c r="I117" s="30" t="s">
        <v>119</v>
      </c>
      <c r="J117" s="30" t="s">
        <v>120</v>
      </c>
      <c r="K117" s="30" t="s">
        <v>451</v>
      </c>
      <c r="L117" s="30" t="s">
        <v>122</v>
      </c>
      <c r="M117" s="73">
        <v>2100346</v>
      </c>
      <c r="N117" s="48" t="s">
        <v>138</v>
      </c>
      <c r="O117" s="30" t="s">
        <v>479</v>
      </c>
      <c r="P117" s="86" t="s">
        <v>453</v>
      </c>
      <c r="Q117" s="86" t="s">
        <v>454</v>
      </c>
      <c r="R117" s="86" t="s">
        <v>173</v>
      </c>
      <c r="S117" s="86" t="s">
        <v>480</v>
      </c>
      <c r="T117" s="30"/>
      <c r="U117" s="48"/>
      <c r="V117" s="30" t="s">
        <v>415</v>
      </c>
      <c r="W117" s="30" t="s">
        <v>456</v>
      </c>
      <c r="X117" s="30"/>
      <c r="Y117" s="48" t="s">
        <v>457</v>
      </c>
      <c r="Z117" s="48" t="s">
        <v>457</v>
      </c>
      <c r="AA117" s="20" t="s">
        <v>148</v>
      </c>
      <c r="AB117" s="72" t="s">
        <v>177</v>
      </c>
      <c r="AC117" s="48" t="s">
        <v>470</v>
      </c>
      <c r="AD117" s="87" t="s">
        <v>471</v>
      </c>
      <c r="AE117" s="48"/>
      <c r="AF117" s="48" t="s">
        <v>179</v>
      </c>
      <c r="AG117" s="48" t="s">
        <v>152</v>
      </c>
      <c r="AH117" s="48" t="s">
        <v>458</v>
      </c>
      <c r="AI117" s="48"/>
      <c r="AJ117" s="50"/>
      <c r="AK117" s="50"/>
      <c r="AL117" s="51"/>
      <c r="AM117" s="52"/>
      <c r="AN117" s="48"/>
      <c r="AO117" s="30"/>
      <c r="AP117" s="30"/>
      <c r="AQ117" s="30"/>
      <c r="AR117" s="30"/>
      <c r="AS117" s="30"/>
      <c r="AT117" s="30"/>
      <c r="AU117" s="53">
        <v>164545024</v>
      </c>
      <c r="AV117" s="47"/>
      <c r="AW117" s="47"/>
      <c r="AX117" s="47"/>
      <c r="AY117" s="47"/>
      <c r="AZ117" s="47"/>
      <c r="BA117" s="74">
        <v>1000</v>
      </c>
      <c r="BB117" s="74">
        <v>1000</v>
      </c>
      <c r="BC117" s="52"/>
      <c r="BD117" s="52"/>
      <c r="BE117" s="52"/>
      <c r="BF117" s="30"/>
      <c r="BG117" s="30"/>
      <c r="BH117" s="30" t="s">
        <v>136</v>
      </c>
      <c r="BI117" s="30" t="str">
        <f t="shared" si="56"/>
        <v>Test</v>
      </c>
      <c r="BJ117" s="30" t="s">
        <v>250</v>
      </c>
      <c r="BK117" s="56">
        <f t="shared" si="57"/>
        <v>3290900.48</v>
      </c>
      <c r="BL117" s="57">
        <f t="shared" si="58"/>
        <v>102840.64</v>
      </c>
      <c r="BM117" s="57">
        <f t="shared" si="46"/>
        <v>34280.213333333333</v>
      </c>
      <c r="BN117" s="2"/>
      <c r="BO117" s="2"/>
      <c r="BP117" s="15"/>
      <c r="BQ117" s="15"/>
      <c r="BR117" s="15"/>
      <c r="BS117" s="15"/>
      <c r="BT117" s="15"/>
      <c r="BU117" s="58">
        <f t="shared" si="73"/>
        <v>102840.64</v>
      </c>
      <c r="BV117" s="58">
        <f t="shared" si="74"/>
        <v>102840.64</v>
      </c>
      <c r="BW117" s="58">
        <f t="shared" si="75"/>
        <v>205681.28</v>
      </c>
      <c r="BX117" s="58">
        <f t="shared" si="49"/>
        <v>102840.64</v>
      </c>
      <c r="BY117" s="58">
        <f t="shared" si="71"/>
        <v>102840.64</v>
      </c>
      <c r="BZ117" s="58">
        <f t="shared" si="76"/>
        <v>102840.64</v>
      </c>
      <c r="CA117" s="58">
        <f t="shared" si="71"/>
        <v>102840.64</v>
      </c>
      <c r="CB117" s="58">
        <f t="shared" si="50"/>
        <v>411362.56</v>
      </c>
      <c r="CC117" s="58">
        <f t="shared" si="51"/>
        <v>102840.64</v>
      </c>
      <c r="CD117" s="58">
        <f t="shared" si="72"/>
        <v>102840.64</v>
      </c>
      <c r="CE117" s="58">
        <f t="shared" si="72"/>
        <v>102840.64</v>
      </c>
      <c r="CF117" s="58">
        <f t="shared" si="72"/>
        <v>102840.64</v>
      </c>
      <c r="CG117" s="58">
        <f t="shared" si="52"/>
        <v>411362.56</v>
      </c>
      <c r="CH117" s="58">
        <f t="shared" si="53"/>
        <v>102840.64</v>
      </c>
      <c r="CI117" s="58">
        <f t="shared" si="54"/>
        <v>102840.64</v>
      </c>
      <c r="CJ117" s="58">
        <f t="shared" si="54"/>
        <v>102840.64</v>
      </c>
      <c r="CK117" s="58">
        <f t="shared" si="54"/>
        <v>102840.64</v>
      </c>
      <c r="CL117" s="58">
        <f t="shared" si="55"/>
        <v>411362.56</v>
      </c>
      <c r="CM117" s="2"/>
      <c r="CN117" s="2"/>
      <c r="CO117" s="77"/>
      <c r="CP117" s="78">
        <f t="shared" si="59"/>
        <v>3290900.48</v>
      </c>
    </row>
    <row r="118" spans="1:94" s="78" customFormat="1" hidden="1" x14ac:dyDescent="0.3">
      <c r="A118" s="29">
        <v>113</v>
      </c>
      <c r="B118" s="30" t="s">
        <v>21</v>
      </c>
      <c r="C118" s="30"/>
      <c r="D118" s="30" t="s">
        <v>467</v>
      </c>
      <c r="E118" s="30" t="s">
        <v>448</v>
      </c>
      <c r="F118" s="30" t="s">
        <v>449</v>
      </c>
      <c r="G118" s="62" t="s">
        <v>450</v>
      </c>
      <c r="H118" s="62" t="s">
        <v>118</v>
      </c>
      <c r="I118" s="30" t="s">
        <v>119</v>
      </c>
      <c r="J118" s="30" t="s">
        <v>120</v>
      </c>
      <c r="K118" s="30" t="s">
        <v>451</v>
      </c>
      <c r="L118" s="30" t="s">
        <v>122</v>
      </c>
      <c r="M118" s="73">
        <v>2100347</v>
      </c>
      <c r="N118" s="48" t="s">
        <v>138</v>
      </c>
      <c r="O118" s="30" t="s">
        <v>481</v>
      </c>
      <c r="P118" s="86" t="s">
        <v>453</v>
      </c>
      <c r="Q118" s="86" t="s">
        <v>454</v>
      </c>
      <c r="R118" s="86" t="s">
        <v>173</v>
      </c>
      <c r="S118" s="86" t="s">
        <v>482</v>
      </c>
      <c r="T118" s="30"/>
      <c r="U118" s="48"/>
      <c r="V118" s="30" t="s">
        <v>415</v>
      </c>
      <c r="W118" s="30" t="s">
        <v>456</v>
      </c>
      <c r="X118" s="30"/>
      <c r="Y118" s="48" t="s">
        <v>457</v>
      </c>
      <c r="Z118" s="48" t="s">
        <v>457</v>
      </c>
      <c r="AA118" s="20" t="s">
        <v>148</v>
      </c>
      <c r="AB118" s="72" t="s">
        <v>177</v>
      </c>
      <c r="AC118" s="48" t="s">
        <v>470</v>
      </c>
      <c r="AD118" s="87" t="s">
        <v>471</v>
      </c>
      <c r="AE118" s="48"/>
      <c r="AF118" s="48" t="s">
        <v>179</v>
      </c>
      <c r="AG118" s="48" t="s">
        <v>152</v>
      </c>
      <c r="AH118" s="48" t="s">
        <v>458</v>
      </c>
      <c r="AI118" s="48"/>
      <c r="AJ118" s="50"/>
      <c r="AK118" s="50"/>
      <c r="AL118" s="51"/>
      <c r="AM118" s="52"/>
      <c r="AN118" s="48"/>
      <c r="AO118" s="30"/>
      <c r="AP118" s="30"/>
      <c r="AQ118" s="30"/>
      <c r="AR118" s="30"/>
      <c r="AS118" s="30"/>
      <c r="AT118" s="30"/>
      <c r="AU118" s="53">
        <v>164545024</v>
      </c>
      <c r="AV118" s="47"/>
      <c r="AW118" s="47"/>
      <c r="AX118" s="47"/>
      <c r="AY118" s="47"/>
      <c r="AZ118" s="47"/>
      <c r="BA118" s="74">
        <v>1000</v>
      </c>
      <c r="BB118" s="74">
        <v>1000</v>
      </c>
      <c r="BC118" s="52"/>
      <c r="BD118" s="52"/>
      <c r="BE118" s="52"/>
      <c r="BF118" s="30"/>
      <c r="BG118" s="30"/>
      <c r="BH118" s="30" t="s">
        <v>136</v>
      </c>
      <c r="BI118" s="30" t="str">
        <f t="shared" si="56"/>
        <v>Test</v>
      </c>
      <c r="BJ118" s="30" t="s">
        <v>250</v>
      </c>
      <c r="BK118" s="56">
        <f t="shared" si="57"/>
        <v>3290900.48</v>
      </c>
      <c r="BL118" s="57">
        <f t="shared" si="58"/>
        <v>102840.64</v>
      </c>
      <c r="BM118" s="57">
        <f t="shared" si="46"/>
        <v>34280.213333333333</v>
      </c>
      <c r="BN118" s="2"/>
      <c r="BO118" s="2"/>
      <c r="BP118" s="15"/>
      <c r="BQ118" s="15"/>
      <c r="BR118" s="15"/>
      <c r="BS118" s="15"/>
      <c r="BT118" s="15"/>
      <c r="BU118" s="58">
        <f t="shared" si="73"/>
        <v>102840.64</v>
      </c>
      <c r="BV118" s="58">
        <f t="shared" si="74"/>
        <v>102840.64</v>
      </c>
      <c r="BW118" s="58">
        <f t="shared" si="75"/>
        <v>205681.28</v>
      </c>
      <c r="BX118" s="58">
        <f t="shared" si="49"/>
        <v>102840.64</v>
      </c>
      <c r="BY118" s="58">
        <f t="shared" si="71"/>
        <v>102840.64</v>
      </c>
      <c r="BZ118" s="58">
        <f t="shared" si="76"/>
        <v>102840.64</v>
      </c>
      <c r="CA118" s="58">
        <f t="shared" si="71"/>
        <v>102840.64</v>
      </c>
      <c r="CB118" s="58">
        <f t="shared" si="50"/>
        <v>411362.56</v>
      </c>
      <c r="CC118" s="58">
        <f t="shared" si="51"/>
        <v>102840.64</v>
      </c>
      <c r="CD118" s="58">
        <f t="shared" si="72"/>
        <v>102840.64</v>
      </c>
      <c r="CE118" s="58">
        <f t="shared" si="72"/>
        <v>102840.64</v>
      </c>
      <c r="CF118" s="58">
        <f t="shared" si="72"/>
        <v>102840.64</v>
      </c>
      <c r="CG118" s="58">
        <f t="shared" si="52"/>
        <v>411362.56</v>
      </c>
      <c r="CH118" s="58">
        <f t="shared" si="53"/>
        <v>102840.64</v>
      </c>
      <c r="CI118" s="58">
        <f t="shared" si="54"/>
        <v>102840.64</v>
      </c>
      <c r="CJ118" s="58">
        <f t="shared" si="54"/>
        <v>102840.64</v>
      </c>
      <c r="CK118" s="58">
        <f t="shared" si="54"/>
        <v>102840.64</v>
      </c>
      <c r="CL118" s="58">
        <f t="shared" si="55"/>
        <v>411362.56</v>
      </c>
      <c r="CM118" s="2"/>
      <c r="CN118" s="2"/>
      <c r="CO118" s="77"/>
      <c r="CP118" s="78">
        <f t="shared" si="59"/>
        <v>3290900.48</v>
      </c>
    </row>
    <row r="119" spans="1:94" s="78" customFormat="1" hidden="1" x14ac:dyDescent="0.3">
      <c r="A119" s="29">
        <v>114</v>
      </c>
      <c r="B119" s="30" t="s">
        <v>21</v>
      </c>
      <c r="C119" s="30"/>
      <c r="D119" s="30" t="s">
        <v>467</v>
      </c>
      <c r="E119" s="30" t="s">
        <v>448</v>
      </c>
      <c r="F119" s="30" t="s">
        <v>449</v>
      </c>
      <c r="G119" s="62" t="s">
        <v>450</v>
      </c>
      <c r="H119" s="62" t="s">
        <v>118</v>
      </c>
      <c r="I119" s="30" t="s">
        <v>119</v>
      </c>
      <c r="J119" s="30" t="s">
        <v>120</v>
      </c>
      <c r="K119" s="30" t="s">
        <v>451</v>
      </c>
      <c r="L119" s="30" t="s">
        <v>122</v>
      </c>
      <c r="M119" s="73">
        <v>2100349</v>
      </c>
      <c r="N119" s="48" t="s">
        <v>138</v>
      </c>
      <c r="O119" s="30" t="s">
        <v>483</v>
      </c>
      <c r="P119" s="86" t="s">
        <v>453</v>
      </c>
      <c r="Q119" s="86" t="s">
        <v>454</v>
      </c>
      <c r="R119" s="86" t="s">
        <v>173</v>
      </c>
      <c r="S119" s="86" t="s">
        <v>484</v>
      </c>
      <c r="T119" s="30"/>
      <c r="U119" s="48"/>
      <c r="V119" s="30" t="s">
        <v>415</v>
      </c>
      <c r="W119" s="30" t="s">
        <v>456</v>
      </c>
      <c r="X119" s="30"/>
      <c r="Y119" s="48" t="s">
        <v>457</v>
      </c>
      <c r="Z119" s="48" t="s">
        <v>457</v>
      </c>
      <c r="AA119" s="20" t="s">
        <v>148</v>
      </c>
      <c r="AB119" s="72" t="s">
        <v>177</v>
      </c>
      <c r="AC119" s="48" t="s">
        <v>470</v>
      </c>
      <c r="AD119" s="87" t="s">
        <v>471</v>
      </c>
      <c r="AE119" s="48"/>
      <c r="AF119" s="48" t="s">
        <v>179</v>
      </c>
      <c r="AG119" s="48" t="s">
        <v>152</v>
      </c>
      <c r="AH119" s="48" t="s">
        <v>458</v>
      </c>
      <c r="AI119" s="48"/>
      <c r="AJ119" s="50"/>
      <c r="AK119" s="50"/>
      <c r="AL119" s="51"/>
      <c r="AM119" s="52"/>
      <c r="AN119" s="48"/>
      <c r="AO119" s="30"/>
      <c r="AP119" s="30"/>
      <c r="AQ119" s="30"/>
      <c r="AR119" s="30"/>
      <c r="AS119" s="30"/>
      <c r="AT119" s="30"/>
      <c r="AU119" s="53">
        <v>165003370</v>
      </c>
      <c r="AV119" s="47"/>
      <c r="AW119" s="47"/>
      <c r="AX119" s="47"/>
      <c r="AY119" s="47"/>
      <c r="AZ119" s="47"/>
      <c r="BA119" s="74">
        <v>1000</v>
      </c>
      <c r="BB119" s="74">
        <v>1000</v>
      </c>
      <c r="BC119" s="52"/>
      <c r="BD119" s="52"/>
      <c r="BE119" s="52"/>
      <c r="BF119" s="30"/>
      <c r="BG119" s="30"/>
      <c r="BH119" s="30" t="s">
        <v>136</v>
      </c>
      <c r="BI119" s="30" t="str">
        <f t="shared" si="56"/>
        <v>Test</v>
      </c>
      <c r="BJ119" s="30" t="s">
        <v>250</v>
      </c>
      <c r="BK119" s="56">
        <f t="shared" si="57"/>
        <v>3300067.4</v>
      </c>
      <c r="BL119" s="57">
        <f t="shared" si="58"/>
        <v>103127.10625</v>
      </c>
      <c r="BM119" s="57">
        <f t="shared" si="46"/>
        <v>34375.70208333333</v>
      </c>
      <c r="BN119" s="2"/>
      <c r="BO119" s="2"/>
      <c r="BP119" s="15"/>
      <c r="BQ119" s="15"/>
      <c r="BR119" s="15"/>
      <c r="BS119" s="15"/>
      <c r="BT119" s="15"/>
      <c r="BU119" s="58">
        <f t="shared" si="73"/>
        <v>103127.10624999998</v>
      </c>
      <c r="BV119" s="58">
        <f t="shared" si="74"/>
        <v>103127.10624999998</v>
      </c>
      <c r="BW119" s="58">
        <f t="shared" si="75"/>
        <v>206254.21249999997</v>
      </c>
      <c r="BX119" s="58">
        <f t="shared" si="49"/>
        <v>103127.10624999998</v>
      </c>
      <c r="BY119" s="58">
        <f t="shared" si="71"/>
        <v>103127.10624999998</v>
      </c>
      <c r="BZ119" s="58">
        <f t="shared" si="76"/>
        <v>103127.10624999998</v>
      </c>
      <c r="CA119" s="58">
        <f t="shared" si="71"/>
        <v>103127.10624999998</v>
      </c>
      <c r="CB119" s="58">
        <f t="shared" si="50"/>
        <v>412508.42499999993</v>
      </c>
      <c r="CC119" s="58">
        <f t="shared" si="51"/>
        <v>103127.10624999998</v>
      </c>
      <c r="CD119" s="58">
        <f t="shared" si="72"/>
        <v>103127.10624999998</v>
      </c>
      <c r="CE119" s="58">
        <f t="shared" si="72"/>
        <v>103127.10624999998</v>
      </c>
      <c r="CF119" s="58">
        <f t="shared" si="72"/>
        <v>103127.10624999998</v>
      </c>
      <c r="CG119" s="58">
        <f t="shared" si="52"/>
        <v>412508.42499999993</v>
      </c>
      <c r="CH119" s="58">
        <f t="shared" si="53"/>
        <v>103127.10624999998</v>
      </c>
      <c r="CI119" s="58">
        <f t="shared" si="54"/>
        <v>103127.10624999998</v>
      </c>
      <c r="CJ119" s="58">
        <f t="shared" si="54"/>
        <v>103127.10624999998</v>
      </c>
      <c r="CK119" s="58">
        <f t="shared" si="54"/>
        <v>103127.10624999998</v>
      </c>
      <c r="CL119" s="58">
        <f t="shared" si="55"/>
        <v>412508.42499999993</v>
      </c>
      <c r="CM119" s="2"/>
      <c r="CN119" s="2"/>
      <c r="CO119" s="77"/>
      <c r="CP119" s="78">
        <f t="shared" si="59"/>
        <v>3300067.4</v>
      </c>
    </row>
    <row r="120" spans="1:94" s="78" customFormat="1" hidden="1" x14ac:dyDescent="0.3">
      <c r="A120" s="29">
        <v>115</v>
      </c>
      <c r="B120" s="30" t="s">
        <v>21</v>
      </c>
      <c r="C120" s="30"/>
      <c r="D120" s="30" t="s">
        <v>467</v>
      </c>
      <c r="E120" s="30" t="s">
        <v>448</v>
      </c>
      <c r="F120" s="30" t="s">
        <v>449</v>
      </c>
      <c r="G120" s="62" t="s">
        <v>450</v>
      </c>
      <c r="H120" s="62" t="s">
        <v>118</v>
      </c>
      <c r="I120" s="30" t="s">
        <v>119</v>
      </c>
      <c r="J120" s="30" t="s">
        <v>120</v>
      </c>
      <c r="K120" s="30" t="s">
        <v>451</v>
      </c>
      <c r="L120" s="30" t="s">
        <v>122</v>
      </c>
      <c r="M120" s="73">
        <v>2100366</v>
      </c>
      <c r="N120" s="48" t="s">
        <v>138</v>
      </c>
      <c r="O120" s="30" t="s">
        <v>485</v>
      </c>
      <c r="P120" s="86" t="s">
        <v>453</v>
      </c>
      <c r="Q120" s="86" t="s">
        <v>454</v>
      </c>
      <c r="R120" s="86" t="s">
        <v>173</v>
      </c>
      <c r="S120" s="86" t="s">
        <v>486</v>
      </c>
      <c r="T120" s="30"/>
      <c r="U120" s="48"/>
      <c r="V120" s="30" t="s">
        <v>415</v>
      </c>
      <c r="W120" s="30" t="s">
        <v>456</v>
      </c>
      <c r="X120" s="30"/>
      <c r="Y120" s="48" t="s">
        <v>457</v>
      </c>
      <c r="Z120" s="48" t="s">
        <v>457</v>
      </c>
      <c r="AA120" s="20" t="s">
        <v>148</v>
      </c>
      <c r="AB120" s="72" t="s">
        <v>177</v>
      </c>
      <c r="AC120" s="48" t="s">
        <v>470</v>
      </c>
      <c r="AD120" s="87" t="s">
        <v>471</v>
      </c>
      <c r="AE120" s="48"/>
      <c r="AF120" s="48" t="s">
        <v>179</v>
      </c>
      <c r="AG120" s="48" t="s">
        <v>152</v>
      </c>
      <c r="AH120" s="48" t="s">
        <v>458</v>
      </c>
      <c r="AI120" s="48"/>
      <c r="AJ120" s="50"/>
      <c r="AK120" s="50"/>
      <c r="AL120" s="51"/>
      <c r="AM120" s="52"/>
      <c r="AN120" s="48"/>
      <c r="AO120" s="30"/>
      <c r="AP120" s="30"/>
      <c r="AQ120" s="30"/>
      <c r="AR120" s="30"/>
      <c r="AS120" s="30"/>
      <c r="AT120" s="30"/>
      <c r="AU120" s="53">
        <v>165003370</v>
      </c>
      <c r="AV120" s="47"/>
      <c r="AW120" s="47"/>
      <c r="AX120" s="47"/>
      <c r="AY120" s="47"/>
      <c r="AZ120" s="47"/>
      <c r="BA120" s="74">
        <v>1000</v>
      </c>
      <c r="BB120" s="74">
        <v>1000</v>
      </c>
      <c r="BC120" s="52"/>
      <c r="BD120" s="52"/>
      <c r="BE120" s="52"/>
      <c r="BF120" s="30"/>
      <c r="BG120" s="30"/>
      <c r="BH120" s="30" t="s">
        <v>136</v>
      </c>
      <c r="BI120" s="30" t="str">
        <f t="shared" si="56"/>
        <v>Test</v>
      </c>
      <c r="BJ120" s="30" t="s">
        <v>250</v>
      </c>
      <c r="BK120" s="56">
        <f t="shared" si="57"/>
        <v>3300067.4</v>
      </c>
      <c r="BL120" s="57">
        <f t="shared" si="58"/>
        <v>103127.10625</v>
      </c>
      <c r="BM120" s="57">
        <f t="shared" si="46"/>
        <v>34375.70208333333</v>
      </c>
      <c r="BN120" s="2"/>
      <c r="BO120" s="2"/>
      <c r="BP120" s="15"/>
      <c r="BQ120" s="15"/>
      <c r="BR120" s="15"/>
      <c r="BS120" s="15"/>
      <c r="BT120" s="15"/>
      <c r="BU120" s="58">
        <f t="shared" si="73"/>
        <v>103127.10624999998</v>
      </c>
      <c r="BV120" s="58">
        <f t="shared" si="74"/>
        <v>103127.10624999998</v>
      </c>
      <c r="BW120" s="58">
        <f t="shared" si="75"/>
        <v>206254.21249999997</v>
      </c>
      <c r="BX120" s="58">
        <f t="shared" si="49"/>
        <v>103127.10624999998</v>
      </c>
      <c r="BY120" s="58">
        <f t="shared" si="71"/>
        <v>103127.10624999998</v>
      </c>
      <c r="BZ120" s="58">
        <f t="shared" si="76"/>
        <v>103127.10624999998</v>
      </c>
      <c r="CA120" s="58">
        <f t="shared" si="71"/>
        <v>103127.10624999998</v>
      </c>
      <c r="CB120" s="58">
        <f t="shared" si="50"/>
        <v>412508.42499999993</v>
      </c>
      <c r="CC120" s="58">
        <f t="shared" si="51"/>
        <v>103127.10624999998</v>
      </c>
      <c r="CD120" s="58">
        <f t="shared" si="72"/>
        <v>103127.10624999998</v>
      </c>
      <c r="CE120" s="58">
        <f t="shared" si="72"/>
        <v>103127.10624999998</v>
      </c>
      <c r="CF120" s="58">
        <f t="shared" si="72"/>
        <v>103127.10624999998</v>
      </c>
      <c r="CG120" s="58">
        <f t="shared" si="52"/>
        <v>412508.42499999993</v>
      </c>
      <c r="CH120" s="58">
        <f t="shared" si="53"/>
        <v>103127.10624999998</v>
      </c>
      <c r="CI120" s="58">
        <f t="shared" si="54"/>
        <v>103127.10624999998</v>
      </c>
      <c r="CJ120" s="58">
        <f t="shared" si="54"/>
        <v>103127.10624999998</v>
      </c>
      <c r="CK120" s="58">
        <f t="shared" si="54"/>
        <v>103127.10624999998</v>
      </c>
      <c r="CL120" s="58">
        <f t="shared" si="55"/>
        <v>412508.42499999993</v>
      </c>
      <c r="CM120" s="2"/>
      <c r="CN120" s="2"/>
      <c r="CO120" s="77"/>
      <c r="CP120" s="78">
        <f t="shared" si="59"/>
        <v>3300067.4</v>
      </c>
    </row>
    <row r="121" spans="1:94" s="78" customFormat="1" hidden="1" x14ac:dyDescent="0.3">
      <c r="A121" s="29">
        <v>116</v>
      </c>
      <c r="B121" s="30" t="s">
        <v>21</v>
      </c>
      <c r="C121" s="30"/>
      <c r="D121" s="30" t="s">
        <v>467</v>
      </c>
      <c r="E121" s="30" t="s">
        <v>448</v>
      </c>
      <c r="F121" s="30" t="s">
        <v>449</v>
      </c>
      <c r="G121" s="62" t="s">
        <v>450</v>
      </c>
      <c r="H121" s="62" t="s">
        <v>118</v>
      </c>
      <c r="I121" s="30" t="s">
        <v>119</v>
      </c>
      <c r="J121" s="30" t="s">
        <v>120</v>
      </c>
      <c r="K121" s="30" t="s">
        <v>451</v>
      </c>
      <c r="L121" s="30" t="s">
        <v>122</v>
      </c>
      <c r="M121" s="73">
        <v>2100365</v>
      </c>
      <c r="N121" s="48" t="s">
        <v>138</v>
      </c>
      <c r="O121" s="30" t="s">
        <v>487</v>
      </c>
      <c r="P121" s="86" t="s">
        <v>453</v>
      </c>
      <c r="Q121" s="86" t="s">
        <v>454</v>
      </c>
      <c r="R121" s="86" t="s">
        <v>173</v>
      </c>
      <c r="S121" s="86" t="s">
        <v>488</v>
      </c>
      <c r="T121" s="30"/>
      <c r="U121" s="48"/>
      <c r="V121" s="30" t="s">
        <v>415</v>
      </c>
      <c r="W121" s="30" t="s">
        <v>456</v>
      </c>
      <c r="X121" s="30"/>
      <c r="Y121" s="48" t="s">
        <v>457</v>
      </c>
      <c r="Z121" s="48" t="s">
        <v>457</v>
      </c>
      <c r="AA121" s="20" t="s">
        <v>148</v>
      </c>
      <c r="AB121" s="72" t="s">
        <v>177</v>
      </c>
      <c r="AC121" s="48" t="s">
        <v>470</v>
      </c>
      <c r="AD121" s="87" t="s">
        <v>471</v>
      </c>
      <c r="AE121" s="48"/>
      <c r="AF121" s="48" t="s">
        <v>179</v>
      </c>
      <c r="AG121" s="48" t="s">
        <v>152</v>
      </c>
      <c r="AH121" s="48" t="s">
        <v>458</v>
      </c>
      <c r="AI121" s="48"/>
      <c r="AJ121" s="50"/>
      <c r="AK121" s="50"/>
      <c r="AL121" s="51"/>
      <c r="AM121" s="52"/>
      <c r="AN121" s="48"/>
      <c r="AO121" s="30"/>
      <c r="AP121" s="30"/>
      <c r="AQ121" s="30"/>
      <c r="AR121" s="30"/>
      <c r="AS121" s="30"/>
      <c r="AT121" s="30"/>
      <c r="AU121" s="53">
        <v>165003370</v>
      </c>
      <c r="AV121" s="47"/>
      <c r="AW121" s="47"/>
      <c r="AX121" s="47"/>
      <c r="AY121" s="47"/>
      <c r="AZ121" s="47"/>
      <c r="BA121" s="74">
        <v>1000</v>
      </c>
      <c r="BB121" s="74">
        <v>1000</v>
      </c>
      <c r="BC121" s="52"/>
      <c r="BD121" s="52"/>
      <c r="BE121" s="52"/>
      <c r="BF121" s="30"/>
      <c r="BG121" s="30"/>
      <c r="BH121" s="30" t="s">
        <v>136</v>
      </c>
      <c r="BI121" s="30" t="str">
        <f t="shared" si="56"/>
        <v>Test</v>
      </c>
      <c r="BJ121" s="30" t="s">
        <v>250</v>
      </c>
      <c r="BK121" s="56">
        <f t="shared" si="57"/>
        <v>3300067.4</v>
      </c>
      <c r="BL121" s="57">
        <f t="shared" si="58"/>
        <v>103127.10625</v>
      </c>
      <c r="BM121" s="57">
        <f t="shared" si="46"/>
        <v>34375.70208333333</v>
      </c>
      <c r="BN121" s="2"/>
      <c r="BO121" s="2"/>
      <c r="BP121" s="15"/>
      <c r="BQ121" s="15"/>
      <c r="BR121" s="15"/>
      <c r="BS121" s="15"/>
      <c r="BT121" s="15"/>
      <c r="BU121" s="58">
        <f t="shared" si="73"/>
        <v>103127.10624999998</v>
      </c>
      <c r="BV121" s="58">
        <f t="shared" si="74"/>
        <v>103127.10624999998</v>
      </c>
      <c r="BW121" s="58">
        <f t="shared" si="75"/>
        <v>206254.21249999997</v>
      </c>
      <c r="BX121" s="58">
        <f t="shared" si="49"/>
        <v>103127.10624999998</v>
      </c>
      <c r="BY121" s="58">
        <f t="shared" si="71"/>
        <v>103127.10624999998</v>
      </c>
      <c r="BZ121" s="58">
        <f t="shared" si="76"/>
        <v>103127.10624999998</v>
      </c>
      <c r="CA121" s="58">
        <f t="shared" si="71"/>
        <v>103127.10624999998</v>
      </c>
      <c r="CB121" s="58">
        <f t="shared" si="50"/>
        <v>412508.42499999993</v>
      </c>
      <c r="CC121" s="58">
        <f t="shared" si="51"/>
        <v>103127.10624999998</v>
      </c>
      <c r="CD121" s="58">
        <f t="shared" si="72"/>
        <v>103127.10624999998</v>
      </c>
      <c r="CE121" s="58">
        <f t="shared" si="72"/>
        <v>103127.10624999998</v>
      </c>
      <c r="CF121" s="58">
        <f t="shared" si="72"/>
        <v>103127.10624999998</v>
      </c>
      <c r="CG121" s="58">
        <f t="shared" si="52"/>
        <v>412508.42499999993</v>
      </c>
      <c r="CH121" s="58">
        <f t="shared" si="53"/>
        <v>103127.10624999998</v>
      </c>
      <c r="CI121" s="58">
        <f t="shared" si="54"/>
        <v>103127.10624999998</v>
      </c>
      <c r="CJ121" s="58">
        <f t="shared" si="54"/>
        <v>103127.10624999998</v>
      </c>
      <c r="CK121" s="58">
        <f t="shared" si="54"/>
        <v>103127.10624999998</v>
      </c>
      <c r="CL121" s="58">
        <f t="shared" si="55"/>
        <v>412508.42499999993</v>
      </c>
      <c r="CM121" s="2"/>
      <c r="CN121" s="2"/>
      <c r="CO121" s="77"/>
      <c r="CP121" s="78">
        <f t="shared" si="59"/>
        <v>3300067.4</v>
      </c>
    </row>
    <row r="122" spans="1:94" s="78" customFormat="1" hidden="1" x14ac:dyDescent="0.3">
      <c r="A122" s="29">
        <v>117</v>
      </c>
      <c r="B122" s="30" t="s">
        <v>21</v>
      </c>
      <c r="C122" s="30"/>
      <c r="D122" s="30" t="s">
        <v>467</v>
      </c>
      <c r="E122" s="30" t="s">
        <v>448</v>
      </c>
      <c r="F122" s="30" t="s">
        <v>449</v>
      </c>
      <c r="G122" s="62" t="s">
        <v>450</v>
      </c>
      <c r="H122" s="62" t="s">
        <v>118</v>
      </c>
      <c r="I122" s="30" t="s">
        <v>119</v>
      </c>
      <c r="J122" s="30" t="s">
        <v>120</v>
      </c>
      <c r="K122" s="30" t="s">
        <v>451</v>
      </c>
      <c r="L122" s="30" t="s">
        <v>122</v>
      </c>
      <c r="M122" s="73">
        <v>2100367</v>
      </c>
      <c r="N122" s="48" t="s">
        <v>138</v>
      </c>
      <c r="O122" s="30" t="s">
        <v>489</v>
      </c>
      <c r="P122" s="86" t="s">
        <v>453</v>
      </c>
      <c r="Q122" s="86" t="s">
        <v>454</v>
      </c>
      <c r="R122" s="86" t="s">
        <v>173</v>
      </c>
      <c r="S122" s="86" t="s">
        <v>490</v>
      </c>
      <c r="T122" s="30"/>
      <c r="U122" s="48"/>
      <c r="V122" s="30" t="s">
        <v>415</v>
      </c>
      <c r="W122" s="30" t="s">
        <v>456</v>
      </c>
      <c r="X122" s="30"/>
      <c r="Y122" s="48" t="s">
        <v>457</v>
      </c>
      <c r="Z122" s="48" t="s">
        <v>457</v>
      </c>
      <c r="AA122" s="20" t="s">
        <v>148</v>
      </c>
      <c r="AB122" s="72" t="s">
        <v>177</v>
      </c>
      <c r="AC122" s="48" t="s">
        <v>470</v>
      </c>
      <c r="AD122" s="87" t="s">
        <v>471</v>
      </c>
      <c r="AE122" s="48"/>
      <c r="AF122" s="48" t="s">
        <v>179</v>
      </c>
      <c r="AG122" s="48" t="s">
        <v>152</v>
      </c>
      <c r="AH122" s="48" t="s">
        <v>458</v>
      </c>
      <c r="AI122" s="48"/>
      <c r="AJ122" s="50"/>
      <c r="AK122" s="50"/>
      <c r="AL122" s="51"/>
      <c r="AM122" s="52"/>
      <c r="AN122" s="48"/>
      <c r="AO122" s="30"/>
      <c r="AP122" s="30"/>
      <c r="AQ122" s="30"/>
      <c r="AR122" s="30"/>
      <c r="AS122" s="30"/>
      <c r="AT122" s="30"/>
      <c r="AU122" s="53">
        <v>165003369</v>
      </c>
      <c r="AV122" s="47"/>
      <c r="AW122" s="47"/>
      <c r="AX122" s="47"/>
      <c r="AY122" s="47"/>
      <c r="AZ122" s="47"/>
      <c r="BA122" s="74">
        <v>1000</v>
      </c>
      <c r="BB122" s="74">
        <v>1000</v>
      </c>
      <c r="BC122" s="52"/>
      <c r="BD122" s="52"/>
      <c r="BE122" s="52"/>
      <c r="BF122" s="30"/>
      <c r="BG122" s="30"/>
      <c r="BH122" s="30" t="s">
        <v>136</v>
      </c>
      <c r="BI122" s="30" t="str">
        <f t="shared" si="56"/>
        <v>Test</v>
      </c>
      <c r="BJ122" s="30" t="s">
        <v>250</v>
      </c>
      <c r="BK122" s="56">
        <f t="shared" si="57"/>
        <v>3300067.38</v>
      </c>
      <c r="BL122" s="57">
        <f t="shared" si="58"/>
        <v>103127.105625</v>
      </c>
      <c r="BM122" s="57">
        <f t="shared" si="46"/>
        <v>34375.701874999999</v>
      </c>
      <c r="BN122" s="2"/>
      <c r="BO122" s="2"/>
      <c r="BP122" s="15"/>
      <c r="BQ122" s="15"/>
      <c r="BR122" s="15"/>
      <c r="BS122" s="15"/>
      <c r="BT122" s="15"/>
      <c r="BU122" s="58">
        <f t="shared" si="73"/>
        <v>103127.105625</v>
      </c>
      <c r="BV122" s="58">
        <f t="shared" si="74"/>
        <v>103127.105625</v>
      </c>
      <c r="BW122" s="58">
        <f t="shared" si="75"/>
        <v>206254.21124999999</v>
      </c>
      <c r="BX122" s="58">
        <f t="shared" si="49"/>
        <v>103127.105625</v>
      </c>
      <c r="BY122" s="58">
        <f t="shared" ref="BY122:BY169" si="79">BX122</f>
        <v>103127.105625</v>
      </c>
      <c r="BZ122" s="58">
        <f t="shared" si="76"/>
        <v>103127.105625</v>
      </c>
      <c r="CA122" s="58">
        <f t="shared" ref="CA122:CA185" si="80">BZ122</f>
        <v>103127.105625</v>
      </c>
      <c r="CB122" s="58">
        <f t="shared" si="50"/>
        <v>412508.42249999999</v>
      </c>
      <c r="CC122" s="58">
        <f t="shared" si="51"/>
        <v>103127.105625</v>
      </c>
      <c r="CD122" s="58">
        <f t="shared" si="72"/>
        <v>103127.105625</v>
      </c>
      <c r="CE122" s="58">
        <f t="shared" si="72"/>
        <v>103127.105625</v>
      </c>
      <c r="CF122" s="58">
        <f t="shared" si="72"/>
        <v>103127.105625</v>
      </c>
      <c r="CG122" s="58">
        <f t="shared" si="52"/>
        <v>412508.42249999999</v>
      </c>
      <c r="CH122" s="58">
        <f t="shared" si="53"/>
        <v>103127.105625</v>
      </c>
      <c r="CI122" s="58">
        <f t="shared" si="54"/>
        <v>103127.105625</v>
      </c>
      <c r="CJ122" s="58">
        <f t="shared" si="54"/>
        <v>103127.105625</v>
      </c>
      <c r="CK122" s="58">
        <f t="shared" si="54"/>
        <v>103127.105625</v>
      </c>
      <c r="CL122" s="58">
        <f t="shared" si="55"/>
        <v>412508.42249999999</v>
      </c>
      <c r="CM122" s="2"/>
      <c r="CN122" s="2"/>
      <c r="CO122" s="77"/>
      <c r="CP122" s="78">
        <f t="shared" si="59"/>
        <v>3300067.38</v>
      </c>
    </row>
    <row r="123" spans="1:94" s="78" customFormat="1" ht="16.5" hidden="1" x14ac:dyDescent="0.3">
      <c r="A123" s="2">
        <v>118</v>
      </c>
      <c r="B123" s="47" t="s">
        <v>21</v>
      </c>
      <c r="C123" s="47"/>
      <c r="D123" s="47" t="s">
        <v>447</v>
      </c>
      <c r="E123" s="30" t="s">
        <v>448</v>
      </c>
      <c r="F123" s="30" t="s">
        <v>449</v>
      </c>
      <c r="G123" s="62" t="s">
        <v>450</v>
      </c>
      <c r="H123" s="62" t="s">
        <v>118</v>
      </c>
      <c r="I123" s="30" t="s">
        <v>119</v>
      </c>
      <c r="J123" s="30" t="s">
        <v>120</v>
      </c>
      <c r="K123" s="30" t="s">
        <v>451</v>
      </c>
      <c r="L123" s="30" t="s">
        <v>122</v>
      </c>
      <c r="M123" s="73">
        <v>2100437</v>
      </c>
      <c r="N123" s="48" t="s">
        <v>138</v>
      </c>
      <c r="O123" s="47" t="s">
        <v>491</v>
      </c>
      <c r="P123" s="82" t="s">
        <v>492</v>
      </c>
      <c r="Q123" s="82" t="s">
        <v>493</v>
      </c>
      <c r="R123" s="82" t="s">
        <v>173</v>
      </c>
      <c r="S123" s="85" t="s">
        <v>494</v>
      </c>
      <c r="T123" s="30"/>
      <c r="U123" s="48"/>
      <c r="V123" s="62"/>
      <c r="W123" s="48"/>
      <c r="X123" s="48" t="s">
        <v>127</v>
      </c>
      <c r="Y123" s="48" t="s">
        <v>457</v>
      </c>
      <c r="Z123" s="48" t="s">
        <v>457</v>
      </c>
      <c r="AA123" s="20" t="s">
        <v>148</v>
      </c>
      <c r="AB123" s="72" t="s">
        <v>177</v>
      </c>
      <c r="AC123" s="48" t="s">
        <v>150</v>
      </c>
      <c r="AD123" s="48"/>
      <c r="AE123" s="48"/>
      <c r="AF123" s="48" t="s">
        <v>179</v>
      </c>
      <c r="AG123" s="48" t="s">
        <v>152</v>
      </c>
      <c r="AH123" s="48"/>
      <c r="AI123" s="48"/>
      <c r="AJ123" s="50"/>
      <c r="AK123" s="50"/>
      <c r="AL123" s="51"/>
      <c r="AM123" s="52"/>
      <c r="AN123" s="48"/>
      <c r="AO123" s="30"/>
      <c r="AP123" s="30"/>
      <c r="AQ123" s="30"/>
      <c r="AR123" s="30"/>
      <c r="AS123" s="30"/>
      <c r="AT123" s="30"/>
      <c r="AU123" s="53">
        <v>195000000</v>
      </c>
      <c r="AV123" s="47"/>
      <c r="AW123" s="47"/>
      <c r="AX123" s="47"/>
      <c r="AY123" s="47"/>
      <c r="AZ123" s="47"/>
      <c r="BA123" s="83">
        <v>1000</v>
      </c>
      <c r="BB123" s="84">
        <v>1000</v>
      </c>
      <c r="BC123" s="52"/>
      <c r="BD123" s="52"/>
      <c r="BE123" s="52"/>
      <c r="BF123" s="30"/>
      <c r="BG123" s="30"/>
      <c r="BH123" s="30" t="s">
        <v>136</v>
      </c>
      <c r="BI123" s="30" t="str">
        <f t="shared" si="56"/>
        <v>Test</v>
      </c>
      <c r="BJ123" s="47" t="s">
        <v>137</v>
      </c>
      <c r="BK123" s="56">
        <f t="shared" si="57"/>
        <v>3900000</v>
      </c>
      <c r="BL123" s="57">
        <f t="shared" si="58"/>
        <v>371781.99965626106</v>
      </c>
      <c r="BM123" s="57">
        <f t="shared" si="46"/>
        <v>123927.33321875369</v>
      </c>
      <c r="BN123" s="2"/>
      <c r="BO123" s="2"/>
      <c r="BP123" s="15"/>
      <c r="BQ123" s="15"/>
      <c r="BR123" s="15"/>
      <c r="BS123" s="15"/>
      <c r="BT123" s="15"/>
      <c r="BU123" s="58">
        <f t="shared" si="73"/>
        <v>371781.99965626106</v>
      </c>
      <c r="BV123" s="58">
        <f t="shared" si="74"/>
        <v>371781.99965626106</v>
      </c>
      <c r="BW123" s="58">
        <f t="shared" si="75"/>
        <v>743563.99931252212</v>
      </c>
      <c r="BX123" s="58">
        <f t="shared" si="49"/>
        <v>371781.99965626106</v>
      </c>
      <c r="BY123" s="58">
        <f t="shared" si="79"/>
        <v>371781.99965626106</v>
      </c>
      <c r="BZ123" s="58">
        <f t="shared" si="76"/>
        <v>371781.99965626106</v>
      </c>
      <c r="CA123" s="58">
        <f t="shared" si="80"/>
        <v>371781.99965626106</v>
      </c>
      <c r="CB123" s="58">
        <f t="shared" si="50"/>
        <v>1487127.9986250442</v>
      </c>
      <c r="CC123" s="58">
        <f t="shared" si="51"/>
        <v>371781.99965626106</v>
      </c>
      <c r="CD123" s="58">
        <f t="shared" si="72"/>
        <v>371781.99965626106</v>
      </c>
      <c r="CE123" s="58">
        <f t="shared" si="72"/>
        <v>371781.99965626106</v>
      </c>
      <c r="CF123" s="58">
        <f t="shared" si="72"/>
        <v>371781.99965626106</v>
      </c>
      <c r="CG123" s="58">
        <f t="shared" si="52"/>
        <v>1487127.9986250442</v>
      </c>
      <c r="CH123" s="58">
        <f t="shared" si="53"/>
        <v>371781.99965626106</v>
      </c>
      <c r="CI123" s="58">
        <f t="shared" si="54"/>
        <v>371781.99965626106</v>
      </c>
      <c r="CJ123" s="58">
        <f t="shared" si="54"/>
        <v>371781.99965626106</v>
      </c>
      <c r="CK123" s="58">
        <f t="shared" si="54"/>
        <v>371781.99965626106</v>
      </c>
      <c r="CL123" s="58">
        <f t="shared" si="55"/>
        <v>1487127.9986250442</v>
      </c>
      <c r="CM123" s="2"/>
      <c r="CN123" s="59">
        <f t="shared" ref="CN123:CN124" si="81">BK123/$CN$3</f>
        <v>3.8081066614287402E-4</v>
      </c>
      <c r="CO123" s="64">
        <f t="shared" ref="CO123:CO124" si="82">CN123*$CO$4</f>
        <v>7997023.9890003549</v>
      </c>
      <c r="CP123" s="78">
        <f t="shared" si="59"/>
        <v>11897023.989000354</v>
      </c>
    </row>
    <row r="124" spans="1:94" s="78" customFormat="1" ht="16.5" hidden="1" x14ac:dyDescent="0.3">
      <c r="A124" s="2">
        <v>119</v>
      </c>
      <c r="B124" s="47" t="s">
        <v>21</v>
      </c>
      <c r="C124" s="47"/>
      <c r="D124" s="47" t="s">
        <v>447</v>
      </c>
      <c r="E124" s="30" t="s">
        <v>448</v>
      </c>
      <c r="F124" s="30" t="s">
        <v>449</v>
      </c>
      <c r="G124" s="62" t="s">
        <v>450</v>
      </c>
      <c r="H124" s="62" t="s">
        <v>118</v>
      </c>
      <c r="I124" s="30" t="s">
        <v>119</v>
      </c>
      <c r="J124" s="30" t="s">
        <v>120</v>
      </c>
      <c r="K124" s="30" t="s">
        <v>451</v>
      </c>
      <c r="L124" s="30" t="s">
        <v>122</v>
      </c>
      <c r="M124" s="73">
        <v>2100299</v>
      </c>
      <c r="N124" s="48" t="s">
        <v>138</v>
      </c>
      <c r="O124" s="47" t="s">
        <v>495</v>
      </c>
      <c r="P124" s="88" t="s">
        <v>473</v>
      </c>
      <c r="Q124" s="88" t="s">
        <v>474</v>
      </c>
      <c r="R124" s="82" t="s">
        <v>173</v>
      </c>
      <c r="S124" s="85" t="s">
        <v>496</v>
      </c>
      <c r="T124" s="30"/>
      <c r="U124" s="48"/>
      <c r="V124" s="62"/>
      <c r="W124" s="48" t="s">
        <v>476</v>
      </c>
      <c r="X124" s="48" t="s">
        <v>127</v>
      </c>
      <c r="Y124" s="48" t="s">
        <v>457</v>
      </c>
      <c r="Z124" s="48" t="s">
        <v>457</v>
      </c>
      <c r="AA124" s="20" t="s">
        <v>148</v>
      </c>
      <c r="AB124" s="72" t="s">
        <v>177</v>
      </c>
      <c r="AC124" s="48" t="s">
        <v>150</v>
      </c>
      <c r="AD124" s="48"/>
      <c r="AE124" s="48"/>
      <c r="AF124" s="48" t="s">
        <v>179</v>
      </c>
      <c r="AG124" s="48" t="s">
        <v>152</v>
      </c>
      <c r="AH124" s="48" t="s">
        <v>458</v>
      </c>
      <c r="AI124" s="48"/>
      <c r="AJ124" s="50"/>
      <c r="AK124" s="50"/>
      <c r="AL124" s="51"/>
      <c r="AM124" s="52"/>
      <c r="AN124" s="48"/>
      <c r="AO124" s="30"/>
      <c r="AP124" s="30"/>
      <c r="AQ124" s="30"/>
      <c r="AR124" s="30"/>
      <c r="AS124" s="30"/>
      <c r="AT124" s="30"/>
      <c r="AU124" s="53">
        <v>235100000</v>
      </c>
      <c r="AV124" s="47"/>
      <c r="AW124" s="47"/>
      <c r="AX124" s="47"/>
      <c r="AY124" s="47"/>
      <c r="AZ124" s="47"/>
      <c r="BA124" s="83">
        <v>1000</v>
      </c>
      <c r="BB124" s="84">
        <v>1000</v>
      </c>
      <c r="BC124" s="52"/>
      <c r="BD124" s="52"/>
      <c r="BE124" s="52"/>
      <c r="BF124" s="30"/>
      <c r="BG124" s="30"/>
      <c r="BH124" s="30" t="s">
        <v>136</v>
      </c>
      <c r="BI124" s="30" t="str">
        <f t="shared" si="56"/>
        <v>Test</v>
      </c>
      <c r="BJ124" s="47" t="s">
        <v>137</v>
      </c>
      <c r="BK124" s="56">
        <f t="shared" si="57"/>
        <v>4702000</v>
      </c>
      <c r="BL124" s="57">
        <f t="shared" si="58"/>
        <v>448235.63138044608</v>
      </c>
      <c r="BM124" s="57">
        <f t="shared" si="46"/>
        <v>149411.87712681535</v>
      </c>
      <c r="BN124" s="2"/>
      <c r="BO124" s="2"/>
      <c r="BP124" s="15"/>
      <c r="BQ124" s="15"/>
      <c r="BR124" s="15"/>
      <c r="BS124" s="15"/>
      <c r="BT124" s="15"/>
      <c r="BU124" s="58">
        <f t="shared" si="73"/>
        <v>448235.63138044602</v>
      </c>
      <c r="BV124" s="58">
        <f t="shared" si="74"/>
        <v>448235.63138044602</v>
      </c>
      <c r="BW124" s="58">
        <f t="shared" si="75"/>
        <v>896471.26276089204</v>
      </c>
      <c r="BX124" s="58">
        <f t="shared" si="49"/>
        <v>448235.63138044602</v>
      </c>
      <c r="BY124" s="58">
        <f t="shared" si="79"/>
        <v>448235.63138044602</v>
      </c>
      <c r="BZ124" s="58">
        <f t="shared" si="76"/>
        <v>448235.63138044602</v>
      </c>
      <c r="CA124" s="58">
        <f t="shared" si="80"/>
        <v>448235.63138044602</v>
      </c>
      <c r="CB124" s="58">
        <f t="shared" si="50"/>
        <v>1792942.5255217841</v>
      </c>
      <c r="CC124" s="58">
        <f t="shared" si="51"/>
        <v>448235.63138044602</v>
      </c>
      <c r="CD124" s="58">
        <f t="shared" si="72"/>
        <v>448235.63138044602</v>
      </c>
      <c r="CE124" s="58">
        <f t="shared" si="72"/>
        <v>448235.63138044602</v>
      </c>
      <c r="CF124" s="58">
        <f t="shared" si="72"/>
        <v>448235.63138044602</v>
      </c>
      <c r="CG124" s="58">
        <f t="shared" si="52"/>
        <v>1792942.5255217841</v>
      </c>
      <c r="CH124" s="58">
        <f t="shared" si="53"/>
        <v>448235.63138044602</v>
      </c>
      <c r="CI124" s="58">
        <f t="shared" si="54"/>
        <v>448235.63138044602</v>
      </c>
      <c r="CJ124" s="58">
        <f t="shared" si="54"/>
        <v>448235.63138044602</v>
      </c>
      <c r="CK124" s="58">
        <f t="shared" si="54"/>
        <v>448235.63138044602</v>
      </c>
      <c r="CL124" s="58">
        <f t="shared" si="55"/>
        <v>1792942.5255217841</v>
      </c>
      <c r="CM124" s="2"/>
      <c r="CN124" s="59">
        <f t="shared" si="81"/>
        <v>4.5912096210353685E-4</v>
      </c>
      <c r="CO124" s="64">
        <f t="shared" si="82"/>
        <v>9641540.2041742746</v>
      </c>
      <c r="CP124" s="78">
        <f t="shared" si="59"/>
        <v>14343540.204174275</v>
      </c>
    </row>
    <row r="125" spans="1:94" s="78" customFormat="1" hidden="1" x14ac:dyDescent="0.3">
      <c r="A125" s="29">
        <v>120</v>
      </c>
      <c r="B125" s="30" t="s">
        <v>21</v>
      </c>
      <c r="C125" s="30"/>
      <c r="D125" s="30" t="s">
        <v>467</v>
      </c>
      <c r="E125" s="30" t="s">
        <v>448</v>
      </c>
      <c r="F125" s="30" t="s">
        <v>449</v>
      </c>
      <c r="G125" s="62" t="s">
        <v>450</v>
      </c>
      <c r="H125" s="62" t="s">
        <v>118</v>
      </c>
      <c r="I125" s="30" t="s">
        <v>119</v>
      </c>
      <c r="J125" s="30" t="s">
        <v>120</v>
      </c>
      <c r="K125" s="30" t="s">
        <v>451</v>
      </c>
      <c r="L125" s="30" t="s">
        <v>122</v>
      </c>
      <c r="M125" s="73">
        <v>2100498</v>
      </c>
      <c r="N125" s="48" t="s">
        <v>138</v>
      </c>
      <c r="O125" s="30" t="s">
        <v>497</v>
      </c>
      <c r="P125" s="86" t="s">
        <v>453</v>
      </c>
      <c r="Q125" s="86" t="s">
        <v>454</v>
      </c>
      <c r="R125" s="86" t="s">
        <v>173</v>
      </c>
      <c r="S125" s="89" t="s">
        <v>498</v>
      </c>
      <c r="T125" s="30"/>
      <c r="U125" s="48"/>
      <c r="V125" s="30" t="s">
        <v>415</v>
      </c>
      <c r="W125" s="30" t="s">
        <v>456</v>
      </c>
      <c r="X125" s="30"/>
      <c r="Y125" s="48" t="s">
        <v>457</v>
      </c>
      <c r="Z125" s="48" t="s">
        <v>457</v>
      </c>
      <c r="AA125" s="20" t="s">
        <v>148</v>
      </c>
      <c r="AB125" s="72" t="s">
        <v>177</v>
      </c>
      <c r="AC125" s="48" t="s">
        <v>470</v>
      </c>
      <c r="AD125" s="87" t="s">
        <v>471</v>
      </c>
      <c r="AE125" s="48"/>
      <c r="AF125" s="48" t="s">
        <v>179</v>
      </c>
      <c r="AG125" s="48" t="s">
        <v>152</v>
      </c>
      <c r="AH125" s="48" t="s">
        <v>458</v>
      </c>
      <c r="AI125" s="48"/>
      <c r="AJ125" s="50"/>
      <c r="AK125" s="50"/>
      <c r="AL125" s="51"/>
      <c r="AM125" s="52"/>
      <c r="AN125" s="48"/>
      <c r="AO125" s="30"/>
      <c r="AP125" s="30"/>
      <c r="AQ125" s="30"/>
      <c r="AR125" s="30"/>
      <c r="AS125" s="30"/>
      <c r="AT125" s="30"/>
      <c r="AU125" s="53">
        <v>157688586</v>
      </c>
      <c r="AV125" s="47"/>
      <c r="AW125" s="47"/>
      <c r="AX125" s="47"/>
      <c r="AY125" s="47"/>
      <c r="AZ125" s="47"/>
      <c r="BA125" s="74">
        <v>24638842</v>
      </c>
      <c r="BB125" s="74">
        <v>1000</v>
      </c>
      <c r="BC125" s="52"/>
      <c r="BD125" s="52"/>
      <c r="BE125" s="52"/>
      <c r="BF125" s="30"/>
      <c r="BG125" s="30"/>
      <c r="BH125" s="30" t="s">
        <v>136</v>
      </c>
      <c r="BI125" s="30" t="str">
        <f t="shared" si="56"/>
        <v>Test</v>
      </c>
      <c r="BJ125" s="30" t="s">
        <v>250</v>
      </c>
      <c r="BK125" s="56">
        <f t="shared" si="57"/>
        <v>25870784.100000001</v>
      </c>
      <c r="BL125" s="57">
        <f t="shared" si="58"/>
        <v>808462.00312500005</v>
      </c>
      <c r="BM125" s="57">
        <f t="shared" si="46"/>
        <v>269487.33437500003</v>
      </c>
      <c r="BN125" s="2"/>
      <c r="BO125" s="2"/>
      <c r="BP125" s="15"/>
      <c r="BQ125" s="15"/>
      <c r="BR125" s="15"/>
      <c r="BS125" s="15"/>
      <c r="BT125" s="15"/>
      <c r="BU125" s="58">
        <f t="shared" si="73"/>
        <v>808462.00312500005</v>
      </c>
      <c r="BV125" s="58">
        <f t="shared" si="74"/>
        <v>808462.00312500005</v>
      </c>
      <c r="BW125" s="58">
        <f t="shared" si="75"/>
        <v>1616924.0062500001</v>
      </c>
      <c r="BX125" s="58">
        <f t="shared" si="49"/>
        <v>808462.00312500005</v>
      </c>
      <c r="BY125" s="58">
        <f t="shared" si="79"/>
        <v>808462.00312500005</v>
      </c>
      <c r="BZ125" s="58">
        <f t="shared" si="76"/>
        <v>808462.00312500005</v>
      </c>
      <c r="CA125" s="58">
        <f t="shared" si="80"/>
        <v>808462.00312500005</v>
      </c>
      <c r="CB125" s="58">
        <f t="shared" si="50"/>
        <v>3233848.0125000002</v>
      </c>
      <c r="CC125" s="58">
        <f t="shared" si="51"/>
        <v>808462.00312500005</v>
      </c>
      <c r="CD125" s="58">
        <f t="shared" si="72"/>
        <v>808462.00312500005</v>
      </c>
      <c r="CE125" s="58">
        <f t="shared" si="72"/>
        <v>808462.00312500005</v>
      </c>
      <c r="CF125" s="58">
        <f t="shared" si="72"/>
        <v>808462.00312500005</v>
      </c>
      <c r="CG125" s="58">
        <f t="shared" si="52"/>
        <v>3233848.0125000002</v>
      </c>
      <c r="CH125" s="58">
        <f t="shared" si="53"/>
        <v>808462.00312500005</v>
      </c>
      <c r="CI125" s="58">
        <f t="shared" si="54"/>
        <v>808462.00312500005</v>
      </c>
      <c r="CJ125" s="58">
        <f t="shared" si="54"/>
        <v>808462.00312500005</v>
      </c>
      <c r="CK125" s="58">
        <f t="shared" si="54"/>
        <v>808462.00312500005</v>
      </c>
      <c r="CL125" s="58">
        <f t="shared" si="55"/>
        <v>3233848.0125000002</v>
      </c>
      <c r="CM125" s="2"/>
      <c r="CN125" s="2"/>
      <c r="CO125" s="77"/>
      <c r="CP125" s="78">
        <f t="shared" si="59"/>
        <v>25870784.100000001</v>
      </c>
    </row>
    <row r="126" spans="1:94" s="78" customFormat="1" hidden="1" x14ac:dyDescent="0.3">
      <c r="A126" s="29">
        <v>121</v>
      </c>
      <c r="B126" s="30" t="s">
        <v>21</v>
      </c>
      <c r="C126" s="30"/>
      <c r="D126" s="30" t="s">
        <v>467</v>
      </c>
      <c r="E126" s="30" t="s">
        <v>448</v>
      </c>
      <c r="F126" s="30" t="s">
        <v>449</v>
      </c>
      <c r="G126" s="62" t="s">
        <v>450</v>
      </c>
      <c r="H126" s="62" t="s">
        <v>118</v>
      </c>
      <c r="I126" s="30" t="s">
        <v>119</v>
      </c>
      <c r="J126" s="30" t="s">
        <v>120</v>
      </c>
      <c r="K126" s="30" t="s">
        <v>451</v>
      </c>
      <c r="L126" s="30" t="s">
        <v>122</v>
      </c>
      <c r="M126" s="73">
        <v>2101169</v>
      </c>
      <c r="N126" s="48" t="s">
        <v>138</v>
      </c>
      <c r="O126" s="30" t="s">
        <v>499</v>
      </c>
      <c r="P126" s="86" t="s">
        <v>453</v>
      </c>
      <c r="Q126" s="86" t="s">
        <v>454</v>
      </c>
      <c r="R126" s="86" t="s">
        <v>173</v>
      </c>
      <c r="S126" s="90" t="s">
        <v>500</v>
      </c>
      <c r="T126" s="30"/>
      <c r="U126" s="48"/>
      <c r="V126" s="30" t="s">
        <v>415</v>
      </c>
      <c r="W126" s="30" t="s">
        <v>456</v>
      </c>
      <c r="X126" s="30"/>
      <c r="Y126" s="48" t="s">
        <v>457</v>
      </c>
      <c r="Z126" s="48" t="s">
        <v>457</v>
      </c>
      <c r="AA126" s="20" t="s">
        <v>148</v>
      </c>
      <c r="AB126" s="72" t="s">
        <v>177</v>
      </c>
      <c r="AC126" s="48" t="s">
        <v>470</v>
      </c>
      <c r="AD126" s="87" t="s">
        <v>471</v>
      </c>
      <c r="AE126" s="48"/>
      <c r="AF126" s="48" t="s">
        <v>179</v>
      </c>
      <c r="AG126" s="48" t="s">
        <v>152</v>
      </c>
      <c r="AH126" s="48" t="s">
        <v>458</v>
      </c>
      <c r="AI126" s="48"/>
      <c r="AJ126" s="50"/>
      <c r="AK126" s="50"/>
      <c r="AL126" s="51"/>
      <c r="AM126" s="52"/>
      <c r="AN126" s="48"/>
      <c r="AO126" s="30"/>
      <c r="AP126" s="30"/>
      <c r="AQ126" s="30"/>
      <c r="AR126" s="30"/>
      <c r="AS126" s="30"/>
      <c r="AT126" s="30"/>
      <c r="AU126" s="53">
        <v>146541465</v>
      </c>
      <c r="AV126" s="47"/>
      <c r="AW126" s="47"/>
      <c r="AX126" s="47"/>
      <c r="AY126" s="47"/>
      <c r="AZ126" s="47"/>
      <c r="BA126" s="74">
        <v>1000</v>
      </c>
      <c r="BB126" s="74">
        <v>1000</v>
      </c>
      <c r="BC126" s="52"/>
      <c r="BD126" s="52"/>
      <c r="BE126" s="52"/>
      <c r="BF126" s="30"/>
      <c r="BG126" s="30"/>
      <c r="BH126" s="30" t="s">
        <v>136</v>
      </c>
      <c r="BI126" s="30" t="str">
        <f t="shared" si="56"/>
        <v>Test</v>
      </c>
      <c r="BJ126" s="30" t="s">
        <v>250</v>
      </c>
      <c r="BK126" s="56">
        <f t="shared" si="57"/>
        <v>2930829.3000000003</v>
      </c>
      <c r="BL126" s="57">
        <f t="shared" si="58"/>
        <v>91588.415625000009</v>
      </c>
      <c r="BM126" s="57">
        <f t="shared" si="46"/>
        <v>30529.471875000003</v>
      </c>
      <c r="BN126" s="2"/>
      <c r="BO126" s="2"/>
      <c r="BP126" s="15"/>
      <c r="BQ126" s="15"/>
      <c r="BR126" s="15"/>
      <c r="BS126" s="15"/>
      <c r="BT126" s="15"/>
      <c r="BU126" s="58">
        <f t="shared" si="73"/>
        <v>91588.415625000009</v>
      </c>
      <c r="BV126" s="58">
        <f t="shared" si="74"/>
        <v>91588.415625000009</v>
      </c>
      <c r="BW126" s="58">
        <f t="shared" si="75"/>
        <v>183176.83125000002</v>
      </c>
      <c r="BX126" s="58">
        <f t="shared" si="49"/>
        <v>91588.415625000009</v>
      </c>
      <c r="BY126" s="58">
        <f t="shared" si="79"/>
        <v>91588.415625000009</v>
      </c>
      <c r="BZ126" s="58">
        <f t="shared" si="76"/>
        <v>91588.415625000009</v>
      </c>
      <c r="CA126" s="58">
        <f t="shared" si="80"/>
        <v>91588.415625000009</v>
      </c>
      <c r="CB126" s="58">
        <f t="shared" si="50"/>
        <v>366353.66250000003</v>
      </c>
      <c r="CC126" s="58">
        <f t="shared" si="51"/>
        <v>91588.415625000009</v>
      </c>
      <c r="CD126" s="58">
        <f t="shared" ref="CD126:CF145" si="83">CC126</f>
        <v>91588.415625000009</v>
      </c>
      <c r="CE126" s="58">
        <f t="shared" si="83"/>
        <v>91588.415625000009</v>
      </c>
      <c r="CF126" s="58">
        <f t="shared" si="83"/>
        <v>91588.415625000009</v>
      </c>
      <c r="CG126" s="58">
        <f t="shared" si="52"/>
        <v>366353.66250000003</v>
      </c>
      <c r="CH126" s="58">
        <f t="shared" si="53"/>
        <v>91588.415625000009</v>
      </c>
      <c r="CI126" s="58">
        <f t="shared" si="54"/>
        <v>91588.415625000009</v>
      </c>
      <c r="CJ126" s="58">
        <f t="shared" si="54"/>
        <v>91588.415625000009</v>
      </c>
      <c r="CK126" s="58">
        <f t="shared" si="54"/>
        <v>91588.415625000009</v>
      </c>
      <c r="CL126" s="58">
        <f t="shared" si="55"/>
        <v>366353.66250000003</v>
      </c>
      <c r="CM126" s="2"/>
      <c r="CN126" s="2"/>
      <c r="CO126" s="77"/>
      <c r="CP126" s="78">
        <f t="shared" si="59"/>
        <v>2930829.3000000003</v>
      </c>
    </row>
    <row r="127" spans="1:94" s="78" customFormat="1" hidden="1" x14ac:dyDescent="0.3">
      <c r="A127" s="29">
        <v>122</v>
      </c>
      <c r="B127" s="30" t="s">
        <v>21</v>
      </c>
      <c r="C127" s="30"/>
      <c r="D127" s="30" t="s">
        <v>467</v>
      </c>
      <c r="E127" s="30" t="s">
        <v>448</v>
      </c>
      <c r="F127" s="30" t="s">
        <v>449</v>
      </c>
      <c r="G127" s="62" t="s">
        <v>450</v>
      </c>
      <c r="H127" s="62" t="s">
        <v>118</v>
      </c>
      <c r="I127" s="30" t="s">
        <v>119</v>
      </c>
      <c r="J127" s="30" t="s">
        <v>120</v>
      </c>
      <c r="K127" s="30" t="s">
        <v>451</v>
      </c>
      <c r="L127" s="30" t="s">
        <v>122</v>
      </c>
      <c r="M127" s="73">
        <v>2100499</v>
      </c>
      <c r="N127" s="48" t="s">
        <v>138</v>
      </c>
      <c r="O127" s="30" t="s">
        <v>501</v>
      </c>
      <c r="P127" s="86" t="s">
        <v>453</v>
      </c>
      <c r="Q127" s="86" t="s">
        <v>454</v>
      </c>
      <c r="R127" s="86" t="s">
        <v>173</v>
      </c>
      <c r="S127" s="89" t="s">
        <v>502</v>
      </c>
      <c r="T127" s="30"/>
      <c r="U127" s="48"/>
      <c r="V127" s="30" t="s">
        <v>415</v>
      </c>
      <c r="W127" s="30" t="s">
        <v>456</v>
      </c>
      <c r="X127" s="30"/>
      <c r="Y127" s="48" t="s">
        <v>457</v>
      </c>
      <c r="Z127" s="48" t="s">
        <v>457</v>
      </c>
      <c r="AA127" s="20" t="s">
        <v>148</v>
      </c>
      <c r="AB127" s="72" t="s">
        <v>177</v>
      </c>
      <c r="AC127" s="48" t="s">
        <v>470</v>
      </c>
      <c r="AD127" s="87" t="s">
        <v>471</v>
      </c>
      <c r="AE127" s="48"/>
      <c r="AF127" s="48" t="s">
        <v>179</v>
      </c>
      <c r="AG127" s="48" t="s">
        <v>152</v>
      </c>
      <c r="AH127" s="48" t="s">
        <v>458</v>
      </c>
      <c r="AI127" s="48"/>
      <c r="AJ127" s="50"/>
      <c r="AK127" s="50"/>
      <c r="AL127" s="51"/>
      <c r="AM127" s="52"/>
      <c r="AN127" s="48"/>
      <c r="AO127" s="30"/>
      <c r="AP127" s="30"/>
      <c r="AQ127" s="30"/>
      <c r="AR127" s="30"/>
      <c r="AS127" s="30"/>
      <c r="AT127" s="30"/>
      <c r="AU127" s="53">
        <v>157688586</v>
      </c>
      <c r="AV127" s="47"/>
      <c r="AW127" s="47"/>
      <c r="AX127" s="47"/>
      <c r="AY127" s="47"/>
      <c r="AZ127" s="47"/>
      <c r="BA127" s="74">
        <v>24638842</v>
      </c>
      <c r="BB127" s="74">
        <v>1000</v>
      </c>
      <c r="BC127" s="52"/>
      <c r="BD127" s="52"/>
      <c r="BE127" s="52"/>
      <c r="BF127" s="30"/>
      <c r="BG127" s="30"/>
      <c r="BH127" s="30" t="s">
        <v>136</v>
      </c>
      <c r="BI127" s="30" t="str">
        <f t="shared" si="56"/>
        <v>Test</v>
      </c>
      <c r="BJ127" s="30" t="s">
        <v>250</v>
      </c>
      <c r="BK127" s="56">
        <f t="shared" si="57"/>
        <v>25870784.100000001</v>
      </c>
      <c r="BL127" s="57">
        <f t="shared" si="58"/>
        <v>808462.00312500005</v>
      </c>
      <c r="BM127" s="57">
        <f t="shared" si="46"/>
        <v>269487.33437500003</v>
      </c>
      <c r="BN127" s="2"/>
      <c r="BO127" s="2"/>
      <c r="BP127" s="15"/>
      <c r="BQ127" s="15"/>
      <c r="BR127" s="15"/>
      <c r="BS127" s="15"/>
      <c r="BT127" s="15"/>
      <c r="BU127" s="58">
        <f t="shared" si="73"/>
        <v>808462.00312500005</v>
      </c>
      <c r="BV127" s="58">
        <f t="shared" si="74"/>
        <v>808462.00312500005</v>
      </c>
      <c r="BW127" s="58">
        <f t="shared" si="75"/>
        <v>1616924.0062500001</v>
      </c>
      <c r="BX127" s="58">
        <f t="shared" si="49"/>
        <v>808462.00312500005</v>
      </c>
      <c r="BY127" s="58">
        <f t="shared" si="79"/>
        <v>808462.00312500005</v>
      </c>
      <c r="BZ127" s="58">
        <f t="shared" si="76"/>
        <v>808462.00312500005</v>
      </c>
      <c r="CA127" s="58">
        <f t="shared" si="80"/>
        <v>808462.00312500005</v>
      </c>
      <c r="CB127" s="58">
        <f t="shared" si="50"/>
        <v>3233848.0125000002</v>
      </c>
      <c r="CC127" s="58">
        <f t="shared" si="51"/>
        <v>808462.00312500005</v>
      </c>
      <c r="CD127" s="58">
        <f t="shared" si="83"/>
        <v>808462.00312500005</v>
      </c>
      <c r="CE127" s="58">
        <f t="shared" si="83"/>
        <v>808462.00312500005</v>
      </c>
      <c r="CF127" s="58">
        <f t="shared" si="83"/>
        <v>808462.00312500005</v>
      </c>
      <c r="CG127" s="58">
        <f t="shared" si="52"/>
        <v>3233848.0125000002</v>
      </c>
      <c r="CH127" s="58">
        <f t="shared" si="53"/>
        <v>808462.00312500005</v>
      </c>
      <c r="CI127" s="58">
        <f t="shared" si="54"/>
        <v>808462.00312500005</v>
      </c>
      <c r="CJ127" s="58">
        <f t="shared" si="54"/>
        <v>808462.00312500005</v>
      </c>
      <c r="CK127" s="58">
        <f t="shared" si="54"/>
        <v>808462.00312500005</v>
      </c>
      <c r="CL127" s="58">
        <f t="shared" si="55"/>
        <v>3233848.0125000002</v>
      </c>
      <c r="CM127" s="2"/>
      <c r="CN127" s="2"/>
      <c r="CO127" s="77"/>
      <c r="CP127" s="78">
        <f t="shared" si="59"/>
        <v>25870784.100000001</v>
      </c>
    </row>
    <row r="128" spans="1:94" s="78" customFormat="1" hidden="1" x14ac:dyDescent="0.3">
      <c r="A128" s="29">
        <v>123</v>
      </c>
      <c r="B128" s="30" t="s">
        <v>21</v>
      </c>
      <c r="C128" s="30"/>
      <c r="D128" s="30" t="s">
        <v>467</v>
      </c>
      <c r="E128" s="30" t="s">
        <v>448</v>
      </c>
      <c r="F128" s="30" t="s">
        <v>449</v>
      </c>
      <c r="G128" s="62" t="s">
        <v>450</v>
      </c>
      <c r="H128" s="62" t="s">
        <v>118</v>
      </c>
      <c r="I128" s="30" t="s">
        <v>119</v>
      </c>
      <c r="J128" s="30" t="s">
        <v>120</v>
      </c>
      <c r="K128" s="30" t="s">
        <v>451</v>
      </c>
      <c r="L128" s="30" t="s">
        <v>122</v>
      </c>
      <c r="M128" s="73">
        <v>2100998</v>
      </c>
      <c r="N128" s="48" t="s">
        <v>138</v>
      </c>
      <c r="O128" s="30" t="s">
        <v>503</v>
      </c>
      <c r="P128" s="89" t="s">
        <v>453</v>
      </c>
      <c r="Q128" s="86" t="s">
        <v>454</v>
      </c>
      <c r="R128" s="86" t="s">
        <v>173</v>
      </c>
      <c r="S128" s="89" t="s">
        <v>504</v>
      </c>
      <c r="T128" s="30"/>
      <c r="U128" s="48"/>
      <c r="V128" s="30" t="s">
        <v>415</v>
      </c>
      <c r="W128" s="30" t="s">
        <v>456</v>
      </c>
      <c r="X128" s="30"/>
      <c r="Y128" s="48" t="s">
        <v>457</v>
      </c>
      <c r="Z128" s="48" t="s">
        <v>457</v>
      </c>
      <c r="AA128" s="20" t="s">
        <v>148</v>
      </c>
      <c r="AB128" s="72" t="s">
        <v>177</v>
      </c>
      <c r="AC128" s="48" t="s">
        <v>470</v>
      </c>
      <c r="AD128" s="87" t="s">
        <v>471</v>
      </c>
      <c r="AE128" s="48"/>
      <c r="AF128" s="48" t="s">
        <v>179</v>
      </c>
      <c r="AG128" s="48" t="s">
        <v>152</v>
      </c>
      <c r="AH128" s="48" t="s">
        <v>458</v>
      </c>
      <c r="AI128" s="48"/>
      <c r="AJ128" s="50"/>
      <c r="AK128" s="50"/>
      <c r="AL128" s="51"/>
      <c r="AM128" s="52"/>
      <c r="AN128" s="48"/>
      <c r="AO128" s="30"/>
      <c r="AP128" s="30"/>
      <c r="AQ128" s="30"/>
      <c r="AR128" s="30"/>
      <c r="AS128" s="30"/>
      <c r="AT128" s="30"/>
      <c r="AU128" s="53">
        <v>172368678</v>
      </c>
      <c r="AV128" s="47"/>
      <c r="AW128" s="47"/>
      <c r="AX128" s="47"/>
      <c r="AY128" s="47"/>
      <c r="AZ128" s="47"/>
      <c r="BA128" s="74">
        <v>1000</v>
      </c>
      <c r="BB128" s="74">
        <v>1000</v>
      </c>
      <c r="BC128" s="52"/>
      <c r="BD128" s="52"/>
      <c r="BE128" s="52"/>
      <c r="BF128" s="30"/>
      <c r="BG128" s="30"/>
      <c r="BH128" s="30" t="s">
        <v>136</v>
      </c>
      <c r="BI128" s="30" t="str">
        <f t="shared" si="56"/>
        <v>Test</v>
      </c>
      <c r="BJ128" s="30" t="s">
        <v>250</v>
      </c>
      <c r="BK128" s="56">
        <f t="shared" si="57"/>
        <v>3447373.56</v>
      </c>
      <c r="BL128" s="57">
        <f t="shared" si="58"/>
        <v>107730.42375</v>
      </c>
      <c r="BM128" s="57">
        <f t="shared" si="46"/>
        <v>35910.141250000001</v>
      </c>
      <c r="BN128" s="2"/>
      <c r="BO128" s="2"/>
      <c r="BP128" s="15"/>
      <c r="BQ128" s="15"/>
      <c r="BR128" s="15"/>
      <c r="BS128" s="15"/>
      <c r="BT128" s="15"/>
      <c r="BU128" s="58">
        <f t="shared" si="73"/>
        <v>107730.42375</v>
      </c>
      <c r="BV128" s="58">
        <f t="shared" si="74"/>
        <v>107730.42375</v>
      </c>
      <c r="BW128" s="58">
        <f t="shared" si="75"/>
        <v>215460.8475</v>
      </c>
      <c r="BX128" s="58">
        <f t="shared" si="49"/>
        <v>107730.42375</v>
      </c>
      <c r="BY128" s="58">
        <f t="shared" si="79"/>
        <v>107730.42375</v>
      </c>
      <c r="BZ128" s="58">
        <f t="shared" si="76"/>
        <v>107730.42375</v>
      </c>
      <c r="CA128" s="58">
        <f t="shared" si="80"/>
        <v>107730.42375</v>
      </c>
      <c r="CB128" s="58">
        <f t="shared" si="50"/>
        <v>430921.69500000001</v>
      </c>
      <c r="CC128" s="58">
        <f t="shared" si="51"/>
        <v>107730.42375</v>
      </c>
      <c r="CD128" s="58">
        <f t="shared" si="83"/>
        <v>107730.42375</v>
      </c>
      <c r="CE128" s="58">
        <f t="shared" si="83"/>
        <v>107730.42375</v>
      </c>
      <c r="CF128" s="58">
        <f t="shared" si="83"/>
        <v>107730.42375</v>
      </c>
      <c r="CG128" s="58">
        <f t="shared" si="52"/>
        <v>430921.69500000001</v>
      </c>
      <c r="CH128" s="58">
        <f t="shared" si="53"/>
        <v>107730.42375</v>
      </c>
      <c r="CI128" s="58">
        <f t="shared" si="54"/>
        <v>107730.42375</v>
      </c>
      <c r="CJ128" s="58">
        <f t="shared" si="54"/>
        <v>107730.42375</v>
      </c>
      <c r="CK128" s="58">
        <f t="shared" si="54"/>
        <v>107730.42375</v>
      </c>
      <c r="CL128" s="58">
        <f t="shared" si="55"/>
        <v>430921.69500000001</v>
      </c>
      <c r="CM128" s="2"/>
      <c r="CN128" s="2"/>
      <c r="CO128" s="77"/>
      <c r="CP128" s="78">
        <f t="shared" si="59"/>
        <v>3447373.56</v>
      </c>
    </row>
    <row r="129" spans="1:94" s="78" customFormat="1" hidden="1" x14ac:dyDescent="0.3">
      <c r="A129" s="29">
        <v>124</v>
      </c>
      <c r="B129" s="30" t="s">
        <v>21</v>
      </c>
      <c r="C129" s="30"/>
      <c r="D129" s="30" t="s">
        <v>467</v>
      </c>
      <c r="E129" s="30" t="s">
        <v>448</v>
      </c>
      <c r="F129" s="30" t="s">
        <v>449</v>
      </c>
      <c r="G129" s="62" t="s">
        <v>450</v>
      </c>
      <c r="H129" s="62" t="s">
        <v>118</v>
      </c>
      <c r="I129" s="30" t="s">
        <v>119</v>
      </c>
      <c r="J129" s="30" t="s">
        <v>120</v>
      </c>
      <c r="K129" s="30" t="s">
        <v>451</v>
      </c>
      <c r="L129" s="30" t="s">
        <v>122</v>
      </c>
      <c r="M129" s="73">
        <v>2100405</v>
      </c>
      <c r="N129" s="48" t="s">
        <v>138</v>
      </c>
      <c r="O129" s="30" t="s">
        <v>505</v>
      </c>
      <c r="P129" s="89" t="s">
        <v>453</v>
      </c>
      <c r="Q129" s="86" t="s">
        <v>454</v>
      </c>
      <c r="R129" s="86" t="s">
        <v>173</v>
      </c>
      <c r="S129" s="89" t="s">
        <v>506</v>
      </c>
      <c r="T129" s="30"/>
      <c r="U129" s="48"/>
      <c r="V129" s="30" t="s">
        <v>415</v>
      </c>
      <c r="W129" s="30" t="s">
        <v>456</v>
      </c>
      <c r="X129" s="30"/>
      <c r="Y129" s="48" t="s">
        <v>457</v>
      </c>
      <c r="Z129" s="48" t="s">
        <v>457</v>
      </c>
      <c r="AA129" s="20" t="s">
        <v>148</v>
      </c>
      <c r="AB129" s="72" t="s">
        <v>177</v>
      </c>
      <c r="AC129" s="48" t="s">
        <v>470</v>
      </c>
      <c r="AD129" s="87" t="s">
        <v>471</v>
      </c>
      <c r="AE129" s="48"/>
      <c r="AF129" s="48" t="s">
        <v>179</v>
      </c>
      <c r="AG129" s="48" t="s">
        <v>152</v>
      </c>
      <c r="AH129" s="48" t="s">
        <v>458</v>
      </c>
      <c r="AI129" s="48"/>
      <c r="AJ129" s="50"/>
      <c r="AK129" s="50"/>
      <c r="AL129" s="51"/>
      <c r="AM129" s="52"/>
      <c r="AN129" s="48"/>
      <c r="AO129" s="30"/>
      <c r="AP129" s="30"/>
      <c r="AQ129" s="30"/>
      <c r="AR129" s="30"/>
      <c r="AS129" s="30"/>
      <c r="AT129" s="30"/>
      <c r="AU129" s="53">
        <v>149383060</v>
      </c>
      <c r="AV129" s="47"/>
      <c r="AW129" s="47"/>
      <c r="AX129" s="47"/>
      <c r="AY129" s="47"/>
      <c r="AZ129" s="47"/>
      <c r="BA129" s="74">
        <v>1000</v>
      </c>
      <c r="BB129" s="74">
        <v>1000</v>
      </c>
      <c r="BC129" s="52"/>
      <c r="BD129" s="52"/>
      <c r="BE129" s="52"/>
      <c r="BF129" s="30"/>
      <c r="BG129" s="30"/>
      <c r="BH129" s="30" t="s">
        <v>136</v>
      </c>
      <c r="BI129" s="30" t="str">
        <f t="shared" si="56"/>
        <v>Test</v>
      </c>
      <c r="BJ129" s="30" t="s">
        <v>250</v>
      </c>
      <c r="BK129" s="56">
        <f t="shared" si="57"/>
        <v>2987661.2</v>
      </c>
      <c r="BL129" s="57">
        <f t="shared" si="58"/>
        <v>93364.412500000006</v>
      </c>
      <c r="BM129" s="57">
        <f t="shared" si="46"/>
        <v>31121.470833333336</v>
      </c>
      <c r="BN129" s="2"/>
      <c r="BO129" s="2"/>
      <c r="BP129" s="15"/>
      <c r="BQ129" s="15"/>
      <c r="BR129" s="15"/>
      <c r="BS129" s="15"/>
      <c r="BT129" s="15"/>
      <c r="BU129" s="58">
        <f t="shared" si="73"/>
        <v>93364.412500000006</v>
      </c>
      <c r="BV129" s="58">
        <f t="shared" si="74"/>
        <v>93364.412500000006</v>
      </c>
      <c r="BW129" s="58">
        <f t="shared" si="75"/>
        <v>186728.82500000001</v>
      </c>
      <c r="BX129" s="58">
        <f t="shared" si="49"/>
        <v>93364.412500000006</v>
      </c>
      <c r="BY129" s="58">
        <f t="shared" si="79"/>
        <v>93364.412500000006</v>
      </c>
      <c r="BZ129" s="58">
        <f t="shared" si="76"/>
        <v>93364.412500000006</v>
      </c>
      <c r="CA129" s="58">
        <f t="shared" si="80"/>
        <v>93364.412500000006</v>
      </c>
      <c r="CB129" s="58">
        <f t="shared" si="50"/>
        <v>373457.65</v>
      </c>
      <c r="CC129" s="58">
        <f t="shared" si="51"/>
        <v>93364.412500000006</v>
      </c>
      <c r="CD129" s="58">
        <f t="shared" si="83"/>
        <v>93364.412500000006</v>
      </c>
      <c r="CE129" s="58">
        <f t="shared" si="83"/>
        <v>93364.412500000006</v>
      </c>
      <c r="CF129" s="58">
        <f t="shared" si="83"/>
        <v>93364.412500000006</v>
      </c>
      <c r="CG129" s="58">
        <f t="shared" si="52"/>
        <v>373457.65</v>
      </c>
      <c r="CH129" s="58">
        <f t="shared" si="53"/>
        <v>93364.412500000006</v>
      </c>
      <c r="CI129" s="58">
        <f t="shared" si="54"/>
        <v>93364.412500000006</v>
      </c>
      <c r="CJ129" s="58">
        <f t="shared" si="54"/>
        <v>93364.412500000006</v>
      </c>
      <c r="CK129" s="58">
        <f t="shared" si="54"/>
        <v>93364.412500000006</v>
      </c>
      <c r="CL129" s="58">
        <f t="shared" si="55"/>
        <v>373457.65</v>
      </c>
      <c r="CM129" s="2"/>
      <c r="CN129" s="2"/>
      <c r="CO129" s="77"/>
      <c r="CP129" s="78">
        <f t="shared" si="59"/>
        <v>2987661.2</v>
      </c>
    </row>
    <row r="130" spans="1:94" s="78" customFormat="1" hidden="1" x14ac:dyDescent="0.3">
      <c r="A130" s="29">
        <v>125</v>
      </c>
      <c r="B130" s="30" t="s">
        <v>21</v>
      </c>
      <c r="C130" s="30"/>
      <c r="D130" s="30" t="s">
        <v>467</v>
      </c>
      <c r="E130" s="30" t="s">
        <v>448</v>
      </c>
      <c r="F130" s="30" t="s">
        <v>449</v>
      </c>
      <c r="G130" s="62" t="s">
        <v>450</v>
      </c>
      <c r="H130" s="62" t="s">
        <v>118</v>
      </c>
      <c r="I130" s="30" t="s">
        <v>119</v>
      </c>
      <c r="J130" s="30" t="s">
        <v>120</v>
      </c>
      <c r="K130" s="30" t="s">
        <v>451</v>
      </c>
      <c r="L130" s="30" t="s">
        <v>122</v>
      </c>
      <c r="M130" s="73">
        <v>2100483</v>
      </c>
      <c r="N130" s="48" t="s">
        <v>138</v>
      </c>
      <c r="O130" s="30" t="s">
        <v>507</v>
      </c>
      <c r="P130" s="89" t="s">
        <v>453</v>
      </c>
      <c r="Q130" s="86" t="s">
        <v>454</v>
      </c>
      <c r="R130" s="86" t="s">
        <v>173</v>
      </c>
      <c r="S130" s="89" t="s">
        <v>508</v>
      </c>
      <c r="T130" s="30"/>
      <c r="U130" s="48"/>
      <c r="V130" s="30" t="s">
        <v>415</v>
      </c>
      <c r="W130" s="30" t="s">
        <v>456</v>
      </c>
      <c r="X130" s="30"/>
      <c r="Y130" s="48" t="s">
        <v>457</v>
      </c>
      <c r="Z130" s="48" t="s">
        <v>457</v>
      </c>
      <c r="AA130" s="20" t="s">
        <v>148</v>
      </c>
      <c r="AB130" s="72" t="s">
        <v>177</v>
      </c>
      <c r="AC130" s="48" t="s">
        <v>470</v>
      </c>
      <c r="AD130" s="87" t="s">
        <v>471</v>
      </c>
      <c r="AE130" s="48"/>
      <c r="AF130" s="48" t="s">
        <v>179</v>
      </c>
      <c r="AG130" s="48" t="s">
        <v>152</v>
      </c>
      <c r="AH130" s="48" t="s">
        <v>458</v>
      </c>
      <c r="AI130" s="48"/>
      <c r="AJ130" s="50"/>
      <c r="AK130" s="50"/>
      <c r="AL130" s="51"/>
      <c r="AM130" s="52"/>
      <c r="AN130" s="48"/>
      <c r="AO130" s="30"/>
      <c r="AP130" s="30"/>
      <c r="AQ130" s="30"/>
      <c r="AR130" s="30"/>
      <c r="AS130" s="30"/>
      <c r="AT130" s="30"/>
      <c r="AU130" s="53">
        <v>161561924</v>
      </c>
      <c r="AV130" s="47"/>
      <c r="AW130" s="47"/>
      <c r="AX130" s="47"/>
      <c r="AY130" s="47"/>
      <c r="AZ130" s="47"/>
      <c r="BA130" s="74">
        <v>15146430</v>
      </c>
      <c r="BB130" s="74">
        <v>1000</v>
      </c>
      <c r="BC130" s="52"/>
      <c r="BD130" s="52"/>
      <c r="BE130" s="52"/>
      <c r="BF130" s="30"/>
      <c r="BG130" s="30"/>
      <c r="BH130" s="30" t="s">
        <v>136</v>
      </c>
      <c r="BI130" s="30" t="str">
        <f t="shared" si="56"/>
        <v>Test</v>
      </c>
      <c r="BJ130" s="30" t="s">
        <v>250</v>
      </c>
      <c r="BK130" s="56">
        <f t="shared" si="57"/>
        <v>15903751.5</v>
      </c>
      <c r="BL130" s="57">
        <f t="shared" si="58"/>
        <v>496992.234375</v>
      </c>
      <c r="BM130" s="57">
        <f t="shared" si="46"/>
        <v>165664.078125</v>
      </c>
      <c r="BN130" s="2"/>
      <c r="BO130" s="2"/>
      <c r="BP130" s="15"/>
      <c r="BQ130" s="15"/>
      <c r="BR130" s="15"/>
      <c r="BS130" s="15"/>
      <c r="BT130" s="15"/>
      <c r="BU130" s="58">
        <f t="shared" si="73"/>
        <v>496992.234375</v>
      </c>
      <c r="BV130" s="58">
        <f t="shared" si="74"/>
        <v>496992.234375</v>
      </c>
      <c r="BW130" s="58">
        <f t="shared" si="75"/>
        <v>993984.46875</v>
      </c>
      <c r="BX130" s="58">
        <f t="shared" si="49"/>
        <v>496992.234375</v>
      </c>
      <c r="BY130" s="58">
        <f t="shared" si="79"/>
        <v>496992.234375</v>
      </c>
      <c r="BZ130" s="58">
        <f t="shared" si="76"/>
        <v>496992.234375</v>
      </c>
      <c r="CA130" s="58">
        <f t="shared" si="80"/>
        <v>496992.234375</v>
      </c>
      <c r="CB130" s="58">
        <f t="shared" si="50"/>
        <v>1987968.9375</v>
      </c>
      <c r="CC130" s="58">
        <f t="shared" si="51"/>
        <v>496992.234375</v>
      </c>
      <c r="CD130" s="58">
        <f t="shared" si="83"/>
        <v>496992.234375</v>
      </c>
      <c r="CE130" s="58">
        <f t="shared" si="83"/>
        <v>496992.234375</v>
      </c>
      <c r="CF130" s="58">
        <f t="shared" si="83"/>
        <v>496992.234375</v>
      </c>
      <c r="CG130" s="58">
        <f t="shared" si="52"/>
        <v>1987968.9375</v>
      </c>
      <c r="CH130" s="58">
        <f t="shared" si="53"/>
        <v>496992.234375</v>
      </c>
      <c r="CI130" s="58">
        <f t="shared" si="54"/>
        <v>496992.234375</v>
      </c>
      <c r="CJ130" s="58">
        <f t="shared" si="54"/>
        <v>496992.234375</v>
      </c>
      <c r="CK130" s="58">
        <f t="shared" si="54"/>
        <v>496992.234375</v>
      </c>
      <c r="CL130" s="58">
        <f t="shared" si="55"/>
        <v>1987968.9375</v>
      </c>
      <c r="CM130" s="2"/>
      <c r="CN130" s="2"/>
      <c r="CO130" s="77"/>
      <c r="CP130" s="78">
        <f t="shared" si="59"/>
        <v>15903751.5</v>
      </c>
    </row>
    <row r="131" spans="1:94" s="78" customFormat="1" ht="16.5" hidden="1" x14ac:dyDescent="0.3">
      <c r="A131" s="2">
        <v>126</v>
      </c>
      <c r="B131" s="47" t="s">
        <v>21</v>
      </c>
      <c r="C131" s="47"/>
      <c r="D131" s="47" t="s">
        <v>447</v>
      </c>
      <c r="E131" s="30" t="s">
        <v>448</v>
      </c>
      <c r="F131" s="30" t="s">
        <v>449</v>
      </c>
      <c r="G131" s="62" t="s">
        <v>450</v>
      </c>
      <c r="H131" s="62" t="s">
        <v>118</v>
      </c>
      <c r="I131" s="30" t="s">
        <v>119</v>
      </c>
      <c r="J131" s="30" t="s">
        <v>120</v>
      </c>
      <c r="K131" s="30" t="s">
        <v>451</v>
      </c>
      <c r="L131" s="30" t="s">
        <v>122</v>
      </c>
      <c r="M131" s="73">
        <v>2100416</v>
      </c>
      <c r="N131" s="48" t="s">
        <v>138</v>
      </c>
      <c r="O131" s="47" t="s">
        <v>509</v>
      </c>
      <c r="P131" s="91" t="s">
        <v>473</v>
      </c>
      <c r="Q131" s="88" t="s">
        <v>474</v>
      </c>
      <c r="R131" s="82" t="s">
        <v>173</v>
      </c>
      <c r="S131" s="85" t="s">
        <v>510</v>
      </c>
      <c r="T131" s="30"/>
      <c r="U131" s="48"/>
      <c r="V131" s="62"/>
      <c r="W131" s="48" t="s">
        <v>476</v>
      </c>
      <c r="X131" s="48" t="s">
        <v>127</v>
      </c>
      <c r="Y131" s="48" t="s">
        <v>457</v>
      </c>
      <c r="Z131" s="48" t="s">
        <v>457</v>
      </c>
      <c r="AA131" s="20" t="s">
        <v>148</v>
      </c>
      <c r="AB131" s="72" t="s">
        <v>177</v>
      </c>
      <c r="AC131" s="48" t="s">
        <v>150</v>
      </c>
      <c r="AD131" s="48"/>
      <c r="AE131" s="48"/>
      <c r="AF131" s="48" t="s">
        <v>179</v>
      </c>
      <c r="AG131" s="48" t="s">
        <v>152</v>
      </c>
      <c r="AH131" s="48" t="s">
        <v>458</v>
      </c>
      <c r="AI131" s="48"/>
      <c r="AJ131" s="50"/>
      <c r="AK131" s="50"/>
      <c r="AL131" s="51"/>
      <c r="AM131" s="52"/>
      <c r="AN131" s="48"/>
      <c r="AO131" s="30"/>
      <c r="AP131" s="30"/>
      <c r="AQ131" s="30"/>
      <c r="AR131" s="30"/>
      <c r="AS131" s="30"/>
      <c r="AT131" s="30"/>
      <c r="AU131" s="53">
        <v>113000000</v>
      </c>
      <c r="AV131" s="47"/>
      <c r="AW131" s="47"/>
      <c r="AX131" s="47"/>
      <c r="AY131" s="47"/>
      <c r="AZ131" s="47"/>
      <c r="BA131" s="83">
        <v>1000</v>
      </c>
      <c r="BB131" s="84">
        <v>1000</v>
      </c>
      <c r="BC131" s="52"/>
      <c r="BD131" s="52"/>
      <c r="BE131" s="52"/>
      <c r="BF131" s="30"/>
      <c r="BG131" s="30"/>
      <c r="BH131" s="30" t="s">
        <v>136</v>
      </c>
      <c r="BI131" s="30" t="str">
        <f t="shared" si="56"/>
        <v>Test</v>
      </c>
      <c r="BJ131" s="47" t="s">
        <v>137</v>
      </c>
      <c r="BK131" s="56">
        <f t="shared" si="57"/>
        <v>2260000</v>
      </c>
      <c r="BL131" s="57">
        <f t="shared" si="58"/>
        <v>215442.90236491026</v>
      </c>
      <c r="BM131" s="57">
        <f t="shared" si="46"/>
        <v>71814.300788303415</v>
      </c>
      <c r="BN131" s="2"/>
      <c r="BO131" s="2"/>
      <c r="BP131" s="15"/>
      <c r="BQ131" s="15"/>
      <c r="BR131" s="15"/>
      <c r="BS131" s="15"/>
      <c r="BT131" s="15"/>
      <c r="BU131" s="58">
        <f t="shared" si="73"/>
        <v>215442.90236491023</v>
      </c>
      <c r="BV131" s="58">
        <f t="shared" si="74"/>
        <v>215442.90236491023</v>
      </c>
      <c r="BW131" s="58">
        <f t="shared" si="75"/>
        <v>430885.80472982046</v>
      </c>
      <c r="BX131" s="58">
        <f t="shared" si="49"/>
        <v>215442.90236491023</v>
      </c>
      <c r="BY131" s="58">
        <f t="shared" si="79"/>
        <v>215442.90236491023</v>
      </c>
      <c r="BZ131" s="58">
        <f t="shared" si="76"/>
        <v>215442.90236491023</v>
      </c>
      <c r="CA131" s="58">
        <f t="shared" si="80"/>
        <v>215442.90236491023</v>
      </c>
      <c r="CB131" s="58">
        <f t="shared" si="50"/>
        <v>861771.60945964092</v>
      </c>
      <c r="CC131" s="58">
        <f t="shared" si="51"/>
        <v>215442.90236491023</v>
      </c>
      <c r="CD131" s="58">
        <f t="shared" si="83"/>
        <v>215442.90236491023</v>
      </c>
      <c r="CE131" s="58">
        <f t="shared" si="83"/>
        <v>215442.90236491023</v>
      </c>
      <c r="CF131" s="58">
        <f t="shared" si="83"/>
        <v>215442.90236491023</v>
      </c>
      <c r="CG131" s="58">
        <f t="shared" si="52"/>
        <v>861771.60945964092</v>
      </c>
      <c r="CH131" s="58">
        <f t="shared" si="53"/>
        <v>215442.90236491023</v>
      </c>
      <c r="CI131" s="58">
        <f t="shared" si="54"/>
        <v>215442.90236491023</v>
      </c>
      <c r="CJ131" s="58">
        <f t="shared" si="54"/>
        <v>215442.90236491023</v>
      </c>
      <c r="CK131" s="58">
        <f t="shared" si="54"/>
        <v>215442.90236491023</v>
      </c>
      <c r="CL131" s="58">
        <f t="shared" si="55"/>
        <v>861771.60945964092</v>
      </c>
      <c r="CM131" s="2"/>
      <c r="CN131" s="59">
        <f>BK131/$CN$3</f>
        <v>2.2067489884176802E-4</v>
      </c>
      <c r="CO131" s="64">
        <f>CN131*$CO$4</f>
        <v>4634172.8756771283</v>
      </c>
      <c r="CP131" s="78">
        <f t="shared" si="59"/>
        <v>6894172.8756771283</v>
      </c>
    </row>
    <row r="132" spans="1:94" s="78" customFormat="1" hidden="1" x14ac:dyDescent="0.3">
      <c r="A132" s="29">
        <v>127</v>
      </c>
      <c r="B132" s="30" t="s">
        <v>21</v>
      </c>
      <c r="C132" s="30"/>
      <c r="D132" s="30" t="s">
        <v>467</v>
      </c>
      <c r="E132" s="30" t="s">
        <v>448</v>
      </c>
      <c r="F132" s="30" t="s">
        <v>449</v>
      </c>
      <c r="G132" s="62" t="s">
        <v>450</v>
      </c>
      <c r="H132" s="62" t="s">
        <v>118</v>
      </c>
      <c r="I132" s="30" t="s">
        <v>119</v>
      </c>
      <c r="J132" s="30" t="s">
        <v>120</v>
      </c>
      <c r="K132" s="30" t="s">
        <v>451</v>
      </c>
      <c r="L132" s="30" t="s">
        <v>122</v>
      </c>
      <c r="M132" s="73">
        <v>2101001</v>
      </c>
      <c r="N132" s="48" t="s">
        <v>138</v>
      </c>
      <c r="O132" s="30" t="s">
        <v>511</v>
      </c>
      <c r="P132" s="89" t="s">
        <v>453</v>
      </c>
      <c r="Q132" s="86" t="s">
        <v>454</v>
      </c>
      <c r="R132" s="86" t="s">
        <v>173</v>
      </c>
      <c r="S132" s="89" t="s">
        <v>512</v>
      </c>
      <c r="T132" s="30"/>
      <c r="U132" s="48"/>
      <c r="V132" s="30" t="s">
        <v>415</v>
      </c>
      <c r="W132" s="30" t="s">
        <v>456</v>
      </c>
      <c r="X132" s="30"/>
      <c r="Y132" s="48" t="s">
        <v>457</v>
      </c>
      <c r="Z132" s="48" t="s">
        <v>457</v>
      </c>
      <c r="AA132" s="20" t="s">
        <v>148</v>
      </c>
      <c r="AB132" s="72" t="s">
        <v>177</v>
      </c>
      <c r="AC132" s="48" t="s">
        <v>470</v>
      </c>
      <c r="AD132" s="87" t="s">
        <v>471</v>
      </c>
      <c r="AE132" s="48"/>
      <c r="AF132" s="48" t="s">
        <v>179</v>
      </c>
      <c r="AG132" s="48" t="s">
        <v>152</v>
      </c>
      <c r="AH132" s="48" t="s">
        <v>458</v>
      </c>
      <c r="AI132" s="48"/>
      <c r="AJ132" s="50"/>
      <c r="AK132" s="50"/>
      <c r="AL132" s="51"/>
      <c r="AM132" s="52"/>
      <c r="AN132" s="48"/>
      <c r="AO132" s="30"/>
      <c r="AP132" s="30"/>
      <c r="AQ132" s="30"/>
      <c r="AR132" s="30"/>
      <c r="AS132" s="30"/>
      <c r="AT132" s="30"/>
      <c r="AU132" s="53">
        <v>172368678</v>
      </c>
      <c r="AV132" s="47"/>
      <c r="AW132" s="47"/>
      <c r="AX132" s="47"/>
      <c r="AY132" s="47"/>
      <c r="AZ132" s="47"/>
      <c r="BA132" s="74">
        <v>1000</v>
      </c>
      <c r="BB132" s="74">
        <v>1000</v>
      </c>
      <c r="BC132" s="52"/>
      <c r="BD132" s="52"/>
      <c r="BE132" s="52"/>
      <c r="BF132" s="30"/>
      <c r="BG132" s="30"/>
      <c r="BH132" s="30" t="s">
        <v>136</v>
      </c>
      <c r="BI132" s="30" t="str">
        <f t="shared" si="56"/>
        <v>Test</v>
      </c>
      <c r="BJ132" s="30" t="s">
        <v>250</v>
      </c>
      <c r="BK132" s="56">
        <f t="shared" si="57"/>
        <v>3447373.56</v>
      </c>
      <c r="BL132" s="57">
        <f t="shared" si="58"/>
        <v>107730.42375</v>
      </c>
      <c r="BM132" s="57">
        <f t="shared" si="46"/>
        <v>35910.141250000001</v>
      </c>
      <c r="BN132" s="2"/>
      <c r="BO132" s="2"/>
      <c r="BP132" s="15"/>
      <c r="BQ132" s="15"/>
      <c r="BR132" s="15"/>
      <c r="BS132" s="15"/>
      <c r="BT132" s="15"/>
      <c r="BU132" s="58">
        <f t="shared" si="73"/>
        <v>107730.42375</v>
      </c>
      <c r="BV132" s="58">
        <f t="shared" si="74"/>
        <v>107730.42375</v>
      </c>
      <c r="BW132" s="58">
        <f t="shared" si="75"/>
        <v>215460.8475</v>
      </c>
      <c r="BX132" s="58">
        <f t="shared" si="49"/>
        <v>107730.42375</v>
      </c>
      <c r="BY132" s="58">
        <f t="shared" si="79"/>
        <v>107730.42375</v>
      </c>
      <c r="BZ132" s="58">
        <f t="shared" si="76"/>
        <v>107730.42375</v>
      </c>
      <c r="CA132" s="58">
        <f t="shared" si="80"/>
        <v>107730.42375</v>
      </c>
      <c r="CB132" s="58">
        <f t="shared" si="50"/>
        <v>430921.69500000001</v>
      </c>
      <c r="CC132" s="58">
        <f t="shared" si="51"/>
        <v>107730.42375</v>
      </c>
      <c r="CD132" s="58">
        <f t="shared" si="83"/>
        <v>107730.42375</v>
      </c>
      <c r="CE132" s="58">
        <f t="shared" si="83"/>
        <v>107730.42375</v>
      </c>
      <c r="CF132" s="58">
        <f t="shared" si="83"/>
        <v>107730.42375</v>
      </c>
      <c r="CG132" s="58">
        <f t="shared" si="52"/>
        <v>430921.69500000001</v>
      </c>
      <c r="CH132" s="58">
        <f t="shared" si="53"/>
        <v>107730.42375</v>
      </c>
      <c r="CI132" s="58">
        <f t="shared" si="54"/>
        <v>107730.42375</v>
      </c>
      <c r="CJ132" s="58">
        <f t="shared" si="54"/>
        <v>107730.42375</v>
      </c>
      <c r="CK132" s="58">
        <f t="shared" si="54"/>
        <v>107730.42375</v>
      </c>
      <c r="CL132" s="58">
        <f t="shared" si="55"/>
        <v>430921.69500000001</v>
      </c>
      <c r="CM132" s="2"/>
      <c r="CN132" s="2"/>
      <c r="CO132" s="77"/>
      <c r="CP132" s="78">
        <f t="shared" si="59"/>
        <v>3447373.56</v>
      </c>
    </row>
    <row r="133" spans="1:94" s="78" customFormat="1" hidden="1" x14ac:dyDescent="0.3">
      <c r="A133" s="29">
        <v>128</v>
      </c>
      <c r="B133" s="30" t="s">
        <v>21</v>
      </c>
      <c r="C133" s="30"/>
      <c r="D133" s="30" t="s">
        <v>467</v>
      </c>
      <c r="E133" s="30" t="s">
        <v>448</v>
      </c>
      <c r="F133" s="30" t="s">
        <v>449</v>
      </c>
      <c r="G133" s="62" t="s">
        <v>450</v>
      </c>
      <c r="H133" s="62" t="s">
        <v>118</v>
      </c>
      <c r="I133" s="30" t="s">
        <v>119</v>
      </c>
      <c r="J133" s="30" t="s">
        <v>120</v>
      </c>
      <c r="K133" s="30" t="s">
        <v>451</v>
      </c>
      <c r="L133" s="30" t="s">
        <v>122</v>
      </c>
      <c r="M133" s="73">
        <v>2100459</v>
      </c>
      <c r="N133" s="48" t="s">
        <v>138</v>
      </c>
      <c r="O133" s="30" t="s">
        <v>513</v>
      </c>
      <c r="P133" s="89" t="s">
        <v>453</v>
      </c>
      <c r="Q133" s="86" t="s">
        <v>454</v>
      </c>
      <c r="R133" s="86" t="s">
        <v>173</v>
      </c>
      <c r="S133" s="89" t="s">
        <v>514</v>
      </c>
      <c r="T133" s="30"/>
      <c r="U133" s="48"/>
      <c r="V133" s="30" t="s">
        <v>415</v>
      </c>
      <c r="W133" s="30" t="s">
        <v>456</v>
      </c>
      <c r="X133" s="30"/>
      <c r="Y133" s="48" t="s">
        <v>457</v>
      </c>
      <c r="Z133" s="48" t="s">
        <v>457</v>
      </c>
      <c r="AA133" s="20" t="s">
        <v>148</v>
      </c>
      <c r="AB133" s="72" t="s">
        <v>177</v>
      </c>
      <c r="AC133" s="48" t="s">
        <v>470</v>
      </c>
      <c r="AD133" s="87" t="s">
        <v>471</v>
      </c>
      <c r="AE133" s="48"/>
      <c r="AF133" s="48" t="s">
        <v>179</v>
      </c>
      <c r="AG133" s="48" t="s">
        <v>152</v>
      </c>
      <c r="AH133" s="48" t="s">
        <v>458</v>
      </c>
      <c r="AI133" s="48"/>
      <c r="AJ133" s="50"/>
      <c r="AK133" s="50"/>
      <c r="AL133" s="51"/>
      <c r="AM133" s="52"/>
      <c r="AN133" s="48"/>
      <c r="AO133" s="30"/>
      <c r="AP133" s="30"/>
      <c r="AQ133" s="30"/>
      <c r="AR133" s="30"/>
      <c r="AS133" s="30"/>
      <c r="AT133" s="30"/>
      <c r="AU133" s="53">
        <v>163817172</v>
      </c>
      <c r="AV133" s="47"/>
      <c r="AW133" s="47"/>
      <c r="AX133" s="47"/>
      <c r="AY133" s="47"/>
      <c r="AZ133" s="47"/>
      <c r="BA133" s="74">
        <v>5119287</v>
      </c>
      <c r="BB133" s="74">
        <v>1000</v>
      </c>
      <c r="BC133" s="52"/>
      <c r="BD133" s="52"/>
      <c r="BE133" s="52"/>
      <c r="BF133" s="30"/>
      <c r="BG133" s="30"/>
      <c r="BH133" s="30" t="s">
        <v>136</v>
      </c>
      <c r="BI133" s="30" t="str">
        <f t="shared" si="56"/>
        <v>Test</v>
      </c>
      <c r="BJ133" s="30" t="s">
        <v>250</v>
      </c>
      <c r="BK133" s="56">
        <f t="shared" si="57"/>
        <v>5375251.3500000006</v>
      </c>
      <c r="BL133" s="57">
        <f t="shared" si="58"/>
        <v>167976.60468750002</v>
      </c>
      <c r="BM133" s="57">
        <f t="shared" si="46"/>
        <v>55992.201562500006</v>
      </c>
      <c r="BN133" s="2"/>
      <c r="BO133" s="2"/>
      <c r="BP133" s="15"/>
      <c r="BQ133" s="15"/>
      <c r="BR133" s="15"/>
      <c r="BS133" s="15"/>
      <c r="BT133" s="15"/>
      <c r="BU133" s="58">
        <f t="shared" si="73"/>
        <v>167976.60468750002</v>
      </c>
      <c r="BV133" s="58">
        <f t="shared" si="74"/>
        <v>167976.60468750002</v>
      </c>
      <c r="BW133" s="58">
        <f t="shared" si="75"/>
        <v>335953.20937500003</v>
      </c>
      <c r="BX133" s="58">
        <f t="shared" si="49"/>
        <v>167976.60468750002</v>
      </c>
      <c r="BY133" s="58">
        <f t="shared" si="79"/>
        <v>167976.60468750002</v>
      </c>
      <c r="BZ133" s="58">
        <f t="shared" si="76"/>
        <v>167976.60468750002</v>
      </c>
      <c r="CA133" s="58">
        <f t="shared" si="80"/>
        <v>167976.60468750002</v>
      </c>
      <c r="CB133" s="58">
        <f t="shared" si="50"/>
        <v>671906.41875000007</v>
      </c>
      <c r="CC133" s="58">
        <f t="shared" si="51"/>
        <v>167976.60468750002</v>
      </c>
      <c r="CD133" s="58">
        <f t="shared" si="83"/>
        <v>167976.60468750002</v>
      </c>
      <c r="CE133" s="58">
        <f t="shared" si="83"/>
        <v>167976.60468750002</v>
      </c>
      <c r="CF133" s="58">
        <f t="shared" si="83"/>
        <v>167976.60468750002</v>
      </c>
      <c r="CG133" s="58">
        <f t="shared" si="52"/>
        <v>671906.41875000007</v>
      </c>
      <c r="CH133" s="58">
        <f t="shared" si="53"/>
        <v>167976.60468750002</v>
      </c>
      <c r="CI133" s="58">
        <f t="shared" si="54"/>
        <v>167976.60468750002</v>
      </c>
      <c r="CJ133" s="58">
        <f t="shared" si="54"/>
        <v>167976.60468750002</v>
      </c>
      <c r="CK133" s="58">
        <f t="shared" si="54"/>
        <v>167976.60468750002</v>
      </c>
      <c r="CL133" s="58">
        <f t="shared" si="55"/>
        <v>671906.41875000007</v>
      </c>
      <c r="CM133" s="2"/>
      <c r="CN133" s="2"/>
      <c r="CO133" s="77"/>
      <c r="CP133" s="78">
        <f t="shared" si="59"/>
        <v>5375251.3500000006</v>
      </c>
    </row>
    <row r="134" spans="1:94" s="78" customFormat="1" hidden="1" x14ac:dyDescent="0.3">
      <c r="A134" s="29">
        <v>129</v>
      </c>
      <c r="B134" s="30" t="s">
        <v>21</v>
      </c>
      <c r="C134" s="30"/>
      <c r="D134" s="30" t="s">
        <v>467</v>
      </c>
      <c r="E134" s="30" t="s">
        <v>448</v>
      </c>
      <c r="F134" s="30" t="s">
        <v>449</v>
      </c>
      <c r="G134" s="62" t="s">
        <v>450</v>
      </c>
      <c r="H134" s="62" t="s">
        <v>118</v>
      </c>
      <c r="I134" s="30" t="s">
        <v>119</v>
      </c>
      <c r="J134" s="30" t="s">
        <v>120</v>
      </c>
      <c r="K134" s="30" t="s">
        <v>451</v>
      </c>
      <c r="L134" s="30" t="s">
        <v>122</v>
      </c>
      <c r="M134" s="73">
        <v>2100460</v>
      </c>
      <c r="N134" s="48" t="s">
        <v>138</v>
      </c>
      <c r="O134" s="30" t="s">
        <v>515</v>
      </c>
      <c r="P134" s="89" t="s">
        <v>453</v>
      </c>
      <c r="Q134" s="86" t="s">
        <v>454</v>
      </c>
      <c r="R134" s="86" t="s">
        <v>173</v>
      </c>
      <c r="S134" s="89" t="s">
        <v>516</v>
      </c>
      <c r="T134" s="30"/>
      <c r="U134" s="48"/>
      <c r="V134" s="30" t="s">
        <v>415</v>
      </c>
      <c r="W134" s="30" t="s">
        <v>456</v>
      </c>
      <c r="X134" s="30"/>
      <c r="Y134" s="48" t="s">
        <v>457</v>
      </c>
      <c r="Z134" s="48" t="s">
        <v>457</v>
      </c>
      <c r="AA134" s="20" t="s">
        <v>148</v>
      </c>
      <c r="AB134" s="72" t="s">
        <v>177</v>
      </c>
      <c r="AC134" s="48" t="s">
        <v>470</v>
      </c>
      <c r="AD134" s="87" t="s">
        <v>471</v>
      </c>
      <c r="AE134" s="48"/>
      <c r="AF134" s="48" t="s">
        <v>179</v>
      </c>
      <c r="AG134" s="48" t="s">
        <v>152</v>
      </c>
      <c r="AH134" s="48" t="s">
        <v>458</v>
      </c>
      <c r="AI134" s="48"/>
      <c r="AJ134" s="50"/>
      <c r="AK134" s="50"/>
      <c r="AL134" s="51"/>
      <c r="AM134" s="52"/>
      <c r="AN134" s="48"/>
      <c r="AO134" s="30"/>
      <c r="AP134" s="30"/>
      <c r="AQ134" s="30"/>
      <c r="AR134" s="30"/>
      <c r="AS134" s="30"/>
      <c r="AT134" s="30"/>
      <c r="AU134" s="53">
        <v>163817172</v>
      </c>
      <c r="AV134" s="47"/>
      <c r="AW134" s="47"/>
      <c r="AX134" s="47"/>
      <c r="AY134" s="47"/>
      <c r="AZ134" s="47"/>
      <c r="BA134" s="74">
        <v>5119287</v>
      </c>
      <c r="BB134" s="74">
        <v>1000</v>
      </c>
      <c r="BC134" s="52"/>
      <c r="BD134" s="52"/>
      <c r="BE134" s="52"/>
      <c r="BF134" s="30"/>
      <c r="BG134" s="30"/>
      <c r="BH134" s="30" t="s">
        <v>136</v>
      </c>
      <c r="BI134" s="30" t="str">
        <f t="shared" si="56"/>
        <v>Test</v>
      </c>
      <c r="BJ134" s="30" t="s">
        <v>250</v>
      </c>
      <c r="BK134" s="56">
        <f t="shared" si="57"/>
        <v>5375251.3500000006</v>
      </c>
      <c r="BL134" s="57">
        <f t="shared" si="58"/>
        <v>167976.60468750002</v>
      </c>
      <c r="BM134" s="57">
        <f t="shared" ref="BM134:BM137" si="84">CP134/$BL$1/12</f>
        <v>55992.201562500006</v>
      </c>
      <c r="BN134" s="2"/>
      <c r="BO134" s="2"/>
      <c r="BP134" s="15"/>
      <c r="BQ134" s="15"/>
      <c r="BR134" s="15"/>
      <c r="BS134" s="15"/>
      <c r="BT134" s="15"/>
      <c r="BU134" s="58">
        <f t="shared" si="73"/>
        <v>167976.60468750002</v>
      </c>
      <c r="BV134" s="58">
        <f t="shared" si="74"/>
        <v>167976.60468750002</v>
      </c>
      <c r="BW134" s="58">
        <f t="shared" si="75"/>
        <v>335953.20937500003</v>
      </c>
      <c r="BX134" s="58">
        <f t="shared" ref="BX134:BX169" si="85">BV134</f>
        <v>167976.60468750002</v>
      </c>
      <c r="BY134" s="58">
        <f t="shared" si="79"/>
        <v>167976.60468750002</v>
      </c>
      <c r="BZ134" s="58">
        <f t="shared" si="76"/>
        <v>167976.60468750002</v>
      </c>
      <c r="CA134" s="58">
        <f t="shared" si="80"/>
        <v>167976.60468750002</v>
      </c>
      <c r="CB134" s="58">
        <f t="shared" ref="CB134:CB193" si="86">SUM(BX134:CA134)</f>
        <v>671906.41875000007</v>
      </c>
      <c r="CC134" s="58">
        <f t="shared" ref="CC134:CC193" si="87">CA134</f>
        <v>167976.60468750002</v>
      </c>
      <c r="CD134" s="58">
        <f t="shared" si="83"/>
        <v>167976.60468750002</v>
      </c>
      <c r="CE134" s="58">
        <f t="shared" si="83"/>
        <v>167976.60468750002</v>
      </c>
      <c r="CF134" s="58">
        <f t="shared" si="83"/>
        <v>167976.60468750002</v>
      </c>
      <c r="CG134" s="58">
        <f t="shared" ref="CG134:CG193" si="88">SUM(CC134:CF134)</f>
        <v>671906.41875000007</v>
      </c>
      <c r="CH134" s="58">
        <f t="shared" ref="CH134:CH193" si="89">CF134</f>
        <v>167976.60468750002</v>
      </c>
      <c r="CI134" s="58">
        <f t="shared" ref="CI134:CK193" si="90">CH134</f>
        <v>167976.60468750002</v>
      </c>
      <c r="CJ134" s="58">
        <f t="shared" si="90"/>
        <v>167976.60468750002</v>
      </c>
      <c r="CK134" s="58">
        <f t="shared" si="90"/>
        <v>167976.60468750002</v>
      </c>
      <c r="CL134" s="58">
        <f t="shared" ref="CL134:CL193" si="91">SUM(CH134:CK134)</f>
        <v>671906.41875000007</v>
      </c>
      <c r="CM134" s="2"/>
      <c r="CN134" s="2"/>
      <c r="CO134" s="77"/>
      <c r="CP134" s="78">
        <f t="shared" si="59"/>
        <v>5375251.3500000006</v>
      </c>
    </row>
    <row r="135" spans="1:94" s="78" customFormat="1" hidden="1" x14ac:dyDescent="0.3">
      <c r="A135" s="29">
        <v>130</v>
      </c>
      <c r="B135" s="30" t="s">
        <v>21</v>
      </c>
      <c r="C135" s="30"/>
      <c r="D135" s="30" t="s">
        <v>467</v>
      </c>
      <c r="E135" s="30" t="s">
        <v>448</v>
      </c>
      <c r="F135" s="30" t="s">
        <v>449</v>
      </c>
      <c r="G135" s="62" t="s">
        <v>450</v>
      </c>
      <c r="H135" s="62" t="s">
        <v>118</v>
      </c>
      <c r="I135" s="30" t="s">
        <v>119</v>
      </c>
      <c r="J135" s="30" t="s">
        <v>120</v>
      </c>
      <c r="K135" s="30" t="s">
        <v>451</v>
      </c>
      <c r="L135" s="30" t="s">
        <v>122</v>
      </c>
      <c r="M135" s="73">
        <v>2100461</v>
      </c>
      <c r="N135" s="48" t="s">
        <v>138</v>
      </c>
      <c r="O135" s="30" t="s">
        <v>517</v>
      </c>
      <c r="P135" s="89" t="s">
        <v>453</v>
      </c>
      <c r="Q135" s="86" t="s">
        <v>454</v>
      </c>
      <c r="R135" s="86" t="s">
        <v>173</v>
      </c>
      <c r="S135" s="89" t="s">
        <v>518</v>
      </c>
      <c r="T135" s="30"/>
      <c r="U135" s="48"/>
      <c r="V135" s="30" t="s">
        <v>415</v>
      </c>
      <c r="W135" s="30" t="s">
        <v>456</v>
      </c>
      <c r="X135" s="30"/>
      <c r="Y135" s="48" t="s">
        <v>457</v>
      </c>
      <c r="Z135" s="48" t="s">
        <v>457</v>
      </c>
      <c r="AA135" s="20" t="s">
        <v>148</v>
      </c>
      <c r="AB135" s="72" t="s">
        <v>177</v>
      </c>
      <c r="AC135" s="48" t="s">
        <v>470</v>
      </c>
      <c r="AD135" s="87" t="s">
        <v>471</v>
      </c>
      <c r="AE135" s="48"/>
      <c r="AF135" s="48" t="s">
        <v>179</v>
      </c>
      <c r="AG135" s="48" t="s">
        <v>152</v>
      </c>
      <c r="AH135" s="48" t="s">
        <v>458</v>
      </c>
      <c r="AI135" s="48"/>
      <c r="AJ135" s="50"/>
      <c r="AK135" s="50"/>
      <c r="AL135" s="51"/>
      <c r="AM135" s="52"/>
      <c r="AN135" s="48"/>
      <c r="AO135" s="30"/>
      <c r="AP135" s="30"/>
      <c r="AQ135" s="30"/>
      <c r="AR135" s="30"/>
      <c r="AS135" s="30"/>
      <c r="AT135" s="30"/>
      <c r="AU135" s="53">
        <v>163817171</v>
      </c>
      <c r="AV135" s="47"/>
      <c r="AW135" s="47"/>
      <c r="AX135" s="47"/>
      <c r="AY135" s="47"/>
      <c r="AZ135" s="47"/>
      <c r="BA135" s="74">
        <v>5119287</v>
      </c>
      <c r="BB135" s="74">
        <v>1000</v>
      </c>
      <c r="BC135" s="52"/>
      <c r="BD135" s="52"/>
      <c r="BE135" s="52"/>
      <c r="BF135" s="30"/>
      <c r="BG135" s="30"/>
      <c r="BH135" s="30" t="s">
        <v>136</v>
      </c>
      <c r="BI135" s="30" t="str">
        <f t="shared" ref="BI135:BI198" si="92">BH135</f>
        <v>Test</v>
      </c>
      <c r="BJ135" s="30" t="s">
        <v>250</v>
      </c>
      <c r="BK135" s="56">
        <f t="shared" ref="BK135:BK198" si="93">IF(OR(BA135=1000, BA135=0), AU135*$BQ$1, BA135*(1+$BL$2))</f>
        <v>5375251.3500000006</v>
      </c>
      <c r="BL135" s="57">
        <f t="shared" ref="BL135:BL137" si="94">CP135/$BL$1/4</f>
        <v>167976.60468750002</v>
      </c>
      <c r="BM135" s="57">
        <f t="shared" si="84"/>
        <v>55992.201562500006</v>
      </c>
      <c r="BN135" s="2"/>
      <c r="BO135" s="2"/>
      <c r="BP135" s="15"/>
      <c r="BQ135" s="15"/>
      <c r="BR135" s="15"/>
      <c r="BS135" s="15"/>
      <c r="BT135" s="15"/>
      <c r="BU135" s="58">
        <f t="shared" si="73"/>
        <v>167976.60468750002</v>
      </c>
      <c r="BV135" s="58">
        <f t="shared" si="74"/>
        <v>167976.60468750002</v>
      </c>
      <c r="BW135" s="58">
        <f t="shared" si="75"/>
        <v>335953.20937500003</v>
      </c>
      <c r="BX135" s="58">
        <f t="shared" si="85"/>
        <v>167976.60468750002</v>
      </c>
      <c r="BY135" s="58">
        <f t="shared" si="79"/>
        <v>167976.60468750002</v>
      </c>
      <c r="BZ135" s="58">
        <f t="shared" si="76"/>
        <v>167976.60468750002</v>
      </c>
      <c r="CA135" s="58">
        <f t="shared" si="80"/>
        <v>167976.60468750002</v>
      </c>
      <c r="CB135" s="58">
        <f t="shared" si="86"/>
        <v>671906.41875000007</v>
      </c>
      <c r="CC135" s="58">
        <f t="shared" si="87"/>
        <v>167976.60468750002</v>
      </c>
      <c r="CD135" s="58">
        <f t="shared" si="83"/>
        <v>167976.60468750002</v>
      </c>
      <c r="CE135" s="58">
        <f t="shared" si="83"/>
        <v>167976.60468750002</v>
      </c>
      <c r="CF135" s="58">
        <f t="shared" si="83"/>
        <v>167976.60468750002</v>
      </c>
      <c r="CG135" s="58">
        <f t="shared" si="88"/>
        <v>671906.41875000007</v>
      </c>
      <c r="CH135" s="58">
        <f t="shared" si="89"/>
        <v>167976.60468750002</v>
      </c>
      <c r="CI135" s="58">
        <f t="shared" si="90"/>
        <v>167976.60468750002</v>
      </c>
      <c r="CJ135" s="58">
        <f t="shared" si="90"/>
        <v>167976.60468750002</v>
      </c>
      <c r="CK135" s="58">
        <f t="shared" si="90"/>
        <v>167976.60468750002</v>
      </c>
      <c r="CL135" s="58">
        <f t="shared" si="91"/>
        <v>671906.41875000007</v>
      </c>
      <c r="CM135" s="2"/>
      <c r="CN135" s="2"/>
      <c r="CO135" s="77"/>
      <c r="CP135" s="78">
        <f t="shared" ref="CP135:CP198" si="95">CO135+BK135</f>
        <v>5375251.3500000006</v>
      </c>
    </row>
    <row r="136" spans="1:94" s="78" customFormat="1" hidden="1" x14ac:dyDescent="0.3">
      <c r="A136" s="29">
        <v>131</v>
      </c>
      <c r="B136" s="30" t="s">
        <v>21</v>
      </c>
      <c r="C136" s="30"/>
      <c r="D136" s="30" t="s">
        <v>467</v>
      </c>
      <c r="E136" s="30" t="s">
        <v>448</v>
      </c>
      <c r="F136" s="30" t="s">
        <v>449</v>
      </c>
      <c r="G136" s="62" t="s">
        <v>450</v>
      </c>
      <c r="H136" s="62" t="s">
        <v>118</v>
      </c>
      <c r="I136" s="30" t="s">
        <v>119</v>
      </c>
      <c r="J136" s="30" t="s">
        <v>120</v>
      </c>
      <c r="K136" s="30" t="s">
        <v>451</v>
      </c>
      <c r="L136" s="30" t="s">
        <v>122</v>
      </c>
      <c r="M136" s="73">
        <v>2100462</v>
      </c>
      <c r="N136" s="48" t="s">
        <v>138</v>
      </c>
      <c r="O136" s="30" t="s">
        <v>519</v>
      </c>
      <c r="P136" s="89" t="s">
        <v>453</v>
      </c>
      <c r="Q136" s="86" t="s">
        <v>454</v>
      </c>
      <c r="R136" s="86" t="s">
        <v>173</v>
      </c>
      <c r="S136" s="89" t="s">
        <v>520</v>
      </c>
      <c r="T136" s="30"/>
      <c r="U136" s="48"/>
      <c r="V136" s="30" t="s">
        <v>415</v>
      </c>
      <c r="W136" s="30" t="s">
        <v>456</v>
      </c>
      <c r="X136" s="30"/>
      <c r="Y136" s="48" t="s">
        <v>457</v>
      </c>
      <c r="Z136" s="48" t="s">
        <v>457</v>
      </c>
      <c r="AA136" s="20" t="s">
        <v>148</v>
      </c>
      <c r="AB136" s="72" t="s">
        <v>177</v>
      </c>
      <c r="AC136" s="48" t="s">
        <v>470</v>
      </c>
      <c r="AD136" s="87" t="s">
        <v>471</v>
      </c>
      <c r="AE136" s="48"/>
      <c r="AF136" s="48" t="s">
        <v>179</v>
      </c>
      <c r="AG136" s="48" t="s">
        <v>152</v>
      </c>
      <c r="AH136" s="48" t="s">
        <v>458</v>
      </c>
      <c r="AI136" s="48"/>
      <c r="AJ136" s="50"/>
      <c r="AK136" s="50"/>
      <c r="AL136" s="51"/>
      <c r="AM136" s="52"/>
      <c r="AN136" s="48"/>
      <c r="AO136" s="30"/>
      <c r="AP136" s="30"/>
      <c r="AQ136" s="30"/>
      <c r="AR136" s="30"/>
      <c r="AS136" s="30"/>
      <c r="AT136" s="30"/>
      <c r="AU136" s="53">
        <v>163817171</v>
      </c>
      <c r="AV136" s="47"/>
      <c r="AW136" s="47"/>
      <c r="AX136" s="47"/>
      <c r="AY136" s="47"/>
      <c r="AZ136" s="47"/>
      <c r="BA136" s="74">
        <v>5119287</v>
      </c>
      <c r="BB136" s="74">
        <v>1000</v>
      </c>
      <c r="BC136" s="52"/>
      <c r="BD136" s="52"/>
      <c r="BE136" s="52"/>
      <c r="BF136" s="30"/>
      <c r="BG136" s="30"/>
      <c r="BH136" s="30" t="s">
        <v>136</v>
      </c>
      <c r="BI136" s="30" t="str">
        <f t="shared" si="92"/>
        <v>Test</v>
      </c>
      <c r="BJ136" s="30" t="s">
        <v>250</v>
      </c>
      <c r="BK136" s="56">
        <f t="shared" si="93"/>
        <v>5375251.3500000006</v>
      </c>
      <c r="BL136" s="57">
        <f t="shared" si="94"/>
        <v>167976.60468750002</v>
      </c>
      <c r="BM136" s="57">
        <f t="shared" si="84"/>
        <v>55992.201562500006</v>
      </c>
      <c r="BN136" s="2"/>
      <c r="BO136" s="2"/>
      <c r="BP136" s="15"/>
      <c r="BQ136" s="15"/>
      <c r="BR136" s="15"/>
      <c r="BS136" s="15"/>
      <c r="BT136" s="15"/>
      <c r="BU136" s="58">
        <f t="shared" si="73"/>
        <v>167976.60468750002</v>
      </c>
      <c r="BV136" s="58">
        <f t="shared" si="74"/>
        <v>167976.60468750002</v>
      </c>
      <c r="BW136" s="58">
        <f t="shared" si="75"/>
        <v>335953.20937500003</v>
      </c>
      <c r="BX136" s="58">
        <f t="shared" si="85"/>
        <v>167976.60468750002</v>
      </c>
      <c r="BY136" s="58">
        <f t="shared" si="79"/>
        <v>167976.60468750002</v>
      </c>
      <c r="BZ136" s="58">
        <f t="shared" si="76"/>
        <v>167976.60468750002</v>
      </c>
      <c r="CA136" s="58">
        <f t="shared" si="80"/>
        <v>167976.60468750002</v>
      </c>
      <c r="CB136" s="58">
        <f t="shared" si="86"/>
        <v>671906.41875000007</v>
      </c>
      <c r="CC136" s="58">
        <f t="shared" si="87"/>
        <v>167976.60468750002</v>
      </c>
      <c r="CD136" s="58">
        <f t="shared" si="83"/>
        <v>167976.60468750002</v>
      </c>
      <c r="CE136" s="58">
        <f t="shared" si="83"/>
        <v>167976.60468750002</v>
      </c>
      <c r="CF136" s="58">
        <f t="shared" si="83"/>
        <v>167976.60468750002</v>
      </c>
      <c r="CG136" s="58">
        <f t="shared" si="88"/>
        <v>671906.41875000007</v>
      </c>
      <c r="CH136" s="58">
        <f t="shared" si="89"/>
        <v>167976.60468750002</v>
      </c>
      <c r="CI136" s="58">
        <f t="shared" si="90"/>
        <v>167976.60468750002</v>
      </c>
      <c r="CJ136" s="58">
        <f t="shared" si="90"/>
        <v>167976.60468750002</v>
      </c>
      <c r="CK136" s="58">
        <f t="shared" si="90"/>
        <v>167976.60468750002</v>
      </c>
      <c r="CL136" s="58">
        <f t="shared" si="91"/>
        <v>671906.41875000007</v>
      </c>
      <c r="CM136" s="2"/>
      <c r="CN136" s="2"/>
      <c r="CO136" s="77"/>
      <c r="CP136" s="78">
        <f t="shared" si="95"/>
        <v>5375251.3500000006</v>
      </c>
    </row>
    <row r="137" spans="1:94" s="78" customFormat="1" hidden="1" x14ac:dyDescent="0.3">
      <c r="A137" s="29">
        <v>132</v>
      </c>
      <c r="B137" s="30" t="s">
        <v>21</v>
      </c>
      <c r="C137" s="30"/>
      <c r="D137" s="30" t="s">
        <v>467</v>
      </c>
      <c r="E137" s="30" t="s">
        <v>448</v>
      </c>
      <c r="F137" s="30" t="s">
        <v>449</v>
      </c>
      <c r="G137" s="62" t="s">
        <v>450</v>
      </c>
      <c r="H137" s="62" t="s">
        <v>118</v>
      </c>
      <c r="I137" s="30" t="s">
        <v>119</v>
      </c>
      <c r="J137" s="30" t="s">
        <v>120</v>
      </c>
      <c r="K137" s="30" t="s">
        <v>451</v>
      </c>
      <c r="L137" s="30" t="s">
        <v>122</v>
      </c>
      <c r="M137" s="73">
        <v>2100403</v>
      </c>
      <c r="N137" s="48" t="s">
        <v>138</v>
      </c>
      <c r="O137" s="30" t="s">
        <v>521</v>
      </c>
      <c r="P137" s="89" t="s">
        <v>453</v>
      </c>
      <c r="Q137" s="86" t="s">
        <v>454</v>
      </c>
      <c r="R137" s="86" t="s">
        <v>173</v>
      </c>
      <c r="S137" s="89" t="s">
        <v>522</v>
      </c>
      <c r="T137" s="30"/>
      <c r="U137" s="48"/>
      <c r="V137" s="30" t="s">
        <v>415</v>
      </c>
      <c r="W137" s="30" t="s">
        <v>456</v>
      </c>
      <c r="X137" s="30"/>
      <c r="Y137" s="48" t="s">
        <v>457</v>
      </c>
      <c r="Z137" s="48" t="s">
        <v>457</v>
      </c>
      <c r="AA137" s="20" t="s">
        <v>148</v>
      </c>
      <c r="AB137" s="72" t="s">
        <v>177</v>
      </c>
      <c r="AC137" s="48" t="s">
        <v>470</v>
      </c>
      <c r="AD137" s="87" t="s">
        <v>471</v>
      </c>
      <c r="AE137" s="48"/>
      <c r="AF137" s="48" t="s">
        <v>179</v>
      </c>
      <c r="AG137" s="48" t="s">
        <v>152</v>
      </c>
      <c r="AH137" s="48" t="s">
        <v>458</v>
      </c>
      <c r="AI137" s="48"/>
      <c r="AJ137" s="50"/>
      <c r="AK137" s="50"/>
      <c r="AL137" s="51"/>
      <c r="AM137" s="52"/>
      <c r="AN137" s="48"/>
      <c r="AO137" s="30"/>
      <c r="AP137" s="30"/>
      <c r="AQ137" s="30"/>
      <c r="AR137" s="30"/>
      <c r="AS137" s="30"/>
      <c r="AT137" s="30"/>
      <c r="AU137" s="53">
        <v>156953060</v>
      </c>
      <c r="AV137" s="47"/>
      <c r="AW137" s="47"/>
      <c r="AX137" s="47"/>
      <c r="AY137" s="47"/>
      <c r="AZ137" s="47"/>
      <c r="BA137" s="74">
        <v>1000</v>
      </c>
      <c r="BB137" s="74">
        <v>1000</v>
      </c>
      <c r="BC137" s="52"/>
      <c r="BD137" s="52"/>
      <c r="BE137" s="52"/>
      <c r="BF137" s="30"/>
      <c r="BG137" s="30"/>
      <c r="BH137" s="30" t="s">
        <v>136</v>
      </c>
      <c r="BI137" s="30" t="str">
        <f t="shared" si="92"/>
        <v>Test</v>
      </c>
      <c r="BJ137" s="30" t="s">
        <v>250</v>
      </c>
      <c r="BK137" s="56">
        <f t="shared" si="93"/>
        <v>3139061.2</v>
      </c>
      <c r="BL137" s="57">
        <f t="shared" si="94"/>
        <v>98095.662500000006</v>
      </c>
      <c r="BM137" s="57">
        <f t="shared" si="84"/>
        <v>32698.554166666669</v>
      </c>
      <c r="BN137" s="2"/>
      <c r="BO137" s="2"/>
      <c r="BP137" s="15"/>
      <c r="BQ137" s="15"/>
      <c r="BR137" s="15"/>
      <c r="BS137" s="15"/>
      <c r="BT137" s="15"/>
      <c r="BU137" s="58">
        <f t="shared" si="73"/>
        <v>98095.662500000006</v>
      </c>
      <c r="BV137" s="58">
        <f t="shared" si="74"/>
        <v>98095.662500000006</v>
      </c>
      <c r="BW137" s="58">
        <f t="shared" si="75"/>
        <v>196191.32500000001</v>
      </c>
      <c r="BX137" s="58">
        <f t="shared" si="85"/>
        <v>98095.662500000006</v>
      </c>
      <c r="BY137" s="58">
        <f t="shared" si="79"/>
        <v>98095.662500000006</v>
      </c>
      <c r="BZ137" s="58">
        <f t="shared" si="76"/>
        <v>98095.662500000006</v>
      </c>
      <c r="CA137" s="58">
        <f t="shared" si="80"/>
        <v>98095.662500000006</v>
      </c>
      <c r="CB137" s="58">
        <f t="shared" si="86"/>
        <v>392382.65</v>
      </c>
      <c r="CC137" s="58">
        <f t="shared" si="87"/>
        <v>98095.662500000006</v>
      </c>
      <c r="CD137" s="58">
        <f t="shared" si="83"/>
        <v>98095.662500000006</v>
      </c>
      <c r="CE137" s="58">
        <f t="shared" si="83"/>
        <v>98095.662500000006</v>
      </c>
      <c r="CF137" s="58">
        <f t="shared" si="83"/>
        <v>98095.662500000006</v>
      </c>
      <c r="CG137" s="58">
        <f t="shared" si="88"/>
        <v>392382.65</v>
      </c>
      <c r="CH137" s="58">
        <f t="shared" si="89"/>
        <v>98095.662500000006</v>
      </c>
      <c r="CI137" s="58">
        <f t="shared" si="90"/>
        <v>98095.662500000006</v>
      </c>
      <c r="CJ137" s="58">
        <f t="shared" si="90"/>
        <v>98095.662500000006</v>
      </c>
      <c r="CK137" s="58">
        <f t="shared" si="90"/>
        <v>98095.662500000006</v>
      </c>
      <c r="CL137" s="58">
        <f t="shared" si="91"/>
        <v>392382.65</v>
      </c>
      <c r="CM137" s="2"/>
      <c r="CN137" s="2"/>
      <c r="CO137" s="77"/>
      <c r="CP137" s="78">
        <f t="shared" si="95"/>
        <v>3139061.2</v>
      </c>
    </row>
    <row r="138" spans="1:94" s="78" customFormat="1" ht="15" hidden="1" x14ac:dyDescent="0.3">
      <c r="A138" s="29">
        <v>133</v>
      </c>
      <c r="B138" s="30" t="s">
        <v>21</v>
      </c>
      <c r="C138" s="30"/>
      <c r="D138" s="30" t="s">
        <v>467</v>
      </c>
      <c r="E138" s="30"/>
      <c r="F138" s="30" t="s">
        <v>449</v>
      </c>
      <c r="G138" s="62"/>
      <c r="H138" s="62"/>
      <c r="I138" s="30"/>
      <c r="J138" s="30"/>
      <c r="K138" s="30"/>
      <c r="L138" s="30"/>
      <c r="M138" s="73"/>
      <c r="N138" s="48"/>
      <c r="O138" s="92" t="s">
        <v>523</v>
      </c>
      <c r="P138" s="30"/>
      <c r="Q138" s="30"/>
      <c r="R138" s="30"/>
      <c r="S138" s="89"/>
      <c r="T138" s="30"/>
      <c r="U138" s="48"/>
      <c r="V138" s="62"/>
      <c r="W138" s="48"/>
      <c r="X138" s="48"/>
      <c r="Y138" s="48" t="s">
        <v>457</v>
      </c>
      <c r="Z138" s="48" t="s">
        <v>457</v>
      </c>
      <c r="AA138" s="20"/>
      <c r="AB138" s="48"/>
      <c r="AC138" s="48"/>
      <c r="AD138" s="48"/>
      <c r="AE138" s="48"/>
      <c r="AF138" s="48"/>
      <c r="AG138" s="48"/>
      <c r="AH138" s="48"/>
      <c r="AI138" s="48"/>
      <c r="AJ138" s="50"/>
      <c r="AK138" s="50"/>
      <c r="AL138" s="51"/>
      <c r="AM138" s="52"/>
      <c r="AN138" s="48"/>
      <c r="AO138" s="30"/>
      <c r="AP138" s="30"/>
      <c r="AQ138" s="30"/>
      <c r="AR138" s="30"/>
      <c r="AS138" s="30"/>
      <c r="AT138" s="30"/>
      <c r="AU138" s="53">
        <v>0</v>
      </c>
      <c r="AV138" s="47"/>
      <c r="AW138" s="47"/>
      <c r="AX138" s="47"/>
      <c r="AY138" s="47"/>
      <c r="AZ138" s="47"/>
      <c r="BA138" s="74"/>
      <c r="BB138" s="74">
        <v>0</v>
      </c>
      <c r="BC138" s="52"/>
      <c r="BD138" s="52"/>
      <c r="BE138" s="52"/>
      <c r="BF138" s="30"/>
      <c r="BG138" s="30"/>
      <c r="BH138" s="30"/>
      <c r="BI138" s="30"/>
      <c r="BJ138" s="30"/>
      <c r="BK138" s="56"/>
      <c r="BL138" s="57"/>
      <c r="BM138" s="57"/>
      <c r="BN138" s="2"/>
      <c r="BO138" s="2"/>
      <c r="BP138" s="15"/>
      <c r="BQ138" s="15"/>
      <c r="BR138" s="15"/>
      <c r="BS138" s="15"/>
      <c r="BT138" s="15"/>
      <c r="BU138" s="58">
        <f t="shared" si="73"/>
        <v>0</v>
      </c>
      <c r="BV138" s="58">
        <f t="shared" si="74"/>
        <v>0</v>
      </c>
      <c r="BW138" s="58">
        <f t="shared" si="75"/>
        <v>0</v>
      </c>
      <c r="BX138" s="58">
        <f t="shared" si="85"/>
        <v>0</v>
      </c>
      <c r="BY138" s="58">
        <f t="shared" si="79"/>
        <v>0</v>
      </c>
      <c r="BZ138" s="58">
        <f t="shared" si="76"/>
        <v>0</v>
      </c>
      <c r="CA138" s="58">
        <f t="shared" si="80"/>
        <v>0</v>
      </c>
      <c r="CB138" s="58">
        <f t="shared" si="86"/>
        <v>0</v>
      </c>
      <c r="CC138" s="58">
        <f t="shared" si="87"/>
        <v>0</v>
      </c>
      <c r="CD138" s="58">
        <f t="shared" si="83"/>
        <v>0</v>
      </c>
      <c r="CE138" s="58">
        <f t="shared" si="83"/>
        <v>0</v>
      </c>
      <c r="CF138" s="58">
        <f t="shared" si="83"/>
        <v>0</v>
      </c>
      <c r="CG138" s="58">
        <f t="shared" si="88"/>
        <v>0</v>
      </c>
      <c r="CH138" s="58">
        <f t="shared" si="89"/>
        <v>0</v>
      </c>
      <c r="CI138" s="58">
        <f t="shared" si="90"/>
        <v>0</v>
      </c>
      <c r="CJ138" s="58">
        <f t="shared" si="90"/>
        <v>0</v>
      </c>
      <c r="CK138" s="58">
        <f t="shared" si="90"/>
        <v>0</v>
      </c>
      <c r="CL138" s="58">
        <f t="shared" si="91"/>
        <v>0</v>
      </c>
      <c r="CM138" s="2"/>
      <c r="CN138" s="2"/>
      <c r="CO138" s="77"/>
      <c r="CP138" s="78">
        <f t="shared" si="95"/>
        <v>0</v>
      </c>
    </row>
    <row r="139" spans="1:94" s="78" customFormat="1" ht="15" hidden="1" x14ac:dyDescent="0.3">
      <c r="A139" s="29">
        <v>134</v>
      </c>
      <c r="B139" s="30" t="s">
        <v>21</v>
      </c>
      <c r="C139" s="30"/>
      <c r="D139" s="30" t="s">
        <v>467</v>
      </c>
      <c r="E139" s="30"/>
      <c r="F139" s="30" t="s">
        <v>449</v>
      </c>
      <c r="G139" s="62"/>
      <c r="H139" s="62"/>
      <c r="I139" s="30"/>
      <c r="J139" s="30"/>
      <c r="K139" s="30"/>
      <c r="L139" s="30"/>
      <c r="M139" s="73"/>
      <c r="N139" s="48"/>
      <c r="O139" s="92" t="s">
        <v>523</v>
      </c>
      <c r="P139" s="30"/>
      <c r="Q139" s="30"/>
      <c r="R139" s="30"/>
      <c r="S139" s="89"/>
      <c r="T139" s="30"/>
      <c r="U139" s="48"/>
      <c r="V139" s="62"/>
      <c r="W139" s="48"/>
      <c r="X139" s="48"/>
      <c r="Y139" s="48" t="s">
        <v>457</v>
      </c>
      <c r="Z139" s="48" t="s">
        <v>457</v>
      </c>
      <c r="AA139" s="20"/>
      <c r="AB139" s="48"/>
      <c r="AC139" s="48"/>
      <c r="AD139" s="48"/>
      <c r="AE139" s="48"/>
      <c r="AF139" s="48"/>
      <c r="AG139" s="48"/>
      <c r="AH139" s="48"/>
      <c r="AI139" s="48"/>
      <c r="AJ139" s="50"/>
      <c r="AK139" s="50"/>
      <c r="AL139" s="51"/>
      <c r="AM139" s="52"/>
      <c r="AN139" s="48"/>
      <c r="AO139" s="30"/>
      <c r="AP139" s="30"/>
      <c r="AQ139" s="30"/>
      <c r="AR139" s="30"/>
      <c r="AS139" s="30"/>
      <c r="AT139" s="30"/>
      <c r="AU139" s="53">
        <v>0</v>
      </c>
      <c r="AV139" s="47"/>
      <c r="AW139" s="47"/>
      <c r="AX139" s="47"/>
      <c r="AY139" s="47"/>
      <c r="AZ139" s="47"/>
      <c r="BA139" s="74"/>
      <c r="BB139" s="74">
        <v>0</v>
      </c>
      <c r="BC139" s="52"/>
      <c r="BD139" s="52"/>
      <c r="BE139" s="52"/>
      <c r="BF139" s="30"/>
      <c r="BG139" s="30"/>
      <c r="BH139" s="30"/>
      <c r="BI139" s="30"/>
      <c r="BJ139" s="30"/>
      <c r="BK139" s="56"/>
      <c r="BL139" s="57"/>
      <c r="BM139" s="57"/>
      <c r="BN139" s="2"/>
      <c r="BO139" s="2"/>
      <c r="BP139" s="15"/>
      <c r="BQ139" s="15"/>
      <c r="BR139" s="15"/>
      <c r="BS139" s="15"/>
      <c r="BT139" s="15"/>
      <c r="BU139" s="58">
        <f t="shared" si="73"/>
        <v>0</v>
      </c>
      <c r="BV139" s="58">
        <f t="shared" si="74"/>
        <v>0</v>
      </c>
      <c r="BW139" s="58">
        <f t="shared" si="75"/>
        <v>0</v>
      </c>
      <c r="BX139" s="58">
        <f t="shared" si="85"/>
        <v>0</v>
      </c>
      <c r="BY139" s="58">
        <f t="shared" si="79"/>
        <v>0</v>
      </c>
      <c r="BZ139" s="58">
        <f t="shared" si="76"/>
        <v>0</v>
      </c>
      <c r="CA139" s="58">
        <f t="shared" si="80"/>
        <v>0</v>
      </c>
      <c r="CB139" s="58">
        <f t="shared" si="86"/>
        <v>0</v>
      </c>
      <c r="CC139" s="58">
        <f t="shared" si="87"/>
        <v>0</v>
      </c>
      <c r="CD139" s="58">
        <f t="shared" si="83"/>
        <v>0</v>
      </c>
      <c r="CE139" s="58">
        <f t="shared" si="83"/>
        <v>0</v>
      </c>
      <c r="CF139" s="58">
        <f t="shared" si="83"/>
        <v>0</v>
      </c>
      <c r="CG139" s="58">
        <f t="shared" si="88"/>
        <v>0</v>
      </c>
      <c r="CH139" s="58">
        <f t="shared" si="89"/>
        <v>0</v>
      </c>
      <c r="CI139" s="58">
        <f t="shared" si="90"/>
        <v>0</v>
      </c>
      <c r="CJ139" s="58">
        <f t="shared" si="90"/>
        <v>0</v>
      </c>
      <c r="CK139" s="58">
        <f t="shared" si="90"/>
        <v>0</v>
      </c>
      <c r="CL139" s="58">
        <f t="shared" si="91"/>
        <v>0</v>
      </c>
      <c r="CM139" s="2"/>
      <c r="CN139" s="2"/>
      <c r="CO139" s="77"/>
      <c r="CP139" s="78">
        <f t="shared" si="95"/>
        <v>0</v>
      </c>
    </row>
    <row r="140" spans="1:94" s="78" customFormat="1" ht="15" hidden="1" x14ac:dyDescent="0.3">
      <c r="A140" s="29">
        <v>135</v>
      </c>
      <c r="B140" s="30" t="s">
        <v>21</v>
      </c>
      <c r="C140" s="30"/>
      <c r="D140" s="30" t="s">
        <v>467</v>
      </c>
      <c r="E140" s="30"/>
      <c r="F140" s="30" t="s">
        <v>449</v>
      </c>
      <c r="G140" s="62"/>
      <c r="H140" s="62"/>
      <c r="I140" s="30"/>
      <c r="J140" s="30"/>
      <c r="K140" s="30"/>
      <c r="L140" s="30"/>
      <c r="M140" s="73"/>
      <c r="N140" s="48"/>
      <c r="O140" s="92" t="s">
        <v>523</v>
      </c>
      <c r="P140" s="30"/>
      <c r="Q140" s="30"/>
      <c r="R140" s="30"/>
      <c r="S140" s="89"/>
      <c r="T140" s="30"/>
      <c r="U140" s="48"/>
      <c r="V140" s="62"/>
      <c r="W140" s="48"/>
      <c r="X140" s="48"/>
      <c r="Y140" s="48" t="s">
        <v>457</v>
      </c>
      <c r="Z140" s="48" t="s">
        <v>457</v>
      </c>
      <c r="AA140" s="20"/>
      <c r="AB140" s="48"/>
      <c r="AC140" s="48"/>
      <c r="AD140" s="48"/>
      <c r="AE140" s="48"/>
      <c r="AF140" s="48"/>
      <c r="AG140" s="48"/>
      <c r="AH140" s="48"/>
      <c r="AI140" s="48"/>
      <c r="AJ140" s="50"/>
      <c r="AK140" s="50"/>
      <c r="AL140" s="51"/>
      <c r="AM140" s="52"/>
      <c r="AN140" s="48"/>
      <c r="AO140" s="30"/>
      <c r="AP140" s="30"/>
      <c r="AQ140" s="30"/>
      <c r="AR140" s="30"/>
      <c r="AS140" s="30"/>
      <c r="AT140" s="30"/>
      <c r="AU140" s="53">
        <v>0</v>
      </c>
      <c r="AV140" s="47"/>
      <c r="AW140" s="47"/>
      <c r="AX140" s="47"/>
      <c r="AY140" s="47"/>
      <c r="AZ140" s="47"/>
      <c r="BA140" s="74"/>
      <c r="BB140" s="74">
        <v>0</v>
      </c>
      <c r="BC140" s="52"/>
      <c r="BD140" s="52"/>
      <c r="BE140" s="52"/>
      <c r="BF140" s="30"/>
      <c r="BG140" s="30"/>
      <c r="BH140" s="30"/>
      <c r="BI140" s="30"/>
      <c r="BJ140" s="30"/>
      <c r="BK140" s="56"/>
      <c r="BL140" s="57"/>
      <c r="BM140" s="57"/>
      <c r="BN140" s="2"/>
      <c r="BO140" s="2"/>
      <c r="BP140" s="15"/>
      <c r="BQ140" s="15"/>
      <c r="BR140" s="15"/>
      <c r="BS140" s="15"/>
      <c r="BT140" s="15"/>
      <c r="BU140" s="58">
        <f t="shared" si="73"/>
        <v>0</v>
      </c>
      <c r="BV140" s="58">
        <f t="shared" si="74"/>
        <v>0</v>
      </c>
      <c r="BW140" s="58">
        <f t="shared" si="75"/>
        <v>0</v>
      </c>
      <c r="BX140" s="58">
        <f t="shared" si="85"/>
        <v>0</v>
      </c>
      <c r="BY140" s="58">
        <f t="shared" si="79"/>
        <v>0</v>
      </c>
      <c r="BZ140" s="58">
        <f t="shared" si="76"/>
        <v>0</v>
      </c>
      <c r="CA140" s="58">
        <f t="shared" si="80"/>
        <v>0</v>
      </c>
      <c r="CB140" s="58">
        <f t="shared" si="86"/>
        <v>0</v>
      </c>
      <c r="CC140" s="58">
        <f t="shared" si="87"/>
        <v>0</v>
      </c>
      <c r="CD140" s="58">
        <f t="shared" si="83"/>
        <v>0</v>
      </c>
      <c r="CE140" s="58">
        <f t="shared" si="83"/>
        <v>0</v>
      </c>
      <c r="CF140" s="58">
        <f t="shared" si="83"/>
        <v>0</v>
      </c>
      <c r="CG140" s="58">
        <f t="shared" si="88"/>
        <v>0</v>
      </c>
      <c r="CH140" s="58">
        <f t="shared" si="89"/>
        <v>0</v>
      </c>
      <c r="CI140" s="58">
        <f t="shared" si="90"/>
        <v>0</v>
      </c>
      <c r="CJ140" s="58">
        <f t="shared" si="90"/>
        <v>0</v>
      </c>
      <c r="CK140" s="58">
        <f t="shared" si="90"/>
        <v>0</v>
      </c>
      <c r="CL140" s="58">
        <f t="shared" si="91"/>
        <v>0</v>
      </c>
      <c r="CM140" s="2"/>
      <c r="CN140" s="2"/>
      <c r="CO140" s="77"/>
      <c r="CP140" s="78">
        <f t="shared" si="95"/>
        <v>0</v>
      </c>
    </row>
    <row r="141" spans="1:94" s="78" customFormat="1" ht="15" hidden="1" x14ac:dyDescent="0.3">
      <c r="A141" s="29">
        <v>136</v>
      </c>
      <c r="B141" s="30" t="s">
        <v>21</v>
      </c>
      <c r="C141" s="30"/>
      <c r="D141" s="30" t="s">
        <v>467</v>
      </c>
      <c r="E141" s="30"/>
      <c r="F141" s="30" t="s">
        <v>449</v>
      </c>
      <c r="G141" s="62"/>
      <c r="H141" s="62"/>
      <c r="I141" s="30"/>
      <c r="J141" s="30"/>
      <c r="K141" s="30"/>
      <c r="L141" s="30"/>
      <c r="M141" s="73"/>
      <c r="N141" s="48"/>
      <c r="O141" s="92" t="s">
        <v>523</v>
      </c>
      <c r="P141" s="30"/>
      <c r="Q141" s="30"/>
      <c r="R141" s="30"/>
      <c r="S141" s="89"/>
      <c r="T141" s="30"/>
      <c r="U141" s="48"/>
      <c r="V141" s="62"/>
      <c r="W141" s="48"/>
      <c r="X141" s="48"/>
      <c r="Y141" s="48" t="s">
        <v>457</v>
      </c>
      <c r="Z141" s="48" t="s">
        <v>457</v>
      </c>
      <c r="AA141" s="20"/>
      <c r="AB141" s="48"/>
      <c r="AC141" s="48"/>
      <c r="AD141" s="48"/>
      <c r="AE141" s="48"/>
      <c r="AF141" s="48"/>
      <c r="AG141" s="48"/>
      <c r="AH141" s="48"/>
      <c r="AI141" s="48"/>
      <c r="AJ141" s="50"/>
      <c r="AK141" s="50"/>
      <c r="AL141" s="51"/>
      <c r="AM141" s="52"/>
      <c r="AN141" s="48"/>
      <c r="AO141" s="30"/>
      <c r="AP141" s="30"/>
      <c r="AQ141" s="30"/>
      <c r="AR141" s="30"/>
      <c r="AS141" s="30"/>
      <c r="AT141" s="30"/>
      <c r="AU141" s="53">
        <v>0</v>
      </c>
      <c r="AV141" s="47"/>
      <c r="AW141" s="47"/>
      <c r="AX141" s="47"/>
      <c r="AY141" s="47"/>
      <c r="AZ141" s="47"/>
      <c r="BA141" s="74"/>
      <c r="BB141" s="74">
        <v>0</v>
      </c>
      <c r="BC141" s="52"/>
      <c r="BD141" s="52"/>
      <c r="BE141" s="52"/>
      <c r="BF141" s="30"/>
      <c r="BG141" s="30"/>
      <c r="BH141" s="30"/>
      <c r="BI141" s="30"/>
      <c r="BJ141" s="30"/>
      <c r="BK141" s="56"/>
      <c r="BL141" s="57"/>
      <c r="BM141" s="57"/>
      <c r="BN141" s="2"/>
      <c r="BO141" s="2"/>
      <c r="BP141" s="15"/>
      <c r="BQ141" s="15"/>
      <c r="BR141" s="15"/>
      <c r="BS141" s="15"/>
      <c r="BT141" s="15"/>
      <c r="BU141" s="58">
        <f t="shared" si="73"/>
        <v>0</v>
      </c>
      <c r="BV141" s="58">
        <f t="shared" si="74"/>
        <v>0</v>
      </c>
      <c r="BW141" s="58">
        <f t="shared" si="75"/>
        <v>0</v>
      </c>
      <c r="BX141" s="58">
        <f t="shared" si="85"/>
        <v>0</v>
      </c>
      <c r="BY141" s="58">
        <f t="shared" si="79"/>
        <v>0</v>
      </c>
      <c r="BZ141" s="58">
        <f t="shared" si="76"/>
        <v>0</v>
      </c>
      <c r="CA141" s="58">
        <f t="shared" si="80"/>
        <v>0</v>
      </c>
      <c r="CB141" s="58">
        <f t="shared" si="86"/>
        <v>0</v>
      </c>
      <c r="CC141" s="58">
        <f t="shared" si="87"/>
        <v>0</v>
      </c>
      <c r="CD141" s="58">
        <f t="shared" si="83"/>
        <v>0</v>
      </c>
      <c r="CE141" s="58">
        <f t="shared" si="83"/>
        <v>0</v>
      </c>
      <c r="CF141" s="58">
        <f t="shared" si="83"/>
        <v>0</v>
      </c>
      <c r="CG141" s="58">
        <f t="shared" si="88"/>
        <v>0</v>
      </c>
      <c r="CH141" s="58">
        <f t="shared" si="89"/>
        <v>0</v>
      </c>
      <c r="CI141" s="58">
        <f t="shared" si="90"/>
        <v>0</v>
      </c>
      <c r="CJ141" s="58">
        <f t="shared" si="90"/>
        <v>0</v>
      </c>
      <c r="CK141" s="58">
        <f t="shared" si="90"/>
        <v>0</v>
      </c>
      <c r="CL141" s="58">
        <f t="shared" si="91"/>
        <v>0</v>
      </c>
      <c r="CM141" s="2"/>
      <c r="CN141" s="2"/>
      <c r="CO141" s="77"/>
      <c r="CP141" s="78">
        <f t="shared" si="95"/>
        <v>0</v>
      </c>
    </row>
    <row r="142" spans="1:94" s="78" customFormat="1" ht="15" hidden="1" x14ac:dyDescent="0.3">
      <c r="A142" s="29">
        <v>137</v>
      </c>
      <c r="B142" s="30" t="s">
        <v>21</v>
      </c>
      <c r="C142" s="30"/>
      <c r="D142" s="30" t="s">
        <v>467</v>
      </c>
      <c r="E142" s="30"/>
      <c r="F142" s="30" t="s">
        <v>449</v>
      </c>
      <c r="G142" s="62"/>
      <c r="H142" s="62"/>
      <c r="I142" s="30"/>
      <c r="J142" s="30"/>
      <c r="K142" s="30"/>
      <c r="L142" s="30"/>
      <c r="M142" s="73"/>
      <c r="N142" s="48"/>
      <c r="O142" s="92" t="s">
        <v>523</v>
      </c>
      <c r="P142" s="30"/>
      <c r="Q142" s="30"/>
      <c r="R142" s="30"/>
      <c r="S142" s="89"/>
      <c r="T142" s="30"/>
      <c r="U142" s="48"/>
      <c r="V142" s="62"/>
      <c r="W142" s="48"/>
      <c r="X142" s="48"/>
      <c r="Y142" s="48" t="s">
        <v>457</v>
      </c>
      <c r="Z142" s="48" t="s">
        <v>457</v>
      </c>
      <c r="AA142" s="20"/>
      <c r="AB142" s="48"/>
      <c r="AC142" s="48"/>
      <c r="AD142" s="48"/>
      <c r="AE142" s="48"/>
      <c r="AF142" s="48"/>
      <c r="AG142" s="48"/>
      <c r="AH142" s="48"/>
      <c r="AI142" s="48"/>
      <c r="AJ142" s="50"/>
      <c r="AK142" s="50"/>
      <c r="AL142" s="51"/>
      <c r="AM142" s="52"/>
      <c r="AN142" s="48"/>
      <c r="AO142" s="30"/>
      <c r="AP142" s="30"/>
      <c r="AQ142" s="30"/>
      <c r="AR142" s="30"/>
      <c r="AS142" s="30"/>
      <c r="AT142" s="30"/>
      <c r="AU142" s="53">
        <v>0</v>
      </c>
      <c r="AV142" s="47"/>
      <c r="AW142" s="47"/>
      <c r="AX142" s="47"/>
      <c r="AY142" s="47"/>
      <c r="AZ142" s="47"/>
      <c r="BA142" s="74"/>
      <c r="BB142" s="74">
        <v>0</v>
      </c>
      <c r="BC142" s="52"/>
      <c r="BD142" s="52"/>
      <c r="BE142" s="52"/>
      <c r="BF142" s="30"/>
      <c r="BG142" s="30"/>
      <c r="BH142" s="30"/>
      <c r="BI142" s="30"/>
      <c r="BJ142" s="30"/>
      <c r="BK142" s="56"/>
      <c r="BL142" s="57"/>
      <c r="BM142" s="57"/>
      <c r="BN142" s="2"/>
      <c r="BO142" s="2"/>
      <c r="BP142" s="15"/>
      <c r="BQ142" s="15"/>
      <c r="BR142" s="15"/>
      <c r="BS142" s="15"/>
      <c r="BT142" s="15"/>
      <c r="BU142" s="58">
        <f t="shared" si="73"/>
        <v>0</v>
      </c>
      <c r="BV142" s="58">
        <f t="shared" si="74"/>
        <v>0</v>
      </c>
      <c r="BW142" s="58">
        <f t="shared" si="75"/>
        <v>0</v>
      </c>
      <c r="BX142" s="58">
        <f t="shared" si="85"/>
        <v>0</v>
      </c>
      <c r="BY142" s="58">
        <f t="shared" si="79"/>
        <v>0</v>
      </c>
      <c r="BZ142" s="58">
        <f t="shared" si="76"/>
        <v>0</v>
      </c>
      <c r="CA142" s="58">
        <f t="shared" si="80"/>
        <v>0</v>
      </c>
      <c r="CB142" s="58">
        <f t="shared" si="86"/>
        <v>0</v>
      </c>
      <c r="CC142" s="58">
        <f t="shared" si="87"/>
        <v>0</v>
      </c>
      <c r="CD142" s="58">
        <f t="shared" si="83"/>
        <v>0</v>
      </c>
      <c r="CE142" s="58">
        <f t="shared" si="83"/>
        <v>0</v>
      </c>
      <c r="CF142" s="58">
        <f t="shared" si="83"/>
        <v>0</v>
      </c>
      <c r="CG142" s="58">
        <f t="shared" si="88"/>
        <v>0</v>
      </c>
      <c r="CH142" s="58">
        <f t="shared" si="89"/>
        <v>0</v>
      </c>
      <c r="CI142" s="58">
        <f t="shared" si="90"/>
        <v>0</v>
      </c>
      <c r="CJ142" s="58">
        <f t="shared" si="90"/>
        <v>0</v>
      </c>
      <c r="CK142" s="58">
        <f t="shared" si="90"/>
        <v>0</v>
      </c>
      <c r="CL142" s="58">
        <f t="shared" si="91"/>
        <v>0</v>
      </c>
      <c r="CM142" s="2"/>
      <c r="CN142" s="2"/>
      <c r="CO142" s="77"/>
      <c r="CP142" s="78">
        <f t="shared" si="95"/>
        <v>0</v>
      </c>
    </row>
    <row r="143" spans="1:94" s="78" customFormat="1" ht="15" hidden="1" x14ac:dyDescent="0.3">
      <c r="A143" s="29">
        <v>138</v>
      </c>
      <c r="B143" s="30" t="s">
        <v>21</v>
      </c>
      <c r="C143" s="30"/>
      <c r="D143" s="30" t="s">
        <v>467</v>
      </c>
      <c r="E143" s="30"/>
      <c r="F143" s="30" t="s">
        <v>449</v>
      </c>
      <c r="G143" s="62"/>
      <c r="H143" s="62"/>
      <c r="I143" s="30"/>
      <c r="J143" s="30"/>
      <c r="K143" s="30"/>
      <c r="L143" s="30"/>
      <c r="M143" s="73"/>
      <c r="N143" s="48"/>
      <c r="O143" s="92" t="s">
        <v>523</v>
      </c>
      <c r="P143" s="30"/>
      <c r="Q143" s="30"/>
      <c r="R143" s="30"/>
      <c r="S143" s="89"/>
      <c r="T143" s="30"/>
      <c r="U143" s="48"/>
      <c r="V143" s="62"/>
      <c r="W143" s="48"/>
      <c r="X143" s="48"/>
      <c r="Y143" s="48" t="s">
        <v>457</v>
      </c>
      <c r="Z143" s="48" t="s">
        <v>457</v>
      </c>
      <c r="AA143" s="20"/>
      <c r="AB143" s="48"/>
      <c r="AC143" s="48"/>
      <c r="AD143" s="48"/>
      <c r="AE143" s="48"/>
      <c r="AF143" s="48"/>
      <c r="AG143" s="48"/>
      <c r="AH143" s="48"/>
      <c r="AI143" s="48"/>
      <c r="AJ143" s="50"/>
      <c r="AK143" s="50"/>
      <c r="AL143" s="51"/>
      <c r="AM143" s="52"/>
      <c r="AN143" s="48"/>
      <c r="AO143" s="30"/>
      <c r="AP143" s="30"/>
      <c r="AQ143" s="30"/>
      <c r="AR143" s="30"/>
      <c r="AS143" s="30"/>
      <c r="AT143" s="30"/>
      <c r="AU143" s="53">
        <v>0</v>
      </c>
      <c r="AV143" s="47"/>
      <c r="AW143" s="47"/>
      <c r="AX143" s="47"/>
      <c r="AY143" s="47"/>
      <c r="AZ143" s="47"/>
      <c r="BA143" s="74"/>
      <c r="BB143" s="74">
        <v>0</v>
      </c>
      <c r="BC143" s="52"/>
      <c r="BD143" s="52"/>
      <c r="BE143" s="52"/>
      <c r="BF143" s="30"/>
      <c r="BG143" s="30"/>
      <c r="BH143" s="30"/>
      <c r="BI143" s="30"/>
      <c r="BJ143" s="30"/>
      <c r="BK143" s="56"/>
      <c r="BL143" s="57"/>
      <c r="BM143" s="57"/>
      <c r="BN143" s="2"/>
      <c r="BO143" s="2"/>
      <c r="BP143" s="15"/>
      <c r="BQ143" s="15"/>
      <c r="BR143" s="15"/>
      <c r="BS143" s="15"/>
      <c r="BT143" s="15"/>
      <c r="BU143" s="58">
        <f t="shared" si="73"/>
        <v>0</v>
      </c>
      <c r="BV143" s="58">
        <f t="shared" si="74"/>
        <v>0</v>
      </c>
      <c r="BW143" s="58">
        <f t="shared" si="75"/>
        <v>0</v>
      </c>
      <c r="BX143" s="58">
        <f t="shared" si="85"/>
        <v>0</v>
      </c>
      <c r="BY143" s="58">
        <f t="shared" si="79"/>
        <v>0</v>
      </c>
      <c r="BZ143" s="58">
        <f t="shared" si="76"/>
        <v>0</v>
      </c>
      <c r="CA143" s="58">
        <f t="shared" si="80"/>
        <v>0</v>
      </c>
      <c r="CB143" s="58">
        <f t="shared" si="86"/>
        <v>0</v>
      </c>
      <c r="CC143" s="58">
        <f t="shared" si="87"/>
        <v>0</v>
      </c>
      <c r="CD143" s="58">
        <f t="shared" si="83"/>
        <v>0</v>
      </c>
      <c r="CE143" s="58">
        <f t="shared" si="83"/>
        <v>0</v>
      </c>
      <c r="CF143" s="58">
        <f t="shared" si="83"/>
        <v>0</v>
      </c>
      <c r="CG143" s="58">
        <f t="shared" si="88"/>
        <v>0</v>
      </c>
      <c r="CH143" s="58">
        <f t="shared" si="89"/>
        <v>0</v>
      </c>
      <c r="CI143" s="58">
        <f t="shared" si="90"/>
        <v>0</v>
      </c>
      <c r="CJ143" s="58">
        <f t="shared" si="90"/>
        <v>0</v>
      </c>
      <c r="CK143" s="58">
        <f t="shared" si="90"/>
        <v>0</v>
      </c>
      <c r="CL143" s="58">
        <f t="shared" si="91"/>
        <v>0</v>
      </c>
      <c r="CM143" s="2"/>
      <c r="CN143" s="2"/>
      <c r="CO143" s="77"/>
      <c r="CP143" s="78">
        <f t="shared" si="95"/>
        <v>0</v>
      </c>
    </row>
    <row r="144" spans="1:94" s="78" customFormat="1" ht="15" hidden="1" x14ac:dyDescent="0.3">
      <c r="A144" s="29">
        <v>139</v>
      </c>
      <c r="B144" s="30" t="s">
        <v>21</v>
      </c>
      <c r="C144" s="30"/>
      <c r="D144" s="30" t="s">
        <v>467</v>
      </c>
      <c r="E144" s="30"/>
      <c r="F144" s="30" t="s">
        <v>449</v>
      </c>
      <c r="G144" s="62"/>
      <c r="H144" s="62"/>
      <c r="I144" s="30"/>
      <c r="J144" s="30"/>
      <c r="K144" s="30"/>
      <c r="L144" s="30"/>
      <c r="M144" s="73"/>
      <c r="N144" s="48"/>
      <c r="O144" s="92" t="s">
        <v>523</v>
      </c>
      <c r="P144" s="30"/>
      <c r="Q144" s="30"/>
      <c r="R144" s="30"/>
      <c r="S144" s="89"/>
      <c r="T144" s="30"/>
      <c r="U144" s="48"/>
      <c r="V144" s="62"/>
      <c r="W144" s="48"/>
      <c r="X144" s="48"/>
      <c r="Y144" s="48" t="s">
        <v>457</v>
      </c>
      <c r="Z144" s="48" t="s">
        <v>457</v>
      </c>
      <c r="AA144" s="20"/>
      <c r="AB144" s="48"/>
      <c r="AC144" s="48"/>
      <c r="AD144" s="48"/>
      <c r="AE144" s="48"/>
      <c r="AF144" s="48"/>
      <c r="AG144" s="48"/>
      <c r="AH144" s="48"/>
      <c r="AI144" s="48"/>
      <c r="AJ144" s="50"/>
      <c r="AK144" s="50"/>
      <c r="AL144" s="51"/>
      <c r="AM144" s="52"/>
      <c r="AN144" s="48"/>
      <c r="AO144" s="30"/>
      <c r="AP144" s="30"/>
      <c r="AQ144" s="30"/>
      <c r="AR144" s="30"/>
      <c r="AS144" s="30"/>
      <c r="AT144" s="30"/>
      <c r="AU144" s="53">
        <v>0</v>
      </c>
      <c r="AV144" s="47"/>
      <c r="AW144" s="47"/>
      <c r="AX144" s="47"/>
      <c r="AY144" s="47"/>
      <c r="AZ144" s="47"/>
      <c r="BA144" s="74"/>
      <c r="BB144" s="74">
        <v>0</v>
      </c>
      <c r="BC144" s="52"/>
      <c r="BD144" s="52"/>
      <c r="BE144" s="52"/>
      <c r="BF144" s="30"/>
      <c r="BG144" s="30"/>
      <c r="BH144" s="30"/>
      <c r="BI144" s="30"/>
      <c r="BJ144" s="30"/>
      <c r="BK144" s="56"/>
      <c r="BL144" s="57"/>
      <c r="BM144" s="57"/>
      <c r="BN144" s="2"/>
      <c r="BO144" s="2"/>
      <c r="BP144" s="15"/>
      <c r="BQ144" s="15"/>
      <c r="BR144" s="15"/>
      <c r="BS144" s="15"/>
      <c r="BT144" s="15"/>
      <c r="BU144" s="58">
        <f t="shared" si="73"/>
        <v>0</v>
      </c>
      <c r="BV144" s="58">
        <f t="shared" si="74"/>
        <v>0</v>
      </c>
      <c r="BW144" s="58">
        <f t="shared" si="75"/>
        <v>0</v>
      </c>
      <c r="BX144" s="58">
        <f t="shared" si="85"/>
        <v>0</v>
      </c>
      <c r="BY144" s="58">
        <f t="shared" si="79"/>
        <v>0</v>
      </c>
      <c r="BZ144" s="58">
        <f t="shared" si="76"/>
        <v>0</v>
      </c>
      <c r="CA144" s="58">
        <f t="shared" si="80"/>
        <v>0</v>
      </c>
      <c r="CB144" s="58">
        <f t="shared" si="86"/>
        <v>0</v>
      </c>
      <c r="CC144" s="58">
        <f t="shared" si="87"/>
        <v>0</v>
      </c>
      <c r="CD144" s="58">
        <f t="shared" si="83"/>
        <v>0</v>
      </c>
      <c r="CE144" s="58">
        <f t="shared" si="83"/>
        <v>0</v>
      </c>
      <c r="CF144" s="58">
        <f t="shared" si="83"/>
        <v>0</v>
      </c>
      <c r="CG144" s="58">
        <f t="shared" si="88"/>
        <v>0</v>
      </c>
      <c r="CH144" s="58">
        <f t="shared" si="89"/>
        <v>0</v>
      </c>
      <c r="CI144" s="58">
        <f t="shared" si="90"/>
        <v>0</v>
      </c>
      <c r="CJ144" s="58">
        <f t="shared" si="90"/>
        <v>0</v>
      </c>
      <c r="CK144" s="58">
        <f t="shared" si="90"/>
        <v>0</v>
      </c>
      <c r="CL144" s="58">
        <f t="shared" si="91"/>
        <v>0</v>
      </c>
      <c r="CM144" s="2"/>
      <c r="CN144" s="2"/>
      <c r="CO144" s="77"/>
      <c r="CP144" s="78">
        <f t="shared" si="95"/>
        <v>0</v>
      </c>
    </row>
    <row r="145" spans="1:94" s="78" customFormat="1" hidden="1" x14ac:dyDescent="0.3">
      <c r="A145" s="29">
        <v>140</v>
      </c>
      <c r="B145" s="30" t="s">
        <v>21</v>
      </c>
      <c r="C145" s="30"/>
      <c r="D145" s="30" t="s">
        <v>467</v>
      </c>
      <c r="E145" s="30" t="s">
        <v>448</v>
      </c>
      <c r="F145" s="30" t="s">
        <v>449</v>
      </c>
      <c r="G145" s="62" t="s">
        <v>450</v>
      </c>
      <c r="H145" s="62" t="s">
        <v>118</v>
      </c>
      <c r="I145" s="30" t="s">
        <v>119</v>
      </c>
      <c r="J145" s="30" t="s">
        <v>120</v>
      </c>
      <c r="K145" s="30" t="s">
        <v>451</v>
      </c>
      <c r="L145" s="30" t="s">
        <v>122</v>
      </c>
      <c r="M145" s="73">
        <v>2100342</v>
      </c>
      <c r="N145" s="48" t="s">
        <v>138</v>
      </c>
      <c r="O145" s="30" t="s">
        <v>524</v>
      </c>
      <c r="P145" s="30" t="s">
        <v>231</v>
      </c>
      <c r="Q145" s="30" t="s">
        <v>232</v>
      </c>
      <c r="R145" s="30" t="s">
        <v>142</v>
      </c>
      <c r="S145" s="89">
        <v>310627496</v>
      </c>
      <c r="T145" s="30"/>
      <c r="U145" s="48"/>
      <c r="V145" s="62" t="s">
        <v>145</v>
      </c>
      <c r="W145" s="48" t="s">
        <v>146</v>
      </c>
      <c r="X145" s="48" t="s">
        <v>127</v>
      </c>
      <c r="Y145" s="48" t="s">
        <v>457</v>
      </c>
      <c r="Z145" s="48" t="s">
        <v>457</v>
      </c>
      <c r="AA145" s="20" t="s">
        <v>148</v>
      </c>
      <c r="AB145" s="48" t="s">
        <v>149</v>
      </c>
      <c r="AC145" s="48" t="s">
        <v>150</v>
      </c>
      <c r="AD145" s="48"/>
      <c r="AE145" s="48"/>
      <c r="AF145" s="48" t="s">
        <v>151</v>
      </c>
      <c r="AG145" s="48" t="s">
        <v>152</v>
      </c>
      <c r="AH145" s="48" t="s">
        <v>153</v>
      </c>
      <c r="AI145" s="48"/>
      <c r="AJ145" s="50"/>
      <c r="AK145" s="50"/>
      <c r="AL145" s="51"/>
      <c r="AM145" s="52"/>
      <c r="AN145" s="48"/>
      <c r="AO145" s="30"/>
      <c r="AP145" s="30"/>
      <c r="AQ145" s="30"/>
      <c r="AR145" s="30"/>
      <c r="AS145" s="30"/>
      <c r="AT145" s="30"/>
      <c r="AU145" s="53">
        <v>715310752</v>
      </c>
      <c r="AV145" s="47"/>
      <c r="AW145" s="47"/>
      <c r="AX145" s="47"/>
      <c r="AY145" s="47"/>
      <c r="AZ145" s="47"/>
      <c r="BA145" s="74">
        <v>1000</v>
      </c>
      <c r="BB145" s="75">
        <v>1000</v>
      </c>
      <c r="BC145" s="52"/>
      <c r="BD145" s="52"/>
      <c r="BE145" s="52"/>
      <c r="BF145" s="30"/>
      <c r="BG145" s="30"/>
      <c r="BH145" s="30" t="s">
        <v>136</v>
      </c>
      <c r="BI145" s="30" t="str">
        <f t="shared" si="92"/>
        <v>Test</v>
      </c>
      <c r="BJ145" s="30" t="s">
        <v>250</v>
      </c>
      <c r="BK145" s="56">
        <f t="shared" si="93"/>
        <v>14306215.040000001</v>
      </c>
      <c r="BL145" s="57">
        <f t="shared" ref="BL145:BL151" si="96">CP145/$BL$1/4</f>
        <v>1363793.137200943</v>
      </c>
      <c r="BM145" s="57">
        <f t="shared" ref="BM145:BM151" si="97">CP145/$BL$1/12</f>
        <v>454597.71240031434</v>
      </c>
      <c r="BN145" s="2"/>
      <c r="BO145" s="2"/>
      <c r="BP145" s="15"/>
      <c r="BQ145" s="15"/>
      <c r="BR145" s="15"/>
      <c r="BS145" s="15"/>
      <c r="BT145" s="15"/>
      <c r="BU145" s="58">
        <f t="shared" si="73"/>
        <v>1363793.137200943</v>
      </c>
      <c r="BV145" s="58">
        <f t="shared" si="74"/>
        <v>1363793.137200943</v>
      </c>
      <c r="BW145" s="58">
        <f t="shared" si="75"/>
        <v>2727586.2744018859</v>
      </c>
      <c r="BX145" s="58">
        <f t="shared" si="85"/>
        <v>1363793.137200943</v>
      </c>
      <c r="BY145" s="58">
        <f t="shared" si="79"/>
        <v>1363793.137200943</v>
      </c>
      <c r="BZ145" s="58">
        <f t="shared" si="76"/>
        <v>1363793.137200943</v>
      </c>
      <c r="CA145" s="58">
        <f t="shared" si="80"/>
        <v>1363793.137200943</v>
      </c>
      <c r="CB145" s="58">
        <f t="shared" si="86"/>
        <v>5455172.5488037718</v>
      </c>
      <c r="CC145" s="58">
        <f t="shared" si="87"/>
        <v>1363793.137200943</v>
      </c>
      <c r="CD145" s="58">
        <f t="shared" si="83"/>
        <v>1363793.137200943</v>
      </c>
      <c r="CE145" s="58">
        <f t="shared" si="83"/>
        <v>1363793.137200943</v>
      </c>
      <c r="CF145" s="58">
        <f t="shared" si="83"/>
        <v>1363793.137200943</v>
      </c>
      <c r="CG145" s="58">
        <f t="shared" si="88"/>
        <v>5455172.5488037718</v>
      </c>
      <c r="CH145" s="58">
        <f t="shared" si="89"/>
        <v>1363793.137200943</v>
      </c>
      <c r="CI145" s="58">
        <f t="shared" si="90"/>
        <v>1363793.137200943</v>
      </c>
      <c r="CJ145" s="58">
        <f t="shared" si="90"/>
        <v>1363793.137200943</v>
      </c>
      <c r="CK145" s="58">
        <f t="shared" si="90"/>
        <v>1363793.137200943</v>
      </c>
      <c r="CL145" s="58">
        <f t="shared" si="91"/>
        <v>5455172.5488037718</v>
      </c>
      <c r="CM145" s="2"/>
      <c r="CN145" s="59">
        <f t="shared" ref="CN145:CN151" si="98">BK145/$CN$3</f>
        <v>1.3969126357347701E-3</v>
      </c>
      <c r="CO145" s="64">
        <f t="shared" ref="CO145:CO151" si="99">CN145*$CO$4</f>
        <v>29335165.350430172</v>
      </c>
      <c r="CP145" s="78">
        <f t="shared" si="95"/>
        <v>43641380.390430175</v>
      </c>
    </row>
    <row r="146" spans="1:94" s="78" customFormat="1" hidden="1" x14ac:dyDescent="0.3">
      <c r="A146" s="29">
        <v>141</v>
      </c>
      <c r="B146" s="30" t="s">
        <v>21</v>
      </c>
      <c r="C146" s="30"/>
      <c r="D146" s="30" t="s">
        <v>467</v>
      </c>
      <c r="E146" s="30" t="s">
        <v>448</v>
      </c>
      <c r="F146" s="30" t="s">
        <v>449</v>
      </c>
      <c r="G146" s="62" t="s">
        <v>450</v>
      </c>
      <c r="H146" s="62" t="s">
        <v>118</v>
      </c>
      <c r="I146" s="30" t="s">
        <v>119</v>
      </c>
      <c r="J146" s="30" t="s">
        <v>120</v>
      </c>
      <c r="K146" s="30" t="s">
        <v>451</v>
      </c>
      <c r="L146" s="30" t="s">
        <v>122</v>
      </c>
      <c r="M146" s="73">
        <v>2100343</v>
      </c>
      <c r="N146" s="48" t="s">
        <v>138</v>
      </c>
      <c r="O146" s="30" t="s">
        <v>525</v>
      </c>
      <c r="P146" s="30" t="s">
        <v>231</v>
      </c>
      <c r="Q146" s="30" t="s">
        <v>232</v>
      </c>
      <c r="R146" s="30" t="s">
        <v>142</v>
      </c>
      <c r="S146" s="89">
        <v>310627497</v>
      </c>
      <c r="T146" s="30"/>
      <c r="U146" s="48"/>
      <c r="V146" s="62" t="s">
        <v>145</v>
      </c>
      <c r="W146" s="48" t="s">
        <v>146</v>
      </c>
      <c r="X146" s="48" t="s">
        <v>127</v>
      </c>
      <c r="Y146" s="48" t="s">
        <v>457</v>
      </c>
      <c r="Z146" s="48" t="s">
        <v>457</v>
      </c>
      <c r="AA146" s="20" t="s">
        <v>148</v>
      </c>
      <c r="AB146" s="48" t="s">
        <v>149</v>
      </c>
      <c r="AC146" s="48" t="s">
        <v>150</v>
      </c>
      <c r="AD146" s="48"/>
      <c r="AE146" s="48"/>
      <c r="AF146" s="48" t="s">
        <v>151</v>
      </c>
      <c r="AG146" s="48" t="s">
        <v>152</v>
      </c>
      <c r="AH146" s="48" t="s">
        <v>153</v>
      </c>
      <c r="AI146" s="48"/>
      <c r="AJ146" s="50"/>
      <c r="AK146" s="50"/>
      <c r="AL146" s="51"/>
      <c r="AM146" s="52"/>
      <c r="AN146" s="48"/>
      <c r="AO146" s="30"/>
      <c r="AP146" s="30"/>
      <c r="AQ146" s="30"/>
      <c r="AR146" s="30"/>
      <c r="AS146" s="30"/>
      <c r="AT146" s="30"/>
      <c r="AU146" s="53">
        <v>715310752</v>
      </c>
      <c r="AV146" s="47"/>
      <c r="AW146" s="47"/>
      <c r="AX146" s="47"/>
      <c r="AY146" s="47"/>
      <c r="AZ146" s="47"/>
      <c r="BA146" s="74">
        <v>1000</v>
      </c>
      <c r="BB146" s="75">
        <v>1000</v>
      </c>
      <c r="BC146" s="52"/>
      <c r="BD146" s="52"/>
      <c r="BE146" s="52"/>
      <c r="BF146" s="30"/>
      <c r="BG146" s="30"/>
      <c r="BH146" s="30" t="s">
        <v>136</v>
      </c>
      <c r="BI146" s="30" t="str">
        <f t="shared" si="92"/>
        <v>Test</v>
      </c>
      <c r="BJ146" s="30" t="s">
        <v>250</v>
      </c>
      <c r="BK146" s="56">
        <f t="shared" si="93"/>
        <v>14306215.040000001</v>
      </c>
      <c r="BL146" s="57">
        <f t="shared" si="96"/>
        <v>1363793.137200943</v>
      </c>
      <c r="BM146" s="57">
        <f t="shared" si="97"/>
        <v>454597.71240031434</v>
      </c>
      <c r="BN146" s="2"/>
      <c r="BO146" s="2"/>
      <c r="BP146" s="15"/>
      <c r="BQ146" s="15"/>
      <c r="BR146" s="15"/>
      <c r="BS146" s="15"/>
      <c r="BT146" s="15"/>
      <c r="BU146" s="58">
        <f t="shared" si="73"/>
        <v>1363793.137200943</v>
      </c>
      <c r="BV146" s="58">
        <f t="shared" si="74"/>
        <v>1363793.137200943</v>
      </c>
      <c r="BW146" s="58">
        <f t="shared" si="75"/>
        <v>2727586.2744018859</v>
      </c>
      <c r="BX146" s="58">
        <f t="shared" si="85"/>
        <v>1363793.137200943</v>
      </c>
      <c r="BY146" s="58">
        <f t="shared" si="79"/>
        <v>1363793.137200943</v>
      </c>
      <c r="BZ146" s="58">
        <f t="shared" si="76"/>
        <v>1363793.137200943</v>
      </c>
      <c r="CA146" s="58">
        <f t="shared" si="80"/>
        <v>1363793.137200943</v>
      </c>
      <c r="CB146" s="58">
        <f t="shared" si="86"/>
        <v>5455172.5488037718</v>
      </c>
      <c r="CC146" s="58">
        <f t="shared" si="87"/>
        <v>1363793.137200943</v>
      </c>
      <c r="CD146" s="58">
        <f t="shared" ref="CD146:CF165" si="100">CC146</f>
        <v>1363793.137200943</v>
      </c>
      <c r="CE146" s="58">
        <f t="shared" si="100"/>
        <v>1363793.137200943</v>
      </c>
      <c r="CF146" s="58">
        <f t="shared" si="100"/>
        <v>1363793.137200943</v>
      </c>
      <c r="CG146" s="58">
        <f t="shared" si="88"/>
        <v>5455172.5488037718</v>
      </c>
      <c r="CH146" s="58">
        <f t="shared" si="89"/>
        <v>1363793.137200943</v>
      </c>
      <c r="CI146" s="58">
        <f t="shared" si="90"/>
        <v>1363793.137200943</v>
      </c>
      <c r="CJ146" s="58">
        <f t="shared" si="90"/>
        <v>1363793.137200943</v>
      </c>
      <c r="CK146" s="58">
        <f t="shared" si="90"/>
        <v>1363793.137200943</v>
      </c>
      <c r="CL146" s="58">
        <f t="shared" si="91"/>
        <v>5455172.5488037718</v>
      </c>
      <c r="CM146" s="2"/>
      <c r="CN146" s="59">
        <f t="shared" si="98"/>
        <v>1.3969126357347701E-3</v>
      </c>
      <c r="CO146" s="64">
        <f t="shared" si="99"/>
        <v>29335165.350430172</v>
      </c>
      <c r="CP146" s="78">
        <f t="shared" si="95"/>
        <v>43641380.390430175</v>
      </c>
    </row>
    <row r="147" spans="1:94" s="78" customFormat="1" hidden="1" x14ac:dyDescent="0.3">
      <c r="A147" s="29">
        <v>142</v>
      </c>
      <c r="B147" s="30" t="s">
        <v>21</v>
      </c>
      <c r="C147" s="30"/>
      <c r="D147" s="30" t="s">
        <v>467</v>
      </c>
      <c r="E147" s="30" t="s">
        <v>448</v>
      </c>
      <c r="F147" s="30" t="s">
        <v>449</v>
      </c>
      <c r="G147" s="62" t="s">
        <v>450</v>
      </c>
      <c r="H147" s="62" t="s">
        <v>118</v>
      </c>
      <c r="I147" s="30" t="s">
        <v>119</v>
      </c>
      <c r="J147" s="30" t="s">
        <v>120</v>
      </c>
      <c r="K147" s="30" t="s">
        <v>451</v>
      </c>
      <c r="L147" s="30" t="s">
        <v>122</v>
      </c>
      <c r="M147" s="73">
        <v>2100344</v>
      </c>
      <c r="N147" s="48" t="s">
        <v>138</v>
      </c>
      <c r="O147" s="30" t="s">
        <v>526</v>
      </c>
      <c r="P147" s="30" t="s">
        <v>231</v>
      </c>
      <c r="Q147" s="30" t="s">
        <v>232</v>
      </c>
      <c r="R147" s="30" t="s">
        <v>142</v>
      </c>
      <c r="S147" s="89">
        <v>310627498</v>
      </c>
      <c r="T147" s="30"/>
      <c r="U147" s="48"/>
      <c r="V147" s="62" t="s">
        <v>145</v>
      </c>
      <c r="W147" s="48" t="s">
        <v>146</v>
      </c>
      <c r="X147" s="48" t="s">
        <v>127</v>
      </c>
      <c r="Y147" s="48" t="s">
        <v>457</v>
      </c>
      <c r="Z147" s="48" t="s">
        <v>457</v>
      </c>
      <c r="AA147" s="20" t="s">
        <v>148</v>
      </c>
      <c r="AB147" s="48" t="s">
        <v>149</v>
      </c>
      <c r="AC147" s="48" t="s">
        <v>150</v>
      </c>
      <c r="AD147" s="48"/>
      <c r="AE147" s="48"/>
      <c r="AF147" s="48" t="s">
        <v>151</v>
      </c>
      <c r="AG147" s="48" t="s">
        <v>152</v>
      </c>
      <c r="AH147" s="48" t="s">
        <v>153</v>
      </c>
      <c r="AI147" s="48"/>
      <c r="AJ147" s="50"/>
      <c r="AK147" s="50"/>
      <c r="AL147" s="51"/>
      <c r="AM147" s="52"/>
      <c r="AN147" s="48"/>
      <c r="AO147" s="30"/>
      <c r="AP147" s="30"/>
      <c r="AQ147" s="30"/>
      <c r="AR147" s="30"/>
      <c r="AS147" s="30"/>
      <c r="AT147" s="30"/>
      <c r="AU147" s="53">
        <v>715310751</v>
      </c>
      <c r="AV147" s="47"/>
      <c r="AW147" s="47"/>
      <c r="AX147" s="47"/>
      <c r="AY147" s="47"/>
      <c r="AZ147" s="47"/>
      <c r="BA147" s="74">
        <v>1000</v>
      </c>
      <c r="BB147" s="75">
        <v>1000</v>
      </c>
      <c r="BC147" s="52"/>
      <c r="BD147" s="52"/>
      <c r="BE147" s="52"/>
      <c r="BF147" s="30"/>
      <c r="BG147" s="30"/>
      <c r="BH147" s="30" t="s">
        <v>136</v>
      </c>
      <c r="BI147" s="30" t="str">
        <f t="shared" si="92"/>
        <v>Test</v>
      </c>
      <c r="BJ147" s="30" t="s">
        <v>250</v>
      </c>
      <c r="BK147" s="56">
        <f t="shared" si="93"/>
        <v>14306215.02</v>
      </c>
      <c r="BL147" s="57">
        <f t="shared" si="96"/>
        <v>1363793.1352943685</v>
      </c>
      <c r="BM147" s="57">
        <f t="shared" si="97"/>
        <v>454597.71176478948</v>
      </c>
      <c r="BN147" s="2"/>
      <c r="BO147" s="2"/>
      <c r="BP147" s="15"/>
      <c r="BQ147" s="15"/>
      <c r="BR147" s="15"/>
      <c r="BS147" s="15"/>
      <c r="BT147" s="15"/>
      <c r="BU147" s="58">
        <f t="shared" si="73"/>
        <v>1363793.1352943685</v>
      </c>
      <c r="BV147" s="58">
        <f t="shared" si="74"/>
        <v>1363793.1352943685</v>
      </c>
      <c r="BW147" s="58">
        <f t="shared" si="75"/>
        <v>2727586.270588737</v>
      </c>
      <c r="BX147" s="58">
        <f t="shared" si="85"/>
        <v>1363793.1352943685</v>
      </c>
      <c r="BY147" s="58">
        <f t="shared" si="79"/>
        <v>1363793.1352943685</v>
      </c>
      <c r="BZ147" s="58">
        <f t="shared" si="76"/>
        <v>1363793.1352943685</v>
      </c>
      <c r="CA147" s="58">
        <f t="shared" si="80"/>
        <v>1363793.1352943685</v>
      </c>
      <c r="CB147" s="58">
        <f t="shared" si="86"/>
        <v>5455172.541177474</v>
      </c>
      <c r="CC147" s="58">
        <f t="shared" si="87"/>
        <v>1363793.1352943685</v>
      </c>
      <c r="CD147" s="58">
        <f t="shared" si="100"/>
        <v>1363793.1352943685</v>
      </c>
      <c r="CE147" s="58">
        <f t="shared" si="100"/>
        <v>1363793.1352943685</v>
      </c>
      <c r="CF147" s="58">
        <f t="shared" si="100"/>
        <v>1363793.1352943685</v>
      </c>
      <c r="CG147" s="58">
        <f t="shared" si="88"/>
        <v>5455172.541177474</v>
      </c>
      <c r="CH147" s="58">
        <f t="shared" si="89"/>
        <v>1363793.1352943685</v>
      </c>
      <c r="CI147" s="58">
        <f t="shared" si="90"/>
        <v>1363793.1352943685</v>
      </c>
      <c r="CJ147" s="58">
        <f t="shared" si="90"/>
        <v>1363793.1352943685</v>
      </c>
      <c r="CK147" s="58">
        <f t="shared" si="90"/>
        <v>1363793.1352943685</v>
      </c>
      <c r="CL147" s="58">
        <f t="shared" si="91"/>
        <v>5455172.541177474</v>
      </c>
      <c r="CM147" s="2"/>
      <c r="CN147" s="59">
        <f t="shared" si="98"/>
        <v>1.3969126337818947E-3</v>
      </c>
      <c r="CO147" s="64">
        <f t="shared" si="99"/>
        <v>29335165.309419788</v>
      </c>
      <c r="CP147" s="78">
        <f t="shared" si="95"/>
        <v>43641380.329419792</v>
      </c>
    </row>
    <row r="148" spans="1:94" s="78" customFormat="1" hidden="1" x14ac:dyDescent="0.3">
      <c r="A148" s="29">
        <v>143</v>
      </c>
      <c r="B148" s="30" t="s">
        <v>21</v>
      </c>
      <c r="C148" s="30"/>
      <c r="D148" s="30" t="s">
        <v>467</v>
      </c>
      <c r="E148" s="30" t="s">
        <v>448</v>
      </c>
      <c r="F148" s="30" t="s">
        <v>449</v>
      </c>
      <c r="G148" s="62" t="s">
        <v>450</v>
      </c>
      <c r="H148" s="62" t="s">
        <v>118</v>
      </c>
      <c r="I148" s="30" t="s">
        <v>119</v>
      </c>
      <c r="J148" s="30" t="s">
        <v>120</v>
      </c>
      <c r="K148" s="30" t="s">
        <v>451</v>
      </c>
      <c r="L148" s="30" t="s">
        <v>122</v>
      </c>
      <c r="M148" s="73">
        <v>2100348</v>
      </c>
      <c r="N148" s="48" t="s">
        <v>138</v>
      </c>
      <c r="O148" s="30" t="s">
        <v>527</v>
      </c>
      <c r="P148" s="30" t="s">
        <v>231</v>
      </c>
      <c r="Q148" s="30" t="s">
        <v>232</v>
      </c>
      <c r="R148" s="30" t="s">
        <v>142</v>
      </c>
      <c r="S148" s="89">
        <v>310627499</v>
      </c>
      <c r="T148" s="30"/>
      <c r="U148" s="48"/>
      <c r="V148" s="62" t="s">
        <v>145</v>
      </c>
      <c r="W148" s="48" t="s">
        <v>146</v>
      </c>
      <c r="X148" s="48" t="s">
        <v>127</v>
      </c>
      <c r="Y148" s="48" t="s">
        <v>457</v>
      </c>
      <c r="Z148" s="48" t="s">
        <v>457</v>
      </c>
      <c r="AA148" s="20" t="s">
        <v>148</v>
      </c>
      <c r="AB148" s="48" t="s">
        <v>149</v>
      </c>
      <c r="AC148" s="48" t="s">
        <v>150</v>
      </c>
      <c r="AD148" s="48"/>
      <c r="AE148" s="48"/>
      <c r="AF148" s="48" t="s">
        <v>151</v>
      </c>
      <c r="AG148" s="48" t="s">
        <v>152</v>
      </c>
      <c r="AH148" s="48" t="s">
        <v>153</v>
      </c>
      <c r="AI148" s="48"/>
      <c r="AJ148" s="50"/>
      <c r="AK148" s="50"/>
      <c r="AL148" s="51"/>
      <c r="AM148" s="52"/>
      <c r="AN148" s="48"/>
      <c r="AO148" s="30"/>
      <c r="AP148" s="30"/>
      <c r="AQ148" s="30"/>
      <c r="AR148" s="30"/>
      <c r="AS148" s="30"/>
      <c r="AT148" s="30"/>
      <c r="AU148" s="53">
        <v>713898270</v>
      </c>
      <c r="AV148" s="47"/>
      <c r="AW148" s="47"/>
      <c r="AX148" s="47"/>
      <c r="AY148" s="47"/>
      <c r="AZ148" s="47"/>
      <c r="BA148" s="74">
        <v>1000</v>
      </c>
      <c r="BB148" s="75">
        <v>1000</v>
      </c>
      <c r="BC148" s="52"/>
      <c r="BD148" s="52"/>
      <c r="BE148" s="52"/>
      <c r="BF148" s="30"/>
      <c r="BG148" s="30"/>
      <c r="BH148" s="30" t="s">
        <v>136</v>
      </c>
      <c r="BI148" s="30" t="str">
        <f t="shared" si="92"/>
        <v>Test</v>
      </c>
      <c r="BJ148" s="30" t="s">
        <v>250</v>
      </c>
      <c r="BK148" s="56">
        <f t="shared" si="93"/>
        <v>14277965.4</v>
      </c>
      <c r="BL148" s="57">
        <f t="shared" si="96"/>
        <v>1361100.1352397199</v>
      </c>
      <c r="BM148" s="57">
        <f t="shared" si="97"/>
        <v>453700.04507990665</v>
      </c>
      <c r="BN148" s="2"/>
      <c r="BO148" s="2"/>
      <c r="BP148" s="15"/>
      <c r="BQ148" s="15"/>
      <c r="BR148" s="15"/>
      <c r="BS148" s="15"/>
      <c r="BT148" s="15"/>
      <c r="BU148" s="58">
        <f t="shared" si="73"/>
        <v>1361100.1352397199</v>
      </c>
      <c r="BV148" s="58">
        <f t="shared" si="74"/>
        <v>1361100.1352397199</v>
      </c>
      <c r="BW148" s="58">
        <f t="shared" si="75"/>
        <v>2722200.2704794398</v>
      </c>
      <c r="BX148" s="58">
        <f t="shared" si="85"/>
        <v>1361100.1352397199</v>
      </c>
      <c r="BY148" s="58">
        <f t="shared" si="79"/>
        <v>1361100.1352397199</v>
      </c>
      <c r="BZ148" s="58">
        <f t="shared" si="76"/>
        <v>1361100.1352397199</v>
      </c>
      <c r="CA148" s="58">
        <f t="shared" si="80"/>
        <v>1361100.1352397199</v>
      </c>
      <c r="CB148" s="58">
        <f t="shared" si="86"/>
        <v>5444400.5409588795</v>
      </c>
      <c r="CC148" s="58">
        <f t="shared" si="87"/>
        <v>1361100.1352397199</v>
      </c>
      <c r="CD148" s="58">
        <f t="shared" si="100"/>
        <v>1361100.1352397199</v>
      </c>
      <c r="CE148" s="58">
        <f t="shared" si="100"/>
        <v>1361100.1352397199</v>
      </c>
      <c r="CF148" s="58">
        <f t="shared" si="100"/>
        <v>1361100.1352397199</v>
      </c>
      <c r="CG148" s="58">
        <f t="shared" si="88"/>
        <v>5444400.5409588795</v>
      </c>
      <c r="CH148" s="58">
        <f t="shared" si="89"/>
        <v>1361100.1352397199</v>
      </c>
      <c r="CI148" s="58">
        <f t="shared" si="90"/>
        <v>1361100.1352397199</v>
      </c>
      <c r="CJ148" s="58">
        <f t="shared" si="90"/>
        <v>1361100.1352397199</v>
      </c>
      <c r="CK148" s="58">
        <f t="shared" si="90"/>
        <v>1361100.1352397199</v>
      </c>
      <c r="CL148" s="58">
        <f t="shared" si="91"/>
        <v>5444400.5409588795</v>
      </c>
      <c r="CM148" s="2"/>
      <c r="CN148" s="59">
        <f t="shared" si="98"/>
        <v>1.3941542346510019E-3</v>
      </c>
      <c r="CO148" s="64">
        <f t="shared" si="99"/>
        <v>29277238.927671038</v>
      </c>
      <c r="CP148" s="78">
        <f t="shared" si="95"/>
        <v>43555204.327671036</v>
      </c>
    </row>
    <row r="149" spans="1:94" s="78" customFormat="1" hidden="1" x14ac:dyDescent="0.3">
      <c r="A149" s="29">
        <v>144</v>
      </c>
      <c r="B149" s="30" t="s">
        <v>21</v>
      </c>
      <c r="C149" s="30"/>
      <c r="D149" s="30" t="s">
        <v>467</v>
      </c>
      <c r="E149" s="30" t="s">
        <v>448</v>
      </c>
      <c r="F149" s="30" t="s">
        <v>449</v>
      </c>
      <c r="G149" s="62" t="s">
        <v>450</v>
      </c>
      <c r="H149" s="62" t="s">
        <v>118</v>
      </c>
      <c r="I149" s="30" t="s">
        <v>119</v>
      </c>
      <c r="J149" s="30" t="s">
        <v>120</v>
      </c>
      <c r="K149" s="30" t="s">
        <v>451</v>
      </c>
      <c r="L149" s="30" t="s">
        <v>122</v>
      </c>
      <c r="M149" s="73">
        <v>2100362</v>
      </c>
      <c r="N149" s="48" t="s">
        <v>138</v>
      </c>
      <c r="O149" s="30" t="s">
        <v>528</v>
      </c>
      <c r="P149" s="30" t="s">
        <v>231</v>
      </c>
      <c r="Q149" s="30" t="s">
        <v>232</v>
      </c>
      <c r="R149" s="30" t="s">
        <v>142</v>
      </c>
      <c r="S149" s="89">
        <v>310627500</v>
      </c>
      <c r="T149" s="30"/>
      <c r="U149" s="48"/>
      <c r="V149" s="62" t="s">
        <v>145</v>
      </c>
      <c r="W149" s="48" t="s">
        <v>146</v>
      </c>
      <c r="X149" s="48" t="s">
        <v>127</v>
      </c>
      <c r="Y149" s="48" t="s">
        <v>457</v>
      </c>
      <c r="Z149" s="48" t="s">
        <v>457</v>
      </c>
      <c r="AA149" s="20" t="s">
        <v>148</v>
      </c>
      <c r="AB149" s="48" t="s">
        <v>149</v>
      </c>
      <c r="AC149" s="48" t="s">
        <v>150</v>
      </c>
      <c r="AD149" s="48"/>
      <c r="AE149" s="48"/>
      <c r="AF149" s="48" t="s">
        <v>151</v>
      </c>
      <c r="AG149" s="48" t="s">
        <v>152</v>
      </c>
      <c r="AH149" s="48" t="s">
        <v>153</v>
      </c>
      <c r="AI149" s="48"/>
      <c r="AJ149" s="50"/>
      <c r="AK149" s="50"/>
      <c r="AL149" s="51"/>
      <c r="AM149" s="52"/>
      <c r="AN149" s="48"/>
      <c r="AO149" s="30"/>
      <c r="AP149" s="30"/>
      <c r="AQ149" s="30"/>
      <c r="AR149" s="30"/>
      <c r="AS149" s="30"/>
      <c r="AT149" s="30"/>
      <c r="AU149" s="53">
        <v>713898270</v>
      </c>
      <c r="AV149" s="47"/>
      <c r="AW149" s="47"/>
      <c r="AX149" s="47"/>
      <c r="AY149" s="47"/>
      <c r="AZ149" s="47"/>
      <c r="BA149" s="74">
        <v>1000</v>
      </c>
      <c r="BB149" s="75">
        <v>1000</v>
      </c>
      <c r="BC149" s="52"/>
      <c r="BD149" s="52"/>
      <c r="BE149" s="52"/>
      <c r="BF149" s="30"/>
      <c r="BG149" s="30"/>
      <c r="BH149" s="30" t="s">
        <v>136</v>
      </c>
      <c r="BI149" s="30" t="str">
        <f t="shared" si="92"/>
        <v>Test</v>
      </c>
      <c r="BJ149" s="30" t="s">
        <v>250</v>
      </c>
      <c r="BK149" s="56">
        <f t="shared" si="93"/>
        <v>14277965.4</v>
      </c>
      <c r="BL149" s="57">
        <f t="shared" si="96"/>
        <v>1361100.1352397199</v>
      </c>
      <c r="BM149" s="57">
        <f t="shared" si="97"/>
        <v>453700.04507990665</v>
      </c>
      <c r="BN149" s="2"/>
      <c r="BO149" s="2"/>
      <c r="BP149" s="15"/>
      <c r="BQ149" s="15"/>
      <c r="BR149" s="15"/>
      <c r="BS149" s="15"/>
      <c r="BT149" s="15"/>
      <c r="BU149" s="58">
        <f t="shared" si="73"/>
        <v>1361100.1352397199</v>
      </c>
      <c r="BV149" s="58">
        <f t="shared" si="74"/>
        <v>1361100.1352397199</v>
      </c>
      <c r="BW149" s="58">
        <f t="shared" si="75"/>
        <v>2722200.2704794398</v>
      </c>
      <c r="BX149" s="58">
        <f t="shared" si="85"/>
        <v>1361100.1352397199</v>
      </c>
      <c r="BY149" s="58">
        <f t="shared" si="79"/>
        <v>1361100.1352397199</v>
      </c>
      <c r="BZ149" s="58">
        <f t="shared" si="76"/>
        <v>1361100.1352397199</v>
      </c>
      <c r="CA149" s="58">
        <f t="shared" si="80"/>
        <v>1361100.1352397199</v>
      </c>
      <c r="CB149" s="58">
        <f t="shared" si="86"/>
        <v>5444400.5409588795</v>
      </c>
      <c r="CC149" s="58">
        <f t="shared" si="87"/>
        <v>1361100.1352397199</v>
      </c>
      <c r="CD149" s="58">
        <f t="shared" si="100"/>
        <v>1361100.1352397199</v>
      </c>
      <c r="CE149" s="58">
        <f t="shared" si="100"/>
        <v>1361100.1352397199</v>
      </c>
      <c r="CF149" s="58">
        <f t="shared" si="100"/>
        <v>1361100.1352397199</v>
      </c>
      <c r="CG149" s="58">
        <f t="shared" si="88"/>
        <v>5444400.5409588795</v>
      </c>
      <c r="CH149" s="58">
        <f t="shared" si="89"/>
        <v>1361100.1352397199</v>
      </c>
      <c r="CI149" s="58">
        <f t="shared" si="90"/>
        <v>1361100.1352397199</v>
      </c>
      <c r="CJ149" s="58">
        <f t="shared" si="90"/>
        <v>1361100.1352397199</v>
      </c>
      <c r="CK149" s="58">
        <f t="shared" si="90"/>
        <v>1361100.1352397199</v>
      </c>
      <c r="CL149" s="58">
        <f t="shared" si="91"/>
        <v>5444400.5409588795</v>
      </c>
      <c r="CM149" s="2"/>
      <c r="CN149" s="59">
        <f t="shared" si="98"/>
        <v>1.3941542346510019E-3</v>
      </c>
      <c r="CO149" s="64">
        <f t="shared" si="99"/>
        <v>29277238.927671038</v>
      </c>
      <c r="CP149" s="78">
        <f t="shared" si="95"/>
        <v>43555204.327671036</v>
      </c>
    </row>
    <row r="150" spans="1:94" s="78" customFormat="1" hidden="1" x14ac:dyDescent="0.3">
      <c r="A150" s="29">
        <v>145</v>
      </c>
      <c r="B150" s="30" t="s">
        <v>21</v>
      </c>
      <c r="C150" s="30"/>
      <c r="D150" s="30" t="s">
        <v>467</v>
      </c>
      <c r="E150" s="30" t="s">
        <v>448</v>
      </c>
      <c r="F150" s="30" t="s">
        <v>449</v>
      </c>
      <c r="G150" s="62" t="s">
        <v>450</v>
      </c>
      <c r="H150" s="62" t="s">
        <v>118</v>
      </c>
      <c r="I150" s="30" t="s">
        <v>119</v>
      </c>
      <c r="J150" s="30" t="s">
        <v>120</v>
      </c>
      <c r="K150" s="30" t="s">
        <v>451</v>
      </c>
      <c r="L150" s="30" t="s">
        <v>122</v>
      </c>
      <c r="M150" s="73">
        <v>2100363</v>
      </c>
      <c r="N150" s="48" t="s">
        <v>138</v>
      </c>
      <c r="O150" s="30" t="s">
        <v>529</v>
      </c>
      <c r="P150" s="30" t="s">
        <v>231</v>
      </c>
      <c r="Q150" s="30" t="s">
        <v>232</v>
      </c>
      <c r="R150" s="30" t="s">
        <v>142</v>
      </c>
      <c r="S150" s="89">
        <v>310628903</v>
      </c>
      <c r="T150" s="30"/>
      <c r="U150" s="48"/>
      <c r="V150" s="62" t="s">
        <v>145</v>
      </c>
      <c r="W150" s="48" t="s">
        <v>146</v>
      </c>
      <c r="X150" s="48" t="s">
        <v>127</v>
      </c>
      <c r="Y150" s="48" t="s">
        <v>457</v>
      </c>
      <c r="Z150" s="48" t="s">
        <v>457</v>
      </c>
      <c r="AA150" s="20" t="s">
        <v>148</v>
      </c>
      <c r="AB150" s="48" t="s">
        <v>149</v>
      </c>
      <c r="AC150" s="48" t="s">
        <v>150</v>
      </c>
      <c r="AD150" s="48"/>
      <c r="AE150" s="48"/>
      <c r="AF150" s="48" t="s">
        <v>151</v>
      </c>
      <c r="AG150" s="48" t="s">
        <v>152</v>
      </c>
      <c r="AH150" s="48" t="s">
        <v>153</v>
      </c>
      <c r="AI150" s="48"/>
      <c r="AJ150" s="50"/>
      <c r="AK150" s="50"/>
      <c r="AL150" s="51"/>
      <c r="AM150" s="52"/>
      <c r="AN150" s="48"/>
      <c r="AO150" s="30"/>
      <c r="AP150" s="30"/>
      <c r="AQ150" s="30"/>
      <c r="AR150" s="30"/>
      <c r="AS150" s="30"/>
      <c r="AT150" s="30"/>
      <c r="AU150" s="53">
        <v>713898270</v>
      </c>
      <c r="AV150" s="47"/>
      <c r="AW150" s="47"/>
      <c r="AX150" s="47"/>
      <c r="AY150" s="47"/>
      <c r="AZ150" s="47"/>
      <c r="BA150" s="74">
        <v>1000</v>
      </c>
      <c r="BB150" s="75">
        <v>1000</v>
      </c>
      <c r="BC150" s="52"/>
      <c r="BD150" s="52"/>
      <c r="BE150" s="52"/>
      <c r="BF150" s="30"/>
      <c r="BG150" s="30"/>
      <c r="BH150" s="30" t="s">
        <v>136</v>
      </c>
      <c r="BI150" s="30" t="str">
        <f t="shared" si="92"/>
        <v>Test</v>
      </c>
      <c r="BJ150" s="30" t="s">
        <v>250</v>
      </c>
      <c r="BK150" s="56">
        <f t="shared" si="93"/>
        <v>14277965.4</v>
      </c>
      <c r="BL150" s="57">
        <f t="shared" si="96"/>
        <v>1361100.1352397199</v>
      </c>
      <c r="BM150" s="57">
        <f t="shared" si="97"/>
        <v>453700.04507990665</v>
      </c>
      <c r="BN150" s="2"/>
      <c r="BO150" s="2"/>
      <c r="BP150" s="15"/>
      <c r="BQ150" s="15"/>
      <c r="BR150" s="15"/>
      <c r="BS150" s="15"/>
      <c r="BT150" s="15"/>
      <c r="BU150" s="58">
        <f t="shared" si="73"/>
        <v>1361100.1352397199</v>
      </c>
      <c r="BV150" s="58">
        <f t="shared" si="74"/>
        <v>1361100.1352397199</v>
      </c>
      <c r="BW150" s="58">
        <f t="shared" si="75"/>
        <v>2722200.2704794398</v>
      </c>
      <c r="BX150" s="58">
        <f t="shared" si="85"/>
        <v>1361100.1352397199</v>
      </c>
      <c r="BY150" s="58">
        <f t="shared" si="79"/>
        <v>1361100.1352397199</v>
      </c>
      <c r="BZ150" s="58">
        <f t="shared" si="76"/>
        <v>1361100.1352397199</v>
      </c>
      <c r="CA150" s="58">
        <f t="shared" si="80"/>
        <v>1361100.1352397199</v>
      </c>
      <c r="CB150" s="58">
        <f t="shared" si="86"/>
        <v>5444400.5409588795</v>
      </c>
      <c r="CC150" s="58">
        <f t="shared" si="87"/>
        <v>1361100.1352397199</v>
      </c>
      <c r="CD150" s="58">
        <f t="shared" si="100"/>
        <v>1361100.1352397199</v>
      </c>
      <c r="CE150" s="58">
        <f t="shared" si="100"/>
        <v>1361100.1352397199</v>
      </c>
      <c r="CF150" s="58">
        <f t="shared" si="100"/>
        <v>1361100.1352397199</v>
      </c>
      <c r="CG150" s="58">
        <f t="shared" si="88"/>
        <v>5444400.5409588795</v>
      </c>
      <c r="CH150" s="58">
        <f t="shared" si="89"/>
        <v>1361100.1352397199</v>
      </c>
      <c r="CI150" s="58">
        <f t="shared" si="90"/>
        <v>1361100.1352397199</v>
      </c>
      <c r="CJ150" s="58">
        <f t="shared" si="90"/>
        <v>1361100.1352397199</v>
      </c>
      <c r="CK150" s="58">
        <f t="shared" si="90"/>
        <v>1361100.1352397199</v>
      </c>
      <c r="CL150" s="58">
        <f t="shared" si="91"/>
        <v>5444400.5409588795</v>
      </c>
      <c r="CM150" s="2"/>
      <c r="CN150" s="59">
        <f t="shared" si="98"/>
        <v>1.3941542346510019E-3</v>
      </c>
      <c r="CO150" s="64">
        <f t="shared" si="99"/>
        <v>29277238.927671038</v>
      </c>
      <c r="CP150" s="78">
        <f t="shared" si="95"/>
        <v>43555204.327671036</v>
      </c>
    </row>
    <row r="151" spans="1:94" s="78" customFormat="1" hidden="1" x14ac:dyDescent="0.3">
      <c r="A151" s="29">
        <v>146</v>
      </c>
      <c r="B151" s="30" t="s">
        <v>21</v>
      </c>
      <c r="C151" s="30"/>
      <c r="D151" s="30" t="s">
        <v>467</v>
      </c>
      <c r="E151" s="30" t="s">
        <v>448</v>
      </c>
      <c r="F151" s="30" t="s">
        <v>449</v>
      </c>
      <c r="G151" s="62" t="s">
        <v>450</v>
      </c>
      <c r="H151" s="62" t="s">
        <v>118</v>
      </c>
      <c r="I151" s="30" t="s">
        <v>119</v>
      </c>
      <c r="J151" s="30" t="s">
        <v>120</v>
      </c>
      <c r="K151" s="30" t="s">
        <v>451</v>
      </c>
      <c r="L151" s="30" t="s">
        <v>122</v>
      </c>
      <c r="M151" s="73">
        <v>2100364</v>
      </c>
      <c r="N151" s="48" t="s">
        <v>138</v>
      </c>
      <c r="O151" s="30" t="s">
        <v>530</v>
      </c>
      <c r="P151" s="30" t="s">
        <v>231</v>
      </c>
      <c r="Q151" s="30" t="s">
        <v>232</v>
      </c>
      <c r="R151" s="30" t="s">
        <v>142</v>
      </c>
      <c r="S151" s="89">
        <v>310626542</v>
      </c>
      <c r="T151" s="30"/>
      <c r="U151" s="48"/>
      <c r="V151" s="62" t="s">
        <v>145</v>
      </c>
      <c r="W151" s="48" t="s">
        <v>146</v>
      </c>
      <c r="X151" s="48" t="s">
        <v>127</v>
      </c>
      <c r="Y151" s="48" t="s">
        <v>457</v>
      </c>
      <c r="Z151" s="48" t="s">
        <v>457</v>
      </c>
      <c r="AA151" s="20" t="s">
        <v>148</v>
      </c>
      <c r="AB151" s="48" t="s">
        <v>149</v>
      </c>
      <c r="AC151" s="48" t="s">
        <v>150</v>
      </c>
      <c r="AD151" s="48"/>
      <c r="AE151" s="48"/>
      <c r="AF151" s="48" t="s">
        <v>151</v>
      </c>
      <c r="AG151" s="48" t="s">
        <v>152</v>
      </c>
      <c r="AH151" s="48" t="s">
        <v>153</v>
      </c>
      <c r="AI151" s="48"/>
      <c r="AJ151" s="50"/>
      <c r="AK151" s="50"/>
      <c r="AL151" s="51"/>
      <c r="AM151" s="52"/>
      <c r="AN151" s="48"/>
      <c r="AO151" s="30"/>
      <c r="AP151" s="30"/>
      <c r="AQ151" s="30"/>
      <c r="AR151" s="30"/>
      <c r="AS151" s="30"/>
      <c r="AT151" s="30"/>
      <c r="AU151" s="53">
        <v>713898270</v>
      </c>
      <c r="AV151" s="47"/>
      <c r="AW151" s="47"/>
      <c r="AX151" s="47"/>
      <c r="AY151" s="47"/>
      <c r="AZ151" s="47"/>
      <c r="BA151" s="74">
        <v>1000</v>
      </c>
      <c r="BB151" s="75">
        <v>1000</v>
      </c>
      <c r="BC151" s="52"/>
      <c r="BD151" s="52"/>
      <c r="BE151" s="52"/>
      <c r="BF151" s="30"/>
      <c r="BG151" s="30"/>
      <c r="BH151" s="30" t="s">
        <v>136</v>
      </c>
      <c r="BI151" s="30" t="str">
        <f t="shared" si="92"/>
        <v>Test</v>
      </c>
      <c r="BJ151" s="30" t="s">
        <v>250</v>
      </c>
      <c r="BK151" s="56">
        <f t="shared" si="93"/>
        <v>14277965.4</v>
      </c>
      <c r="BL151" s="57">
        <f t="shared" si="96"/>
        <v>1361100.1352397199</v>
      </c>
      <c r="BM151" s="57">
        <f t="shared" si="97"/>
        <v>453700.04507990665</v>
      </c>
      <c r="BN151" s="2"/>
      <c r="BO151" s="2"/>
      <c r="BP151" s="15"/>
      <c r="BQ151" s="15"/>
      <c r="BR151" s="15"/>
      <c r="BS151" s="15"/>
      <c r="BT151" s="15"/>
      <c r="BU151" s="58">
        <f t="shared" si="73"/>
        <v>1361100.1352397199</v>
      </c>
      <c r="BV151" s="58">
        <f t="shared" si="74"/>
        <v>1361100.1352397199</v>
      </c>
      <c r="BW151" s="58">
        <f t="shared" si="75"/>
        <v>2722200.2704794398</v>
      </c>
      <c r="BX151" s="58">
        <f t="shared" si="85"/>
        <v>1361100.1352397199</v>
      </c>
      <c r="BY151" s="58">
        <f t="shared" si="79"/>
        <v>1361100.1352397199</v>
      </c>
      <c r="BZ151" s="58">
        <f t="shared" si="76"/>
        <v>1361100.1352397199</v>
      </c>
      <c r="CA151" s="58">
        <f t="shared" si="80"/>
        <v>1361100.1352397199</v>
      </c>
      <c r="CB151" s="58">
        <f t="shared" si="86"/>
        <v>5444400.5409588795</v>
      </c>
      <c r="CC151" s="58">
        <f t="shared" si="87"/>
        <v>1361100.1352397199</v>
      </c>
      <c r="CD151" s="58">
        <f t="shared" si="100"/>
        <v>1361100.1352397199</v>
      </c>
      <c r="CE151" s="58">
        <f t="shared" si="100"/>
        <v>1361100.1352397199</v>
      </c>
      <c r="CF151" s="58">
        <f t="shared" si="100"/>
        <v>1361100.1352397199</v>
      </c>
      <c r="CG151" s="58">
        <f t="shared" si="88"/>
        <v>5444400.5409588795</v>
      </c>
      <c r="CH151" s="58">
        <f t="shared" si="89"/>
        <v>1361100.1352397199</v>
      </c>
      <c r="CI151" s="58">
        <f t="shared" si="90"/>
        <v>1361100.1352397199</v>
      </c>
      <c r="CJ151" s="58">
        <f t="shared" si="90"/>
        <v>1361100.1352397199</v>
      </c>
      <c r="CK151" s="58">
        <f t="shared" si="90"/>
        <v>1361100.1352397199</v>
      </c>
      <c r="CL151" s="58">
        <f t="shared" si="91"/>
        <v>5444400.5409588795</v>
      </c>
      <c r="CM151" s="2"/>
      <c r="CN151" s="59">
        <f t="shared" si="98"/>
        <v>1.3941542346510019E-3</v>
      </c>
      <c r="CO151" s="64">
        <f t="shared" si="99"/>
        <v>29277238.927671038</v>
      </c>
      <c r="CP151" s="78">
        <f t="shared" si="95"/>
        <v>43555204.327671036</v>
      </c>
    </row>
    <row r="152" spans="1:94" s="78" customFormat="1" ht="16.5" hidden="1" x14ac:dyDescent="0.3">
      <c r="A152" s="2">
        <v>147</v>
      </c>
      <c r="B152" s="47" t="s">
        <v>21</v>
      </c>
      <c r="C152" s="47"/>
      <c r="D152" s="47" t="s">
        <v>447</v>
      </c>
      <c r="E152" s="30"/>
      <c r="F152" s="30" t="s">
        <v>449</v>
      </c>
      <c r="G152" s="62"/>
      <c r="H152" s="62"/>
      <c r="I152" s="30"/>
      <c r="J152" s="30"/>
      <c r="K152" s="30"/>
      <c r="L152" s="30"/>
      <c r="M152" s="73"/>
      <c r="N152" s="48"/>
      <c r="O152" s="93" t="s">
        <v>523</v>
      </c>
      <c r="P152" s="47"/>
      <c r="Q152" s="47"/>
      <c r="R152" s="30"/>
      <c r="S152" s="82"/>
      <c r="T152" s="30"/>
      <c r="U152" s="48"/>
      <c r="V152" s="62"/>
      <c r="W152" s="48"/>
      <c r="X152" s="48"/>
      <c r="Y152" s="48" t="s">
        <v>457</v>
      </c>
      <c r="Z152" s="48" t="s">
        <v>457</v>
      </c>
      <c r="AA152" s="66"/>
      <c r="AB152" s="48"/>
      <c r="AC152" s="48"/>
      <c r="AD152" s="48"/>
      <c r="AE152" s="48"/>
      <c r="AF152" s="48"/>
      <c r="AG152" s="48"/>
      <c r="AH152" s="48"/>
      <c r="AI152" s="48"/>
      <c r="AJ152" s="50"/>
      <c r="AK152" s="50"/>
      <c r="AL152" s="51"/>
      <c r="AM152" s="52"/>
      <c r="AN152" s="48"/>
      <c r="AO152" s="30"/>
      <c r="AP152" s="30"/>
      <c r="AQ152" s="30"/>
      <c r="AR152" s="30"/>
      <c r="AS152" s="30"/>
      <c r="AT152" s="30"/>
      <c r="AU152" s="53">
        <v>0</v>
      </c>
      <c r="AV152" s="47"/>
      <c r="AW152" s="47"/>
      <c r="AX152" s="47"/>
      <c r="AY152" s="47"/>
      <c r="AZ152" s="47"/>
      <c r="BA152" s="83"/>
      <c r="BB152" s="83">
        <v>0</v>
      </c>
      <c r="BC152" s="52"/>
      <c r="BD152" s="52"/>
      <c r="BE152" s="52"/>
      <c r="BF152" s="30"/>
      <c r="BG152" s="30"/>
      <c r="BH152" s="30"/>
      <c r="BI152" s="30"/>
      <c r="BJ152" s="47"/>
      <c r="BK152" s="56"/>
      <c r="BL152" s="57"/>
      <c r="BM152" s="57"/>
      <c r="BN152" s="2"/>
      <c r="BO152" s="2"/>
      <c r="BP152" s="15"/>
      <c r="BQ152" s="15"/>
      <c r="BR152" s="15"/>
      <c r="BS152" s="15"/>
      <c r="BT152" s="15"/>
      <c r="BU152" s="58"/>
      <c r="BV152" s="58"/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8"/>
      <c r="CH152" s="58"/>
      <c r="CI152" s="58"/>
      <c r="CJ152" s="58"/>
      <c r="CK152" s="58"/>
      <c r="CL152" s="58"/>
      <c r="CM152" s="2"/>
      <c r="CN152" s="2"/>
      <c r="CO152" s="77"/>
      <c r="CP152" s="78">
        <f t="shared" si="95"/>
        <v>0</v>
      </c>
    </row>
    <row r="153" spans="1:94" s="78" customFormat="1" ht="16.5" hidden="1" x14ac:dyDescent="0.3">
      <c r="A153" s="2">
        <v>148</v>
      </c>
      <c r="B153" s="47" t="s">
        <v>21</v>
      </c>
      <c r="C153" s="47"/>
      <c r="D153" s="47" t="s">
        <v>447</v>
      </c>
      <c r="E153" s="30"/>
      <c r="F153" s="30" t="s">
        <v>449</v>
      </c>
      <c r="G153" s="62"/>
      <c r="H153" s="62"/>
      <c r="I153" s="30"/>
      <c r="J153" s="30"/>
      <c r="K153" s="30"/>
      <c r="L153" s="30"/>
      <c r="M153" s="73"/>
      <c r="N153" s="48"/>
      <c r="O153" s="93" t="s">
        <v>523</v>
      </c>
      <c r="P153" s="47"/>
      <c r="Q153" s="47"/>
      <c r="R153" s="30"/>
      <c r="S153" s="82"/>
      <c r="T153" s="30"/>
      <c r="U153" s="48"/>
      <c r="V153" s="62"/>
      <c r="W153" s="48"/>
      <c r="X153" s="48"/>
      <c r="Y153" s="48" t="s">
        <v>457</v>
      </c>
      <c r="Z153" s="48" t="s">
        <v>457</v>
      </c>
      <c r="AA153" s="66"/>
      <c r="AB153" s="48"/>
      <c r="AC153" s="48"/>
      <c r="AD153" s="48"/>
      <c r="AE153" s="48"/>
      <c r="AF153" s="48"/>
      <c r="AG153" s="48"/>
      <c r="AH153" s="48"/>
      <c r="AI153" s="48"/>
      <c r="AJ153" s="50"/>
      <c r="AK153" s="50"/>
      <c r="AL153" s="51"/>
      <c r="AM153" s="52"/>
      <c r="AN153" s="48"/>
      <c r="AO153" s="30"/>
      <c r="AP153" s="30"/>
      <c r="AQ153" s="30"/>
      <c r="AR153" s="30"/>
      <c r="AS153" s="30"/>
      <c r="AT153" s="30"/>
      <c r="AU153" s="53">
        <v>0</v>
      </c>
      <c r="AV153" s="47"/>
      <c r="AW153" s="47"/>
      <c r="AX153" s="47"/>
      <c r="AY153" s="47"/>
      <c r="AZ153" s="47"/>
      <c r="BA153" s="83"/>
      <c r="BB153" s="83">
        <v>0</v>
      </c>
      <c r="BC153" s="52"/>
      <c r="BD153" s="52"/>
      <c r="BE153" s="52"/>
      <c r="BF153" s="30"/>
      <c r="BG153" s="30"/>
      <c r="BH153" s="30"/>
      <c r="BI153" s="30"/>
      <c r="BJ153" s="47"/>
      <c r="BK153" s="56"/>
      <c r="BL153" s="57"/>
      <c r="BM153" s="57"/>
      <c r="BN153" s="2"/>
      <c r="BO153" s="2"/>
      <c r="BP153" s="15"/>
      <c r="BQ153" s="15"/>
      <c r="BR153" s="15"/>
      <c r="BS153" s="15"/>
      <c r="BT153" s="15"/>
      <c r="BU153" s="58"/>
      <c r="BV153" s="58"/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8"/>
      <c r="CH153" s="58"/>
      <c r="CI153" s="58"/>
      <c r="CJ153" s="58"/>
      <c r="CK153" s="58"/>
      <c r="CL153" s="58"/>
      <c r="CM153" s="2"/>
      <c r="CN153" s="2"/>
      <c r="CO153" s="77"/>
      <c r="CP153" s="78">
        <f t="shared" si="95"/>
        <v>0</v>
      </c>
    </row>
    <row r="154" spans="1:94" s="78" customFormat="1" ht="16.5" hidden="1" x14ac:dyDescent="0.3">
      <c r="A154" s="2">
        <v>149</v>
      </c>
      <c r="B154" s="47" t="s">
        <v>21</v>
      </c>
      <c r="C154" s="47"/>
      <c r="D154" s="47" t="s">
        <v>447</v>
      </c>
      <c r="E154" s="30"/>
      <c r="F154" s="30" t="s">
        <v>449</v>
      </c>
      <c r="G154" s="62"/>
      <c r="H154" s="62"/>
      <c r="I154" s="30"/>
      <c r="J154" s="30"/>
      <c r="K154" s="30"/>
      <c r="L154" s="30"/>
      <c r="M154" s="73"/>
      <c r="N154" s="48"/>
      <c r="O154" s="93" t="s">
        <v>523</v>
      </c>
      <c r="P154" s="47"/>
      <c r="Q154" s="47"/>
      <c r="R154" s="30"/>
      <c r="S154" s="82"/>
      <c r="T154" s="30"/>
      <c r="U154" s="48"/>
      <c r="V154" s="62"/>
      <c r="W154" s="48"/>
      <c r="X154" s="48"/>
      <c r="Y154" s="48" t="s">
        <v>457</v>
      </c>
      <c r="Z154" s="48" t="s">
        <v>457</v>
      </c>
      <c r="AA154" s="66"/>
      <c r="AB154" s="48"/>
      <c r="AC154" s="48"/>
      <c r="AD154" s="48"/>
      <c r="AE154" s="48"/>
      <c r="AF154" s="48"/>
      <c r="AG154" s="48"/>
      <c r="AH154" s="48"/>
      <c r="AI154" s="48"/>
      <c r="AJ154" s="50"/>
      <c r="AK154" s="50"/>
      <c r="AL154" s="51"/>
      <c r="AM154" s="52"/>
      <c r="AN154" s="48"/>
      <c r="AO154" s="30"/>
      <c r="AP154" s="30"/>
      <c r="AQ154" s="30"/>
      <c r="AR154" s="30"/>
      <c r="AS154" s="30"/>
      <c r="AT154" s="30"/>
      <c r="AU154" s="53">
        <v>0</v>
      </c>
      <c r="AV154" s="47"/>
      <c r="AW154" s="47"/>
      <c r="AX154" s="47"/>
      <c r="AY154" s="47"/>
      <c r="AZ154" s="47"/>
      <c r="BA154" s="83"/>
      <c r="BB154" s="83">
        <v>0</v>
      </c>
      <c r="BC154" s="52"/>
      <c r="BD154" s="52"/>
      <c r="BE154" s="52"/>
      <c r="BF154" s="30"/>
      <c r="BG154" s="30"/>
      <c r="BH154" s="30"/>
      <c r="BI154" s="30"/>
      <c r="BJ154" s="47"/>
      <c r="BK154" s="56"/>
      <c r="BL154" s="57"/>
      <c r="BM154" s="57"/>
      <c r="BN154" s="2"/>
      <c r="BO154" s="2"/>
      <c r="BP154" s="15"/>
      <c r="BQ154" s="15"/>
      <c r="BR154" s="15"/>
      <c r="BS154" s="15"/>
      <c r="BT154" s="15"/>
      <c r="BU154" s="58">
        <f t="shared" si="73"/>
        <v>0</v>
      </c>
      <c r="BV154" s="58">
        <f t="shared" si="74"/>
        <v>0</v>
      </c>
      <c r="BW154" s="58">
        <f t="shared" si="75"/>
        <v>0</v>
      </c>
      <c r="BX154" s="58">
        <f t="shared" si="85"/>
        <v>0</v>
      </c>
      <c r="BY154" s="58">
        <f t="shared" si="79"/>
        <v>0</v>
      </c>
      <c r="BZ154" s="58">
        <f t="shared" si="76"/>
        <v>0</v>
      </c>
      <c r="CA154" s="58">
        <f t="shared" si="80"/>
        <v>0</v>
      </c>
      <c r="CB154" s="58">
        <f t="shared" si="86"/>
        <v>0</v>
      </c>
      <c r="CC154" s="58">
        <f t="shared" si="87"/>
        <v>0</v>
      </c>
      <c r="CD154" s="58">
        <f t="shared" si="100"/>
        <v>0</v>
      </c>
      <c r="CE154" s="58">
        <f t="shared" si="100"/>
        <v>0</v>
      </c>
      <c r="CF154" s="58">
        <f t="shared" si="100"/>
        <v>0</v>
      </c>
      <c r="CG154" s="58">
        <f t="shared" si="88"/>
        <v>0</v>
      </c>
      <c r="CH154" s="58">
        <f t="shared" si="89"/>
        <v>0</v>
      </c>
      <c r="CI154" s="58">
        <f t="shared" si="90"/>
        <v>0</v>
      </c>
      <c r="CJ154" s="58">
        <f t="shared" si="90"/>
        <v>0</v>
      </c>
      <c r="CK154" s="58">
        <f t="shared" si="90"/>
        <v>0</v>
      </c>
      <c r="CL154" s="58">
        <f t="shared" si="91"/>
        <v>0</v>
      </c>
      <c r="CM154" s="2"/>
      <c r="CN154" s="2"/>
      <c r="CO154" s="77"/>
      <c r="CP154" s="78">
        <f t="shared" si="95"/>
        <v>0</v>
      </c>
    </row>
    <row r="155" spans="1:94" s="78" customFormat="1" ht="16.5" hidden="1" x14ac:dyDescent="0.3">
      <c r="A155" s="2">
        <v>150</v>
      </c>
      <c r="B155" s="47" t="s">
        <v>21</v>
      </c>
      <c r="C155" s="47"/>
      <c r="D155" s="47" t="s">
        <v>447</v>
      </c>
      <c r="E155" s="30" t="s">
        <v>448</v>
      </c>
      <c r="F155" s="30" t="s">
        <v>449</v>
      </c>
      <c r="G155" s="62"/>
      <c r="H155" s="62" t="s">
        <v>118</v>
      </c>
      <c r="I155" s="30" t="s">
        <v>119</v>
      </c>
      <c r="J155" s="30" t="s">
        <v>120</v>
      </c>
      <c r="K155" s="30" t="s">
        <v>451</v>
      </c>
      <c r="L155" s="30" t="s">
        <v>122</v>
      </c>
      <c r="M155" s="73">
        <v>2100226</v>
      </c>
      <c r="N155" s="48" t="s">
        <v>138</v>
      </c>
      <c r="O155" s="48" t="s">
        <v>531</v>
      </c>
      <c r="P155" s="30" t="s">
        <v>226</v>
      </c>
      <c r="Q155" s="30" t="s">
        <v>164</v>
      </c>
      <c r="R155" s="30" t="s">
        <v>142</v>
      </c>
      <c r="S155" s="82" t="s">
        <v>532</v>
      </c>
      <c r="T155" s="30"/>
      <c r="U155" s="48" t="s">
        <v>533</v>
      </c>
      <c r="V155" s="62" t="s">
        <v>145</v>
      </c>
      <c r="W155" s="48" t="s">
        <v>167</v>
      </c>
      <c r="X155" s="48" t="s">
        <v>127</v>
      </c>
      <c r="Y155" s="48" t="s">
        <v>457</v>
      </c>
      <c r="Z155" s="48" t="s">
        <v>457</v>
      </c>
      <c r="AA155" s="66" t="s">
        <v>148</v>
      </c>
      <c r="AB155" s="48" t="s">
        <v>149</v>
      </c>
      <c r="AC155" s="48" t="s">
        <v>150</v>
      </c>
      <c r="AD155" s="48" t="s">
        <v>229</v>
      </c>
      <c r="AE155" s="48"/>
      <c r="AF155" s="48" t="s">
        <v>151</v>
      </c>
      <c r="AG155" s="48" t="s">
        <v>152</v>
      </c>
      <c r="AH155" s="48" t="s">
        <v>153</v>
      </c>
      <c r="AI155" s="48"/>
      <c r="AJ155" s="50">
        <v>40086</v>
      </c>
      <c r="AK155" s="50">
        <v>40086</v>
      </c>
      <c r="AL155" s="51">
        <f>($AN$1-AK155)/365</f>
        <v>-109.82465753424657</v>
      </c>
      <c r="AM155" s="52">
        <v>8</v>
      </c>
      <c r="AN155" s="48" t="s">
        <v>212</v>
      </c>
      <c r="AO155" s="48" t="s">
        <v>534</v>
      </c>
      <c r="AP155" s="30"/>
      <c r="AQ155" s="30"/>
      <c r="AR155" s="30"/>
      <c r="AS155" s="30"/>
      <c r="AT155" s="30"/>
      <c r="AU155" s="53">
        <v>450335677</v>
      </c>
      <c r="AV155" s="94"/>
      <c r="AW155" s="94"/>
      <c r="AX155" s="95">
        <v>450335677</v>
      </c>
      <c r="AY155" s="94"/>
      <c r="AZ155" s="94"/>
      <c r="BA155" s="54">
        <v>1000</v>
      </c>
      <c r="BB155" s="55">
        <v>1000</v>
      </c>
      <c r="BC155" s="52">
        <v>96</v>
      </c>
      <c r="BD155" s="52">
        <v>195</v>
      </c>
      <c r="BE155" s="52">
        <v>0</v>
      </c>
      <c r="BF155" s="30"/>
      <c r="BG155" s="30"/>
      <c r="BH155" s="30" t="s">
        <v>136</v>
      </c>
      <c r="BI155" s="30" t="str">
        <f t="shared" si="92"/>
        <v>Test</v>
      </c>
      <c r="BJ155" s="47" t="s">
        <v>137</v>
      </c>
      <c r="BK155" s="56">
        <f t="shared" si="93"/>
        <v>9006713.540000001</v>
      </c>
      <c r="BL155" s="57">
        <f>CP155/$BL$1/4</f>
        <v>858598.45390572376</v>
      </c>
      <c r="BM155" s="57">
        <f>CP155/$BL$1/12</f>
        <v>286199.48463524127</v>
      </c>
      <c r="BN155" s="2"/>
      <c r="BO155" s="2"/>
      <c r="BP155" s="15"/>
      <c r="BQ155" s="15"/>
      <c r="BR155" s="15"/>
      <c r="BS155" s="15"/>
      <c r="BT155" s="15"/>
      <c r="BU155" s="58">
        <f t="shared" si="73"/>
        <v>858598.45390572376</v>
      </c>
      <c r="BV155" s="58">
        <f t="shared" si="74"/>
        <v>858598.45390572376</v>
      </c>
      <c r="BW155" s="58">
        <f t="shared" si="75"/>
        <v>1717196.9078114475</v>
      </c>
      <c r="BX155" s="58">
        <f t="shared" si="85"/>
        <v>858598.45390572376</v>
      </c>
      <c r="BY155" s="58">
        <f t="shared" si="79"/>
        <v>858598.45390572376</v>
      </c>
      <c r="BZ155" s="58">
        <f t="shared" si="76"/>
        <v>858598.45390572376</v>
      </c>
      <c r="CA155" s="58">
        <f t="shared" si="80"/>
        <v>858598.45390572376</v>
      </c>
      <c r="CB155" s="58">
        <f t="shared" si="86"/>
        <v>3434393.815622895</v>
      </c>
      <c r="CC155" s="58">
        <f t="shared" si="87"/>
        <v>858598.45390572376</v>
      </c>
      <c r="CD155" s="58">
        <f t="shared" si="100"/>
        <v>858598.45390572376</v>
      </c>
      <c r="CE155" s="58">
        <f t="shared" si="100"/>
        <v>858598.45390572376</v>
      </c>
      <c r="CF155" s="58">
        <f t="shared" si="100"/>
        <v>858598.45390572376</v>
      </c>
      <c r="CG155" s="58">
        <f t="shared" si="88"/>
        <v>3434393.815622895</v>
      </c>
      <c r="CH155" s="58">
        <f t="shared" si="89"/>
        <v>858598.45390572376</v>
      </c>
      <c r="CI155" s="58">
        <f t="shared" si="90"/>
        <v>858598.45390572376</v>
      </c>
      <c r="CJ155" s="58">
        <f t="shared" si="90"/>
        <v>858598.45390572376</v>
      </c>
      <c r="CK155" s="58">
        <f t="shared" si="90"/>
        <v>858598.45390572376</v>
      </c>
      <c r="CL155" s="58">
        <f t="shared" si="91"/>
        <v>3434393.815622895</v>
      </c>
      <c r="CM155" s="2"/>
      <c r="CN155" s="59">
        <f>BK155/$CN$3</f>
        <v>8.7944938023729318E-4</v>
      </c>
      <c r="CO155" s="64">
        <f>CN155*$CO$4</f>
        <v>18468436.984983157</v>
      </c>
      <c r="CP155" s="78">
        <f t="shared" si="95"/>
        <v>27475150.52498316</v>
      </c>
    </row>
    <row r="156" spans="1:94" s="78" customFormat="1" ht="16.5" hidden="1" x14ac:dyDescent="0.3">
      <c r="A156" s="2">
        <v>151</v>
      </c>
      <c r="B156" s="47" t="s">
        <v>21</v>
      </c>
      <c r="C156" s="47"/>
      <c r="D156" s="47" t="s">
        <v>447</v>
      </c>
      <c r="E156" s="30"/>
      <c r="F156" s="30" t="s">
        <v>449</v>
      </c>
      <c r="G156" s="62"/>
      <c r="H156" s="62"/>
      <c r="I156" s="30"/>
      <c r="J156" s="30"/>
      <c r="K156" s="30"/>
      <c r="L156" s="30"/>
      <c r="M156" s="73"/>
      <c r="N156" s="48"/>
      <c r="O156" s="93" t="s">
        <v>523</v>
      </c>
      <c r="P156" s="47"/>
      <c r="Q156" s="47"/>
      <c r="R156" s="30"/>
      <c r="S156" s="82"/>
      <c r="T156" s="30"/>
      <c r="U156" s="48"/>
      <c r="V156" s="62"/>
      <c r="W156" s="48"/>
      <c r="X156" s="48"/>
      <c r="Y156" s="48" t="s">
        <v>457</v>
      </c>
      <c r="Z156" s="48" t="s">
        <v>457</v>
      </c>
      <c r="AA156" s="66"/>
      <c r="AB156" s="48"/>
      <c r="AC156" s="48"/>
      <c r="AD156" s="48"/>
      <c r="AE156" s="48"/>
      <c r="AF156" s="48"/>
      <c r="AG156" s="48"/>
      <c r="AH156" s="48"/>
      <c r="AI156" s="48"/>
      <c r="AJ156" s="50"/>
      <c r="AK156" s="50"/>
      <c r="AL156" s="51"/>
      <c r="AM156" s="52"/>
      <c r="AN156" s="48"/>
      <c r="AO156" s="30"/>
      <c r="AP156" s="30"/>
      <c r="AQ156" s="30"/>
      <c r="AR156" s="30"/>
      <c r="AS156" s="30"/>
      <c r="AT156" s="30"/>
      <c r="AU156" s="53">
        <v>0</v>
      </c>
      <c r="AV156" s="47"/>
      <c r="AW156" s="47"/>
      <c r="AX156" s="47"/>
      <c r="AY156" s="47"/>
      <c r="AZ156" s="47"/>
      <c r="BA156" s="83"/>
      <c r="BB156" s="83">
        <v>0</v>
      </c>
      <c r="BC156" s="52"/>
      <c r="BD156" s="52"/>
      <c r="BE156" s="52"/>
      <c r="BF156" s="30"/>
      <c r="BG156" s="30"/>
      <c r="BH156" s="30"/>
      <c r="BI156" s="30"/>
      <c r="BJ156" s="47"/>
      <c r="BK156" s="56"/>
      <c r="BL156" s="57"/>
      <c r="BM156" s="57"/>
      <c r="BN156" s="2"/>
      <c r="BO156" s="2"/>
      <c r="BP156" s="15"/>
      <c r="BQ156" s="15"/>
      <c r="BR156" s="15"/>
      <c r="BS156" s="15"/>
      <c r="BT156" s="15"/>
      <c r="BU156" s="58"/>
      <c r="BV156" s="58"/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2"/>
      <c r="CN156" s="2"/>
      <c r="CO156" s="77"/>
      <c r="CP156" s="78">
        <f t="shared" si="95"/>
        <v>0</v>
      </c>
    </row>
    <row r="157" spans="1:94" s="78" customFormat="1" hidden="1" x14ac:dyDescent="0.3">
      <c r="A157" s="29">
        <v>152</v>
      </c>
      <c r="B157" s="30" t="s">
        <v>21</v>
      </c>
      <c r="C157" s="30"/>
      <c r="D157" s="30" t="s">
        <v>467</v>
      </c>
      <c r="E157" s="30" t="s">
        <v>448</v>
      </c>
      <c r="F157" s="30" t="s">
        <v>449</v>
      </c>
      <c r="G157" s="62" t="s">
        <v>450</v>
      </c>
      <c r="H157" s="62" t="s">
        <v>118</v>
      </c>
      <c r="I157" s="30" t="s">
        <v>119</v>
      </c>
      <c r="J157" s="30" t="s">
        <v>120</v>
      </c>
      <c r="K157" s="30" t="s">
        <v>451</v>
      </c>
      <c r="L157" s="30" t="s">
        <v>122</v>
      </c>
      <c r="M157" s="73">
        <v>2101488</v>
      </c>
      <c r="N157" s="48" t="s">
        <v>138</v>
      </c>
      <c r="O157" s="30" t="s">
        <v>535</v>
      </c>
      <c r="P157" s="30" t="s">
        <v>536</v>
      </c>
      <c r="Q157" s="30" t="s">
        <v>537</v>
      </c>
      <c r="R157" s="30" t="s">
        <v>142</v>
      </c>
      <c r="S157" s="89">
        <v>310757563</v>
      </c>
      <c r="T157" s="30"/>
      <c r="U157" s="48"/>
      <c r="V157" s="62" t="s">
        <v>145</v>
      </c>
      <c r="W157" s="48" t="s">
        <v>146</v>
      </c>
      <c r="X157" s="48" t="s">
        <v>147</v>
      </c>
      <c r="Y157" s="48" t="s">
        <v>457</v>
      </c>
      <c r="Z157" s="48" t="s">
        <v>457</v>
      </c>
      <c r="AA157" s="96" t="s">
        <v>148</v>
      </c>
      <c r="AB157" s="48" t="s">
        <v>149</v>
      </c>
      <c r="AC157" s="48" t="s">
        <v>538</v>
      </c>
      <c r="AD157" s="48"/>
      <c r="AE157" s="48"/>
      <c r="AF157" s="48" t="s">
        <v>151</v>
      </c>
      <c r="AG157" s="30" t="s">
        <v>152</v>
      </c>
      <c r="AH157" s="48" t="s">
        <v>153</v>
      </c>
      <c r="AI157" s="48"/>
      <c r="AJ157" s="50"/>
      <c r="AK157" s="50"/>
      <c r="AL157" s="51"/>
      <c r="AM157" s="52"/>
      <c r="AN157" s="48"/>
      <c r="AO157" s="30"/>
      <c r="AP157" s="30"/>
      <c r="AQ157" s="30"/>
      <c r="AR157" s="30"/>
      <c r="AS157" s="30"/>
      <c r="AT157" s="30"/>
      <c r="AU157" s="53">
        <v>736688582</v>
      </c>
      <c r="AV157" s="47"/>
      <c r="AW157" s="47"/>
      <c r="AX157" s="47"/>
      <c r="AY157" s="47"/>
      <c r="AZ157" s="47"/>
      <c r="BA157" s="74">
        <v>1000</v>
      </c>
      <c r="BB157" s="75">
        <v>1000</v>
      </c>
      <c r="BC157" s="52"/>
      <c r="BD157" s="52"/>
      <c r="BE157" s="52"/>
      <c r="BF157" s="30"/>
      <c r="BG157" s="30"/>
      <c r="BH157" s="30" t="s">
        <v>136</v>
      </c>
      <c r="BI157" s="30" t="str">
        <f t="shared" si="92"/>
        <v>Test</v>
      </c>
      <c r="BJ157" s="30" t="s">
        <v>250</v>
      </c>
      <c r="BK157" s="56">
        <f t="shared" si="93"/>
        <v>14733771.640000001</v>
      </c>
      <c r="BL157" s="57">
        <f t="shared" ref="BL157:BL220" si="101">CP157/$BL$1/4</f>
        <v>1404551.5596917716</v>
      </c>
      <c r="BM157" s="57">
        <f t="shared" ref="BM157:BM220" si="102">CP157/$BL$1/12</f>
        <v>468183.85323059052</v>
      </c>
      <c r="BN157" s="2"/>
      <c r="BO157" s="2"/>
      <c r="BP157" s="63">
        <f t="shared" ref="BP157:BP167" si="103">BM157*3</f>
        <v>1404551.5596917716</v>
      </c>
      <c r="BQ157" s="63">
        <f t="shared" ref="BQ157:BQ167" si="104">BP157</f>
        <v>1404551.5596917716</v>
      </c>
      <c r="BR157" s="63">
        <f t="shared" ref="BR157:BR167" si="105">SUM(BN157:BQ157)</f>
        <v>2809103.1193835433</v>
      </c>
      <c r="BS157" s="63">
        <f t="shared" ref="BS157:BS167" si="106">BQ157</f>
        <v>1404551.5596917716</v>
      </c>
      <c r="BT157" s="63">
        <f t="shared" ref="BT157:BT167" si="107">BS157</f>
        <v>1404551.5596917716</v>
      </c>
      <c r="BU157" s="58">
        <f t="shared" si="73"/>
        <v>1404551.5596917716</v>
      </c>
      <c r="BV157" s="58">
        <f t="shared" si="74"/>
        <v>1404551.5596917716</v>
      </c>
      <c r="BW157" s="58">
        <f t="shared" si="75"/>
        <v>5618206.2387670865</v>
      </c>
      <c r="BX157" s="58">
        <f t="shared" si="85"/>
        <v>1404551.5596917716</v>
      </c>
      <c r="BY157" s="58">
        <f t="shared" si="79"/>
        <v>1404551.5596917716</v>
      </c>
      <c r="BZ157" s="58">
        <f t="shared" si="76"/>
        <v>1404551.5596917716</v>
      </c>
      <c r="CA157" s="58">
        <f t="shared" si="80"/>
        <v>1404551.5596917716</v>
      </c>
      <c r="CB157" s="58">
        <f t="shared" si="86"/>
        <v>5618206.2387670865</v>
      </c>
      <c r="CC157" s="58">
        <f t="shared" si="87"/>
        <v>1404551.5596917716</v>
      </c>
      <c r="CD157" s="58">
        <f t="shared" si="100"/>
        <v>1404551.5596917716</v>
      </c>
      <c r="CE157" s="58">
        <f t="shared" si="100"/>
        <v>1404551.5596917716</v>
      </c>
      <c r="CF157" s="58">
        <f t="shared" si="100"/>
        <v>1404551.5596917716</v>
      </c>
      <c r="CG157" s="58">
        <f t="shared" si="88"/>
        <v>5618206.2387670865</v>
      </c>
      <c r="CH157" s="58">
        <f t="shared" si="89"/>
        <v>1404551.5596917716</v>
      </c>
      <c r="CI157" s="58">
        <f t="shared" si="90"/>
        <v>1404551.5596917716</v>
      </c>
      <c r="CJ157" s="58">
        <f t="shared" si="90"/>
        <v>1404551.5596917716</v>
      </c>
      <c r="CK157" s="58">
        <f t="shared" si="90"/>
        <v>1404551.5596917716</v>
      </c>
      <c r="CL157" s="58">
        <f t="shared" si="91"/>
        <v>5618206.2387670865</v>
      </c>
      <c r="CM157" s="2"/>
      <c r="CN157" s="59">
        <f t="shared" ref="CN157:CN167" si="108">BK157/$CN$3</f>
        <v>1.4386608700065091E-3</v>
      </c>
      <c r="CO157" s="64">
        <f t="shared" ref="CO157:CO167" si="109">CN157*$CO$4</f>
        <v>30211878.270136692</v>
      </c>
      <c r="CP157" s="78">
        <f t="shared" si="95"/>
        <v>44945649.910136692</v>
      </c>
    </row>
    <row r="158" spans="1:94" s="78" customFormat="1" hidden="1" x14ac:dyDescent="0.3">
      <c r="A158" s="29">
        <v>153</v>
      </c>
      <c r="B158" s="30" t="s">
        <v>21</v>
      </c>
      <c r="C158" s="30"/>
      <c r="D158" s="97" t="s">
        <v>467</v>
      </c>
      <c r="E158" s="30" t="s">
        <v>448</v>
      </c>
      <c r="F158" s="30" t="s">
        <v>449</v>
      </c>
      <c r="G158" s="62" t="s">
        <v>450</v>
      </c>
      <c r="H158" s="62" t="s">
        <v>118</v>
      </c>
      <c r="I158" s="30" t="s">
        <v>119</v>
      </c>
      <c r="J158" s="30" t="s">
        <v>120</v>
      </c>
      <c r="K158" s="30" t="s">
        <v>451</v>
      </c>
      <c r="L158" s="30" t="s">
        <v>122</v>
      </c>
      <c r="M158" s="73">
        <v>2101498</v>
      </c>
      <c r="N158" s="48" t="s">
        <v>138</v>
      </c>
      <c r="O158" s="30" t="s">
        <v>539</v>
      </c>
      <c r="P158" s="30" t="s">
        <v>536</v>
      </c>
      <c r="Q158" s="30" t="s">
        <v>537</v>
      </c>
      <c r="R158" s="30" t="s">
        <v>142</v>
      </c>
      <c r="S158" s="89">
        <v>310844206</v>
      </c>
      <c r="T158" s="30"/>
      <c r="U158" s="48"/>
      <c r="V158" s="62" t="s">
        <v>145</v>
      </c>
      <c r="W158" s="48" t="s">
        <v>146</v>
      </c>
      <c r="X158" s="48" t="s">
        <v>147</v>
      </c>
      <c r="Y158" s="48" t="s">
        <v>457</v>
      </c>
      <c r="Z158" s="48" t="s">
        <v>457</v>
      </c>
      <c r="AA158" s="48" t="s">
        <v>148</v>
      </c>
      <c r="AB158" s="48" t="s">
        <v>149</v>
      </c>
      <c r="AC158" s="48" t="s">
        <v>538</v>
      </c>
      <c r="AD158" s="48"/>
      <c r="AE158" s="48"/>
      <c r="AF158" s="48" t="s">
        <v>151</v>
      </c>
      <c r="AG158" s="30" t="s">
        <v>152</v>
      </c>
      <c r="AH158" s="48" t="s">
        <v>153</v>
      </c>
      <c r="AI158" s="48"/>
      <c r="AJ158" s="50"/>
      <c r="AK158" s="50"/>
      <c r="AL158" s="51"/>
      <c r="AM158" s="52"/>
      <c r="AN158" s="48"/>
      <c r="AO158" s="30"/>
      <c r="AP158" s="30"/>
      <c r="AQ158" s="30"/>
      <c r="AR158" s="30"/>
      <c r="AS158" s="30"/>
      <c r="AT158" s="30"/>
      <c r="AU158" s="53">
        <v>723127864</v>
      </c>
      <c r="AV158" s="47"/>
      <c r="AW158" s="47"/>
      <c r="AX158" s="47"/>
      <c r="AY158" s="47"/>
      <c r="AZ158" s="47"/>
      <c r="BA158" s="74">
        <v>52722054</v>
      </c>
      <c r="BB158" s="75">
        <v>1000</v>
      </c>
      <c r="BC158" s="52"/>
      <c r="BD158" s="52"/>
      <c r="BE158" s="52"/>
      <c r="BF158" s="30"/>
      <c r="BG158" s="30"/>
      <c r="BH158" s="30" t="s">
        <v>136</v>
      </c>
      <c r="BI158" s="30" t="str">
        <f t="shared" si="92"/>
        <v>Test</v>
      </c>
      <c r="BJ158" s="30" t="s">
        <v>250</v>
      </c>
      <c r="BK158" s="56">
        <f t="shared" si="93"/>
        <v>55358156.700000003</v>
      </c>
      <c r="BL158" s="57">
        <f t="shared" si="101"/>
        <v>5277222.1013360638</v>
      </c>
      <c r="BM158" s="57">
        <f t="shared" si="102"/>
        <v>1759074.0337786879</v>
      </c>
      <c r="BN158" s="2"/>
      <c r="BO158" s="2"/>
      <c r="BP158" s="63">
        <f t="shared" si="103"/>
        <v>5277222.1013360638</v>
      </c>
      <c r="BQ158" s="63">
        <f t="shared" si="104"/>
        <v>5277222.1013360638</v>
      </c>
      <c r="BR158" s="63">
        <f t="shared" si="105"/>
        <v>10554444.202672128</v>
      </c>
      <c r="BS158" s="63">
        <f t="shared" si="106"/>
        <v>5277222.1013360638</v>
      </c>
      <c r="BT158" s="63">
        <f t="shared" si="107"/>
        <v>5277222.1013360638</v>
      </c>
      <c r="BU158" s="58">
        <f t="shared" si="73"/>
        <v>5277222.1013360638</v>
      </c>
      <c r="BV158" s="58">
        <f t="shared" si="74"/>
        <v>5277222.1013360638</v>
      </c>
      <c r="BW158" s="58">
        <f t="shared" si="75"/>
        <v>21108888.405344255</v>
      </c>
      <c r="BX158" s="58">
        <f t="shared" si="85"/>
        <v>5277222.1013360638</v>
      </c>
      <c r="BY158" s="58">
        <f t="shared" si="79"/>
        <v>5277222.1013360638</v>
      </c>
      <c r="BZ158" s="58">
        <f t="shared" si="76"/>
        <v>5277222.1013360638</v>
      </c>
      <c r="CA158" s="58">
        <f t="shared" si="80"/>
        <v>5277222.1013360638</v>
      </c>
      <c r="CB158" s="58">
        <f t="shared" si="86"/>
        <v>21108888.405344255</v>
      </c>
      <c r="CC158" s="58">
        <f t="shared" si="87"/>
        <v>5277222.1013360638</v>
      </c>
      <c r="CD158" s="58">
        <f t="shared" si="100"/>
        <v>5277222.1013360638</v>
      </c>
      <c r="CE158" s="58">
        <f t="shared" si="100"/>
        <v>5277222.1013360638</v>
      </c>
      <c r="CF158" s="58">
        <f t="shared" si="100"/>
        <v>5277222.1013360638</v>
      </c>
      <c r="CG158" s="58">
        <f t="shared" si="88"/>
        <v>21108888.405344255</v>
      </c>
      <c r="CH158" s="58">
        <f t="shared" si="89"/>
        <v>5277222.1013360638</v>
      </c>
      <c r="CI158" s="58">
        <f t="shared" si="90"/>
        <v>5277222.1013360638</v>
      </c>
      <c r="CJ158" s="58">
        <f t="shared" si="90"/>
        <v>5277222.1013360638</v>
      </c>
      <c r="CK158" s="58">
        <f t="shared" si="90"/>
        <v>5277222.1013360638</v>
      </c>
      <c r="CL158" s="58">
        <f t="shared" si="91"/>
        <v>21108888.405344255</v>
      </c>
      <c r="CM158" s="2"/>
      <c r="CN158" s="59">
        <f t="shared" si="108"/>
        <v>5.4053785972740017E-3</v>
      </c>
      <c r="CO158" s="64">
        <f t="shared" si="109"/>
        <v>113512950.54275404</v>
      </c>
      <c r="CP158" s="78">
        <f t="shared" si="95"/>
        <v>168871107.24275404</v>
      </c>
    </row>
    <row r="159" spans="1:94" s="78" customFormat="1" hidden="1" x14ac:dyDescent="0.3">
      <c r="A159" s="29">
        <v>154</v>
      </c>
      <c r="B159" s="30" t="s">
        <v>21</v>
      </c>
      <c r="C159" s="30"/>
      <c r="D159" s="30" t="s">
        <v>467</v>
      </c>
      <c r="E159" s="30" t="s">
        <v>448</v>
      </c>
      <c r="F159" s="30" t="s">
        <v>449</v>
      </c>
      <c r="G159" s="62" t="s">
        <v>450</v>
      </c>
      <c r="H159" s="62" t="s">
        <v>118</v>
      </c>
      <c r="I159" s="30" t="s">
        <v>119</v>
      </c>
      <c r="J159" s="30" t="s">
        <v>120</v>
      </c>
      <c r="K159" s="30" t="s">
        <v>451</v>
      </c>
      <c r="L159" s="30" t="s">
        <v>122</v>
      </c>
      <c r="M159" s="73">
        <v>2100487</v>
      </c>
      <c r="N159" s="48" t="s">
        <v>138</v>
      </c>
      <c r="O159" s="30" t="s">
        <v>540</v>
      </c>
      <c r="P159" s="30" t="s">
        <v>536</v>
      </c>
      <c r="Q159" s="30" t="s">
        <v>537</v>
      </c>
      <c r="R159" s="30" t="s">
        <v>142</v>
      </c>
      <c r="S159" s="89">
        <v>310857926</v>
      </c>
      <c r="T159" s="30"/>
      <c r="U159" s="48"/>
      <c r="V159" s="62" t="s">
        <v>145</v>
      </c>
      <c r="W159" s="48" t="s">
        <v>146</v>
      </c>
      <c r="X159" s="48" t="s">
        <v>147</v>
      </c>
      <c r="Y159" s="48" t="s">
        <v>457</v>
      </c>
      <c r="Z159" s="48" t="s">
        <v>457</v>
      </c>
      <c r="AA159" s="48" t="s">
        <v>148</v>
      </c>
      <c r="AB159" s="48" t="s">
        <v>149</v>
      </c>
      <c r="AC159" s="48" t="s">
        <v>538</v>
      </c>
      <c r="AD159" s="48"/>
      <c r="AE159" s="48"/>
      <c r="AF159" s="48" t="s">
        <v>151</v>
      </c>
      <c r="AG159" s="30" t="s">
        <v>152</v>
      </c>
      <c r="AH159" s="48" t="s">
        <v>153</v>
      </c>
      <c r="AI159" s="48"/>
      <c r="AJ159" s="50"/>
      <c r="AK159" s="50"/>
      <c r="AL159" s="51"/>
      <c r="AM159" s="52"/>
      <c r="AN159" s="48"/>
      <c r="AO159" s="30"/>
      <c r="AP159" s="30"/>
      <c r="AQ159" s="30"/>
      <c r="AR159" s="30"/>
      <c r="AS159" s="30"/>
      <c r="AT159" s="30"/>
      <c r="AU159" s="53">
        <v>721355505</v>
      </c>
      <c r="AV159" s="47"/>
      <c r="AW159" s="47"/>
      <c r="AX159" s="47"/>
      <c r="AY159" s="47"/>
      <c r="AZ159" s="47"/>
      <c r="BA159" s="74">
        <v>67627079</v>
      </c>
      <c r="BB159" s="75">
        <v>1000</v>
      </c>
      <c r="BC159" s="52"/>
      <c r="BD159" s="52"/>
      <c r="BE159" s="52"/>
      <c r="BF159" s="30"/>
      <c r="BG159" s="30"/>
      <c r="BH159" s="30" t="s">
        <v>136</v>
      </c>
      <c r="BI159" s="30" t="str">
        <f t="shared" si="92"/>
        <v>Test</v>
      </c>
      <c r="BJ159" s="30" t="s">
        <v>250</v>
      </c>
      <c r="BK159" s="56">
        <f t="shared" si="93"/>
        <v>71008432.950000003</v>
      </c>
      <c r="BL159" s="57">
        <f t="shared" si="101"/>
        <v>6769142.8704124466</v>
      </c>
      <c r="BM159" s="57">
        <f t="shared" si="102"/>
        <v>2256380.9568041489</v>
      </c>
      <c r="BN159" s="2"/>
      <c r="BO159" s="2"/>
      <c r="BP159" s="63">
        <f t="shared" si="103"/>
        <v>6769142.8704124466</v>
      </c>
      <c r="BQ159" s="63">
        <f t="shared" si="104"/>
        <v>6769142.8704124466</v>
      </c>
      <c r="BR159" s="63">
        <f t="shared" si="105"/>
        <v>13538285.740824893</v>
      </c>
      <c r="BS159" s="63">
        <f t="shared" si="106"/>
        <v>6769142.8704124466</v>
      </c>
      <c r="BT159" s="63">
        <f t="shared" si="107"/>
        <v>6769142.8704124466</v>
      </c>
      <c r="BU159" s="58">
        <f t="shared" si="73"/>
        <v>6769142.8704124466</v>
      </c>
      <c r="BV159" s="58">
        <f t="shared" si="74"/>
        <v>6769142.8704124466</v>
      </c>
      <c r="BW159" s="58">
        <f t="shared" si="75"/>
        <v>27076571.481649786</v>
      </c>
      <c r="BX159" s="58">
        <f t="shared" si="85"/>
        <v>6769142.8704124466</v>
      </c>
      <c r="BY159" s="58">
        <f t="shared" si="79"/>
        <v>6769142.8704124466</v>
      </c>
      <c r="BZ159" s="58">
        <f t="shared" si="76"/>
        <v>6769142.8704124466</v>
      </c>
      <c r="CA159" s="58">
        <f t="shared" si="80"/>
        <v>6769142.8704124466</v>
      </c>
      <c r="CB159" s="58">
        <f t="shared" si="86"/>
        <v>27076571.481649786</v>
      </c>
      <c r="CC159" s="58">
        <f t="shared" si="87"/>
        <v>6769142.8704124466</v>
      </c>
      <c r="CD159" s="58">
        <f t="shared" si="100"/>
        <v>6769142.8704124466</v>
      </c>
      <c r="CE159" s="58">
        <f t="shared" si="100"/>
        <v>6769142.8704124466</v>
      </c>
      <c r="CF159" s="58">
        <f t="shared" si="100"/>
        <v>6769142.8704124466</v>
      </c>
      <c r="CG159" s="58">
        <f t="shared" si="88"/>
        <v>27076571.481649786</v>
      </c>
      <c r="CH159" s="58">
        <f t="shared" si="89"/>
        <v>6769142.8704124466</v>
      </c>
      <c r="CI159" s="58">
        <f t="shared" si="90"/>
        <v>6769142.8704124466</v>
      </c>
      <c r="CJ159" s="58">
        <f t="shared" si="90"/>
        <v>6769142.8704124466</v>
      </c>
      <c r="CK159" s="58">
        <f t="shared" si="90"/>
        <v>6769142.8704124466</v>
      </c>
      <c r="CL159" s="58">
        <f t="shared" si="91"/>
        <v>27076571.481649786</v>
      </c>
      <c r="CM159" s="2"/>
      <c r="CN159" s="59">
        <f t="shared" si="108"/>
        <v>6.9335304239618225E-3</v>
      </c>
      <c r="CO159" s="64">
        <f t="shared" si="109"/>
        <v>145604138.90319827</v>
      </c>
      <c r="CP159" s="78">
        <f t="shared" si="95"/>
        <v>216612571.85319829</v>
      </c>
    </row>
    <row r="160" spans="1:94" hidden="1" x14ac:dyDescent="0.3">
      <c r="A160" s="29">
        <v>155</v>
      </c>
      <c r="B160" s="30" t="s">
        <v>21</v>
      </c>
      <c r="C160" s="30"/>
      <c r="D160" s="30" t="s">
        <v>467</v>
      </c>
      <c r="E160" s="30" t="s">
        <v>448</v>
      </c>
      <c r="F160" s="30" t="s">
        <v>449</v>
      </c>
      <c r="G160" s="62" t="s">
        <v>450</v>
      </c>
      <c r="H160" s="62" t="s">
        <v>118</v>
      </c>
      <c r="I160" s="30" t="s">
        <v>119</v>
      </c>
      <c r="J160" s="30" t="s">
        <v>120</v>
      </c>
      <c r="K160" s="30" t="s">
        <v>451</v>
      </c>
      <c r="L160" s="30" t="s">
        <v>122</v>
      </c>
      <c r="M160" s="73">
        <v>2101163</v>
      </c>
      <c r="N160" s="48" t="s">
        <v>138</v>
      </c>
      <c r="O160" s="30" t="s">
        <v>541</v>
      </c>
      <c r="P160" s="30" t="s">
        <v>536</v>
      </c>
      <c r="Q160" s="30" t="s">
        <v>537</v>
      </c>
      <c r="R160" s="30" t="s">
        <v>142</v>
      </c>
      <c r="S160" s="89">
        <v>310709706</v>
      </c>
      <c r="T160" s="30"/>
      <c r="U160" s="48"/>
      <c r="V160" s="62" t="s">
        <v>145</v>
      </c>
      <c r="W160" s="48" t="s">
        <v>146</v>
      </c>
      <c r="X160" s="48" t="s">
        <v>147</v>
      </c>
      <c r="Y160" s="48" t="s">
        <v>457</v>
      </c>
      <c r="Z160" s="48" t="s">
        <v>457</v>
      </c>
      <c r="AA160" s="48" t="s">
        <v>148</v>
      </c>
      <c r="AB160" s="48" t="s">
        <v>149</v>
      </c>
      <c r="AC160" s="48" t="s">
        <v>538</v>
      </c>
      <c r="AD160" s="48"/>
      <c r="AE160" s="48"/>
      <c r="AF160" s="48" t="s">
        <v>151</v>
      </c>
      <c r="AG160" s="30" t="s">
        <v>152</v>
      </c>
      <c r="AH160" s="48" t="s">
        <v>153</v>
      </c>
      <c r="AI160" s="48"/>
      <c r="AJ160" s="50"/>
      <c r="AK160" s="50"/>
      <c r="AL160" s="51"/>
      <c r="AM160" s="52"/>
      <c r="AN160" s="48"/>
      <c r="AO160" s="30"/>
      <c r="AP160" s="30"/>
      <c r="AQ160" s="30"/>
      <c r="AR160" s="30"/>
      <c r="AS160" s="30"/>
      <c r="AT160" s="30"/>
      <c r="AU160" s="53">
        <v>617567602</v>
      </c>
      <c r="AV160" s="47"/>
      <c r="AW160" s="47"/>
      <c r="AX160" s="47"/>
      <c r="AY160" s="47"/>
      <c r="AZ160" s="47"/>
      <c r="BA160" s="74">
        <v>1000</v>
      </c>
      <c r="BB160" s="75">
        <v>1000</v>
      </c>
      <c r="BC160" s="52"/>
      <c r="BD160" s="52"/>
      <c r="BE160" s="52"/>
      <c r="BF160" s="30"/>
      <c r="BG160" s="30"/>
      <c r="BH160" s="30" t="s">
        <v>136</v>
      </c>
      <c r="BI160" s="30" t="str">
        <f t="shared" si="92"/>
        <v>Test</v>
      </c>
      <c r="BJ160" s="30" t="s">
        <v>250</v>
      </c>
      <c r="BK160" s="56">
        <f t="shared" si="93"/>
        <v>12351352.040000001</v>
      </c>
      <c r="BL160" s="57">
        <f t="shared" si="101"/>
        <v>1177438.5538178564</v>
      </c>
      <c r="BM160" s="57">
        <f t="shared" si="102"/>
        <v>392479.51793928543</v>
      </c>
      <c r="BP160" s="63">
        <f t="shared" si="103"/>
        <v>1177438.5538178564</v>
      </c>
      <c r="BQ160" s="63">
        <f t="shared" si="104"/>
        <v>1177438.5538178564</v>
      </c>
      <c r="BR160" s="63">
        <f t="shared" si="105"/>
        <v>2354877.1076357127</v>
      </c>
      <c r="BS160" s="63">
        <f t="shared" si="106"/>
        <v>1177438.5538178564</v>
      </c>
      <c r="BT160" s="63">
        <f t="shared" si="107"/>
        <v>1177438.5538178564</v>
      </c>
      <c r="BU160" s="58">
        <f t="shared" si="73"/>
        <v>1177438.5538178564</v>
      </c>
      <c r="BV160" s="58">
        <f t="shared" si="74"/>
        <v>1177438.5538178564</v>
      </c>
      <c r="BW160" s="58">
        <f t="shared" si="75"/>
        <v>4709754.2152714254</v>
      </c>
      <c r="BX160" s="58">
        <f t="shared" si="85"/>
        <v>1177438.5538178564</v>
      </c>
      <c r="BY160" s="58">
        <f t="shared" si="79"/>
        <v>1177438.5538178564</v>
      </c>
      <c r="BZ160" s="58">
        <f t="shared" si="76"/>
        <v>1177438.5538178564</v>
      </c>
      <c r="CA160" s="58">
        <f t="shared" si="80"/>
        <v>1177438.5538178564</v>
      </c>
      <c r="CB160" s="58">
        <f t="shared" si="86"/>
        <v>4709754.2152714254</v>
      </c>
      <c r="CC160" s="58">
        <f t="shared" si="87"/>
        <v>1177438.5538178564</v>
      </c>
      <c r="CD160" s="58">
        <f t="shared" si="100"/>
        <v>1177438.5538178564</v>
      </c>
      <c r="CE160" s="58">
        <f t="shared" si="100"/>
        <v>1177438.5538178564</v>
      </c>
      <c r="CF160" s="58">
        <f t="shared" si="100"/>
        <v>1177438.5538178564</v>
      </c>
      <c r="CG160" s="58">
        <f t="shared" si="88"/>
        <v>4709754.2152714254</v>
      </c>
      <c r="CH160" s="58">
        <f t="shared" si="89"/>
        <v>1177438.5538178564</v>
      </c>
      <c r="CI160" s="58">
        <f t="shared" si="90"/>
        <v>1177438.5538178564</v>
      </c>
      <c r="CJ160" s="58">
        <f t="shared" si="90"/>
        <v>1177438.5538178564</v>
      </c>
      <c r="CK160" s="58">
        <f t="shared" si="90"/>
        <v>1177438.5538178564</v>
      </c>
      <c r="CL160" s="58">
        <f t="shared" si="91"/>
        <v>4709754.2152714254</v>
      </c>
      <c r="CN160" s="59">
        <f t="shared" si="108"/>
        <v>1.2060324610557811E-3</v>
      </c>
      <c r="CO160" s="64">
        <f t="shared" si="109"/>
        <v>25326681.682171404</v>
      </c>
      <c r="CP160" s="2">
        <f t="shared" si="95"/>
        <v>37678033.722171403</v>
      </c>
    </row>
    <row r="161" spans="1:94" hidden="1" x14ac:dyDescent="0.3">
      <c r="A161" s="29">
        <v>156</v>
      </c>
      <c r="B161" s="30" t="s">
        <v>21</v>
      </c>
      <c r="C161" s="30"/>
      <c r="D161" s="30" t="s">
        <v>467</v>
      </c>
      <c r="E161" s="30" t="s">
        <v>448</v>
      </c>
      <c r="F161" s="30" t="s">
        <v>449</v>
      </c>
      <c r="G161" s="62" t="s">
        <v>450</v>
      </c>
      <c r="H161" s="62" t="s">
        <v>118</v>
      </c>
      <c r="I161" s="30" t="s">
        <v>119</v>
      </c>
      <c r="J161" s="30" t="s">
        <v>120</v>
      </c>
      <c r="K161" s="30" t="s">
        <v>451</v>
      </c>
      <c r="L161" s="30" t="s">
        <v>122</v>
      </c>
      <c r="M161" s="73">
        <v>2101164</v>
      </c>
      <c r="N161" s="48" t="s">
        <v>138</v>
      </c>
      <c r="O161" s="30" t="s">
        <v>542</v>
      </c>
      <c r="P161" s="30" t="s">
        <v>536</v>
      </c>
      <c r="Q161" s="30" t="s">
        <v>537</v>
      </c>
      <c r="R161" s="30" t="s">
        <v>142</v>
      </c>
      <c r="S161" s="89">
        <v>310709707</v>
      </c>
      <c r="T161" s="30"/>
      <c r="U161" s="48"/>
      <c r="V161" s="62" t="s">
        <v>145</v>
      </c>
      <c r="W161" s="48" t="s">
        <v>146</v>
      </c>
      <c r="X161" s="48" t="s">
        <v>147</v>
      </c>
      <c r="Y161" s="48" t="s">
        <v>457</v>
      </c>
      <c r="Z161" s="48" t="s">
        <v>457</v>
      </c>
      <c r="AA161" s="48" t="s">
        <v>148</v>
      </c>
      <c r="AB161" s="48" t="s">
        <v>149</v>
      </c>
      <c r="AC161" s="48" t="s">
        <v>538</v>
      </c>
      <c r="AD161" s="48"/>
      <c r="AE161" s="48"/>
      <c r="AF161" s="48" t="s">
        <v>151</v>
      </c>
      <c r="AG161" s="30" t="s">
        <v>152</v>
      </c>
      <c r="AH161" s="48" t="s">
        <v>153</v>
      </c>
      <c r="AI161" s="48"/>
      <c r="AJ161" s="50"/>
      <c r="AK161" s="50"/>
      <c r="AL161" s="51"/>
      <c r="AM161" s="52"/>
      <c r="AN161" s="48"/>
      <c r="AO161" s="30"/>
      <c r="AP161" s="30"/>
      <c r="AQ161" s="30"/>
      <c r="AR161" s="30"/>
      <c r="AS161" s="30"/>
      <c r="AT161" s="30"/>
      <c r="AU161" s="53">
        <v>617567603</v>
      </c>
      <c r="AV161" s="47"/>
      <c r="AW161" s="47"/>
      <c r="AX161" s="47"/>
      <c r="AY161" s="47"/>
      <c r="AZ161" s="47"/>
      <c r="BA161" s="74">
        <v>1000</v>
      </c>
      <c r="BB161" s="75">
        <v>1000</v>
      </c>
      <c r="BC161" s="52"/>
      <c r="BD161" s="52"/>
      <c r="BE161" s="52"/>
      <c r="BF161" s="30"/>
      <c r="BG161" s="30"/>
      <c r="BH161" s="30" t="s">
        <v>136</v>
      </c>
      <c r="BI161" s="30" t="str">
        <f t="shared" si="92"/>
        <v>Test</v>
      </c>
      <c r="BJ161" s="30" t="s">
        <v>250</v>
      </c>
      <c r="BK161" s="56">
        <f t="shared" si="93"/>
        <v>12351352.060000001</v>
      </c>
      <c r="BL161" s="57">
        <f t="shared" si="101"/>
        <v>1177438.5557244306</v>
      </c>
      <c r="BM161" s="57">
        <f t="shared" si="102"/>
        <v>392479.51857481018</v>
      </c>
      <c r="BP161" s="63">
        <f t="shared" si="103"/>
        <v>1177438.5557244306</v>
      </c>
      <c r="BQ161" s="63">
        <f t="shared" si="104"/>
        <v>1177438.5557244306</v>
      </c>
      <c r="BR161" s="63">
        <f t="shared" si="105"/>
        <v>2354877.1114488612</v>
      </c>
      <c r="BS161" s="63">
        <f t="shared" si="106"/>
        <v>1177438.5557244306</v>
      </c>
      <c r="BT161" s="63">
        <f t="shared" si="107"/>
        <v>1177438.5557244306</v>
      </c>
      <c r="BU161" s="58">
        <f t="shared" si="73"/>
        <v>1177438.5557244306</v>
      </c>
      <c r="BV161" s="58">
        <f t="shared" si="74"/>
        <v>1177438.5557244306</v>
      </c>
      <c r="BW161" s="58">
        <f t="shared" si="75"/>
        <v>4709754.2228977224</v>
      </c>
      <c r="BX161" s="58">
        <f t="shared" si="85"/>
        <v>1177438.5557244306</v>
      </c>
      <c r="BY161" s="58">
        <f t="shared" si="79"/>
        <v>1177438.5557244306</v>
      </c>
      <c r="BZ161" s="58">
        <f t="shared" si="76"/>
        <v>1177438.5557244306</v>
      </c>
      <c r="CA161" s="58">
        <f t="shared" si="80"/>
        <v>1177438.5557244306</v>
      </c>
      <c r="CB161" s="58">
        <f t="shared" si="86"/>
        <v>4709754.2228977224</v>
      </c>
      <c r="CC161" s="58">
        <f t="shared" si="87"/>
        <v>1177438.5557244306</v>
      </c>
      <c r="CD161" s="58">
        <f t="shared" si="100"/>
        <v>1177438.5557244306</v>
      </c>
      <c r="CE161" s="58">
        <f t="shared" si="100"/>
        <v>1177438.5557244306</v>
      </c>
      <c r="CF161" s="58">
        <f t="shared" si="100"/>
        <v>1177438.5557244306</v>
      </c>
      <c r="CG161" s="58">
        <f t="shared" si="88"/>
        <v>4709754.2228977224</v>
      </c>
      <c r="CH161" s="58">
        <f t="shared" si="89"/>
        <v>1177438.5557244306</v>
      </c>
      <c r="CI161" s="58">
        <f t="shared" si="90"/>
        <v>1177438.5557244306</v>
      </c>
      <c r="CJ161" s="58">
        <f t="shared" si="90"/>
        <v>1177438.5557244306</v>
      </c>
      <c r="CK161" s="58">
        <f t="shared" si="90"/>
        <v>1177438.5557244306</v>
      </c>
      <c r="CL161" s="58">
        <f t="shared" si="91"/>
        <v>4709754.2228977224</v>
      </c>
      <c r="CN161" s="59">
        <f t="shared" si="108"/>
        <v>1.2060324630086563E-3</v>
      </c>
      <c r="CO161" s="64">
        <f t="shared" si="109"/>
        <v>25326681.72318178</v>
      </c>
      <c r="CP161" s="2">
        <f t="shared" si="95"/>
        <v>37678033.783181779</v>
      </c>
    </row>
    <row r="162" spans="1:94" hidden="1" x14ac:dyDescent="0.3">
      <c r="A162" s="29">
        <v>157</v>
      </c>
      <c r="B162" s="30" t="s">
        <v>21</v>
      </c>
      <c r="C162" s="30"/>
      <c r="D162" s="30" t="s">
        <v>467</v>
      </c>
      <c r="E162" s="30" t="s">
        <v>448</v>
      </c>
      <c r="F162" s="30" t="s">
        <v>449</v>
      </c>
      <c r="G162" s="62" t="s">
        <v>450</v>
      </c>
      <c r="H162" s="62" t="s">
        <v>118</v>
      </c>
      <c r="I162" s="30" t="s">
        <v>119</v>
      </c>
      <c r="J162" s="30" t="s">
        <v>120</v>
      </c>
      <c r="K162" s="30" t="s">
        <v>451</v>
      </c>
      <c r="L162" s="30" t="s">
        <v>122</v>
      </c>
      <c r="M162" s="73">
        <v>2101491</v>
      </c>
      <c r="N162" s="48" t="s">
        <v>138</v>
      </c>
      <c r="O162" s="30" t="s">
        <v>543</v>
      </c>
      <c r="P162" s="30" t="s">
        <v>536</v>
      </c>
      <c r="Q162" s="30" t="s">
        <v>537</v>
      </c>
      <c r="R162" s="30" t="s">
        <v>142</v>
      </c>
      <c r="S162" s="89">
        <v>310757631</v>
      </c>
      <c r="T162" s="30"/>
      <c r="U162" s="48"/>
      <c r="V162" s="62" t="s">
        <v>145</v>
      </c>
      <c r="W162" s="48" t="s">
        <v>146</v>
      </c>
      <c r="X162" s="48" t="s">
        <v>147</v>
      </c>
      <c r="Y162" s="48" t="s">
        <v>457</v>
      </c>
      <c r="Z162" s="48" t="s">
        <v>457</v>
      </c>
      <c r="AA162" s="48" t="s">
        <v>148</v>
      </c>
      <c r="AB162" s="48" t="s">
        <v>149</v>
      </c>
      <c r="AC162" s="48" t="s">
        <v>538</v>
      </c>
      <c r="AD162" s="48"/>
      <c r="AE162" s="48"/>
      <c r="AF162" s="48" t="s">
        <v>151</v>
      </c>
      <c r="AG162" s="30" t="s">
        <v>152</v>
      </c>
      <c r="AH162" s="48" t="s">
        <v>153</v>
      </c>
      <c r="AI162" s="48"/>
      <c r="AJ162" s="50"/>
      <c r="AK162" s="50"/>
      <c r="AL162" s="51"/>
      <c r="AM162" s="52"/>
      <c r="AN162" s="48"/>
      <c r="AO162" s="30"/>
      <c r="AP162" s="30"/>
      <c r="AQ162" s="30"/>
      <c r="AR162" s="30"/>
      <c r="AS162" s="30"/>
      <c r="AT162" s="30"/>
      <c r="AU162" s="53">
        <v>736688581</v>
      </c>
      <c r="AV162" s="47"/>
      <c r="AW162" s="47"/>
      <c r="AX162" s="47"/>
      <c r="AY162" s="47"/>
      <c r="AZ162" s="47"/>
      <c r="BA162" s="74">
        <v>1000</v>
      </c>
      <c r="BB162" s="75">
        <v>1000</v>
      </c>
      <c r="BC162" s="52"/>
      <c r="BD162" s="52"/>
      <c r="BE162" s="52"/>
      <c r="BF162" s="30"/>
      <c r="BG162" s="30"/>
      <c r="BH162" s="30" t="s">
        <v>136</v>
      </c>
      <c r="BI162" s="30" t="str">
        <f t="shared" si="92"/>
        <v>Test</v>
      </c>
      <c r="BJ162" s="30" t="s">
        <v>250</v>
      </c>
      <c r="BK162" s="56">
        <f t="shared" si="93"/>
        <v>14733771.620000001</v>
      </c>
      <c r="BL162" s="57">
        <f t="shared" si="101"/>
        <v>1404551.5577851974</v>
      </c>
      <c r="BM162" s="57">
        <f t="shared" si="102"/>
        <v>468183.85259506578</v>
      </c>
      <c r="BP162" s="63">
        <f t="shared" si="103"/>
        <v>1404551.5577851974</v>
      </c>
      <c r="BQ162" s="63">
        <f t="shared" si="104"/>
        <v>1404551.5577851974</v>
      </c>
      <c r="BR162" s="63">
        <f t="shared" si="105"/>
        <v>2809103.1155703948</v>
      </c>
      <c r="BS162" s="63">
        <f t="shared" si="106"/>
        <v>1404551.5577851974</v>
      </c>
      <c r="BT162" s="63">
        <f t="shared" si="107"/>
        <v>1404551.5577851974</v>
      </c>
      <c r="BU162" s="58">
        <f t="shared" si="73"/>
        <v>1404551.5577851974</v>
      </c>
      <c r="BV162" s="58">
        <f t="shared" si="74"/>
        <v>1404551.5577851974</v>
      </c>
      <c r="BW162" s="58">
        <f t="shared" si="75"/>
        <v>5618206.2311407896</v>
      </c>
      <c r="BX162" s="58">
        <f t="shared" si="85"/>
        <v>1404551.5577851974</v>
      </c>
      <c r="BY162" s="58">
        <f t="shared" si="79"/>
        <v>1404551.5577851974</v>
      </c>
      <c r="BZ162" s="58">
        <f t="shared" si="76"/>
        <v>1404551.5577851974</v>
      </c>
      <c r="CA162" s="58">
        <f t="shared" si="80"/>
        <v>1404551.5577851974</v>
      </c>
      <c r="CB162" s="58">
        <f t="shared" si="86"/>
        <v>5618206.2311407896</v>
      </c>
      <c r="CC162" s="58">
        <f t="shared" si="87"/>
        <v>1404551.5577851974</v>
      </c>
      <c r="CD162" s="58">
        <f t="shared" si="100"/>
        <v>1404551.5577851974</v>
      </c>
      <c r="CE162" s="58">
        <f t="shared" si="100"/>
        <v>1404551.5577851974</v>
      </c>
      <c r="CF162" s="58">
        <f t="shared" si="100"/>
        <v>1404551.5577851974</v>
      </c>
      <c r="CG162" s="58">
        <f t="shared" si="88"/>
        <v>5618206.2311407896</v>
      </c>
      <c r="CH162" s="58">
        <f t="shared" si="89"/>
        <v>1404551.5577851974</v>
      </c>
      <c r="CI162" s="58">
        <f t="shared" si="90"/>
        <v>1404551.5577851974</v>
      </c>
      <c r="CJ162" s="58">
        <f t="shared" si="90"/>
        <v>1404551.5577851974</v>
      </c>
      <c r="CK162" s="58">
        <f t="shared" si="90"/>
        <v>1404551.5577851974</v>
      </c>
      <c r="CL162" s="58">
        <f t="shared" si="91"/>
        <v>5618206.2311407896</v>
      </c>
      <c r="CN162" s="59">
        <f t="shared" si="108"/>
        <v>1.438660868053634E-3</v>
      </c>
      <c r="CO162" s="64">
        <f t="shared" si="109"/>
        <v>30211878.229126316</v>
      </c>
      <c r="CP162" s="2">
        <f t="shared" si="95"/>
        <v>44945649.849126317</v>
      </c>
    </row>
    <row r="163" spans="1:94" hidden="1" x14ac:dyDescent="0.3">
      <c r="A163" s="29">
        <v>158</v>
      </c>
      <c r="B163" s="30" t="s">
        <v>21</v>
      </c>
      <c r="C163" s="30"/>
      <c r="D163" s="30" t="s">
        <v>467</v>
      </c>
      <c r="E163" s="30" t="s">
        <v>448</v>
      </c>
      <c r="F163" s="30" t="s">
        <v>449</v>
      </c>
      <c r="G163" s="62" t="s">
        <v>450</v>
      </c>
      <c r="H163" s="62" t="s">
        <v>118</v>
      </c>
      <c r="I163" s="30" t="s">
        <v>119</v>
      </c>
      <c r="J163" s="30" t="s">
        <v>120</v>
      </c>
      <c r="K163" s="30" t="s">
        <v>451</v>
      </c>
      <c r="L163" s="30" t="s">
        <v>122</v>
      </c>
      <c r="M163" s="73">
        <v>2101492</v>
      </c>
      <c r="N163" s="48" t="s">
        <v>138</v>
      </c>
      <c r="O163" s="30" t="s">
        <v>544</v>
      </c>
      <c r="P163" s="30" t="s">
        <v>536</v>
      </c>
      <c r="Q163" s="30" t="s">
        <v>537</v>
      </c>
      <c r="R163" s="30" t="s">
        <v>142</v>
      </c>
      <c r="S163" s="89">
        <v>310810068</v>
      </c>
      <c r="T163" s="30"/>
      <c r="U163" s="48"/>
      <c r="V163" s="62" t="s">
        <v>145</v>
      </c>
      <c r="W163" s="48" t="s">
        <v>146</v>
      </c>
      <c r="X163" s="48" t="s">
        <v>147</v>
      </c>
      <c r="Y163" s="48" t="s">
        <v>457</v>
      </c>
      <c r="Z163" s="48" t="s">
        <v>457</v>
      </c>
      <c r="AA163" s="48" t="s">
        <v>148</v>
      </c>
      <c r="AB163" s="48" t="s">
        <v>149</v>
      </c>
      <c r="AC163" s="48" t="s">
        <v>538</v>
      </c>
      <c r="AD163" s="48"/>
      <c r="AE163" s="48"/>
      <c r="AF163" s="48" t="s">
        <v>151</v>
      </c>
      <c r="AG163" s="30" t="s">
        <v>152</v>
      </c>
      <c r="AH163" s="48" t="s">
        <v>153</v>
      </c>
      <c r="AI163" s="48"/>
      <c r="AJ163" s="50"/>
      <c r="AK163" s="50"/>
      <c r="AL163" s="51"/>
      <c r="AM163" s="52"/>
      <c r="AN163" s="48"/>
      <c r="AO163" s="30"/>
      <c r="AP163" s="30"/>
      <c r="AQ163" s="30"/>
      <c r="AR163" s="30"/>
      <c r="AS163" s="30"/>
      <c r="AT163" s="30"/>
      <c r="AU163" s="53">
        <v>729848454</v>
      </c>
      <c r="AV163" s="47"/>
      <c r="AW163" s="47"/>
      <c r="AX163" s="47"/>
      <c r="AY163" s="47"/>
      <c r="AZ163" s="47"/>
      <c r="BA163" s="74">
        <v>22805157</v>
      </c>
      <c r="BB163" s="75">
        <v>1000</v>
      </c>
      <c r="BC163" s="52"/>
      <c r="BD163" s="52"/>
      <c r="BE163" s="52"/>
      <c r="BF163" s="30"/>
      <c r="BG163" s="30"/>
      <c r="BH163" s="30" t="s">
        <v>136</v>
      </c>
      <c r="BI163" s="30" t="str">
        <f t="shared" si="92"/>
        <v>Test</v>
      </c>
      <c r="BJ163" s="30" t="s">
        <v>250</v>
      </c>
      <c r="BK163" s="56">
        <f t="shared" si="93"/>
        <v>23945414.850000001</v>
      </c>
      <c r="BL163" s="57">
        <f t="shared" si="101"/>
        <v>2282685.6962901871</v>
      </c>
      <c r="BM163" s="57">
        <f t="shared" si="102"/>
        <v>760895.23209672899</v>
      </c>
      <c r="BP163" s="63">
        <f t="shared" si="103"/>
        <v>2282685.6962901871</v>
      </c>
      <c r="BQ163" s="63">
        <f t="shared" si="104"/>
        <v>2282685.6962901871</v>
      </c>
      <c r="BR163" s="63">
        <f t="shared" si="105"/>
        <v>4565371.3925803741</v>
      </c>
      <c r="BS163" s="63">
        <f t="shared" si="106"/>
        <v>2282685.6962901871</v>
      </c>
      <c r="BT163" s="63">
        <f t="shared" si="107"/>
        <v>2282685.6962901871</v>
      </c>
      <c r="BU163" s="58">
        <f t="shared" si="73"/>
        <v>2282685.6962901871</v>
      </c>
      <c r="BV163" s="58">
        <f t="shared" si="74"/>
        <v>2282685.6962901871</v>
      </c>
      <c r="BW163" s="58">
        <f t="shared" si="75"/>
        <v>9130742.7851607483</v>
      </c>
      <c r="BX163" s="58">
        <f t="shared" si="85"/>
        <v>2282685.6962901871</v>
      </c>
      <c r="BY163" s="58">
        <f t="shared" si="79"/>
        <v>2282685.6962901871</v>
      </c>
      <c r="BZ163" s="58">
        <f t="shared" si="76"/>
        <v>2282685.6962901871</v>
      </c>
      <c r="CA163" s="58">
        <f t="shared" si="80"/>
        <v>2282685.6962901871</v>
      </c>
      <c r="CB163" s="58">
        <f t="shared" si="86"/>
        <v>9130742.7851607483</v>
      </c>
      <c r="CC163" s="58">
        <f t="shared" si="87"/>
        <v>2282685.6962901871</v>
      </c>
      <c r="CD163" s="58">
        <f t="shared" si="100"/>
        <v>2282685.6962901871</v>
      </c>
      <c r="CE163" s="58">
        <f t="shared" si="100"/>
        <v>2282685.6962901871</v>
      </c>
      <c r="CF163" s="58">
        <f t="shared" si="100"/>
        <v>2282685.6962901871</v>
      </c>
      <c r="CG163" s="58">
        <f t="shared" si="88"/>
        <v>9130742.7851607483</v>
      </c>
      <c r="CH163" s="58">
        <f t="shared" si="89"/>
        <v>2282685.6962901871</v>
      </c>
      <c r="CI163" s="58">
        <f t="shared" si="90"/>
        <v>2282685.6962901871</v>
      </c>
      <c r="CJ163" s="58">
        <f t="shared" si="90"/>
        <v>2282685.6962901871</v>
      </c>
      <c r="CK163" s="58">
        <f t="shared" si="90"/>
        <v>2282685.6962901871</v>
      </c>
      <c r="CL163" s="58">
        <f t="shared" si="91"/>
        <v>9130742.7851607483</v>
      </c>
      <c r="CN163" s="59">
        <f t="shared" si="108"/>
        <v>2.3381203538707612E-3</v>
      </c>
      <c r="CO163" s="64">
        <f t="shared" si="109"/>
        <v>49100527.431285985</v>
      </c>
      <c r="CP163" s="2">
        <f t="shared" si="95"/>
        <v>73045942.281285986</v>
      </c>
    </row>
    <row r="164" spans="1:94" hidden="1" x14ac:dyDescent="0.3">
      <c r="A164" s="29">
        <v>159</v>
      </c>
      <c r="B164" s="30" t="s">
        <v>21</v>
      </c>
      <c r="C164" s="30"/>
      <c r="D164" s="30" t="s">
        <v>467</v>
      </c>
      <c r="E164" s="30" t="s">
        <v>448</v>
      </c>
      <c r="F164" s="30" t="s">
        <v>449</v>
      </c>
      <c r="G164" s="62" t="s">
        <v>450</v>
      </c>
      <c r="H164" s="62" t="s">
        <v>118</v>
      </c>
      <c r="I164" s="30" t="s">
        <v>119</v>
      </c>
      <c r="J164" s="30" t="s">
        <v>120</v>
      </c>
      <c r="K164" s="30" t="s">
        <v>451</v>
      </c>
      <c r="L164" s="30" t="s">
        <v>122</v>
      </c>
      <c r="M164" s="73">
        <v>2101493</v>
      </c>
      <c r="N164" s="48" t="s">
        <v>138</v>
      </c>
      <c r="O164" s="30" t="s">
        <v>545</v>
      </c>
      <c r="P164" s="30" t="s">
        <v>536</v>
      </c>
      <c r="Q164" s="30" t="s">
        <v>537</v>
      </c>
      <c r="R164" s="30" t="s">
        <v>142</v>
      </c>
      <c r="S164" s="89">
        <v>310810069</v>
      </c>
      <c r="T164" s="30"/>
      <c r="U164" s="48"/>
      <c r="V164" s="62" t="s">
        <v>145</v>
      </c>
      <c r="W164" s="48" t="s">
        <v>146</v>
      </c>
      <c r="X164" s="48" t="s">
        <v>147</v>
      </c>
      <c r="Y164" s="48" t="s">
        <v>457</v>
      </c>
      <c r="Z164" s="48" t="s">
        <v>457</v>
      </c>
      <c r="AA164" s="48" t="s">
        <v>148</v>
      </c>
      <c r="AB164" s="48" t="s">
        <v>149</v>
      </c>
      <c r="AC164" s="48" t="s">
        <v>538</v>
      </c>
      <c r="AD164" s="48"/>
      <c r="AE164" s="48"/>
      <c r="AF164" s="48" t="s">
        <v>151</v>
      </c>
      <c r="AG164" s="30" t="s">
        <v>152</v>
      </c>
      <c r="AH164" s="48" t="s">
        <v>153</v>
      </c>
      <c r="AI164" s="48"/>
      <c r="AJ164" s="50"/>
      <c r="AK164" s="50"/>
      <c r="AL164" s="51"/>
      <c r="AM164" s="52"/>
      <c r="AN164" s="48"/>
      <c r="AO164" s="30"/>
      <c r="AP164" s="30"/>
      <c r="AQ164" s="30"/>
      <c r="AR164" s="30"/>
      <c r="AS164" s="30"/>
      <c r="AT164" s="30"/>
      <c r="AU164" s="53">
        <v>729848454</v>
      </c>
      <c r="AV164" s="47"/>
      <c r="AW164" s="47"/>
      <c r="AX164" s="47"/>
      <c r="AY164" s="47"/>
      <c r="AZ164" s="47"/>
      <c r="BA164" s="74">
        <v>22805157</v>
      </c>
      <c r="BB164" s="75">
        <v>1000</v>
      </c>
      <c r="BC164" s="52"/>
      <c r="BD164" s="52"/>
      <c r="BE164" s="52"/>
      <c r="BF164" s="30"/>
      <c r="BG164" s="30"/>
      <c r="BH164" s="30" t="s">
        <v>136</v>
      </c>
      <c r="BI164" s="30" t="str">
        <f t="shared" si="92"/>
        <v>Test</v>
      </c>
      <c r="BJ164" s="30" t="s">
        <v>250</v>
      </c>
      <c r="BK164" s="56">
        <f t="shared" si="93"/>
        <v>23945414.850000001</v>
      </c>
      <c r="BL164" s="57">
        <f t="shared" si="101"/>
        <v>2282685.6962901871</v>
      </c>
      <c r="BM164" s="57">
        <f t="shared" si="102"/>
        <v>760895.23209672899</v>
      </c>
      <c r="BP164" s="63">
        <f t="shared" si="103"/>
        <v>2282685.6962901871</v>
      </c>
      <c r="BQ164" s="63">
        <f t="shared" si="104"/>
        <v>2282685.6962901871</v>
      </c>
      <c r="BR164" s="63">
        <f t="shared" si="105"/>
        <v>4565371.3925803741</v>
      </c>
      <c r="BS164" s="63">
        <f t="shared" si="106"/>
        <v>2282685.6962901871</v>
      </c>
      <c r="BT164" s="63">
        <f t="shared" si="107"/>
        <v>2282685.6962901871</v>
      </c>
      <c r="BU164" s="58">
        <f t="shared" si="73"/>
        <v>2282685.6962901871</v>
      </c>
      <c r="BV164" s="58">
        <f t="shared" si="74"/>
        <v>2282685.6962901871</v>
      </c>
      <c r="BW164" s="58">
        <f t="shared" si="75"/>
        <v>9130742.7851607483</v>
      </c>
      <c r="BX164" s="58">
        <f t="shared" si="85"/>
        <v>2282685.6962901871</v>
      </c>
      <c r="BY164" s="58">
        <f t="shared" si="79"/>
        <v>2282685.6962901871</v>
      </c>
      <c r="BZ164" s="58">
        <f t="shared" si="76"/>
        <v>2282685.6962901871</v>
      </c>
      <c r="CA164" s="58">
        <f t="shared" si="80"/>
        <v>2282685.6962901871</v>
      </c>
      <c r="CB164" s="58">
        <f t="shared" si="86"/>
        <v>9130742.7851607483</v>
      </c>
      <c r="CC164" s="58">
        <f t="shared" si="87"/>
        <v>2282685.6962901871</v>
      </c>
      <c r="CD164" s="58">
        <f t="shared" si="100"/>
        <v>2282685.6962901871</v>
      </c>
      <c r="CE164" s="58">
        <f t="shared" si="100"/>
        <v>2282685.6962901871</v>
      </c>
      <c r="CF164" s="58">
        <f t="shared" si="100"/>
        <v>2282685.6962901871</v>
      </c>
      <c r="CG164" s="58">
        <f t="shared" si="88"/>
        <v>9130742.7851607483</v>
      </c>
      <c r="CH164" s="58">
        <f t="shared" si="89"/>
        <v>2282685.6962901871</v>
      </c>
      <c r="CI164" s="58">
        <f t="shared" si="90"/>
        <v>2282685.6962901871</v>
      </c>
      <c r="CJ164" s="58">
        <f t="shared" si="90"/>
        <v>2282685.6962901871</v>
      </c>
      <c r="CK164" s="58">
        <f t="shared" si="90"/>
        <v>2282685.6962901871</v>
      </c>
      <c r="CL164" s="58">
        <f t="shared" si="91"/>
        <v>9130742.7851607483</v>
      </c>
      <c r="CN164" s="59">
        <f t="shared" si="108"/>
        <v>2.3381203538707612E-3</v>
      </c>
      <c r="CO164" s="64">
        <f t="shared" si="109"/>
        <v>49100527.431285985</v>
      </c>
      <c r="CP164" s="2">
        <f t="shared" si="95"/>
        <v>73045942.281285986</v>
      </c>
    </row>
    <row r="165" spans="1:94" hidden="1" x14ac:dyDescent="0.3">
      <c r="A165" s="29">
        <v>160</v>
      </c>
      <c r="B165" s="30" t="s">
        <v>21</v>
      </c>
      <c r="C165" s="30"/>
      <c r="D165" s="30" t="s">
        <v>467</v>
      </c>
      <c r="E165" s="30" t="s">
        <v>448</v>
      </c>
      <c r="F165" s="30" t="s">
        <v>449</v>
      </c>
      <c r="G165" s="62" t="s">
        <v>450</v>
      </c>
      <c r="H165" s="62" t="s">
        <v>118</v>
      </c>
      <c r="I165" s="30" t="s">
        <v>119</v>
      </c>
      <c r="J165" s="30" t="s">
        <v>120</v>
      </c>
      <c r="K165" s="30" t="s">
        <v>451</v>
      </c>
      <c r="L165" s="30" t="s">
        <v>122</v>
      </c>
      <c r="M165" s="73">
        <v>2101494</v>
      </c>
      <c r="N165" s="48" t="s">
        <v>138</v>
      </c>
      <c r="O165" s="30" t="s">
        <v>546</v>
      </c>
      <c r="P165" s="30" t="s">
        <v>536</v>
      </c>
      <c r="Q165" s="30" t="s">
        <v>537</v>
      </c>
      <c r="R165" s="30" t="s">
        <v>142</v>
      </c>
      <c r="S165" s="89">
        <v>310810070</v>
      </c>
      <c r="T165" s="30"/>
      <c r="U165" s="48"/>
      <c r="V165" s="62" t="s">
        <v>145</v>
      </c>
      <c r="W165" s="48" t="s">
        <v>146</v>
      </c>
      <c r="X165" s="48" t="s">
        <v>147</v>
      </c>
      <c r="Y165" s="48" t="s">
        <v>457</v>
      </c>
      <c r="Z165" s="48" t="s">
        <v>457</v>
      </c>
      <c r="AA165" s="48" t="s">
        <v>148</v>
      </c>
      <c r="AB165" s="48" t="s">
        <v>149</v>
      </c>
      <c r="AC165" s="48" t="s">
        <v>538</v>
      </c>
      <c r="AD165" s="48"/>
      <c r="AE165" s="48"/>
      <c r="AF165" s="48" t="s">
        <v>151</v>
      </c>
      <c r="AG165" s="30" t="s">
        <v>152</v>
      </c>
      <c r="AH165" s="48" t="s">
        <v>153</v>
      </c>
      <c r="AI165" s="48"/>
      <c r="AJ165" s="50"/>
      <c r="AK165" s="50"/>
      <c r="AL165" s="51"/>
      <c r="AM165" s="52"/>
      <c r="AN165" s="48"/>
      <c r="AO165" s="30"/>
      <c r="AP165" s="30"/>
      <c r="AQ165" s="30"/>
      <c r="AR165" s="30"/>
      <c r="AS165" s="30"/>
      <c r="AT165" s="30"/>
      <c r="AU165" s="53">
        <v>729848454</v>
      </c>
      <c r="AV165" s="47"/>
      <c r="AW165" s="47"/>
      <c r="AX165" s="47"/>
      <c r="AY165" s="47"/>
      <c r="AZ165" s="47"/>
      <c r="BA165" s="74">
        <v>22805157</v>
      </c>
      <c r="BB165" s="75">
        <v>1000</v>
      </c>
      <c r="BC165" s="52"/>
      <c r="BD165" s="52"/>
      <c r="BE165" s="52"/>
      <c r="BF165" s="30"/>
      <c r="BG165" s="30"/>
      <c r="BH165" s="30" t="s">
        <v>136</v>
      </c>
      <c r="BI165" s="30" t="str">
        <f t="shared" si="92"/>
        <v>Test</v>
      </c>
      <c r="BJ165" s="30" t="s">
        <v>250</v>
      </c>
      <c r="BK165" s="56">
        <f t="shared" si="93"/>
        <v>23945414.850000001</v>
      </c>
      <c r="BL165" s="57">
        <f t="shared" si="101"/>
        <v>2282685.6962901871</v>
      </c>
      <c r="BM165" s="57">
        <f t="shared" si="102"/>
        <v>760895.23209672899</v>
      </c>
      <c r="BP165" s="63">
        <f t="shared" si="103"/>
        <v>2282685.6962901871</v>
      </c>
      <c r="BQ165" s="63">
        <f t="shared" si="104"/>
        <v>2282685.6962901871</v>
      </c>
      <c r="BR165" s="63">
        <f t="shared" si="105"/>
        <v>4565371.3925803741</v>
      </c>
      <c r="BS165" s="63">
        <f t="shared" si="106"/>
        <v>2282685.6962901871</v>
      </c>
      <c r="BT165" s="63">
        <f t="shared" si="107"/>
        <v>2282685.6962901871</v>
      </c>
      <c r="BU165" s="58">
        <f t="shared" si="73"/>
        <v>2282685.6962901871</v>
      </c>
      <c r="BV165" s="58">
        <f t="shared" si="74"/>
        <v>2282685.6962901871</v>
      </c>
      <c r="BW165" s="58">
        <f t="shared" si="75"/>
        <v>9130742.7851607483</v>
      </c>
      <c r="BX165" s="58">
        <f t="shared" si="85"/>
        <v>2282685.6962901871</v>
      </c>
      <c r="BY165" s="58">
        <f t="shared" si="79"/>
        <v>2282685.6962901871</v>
      </c>
      <c r="BZ165" s="58">
        <f t="shared" si="76"/>
        <v>2282685.6962901871</v>
      </c>
      <c r="CA165" s="58">
        <f t="shared" si="80"/>
        <v>2282685.6962901871</v>
      </c>
      <c r="CB165" s="58">
        <f t="shared" si="86"/>
        <v>9130742.7851607483</v>
      </c>
      <c r="CC165" s="58">
        <f t="shared" si="87"/>
        <v>2282685.6962901871</v>
      </c>
      <c r="CD165" s="58">
        <f t="shared" si="100"/>
        <v>2282685.6962901871</v>
      </c>
      <c r="CE165" s="58">
        <f t="shared" si="100"/>
        <v>2282685.6962901871</v>
      </c>
      <c r="CF165" s="58">
        <f t="shared" si="100"/>
        <v>2282685.6962901871</v>
      </c>
      <c r="CG165" s="58">
        <f t="shared" si="88"/>
        <v>9130742.7851607483</v>
      </c>
      <c r="CH165" s="58">
        <f t="shared" si="89"/>
        <v>2282685.6962901871</v>
      </c>
      <c r="CI165" s="58">
        <f t="shared" si="90"/>
        <v>2282685.6962901871</v>
      </c>
      <c r="CJ165" s="58">
        <f t="shared" si="90"/>
        <v>2282685.6962901871</v>
      </c>
      <c r="CK165" s="58">
        <f t="shared" si="90"/>
        <v>2282685.6962901871</v>
      </c>
      <c r="CL165" s="58">
        <f t="shared" si="91"/>
        <v>9130742.7851607483</v>
      </c>
      <c r="CN165" s="59">
        <f t="shared" si="108"/>
        <v>2.3381203538707612E-3</v>
      </c>
      <c r="CO165" s="64">
        <f t="shared" si="109"/>
        <v>49100527.431285985</v>
      </c>
      <c r="CP165" s="2">
        <f t="shared" si="95"/>
        <v>73045942.281285986</v>
      </c>
    </row>
    <row r="166" spans="1:94" hidden="1" x14ac:dyDescent="0.3">
      <c r="A166" s="29">
        <v>161</v>
      </c>
      <c r="B166" s="30" t="s">
        <v>21</v>
      </c>
      <c r="C166" s="30"/>
      <c r="D166" s="30" t="s">
        <v>467</v>
      </c>
      <c r="E166" s="30" t="s">
        <v>448</v>
      </c>
      <c r="F166" s="30" t="s">
        <v>449</v>
      </c>
      <c r="G166" s="62" t="s">
        <v>450</v>
      </c>
      <c r="H166" s="62" t="s">
        <v>118</v>
      </c>
      <c r="I166" s="30" t="s">
        <v>119</v>
      </c>
      <c r="J166" s="30" t="s">
        <v>120</v>
      </c>
      <c r="K166" s="30" t="s">
        <v>451</v>
      </c>
      <c r="L166" s="30" t="s">
        <v>122</v>
      </c>
      <c r="M166" s="73">
        <v>2101495</v>
      </c>
      <c r="N166" s="48" t="s">
        <v>138</v>
      </c>
      <c r="O166" s="30" t="s">
        <v>547</v>
      </c>
      <c r="P166" s="30" t="s">
        <v>536</v>
      </c>
      <c r="Q166" s="30" t="s">
        <v>537</v>
      </c>
      <c r="R166" s="30" t="s">
        <v>142</v>
      </c>
      <c r="S166" s="89">
        <v>310810071</v>
      </c>
      <c r="T166" s="30"/>
      <c r="U166" s="48"/>
      <c r="V166" s="62" t="s">
        <v>145</v>
      </c>
      <c r="W166" s="48" t="s">
        <v>146</v>
      </c>
      <c r="X166" s="48" t="s">
        <v>147</v>
      </c>
      <c r="Y166" s="48" t="s">
        <v>457</v>
      </c>
      <c r="Z166" s="48" t="s">
        <v>457</v>
      </c>
      <c r="AA166" s="48" t="s">
        <v>148</v>
      </c>
      <c r="AB166" s="48" t="s">
        <v>149</v>
      </c>
      <c r="AC166" s="48" t="s">
        <v>538</v>
      </c>
      <c r="AD166" s="48"/>
      <c r="AE166" s="48"/>
      <c r="AF166" s="48" t="s">
        <v>151</v>
      </c>
      <c r="AG166" s="30" t="s">
        <v>152</v>
      </c>
      <c r="AH166" s="48" t="s">
        <v>153</v>
      </c>
      <c r="AI166" s="48"/>
      <c r="AJ166" s="50"/>
      <c r="AK166" s="50"/>
      <c r="AL166" s="51"/>
      <c r="AM166" s="52"/>
      <c r="AN166" s="48"/>
      <c r="AO166" s="30"/>
      <c r="AP166" s="30"/>
      <c r="AQ166" s="30"/>
      <c r="AR166" s="30"/>
      <c r="AS166" s="30"/>
      <c r="AT166" s="30"/>
      <c r="AU166" s="53">
        <v>729848453</v>
      </c>
      <c r="AV166" s="47"/>
      <c r="AW166" s="47"/>
      <c r="AX166" s="47"/>
      <c r="AY166" s="47"/>
      <c r="AZ166" s="47"/>
      <c r="BA166" s="74">
        <v>22805157</v>
      </c>
      <c r="BB166" s="75">
        <v>1000</v>
      </c>
      <c r="BC166" s="52"/>
      <c r="BD166" s="52"/>
      <c r="BE166" s="52"/>
      <c r="BF166" s="30"/>
      <c r="BG166" s="30"/>
      <c r="BH166" s="30" t="s">
        <v>136</v>
      </c>
      <c r="BI166" s="30" t="str">
        <f t="shared" si="92"/>
        <v>Test</v>
      </c>
      <c r="BJ166" s="30" t="s">
        <v>250</v>
      </c>
      <c r="BK166" s="56">
        <f t="shared" si="93"/>
        <v>23945414.850000001</v>
      </c>
      <c r="BL166" s="57">
        <f t="shared" si="101"/>
        <v>2282685.6962901871</v>
      </c>
      <c r="BM166" s="57">
        <f t="shared" si="102"/>
        <v>760895.23209672899</v>
      </c>
      <c r="BP166" s="63">
        <f t="shared" si="103"/>
        <v>2282685.6962901871</v>
      </c>
      <c r="BQ166" s="63">
        <f t="shared" si="104"/>
        <v>2282685.6962901871</v>
      </c>
      <c r="BR166" s="63">
        <f t="shared" si="105"/>
        <v>4565371.3925803741</v>
      </c>
      <c r="BS166" s="63">
        <f t="shared" si="106"/>
        <v>2282685.6962901871</v>
      </c>
      <c r="BT166" s="63">
        <f t="shared" si="107"/>
        <v>2282685.6962901871</v>
      </c>
      <c r="BU166" s="58">
        <f t="shared" si="73"/>
        <v>2282685.6962901871</v>
      </c>
      <c r="BV166" s="58">
        <f t="shared" si="74"/>
        <v>2282685.6962901871</v>
      </c>
      <c r="BW166" s="58">
        <f t="shared" si="75"/>
        <v>9130742.7851607483</v>
      </c>
      <c r="BX166" s="58">
        <f t="shared" si="85"/>
        <v>2282685.6962901871</v>
      </c>
      <c r="BY166" s="58">
        <f t="shared" si="79"/>
        <v>2282685.6962901871</v>
      </c>
      <c r="BZ166" s="58">
        <f t="shared" si="76"/>
        <v>2282685.6962901871</v>
      </c>
      <c r="CA166" s="58">
        <f t="shared" si="80"/>
        <v>2282685.6962901871</v>
      </c>
      <c r="CB166" s="58">
        <f t="shared" si="86"/>
        <v>9130742.7851607483</v>
      </c>
      <c r="CC166" s="58">
        <f t="shared" si="87"/>
        <v>2282685.6962901871</v>
      </c>
      <c r="CD166" s="58">
        <f t="shared" ref="CD166:CF185" si="110">CC166</f>
        <v>2282685.6962901871</v>
      </c>
      <c r="CE166" s="58">
        <f t="shared" si="110"/>
        <v>2282685.6962901871</v>
      </c>
      <c r="CF166" s="58">
        <f t="shared" si="110"/>
        <v>2282685.6962901871</v>
      </c>
      <c r="CG166" s="58">
        <f t="shared" si="88"/>
        <v>9130742.7851607483</v>
      </c>
      <c r="CH166" s="58">
        <f t="shared" si="89"/>
        <v>2282685.6962901871</v>
      </c>
      <c r="CI166" s="58">
        <f t="shared" si="90"/>
        <v>2282685.6962901871</v>
      </c>
      <c r="CJ166" s="58">
        <f t="shared" si="90"/>
        <v>2282685.6962901871</v>
      </c>
      <c r="CK166" s="58">
        <f t="shared" si="90"/>
        <v>2282685.6962901871</v>
      </c>
      <c r="CL166" s="58">
        <f t="shared" si="91"/>
        <v>9130742.7851607483</v>
      </c>
      <c r="CN166" s="59">
        <f t="shared" si="108"/>
        <v>2.3381203538707612E-3</v>
      </c>
      <c r="CO166" s="64">
        <f t="shared" si="109"/>
        <v>49100527.431285985</v>
      </c>
      <c r="CP166" s="2">
        <f t="shared" si="95"/>
        <v>73045942.281285986</v>
      </c>
    </row>
    <row r="167" spans="1:94" hidden="1" x14ac:dyDescent="0.3">
      <c r="A167" s="29">
        <v>162</v>
      </c>
      <c r="B167" s="30" t="s">
        <v>21</v>
      </c>
      <c r="C167" s="30"/>
      <c r="D167" s="30" t="s">
        <v>114</v>
      </c>
      <c r="E167" s="30" t="s">
        <v>115</v>
      </c>
      <c r="F167" s="30" t="s">
        <v>116</v>
      </c>
      <c r="G167" s="62" t="s">
        <v>548</v>
      </c>
      <c r="H167" s="62" t="s">
        <v>549</v>
      </c>
      <c r="I167" s="30" t="s">
        <v>119</v>
      </c>
      <c r="J167" s="30" t="s">
        <v>120</v>
      </c>
      <c r="K167" s="30" t="s">
        <v>451</v>
      </c>
      <c r="L167" s="30" t="s">
        <v>122</v>
      </c>
      <c r="M167" s="73">
        <v>2101496</v>
      </c>
      <c r="N167" s="48" t="s">
        <v>138</v>
      </c>
      <c r="O167" s="48" t="s">
        <v>550</v>
      </c>
      <c r="P167" s="30" t="s">
        <v>536</v>
      </c>
      <c r="Q167" s="30" t="s">
        <v>537</v>
      </c>
      <c r="R167" s="30" t="s">
        <v>142</v>
      </c>
      <c r="S167" s="61">
        <v>310754777</v>
      </c>
      <c r="T167" s="30" t="s">
        <v>551</v>
      </c>
      <c r="U167" s="48" t="s">
        <v>219</v>
      </c>
      <c r="V167" s="62" t="s">
        <v>145</v>
      </c>
      <c r="W167" s="48" t="s">
        <v>146</v>
      </c>
      <c r="X167" s="48" t="s">
        <v>147</v>
      </c>
      <c r="Y167" s="48" t="s">
        <v>457</v>
      </c>
      <c r="Z167" s="48" t="s">
        <v>457</v>
      </c>
      <c r="AA167" s="48" t="s">
        <v>148</v>
      </c>
      <c r="AB167" s="48" t="s">
        <v>149</v>
      </c>
      <c r="AC167" s="48" t="s">
        <v>538</v>
      </c>
      <c r="AD167" s="48"/>
      <c r="AE167" s="48"/>
      <c r="AF167" s="48" t="s">
        <v>151</v>
      </c>
      <c r="AG167" s="30" t="s">
        <v>152</v>
      </c>
      <c r="AH167" s="48" t="s">
        <v>153</v>
      </c>
      <c r="AI167" s="48"/>
      <c r="AJ167" s="50"/>
      <c r="AK167" s="50"/>
      <c r="AL167" s="51"/>
      <c r="AM167" s="52"/>
      <c r="AN167" s="48"/>
      <c r="AO167" s="30"/>
      <c r="AP167" s="30"/>
      <c r="AQ167" s="30"/>
      <c r="AR167" s="30"/>
      <c r="AS167" s="30"/>
      <c r="AT167" s="30"/>
      <c r="AU167" s="53">
        <v>707700000</v>
      </c>
      <c r="AV167" s="95"/>
      <c r="AW167" s="95"/>
      <c r="AX167" s="95">
        <v>707700000</v>
      </c>
      <c r="AY167" s="95"/>
      <c r="AZ167" s="95"/>
      <c r="BA167" s="74">
        <v>36855164</v>
      </c>
      <c r="BB167" s="75">
        <v>1000</v>
      </c>
      <c r="BC167" s="52">
        <v>96</v>
      </c>
      <c r="BD167" s="52">
        <v>102</v>
      </c>
      <c r="BE167" s="52">
        <v>0</v>
      </c>
      <c r="BF167" s="30"/>
      <c r="BG167" s="30"/>
      <c r="BH167" s="30" t="s">
        <v>136</v>
      </c>
      <c r="BI167" s="30" t="str">
        <f t="shared" si="92"/>
        <v>Test</v>
      </c>
      <c r="BJ167" s="30" t="s">
        <v>250</v>
      </c>
      <c r="BK167" s="56">
        <f t="shared" si="93"/>
        <v>38697922.200000003</v>
      </c>
      <c r="BL167" s="57">
        <f t="shared" si="101"/>
        <v>3689023.3071944667</v>
      </c>
      <c r="BM167" s="57">
        <f t="shared" si="102"/>
        <v>1229674.435731489</v>
      </c>
      <c r="BP167" s="63">
        <f t="shared" si="103"/>
        <v>3689023.3071944667</v>
      </c>
      <c r="BQ167" s="63">
        <f t="shared" si="104"/>
        <v>3689023.3071944667</v>
      </c>
      <c r="BR167" s="63">
        <f t="shared" si="105"/>
        <v>7378046.6143889334</v>
      </c>
      <c r="BS167" s="63">
        <f t="shared" si="106"/>
        <v>3689023.3071944667</v>
      </c>
      <c r="BT167" s="63">
        <f t="shared" si="107"/>
        <v>3689023.3071944667</v>
      </c>
      <c r="BU167" s="58">
        <f t="shared" si="73"/>
        <v>3689023.3071944667</v>
      </c>
      <c r="BV167" s="58">
        <f t="shared" si="74"/>
        <v>3689023.3071944667</v>
      </c>
      <c r="BW167" s="58">
        <f t="shared" si="75"/>
        <v>14756093.228777867</v>
      </c>
      <c r="BX167" s="58">
        <f t="shared" si="85"/>
        <v>3689023.3071944667</v>
      </c>
      <c r="BY167" s="58">
        <f t="shared" si="79"/>
        <v>3689023.3071944667</v>
      </c>
      <c r="BZ167" s="58">
        <f t="shared" si="76"/>
        <v>3689023.3071944667</v>
      </c>
      <c r="CA167" s="58">
        <f t="shared" si="80"/>
        <v>3689023.3071944667</v>
      </c>
      <c r="CB167" s="58">
        <f t="shared" si="86"/>
        <v>14756093.228777867</v>
      </c>
      <c r="CC167" s="58">
        <f t="shared" si="87"/>
        <v>3689023.3071944667</v>
      </c>
      <c r="CD167" s="58">
        <f t="shared" si="110"/>
        <v>3689023.3071944667</v>
      </c>
      <c r="CE167" s="58">
        <f t="shared" si="110"/>
        <v>3689023.3071944667</v>
      </c>
      <c r="CF167" s="58">
        <f t="shared" si="110"/>
        <v>3689023.3071944667</v>
      </c>
      <c r="CG167" s="58">
        <f t="shared" si="88"/>
        <v>14756093.228777867</v>
      </c>
      <c r="CH167" s="58">
        <f t="shared" si="89"/>
        <v>3689023.3071944667</v>
      </c>
      <c r="CI167" s="58">
        <f t="shared" si="90"/>
        <v>3689023.3071944667</v>
      </c>
      <c r="CJ167" s="58">
        <f t="shared" si="90"/>
        <v>3689023.3071944667</v>
      </c>
      <c r="CK167" s="58">
        <f t="shared" si="90"/>
        <v>3689023.3071944667</v>
      </c>
      <c r="CL167" s="58">
        <f t="shared" si="91"/>
        <v>14756093.228777867</v>
      </c>
      <c r="CN167" s="59">
        <f t="shared" si="108"/>
        <v>3.7786106490582346E-3</v>
      </c>
      <c r="CO167" s="64">
        <f t="shared" si="109"/>
        <v>79350823.630222932</v>
      </c>
      <c r="CP167" s="2">
        <f t="shared" si="95"/>
        <v>118048745.83022293</v>
      </c>
    </row>
    <row r="168" spans="1:94" hidden="1" x14ac:dyDescent="0.3">
      <c r="A168" s="29">
        <v>163</v>
      </c>
      <c r="B168" s="30" t="s">
        <v>21</v>
      </c>
      <c r="C168" s="30"/>
      <c r="D168" s="30" t="s">
        <v>467</v>
      </c>
      <c r="E168" s="30" t="s">
        <v>448</v>
      </c>
      <c r="F168" s="30" t="s">
        <v>449</v>
      </c>
      <c r="G168" s="62" t="s">
        <v>450</v>
      </c>
      <c r="H168" s="62" t="s">
        <v>118</v>
      </c>
      <c r="I168" s="30" t="s">
        <v>119</v>
      </c>
      <c r="J168" s="30" t="s">
        <v>120</v>
      </c>
      <c r="K168" s="30" t="s">
        <v>451</v>
      </c>
      <c r="L168" s="30" t="s">
        <v>122</v>
      </c>
      <c r="M168" s="73">
        <v>2100466</v>
      </c>
      <c r="N168" s="30" t="s">
        <v>138</v>
      </c>
      <c r="O168" s="30" t="s">
        <v>552</v>
      </c>
      <c r="P168" s="86" t="s">
        <v>453</v>
      </c>
      <c r="Q168" s="86" t="s">
        <v>454</v>
      </c>
      <c r="R168" s="86" t="s">
        <v>173</v>
      </c>
      <c r="S168" s="89">
        <v>310821933</v>
      </c>
      <c r="T168" s="30"/>
      <c r="U168" s="48"/>
      <c r="V168" s="30" t="s">
        <v>415</v>
      </c>
      <c r="W168" s="30" t="s">
        <v>456</v>
      </c>
      <c r="X168" s="30"/>
      <c r="Y168" s="48" t="s">
        <v>457</v>
      </c>
      <c r="Z168" s="48" t="s">
        <v>457</v>
      </c>
      <c r="AA168" s="20" t="s">
        <v>148</v>
      </c>
      <c r="AB168" s="72" t="s">
        <v>177</v>
      </c>
      <c r="AC168" s="48" t="s">
        <v>470</v>
      </c>
      <c r="AD168" s="87" t="s">
        <v>471</v>
      </c>
      <c r="AE168" s="48"/>
      <c r="AF168" s="48" t="s">
        <v>179</v>
      </c>
      <c r="AG168" s="48" t="s">
        <v>152</v>
      </c>
      <c r="AH168" s="48" t="s">
        <v>458</v>
      </c>
      <c r="AI168" s="48"/>
      <c r="AJ168" s="50"/>
      <c r="AK168" s="50"/>
      <c r="AL168" s="51"/>
      <c r="AM168" s="52"/>
      <c r="AN168" s="48"/>
      <c r="AO168" s="30"/>
      <c r="AP168" s="30"/>
      <c r="AQ168" s="30"/>
      <c r="AR168" s="30"/>
      <c r="AS168" s="30"/>
      <c r="AT168" s="30"/>
      <c r="AU168" s="53">
        <v>261702138</v>
      </c>
      <c r="AV168" s="47"/>
      <c r="AW168" s="47"/>
      <c r="AX168" s="47"/>
      <c r="AY168" s="47"/>
      <c r="AZ168" s="47"/>
      <c r="BA168" s="74">
        <v>13630320</v>
      </c>
      <c r="BB168" s="74">
        <v>1000</v>
      </c>
      <c r="BC168" s="52"/>
      <c r="BD168" s="52"/>
      <c r="BE168" s="52"/>
      <c r="BF168" s="30"/>
      <c r="BG168" s="30"/>
      <c r="BH168" s="30" t="s">
        <v>136</v>
      </c>
      <c r="BI168" s="30" t="str">
        <f t="shared" si="92"/>
        <v>Test</v>
      </c>
      <c r="BJ168" s="30" t="s">
        <v>250</v>
      </c>
      <c r="BK168" s="56">
        <f t="shared" si="93"/>
        <v>14311836</v>
      </c>
      <c r="BL168" s="57">
        <f t="shared" si="101"/>
        <v>447244.875</v>
      </c>
      <c r="BM168" s="57">
        <f t="shared" si="102"/>
        <v>149081.625</v>
      </c>
      <c r="BU168" s="58">
        <f t="shared" si="73"/>
        <v>447244.875</v>
      </c>
      <c r="BV168" s="58">
        <f t="shared" si="74"/>
        <v>447244.875</v>
      </c>
      <c r="BW168" s="58">
        <f t="shared" si="75"/>
        <v>894489.75</v>
      </c>
      <c r="BX168" s="58">
        <f t="shared" si="85"/>
        <v>447244.875</v>
      </c>
      <c r="BY168" s="58">
        <f t="shared" si="79"/>
        <v>447244.875</v>
      </c>
      <c r="BZ168" s="58">
        <f t="shared" si="76"/>
        <v>447244.875</v>
      </c>
      <c r="CA168" s="58">
        <f t="shared" si="80"/>
        <v>447244.875</v>
      </c>
      <c r="CB168" s="58">
        <f t="shared" si="86"/>
        <v>1788979.5</v>
      </c>
      <c r="CC168" s="58">
        <f t="shared" si="87"/>
        <v>447244.875</v>
      </c>
      <c r="CD168" s="58">
        <f t="shared" si="110"/>
        <v>447244.875</v>
      </c>
      <c r="CE168" s="58">
        <f t="shared" si="110"/>
        <v>447244.875</v>
      </c>
      <c r="CF168" s="58">
        <f t="shared" si="110"/>
        <v>447244.875</v>
      </c>
      <c r="CG168" s="58">
        <f t="shared" si="88"/>
        <v>1788979.5</v>
      </c>
      <c r="CH168" s="58">
        <f t="shared" si="89"/>
        <v>447244.875</v>
      </c>
      <c r="CI168" s="58">
        <f t="shared" si="90"/>
        <v>447244.875</v>
      </c>
      <c r="CJ168" s="58">
        <f t="shared" si="90"/>
        <v>447244.875</v>
      </c>
      <c r="CK168" s="58">
        <f t="shared" si="90"/>
        <v>447244.875</v>
      </c>
      <c r="CL168" s="58">
        <f t="shared" si="91"/>
        <v>1788979.5</v>
      </c>
      <c r="CP168" s="2">
        <f t="shared" si="95"/>
        <v>14311836</v>
      </c>
    </row>
    <row r="169" spans="1:94" hidden="1" x14ac:dyDescent="0.3">
      <c r="A169" s="29">
        <v>164</v>
      </c>
      <c r="B169" s="30" t="s">
        <v>21</v>
      </c>
      <c r="C169" s="30"/>
      <c r="D169" s="30" t="s">
        <v>553</v>
      </c>
      <c r="E169" s="30" t="s">
        <v>115</v>
      </c>
      <c r="F169" s="30" t="s">
        <v>554</v>
      </c>
      <c r="G169" s="30" t="s">
        <v>555</v>
      </c>
      <c r="H169" s="30" t="s">
        <v>385</v>
      </c>
      <c r="I169" s="30" t="s">
        <v>119</v>
      </c>
      <c r="J169" s="30" t="s">
        <v>556</v>
      </c>
      <c r="K169" s="30" t="s">
        <v>557</v>
      </c>
      <c r="L169" s="30" t="s">
        <v>558</v>
      </c>
      <c r="M169" s="79">
        <v>2100040</v>
      </c>
      <c r="N169" s="48" t="s">
        <v>559</v>
      </c>
      <c r="O169" s="48" t="s">
        <v>560</v>
      </c>
      <c r="P169" s="48"/>
      <c r="Q169" s="48" t="s">
        <v>561</v>
      </c>
      <c r="R169" s="48"/>
      <c r="S169" s="48" t="s">
        <v>562</v>
      </c>
      <c r="T169" s="48" t="s">
        <v>563</v>
      </c>
      <c r="U169" s="48" t="s">
        <v>144</v>
      </c>
      <c r="V169" s="48"/>
      <c r="W169" s="48" t="s">
        <v>564</v>
      </c>
      <c r="X169" s="48"/>
      <c r="Y169" s="48" t="s">
        <v>457</v>
      </c>
      <c r="Z169" s="48" t="s">
        <v>457</v>
      </c>
      <c r="AA169" s="48" t="s">
        <v>129</v>
      </c>
      <c r="AB169" s="48" t="s">
        <v>565</v>
      </c>
      <c r="AC169" s="48" t="s">
        <v>565</v>
      </c>
      <c r="AD169" s="48" t="s">
        <v>566</v>
      </c>
      <c r="AE169" s="48"/>
      <c r="AF169" s="48" t="s">
        <v>131</v>
      </c>
      <c r="AG169" s="48" t="s">
        <v>567</v>
      </c>
      <c r="AH169" s="48"/>
      <c r="AI169" s="48"/>
      <c r="AJ169" s="98"/>
      <c r="AK169" s="80">
        <v>37438</v>
      </c>
      <c r="AL169" s="51">
        <f t="shared" ref="AL169:AL232" si="111">($AL$1-AK169)/365</f>
        <v>23.350684931506848</v>
      </c>
      <c r="AM169" s="52">
        <v>12</v>
      </c>
      <c r="AN169" s="48" t="s">
        <v>132</v>
      </c>
      <c r="AO169" s="30" t="s">
        <v>133</v>
      </c>
      <c r="AP169" s="30" t="s">
        <v>134</v>
      </c>
      <c r="AQ169" s="48"/>
      <c r="AR169" s="48"/>
      <c r="AS169" s="48"/>
      <c r="AT169" s="48"/>
      <c r="AU169" s="53">
        <v>48463922</v>
      </c>
      <c r="AV169" s="54"/>
      <c r="AW169" s="54"/>
      <c r="AX169" s="54">
        <v>48463922</v>
      </c>
      <c r="AY169" s="54"/>
      <c r="AZ169" s="54"/>
      <c r="BA169" s="74">
        <v>1000</v>
      </c>
      <c r="BB169" s="74">
        <v>1000</v>
      </c>
      <c r="BC169" s="52">
        <v>144</v>
      </c>
      <c r="BD169" s="52">
        <v>282</v>
      </c>
      <c r="BE169" s="52">
        <v>0</v>
      </c>
      <c r="BF169" s="30"/>
      <c r="BG169" s="30" t="s">
        <v>568</v>
      </c>
      <c r="BH169" s="30" t="s">
        <v>569</v>
      </c>
      <c r="BI169" s="30" t="str">
        <f t="shared" si="92"/>
        <v>Bump</v>
      </c>
      <c r="BJ169" s="30" t="s">
        <v>250</v>
      </c>
      <c r="BK169" s="56">
        <f t="shared" si="93"/>
        <v>969278.44000000006</v>
      </c>
      <c r="BL169" s="57">
        <f t="shared" si="101"/>
        <v>30289.951250000002</v>
      </c>
      <c r="BM169" s="57">
        <f t="shared" si="102"/>
        <v>10096.650416666667</v>
      </c>
      <c r="BU169" s="58">
        <f t="shared" si="73"/>
        <v>30289.951250000002</v>
      </c>
      <c r="BV169" s="58">
        <f t="shared" si="74"/>
        <v>30289.951250000002</v>
      </c>
      <c r="BW169" s="58">
        <f t="shared" si="75"/>
        <v>60579.902500000004</v>
      </c>
      <c r="BX169" s="58">
        <f t="shared" si="85"/>
        <v>30289.951250000002</v>
      </c>
      <c r="BY169" s="58">
        <f t="shared" si="79"/>
        <v>30289.951250000002</v>
      </c>
      <c r="BZ169" s="58">
        <f t="shared" si="76"/>
        <v>30289.951250000002</v>
      </c>
      <c r="CA169" s="58">
        <f t="shared" si="80"/>
        <v>30289.951250000002</v>
      </c>
      <c r="CB169" s="58">
        <f t="shared" si="86"/>
        <v>121159.80500000001</v>
      </c>
      <c r="CC169" s="58">
        <f t="shared" si="87"/>
        <v>30289.951250000002</v>
      </c>
      <c r="CD169" s="58">
        <f t="shared" si="110"/>
        <v>30289.951250000002</v>
      </c>
      <c r="CE169" s="58">
        <f t="shared" si="110"/>
        <v>30289.951250000002</v>
      </c>
      <c r="CF169" s="58">
        <f t="shared" si="110"/>
        <v>30289.951250000002</v>
      </c>
      <c r="CG169" s="58">
        <f t="shared" si="88"/>
        <v>121159.80500000001</v>
      </c>
      <c r="CH169" s="58">
        <f t="shared" si="89"/>
        <v>30289.951250000002</v>
      </c>
      <c r="CI169" s="58">
        <f t="shared" si="90"/>
        <v>30289.951250000002</v>
      </c>
      <c r="CJ169" s="58">
        <f t="shared" si="90"/>
        <v>30289.951250000002</v>
      </c>
      <c r="CK169" s="58">
        <f t="shared" si="90"/>
        <v>30289.951250000002</v>
      </c>
      <c r="CL169" s="58">
        <f t="shared" si="91"/>
        <v>121159.80500000001</v>
      </c>
      <c r="CP169" s="2">
        <f t="shared" si="95"/>
        <v>969278.44000000006</v>
      </c>
    </row>
    <row r="170" spans="1:94" ht="16.5" hidden="1" x14ac:dyDescent="0.3">
      <c r="A170" s="2">
        <v>165</v>
      </c>
      <c r="B170" s="47" t="s">
        <v>21</v>
      </c>
      <c r="C170" s="47"/>
      <c r="D170" s="30" t="s">
        <v>553</v>
      </c>
      <c r="E170" s="30" t="s">
        <v>115</v>
      </c>
      <c r="F170" s="30" t="s">
        <v>554</v>
      </c>
      <c r="G170" s="30" t="s">
        <v>555</v>
      </c>
      <c r="H170" s="48" t="s">
        <v>118</v>
      </c>
      <c r="I170" s="30" t="s">
        <v>119</v>
      </c>
      <c r="J170" s="30" t="s">
        <v>556</v>
      </c>
      <c r="K170" s="30" t="s">
        <v>557</v>
      </c>
      <c r="L170" s="48" t="s">
        <v>570</v>
      </c>
      <c r="M170" s="79">
        <v>2100055</v>
      </c>
      <c r="N170" s="48" t="s">
        <v>559</v>
      </c>
      <c r="O170" s="48" t="s">
        <v>571</v>
      </c>
      <c r="P170" s="48"/>
      <c r="Q170" s="48" t="s">
        <v>572</v>
      </c>
      <c r="R170" s="48"/>
      <c r="S170" s="48" t="s">
        <v>573</v>
      </c>
      <c r="T170" s="48" t="s">
        <v>574</v>
      </c>
      <c r="U170" s="48" t="s">
        <v>144</v>
      </c>
      <c r="V170" s="48"/>
      <c r="W170" s="48" t="s">
        <v>575</v>
      </c>
      <c r="X170" s="48" t="s">
        <v>576</v>
      </c>
      <c r="Y170" s="99" t="s">
        <v>576</v>
      </c>
      <c r="Z170" s="99" t="s">
        <v>576</v>
      </c>
      <c r="AA170" s="48" t="s">
        <v>129</v>
      </c>
      <c r="AB170" s="48" t="s">
        <v>577</v>
      </c>
      <c r="AC170" s="48" t="s">
        <v>577</v>
      </c>
      <c r="AD170" s="48" t="s">
        <v>566</v>
      </c>
      <c r="AE170" s="48"/>
      <c r="AF170" s="48" t="s">
        <v>131</v>
      </c>
      <c r="AG170" s="48" t="s">
        <v>567</v>
      </c>
      <c r="AH170" s="48"/>
      <c r="AI170" s="48"/>
      <c r="AJ170" s="98"/>
      <c r="AK170" s="80">
        <v>43045</v>
      </c>
      <c r="AL170" s="51">
        <f t="shared" si="111"/>
        <v>7.9890410958904106</v>
      </c>
      <c r="AM170" s="52">
        <v>12</v>
      </c>
      <c r="AN170" s="48" t="s">
        <v>220</v>
      </c>
      <c r="AO170" s="30" t="s">
        <v>133</v>
      </c>
      <c r="AP170" s="30" t="s">
        <v>134</v>
      </c>
      <c r="AQ170" s="48"/>
      <c r="AR170" s="48"/>
      <c r="AS170" s="48"/>
      <c r="AT170" s="48"/>
      <c r="AU170" s="53">
        <v>27400000</v>
      </c>
      <c r="AV170" s="54"/>
      <c r="AW170" s="54"/>
      <c r="AX170" s="54">
        <v>27400000</v>
      </c>
      <c r="AY170" s="54"/>
      <c r="AZ170" s="54"/>
      <c r="BA170" s="54">
        <v>9141382</v>
      </c>
      <c r="BB170" s="55">
        <v>3001410</v>
      </c>
      <c r="BC170" s="52">
        <v>144</v>
      </c>
      <c r="BD170" s="52">
        <v>97</v>
      </c>
      <c r="BE170" s="52">
        <v>46</v>
      </c>
      <c r="BF170" s="30"/>
      <c r="BG170" s="30" t="s">
        <v>578</v>
      </c>
      <c r="BH170" s="30" t="s">
        <v>569</v>
      </c>
      <c r="BI170" s="30" t="str">
        <f t="shared" si="92"/>
        <v>Bump</v>
      </c>
      <c r="BJ170" s="47" t="s">
        <v>137</v>
      </c>
      <c r="BK170" s="67">
        <f t="shared" si="93"/>
        <v>9598451.0999999996</v>
      </c>
      <c r="BL170" s="68">
        <f t="shared" si="101"/>
        <v>915008.03681047144</v>
      </c>
      <c r="BM170" s="68">
        <f t="shared" si="102"/>
        <v>305002.6789368238</v>
      </c>
      <c r="BP170" s="69">
        <f>BM170*3</f>
        <v>915008.03681047144</v>
      </c>
      <c r="BQ170" s="69">
        <f>BP170</f>
        <v>915008.03681047144</v>
      </c>
      <c r="BR170" s="69">
        <f>SUM(BN170:BQ170)</f>
        <v>1830016.0736209429</v>
      </c>
      <c r="BS170" s="69">
        <f>BQ170</f>
        <v>915008.03681047144</v>
      </c>
      <c r="BT170" s="69">
        <f>BS170</f>
        <v>915008.03681047144</v>
      </c>
      <c r="BU170" s="100">
        <f>BT170</f>
        <v>915008.03681047144</v>
      </c>
      <c r="BV170" s="100">
        <f>BU170</f>
        <v>915008.03681047144</v>
      </c>
      <c r="BW170" s="100">
        <f t="shared" ref="BW170:BW205" si="112">SUM(BS170:BV170)</f>
        <v>3660032.1472418858</v>
      </c>
      <c r="BX170" s="101">
        <f>BV170</f>
        <v>915008.03681047144</v>
      </c>
      <c r="BY170" s="101">
        <f>BX170</f>
        <v>915008.03681047144</v>
      </c>
      <c r="BZ170" s="101">
        <f>BY170</f>
        <v>915008.03681047144</v>
      </c>
      <c r="CA170" s="101">
        <f t="shared" si="80"/>
        <v>915008.03681047144</v>
      </c>
      <c r="CB170" s="100">
        <f t="shared" si="86"/>
        <v>3660032.1472418858</v>
      </c>
      <c r="CC170" s="101">
        <f t="shared" si="87"/>
        <v>915008.03681047144</v>
      </c>
      <c r="CD170" s="101">
        <f t="shared" si="110"/>
        <v>915008.03681047144</v>
      </c>
      <c r="CE170" s="101">
        <f t="shared" si="110"/>
        <v>915008.03681047144</v>
      </c>
      <c r="CF170" s="101">
        <f t="shared" si="110"/>
        <v>915008.03681047144</v>
      </c>
      <c r="CG170" s="100">
        <f t="shared" si="88"/>
        <v>3660032.1472418858</v>
      </c>
      <c r="CH170" s="101">
        <f t="shared" si="89"/>
        <v>915008.03681047144</v>
      </c>
      <c r="CI170" s="101">
        <f t="shared" si="90"/>
        <v>915008.03681047144</v>
      </c>
      <c r="CJ170" s="101">
        <f t="shared" si="90"/>
        <v>915008.03681047144</v>
      </c>
      <c r="CK170" s="101">
        <f t="shared" si="90"/>
        <v>915008.03681047144</v>
      </c>
      <c r="CL170" s="100">
        <f t="shared" si="91"/>
        <v>3660032.1472418858</v>
      </c>
      <c r="CM170" s="71"/>
      <c r="CN170" s="59">
        <f>BK170/$CN$3</f>
        <v>9.372288608540518E-4</v>
      </c>
      <c r="CO170" s="64">
        <f>CN170*$CO$4</f>
        <v>19681806.077935088</v>
      </c>
      <c r="CP170" s="2">
        <f t="shared" si="95"/>
        <v>29280257.177935086</v>
      </c>
    </row>
    <row r="171" spans="1:94" hidden="1" x14ac:dyDescent="0.3">
      <c r="A171" s="29">
        <v>166</v>
      </c>
      <c r="B171" s="30" t="s">
        <v>21</v>
      </c>
      <c r="C171" s="30"/>
      <c r="D171" s="30" t="s">
        <v>553</v>
      </c>
      <c r="E171" s="30" t="s">
        <v>115</v>
      </c>
      <c r="F171" s="30" t="s">
        <v>579</v>
      </c>
      <c r="G171" s="48" t="s">
        <v>580</v>
      </c>
      <c r="H171" s="48" t="s">
        <v>118</v>
      </c>
      <c r="I171" s="30" t="s">
        <v>119</v>
      </c>
      <c r="J171" s="30" t="s">
        <v>556</v>
      </c>
      <c r="K171" s="30" t="s">
        <v>557</v>
      </c>
      <c r="L171" s="48" t="s">
        <v>581</v>
      </c>
      <c r="M171" s="79">
        <v>2100063</v>
      </c>
      <c r="N171" s="48" t="s">
        <v>582</v>
      </c>
      <c r="O171" s="48" t="s">
        <v>583</v>
      </c>
      <c r="P171" s="48" t="s">
        <v>584</v>
      </c>
      <c r="Q171" s="48" t="s">
        <v>585</v>
      </c>
      <c r="R171" s="48"/>
      <c r="S171" s="48" t="s">
        <v>586</v>
      </c>
      <c r="T171" s="102" t="s">
        <v>587</v>
      </c>
      <c r="U171" s="48" t="s">
        <v>588</v>
      </c>
      <c r="V171" s="48" t="s">
        <v>589</v>
      </c>
      <c r="W171" s="48" t="s">
        <v>590</v>
      </c>
      <c r="X171" s="48"/>
      <c r="Y171" s="48" t="s">
        <v>457</v>
      </c>
      <c r="Z171" s="48" t="s">
        <v>457</v>
      </c>
      <c r="AA171" s="48" t="s">
        <v>148</v>
      </c>
      <c r="AB171" s="48" t="s">
        <v>591</v>
      </c>
      <c r="AC171" s="48" t="s">
        <v>591</v>
      </c>
      <c r="AD171" s="48" t="s">
        <v>592</v>
      </c>
      <c r="AE171" s="48"/>
      <c r="AF171" s="48" t="s">
        <v>593</v>
      </c>
      <c r="AG171" s="48" t="s">
        <v>440</v>
      </c>
      <c r="AH171" s="48"/>
      <c r="AI171" s="48"/>
      <c r="AJ171" s="98">
        <v>37942</v>
      </c>
      <c r="AK171" s="80">
        <v>37120</v>
      </c>
      <c r="AL171" s="51">
        <f t="shared" si="111"/>
        <v>24.221917808219178</v>
      </c>
      <c r="AM171" s="52">
        <v>12</v>
      </c>
      <c r="AN171" s="48" t="s">
        <v>132</v>
      </c>
      <c r="AO171" s="30" t="s">
        <v>133</v>
      </c>
      <c r="AP171" s="30" t="s">
        <v>134</v>
      </c>
      <c r="AQ171" s="48">
        <v>22.9</v>
      </c>
      <c r="AR171" s="48">
        <v>1000</v>
      </c>
      <c r="AS171" s="48">
        <v>3000</v>
      </c>
      <c r="AT171" s="48">
        <v>1700</v>
      </c>
      <c r="AU171" s="53">
        <v>10300000</v>
      </c>
      <c r="AV171" s="54"/>
      <c r="AW171" s="54"/>
      <c r="AX171" s="54">
        <v>10300000</v>
      </c>
      <c r="AY171" s="54"/>
      <c r="AZ171" s="54"/>
      <c r="BA171" s="74">
        <v>1000</v>
      </c>
      <c r="BB171" s="74">
        <v>1000</v>
      </c>
      <c r="BC171" s="52">
        <v>144</v>
      </c>
      <c r="BD171" s="52">
        <v>292</v>
      </c>
      <c r="BE171" s="52">
        <v>0</v>
      </c>
      <c r="BF171" s="30"/>
      <c r="BG171" s="30" t="s">
        <v>594</v>
      </c>
      <c r="BH171" s="30" t="s">
        <v>569</v>
      </c>
      <c r="BI171" s="30" t="str">
        <f t="shared" si="92"/>
        <v>Bump</v>
      </c>
      <c r="BJ171" s="30" t="s">
        <v>250</v>
      </c>
      <c r="BK171" s="56">
        <f t="shared" si="93"/>
        <v>206000</v>
      </c>
      <c r="BL171" s="57">
        <f t="shared" si="101"/>
        <v>6437.5</v>
      </c>
      <c r="BM171" s="57">
        <f t="shared" si="102"/>
        <v>2145.8333333333335</v>
      </c>
      <c r="BU171" s="58">
        <f t="shared" ref="BU171:BU178" si="113">BM171*3</f>
        <v>6437.5</v>
      </c>
      <c r="BV171" s="58">
        <f>BU171</f>
        <v>6437.5</v>
      </c>
      <c r="BW171" s="58">
        <f t="shared" si="112"/>
        <v>12875</v>
      </c>
      <c r="BX171" s="58">
        <f>BV171</f>
        <v>6437.5</v>
      </c>
      <c r="BY171" s="58">
        <f>BX171</f>
        <v>6437.5</v>
      </c>
      <c r="BZ171" s="58">
        <f t="shared" ref="BZ171:BZ178" si="114">BM171*3</f>
        <v>6437.5</v>
      </c>
      <c r="CA171" s="58">
        <f t="shared" si="80"/>
        <v>6437.5</v>
      </c>
      <c r="CB171" s="58">
        <f t="shared" ref="CB171:CB178" si="115">SUM(BX171:CA171)</f>
        <v>25750</v>
      </c>
      <c r="CC171" s="58">
        <f t="shared" si="87"/>
        <v>6437.5</v>
      </c>
      <c r="CD171" s="58">
        <f>CC171</f>
        <v>6437.5</v>
      </c>
      <c r="CE171" s="58">
        <f>CD171</f>
        <v>6437.5</v>
      </c>
      <c r="CF171" s="58">
        <f>CE171</f>
        <v>6437.5</v>
      </c>
      <c r="CG171" s="58">
        <f t="shared" ref="CG171:CG178" si="116">SUM(CC171:CF171)</f>
        <v>25750</v>
      </c>
      <c r="CH171" s="58">
        <f t="shared" si="89"/>
        <v>6437.5</v>
      </c>
      <c r="CI171" s="58">
        <f t="shared" si="90"/>
        <v>6437.5</v>
      </c>
      <c r="CJ171" s="58">
        <f t="shared" si="90"/>
        <v>6437.5</v>
      </c>
      <c r="CK171" s="58">
        <f t="shared" si="90"/>
        <v>6437.5</v>
      </c>
      <c r="CL171" s="58">
        <f t="shared" ref="CL171:CL178" si="117">SUM(CH171:CK171)</f>
        <v>25750</v>
      </c>
      <c r="CP171" s="2">
        <f t="shared" si="95"/>
        <v>206000</v>
      </c>
    </row>
    <row r="172" spans="1:94" ht="16.5" hidden="1" x14ac:dyDescent="0.3">
      <c r="A172" s="2">
        <v>167</v>
      </c>
      <c r="B172" s="47" t="s">
        <v>21</v>
      </c>
      <c r="C172" s="47"/>
      <c r="D172" s="30" t="s">
        <v>553</v>
      </c>
      <c r="E172" s="30" t="s">
        <v>115</v>
      </c>
      <c r="F172" s="30" t="s">
        <v>579</v>
      </c>
      <c r="G172" s="48" t="s">
        <v>555</v>
      </c>
      <c r="H172" s="48" t="s">
        <v>118</v>
      </c>
      <c r="I172" s="30" t="s">
        <v>119</v>
      </c>
      <c r="J172" s="30" t="s">
        <v>556</v>
      </c>
      <c r="K172" s="30" t="s">
        <v>557</v>
      </c>
      <c r="L172" s="48" t="s">
        <v>595</v>
      </c>
      <c r="M172" s="79">
        <v>2100072</v>
      </c>
      <c r="N172" s="48" t="s">
        <v>582</v>
      </c>
      <c r="O172" s="48" t="s">
        <v>596</v>
      </c>
      <c r="P172" s="48" t="s">
        <v>597</v>
      </c>
      <c r="Q172" s="48" t="s">
        <v>597</v>
      </c>
      <c r="R172" s="48"/>
      <c r="S172" s="48" t="s">
        <v>598</v>
      </c>
      <c r="T172" s="102" t="s">
        <v>599</v>
      </c>
      <c r="U172" s="48" t="s">
        <v>588</v>
      </c>
      <c r="V172" s="48" t="s">
        <v>600</v>
      </c>
      <c r="W172" s="48" t="s">
        <v>601</v>
      </c>
      <c r="X172" s="103" t="s">
        <v>602</v>
      </c>
      <c r="Y172" s="48" t="s">
        <v>576</v>
      </c>
      <c r="Z172" s="48" t="s">
        <v>576</v>
      </c>
      <c r="AA172" s="48" t="s">
        <v>148</v>
      </c>
      <c r="AB172" s="48" t="s">
        <v>603</v>
      </c>
      <c r="AC172" s="48" t="s">
        <v>603</v>
      </c>
      <c r="AD172" s="48" t="s">
        <v>566</v>
      </c>
      <c r="AE172" s="48"/>
      <c r="AF172" s="48" t="s">
        <v>604</v>
      </c>
      <c r="AG172" s="48" t="s">
        <v>440</v>
      </c>
      <c r="AH172" s="48" t="s">
        <v>605</v>
      </c>
      <c r="AI172" s="48"/>
      <c r="AJ172" s="98">
        <v>36966</v>
      </c>
      <c r="AK172" s="80">
        <v>37438</v>
      </c>
      <c r="AL172" s="51">
        <f t="shared" si="111"/>
        <v>23.350684931506848</v>
      </c>
      <c r="AM172" s="52">
        <v>12</v>
      </c>
      <c r="AN172" s="48" t="s">
        <v>132</v>
      </c>
      <c r="AO172" s="30" t="s">
        <v>133</v>
      </c>
      <c r="AP172" s="30" t="s">
        <v>606</v>
      </c>
      <c r="AQ172" s="48">
        <v>21.6</v>
      </c>
      <c r="AR172" s="48">
        <v>1500</v>
      </c>
      <c r="AS172" s="48">
        <v>3900</v>
      </c>
      <c r="AT172" s="48">
        <v>2328</v>
      </c>
      <c r="AU172" s="53">
        <v>1114772269</v>
      </c>
      <c r="AV172" s="54"/>
      <c r="AW172" s="54"/>
      <c r="AX172" s="54">
        <v>986915458</v>
      </c>
      <c r="AY172" s="54"/>
      <c r="AZ172" s="54"/>
      <c r="BA172" s="54">
        <v>1000</v>
      </c>
      <c r="BB172" s="55">
        <v>13090690</v>
      </c>
      <c r="BC172" s="52">
        <v>144</v>
      </c>
      <c r="BD172" s="52">
        <v>282</v>
      </c>
      <c r="BE172" s="52">
        <v>0</v>
      </c>
      <c r="BF172" s="30"/>
      <c r="BG172" s="30" t="s">
        <v>607</v>
      </c>
      <c r="BH172" s="30" t="s">
        <v>569</v>
      </c>
      <c r="BI172" s="30" t="str">
        <f t="shared" si="92"/>
        <v>Bump</v>
      </c>
      <c r="BJ172" s="47" t="s">
        <v>137</v>
      </c>
      <c r="BK172" s="56">
        <f t="shared" si="93"/>
        <v>22295445.379999999</v>
      </c>
      <c r="BL172" s="57">
        <f t="shared" si="101"/>
        <v>2125396.2222059867</v>
      </c>
      <c r="BM172" s="57">
        <f t="shared" si="102"/>
        <v>708465.40740199562</v>
      </c>
      <c r="BU172" s="58">
        <f t="shared" si="113"/>
        <v>2125396.2222059867</v>
      </c>
      <c r="BV172" s="58">
        <f t="shared" ref="BT172:BV187" si="118">BU172</f>
        <v>2125396.2222059867</v>
      </c>
      <c r="BW172" s="58">
        <f t="shared" si="112"/>
        <v>4250792.4444119735</v>
      </c>
      <c r="BX172" s="58">
        <f t="shared" ref="BX172:BX234" si="119">BV172</f>
        <v>2125396.2222059867</v>
      </c>
      <c r="BY172" s="58">
        <f t="shared" ref="BY172:CA234" si="120">BX172</f>
        <v>2125396.2222059867</v>
      </c>
      <c r="BZ172" s="58">
        <f t="shared" si="114"/>
        <v>2125396.2222059867</v>
      </c>
      <c r="CA172" s="58">
        <f t="shared" si="80"/>
        <v>2125396.2222059867</v>
      </c>
      <c r="CB172" s="58">
        <f t="shared" si="115"/>
        <v>8501584.8888239469</v>
      </c>
      <c r="CC172" s="58">
        <f t="shared" si="87"/>
        <v>2125396.2222059867</v>
      </c>
      <c r="CD172" s="58">
        <f t="shared" si="110"/>
        <v>2125396.2222059867</v>
      </c>
      <c r="CE172" s="58">
        <f t="shared" si="110"/>
        <v>2125396.2222059867</v>
      </c>
      <c r="CF172" s="58">
        <f t="shared" si="110"/>
        <v>2125396.2222059867</v>
      </c>
      <c r="CG172" s="58">
        <f t="shared" si="116"/>
        <v>8501584.8888239469</v>
      </c>
      <c r="CH172" s="58">
        <f t="shared" si="89"/>
        <v>2125396.2222059867</v>
      </c>
      <c r="CI172" s="58">
        <f t="shared" si="90"/>
        <v>2125396.2222059867</v>
      </c>
      <c r="CJ172" s="58">
        <f t="shared" si="90"/>
        <v>2125396.2222059867</v>
      </c>
      <c r="CK172" s="58">
        <f t="shared" si="90"/>
        <v>2125396.2222059867</v>
      </c>
      <c r="CL172" s="58">
        <f t="shared" si="117"/>
        <v>8501584.8888239469</v>
      </c>
      <c r="CN172" s="59">
        <f>BK172/$CN$3</f>
        <v>2.1770111300281701E-3</v>
      </c>
      <c r="CO172" s="64">
        <f>CN172*$CO$4</f>
        <v>45717233.730591573</v>
      </c>
      <c r="CP172" s="2">
        <f t="shared" si="95"/>
        <v>68012679.110591576</v>
      </c>
    </row>
    <row r="173" spans="1:94" hidden="1" x14ac:dyDescent="0.3">
      <c r="A173" s="29">
        <v>168</v>
      </c>
      <c r="B173" s="30" t="s">
        <v>21</v>
      </c>
      <c r="C173" s="30"/>
      <c r="D173" s="30" t="s">
        <v>553</v>
      </c>
      <c r="E173" s="30" t="s">
        <v>115</v>
      </c>
      <c r="F173" s="30" t="s">
        <v>579</v>
      </c>
      <c r="G173" s="48" t="s">
        <v>580</v>
      </c>
      <c r="H173" s="48" t="s">
        <v>118</v>
      </c>
      <c r="I173" s="30" t="s">
        <v>119</v>
      </c>
      <c r="J173" s="30" t="s">
        <v>556</v>
      </c>
      <c r="K173" s="30" t="s">
        <v>557</v>
      </c>
      <c r="L173" s="48" t="s">
        <v>608</v>
      </c>
      <c r="M173" s="79">
        <v>2100074</v>
      </c>
      <c r="N173" s="48" t="s">
        <v>582</v>
      </c>
      <c r="O173" s="48" t="s">
        <v>609</v>
      </c>
      <c r="P173" s="48" t="s">
        <v>610</v>
      </c>
      <c r="Q173" s="48" t="s">
        <v>611</v>
      </c>
      <c r="R173" s="48"/>
      <c r="S173" s="48" t="s">
        <v>612</v>
      </c>
      <c r="T173" s="102" t="s">
        <v>613</v>
      </c>
      <c r="U173" s="48" t="s">
        <v>588</v>
      </c>
      <c r="V173" s="48" t="s">
        <v>589</v>
      </c>
      <c r="W173" s="48" t="s">
        <v>614</v>
      </c>
      <c r="X173" s="48"/>
      <c r="Y173" s="48" t="s">
        <v>457</v>
      </c>
      <c r="Z173" s="48" t="s">
        <v>457</v>
      </c>
      <c r="AA173" s="48" t="s">
        <v>148</v>
      </c>
      <c r="AB173" s="48" t="s">
        <v>615</v>
      </c>
      <c r="AC173" s="48" t="s">
        <v>615</v>
      </c>
      <c r="AD173" s="48"/>
      <c r="AE173" s="48"/>
      <c r="AF173" s="48" t="s">
        <v>604</v>
      </c>
      <c r="AG173" s="48" t="s">
        <v>440</v>
      </c>
      <c r="AH173" s="48" t="s">
        <v>616</v>
      </c>
      <c r="AI173" s="48"/>
      <c r="AJ173" s="98">
        <v>36970</v>
      </c>
      <c r="AK173" s="80">
        <v>37438</v>
      </c>
      <c r="AL173" s="51">
        <f t="shared" si="111"/>
        <v>23.350684931506848</v>
      </c>
      <c r="AM173" s="52">
        <v>12</v>
      </c>
      <c r="AN173" s="48" t="s">
        <v>132</v>
      </c>
      <c r="AO173" s="30" t="s">
        <v>133</v>
      </c>
      <c r="AP173" s="30" t="s">
        <v>606</v>
      </c>
      <c r="AQ173" s="48">
        <v>0</v>
      </c>
      <c r="AR173" s="48">
        <v>2000</v>
      </c>
      <c r="AS173" s="48">
        <v>1800</v>
      </c>
      <c r="AT173" s="48">
        <v>1700</v>
      </c>
      <c r="AU173" s="53">
        <v>130534808</v>
      </c>
      <c r="AV173" s="54"/>
      <c r="AW173" s="54"/>
      <c r="AX173" s="54">
        <v>130534808</v>
      </c>
      <c r="AY173" s="54"/>
      <c r="AZ173" s="54"/>
      <c r="BA173" s="74">
        <v>1000</v>
      </c>
      <c r="BB173" s="74">
        <v>1000</v>
      </c>
      <c r="BC173" s="52">
        <v>144</v>
      </c>
      <c r="BD173" s="52">
        <v>282</v>
      </c>
      <c r="BE173" s="52">
        <v>0</v>
      </c>
      <c r="BF173" s="30"/>
      <c r="BG173" s="30" t="s">
        <v>617</v>
      </c>
      <c r="BH173" s="30" t="s">
        <v>569</v>
      </c>
      <c r="BI173" s="30" t="str">
        <f t="shared" si="92"/>
        <v>Bump</v>
      </c>
      <c r="BJ173" s="30" t="s">
        <v>250</v>
      </c>
      <c r="BK173" s="56">
        <f t="shared" si="93"/>
        <v>2610696.16</v>
      </c>
      <c r="BL173" s="57">
        <f t="shared" si="101"/>
        <v>81584.255000000005</v>
      </c>
      <c r="BM173" s="57">
        <f t="shared" si="102"/>
        <v>27194.751666666667</v>
      </c>
      <c r="BU173" s="58">
        <f t="shared" si="113"/>
        <v>81584.255000000005</v>
      </c>
      <c r="BV173" s="58">
        <f t="shared" si="118"/>
        <v>81584.255000000005</v>
      </c>
      <c r="BW173" s="58">
        <f t="shared" si="112"/>
        <v>163168.51</v>
      </c>
      <c r="BX173" s="58">
        <f t="shared" si="119"/>
        <v>81584.255000000005</v>
      </c>
      <c r="BY173" s="58">
        <f t="shared" si="120"/>
        <v>81584.255000000005</v>
      </c>
      <c r="BZ173" s="58">
        <f t="shared" si="114"/>
        <v>81584.255000000005</v>
      </c>
      <c r="CA173" s="58">
        <f t="shared" si="80"/>
        <v>81584.255000000005</v>
      </c>
      <c r="CB173" s="58">
        <f t="shared" si="115"/>
        <v>326337.02</v>
      </c>
      <c r="CC173" s="58">
        <f t="shared" si="87"/>
        <v>81584.255000000005</v>
      </c>
      <c r="CD173" s="58">
        <f t="shared" si="110"/>
        <v>81584.255000000005</v>
      </c>
      <c r="CE173" s="58">
        <f t="shared" si="110"/>
        <v>81584.255000000005</v>
      </c>
      <c r="CF173" s="58">
        <f t="shared" si="110"/>
        <v>81584.255000000005</v>
      </c>
      <c r="CG173" s="58">
        <f t="shared" si="116"/>
        <v>326337.02</v>
      </c>
      <c r="CH173" s="58">
        <f t="shared" si="89"/>
        <v>81584.255000000005</v>
      </c>
      <c r="CI173" s="58">
        <f t="shared" si="90"/>
        <v>81584.255000000005</v>
      </c>
      <c r="CJ173" s="58">
        <f t="shared" si="90"/>
        <v>81584.255000000005</v>
      </c>
      <c r="CK173" s="58">
        <f t="shared" si="90"/>
        <v>81584.255000000005</v>
      </c>
      <c r="CL173" s="58">
        <f t="shared" si="117"/>
        <v>326337.02</v>
      </c>
      <c r="CP173" s="2">
        <f t="shared" si="95"/>
        <v>2610696.16</v>
      </c>
    </row>
    <row r="174" spans="1:94" hidden="1" x14ac:dyDescent="0.3">
      <c r="A174" s="29">
        <v>169</v>
      </c>
      <c r="B174" s="30" t="s">
        <v>21</v>
      </c>
      <c r="C174" s="30"/>
      <c r="D174" s="30" t="s">
        <v>553</v>
      </c>
      <c r="E174" s="30" t="s">
        <v>115</v>
      </c>
      <c r="F174" s="30" t="s">
        <v>579</v>
      </c>
      <c r="G174" s="48" t="s">
        <v>580</v>
      </c>
      <c r="H174" s="48" t="s">
        <v>118</v>
      </c>
      <c r="I174" s="30" t="s">
        <v>119</v>
      </c>
      <c r="J174" s="30" t="s">
        <v>556</v>
      </c>
      <c r="K174" s="30" t="s">
        <v>557</v>
      </c>
      <c r="L174" s="48" t="s">
        <v>608</v>
      </c>
      <c r="M174" s="79">
        <v>2100086</v>
      </c>
      <c r="N174" s="48" t="s">
        <v>582</v>
      </c>
      <c r="O174" s="48" t="s">
        <v>618</v>
      </c>
      <c r="P174" s="48" t="s">
        <v>610</v>
      </c>
      <c r="Q174" s="48" t="s">
        <v>611</v>
      </c>
      <c r="R174" s="48"/>
      <c r="S174" s="48" t="s">
        <v>612</v>
      </c>
      <c r="T174" s="102" t="s">
        <v>613</v>
      </c>
      <c r="U174" s="48" t="s">
        <v>588</v>
      </c>
      <c r="V174" s="48" t="s">
        <v>589</v>
      </c>
      <c r="W174" s="48" t="s">
        <v>619</v>
      </c>
      <c r="X174" s="48"/>
      <c r="Y174" s="48" t="s">
        <v>457</v>
      </c>
      <c r="Z174" s="48" t="s">
        <v>457</v>
      </c>
      <c r="AA174" s="48" t="s">
        <v>148</v>
      </c>
      <c r="AB174" s="48" t="s">
        <v>615</v>
      </c>
      <c r="AC174" s="48" t="s">
        <v>615</v>
      </c>
      <c r="AD174" s="48"/>
      <c r="AE174" s="48"/>
      <c r="AF174" s="48" t="s">
        <v>604</v>
      </c>
      <c r="AG174" s="48" t="s">
        <v>440</v>
      </c>
      <c r="AH174" s="48" t="s">
        <v>616</v>
      </c>
      <c r="AI174" s="48"/>
      <c r="AJ174" s="98">
        <v>36970</v>
      </c>
      <c r="AK174" s="80">
        <v>37438</v>
      </c>
      <c r="AL174" s="51">
        <f t="shared" si="111"/>
        <v>23.350684931506848</v>
      </c>
      <c r="AM174" s="52">
        <v>12</v>
      </c>
      <c r="AN174" s="48" t="s">
        <v>132</v>
      </c>
      <c r="AO174" s="30" t="s">
        <v>133</v>
      </c>
      <c r="AP174" s="30" t="s">
        <v>134</v>
      </c>
      <c r="AQ174" s="48">
        <v>0</v>
      </c>
      <c r="AR174" s="48">
        <v>2000</v>
      </c>
      <c r="AS174" s="48">
        <v>1800</v>
      </c>
      <c r="AT174" s="48">
        <v>1700</v>
      </c>
      <c r="AU174" s="53">
        <v>32626729</v>
      </c>
      <c r="AV174" s="54"/>
      <c r="AW174" s="54"/>
      <c r="AX174" s="54">
        <v>32626729</v>
      </c>
      <c r="AY174" s="54"/>
      <c r="AZ174" s="54"/>
      <c r="BA174" s="74">
        <v>1000</v>
      </c>
      <c r="BB174" s="74">
        <v>1000</v>
      </c>
      <c r="BC174" s="52">
        <v>144</v>
      </c>
      <c r="BD174" s="52">
        <v>282</v>
      </c>
      <c r="BE174" s="52">
        <v>0</v>
      </c>
      <c r="BF174" s="30"/>
      <c r="BG174" s="30" t="s">
        <v>617</v>
      </c>
      <c r="BH174" s="30" t="s">
        <v>569</v>
      </c>
      <c r="BI174" s="30" t="str">
        <f t="shared" si="92"/>
        <v>Bump</v>
      </c>
      <c r="BJ174" s="30" t="s">
        <v>250</v>
      </c>
      <c r="BK174" s="56">
        <f t="shared" si="93"/>
        <v>652534.57999999996</v>
      </c>
      <c r="BL174" s="57">
        <f t="shared" si="101"/>
        <v>20391.705624999999</v>
      </c>
      <c r="BM174" s="57">
        <f t="shared" si="102"/>
        <v>6797.2352083333326</v>
      </c>
      <c r="BU174" s="58">
        <f t="shared" si="113"/>
        <v>20391.705624999999</v>
      </c>
      <c r="BV174" s="58">
        <f t="shared" si="118"/>
        <v>20391.705624999999</v>
      </c>
      <c r="BW174" s="58">
        <f t="shared" si="112"/>
        <v>40783.411249999997</v>
      </c>
      <c r="BX174" s="58">
        <f t="shared" si="119"/>
        <v>20391.705624999999</v>
      </c>
      <c r="BY174" s="58">
        <f t="shared" si="120"/>
        <v>20391.705624999999</v>
      </c>
      <c r="BZ174" s="58">
        <f t="shared" si="114"/>
        <v>20391.705624999999</v>
      </c>
      <c r="CA174" s="58">
        <f t="shared" si="80"/>
        <v>20391.705624999999</v>
      </c>
      <c r="CB174" s="58">
        <f t="shared" si="115"/>
        <v>81566.822499999995</v>
      </c>
      <c r="CC174" s="58">
        <f t="shared" si="87"/>
        <v>20391.705624999999</v>
      </c>
      <c r="CD174" s="58">
        <f t="shared" si="110"/>
        <v>20391.705624999999</v>
      </c>
      <c r="CE174" s="58">
        <f t="shared" si="110"/>
        <v>20391.705624999999</v>
      </c>
      <c r="CF174" s="58">
        <f t="shared" si="110"/>
        <v>20391.705624999999</v>
      </c>
      <c r="CG174" s="58">
        <f t="shared" si="116"/>
        <v>81566.822499999995</v>
      </c>
      <c r="CH174" s="58">
        <f t="shared" si="89"/>
        <v>20391.705624999999</v>
      </c>
      <c r="CI174" s="58">
        <f t="shared" si="90"/>
        <v>20391.705624999999</v>
      </c>
      <c r="CJ174" s="58">
        <f t="shared" si="90"/>
        <v>20391.705624999999</v>
      </c>
      <c r="CK174" s="58">
        <f t="shared" si="90"/>
        <v>20391.705624999999</v>
      </c>
      <c r="CL174" s="58">
        <f t="shared" si="117"/>
        <v>81566.822499999995</v>
      </c>
      <c r="CP174" s="2">
        <f t="shared" si="95"/>
        <v>652534.57999999996</v>
      </c>
    </row>
    <row r="175" spans="1:94" ht="16.5" hidden="1" x14ac:dyDescent="0.3">
      <c r="A175" s="2">
        <v>170</v>
      </c>
      <c r="B175" s="47" t="s">
        <v>21</v>
      </c>
      <c r="C175" s="47"/>
      <c r="D175" s="30" t="s">
        <v>553</v>
      </c>
      <c r="E175" s="30" t="s">
        <v>115</v>
      </c>
      <c r="F175" s="30" t="s">
        <v>579</v>
      </c>
      <c r="G175" s="48" t="s">
        <v>555</v>
      </c>
      <c r="H175" s="48" t="s">
        <v>118</v>
      </c>
      <c r="I175" s="30" t="s">
        <v>119</v>
      </c>
      <c r="J175" s="30" t="s">
        <v>556</v>
      </c>
      <c r="K175" s="30" t="s">
        <v>557</v>
      </c>
      <c r="L175" s="48" t="s">
        <v>595</v>
      </c>
      <c r="M175" s="79">
        <v>2100087</v>
      </c>
      <c r="N175" s="48" t="s">
        <v>582</v>
      </c>
      <c r="O175" s="48" t="s">
        <v>620</v>
      </c>
      <c r="P175" s="48" t="s">
        <v>621</v>
      </c>
      <c r="Q175" s="48" t="s">
        <v>597</v>
      </c>
      <c r="R175" s="48"/>
      <c r="S175" s="48" t="s">
        <v>622</v>
      </c>
      <c r="T175" s="102" t="s">
        <v>623</v>
      </c>
      <c r="U175" s="48" t="s">
        <v>588</v>
      </c>
      <c r="V175" s="48" t="s">
        <v>600</v>
      </c>
      <c r="W175" s="48" t="s">
        <v>601</v>
      </c>
      <c r="X175" s="103" t="s">
        <v>602</v>
      </c>
      <c r="Y175" s="48" t="s">
        <v>576</v>
      </c>
      <c r="Z175" s="48" t="s">
        <v>576</v>
      </c>
      <c r="AA175" s="48" t="s">
        <v>148</v>
      </c>
      <c r="AB175" s="48" t="s">
        <v>603</v>
      </c>
      <c r="AC175" s="48" t="s">
        <v>603</v>
      </c>
      <c r="AD175" s="48" t="s">
        <v>566</v>
      </c>
      <c r="AE175" s="48"/>
      <c r="AF175" s="48" t="s">
        <v>604</v>
      </c>
      <c r="AG175" s="48" t="s">
        <v>440</v>
      </c>
      <c r="AH175" s="48" t="s">
        <v>605</v>
      </c>
      <c r="AI175" s="48"/>
      <c r="AJ175" s="98">
        <v>37572</v>
      </c>
      <c r="AK175" s="80">
        <v>37599</v>
      </c>
      <c r="AL175" s="51">
        <f t="shared" si="111"/>
        <v>22.909589041095892</v>
      </c>
      <c r="AM175" s="52">
        <v>12</v>
      </c>
      <c r="AN175" s="48" t="s">
        <v>132</v>
      </c>
      <c r="AO175" s="30" t="s">
        <v>133</v>
      </c>
      <c r="AP175" s="30" t="s">
        <v>606</v>
      </c>
      <c r="AQ175" s="48">
        <v>21.6</v>
      </c>
      <c r="AR175" s="48">
        <v>1500</v>
      </c>
      <c r="AS175" s="48">
        <v>3900</v>
      </c>
      <c r="AT175" s="48">
        <v>2328</v>
      </c>
      <c r="AU175" s="53">
        <v>900028419</v>
      </c>
      <c r="AV175" s="54"/>
      <c r="AW175" s="54"/>
      <c r="AX175" s="54">
        <v>607921975</v>
      </c>
      <c r="AY175" s="54"/>
      <c r="AZ175" s="54"/>
      <c r="BA175" s="54">
        <v>1000</v>
      </c>
      <c r="BB175" s="55">
        <v>26046261</v>
      </c>
      <c r="BC175" s="52">
        <v>144</v>
      </c>
      <c r="BD175" s="52">
        <v>276</v>
      </c>
      <c r="BE175" s="52">
        <v>0</v>
      </c>
      <c r="BF175" s="30"/>
      <c r="BG175" s="30" t="s">
        <v>607</v>
      </c>
      <c r="BH175" s="30" t="s">
        <v>569</v>
      </c>
      <c r="BI175" s="30" t="str">
        <f t="shared" si="92"/>
        <v>Bump</v>
      </c>
      <c r="BJ175" s="47" t="s">
        <v>137</v>
      </c>
      <c r="BK175" s="56">
        <f t="shared" si="93"/>
        <v>18000568.379999999</v>
      </c>
      <c r="BL175" s="57">
        <f t="shared" si="101"/>
        <v>1715971.1044270932</v>
      </c>
      <c r="BM175" s="57">
        <f t="shared" si="102"/>
        <v>571990.36814236443</v>
      </c>
      <c r="BU175" s="58">
        <f t="shared" si="113"/>
        <v>1715971.1044270932</v>
      </c>
      <c r="BV175" s="58">
        <f t="shared" si="118"/>
        <v>1715971.1044270932</v>
      </c>
      <c r="BW175" s="58">
        <f t="shared" si="112"/>
        <v>3431942.2088541863</v>
      </c>
      <c r="BX175" s="58">
        <f t="shared" si="119"/>
        <v>1715971.1044270932</v>
      </c>
      <c r="BY175" s="58">
        <f t="shared" si="120"/>
        <v>1715971.1044270932</v>
      </c>
      <c r="BZ175" s="58">
        <f t="shared" si="114"/>
        <v>1715971.1044270932</v>
      </c>
      <c r="CA175" s="58">
        <f t="shared" si="80"/>
        <v>1715971.1044270932</v>
      </c>
      <c r="CB175" s="58">
        <f t="shared" si="115"/>
        <v>6863884.4177083727</v>
      </c>
      <c r="CC175" s="58">
        <f t="shared" si="87"/>
        <v>1715971.1044270932</v>
      </c>
      <c r="CD175" s="58">
        <f t="shared" si="110"/>
        <v>1715971.1044270932</v>
      </c>
      <c r="CE175" s="58">
        <f t="shared" si="110"/>
        <v>1715971.1044270932</v>
      </c>
      <c r="CF175" s="58">
        <f t="shared" si="110"/>
        <v>1715971.1044270932</v>
      </c>
      <c r="CG175" s="58">
        <f t="shared" si="116"/>
        <v>6863884.4177083727</v>
      </c>
      <c r="CH175" s="58">
        <f t="shared" si="89"/>
        <v>1715971.1044270932</v>
      </c>
      <c r="CI175" s="58">
        <f t="shared" si="90"/>
        <v>1715971.1044270932</v>
      </c>
      <c r="CJ175" s="58">
        <f t="shared" si="90"/>
        <v>1715971.1044270932</v>
      </c>
      <c r="CK175" s="58">
        <f t="shared" si="90"/>
        <v>1715971.1044270932</v>
      </c>
      <c r="CL175" s="58">
        <f t="shared" si="117"/>
        <v>6863884.4177083727</v>
      </c>
      <c r="CN175" s="59">
        <f>BK175/$CN$3</f>
        <v>1.7576431886508089E-3</v>
      </c>
      <c r="CO175" s="64">
        <f>CN175*$CO$4</f>
        <v>36910506.961666986</v>
      </c>
      <c r="CP175" s="2">
        <f t="shared" si="95"/>
        <v>54911075.341666982</v>
      </c>
    </row>
    <row r="176" spans="1:94" hidden="1" x14ac:dyDescent="0.3">
      <c r="A176" s="29">
        <v>171</v>
      </c>
      <c r="B176" s="30" t="s">
        <v>21</v>
      </c>
      <c r="C176" s="30"/>
      <c r="D176" s="30" t="s">
        <v>553</v>
      </c>
      <c r="E176" s="30" t="s">
        <v>115</v>
      </c>
      <c r="F176" s="30" t="s">
        <v>579</v>
      </c>
      <c r="G176" s="48" t="s">
        <v>580</v>
      </c>
      <c r="H176" s="48" t="s">
        <v>118</v>
      </c>
      <c r="I176" s="30" t="s">
        <v>119</v>
      </c>
      <c r="J176" s="30" t="s">
        <v>556</v>
      </c>
      <c r="K176" s="30" t="s">
        <v>557</v>
      </c>
      <c r="L176" s="48" t="s">
        <v>581</v>
      </c>
      <c r="M176" s="79">
        <v>2100091</v>
      </c>
      <c r="N176" s="48" t="s">
        <v>582</v>
      </c>
      <c r="O176" s="48" t="s">
        <v>624</v>
      </c>
      <c r="P176" s="48" t="s">
        <v>584</v>
      </c>
      <c r="Q176" s="48" t="s">
        <v>585</v>
      </c>
      <c r="R176" s="48"/>
      <c r="S176" s="48" t="s">
        <v>586</v>
      </c>
      <c r="T176" s="102" t="s">
        <v>587</v>
      </c>
      <c r="U176" s="48" t="s">
        <v>588</v>
      </c>
      <c r="V176" s="48" t="s">
        <v>589</v>
      </c>
      <c r="W176" s="48" t="s">
        <v>625</v>
      </c>
      <c r="X176" s="48"/>
      <c r="Y176" s="48" t="s">
        <v>457</v>
      </c>
      <c r="Z176" s="48" t="s">
        <v>457</v>
      </c>
      <c r="AA176" s="48" t="s">
        <v>148</v>
      </c>
      <c r="AB176" s="48" t="s">
        <v>591</v>
      </c>
      <c r="AC176" s="48" t="s">
        <v>591</v>
      </c>
      <c r="AD176" s="48" t="s">
        <v>592</v>
      </c>
      <c r="AE176" s="48"/>
      <c r="AF176" s="48" t="s">
        <v>593</v>
      </c>
      <c r="AG176" s="48" t="s">
        <v>440</v>
      </c>
      <c r="AH176" s="48"/>
      <c r="AI176" s="48"/>
      <c r="AJ176" s="98">
        <v>37942</v>
      </c>
      <c r="AK176" s="80">
        <v>37935</v>
      </c>
      <c r="AL176" s="51">
        <f t="shared" si="111"/>
        <v>21.989041095890411</v>
      </c>
      <c r="AM176" s="52">
        <v>12</v>
      </c>
      <c r="AN176" s="48" t="s">
        <v>132</v>
      </c>
      <c r="AO176" s="30" t="s">
        <v>133</v>
      </c>
      <c r="AP176" s="30" t="s">
        <v>134</v>
      </c>
      <c r="AQ176" s="48">
        <v>22.9</v>
      </c>
      <c r="AR176" s="48">
        <v>1000</v>
      </c>
      <c r="AS176" s="48">
        <v>3000</v>
      </c>
      <c r="AT176" s="48">
        <v>1700</v>
      </c>
      <c r="AU176" s="53">
        <v>45000000</v>
      </c>
      <c r="AV176" s="54"/>
      <c r="AW176" s="54"/>
      <c r="AX176" s="54">
        <v>45000000</v>
      </c>
      <c r="AY176" s="54"/>
      <c r="AZ176" s="54"/>
      <c r="BA176" s="74">
        <v>1000</v>
      </c>
      <c r="BB176" s="74">
        <v>1000</v>
      </c>
      <c r="BC176" s="52">
        <v>144</v>
      </c>
      <c r="BD176" s="52">
        <v>265</v>
      </c>
      <c r="BE176" s="52">
        <v>0</v>
      </c>
      <c r="BF176" s="30"/>
      <c r="BG176" s="30" t="s">
        <v>626</v>
      </c>
      <c r="BH176" s="30" t="s">
        <v>569</v>
      </c>
      <c r="BI176" s="30" t="str">
        <f t="shared" si="92"/>
        <v>Bump</v>
      </c>
      <c r="BJ176" s="30" t="s">
        <v>250</v>
      </c>
      <c r="BK176" s="56">
        <f t="shared" si="93"/>
        <v>900000</v>
      </c>
      <c r="BL176" s="57">
        <f t="shared" si="101"/>
        <v>28125</v>
      </c>
      <c r="BM176" s="57">
        <f t="shared" si="102"/>
        <v>9375</v>
      </c>
      <c r="BU176" s="58">
        <f t="shared" si="113"/>
        <v>28125</v>
      </c>
      <c r="BV176" s="58">
        <f t="shared" si="118"/>
        <v>28125</v>
      </c>
      <c r="BW176" s="58">
        <f t="shared" si="112"/>
        <v>56250</v>
      </c>
      <c r="BX176" s="58">
        <f t="shared" si="119"/>
        <v>28125</v>
      </c>
      <c r="BY176" s="58">
        <f t="shared" si="120"/>
        <v>28125</v>
      </c>
      <c r="BZ176" s="58">
        <f t="shared" si="114"/>
        <v>28125</v>
      </c>
      <c r="CA176" s="58">
        <f t="shared" si="80"/>
        <v>28125</v>
      </c>
      <c r="CB176" s="58">
        <f t="shared" si="115"/>
        <v>112500</v>
      </c>
      <c r="CC176" s="58">
        <f t="shared" si="87"/>
        <v>28125</v>
      </c>
      <c r="CD176" s="58">
        <f>CC176</f>
        <v>28125</v>
      </c>
      <c r="CE176" s="58">
        <f>CD176</f>
        <v>28125</v>
      </c>
      <c r="CF176" s="58">
        <f>CE176</f>
        <v>28125</v>
      </c>
      <c r="CG176" s="58">
        <f t="shared" si="116"/>
        <v>112500</v>
      </c>
      <c r="CH176" s="58">
        <f t="shared" si="89"/>
        <v>28125</v>
      </c>
      <c r="CI176" s="58">
        <f t="shared" si="90"/>
        <v>28125</v>
      </c>
      <c r="CJ176" s="58">
        <f t="shared" si="90"/>
        <v>28125</v>
      </c>
      <c r="CK176" s="58">
        <f t="shared" si="90"/>
        <v>28125</v>
      </c>
      <c r="CL176" s="58">
        <f t="shared" si="117"/>
        <v>112500</v>
      </c>
      <c r="CP176" s="2">
        <f t="shared" si="95"/>
        <v>900000</v>
      </c>
    </row>
    <row r="177" spans="1:94" ht="16.5" hidden="1" x14ac:dyDescent="0.3">
      <c r="A177" s="2">
        <v>172</v>
      </c>
      <c r="B177" s="47" t="s">
        <v>21</v>
      </c>
      <c r="C177" s="47"/>
      <c r="D177" s="30" t="s">
        <v>553</v>
      </c>
      <c r="E177" s="30" t="s">
        <v>115</v>
      </c>
      <c r="F177" s="30" t="s">
        <v>579</v>
      </c>
      <c r="G177" s="48" t="s">
        <v>555</v>
      </c>
      <c r="H177" s="48" t="s">
        <v>118</v>
      </c>
      <c r="I177" s="30" t="s">
        <v>119</v>
      </c>
      <c r="J177" s="30" t="s">
        <v>556</v>
      </c>
      <c r="K177" s="30" t="s">
        <v>557</v>
      </c>
      <c r="L177" s="48" t="s">
        <v>627</v>
      </c>
      <c r="M177" s="79">
        <v>2100096</v>
      </c>
      <c r="N177" s="48" t="s">
        <v>582</v>
      </c>
      <c r="O177" s="48" t="s">
        <v>628</v>
      </c>
      <c r="P177" s="48" t="s">
        <v>629</v>
      </c>
      <c r="Q177" s="48" t="s">
        <v>630</v>
      </c>
      <c r="R177" s="48"/>
      <c r="S177" s="48" t="s">
        <v>631</v>
      </c>
      <c r="T177" s="102" t="s">
        <v>632</v>
      </c>
      <c r="U177" s="48" t="s">
        <v>588</v>
      </c>
      <c r="V177" s="48" t="s">
        <v>633</v>
      </c>
      <c r="W177" s="48" t="s">
        <v>634</v>
      </c>
      <c r="X177" s="103"/>
      <c r="Y177" s="48" t="s">
        <v>576</v>
      </c>
      <c r="Z177" s="48" t="s">
        <v>576</v>
      </c>
      <c r="AA177" s="48" t="s">
        <v>148</v>
      </c>
      <c r="AB177" s="48" t="s">
        <v>635</v>
      </c>
      <c r="AC177" s="48" t="s">
        <v>635</v>
      </c>
      <c r="AD177" s="48"/>
      <c r="AE177" s="48"/>
      <c r="AF177" s="48" t="s">
        <v>604</v>
      </c>
      <c r="AG177" s="48" t="s">
        <v>440</v>
      </c>
      <c r="AH177" s="104" t="s">
        <v>636</v>
      </c>
      <c r="AI177" s="48"/>
      <c r="AJ177" s="98">
        <v>38796</v>
      </c>
      <c r="AK177" s="80">
        <v>38868</v>
      </c>
      <c r="AL177" s="51">
        <f t="shared" si="111"/>
        <v>19.432876712328767</v>
      </c>
      <c r="AM177" s="52">
        <v>12</v>
      </c>
      <c r="AN177" s="48" t="s">
        <v>132</v>
      </c>
      <c r="AO177" s="30" t="s">
        <v>133</v>
      </c>
      <c r="AP177" s="30" t="s">
        <v>606</v>
      </c>
      <c r="AQ177" s="48">
        <v>43.2</v>
      </c>
      <c r="AR177" s="48">
        <v>3042</v>
      </c>
      <c r="AS177" s="48">
        <v>1956</v>
      </c>
      <c r="AT177" s="48">
        <v>2489</v>
      </c>
      <c r="AU177" s="53">
        <v>4670174396</v>
      </c>
      <c r="AV177" s="54"/>
      <c r="AW177" s="54"/>
      <c r="AX177" s="54">
        <v>4407229396</v>
      </c>
      <c r="AY177" s="54"/>
      <c r="AZ177" s="54"/>
      <c r="BA177" s="54">
        <v>1000</v>
      </c>
      <c r="BB177" s="54">
        <v>23145516</v>
      </c>
      <c r="BC177" s="52">
        <v>144</v>
      </c>
      <c r="BD177" s="52">
        <v>235</v>
      </c>
      <c r="BE177" s="52">
        <v>0</v>
      </c>
      <c r="BF177" s="30"/>
      <c r="BG177" s="30" t="s">
        <v>637</v>
      </c>
      <c r="BH177" s="30" t="s">
        <v>569</v>
      </c>
      <c r="BI177" s="30" t="str">
        <f t="shared" si="92"/>
        <v>Bump</v>
      </c>
      <c r="BJ177" s="47" t="s">
        <v>137</v>
      </c>
      <c r="BK177" s="56">
        <f t="shared" si="93"/>
        <v>93403487.920000002</v>
      </c>
      <c r="BL177" s="57">
        <f t="shared" si="101"/>
        <v>2918858.9975000001</v>
      </c>
      <c r="BM177" s="57">
        <f t="shared" si="102"/>
        <v>972952.99916666665</v>
      </c>
      <c r="BU177" s="58">
        <f t="shared" si="113"/>
        <v>2918858.9975000001</v>
      </c>
      <c r="BV177" s="58">
        <f t="shared" si="118"/>
        <v>2918858.9975000001</v>
      </c>
      <c r="BW177" s="58">
        <f t="shared" si="112"/>
        <v>5837717.9950000001</v>
      </c>
      <c r="BX177" s="58">
        <f t="shared" si="119"/>
        <v>2918858.9975000001</v>
      </c>
      <c r="BY177" s="58">
        <f t="shared" si="120"/>
        <v>2918858.9975000001</v>
      </c>
      <c r="BZ177" s="58">
        <f t="shared" si="114"/>
        <v>2918858.9975000001</v>
      </c>
      <c r="CA177" s="58">
        <f t="shared" si="80"/>
        <v>2918858.9975000001</v>
      </c>
      <c r="CB177" s="58">
        <f t="shared" si="115"/>
        <v>11675435.99</v>
      </c>
      <c r="CC177" s="58">
        <f t="shared" si="87"/>
        <v>2918858.9975000001</v>
      </c>
      <c r="CD177" s="58">
        <f t="shared" si="110"/>
        <v>2918858.9975000001</v>
      </c>
      <c r="CE177" s="58">
        <f t="shared" si="110"/>
        <v>2918858.9975000001</v>
      </c>
      <c r="CF177" s="58">
        <f t="shared" si="110"/>
        <v>2918858.9975000001</v>
      </c>
      <c r="CG177" s="58">
        <f t="shared" si="116"/>
        <v>11675435.99</v>
      </c>
      <c r="CH177" s="58">
        <f t="shared" si="89"/>
        <v>2918858.9975000001</v>
      </c>
      <c r="CI177" s="58">
        <f t="shared" si="90"/>
        <v>2918858.9975000001</v>
      </c>
      <c r="CJ177" s="58">
        <f t="shared" si="90"/>
        <v>2918858.9975000001</v>
      </c>
      <c r="CK177" s="58">
        <f t="shared" si="90"/>
        <v>2918858.9975000001</v>
      </c>
      <c r="CL177" s="58">
        <f t="shared" si="117"/>
        <v>11675435.99</v>
      </c>
      <c r="CP177" s="2">
        <f t="shared" si="95"/>
        <v>93403487.920000002</v>
      </c>
    </row>
    <row r="178" spans="1:94" ht="16.5" hidden="1" x14ac:dyDescent="0.3">
      <c r="A178" s="2">
        <v>173</v>
      </c>
      <c r="B178" s="47" t="s">
        <v>21</v>
      </c>
      <c r="C178" s="47"/>
      <c r="D178" s="30" t="s">
        <v>553</v>
      </c>
      <c r="E178" s="30" t="s">
        <v>115</v>
      </c>
      <c r="F178" s="30" t="s">
        <v>579</v>
      </c>
      <c r="G178" s="48" t="s">
        <v>555</v>
      </c>
      <c r="H178" s="30" t="s">
        <v>118</v>
      </c>
      <c r="I178" s="30" t="s">
        <v>119</v>
      </c>
      <c r="J178" s="30" t="s">
        <v>556</v>
      </c>
      <c r="K178" s="30" t="s">
        <v>557</v>
      </c>
      <c r="L178" s="48" t="s">
        <v>595</v>
      </c>
      <c r="M178" s="79">
        <v>2100099</v>
      </c>
      <c r="N178" s="48" t="s">
        <v>582</v>
      </c>
      <c r="O178" s="48" t="s">
        <v>638</v>
      </c>
      <c r="P178" s="48" t="s">
        <v>621</v>
      </c>
      <c r="Q178" s="48" t="s">
        <v>597</v>
      </c>
      <c r="R178" s="48"/>
      <c r="S178" s="48" t="s">
        <v>639</v>
      </c>
      <c r="T178" s="102" t="s">
        <v>640</v>
      </c>
      <c r="U178" s="48" t="s">
        <v>588</v>
      </c>
      <c r="V178" s="48" t="s">
        <v>600</v>
      </c>
      <c r="W178" s="48" t="s">
        <v>601</v>
      </c>
      <c r="X178" s="103" t="s">
        <v>602</v>
      </c>
      <c r="Y178" s="48" t="s">
        <v>576</v>
      </c>
      <c r="Z178" s="48" t="s">
        <v>576</v>
      </c>
      <c r="AA178" s="48" t="s">
        <v>148</v>
      </c>
      <c r="AB178" s="48" t="s">
        <v>603</v>
      </c>
      <c r="AC178" s="48" t="s">
        <v>603</v>
      </c>
      <c r="AD178" s="48" t="s">
        <v>566</v>
      </c>
      <c r="AE178" s="48"/>
      <c r="AF178" s="48" t="s">
        <v>604</v>
      </c>
      <c r="AG178" s="48" t="s">
        <v>440</v>
      </c>
      <c r="AH178" s="48" t="s">
        <v>605</v>
      </c>
      <c r="AI178" s="48"/>
      <c r="AJ178" s="98">
        <v>38855</v>
      </c>
      <c r="AK178" s="80">
        <v>38898</v>
      </c>
      <c r="AL178" s="51">
        <f t="shared" si="111"/>
        <v>19.350684931506848</v>
      </c>
      <c r="AM178" s="52">
        <v>12</v>
      </c>
      <c r="AN178" s="48" t="s">
        <v>132</v>
      </c>
      <c r="AO178" s="30" t="s">
        <v>133</v>
      </c>
      <c r="AP178" s="30" t="s">
        <v>606</v>
      </c>
      <c r="AQ178" s="48">
        <v>21.6</v>
      </c>
      <c r="AR178" s="48">
        <v>1500</v>
      </c>
      <c r="AS178" s="48">
        <v>3900</v>
      </c>
      <c r="AT178" s="48">
        <v>2328</v>
      </c>
      <c r="AU178" s="53">
        <v>495932296</v>
      </c>
      <c r="AV178" s="54"/>
      <c r="AW178" s="54"/>
      <c r="AX178" s="54">
        <v>368073209</v>
      </c>
      <c r="AY178" s="54"/>
      <c r="AZ178" s="54"/>
      <c r="BA178" s="54">
        <v>1000</v>
      </c>
      <c r="BB178" s="55">
        <v>13090921</v>
      </c>
      <c r="BC178" s="52">
        <v>144</v>
      </c>
      <c r="BD178" s="52">
        <v>234</v>
      </c>
      <c r="BE178" s="52">
        <v>0</v>
      </c>
      <c r="BF178" s="30"/>
      <c r="BG178" s="30" t="s">
        <v>607</v>
      </c>
      <c r="BH178" s="30" t="s">
        <v>569</v>
      </c>
      <c r="BI178" s="30" t="str">
        <f t="shared" si="92"/>
        <v>Bump</v>
      </c>
      <c r="BJ178" s="47" t="s">
        <v>137</v>
      </c>
      <c r="BK178" s="56">
        <f t="shared" si="93"/>
        <v>9918645.9199999999</v>
      </c>
      <c r="BL178" s="57">
        <f t="shared" si="101"/>
        <v>945531.79846667056</v>
      </c>
      <c r="BM178" s="57">
        <f t="shared" si="102"/>
        <v>315177.26615555683</v>
      </c>
      <c r="BU178" s="58">
        <f t="shared" si="113"/>
        <v>945531.79846667056</v>
      </c>
      <c r="BV178" s="58">
        <f t="shared" si="118"/>
        <v>945531.79846667056</v>
      </c>
      <c r="BW178" s="58">
        <f t="shared" si="112"/>
        <v>1891063.5969333411</v>
      </c>
      <c r="BX178" s="58">
        <f t="shared" si="119"/>
        <v>945531.79846667056</v>
      </c>
      <c r="BY178" s="58">
        <f t="shared" si="120"/>
        <v>945531.79846667056</v>
      </c>
      <c r="BZ178" s="58">
        <f t="shared" si="114"/>
        <v>945531.79846667056</v>
      </c>
      <c r="CA178" s="58">
        <f t="shared" si="80"/>
        <v>945531.79846667056</v>
      </c>
      <c r="CB178" s="58">
        <f t="shared" si="115"/>
        <v>3782127.1938666822</v>
      </c>
      <c r="CC178" s="58">
        <f t="shared" si="87"/>
        <v>945531.79846667056</v>
      </c>
      <c r="CD178" s="58">
        <f t="shared" si="110"/>
        <v>945531.79846667056</v>
      </c>
      <c r="CE178" s="58">
        <f t="shared" si="110"/>
        <v>945531.79846667056</v>
      </c>
      <c r="CF178" s="58">
        <f t="shared" si="110"/>
        <v>945531.79846667056</v>
      </c>
      <c r="CG178" s="58">
        <f t="shared" si="116"/>
        <v>3782127.1938666822</v>
      </c>
      <c r="CH178" s="58">
        <f t="shared" si="89"/>
        <v>945531.79846667056</v>
      </c>
      <c r="CI178" s="58">
        <f t="shared" si="90"/>
        <v>945531.79846667056</v>
      </c>
      <c r="CJ178" s="58">
        <f t="shared" si="90"/>
        <v>945531.79846667056</v>
      </c>
      <c r="CK178" s="58">
        <f t="shared" si="90"/>
        <v>945531.79846667056</v>
      </c>
      <c r="CL178" s="58">
        <f t="shared" si="117"/>
        <v>3782127.1938666822</v>
      </c>
      <c r="CN178" s="59">
        <f t="shared" ref="CN178:CN182" si="121">BK178/$CN$3</f>
        <v>9.6849388718730763E-4</v>
      </c>
      <c r="CO178" s="64">
        <f t="shared" ref="CO178:CO182" si="122">CN178*$CO$4</f>
        <v>20338371.63093346</v>
      </c>
      <c r="CP178" s="2">
        <f t="shared" si="95"/>
        <v>30257017.550933458</v>
      </c>
    </row>
    <row r="179" spans="1:94" ht="16.5" hidden="1" x14ac:dyDescent="0.3">
      <c r="A179" s="2">
        <v>174</v>
      </c>
      <c r="B179" s="47" t="s">
        <v>21</v>
      </c>
      <c r="C179" s="47"/>
      <c r="D179" s="30" t="s">
        <v>553</v>
      </c>
      <c r="E179" s="30" t="s">
        <v>115</v>
      </c>
      <c r="F179" s="30" t="s">
        <v>579</v>
      </c>
      <c r="G179" s="30" t="s">
        <v>555</v>
      </c>
      <c r="H179" s="30" t="s">
        <v>118</v>
      </c>
      <c r="I179" s="30" t="s">
        <v>119</v>
      </c>
      <c r="J179" s="30" t="s">
        <v>556</v>
      </c>
      <c r="K179" s="30" t="s">
        <v>557</v>
      </c>
      <c r="L179" s="48" t="s">
        <v>641</v>
      </c>
      <c r="M179" s="79">
        <v>2100102</v>
      </c>
      <c r="N179" s="48" t="s">
        <v>582</v>
      </c>
      <c r="O179" s="48" t="s">
        <v>642</v>
      </c>
      <c r="P179" s="48" t="s">
        <v>643</v>
      </c>
      <c r="Q179" s="48" t="s">
        <v>644</v>
      </c>
      <c r="R179" s="48"/>
      <c r="S179" s="48">
        <v>81110</v>
      </c>
      <c r="T179" s="30" t="s">
        <v>645</v>
      </c>
      <c r="U179" s="48" t="s">
        <v>588</v>
      </c>
      <c r="V179" s="48" t="s">
        <v>646</v>
      </c>
      <c r="W179" s="48" t="s">
        <v>647</v>
      </c>
      <c r="X179" s="48" t="s">
        <v>576</v>
      </c>
      <c r="Y179" s="99" t="s">
        <v>576</v>
      </c>
      <c r="Z179" s="99" t="s">
        <v>576</v>
      </c>
      <c r="AA179" s="48" t="s">
        <v>374</v>
      </c>
      <c r="AB179" s="48" t="s">
        <v>648</v>
      </c>
      <c r="AC179" s="48" t="s">
        <v>648</v>
      </c>
      <c r="AD179" s="48"/>
      <c r="AE179" s="48"/>
      <c r="AF179" s="48" t="s">
        <v>131</v>
      </c>
      <c r="AG179" s="48" t="s">
        <v>649</v>
      </c>
      <c r="AH179" s="48"/>
      <c r="AI179" s="48"/>
      <c r="AJ179" s="98">
        <v>38895</v>
      </c>
      <c r="AK179" s="80">
        <v>39021</v>
      </c>
      <c r="AL179" s="51">
        <f t="shared" si="111"/>
        <v>19.013698630136986</v>
      </c>
      <c r="AM179" s="52">
        <v>12</v>
      </c>
      <c r="AN179" s="48" t="s">
        <v>132</v>
      </c>
      <c r="AO179" s="30" t="s">
        <v>133</v>
      </c>
      <c r="AP179" s="30" t="s">
        <v>134</v>
      </c>
      <c r="AQ179" s="48">
        <v>5</v>
      </c>
      <c r="AR179" s="48">
        <v>2200</v>
      </c>
      <c r="AS179" s="48">
        <v>1400</v>
      </c>
      <c r="AT179" s="48">
        <v>2120</v>
      </c>
      <c r="AU179" s="53">
        <v>545205132</v>
      </c>
      <c r="AV179" s="54"/>
      <c r="AW179" s="54"/>
      <c r="AX179" s="54">
        <v>527935132</v>
      </c>
      <c r="AY179" s="54"/>
      <c r="AZ179" s="54"/>
      <c r="BA179" s="54">
        <v>1000</v>
      </c>
      <c r="BB179" s="55">
        <v>1160107</v>
      </c>
      <c r="BC179" s="52">
        <v>144</v>
      </c>
      <c r="BD179" s="52">
        <v>230</v>
      </c>
      <c r="BE179" s="52">
        <v>0</v>
      </c>
      <c r="BF179" s="30"/>
      <c r="BG179" s="30" t="s">
        <v>650</v>
      </c>
      <c r="BH179" s="30" t="s">
        <v>569</v>
      </c>
      <c r="BI179" s="30" t="str">
        <f t="shared" si="92"/>
        <v>Bump</v>
      </c>
      <c r="BJ179" s="47" t="s">
        <v>137</v>
      </c>
      <c r="BK179" s="67">
        <f t="shared" si="93"/>
        <v>10904102.640000001</v>
      </c>
      <c r="BL179" s="68">
        <f t="shared" si="101"/>
        <v>1039474.124091363</v>
      </c>
      <c r="BM179" s="68">
        <f t="shared" si="102"/>
        <v>346491.37469712103</v>
      </c>
      <c r="BP179" s="69">
        <f>BM179*3</f>
        <v>1039474.124091363</v>
      </c>
      <c r="BQ179" s="69">
        <f>BP179</f>
        <v>1039474.124091363</v>
      </c>
      <c r="BR179" s="69">
        <f>SUM(BN179:BQ179)</f>
        <v>2078948.2481827261</v>
      </c>
      <c r="BS179" s="69">
        <f>BQ179</f>
        <v>1039474.124091363</v>
      </c>
      <c r="BT179" s="69">
        <f t="shared" si="118"/>
        <v>1039474.124091363</v>
      </c>
      <c r="BU179" s="100">
        <f t="shared" si="118"/>
        <v>1039474.124091363</v>
      </c>
      <c r="BV179" s="100">
        <f t="shared" si="118"/>
        <v>1039474.124091363</v>
      </c>
      <c r="BW179" s="100">
        <f t="shared" si="112"/>
        <v>4157896.4963654522</v>
      </c>
      <c r="BX179" s="101">
        <f t="shared" si="119"/>
        <v>1039474.124091363</v>
      </c>
      <c r="BY179" s="101">
        <f t="shared" si="120"/>
        <v>1039474.124091363</v>
      </c>
      <c r="BZ179" s="101">
        <f t="shared" si="120"/>
        <v>1039474.124091363</v>
      </c>
      <c r="CA179" s="101">
        <f t="shared" si="80"/>
        <v>1039474.124091363</v>
      </c>
      <c r="CB179" s="100">
        <f t="shared" si="86"/>
        <v>4157896.4963654522</v>
      </c>
      <c r="CC179" s="101">
        <f t="shared" si="87"/>
        <v>1039474.124091363</v>
      </c>
      <c r="CD179" s="101">
        <f t="shared" si="110"/>
        <v>1039474.124091363</v>
      </c>
      <c r="CE179" s="101">
        <f t="shared" si="110"/>
        <v>1039474.124091363</v>
      </c>
      <c r="CF179" s="101">
        <f t="shared" si="110"/>
        <v>1039474.124091363</v>
      </c>
      <c r="CG179" s="100">
        <f t="shared" si="88"/>
        <v>4157896.4963654522</v>
      </c>
      <c r="CH179" s="101">
        <f t="shared" si="89"/>
        <v>1039474.124091363</v>
      </c>
      <c r="CI179" s="101">
        <f t="shared" si="90"/>
        <v>1039474.124091363</v>
      </c>
      <c r="CJ179" s="101">
        <f t="shared" si="90"/>
        <v>1039474.124091363</v>
      </c>
      <c r="CK179" s="101">
        <f t="shared" si="90"/>
        <v>1039474.124091363</v>
      </c>
      <c r="CL179" s="100">
        <f t="shared" si="91"/>
        <v>4157896.4963654522</v>
      </c>
      <c r="CM179" s="71"/>
      <c r="CN179" s="59">
        <f t="shared" si="121"/>
        <v>1.0647175871868388E-3</v>
      </c>
      <c r="CO179" s="64">
        <f t="shared" si="122"/>
        <v>22359069.330923617</v>
      </c>
      <c r="CP179" s="2">
        <f t="shared" si="95"/>
        <v>33263171.970923617</v>
      </c>
    </row>
    <row r="180" spans="1:94" ht="16.5" hidden="1" x14ac:dyDescent="0.3">
      <c r="A180" s="2">
        <v>175</v>
      </c>
      <c r="B180" s="47" t="s">
        <v>21</v>
      </c>
      <c r="C180" s="47"/>
      <c r="D180" s="30" t="s">
        <v>553</v>
      </c>
      <c r="E180" s="30" t="s">
        <v>115</v>
      </c>
      <c r="F180" s="30" t="s">
        <v>579</v>
      </c>
      <c r="G180" s="48" t="s">
        <v>555</v>
      </c>
      <c r="H180" s="30" t="s">
        <v>118</v>
      </c>
      <c r="I180" s="30" t="s">
        <v>119</v>
      </c>
      <c r="J180" s="30" t="s">
        <v>556</v>
      </c>
      <c r="K180" s="30" t="s">
        <v>557</v>
      </c>
      <c r="L180" s="48" t="s">
        <v>595</v>
      </c>
      <c r="M180" s="79">
        <v>2100103</v>
      </c>
      <c r="N180" s="48" t="s">
        <v>582</v>
      </c>
      <c r="O180" s="48" t="s">
        <v>651</v>
      </c>
      <c r="P180" s="48" t="s">
        <v>621</v>
      </c>
      <c r="Q180" s="48" t="s">
        <v>597</v>
      </c>
      <c r="R180" s="48"/>
      <c r="S180" s="48" t="s">
        <v>652</v>
      </c>
      <c r="T180" s="102" t="s">
        <v>653</v>
      </c>
      <c r="U180" s="48" t="s">
        <v>588</v>
      </c>
      <c r="V180" s="48" t="s">
        <v>600</v>
      </c>
      <c r="W180" s="48" t="s">
        <v>601</v>
      </c>
      <c r="X180" s="48" t="s">
        <v>576</v>
      </c>
      <c r="Y180" s="99" t="s">
        <v>128</v>
      </c>
      <c r="Z180" s="99" t="s">
        <v>128</v>
      </c>
      <c r="AA180" s="48" t="s">
        <v>148</v>
      </c>
      <c r="AB180" s="48" t="s">
        <v>603</v>
      </c>
      <c r="AC180" s="48" t="s">
        <v>603</v>
      </c>
      <c r="AD180" s="48" t="s">
        <v>566</v>
      </c>
      <c r="AE180" s="48"/>
      <c r="AF180" s="48" t="s">
        <v>604</v>
      </c>
      <c r="AG180" s="48" t="s">
        <v>440</v>
      </c>
      <c r="AH180" s="48" t="s">
        <v>605</v>
      </c>
      <c r="AI180" s="48"/>
      <c r="AJ180" s="98">
        <v>38979</v>
      </c>
      <c r="AK180" s="80">
        <v>39021</v>
      </c>
      <c r="AL180" s="51">
        <f t="shared" si="111"/>
        <v>19.013698630136986</v>
      </c>
      <c r="AM180" s="52">
        <v>12</v>
      </c>
      <c r="AN180" s="48" t="s">
        <v>132</v>
      </c>
      <c r="AO180" s="30" t="s">
        <v>133</v>
      </c>
      <c r="AP180" s="30" t="s">
        <v>606</v>
      </c>
      <c r="AQ180" s="48">
        <v>21.6</v>
      </c>
      <c r="AR180" s="48">
        <v>1500</v>
      </c>
      <c r="AS180" s="48">
        <v>3900</v>
      </c>
      <c r="AT180" s="48">
        <v>2328</v>
      </c>
      <c r="AU180" s="53">
        <v>349585986</v>
      </c>
      <c r="AV180" s="54"/>
      <c r="AW180" s="54"/>
      <c r="AX180" s="54">
        <v>349585986</v>
      </c>
      <c r="AY180" s="54"/>
      <c r="AZ180" s="54"/>
      <c r="BA180" s="54">
        <v>1000</v>
      </c>
      <c r="BB180" s="55">
        <v>1000</v>
      </c>
      <c r="BC180" s="52">
        <v>144</v>
      </c>
      <c r="BD180" s="52">
        <v>230</v>
      </c>
      <c r="BE180" s="52">
        <v>0</v>
      </c>
      <c r="BF180" s="30"/>
      <c r="BG180" s="30" t="s">
        <v>607</v>
      </c>
      <c r="BH180" s="30" t="s">
        <v>569</v>
      </c>
      <c r="BI180" s="30" t="str">
        <f t="shared" si="92"/>
        <v>Bump</v>
      </c>
      <c r="BJ180" s="47" t="s">
        <v>137</v>
      </c>
      <c r="BK180" s="67">
        <f t="shared" si="93"/>
        <v>6991719.7199999997</v>
      </c>
      <c r="BL180" s="68">
        <f t="shared" si="101"/>
        <v>666511.67654813174</v>
      </c>
      <c r="BM180" s="68">
        <f t="shared" si="102"/>
        <v>222170.55884937724</v>
      </c>
      <c r="BP180" s="69">
        <f>BM180*3</f>
        <v>666511.67654813174</v>
      </c>
      <c r="BQ180" s="69">
        <f>BP180</f>
        <v>666511.67654813174</v>
      </c>
      <c r="BR180" s="69">
        <f>SUM(BN180:BQ180)</f>
        <v>1333023.3530962635</v>
      </c>
      <c r="BS180" s="69">
        <f>BQ180</f>
        <v>666511.67654813174</v>
      </c>
      <c r="BT180" s="69">
        <f t="shared" si="118"/>
        <v>666511.67654813174</v>
      </c>
      <c r="BU180" s="100">
        <f t="shared" si="118"/>
        <v>666511.67654813174</v>
      </c>
      <c r="BV180" s="100">
        <f t="shared" si="118"/>
        <v>666511.67654813174</v>
      </c>
      <c r="BW180" s="100">
        <f t="shared" si="112"/>
        <v>2666046.706192527</v>
      </c>
      <c r="BX180" s="101">
        <f t="shared" si="119"/>
        <v>666511.67654813174</v>
      </c>
      <c r="BY180" s="101">
        <f t="shared" si="120"/>
        <v>666511.67654813174</v>
      </c>
      <c r="BZ180" s="18">
        <f t="shared" si="120"/>
        <v>666511.67654813174</v>
      </c>
      <c r="CA180" s="18">
        <f t="shared" si="80"/>
        <v>666511.67654813174</v>
      </c>
      <c r="CB180" s="70">
        <f t="shared" si="86"/>
        <v>2666046.706192527</v>
      </c>
      <c r="CC180" s="18">
        <f t="shared" si="87"/>
        <v>666511.67654813174</v>
      </c>
      <c r="CD180" s="18">
        <f t="shared" si="110"/>
        <v>666511.67654813174</v>
      </c>
      <c r="CE180" s="18">
        <f t="shared" si="110"/>
        <v>666511.67654813174</v>
      </c>
      <c r="CF180" s="18">
        <f t="shared" si="110"/>
        <v>666511.67654813174</v>
      </c>
      <c r="CG180" s="70">
        <f t="shared" si="88"/>
        <v>2666046.706192527</v>
      </c>
      <c r="CH180" s="18">
        <f t="shared" si="89"/>
        <v>666511.67654813174</v>
      </c>
      <c r="CI180" s="18">
        <f t="shared" si="90"/>
        <v>666511.67654813174</v>
      </c>
      <c r="CJ180" s="18">
        <f t="shared" si="90"/>
        <v>666511.67654813174</v>
      </c>
      <c r="CK180" s="18">
        <f t="shared" si="90"/>
        <v>666511.67654813174</v>
      </c>
      <c r="CL180" s="70">
        <f t="shared" si="91"/>
        <v>2666046.706192527</v>
      </c>
      <c r="CM180" s="71"/>
      <c r="CN180" s="59">
        <f t="shared" si="121"/>
        <v>6.8269780616858167E-4</v>
      </c>
      <c r="CO180" s="64">
        <f t="shared" si="122"/>
        <v>14336653.929540215</v>
      </c>
      <c r="CP180" s="2">
        <f t="shared" si="95"/>
        <v>21328373.649540216</v>
      </c>
    </row>
    <row r="181" spans="1:94" ht="16.5" hidden="1" x14ac:dyDescent="0.3">
      <c r="A181" s="2">
        <v>176</v>
      </c>
      <c r="B181" s="47" t="s">
        <v>21</v>
      </c>
      <c r="C181" s="47"/>
      <c r="D181" s="30" t="s">
        <v>553</v>
      </c>
      <c r="E181" s="30" t="s">
        <v>115</v>
      </c>
      <c r="F181" s="30" t="s">
        <v>579</v>
      </c>
      <c r="G181" s="30" t="s">
        <v>555</v>
      </c>
      <c r="H181" s="30" t="s">
        <v>118</v>
      </c>
      <c r="I181" s="30" t="s">
        <v>119</v>
      </c>
      <c r="J181" s="30" t="s">
        <v>556</v>
      </c>
      <c r="K181" s="30" t="s">
        <v>557</v>
      </c>
      <c r="L181" s="48" t="s">
        <v>654</v>
      </c>
      <c r="M181" s="79">
        <v>2100104</v>
      </c>
      <c r="N181" s="48" t="s">
        <v>559</v>
      </c>
      <c r="O181" s="48" t="s">
        <v>655</v>
      </c>
      <c r="P181" s="48" t="s">
        <v>656</v>
      </c>
      <c r="Q181" s="48" t="s">
        <v>657</v>
      </c>
      <c r="R181" s="48"/>
      <c r="S181" s="48">
        <v>2032286</v>
      </c>
      <c r="T181" s="30" t="s">
        <v>658</v>
      </c>
      <c r="U181" s="48" t="s">
        <v>588</v>
      </c>
      <c r="V181" s="48" t="s">
        <v>659</v>
      </c>
      <c r="W181" s="48" t="s">
        <v>564</v>
      </c>
      <c r="X181" s="48" t="s">
        <v>576</v>
      </c>
      <c r="Y181" s="99" t="s">
        <v>576</v>
      </c>
      <c r="Z181" s="99" t="s">
        <v>576</v>
      </c>
      <c r="AA181" s="48" t="s">
        <v>129</v>
      </c>
      <c r="AB181" s="48" t="s">
        <v>660</v>
      </c>
      <c r="AC181" s="48" t="s">
        <v>660</v>
      </c>
      <c r="AD181" s="48"/>
      <c r="AE181" s="48"/>
      <c r="AF181" s="48" t="s">
        <v>131</v>
      </c>
      <c r="AG181" s="48" t="s">
        <v>661</v>
      </c>
      <c r="AH181" s="48"/>
      <c r="AI181" s="48"/>
      <c r="AJ181" s="98">
        <v>38991</v>
      </c>
      <c r="AK181" s="80">
        <v>39021</v>
      </c>
      <c r="AL181" s="51">
        <f t="shared" si="111"/>
        <v>19.013698630136986</v>
      </c>
      <c r="AM181" s="52">
        <v>12</v>
      </c>
      <c r="AN181" s="48" t="s">
        <v>132</v>
      </c>
      <c r="AO181" s="30" t="s">
        <v>133</v>
      </c>
      <c r="AP181" s="30" t="s">
        <v>134</v>
      </c>
      <c r="AQ181" s="48">
        <v>2.2000000000000002</v>
      </c>
      <c r="AR181" s="48">
        <v>1480</v>
      </c>
      <c r="AS181" s="48">
        <v>800</v>
      </c>
      <c r="AT181" s="48">
        <v>1500</v>
      </c>
      <c r="AU181" s="53">
        <v>41950000</v>
      </c>
      <c r="AV181" s="54"/>
      <c r="AW181" s="54"/>
      <c r="AX181" s="54">
        <v>41950000</v>
      </c>
      <c r="AY181" s="54"/>
      <c r="AZ181" s="54"/>
      <c r="BA181" s="54">
        <v>1000</v>
      </c>
      <c r="BB181" s="55">
        <v>1000</v>
      </c>
      <c r="BC181" s="52">
        <v>144</v>
      </c>
      <c r="BD181" s="52">
        <v>230</v>
      </c>
      <c r="BE181" s="52">
        <v>0</v>
      </c>
      <c r="BF181" s="30"/>
      <c r="BG181" s="30" t="s">
        <v>594</v>
      </c>
      <c r="BH181" s="30" t="s">
        <v>569</v>
      </c>
      <c r="BI181" s="30" t="str">
        <f t="shared" si="92"/>
        <v>Bump</v>
      </c>
      <c r="BJ181" s="47" t="s">
        <v>137</v>
      </c>
      <c r="BK181" s="67">
        <f t="shared" si="93"/>
        <v>839000</v>
      </c>
      <c r="BL181" s="68">
        <f t="shared" si="101"/>
        <v>79980.794285026423</v>
      </c>
      <c r="BM181" s="68">
        <f t="shared" si="102"/>
        <v>26660.264761675473</v>
      </c>
      <c r="BP181" s="69">
        <f>BM181*3</f>
        <v>79980.794285026423</v>
      </c>
      <c r="BQ181" s="69">
        <f>BP181</f>
        <v>79980.794285026423</v>
      </c>
      <c r="BR181" s="69">
        <f>SUM(BN181:BQ181)</f>
        <v>159961.58857005285</v>
      </c>
      <c r="BS181" s="69">
        <f>BQ181</f>
        <v>79980.794285026423</v>
      </c>
      <c r="BT181" s="69">
        <f t="shared" si="118"/>
        <v>79980.794285026423</v>
      </c>
      <c r="BU181" s="100">
        <f t="shared" si="118"/>
        <v>79980.794285026423</v>
      </c>
      <c r="BV181" s="100">
        <f t="shared" si="118"/>
        <v>79980.794285026423</v>
      </c>
      <c r="BW181" s="100">
        <f t="shared" si="112"/>
        <v>319923.17714010569</v>
      </c>
      <c r="BX181" s="101">
        <f t="shared" si="119"/>
        <v>79980.794285026423</v>
      </c>
      <c r="BY181" s="101">
        <f t="shared" si="120"/>
        <v>79980.794285026423</v>
      </c>
      <c r="BZ181" s="101">
        <f t="shared" si="120"/>
        <v>79980.794285026423</v>
      </c>
      <c r="CA181" s="101">
        <f t="shared" si="80"/>
        <v>79980.794285026423</v>
      </c>
      <c r="CB181" s="100">
        <f t="shared" si="86"/>
        <v>319923.17714010569</v>
      </c>
      <c r="CC181" s="101">
        <f t="shared" si="87"/>
        <v>79980.794285026423</v>
      </c>
      <c r="CD181" s="101">
        <f t="shared" si="110"/>
        <v>79980.794285026423</v>
      </c>
      <c r="CE181" s="101">
        <f t="shared" si="110"/>
        <v>79980.794285026423</v>
      </c>
      <c r="CF181" s="101">
        <f t="shared" si="110"/>
        <v>79980.794285026423</v>
      </c>
      <c r="CG181" s="100">
        <f t="shared" si="88"/>
        <v>319923.17714010569</v>
      </c>
      <c r="CH181" s="101">
        <f t="shared" si="89"/>
        <v>79980.794285026423</v>
      </c>
      <c r="CI181" s="101">
        <f t="shared" si="90"/>
        <v>79980.794285026423</v>
      </c>
      <c r="CJ181" s="101">
        <f t="shared" si="90"/>
        <v>79980.794285026423</v>
      </c>
      <c r="CK181" s="101">
        <f t="shared" si="90"/>
        <v>79980.794285026423</v>
      </c>
      <c r="CL181" s="100">
        <f t="shared" si="91"/>
        <v>319923.17714010569</v>
      </c>
      <c r="CM181" s="71"/>
      <c r="CN181" s="59">
        <f t="shared" si="121"/>
        <v>8.1923115100992642E-5</v>
      </c>
      <c r="CO181" s="64">
        <f t="shared" si="122"/>
        <v>1720385.4171208455</v>
      </c>
      <c r="CP181" s="2">
        <f t="shared" si="95"/>
        <v>2559385.4171208455</v>
      </c>
    </row>
    <row r="182" spans="1:94" ht="16.5" hidden="1" x14ac:dyDescent="0.3">
      <c r="A182" s="2">
        <v>177</v>
      </c>
      <c r="B182" s="47" t="s">
        <v>21</v>
      </c>
      <c r="C182" s="47"/>
      <c r="D182" s="30" t="s">
        <v>553</v>
      </c>
      <c r="E182" s="30" t="s">
        <v>115</v>
      </c>
      <c r="F182" s="30" t="s">
        <v>579</v>
      </c>
      <c r="G182" s="30" t="s">
        <v>555</v>
      </c>
      <c r="H182" s="30" t="s">
        <v>118</v>
      </c>
      <c r="I182" s="30" t="s">
        <v>119</v>
      </c>
      <c r="J182" s="30" t="s">
        <v>556</v>
      </c>
      <c r="K182" s="30" t="s">
        <v>557</v>
      </c>
      <c r="L182" s="48" t="s">
        <v>641</v>
      </c>
      <c r="M182" s="79">
        <v>2100105</v>
      </c>
      <c r="N182" s="48" t="s">
        <v>582</v>
      </c>
      <c r="O182" s="48" t="s">
        <v>662</v>
      </c>
      <c r="P182" s="48" t="s">
        <v>643</v>
      </c>
      <c r="Q182" s="48" t="s">
        <v>644</v>
      </c>
      <c r="R182" s="48"/>
      <c r="S182" s="48">
        <v>81116</v>
      </c>
      <c r="T182" s="30" t="s">
        <v>663</v>
      </c>
      <c r="U182" s="48" t="s">
        <v>588</v>
      </c>
      <c r="V182" s="48" t="s">
        <v>646</v>
      </c>
      <c r="W182" s="48" t="s">
        <v>647</v>
      </c>
      <c r="X182" s="48" t="s">
        <v>576</v>
      </c>
      <c r="Y182" s="99" t="s">
        <v>576</v>
      </c>
      <c r="Z182" s="99" t="s">
        <v>576</v>
      </c>
      <c r="AA182" s="48" t="s">
        <v>374</v>
      </c>
      <c r="AB182" s="48" t="s">
        <v>648</v>
      </c>
      <c r="AC182" s="48" t="s">
        <v>648</v>
      </c>
      <c r="AD182" s="48"/>
      <c r="AE182" s="48"/>
      <c r="AF182" s="48" t="s">
        <v>131</v>
      </c>
      <c r="AG182" s="48" t="s">
        <v>649</v>
      </c>
      <c r="AH182" s="48"/>
      <c r="AI182" s="48"/>
      <c r="AJ182" s="98">
        <v>39063</v>
      </c>
      <c r="AK182" s="80">
        <v>39082</v>
      </c>
      <c r="AL182" s="51">
        <f t="shared" si="111"/>
        <v>18.846575342465755</v>
      </c>
      <c r="AM182" s="52">
        <v>12</v>
      </c>
      <c r="AN182" s="48" t="s">
        <v>132</v>
      </c>
      <c r="AO182" s="30" t="s">
        <v>133</v>
      </c>
      <c r="AP182" s="30" t="s">
        <v>134</v>
      </c>
      <c r="AQ182" s="48">
        <v>5</v>
      </c>
      <c r="AR182" s="48">
        <v>2200</v>
      </c>
      <c r="AS182" s="48">
        <v>1400</v>
      </c>
      <c r="AT182" s="48">
        <v>2120</v>
      </c>
      <c r="AU182" s="53">
        <v>679135008</v>
      </c>
      <c r="AV182" s="54"/>
      <c r="AW182" s="54"/>
      <c r="AX182" s="54">
        <v>568535008</v>
      </c>
      <c r="AY182" s="54"/>
      <c r="AZ182" s="54"/>
      <c r="BA182" s="54">
        <v>1000</v>
      </c>
      <c r="BB182" s="55">
        <v>11137293</v>
      </c>
      <c r="BC182" s="52">
        <v>144</v>
      </c>
      <c r="BD182" s="52">
        <v>228</v>
      </c>
      <c r="BE182" s="52">
        <v>0</v>
      </c>
      <c r="BF182" s="30"/>
      <c r="BG182" s="30" t="s">
        <v>650</v>
      </c>
      <c r="BH182" s="30" t="s">
        <v>569</v>
      </c>
      <c r="BI182" s="30" t="str">
        <f t="shared" si="92"/>
        <v>Bump</v>
      </c>
      <c r="BJ182" s="47" t="s">
        <v>137</v>
      </c>
      <c r="BK182" s="67">
        <f t="shared" si="93"/>
        <v>13582700.16</v>
      </c>
      <c r="BL182" s="68">
        <f t="shared" si="101"/>
        <v>1294821.3913374916</v>
      </c>
      <c r="BM182" s="68">
        <f t="shared" si="102"/>
        <v>431607.13044583052</v>
      </c>
      <c r="BP182" s="69">
        <f>BM182*3</f>
        <v>1294821.3913374916</v>
      </c>
      <c r="BQ182" s="69">
        <f>BP182</f>
        <v>1294821.3913374916</v>
      </c>
      <c r="BR182" s="69">
        <f>SUM(BN182:BQ182)</f>
        <v>2589642.7826749831</v>
      </c>
      <c r="BS182" s="69">
        <f>BQ182</f>
        <v>1294821.3913374916</v>
      </c>
      <c r="BT182" s="69">
        <f t="shared" si="118"/>
        <v>1294821.3913374916</v>
      </c>
      <c r="BU182" s="100">
        <f t="shared" si="118"/>
        <v>1294821.3913374916</v>
      </c>
      <c r="BV182" s="100">
        <f t="shared" si="118"/>
        <v>1294821.3913374916</v>
      </c>
      <c r="BW182" s="100">
        <f t="shared" si="112"/>
        <v>5179285.5653499663</v>
      </c>
      <c r="BX182" s="101">
        <f t="shared" si="119"/>
        <v>1294821.3913374916</v>
      </c>
      <c r="BY182" s="101">
        <f t="shared" si="120"/>
        <v>1294821.3913374916</v>
      </c>
      <c r="BZ182" s="101">
        <f t="shared" si="120"/>
        <v>1294821.3913374916</v>
      </c>
      <c r="CA182" s="101">
        <f t="shared" si="80"/>
        <v>1294821.3913374916</v>
      </c>
      <c r="CB182" s="100">
        <f t="shared" si="86"/>
        <v>5179285.5653499663</v>
      </c>
      <c r="CC182" s="101">
        <f t="shared" si="87"/>
        <v>1294821.3913374916</v>
      </c>
      <c r="CD182" s="101">
        <f t="shared" si="110"/>
        <v>1294821.3913374916</v>
      </c>
      <c r="CE182" s="101">
        <f t="shared" si="110"/>
        <v>1294821.3913374916</v>
      </c>
      <c r="CF182" s="101">
        <f t="shared" si="110"/>
        <v>1294821.3913374916</v>
      </c>
      <c r="CG182" s="100">
        <f t="shared" si="88"/>
        <v>5179285.5653499663</v>
      </c>
      <c r="CH182" s="101">
        <f t="shared" si="89"/>
        <v>1294821.3913374916</v>
      </c>
      <c r="CI182" s="101">
        <f t="shared" si="90"/>
        <v>1294821.3913374916</v>
      </c>
      <c r="CJ182" s="101">
        <f t="shared" si="90"/>
        <v>1294821.3913374916</v>
      </c>
      <c r="CK182" s="101">
        <f t="shared" si="90"/>
        <v>1294821.3913374916</v>
      </c>
      <c r="CL182" s="100">
        <f t="shared" si="91"/>
        <v>5179285.5653499663</v>
      </c>
      <c r="CM182" s="71"/>
      <c r="CN182" s="59">
        <f t="shared" si="121"/>
        <v>1.3262659220380825E-3</v>
      </c>
      <c r="CO182" s="64">
        <f t="shared" si="122"/>
        <v>27851584.36279973</v>
      </c>
      <c r="CP182" s="2">
        <f t="shared" si="95"/>
        <v>41434284.52279973</v>
      </c>
    </row>
    <row r="183" spans="1:94" hidden="1" x14ac:dyDescent="0.3">
      <c r="A183" s="29">
        <v>178</v>
      </c>
      <c r="B183" s="30" t="s">
        <v>21</v>
      </c>
      <c r="C183" s="30"/>
      <c r="D183" s="30" t="s">
        <v>553</v>
      </c>
      <c r="E183" s="30" t="s">
        <v>115</v>
      </c>
      <c r="F183" s="30" t="s">
        <v>579</v>
      </c>
      <c r="G183" s="30" t="s">
        <v>555</v>
      </c>
      <c r="H183" s="30" t="s">
        <v>385</v>
      </c>
      <c r="I183" s="30" t="s">
        <v>119</v>
      </c>
      <c r="J183" s="30" t="s">
        <v>556</v>
      </c>
      <c r="K183" s="30" t="s">
        <v>557</v>
      </c>
      <c r="L183" s="48" t="s">
        <v>664</v>
      </c>
      <c r="M183" s="79">
        <v>2100107</v>
      </c>
      <c r="N183" s="48" t="s">
        <v>582</v>
      </c>
      <c r="O183" s="48" t="s">
        <v>665</v>
      </c>
      <c r="P183" s="48"/>
      <c r="Q183" s="48" t="s">
        <v>666</v>
      </c>
      <c r="R183" s="48"/>
      <c r="S183" s="48"/>
      <c r="T183" s="48" t="s">
        <v>667</v>
      </c>
      <c r="U183" s="48" t="s">
        <v>588</v>
      </c>
      <c r="V183" s="48"/>
      <c r="W183" s="48" t="s">
        <v>668</v>
      </c>
      <c r="X183" s="48"/>
      <c r="Y183" s="48" t="s">
        <v>457</v>
      </c>
      <c r="Z183" s="48" t="s">
        <v>457</v>
      </c>
      <c r="AA183" s="48" t="s">
        <v>129</v>
      </c>
      <c r="AB183" s="48" t="s">
        <v>669</v>
      </c>
      <c r="AC183" s="48" t="s">
        <v>669</v>
      </c>
      <c r="AD183" s="48"/>
      <c r="AE183" s="48"/>
      <c r="AF183" s="48" t="s">
        <v>131</v>
      </c>
      <c r="AG183" s="48" t="s">
        <v>440</v>
      </c>
      <c r="AH183" s="48"/>
      <c r="AI183" s="48"/>
      <c r="AJ183" s="98"/>
      <c r="AK183" s="80">
        <v>39224</v>
      </c>
      <c r="AL183" s="51">
        <f t="shared" si="111"/>
        <v>18.457534246575342</v>
      </c>
      <c r="AM183" s="52">
        <v>12</v>
      </c>
      <c r="AN183" s="48" t="s">
        <v>132</v>
      </c>
      <c r="AO183" s="30" t="s">
        <v>133</v>
      </c>
      <c r="AP183" s="30" t="s">
        <v>134</v>
      </c>
      <c r="AQ183" s="48"/>
      <c r="AR183" s="48"/>
      <c r="AS183" s="48"/>
      <c r="AT183" s="48"/>
      <c r="AU183" s="53">
        <v>18000000</v>
      </c>
      <c r="AV183" s="54"/>
      <c r="AW183" s="54"/>
      <c r="AX183" s="54">
        <v>18000000</v>
      </c>
      <c r="AY183" s="54"/>
      <c r="AZ183" s="54"/>
      <c r="BA183" s="74">
        <v>1000</v>
      </c>
      <c r="BB183" s="74">
        <v>1000</v>
      </c>
      <c r="BC183" s="52">
        <v>144</v>
      </c>
      <c r="BD183" s="52">
        <v>223</v>
      </c>
      <c r="BE183" s="52">
        <v>0</v>
      </c>
      <c r="BF183" s="30"/>
      <c r="BG183" s="30" t="s">
        <v>607</v>
      </c>
      <c r="BH183" s="30" t="s">
        <v>569</v>
      </c>
      <c r="BI183" s="30" t="str">
        <f t="shared" si="92"/>
        <v>Bump</v>
      </c>
      <c r="BJ183" s="30" t="s">
        <v>250</v>
      </c>
      <c r="BK183" s="56">
        <f t="shared" si="93"/>
        <v>360000</v>
      </c>
      <c r="BL183" s="57">
        <f t="shared" si="101"/>
        <v>11250</v>
      </c>
      <c r="BM183" s="57">
        <f t="shared" si="102"/>
        <v>3750</v>
      </c>
      <c r="BU183" s="58">
        <f>BM183*3</f>
        <v>11250</v>
      </c>
      <c r="BV183" s="58">
        <f t="shared" si="118"/>
        <v>11250</v>
      </c>
      <c r="BW183" s="58">
        <f t="shared" si="112"/>
        <v>22500</v>
      </c>
      <c r="BX183" s="58">
        <f t="shared" si="119"/>
        <v>11250</v>
      </c>
      <c r="BY183" s="58">
        <f t="shared" si="120"/>
        <v>11250</v>
      </c>
      <c r="BZ183" s="58">
        <f>BM183*3</f>
        <v>11250</v>
      </c>
      <c r="CA183" s="58">
        <f>BZ183</f>
        <v>11250</v>
      </c>
      <c r="CB183" s="58">
        <f>SUM(BX183:CA183)</f>
        <v>45000</v>
      </c>
      <c r="CC183" s="58">
        <f>CA183</f>
        <v>11250</v>
      </c>
      <c r="CD183" s="58">
        <f>CC183</f>
        <v>11250</v>
      </c>
      <c r="CE183" s="58">
        <f>CD183</f>
        <v>11250</v>
      </c>
      <c r="CF183" s="58">
        <f>CE183</f>
        <v>11250</v>
      </c>
      <c r="CG183" s="58">
        <f>SUM(CC183:CF183)</f>
        <v>45000</v>
      </c>
      <c r="CH183" s="58">
        <f>CF183</f>
        <v>11250</v>
      </c>
      <c r="CI183" s="58">
        <f>CH183</f>
        <v>11250</v>
      </c>
      <c r="CJ183" s="58">
        <f>CI183</f>
        <v>11250</v>
      </c>
      <c r="CK183" s="58">
        <f>CJ183</f>
        <v>11250</v>
      </c>
      <c r="CL183" s="58">
        <f>SUM(CH183:CK183)</f>
        <v>45000</v>
      </c>
      <c r="CP183" s="2">
        <f t="shared" si="95"/>
        <v>360000</v>
      </c>
    </row>
    <row r="184" spans="1:94" ht="16.5" hidden="1" x14ac:dyDescent="0.3">
      <c r="A184" s="2">
        <v>179</v>
      </c>
      <c r="B184" s="47" t="s">
        <v>21</v>
      </c>
      <c r="C184" s="47"/>
      <c r="D184" s="30" t="s">
        <v>553</v>
      </c>
      <c r="E184" s="30" t="s">
        <v>115</v>
      </c>
      <c r="F184" s="30" t="s">
        <v>579</v>
      </c>
      <c r="G184" s="48" t="s">
        <v>555</v>
      </c>
      <c r="H184" s="30" t="s">
        <v>118</v>
      </c>
      <c r="I184" s="30" t="s">
        <v>119</v>
      </c>
      <c r="J184" s="30" t="s">
        <v>556</v>
      </c>
      <c r="K184" s="30" t="s">
        <v>557</v>
      </c>
      <c r="L184" s="48" t="s">
        <v>627</v>
      </c>
      <c r="M184" s="79">
        <v>2100108</v>
      </c>
      <c r="N184" s="48" t="s">
        <v>582</v>
      </c>
      <c r="O184" s="48" t="s">
        <v>670</v>
      </c>
      <c r="P184" s="48" t="s">
        <v>629</v>
      </c>
      <c r="Q184" s="48" t="s">
        <v>630</v>
      </c>
      <c r="R184" s="48"/>
      <c r="S184" s="48" t="s">
        <v>671</v>
      </c>
      <c r="T184" s="102" t="s">
        <v>672</v>
      </c>
      <c r="U184" s="48" t="s">
        <v>588</v>
      </c>
      <c r="V184" s="48" t="s">
        <v>633</v>
      </c>
      <c r="W184" s="48" t="s">
        <v>634</v>
      </c>
      <c r="X184" s="48" t="s">
        <v>127</v>
      </c>
      <c r="Y184" s="99" t="s">
        <v>128</v>
      </c>
      <c r="Z184" s="99" t="s">
        <v>128</v>
      </c>
      <c r="AA184" s="48" t="s">
        <v>148</v>
      </c>
      <c r="AB184" s="48" t="s">
        <v>635</v>
      </c>
      <c r="AC184" s="48" t="s">
        <v>635</v>
      </c>
      <c r="AD184" s="48"/>
      <c r="AE184" s="48"/>
      <c r="AF184" s="48" t="s">
        <v>604</v>
      </c>
      <c r="AG184" s="48" t="s">
        <v>440</v>
      </c>
      <c r="AH184" s="104" t="s">
        <v>636</v>
      </c>
      <c r="AI184" s="48"/>
      <c r="AJ184" s="98">
        <v>39205</v>
      </c>
      <c r="AK184" s="80">
        <v>39263</v>
      </c>
      <c r="AL184" s="51">
        <f t="shared" si="111"/>
        <v>18.350684931506848</v>
      </c>
      <c r="AM184" s="52">
        <v>12</v>
      </c>
      <c r="AN184" s="48" t="s">
        <v>132</v>
      </c>
      <c r="AO184" s="30" t="s">
        <v>133</v>
      </c>
      <c r="AP184" s="30" t="s">
        <v>606</v>
      </c>
      <c r="AQ184" s="48">
        <v>43.2</v>
      </c>
      <c r="AR184" s="48">
        <v>3042</v>
      </c>
      <c r="AS184" s="48">
        <v>1956</v>
      </c>
      <c r="AT184" s="48">
        <v>2489</v>
      </c>
      <c r="AU184" s="53">
        <v>2874776737</v>
      </c>
      <c r="AV184" s="54"/>
      <c r="AW184" s="54"/>
      <c r="AX184" s="54">
        <v>2629003667</v>
      </c>
      <c r="AY184" s="54"/>
      <c r="AZ184" s="54"/>
      <c r="BA184" s="54">
        <v>1000</v>
      </c>
      <c r="BB184" s="55">
        <v>27119187</v>
      </c>
      <c r="BC184" s="52">
        <v>144</v>
      </c>
      <c r="BD184" s="52">
        <v>222</v>
      </c>
      <c r="BE184" s="52">
        <v>0</v>
      </c>
      <c r="BF184" s="30"/>
      <c r="BG184" s="30" t="s">
        <v>637</v>
      </c>
      <c r="BH184" s="30" t="s">
        <v>569</v>
      </c>
      <c r="BI184" s="30" t="str">
        <f t="shared" si="92"/>
        <v>Bump</v>
      </c>
      <c r="BJ184" s="47" t="s">
        <v>137</v>
      </c>
      <c r="BK184" s="67">
        <f t="shared" si="93"/>
        <v>57495534.740000002</v>
      </c>
      <c r="BL184" s="68">
        <f t="shared" si="101"/>
        <v>5480975.6094726222</v>
      </c>
      <c r="BM184" s="68">
        <f t="shared" si="102"/>
        <v>1826991.8698242074</v>
      </c>
      <c r="BP184" s="69"/>
      <c r="BQ184" s="69"/>
      <c r="BR184" s="69">
        <f>SUM(BN184:BQ184)</f>
        <v>0</v>
      </c>
      <c r="BS184" s="69"/>
      <c r="BT184" s="69"/>
      <c r="BU184" s="100">
        <v>6648890.4804866435</v>
      </c>
      <c r="BV184" s="100">
        <f t="shared" si="118"/>
        <v>6648890.4804866435</v>
      </c>
      <c r="BW184" s="100">
        <f t="shared" si="112"/>
        <v>13297780.960973287</v>
      </c>
      <c r="BX184" s="101">
        <f t="shared" si="119"/>
        <v>6648890.4804866435</v>
      </c>
      <c r="BY184" s="101">
        <f t="shared" si="120"/>
        <v>6648890.4804866435</v>
      </c>
      <c r="BZ184" s="18">
        <f t="shared" si="120"/>
        <v>6648890.4804866435</v>
      </c>
      <c r="CA184" s="18">
        <f t="shared" si="80"/>
        <v>6648890.4804866435</v>
      </c>
      <c r="CB184" s="70">
        <f t="shared" si="86"/>
        <v>26595561.921946574</v>
      </c>
      <c r="CC184" s="18">
        <f t="shared" si="87"/>
        <v>6648890.4804866435</v>
      </c>
      <c r="CD184" s="18">
        <f t="shared" si="110"/>
        <v>6648890.4804866435</v>
      </c>
      <c r="CE184" s="18">
        <f t="shared" si="110"/>
        <v>6648890.4804866435</v>
      </c>
      <c r="CF184" s="18">
        <f t="shared" si="110"/>
        <v>6648890.4804866435</v>
      </c>
      <c r="CG184" s="70">
        <f t="shared" si="88"/>
        <v>26595561.921946574</v>
      </c>
      <c r="CH184" s="18">
        <f t="shared" si="89"/>
        <v>6648890.4804866435</v>
      </c>
      <c r="CI184" s="18">
        <f t="shared" si="90"/>
        <v>6648890.4804866435</v>
      </c>
      <c r="CJ184" s="18">
        <f t="shared" si="90"/>
        <v>6648890.4804866435</v>
      </c>
      <c r="CK184" s="18">
        <f t="shared" si="90"/>
        <v>6648890.4804866435</v>
      </c>
      <c r="CL184" s="70">
        <f t="shared" si="91"/>
        <v>26595561.921946574</v>
      </c>
      <c r="CM184" s="71"/>
      <c r="CN184" s="59">
        <f t="shared" ref="CN184:CN187" si="123">BK184/$CN$3</f>
        <v>5.6140802268154245E-3</v>
      </c>
      <c r="CO184" s="64">
        <f t="shared" ref="CO184:CO187" si="124">CN184*$CO$4</f>
        <v>117895684.76312391</v>
      </c>
      <c r="CP184" s="2">
        <f t="shared" si="95"/>
        <v>175391219.50312391</v>
      </c>
    </row>
    <row r="185" spans="1:94" ht="16.5" hidden="1" x14ac:dyDescent="0.3">
      <c r="A185" s="2">
        <v>180</v>
      </c>
      <c r="B185" s="47" t="s">
        <v>21</v>
      </c>
      <c r="C185" s="47"/>
      <c r="D185" s="30" t="s">
        <v>553</v>
      </c>
      <c r="E185" s="30" t="s">
        <v>115</v>
      </c>
      <c r="F185" s="30" t="s">
        <v>579</v>
      </c>
      <c r="G185" s="48" t="s">
        <v>555</v>
      </c>
      <c r="H185" s="30" t="s">
        <v>118</v>
      </c>
      <c r="I185" s="30" t="s">
        <v>119</v>
      </c>
      <c r="J185" s="30" t="s">
        <v>556</v>
      </c>
      <c r="K185" s="30" t="s">
        <v>557</v>
      </c>
      <c r="L185" s="48" t="s">
        <v>673</v>
      </c>
      <c r="M185" s="79">
        <v>2100110</v>
      </c>
      <c r="N185" s="48" t="s">
        <v>582</v>
      </c>
      <c r="O185" s="48" t="s">
        <v>674</v>
      </c>
      <c r="P185" s="48" t="s">
        <v>675</v>
      </c>
      <c r="Q185" s="48" t="s">
        <v>676</v>
      </c>
      <c r="R185" s="48"/>
      <c r="S185" s="48" t="s">
        <v>677</v>
      </c>
      <c r="T185" s="102" t="s">
        <v>678</v>
      </c>
      <c r="U185" s="48" t="s">
        <v>588</v>
      </c>
      <c r="V185" s="48" t="s">
        <v>600</v>
      </c>
      <c r="W185" s="48" t="s">
        <v>679</v>
      </c>
      <c r="X185" s="48" t="s">
        <v>576</v>
      </c>
      <c r="Y185" s="99" t="s">
        <v>576</v>
      </c>
      <c r="Z185" s="99" t="s">
        <v>576</v>
      </c>
      <c r="AA185" s="48" t="s">
        <v>129</v>
      </c>
      <c r="AB185" s="48" t="s">
        <v>680</v>
      </c>
      <c r="AC185" s="48" t="s">
        <v>680</v>
      </c>
      <c r="AD185" s="48"/>
      <c r="AE185" s="48"/>
      <c r="AF185" s="48" t="s">
        <v>131</v>
      </c>
      <c r="AG185" s="48" t="s">
        <v>649</v>
      </c>
      <c r="AH185" s="48"/>
      <c r="AI185" s="48"/>
      <c r="AJ185" s="98">
        <v>39227</v>
      </c>
      <c r="AK185" s="80">
        <v>39263</v>
      </c>
      <c r="AL185" s="51">
        <f t="shared" si="111"/>
        <v>18.350684931506848</v>
      </c>
      <c r="AM185" s="52">
        <v>12</v>
      </c>
      <c r="AN185" s="48" t="s">
        <v>132</v>
      </c>
      <c r="AO185" s="30" t="s">
        <v>133</v>
      </c>
      <c r="AP185" s="30" t="s">
        <v>606</v>
      </c>
      <c r="AQ185" s="48">
        <v>4.4000000000000004</v>
      </c>
      <c r="AR185" s="48">
        <v>2550</v>
      </c>
      <c r="AS185" s="48">
        <v>2620</v>
      </c>
      <c r="AT185" s="48">
        <v>1900</v>
      </c>
      <c r="AU185" s="53">
        <v>264229385</v>
      </c>
      <c r="AV185" s="54"/>
      <c r="AW185" s="54"/>
      <c r="AX185" s="54">
        <v>248379385</v>
      </c>
      <c r="AY185" s="54"/>
      <c r="AZ185" s="54"/>
      <c r="BA185" s="54">
        <v>1000</v>
      </c>
      <c r="BB185" s="55">
        <v>1606293</v>
      </c>
      <c r="BC185" s="52">
        <v>144</v>
      </c>
      <c r="BD185" s="52">
        <v>222</v>
      </c>
      <c r="BE185" s="52">
        <v>0</v>
      </c>
      <c r="BF185" s="30"/>
      <c r="BG185" s="30" t="s">
        <v>681</v>
      </c>
      <c r="BH185" s="30" t="s">
        <v>569</v>
      </c>
      <c r="BI185" s="30" t="str">
        <f t="shared" si="92"/>
        <v>Bump</v>
      </c>
      <c r="BJ185" s="47" t="s">
        <v>137</v>
      </c>
      <c r="BK185" s="67">
        <f t="shared" si="93"/>
        <v>5284587.7</v>
      </c>
      <c r="BL185" s="68">
        <f t="shared" si="101"/>
        <v>503772.9698627902</v>
      </c>
      <c r="BM185" s="68">
        <f t="shared" si="102"/>
        <v>167924.32328759672</v>
      </c>
      <c r="BP185" s="69">
        <f>BM185*3</f>
        <v>503772.9698627902</v>
      </c>
      <c r="BQ185" s="69">
        <f>BP185</f>
        <v>503772.9698627902</v>
      </c>
      <c r="BR185" s="69">
        <f>SUM(BN185:BQ185)</f>
        <v>1007545.9397255804</v>
      </c>
      <c r="BS185" s="69">
        <f>BQ185</f>
        <v>503772.9698627902</v>
      </c>
      <c r="BT185" s="69">
        <f t="shared" si="118"/>
        <v>503772.9698627902</v>
      </c>
      <c r="BU185" s="100">
        <f t="shared" si="118"/>
        <v>503772.9698627902</v>
      </c>
      <c r="BV185" s="100">
        <f t="shared" si="118"/>
        <v>503772.9698627902</v>
      </c>
      <c r="BW185" s="100">
        <f t="shared" si="112"/>
        <v>2015091.8794511608</v>
      </c>
      <c r="BX185" s="101">
        <f t="shared" si="119"/>
        <v>503772.9698627902</v>
      </c>
      <c r="BY185" s="101">
        <f t="shared" si="120"/>
        <v>503772.9698627902</v>
      </c>
      <c r="BZ185" s="101">
        <f t="shared" si="120"/>
        <v>503772.9698627902</v>
      </c>
      <c r="CA185" s="101">
        <f t="shared" si="80"/>
        <v>503772.9698627902</v>
      </c>
      <c r="CB185" s="100">
        <f t="shared" si="86"/>
        <v>2015091.8794511608</v>
      </c>
      <c r="CC185" s="101">
        <f t="shared" si="87"/>
        <v>503772.9698627902</v>
      </c>
      <c r="CD185" s="101">
        <f t="shared" si="110"/>
        <v>503772.9698627902</v>
      </c>
      <c r="CE185" s="101">
        <f t="shared" si="110"/>
        <v>503772.9698627902</v>
      </c>
      <c r="CF185" s="101">
        <f t="shared" si="110"/>
        <v>503772.9698627902</v>
      </c>
      <c r="CG185" s="100">
        <f t="shared" si="88"/>
        <v>2015091.8794511608</v>
      </c>
      <c r="CH185" s="101">
        <f t="shared" si="89"/>
        <v>503772.9698627902</v>
      </c>
      <c r="CI185" s="101">
        <f t="shared" si="90"/>
        <v>503772.9698627902</v>
      </c>
      <c r="CJ185" s="101">
        <f t="shared" si="90"/>
        <v>503772.9698627902</v>
      </c>
      <c r="CK185" s="101">
        <f t="shared" si="90"/>
        <v>503772.9698627902</v>
      </c>
      <c r="CL185" s="100">
        <f t="shared" si="91"/>
        <v>2015091.8794511608</v>
      </c>
      <c r="CM185" s="71"/>
      <c r="CN185" s="59">
        <f t="shared" si="123"/>
        <v>5.1600701598139456E-4</v>
      </c>
      <c r="CO185" s="64">
        <f t="shared" si="124"/>
        <v>10836147.335609285</v>
      </c>
      <c r="CP185" s="2">
        <f t="shared" si="95"/>
        <v>16120735.035609286</v>
      </c>
    </row>
    <row r="186" spans="1:94" ht="16.5" hidden="1" x14ac:dyDescent="0.3">
      <c r="A186" s="2">
        <v>181</v>
      </c>
      <c r="B186" s="47" t="s">
        <v>21</v>
      </c>
      <c r="C186" s="47"/>
      <c r="D186" s="30" t="s">
        <v>553</v>
      </c>
      <c r="E186" s="30" t="s">
        <v>115</v>
      </c>
      <c r="F186" s="30" t="s">
        <v>579</v>
      </c>
      <c r="G186" s="48" t="s">
        <v>555</v>
      </c>
      <c r="H186" s="30" t="s">
        <v>118</v>
      </c>
      <c r="I186" s="30" t="s">
        <v>119</v>
      </c>
      <c r="J186" s="30" t="s">
        <v>556</v>
      </c>
      <c r="K186" s="30" t="s">
        <v>557</v>
      </c>
      <c r="L186" s="48" t="s">
        <v>682</v>
      </c>
      <c r="M186" s="79">
        <v>2100111</v>
      </c>
      <c r="N186" s="48" t="s">
        <v>582</v>
      </c>
      <c r="O186" s="48" t="s">
        <v>683</v>
      </c>
      <c r="P186" s="48" t="s">
        <v>684</v>
      </c>
      <c r="Q186" s="48" t="s">
        <v>685</v>
      </c>
      <c r="R186" s="48"/>
      <c r="S186" s="48" t="s">
        <v>686</v>
      </c>
      <c r="T186" s="102" t="s">
        <v>687</v>
      </c>
      <c r="U186" s="48" t="s">
        <v>588</v>
      </c>
      <c r="V186" s="48" t="s">
        <v>600</v>
      </c>
      <c r="W186" s="48" t="s">
        <v>679</v>
      </c>
      <c r="X186" s="48" t="s">
        <v>576</v>
      </c>
      <c r="Y186" s="99" t="s">
        <v>576</v>
      </c>
      <c r="Z186" s="99" t="s">
        <v>576</v>
      </c>
      <c r="AA186" s="48" t="s">
        <v>148</v>
      </c>
      <c r="AB186" s="48" t="s">
        <v>688</v>
      </c>
      <c r="AC186" s="48" t="s">
        <v>688</v>
      </c>
      <c r="AD186" s="48"/>
      <c r="AE186" s="48"/>
      <c r="AF186" s="48" t="s">
        <v>593</v>
      </c>
      <c r="AG186" s="48" t="s">
        <v>440</v>
      </c>
      <c r="AH186" s="48" t="s">
        <v>689</v>
      </c>
      <c r="AI186" s="48"/>
      <c r="AJ186" s="98">
        <v>39254</v>
      </c>
      <c r="AK186" s="80">
        <v>39294</v>
      </c>
      <c r="AL186" s="51">
        <f t="shared" si="111"/>
        <v>18.265753424657536</v>
      </c>
      <c r="AM186" s="52">
        <v>12</v>
      </c>
      <c r="AN186" s="48" t="s">
        <v>132</v>
      </c>
      <c r="AO186" s="30" t="s">
        <v>133</v>
      </c>
      <c r="AP186" s="30" t="s">
        <v>134</v>
      </c>
      <c r="AQ186" s="48">
        <v>6.4</v>
      </c>
      <c r="AR186" s="48">
        <v>3170</v>
      </c>
      <c r="AS186" s="48">
        <v>2170</v>
      </c>
      <c r="AT186" s="48">
        <v>1940</v>
      </c>
      <c r="AU186" s="53">
        <v>208814612</v>
      </c>
      <c r="AV186" s="54"/>
      <c r="AW186" s="54"/>
      <c r="AX186" s="54">
        <v>208814612</v>
      </c>
      <c r="AY186" s="54"/>
      <c r="AZ186" s="54"/>
      <c r="BA186" s="54">
        <v>1000</v>
      </c>
      <c r="BB186" s="55">
        <v>1000</v>
      </c>
      <c r="BC186" s="52">
        <v>144</v>
      </c>
      <c r="BD186" s="52">
        <v>221</v>
      </c>
      <c r="BE186" s="52">
        <v>0</v>
      </c>
      <c r="BF186" s="30"/>
      <c r="BG186" s="30" t="s">
        <v>690</v>
      </c>
      <c r="BH186" s="30" t="s">
        <v>569</v>
      </c>
      <c r="BI186" s="30" t="str">
        <f t="shared" si="92"/>
        <v>Bump</v>
      </c>
      <c r="BJ186" s="47" t="s">
        <v>137</v>
      </c>
      <c r="BK186" s="67">
        <f t="shared" si="93"/>
        <v>4176292.24</v>
      </c>
      <c r="BL186" s="68">
        <f t="shared" si="101"/>
        <v>398120.58465028869</v>
      </c>
      <c r="BM186" s="68">
        <f t="shared" si="102"/>
        <v>132706.86155009622</v>
      </c>
      <c r="BP186" s="69">
        <f>BM186*3</f>
        <v>398120.58465028869</v>
      </c>
      <c r="BQ186" s="69">
        <f>BP186</f>
        <v>398120.58465028869</v>
      </c>
      <c r="BR186" s="69">
        <f>SUM(BN186:BQ186)</f>
        <v>796241.16930057737</v>
      </c>
      <c r="BS186" s="69">
        <f>BQ186</f>
        <v>398120.58465028869</v>
      </c>
      <c r="BT186" s="69">
        <f t="shared" si="118"/>
        <v>398120.58465028869</v>
      </c>
      <c r="BU186" s="100">
        <f t="shared" si="118"/>
        <v>398120.58465028869</v>
      </c>
      <c r="BV186" s="100">
        <f t="shared" si="118"/>
        <v>398120.58465028869</v>
      </c>
      <c r="BW186" s="100">
        <f t="shared" si="112"/>
        <v>1592482.3386011547</v>
      </c>
      <c r="BX186" s="101">
        <f t="shared" si="119"/>
        <v>398120.58465028869</v>
      </c>
      <c r="BY186" s="101">
        <f t="shared" si="120"/>
        <v>398120.58465028869</v>
      </c>
      <c r="BZ186" s="101">
        <f t="shared" si="120"/>
        <v>398120.58465028869</v>
      </c>
      <c r="CA186" s="101">
        <f t="shared" si="120"/>
        <v>398120.58465028869</v>
      </c>
      <c r="CB186" s="100">
        <f t="shared" si="86"/>
        <v>1592482.3386011547</v>
      </c>
      <c r="CC186" s="101">
        <f t="shared" si="87"/>
        <v>398120.58465028869</v>
      </c>
      <c r="CD186" s="101">
        <f t="shared" ref="CD186:CF205" si="125">CC186</f>
        <v>398120.58465028869</v>
      </c>
      <c r="CE186" s="101">
        <f t="shared" si="125"/>
        <v>398120.58465028869</v>
      </c>
      <c r="CF186" s="101">
        <f t="shared" si="125"/>
        <v>398120.58465028869</v>
      </c>
      <c r="CG186" s="100">
        <f t="shared" si="88"/>
        <v>1592482.3386011547</v>
      </c>
      <c r="CH186" s="101">
        <f t="shared" si="89"/>
        <v>398120.58465028869</v>
      </c>
      <c r="CI186" s="101">
        <f t="shared" si="90"/>
        <v>398120.58465028869</v>
      </c>
      <c r="CJ186" s="101">
        <f t="shared" si="90"/>
        <v>398120.58465028869</v>
      </c>
      <c r="CK186" s="101">
        <f t="shared" si="90"/>
        <v>398120.58465028869</v>
      </c>
      <c r="CL186" s="100">
        <f t="shared" si="91"/>
        <v>1592482.3386011547</v>
      </c>
      <c r="CM186" s="71"/>
      <c r="CN186" s="59">
        <f t="shared" si="123"/>
        <v>4.0778887946710658E-4</v>
      </c>
      <c r="CO186" s="64">
        <f t="shared" si="124"/>
        <v>8563566.4688092377</v>
      </c>
      <c r="CP186" s="2">
        <f t="shared" si="95"/>
        <v>12739858.708809238</v>
      </c>
    </row>
    <row r="187" spans="1:94" ht="16.5" hidden="1" x14ac:dyDescent="0.3">
      <c r="A187" s="2">
        <v>182</v>
      </c>
      <c r="B187" s="47" t="s">
        <v>21</v>
      </c>
      <c r="C187" s="47"/>
      <c r="D187" s="30" t="s">
        <v>553</v>
      </c>
      <c r="E187" s="30" t="s">
        <v>115</v>
      </c>
      <c r="F187" s="30" t="s">
        <v>579</v>
      </c>
      <c r="G187" s="30" t="s">
        <v>555</v>
      </c>
      <c r="H187" s="30" t="s">
        <v>118</v>
      </c>
      <c r="I187" s="30" t="s">
        <v>119</v>
      </c>
      <c r="J187" s="30" t="s">
        <v>556</v>
      </c>
      <c r="K187" s="30" t="s">
        <v>557</v>
      </c>
      <c r="L187" s="48" t="s">
        <v>641</v>
      </c>
      <c r="M187" s="79">
        <v>2100112</v>
      </c>
      <c r="N187" s="48" t="s">
        <v>582</v>
      </c>
      <c r="O187" s="48" t="s">
        <v>691</v>
      </c>
      <c r="P187" s="48" t="s">
        <v>643</v>
      </c>
      <c r="Q187" s="48" t="s">
        <v>644</v>
      </c>
      <c r="R187" s="48"/>
      <c r="S187" s="48">
        <v>81121</v>
      </c>
      <c r="T187" s="30" t="s">
        <v>692</v>
      </c>
      <c r="U187" s="48" t="s">
        <v>588</v>
      </c>
      <c r="V187" s="48" t="s">
        <v>646</v>
      </c>
      <c r="W187" s="48" t="s">
        <v>647</v>
      </c>
      <c r="X187" s="48" t="s">
        <v>576</v>
      </c>
      <c r="Y187" s="99" t="s">
        <v>576</v>
      </c>
      <c r="Z187" s="99" t="s">
        <v>576</v>
      </c>
      <c r="AA187" s="48" t="s">
        <v>374</v>
      </c>
      <c r="AB187" s="48" t="s">
        <v>648</v>
      </c>
      <c r="AC187" s="48" t="s">
        <v>648</v>
      </c>
      <c r="AD187" s="48"/>
      <c r="AE187" s="48"/>
      <c r="AF187" s="48" t="s">
        <v>131</v>
      </c>
      <c r="AG187" s="48" t="s">
        <v>649</v>
      </c>
      <c r="AH187" s="48"/>
      <c r="AI187" s="48"/>
      <c r="AJ187" s="98">
        <v>39236</v>
      </c>
      <c r="AK187" s="80">
        <v>39294</v>
      </c>
      <c r="AL187" s="51">
        <f t="shared" si="111"/>
        <v>18.265753424657536</v>
      </c>
      <c r="AM187" s="52">
        <v>12</v>
      </c>
      <c r="AN187" s="48" t="s">
        <v>132</v>
      </c>
      <c r="AO187" s="30" t="s">
        <v>133</v>
      </c>
      <c r="AP187" s="30" t="s">
        <v>134</v>
      </c>
      <c r="AQ187" s="48">
        <v>5</v>
      </c>
      <c r="AR187" s="48">
        <v>2200</v>
      </c>
      <c r="AS187" s="48">
        <v>1400</v>
      </c>
      <c r="AT187" s="48">
        <v>2120</v>
      </c>
      <c r="AU187" s="53">
        <v>480337367</v>
      </c>
      <c r="AV187" s="54"/>
      <c r="AW187" s="54"/>
      <c r="AX187" s="54">
        <v>480337367</v>
      </c>
      <c r="AY187" s="54"/>
      <c r="AZ187" s="54"/>
      <c r="BA187" s="54">
        <v>1000</v>
      </c>
      <c r="BB187" s="55">
        <v>1000</v>
      </c>
      <c r="BC187" s="52">
        <v>144</v>
      </c>
      <c r="BD187" s="52">
        <v>221</v>
      </c>
      <c r="BE187" s="52">
        <v>0</v>
      </c>
      <c r="BF187" s="30"/>
      <c r="BG187" s="30" t="s">
        <v>650</v>
      </c>
      <c r="BH187" s="30" t="s">
        <v>569</v>
      </c>
      <c r="BI187" s="30" t="str">
        <f t="shared" si="92"/>
        <v>Bump</v>
      </c>
      <c r="BJ187" s="47" t="s">
        <v>137</v>
      </c>
      <c r="BK187" s="67">
        <f t="shared" si="93"/>
        <v>9606747.3399999999</v>
      </c>
      <c r="BL187" s="68">
        <f t="shared" si="101"/>
        <v>915798.90673273511</v>
      </c>
      <c r="BM187" s="68">
        <f t="shared" si="102"/>
        <v>305266.30224424502</v>
      </c>
      <c r="BP187" s="69">
        <f>BM187*3</f>
        <v>915798.90673273499</v>
      </c>
      <c r="BQ187" s="69">
        <f>BP187</f>
        <v>915798.90673273499</v>
      </c>
      <c r="BR187" s="69">
        <f>SUM(BN187:BQ187)</f>
        <v>1831597.81346547</v>
      </c>
      <c r="BS187" s="69">
        <f>BQ187</f>
        <v>915798.90673273499</v>
      </c>
      <c r="BT187" s="69">
        <f t="shared" si="118"/>
        <v>915798.90673273499</v>
      </c>
      <c r="BU187" s="100">
        <f t="shared" si="118"/>
        <v>915798.90673273499</v>
      </c>
      <c r="BV187" s="100">
        <f t="shared" si="118"/>
        <v>915798.90673273499</v>
      </c>
      <c r="BW187" s="100">
        <f t="shared" si="112"/>
        <v>3663195.62693094</v>
      </c>
      <c r="BX187" s="101">
        <f t="shared" si="119"/>
        <v>915798.90673273499</v>
      </c>
      <c r="BY187" s="101">
        <f t="shared" si="120"/>
        <v>915798.90673273499</v>
      </c>
      <c r="BZ187" s="101">
        <f t="shared" si="120"/>
        <v>915798.90673273499</v>
      </c>
      <c r="CA187" s="101">
        <f t="shared" si="120"/>
        <v>915798.90673273499</v>
      </c>
      <c r="CB187" s="100">
        <f t="shared" si="86"/>
        <v>3663195.62693094</v>
      </c>
      <c r="CC187" s="101">
        <f t="shared" si="87"/>
        <v>915798.90673273499</v>
      </c>
      <c r="CD187" s="101">
        <f t="shared" si="125"/>
        <v>915798.90673273499</v>
      </c>
      <c r="CE187" s="101">
        <f t="shared" si="125"/>
        <v>915798.90673273499</v>
      </c>
      <c r="CF187" s="101">
        <f t="shared" si="125"/>
        <v>915798.90673273499</v>
      </c>
      <c r="CG187" s="100">
        <f t="shared" si="88"/>
        <v>3663195.62693094</v>
      </c>
      <c r="CH187" s="101">
        <f t="shared" si="89"/>
        <v>915798.90673273499</v>
      </c>
      <c r="CI187" s="101">
        <f t="shared" si="90"/>
        <v>915798.90673273499</v>
      </c>
      <c r="CJ187" s="101">
        <f t="shared" si="90"/>
        <v>915798.90673273499</v>
      </c>
      <c r="CK187" s="101">
        <f t="shared" si="90"/>
        <v>915798.90673273499</v>
      </c>
      <c r="CL187" s="100">
        <f t="shared" si="91"/>
        <v>3663195.62693094</v>
      </c>
      <c r="CM187" s="71"/>
      <c r="CN187" s="59">
        <f t="shared" si="123"/>
        <v>9.3803893692607262E-4</v>
      </c>
      <c r="CO187" s="64">
        <f t="shared" si="124"/>
        <v>19698817.675447524</v>
      </c>
      <c r="CP187" s="2">
        <f t="shared" si="95"/>
        <v>29305565.015447523</v>
      </c>
    </row>
    <row r="188" spans="1:94" hidden="1" x14ac:dyDescent="0.3">
      <c r="A188" s="29">
        <v>183</v>
      </c>
      <c r="B188" s="30" t="s">
        <v>21</v>
      </c>
      <c r="C188" s="30"/>
      <c r="D188" s="30" t="s">
        <v>553</v>
      </c>
      <c r="E188" s="30" t="s">
        <v>115</v>
      </c>
      <c r="F188" s="30" t="s">
        <v>579</v>
      </c>
      <c r="G188" s="48" t="s">
        <v>555</v>
      </c>
      <c r="H188" s="30" t="s">
        <v>118</v>
      </c>
      <c r="I188" s="30" t="s">
        <v>119</v>
      </c>
      <c r="J188" s="30" t="s">
        <v>556</v>
      </c>
      <c r="K188" s="30" t="s">
        <v>557</v>
      </c>
      <c r="L188" s="48" t="s">
        <v>693</v>
      </c>
      <c r="M188" s="79">
        <v>2100113</v>
      </c>
      <c r="N188" s="48" t="s">
        <v>582</v>
      </c>
      <c r="O188" s="48" t="s">
        <v>694</v>
      </c>
      <c r="P188" s="48" t="s">
        <v>695</v>
      </c>
      <c r="Q188" s="48" t="s">
        <v>696</v>
      </c>
      <c r="R188" s="48"/>
      <c r="S188" s="48" t="s">
        <v>697</v>
      </c>
      <c r="T188" s="102" t="s">
        <v>698</v>
      </c>
      <c r="U188" s="48" t="s">
        <v>588</v>
      </c>
      <c r="V188" s="48" t="s">
        <v>633</v>
      </c>
      <c r="W188" s="48" t="s">
        <v>699</v>
      </c>
      <c r="X188" s="48"/>
      <c r="Y188" s="48" t="s">
        <v>457</v>
      </c>
      <c r="Z188" s="48" t="s">
        <v>457</v>
      </c>
      <c r="AA188" s="48" t="s">
        <v>148</v>
      </c>
      <c r="AB188" s="48" t="s">
        <v>700</v>
      </c>
      <c r="AC188" s="48" t="s">
        <v>700</v>
      </c>
      <c r="AD188" s="48"/>
      <c r="AE188" s="48"/>
      <c r="AF188" s="48" t="s">
        <v>604</v>
      </c>
      <c r="AG188" s="48" t="s">
        <v>440</v>
      </c>
      <c r="AH188" s="48" t="s">
        <v>701</v>
      </c>
      <c r="AI188" s="48"/>
      <c r="AJ188" s="98">
        <v>39269</v>
      </c>
      <c r="AK188" s="80">
        <v>39325</v>
      </c>
      <c r="AL188" s="51">
        <f t="shared" si="111"/>
        <v>18.18082191780822</v>
      </c>
      <c r="AM188" s="52">
        <v>12</v>
      </c>
      <c r="AN188" s="48" t="s">
        <v>132</v>
      </c>
      <c r="AO188" s="30" t="s">
        <v>133</v>
      </c>
      <c r="AP188" s="30" t="s">
        <v>606</v>
      </c>
      <c r="AQ188" s="48">
        <v>148.4</v>
      </c>
      <c r="AR188" s="48">
        <v>3500</v>
      </c>
      <c r="AS188" s="48">
        <v>4000</v>
      </c>
      <c r="AT188" s="48">
        <v>1700</v>
      </c>
      <c r="AU188" s="53">
        <v>1900610000</v>
      </c>
      <c r="AV188" s="54"/>
      <c r="AW188" s="54"/>
      <c r="AX188" s="54">
        <v>1658970000</v>
      </c>
      <c r="AY188" s="54"/>
      <c r="AZ188" s="54"/>
      <c r="BA188" s="74">
        <v>1000</v>
      </c>
      <c r="BB188" s="74">
        <v>28631494</v>
      </c>
      <c r="BC188" s="52">
        <v>144</v>
      </c>
      <c r="BD188" s="52">
        <v>220</v>
      </c>
      <c r="BE188" s="52">
        <v>0</v>
      </c>
      <c r="BF188" s="30"/>
      <c r="BG188" s="30" t="s">
        <v>681</v>
      </c>
      <c r="BH188" s="30" t="s">
        <v>569</v>
      </c>
      <c r="BI188" s="30" t="str">
        <f t="shared" si="92"/>
        <v>Bump</v>
      </c>
      <c r="BJ188" s="30" t="s">
        <v>250</v>
      </c>
      <c r="BK188" s="56">
        <f t="shared" si="93"/>
        <v>38012200</v>
      </c>
      <c r="BL188" s="57">
        <f t="shared" si="101"/>
        <v>1187881.25</v>
      </c>
      <c r="BM188" s="57">
        <f t="shared" si="102"/>
        <v>395960.41666666669</v>
      </c>
      <c r="BU188" s="58">
        <f>BM188*3</f>
        <v>1187881.25</v>
      </c>
      <c r="BV188" s="58">
        <f t="shared" ref="BT188:BV203" si="126">BU188</f>
        <v>1187881.25</v>
      </c>
      <c r="BW188" s="58">
        <f t="shared" si="112"/>
        <v>2375762.5</v>
      </c>
      <c r="BX188" s="58">
        <f t="shared" si="119"/>
        <v>1187881.25</v>
      </c>
      <c r="BY188" s="58">
        <f t="shared" si="120"/>
        <v>1187881.25</v>
      </c>
      <c r="BZ188" s="58">
        <f>BM188*3</f>
        <v>1187881.25</v>
      </c>
      <c r="CA188" s="58">
        <f t="shared" si="120"/>
        <v>1187881.25</v>
      </c>
      <c r="CB188" s="58">
        <f>SUM(BX188:CA188)</f>
        <v>4751525</v>
      </c>
      <c r="CC188" s="58">
        <f>CA188</f>
        <v>1187881.25</v>
      </c>
      <c r="CD188" s="58">
        <f t="shared" si="125"/>
        <v>1187881.25</v>
      </c>
      <c r="CE188" s="58">
        <f t="shared" si="125"/>
        <v>1187881.25</v>
      </c>
      <c r="CF188" s="58">
        <f t="shared" si="125"/>
        <v>1187881.25</v>
      </c>
      <c r="CG188" s="58">
        <f>SUM(CC188:CF188)</f>
        <v>4751525</v>
      </c>
      <c r="CH188" s="58">
        <f>CF188</f>
        <v>1187881.25</v>
      </c>
      <c r="CI188" s="58">
        <f>CH188</f>
        <v>1187881.25</v>
      </c>
      <c r="CJ188" s="58">
        <f>CI188</f>
        <v>1187881.25</v>
      </c>
      <c r="CK188" s="58">
        <f>CJ188</f>
        <v>1187881.25</v>
      </c>
      <c r="CL188" s="58">
        <f>SUM(CH188:CK188)</f>
        <v>4751525</v>
      </c>
      <c r="CP188" s="2">
        <f t="shared" si="95"/>
        <v>38012200</v>
      </c>
    </row>
    <row r="189" spans="1:94" ht="16.5" hidden="1" x14ac:dyDescent="0.3">
      <c r="A189" s="2">
        <v>184</v>
      </c>
      <c r="B189" s="47" t="s">
        <v>21</v>
      </c>
      <c r="C189" s="47"/>
      <c r="D189" s="30" t="s">
        <v>553</v>
      </c>
      <c r="E189" s="30" t="s">
        <v>115</v>
      </c>
      <c r="F189" s="30" t="s">
        <v>579</v>
      </c>
      <c r="G189" s="48" t="s">
        <v>555</v>
      </c>
      <c r="H189" s="30" t="s">
        <v>118</v>
      </c>
      <c r="I189" s="30" t="s">
        <v>119</v>
      </c>
      <c r="J189" s="30" t="s">
        <v>556</v>
      </c>
      <c r="K189" s="30" t="s">
        <v>557</v>
      </c>
      <c r="L189" s="48" t="s">
        <v>682</v>
      </c>
      <c r="M189" s="79">
        <v>2100114</v>
      </c>
      <c r="N189" s="48" t="s">
        <v>582</v>
      </c>
      <c r="O189" s="48" t="s">
        <v>702</v>
      </c>
      <c r="P189" s="48" t="s">
        <v>684</v>
      </c>
      <c r="Q189" s="48" t="s">
        <v>685</v>
      </c>
      <c r="R189" s="48"/>
      <c r="S189" s="48" t="s">
        <v>703</v>
      </c>
      <c r="T189" s="102" t="s">
        <v>704</v>
      </c>
      <c r="U189" s="48" t="s">
        <v>588</v>
      </c>
      <c r="V189" s="48" t="s">
        <v>600</v>
      </c>
      <c r="W189" s="48" t="s">
        <v>679</v>
      </c>
      <c r="X189" s="48" t="s">
        <v>576</v>
      </c>
      <c r="Y189" s="99" t="s">
        <v>576</v>
      </c>
      <c r="Z189" s="99" t="s">
        <v>576</v>
      </c>
      <c r="AA189" s="48" t="s">
        <v>148</v>
      </c>
      <c r="AB189" s="48" t="s">
        <v>688</v>
      </c>
      <c r="AC189" s="48" t="s">
        <v>688</v>
      </c>
      <c r="AD189" s="48"/>
      <c r="AE189" s="48"/>
      <c r="AF189" s="48" t="s">
        <v>593</v>
      </c>
      <c r="AG189" s="48" t="s">
        <v>440</v>
      </c>
      <c r="AH189" s="48" t="s">
        <v>689</v>
      </c>
      <c r="AI189" s="48"/>
      <c r="AJ189" s="98">
        <v>39323</v>
      </c>
      <c r="AK189" s="80">
        <v>39355</v>
      </c>
      <c r="AL189" s="51">
        <f t="shared" si="111"/>
        <v>18.098630136986301</v>
      </c>
      <c r="AM189" s="52">
        <v>12</v>
      </c>
      <c r="AN189" s="48" t="s">
        <v>132</v>
      </c>
      <c r="AO189" s="30" t="s">
        <v>133</v>
      </c>
      <c r="AP189" s="30" t="s">
        <v>134</v>
      </c>
      <c r="AQ189" s="48">
        <v>6.4</v>
      </c>
      <c r="AR189" s="48">
        <v>3900</v>
      </c>
      <c r="AS189" s="48">
        <v>2820</v>
      </c>
      <c r="AT189" s="48">
        <v>1940</v>
      </c>
      <c r="AU189" s="53">
        <v>382582967</v>
      </c>
      <c r="AV189" s="54"/>
      <c r="AW189" s="54"/>
      <c r="AX189" s="54">
        <v>382582967</v>
      </c>
      <c r="AY189" s="54"/>
      <c r="AZ189" s="54"/>
      <c r="BA189" s="54">
        <v>1000</v>
      </c>
      <c r="BB189" s="55">
        <v>1000</v>
      </c>
      <c r="BC189" s="52">
        <v>144</v>
      </c>
      <c r="BD189" s="52">
        <v>219</v>
      </c>
      <c r="BE189" s="52">
        <v>0</v>
      </c>
      <c r="BF189" s="30"/>
      <c r="BG189" s="30" t="s">
        <v>690</v>
      </c>
      <c r="BH189" s="30" t="s">
        <v>569</v>
      </c>
      <c r="BI189" s="30" t="str">
        <f t="shared" si="92"/>
        <v>Bump</v>
      </c>
      <c r="BJ189" s="47" t="s">
        <v>137</v>
      </c>
      <c r="BK189" s="67">
        <f t="shared" si="93"/>
        <v>7651659.3399999999</v>
      </c>
      <c r="BL189" s="68">
        <f t="shared" si="101"/>
        <v>729422.87438812992</v>
      </c>
      <c r="BM189" s="68">
        <f t="shared" si="102"/>
        <v>243140.95812937664</v>
      </c>
      <c r="BP189" s="69">
        <f>BM189*3</f>
        <v>729422.87438812992</v>
      </c>
      <c r="BQ189" s="69">
        <f>BP189</f>
        <v>729422.87438812992</v>
      </c>
      <c r="BR189" s="69">
        <f>SUM(BN189:BQ189)</f>
        <v>1458845.7487762598</v>
      </c>
      <c r="BS189" s="69">
        <f>BQ189</f>
        <v>729422.87438812992</v>
      </c>
      <c r="BT189" s="69">
        <f t="shared" si="126"/>
        <v>729422.87438812992</v>
      </c>
      <c r="BU189" s="100">
        <f t="shared" si="126"/>
        <v>729422.87438812992</v>
      </c>
      <c r="BV189" s="100">
        <f t="shared" si="126"/>
        <v>729422.87438812992</v>
      </c>
      <c r="BW189" s="100">
        <f t="shared" si="112"/>
        <v>2917691.4975525197</v>
      </c>
      <c r="BX189" s="101">
        <f t="shared" si="119"/>
        <v>729422.87438812992</v>
      </c>
      <c r="BY189" s="101">
        <f t="shared" si="120"/>
        <v>729422.87438812992</v>
      </c>
      <c r="BZ189" s="101">
        <f t="shared" si="120"/>
        <v>729422.87438812992</v>
      </c>
      <c r="CA189" s="101">
        <f t="shared" si="120"/>
        <v>729422.87438812992</v>
      </c>
      <c r="CB189" s="100">
        <f t="shared" si="86"/>
        <v>2917691.4975525197</v>
      </c>
      <c r="CC189" s="101">
        <f t="shared" si="87"/>
        <v>729422.87438812992</v>
      </c>
      <c r="CD189" s="101">
        <f t="shared" si="125"/>
        <v>729422.87438812992</v>
      </c>
      <c r="CE189" s="101">
        <f t="shared" si="125"/>
        <v>729422.87438812992</v>
      </c>
      <c r="CF189" s="101">
        <f t="shared" si="125"/>
        <v>729422.87438812992</v>
      </c>
      <c r="CG189" s="100">
        <f t="shared" si="88"/>
        <v>2917691.4975525197</v>
      </c>
      <c r="CH189" s="101">
        <f t="shared" si="89"/>
        <v>729422.87438812992</v>
      </c>
      <c r="CI189" s="101">
        <f t="shared" si="90"/>
        <v>729422.87438812992</v>
      </c>
      <c r="CJ189" s="101">
        <f t="shared" si="90"/>
        <v>729422.87438812992</v>
      </c>
      <c r="CK189" s="101">
        <f t="shared" si="90"/>
        <v>729422.87438812992</v>
      </c>
      <c r="CL189" s="100">
        <f t="shared" si="91"/>
        <v>2917691.4975525197</v>
      </c>
      <c r="CM189" s="71"/>
      <c r="CN189" s="59">
        <f t="shared" ref="CN189:CN193" si="127">BK189/$CN$3</f>
        <v>7.4713679240095998E-4</v>
      </c>
      <c r="CO189" s="64">
        <f t="shared" ref="CO189:CO193" si="128">CN189*$CO$4</f>
        <v>15689872.640420159</v>
      </c>
      <c r="CP189" s="2">
        <f t="shared" si="95"/>
        <v>23341531.980420157</v>
      </c>
    </row>
    <row r="190" spans="1:94" ht="16.5" hidden="1" x14ac:dyDescent="0.3">
      <c r="A190" s="2">
        <v>185</v>
      </c>
      <c r="B190" s="47" t="s">
        <v>21</v>
      </c>
      <c r="C190" s="47"/>
      <c r="D190" s="30" t="s">
        <v>553</v>
      </c>
      <c r="E190" s="30" t="s">
        <v>115</v>
      </c>
      <c r="F190" s="30" t="s">
        <v>579</v>
      </c>
      <c r="G190" s="48" t="s">
        <v>555</v>
      </c>
      <c r="H190" s="48" t="s">
        <v>118</v>
      </c>
      <c r="I190" s="30" t="s">
        <v>119</v>
      </c>
      <c r="J190" s="30" t="s">
        <v>556</v>
      </c>
      <c r="K190" s="30" t="s">
        <v>557</v>
      </c>
      <c r="L190" s="48" t="s">
        <v>595</v>
      </c>
      <c r="M190" s="79">
        <v>2100118</v>
      </c>
      <c r="N190" s="48" t="s">
        <v>582</v>
      </c>
      <c r="O190" s="48" t="s">
        <v>705</v>
      </c>
      <c r="P190" s="48" t="s">
        <v>621</v>
      </c>
      <c r="Q190" s="48" t="s">
        <v>597</v>
      </c>
      <c r="R190" s="48"/>
      <c r="S190" s="48" t="s">
        <v>706</v>
      </c>
      <c r="T190" s="102" t="s">
        <v>707</v>
      </c>
      <c r="U190" s="48" t="s">
        <v>588</v>
      </c>
      <c r="V190" s="48" t="s">
        <v>600</v>
      </c>
      <c r="W190" s="48" t="s">
        <v>601</v>
      </c>
      <c r="X190" s="48" t="s">
        <v>576</v>
      </c>
      <c r="Y190" s="99" t="s">
        <v>128</v>
      </c>
      <c r="Z190" s="99" t="s">
        <v>128</v>
      </c>
      <c r="AA190" s="48" t="s">
        <v>148</v>
      </c>
      <c r="AB190" s="48" t="s">
        <v>603</v>
      </c>
      <c r="AC190" s="48" t="s">
        <v>603</v>
      </c>
      <c r="AD190" s="48" t="s">
        <v>566</v>
      </c>
      <c r="AE190" s="48"/>
      <c r="AF190" s="48" t="s">
        <v>604</v>
      </c>
      <c r="AG190" s="48" t="s">
        <v>440</v>
      </c>
      <c r="AH190" s="48" t="s">
        <v>605</v>
      </c>
      <c r="AI190" s="48"/>
      <c r="AJ190" s="98">
        <v>39379</v>
      </c>
      <c r="AK190" s="80">
        <v>39447</v>
      </c>
      <c r="AL190" s="51">
        <f t="shared" si="111"/>
        <v>17.846575342465755</v>
      </c>
      <c r="AM190" s="52">
        <v>12</v>
      </c>
      <c r="AN190" s="48" t="s">
        <v>132</v>
      </c>
      <c r="AO190" s="30" t="s">
        <v>133</v>
      </c>
      <c r="AP190" s="30" t="s">
        <v>606</v>
      </c>
      <c r="AQ190" s="48">
        <v>21.6</v>
      </c>
      <c r="AR190" s="48">
        <v>1500</v>
      </c>
      <c r="AS190" s="48">
        <v>3900</v>
      </c>
      <c r="AT190" s="48">
        <v>2328</v>
      </c>
      <c r="AU190" s="53">
        <v>340372301</v>
      </c>
      <c r="AV190" s="54"/>
      <c r="AW190" s="54"/>
      <c r="AX190" s="54">
        <v>340372301</v>
      </c>
      <c r="AY190" s="54"/>
      <c r="AZ190" s="54"/>
      <c r="BA190" s="54">
        <v>1000</v>
      </c>
      <c r="BB190" s="55">
        <v>1000</v>
      </c>
      <c r="BC190" s="52">
        <v>144</v>
      </c>
      <c r="BD190" s="52">
        <v>216</v>
      </c>
      <c r="BE190" s="52">
        <v>0</v>
      </c>
      <c r="BF190" s="30"/>
      <c r="BG190" s="30" t="s">
        <v>607</v>
      </c>
      <c r="BH190" s="30" t="s">
        <v>569</v>
      </c>
      <c r="BI190" s="30" t="str">
        <f t="shared" si="92"/>
        <v>Bump</v>
      </c>
      <c r="BJ190" s="47" t="s">
        <v>137</v>
      </c>
      <c r="BK190" s="67">
        <f t="shared" si="93"/>
        <v>6807446.0200000005</v>
      </c>
      <c r="BL190" s="68">
        <f t="shared" si="101"/>
        <v>648945.10099170671</v>
      </c>
      <c r="BM190" s="68">
        <f t="shared" si="102"/>
        <v>216315.03366390223</v>
      </c>
      <c r="BP190" s="69">
        <f>BM190*3</f>
        <v>648945.10099170671</v>
      </c>
      <c r="BQ190" s="69">
        <f>BP190</f>
        <v>648945.10099170671</v>
      </c>
      <c r="BR190" s="69">
        <f>SUM(BN190:BQ190)</f>
        <v>1297890.2019834134</v>
      </c>
      <c r="BS190" s="69">
        <f>BQ190</f>
        <v>648945.10099170671</v>
      </c>
      <c r="BT190" s="69">
        <f t="shared" si="126"/>
        <v>648945.10099170671</v>
      </c>
      <c r="BU190" s="100">
        <f t="shared" si="126"/>
        <v>648945.10099170671</v>
      </c>
      <c r="BV190" s="100">
        <f t="shared" si="126"/>
        <v>648945.10099170671</v>
      </c>
      <c r="BW190" s="100">
        <f t="shared" si="112"/>
        <v>2595780.4039668269</v>
      </c>
      <c r="BX190" s="101">
        <f t="shared" si="119"/>
        <v>648945.10099170671</v>
      </c>
      <c r="BY190" s="101">
        <f t="shared" si="120"/>
        <v>648945.10099170671</v>
      </c>
      <c r="BZ190" s="18">
        <f t="shared" si="120"/>
        <v>648945.10099170671</v>
      </c>
      <c r="CA190" s="18">
        <f t="shared" si="120"/>
        <v>648945.10099170671</v>
      </c>
      <c r="CB190" s="70">
        <f t="shared" si="86"/>
        <v>2595780.4039668269</v>
      </c>
      <c r="CC190" s="18">
        <f t="shared" si="87"/>
        <v>648945.10099170671</v>
      </c>
      <c r="CD190" s="18">
        <f t="shared" si="125"/>
        <v>648945.10099170671</v>
      </c>
      <c r="CE190" s="18">
        <f t="shared" si="125"/>
        <v>648945.10099170671</v>
      </c>
      <c r="CF190" s="18">
        <f t="shared" si="125"/>
        <v>648945.10099170671</v>
      </c>
      <c r="CG190" s="70">
        <f t="shared" si="88"/>
        <v>2595780.4039668269</v>
      </c>
      <c r="CH190" s="18">
        <f t="shared" si="89"/>
        <v>648945.10099170671</v>
      </c>
      <c r="CI190" s="18">
        <f t="shared" si="90"/>
        <v>648945.10099170671</v>
      </c>
      <c r="CJ190" s="18">
        <f t="shared" si="90"/>
        <v>648945.10099170671</v>
      </c>
      <c r="CK190" s="18">
        <f t="shared" si="90"/>
        <v>648945.10099170671</v>
      </c>
      <c r="CL190" s="70">
        <f t="shared" si="91"/>
        <v>2595780.4039668269</v>
      </c>
      <c r="CM190" s="71"/>
      <c r="CN190" s="59">
        <f t="shared" si="127"/>
        <v>6.6470462913021972E-4</v>
      </c>
      <c r="CO190" s="64">
        <f t="shared" si="128"/>
        <v>13958797.211734613</v>
      </c>
      <c r="CP190" s="2">
        <f t="shared" si="95"/>
        <v>20766243.231734615</v>
      </c>
    </row>
    <row r="191" spans="1:94" ht="16.5" hidden="1" x14ac:dyDescent="0.3">
      <c r="A191" s="2">
        <v>186</v>
      </c>
      <c r="B191" s="47" t="s">
        <v>21</v>
      </c>
      <c r="C191" s="47"/>
      <c r="D191" s="30" t="s">
        <v>553</v>
      </c>
      <c r="E191" s="30" t="s">
        <v>115</v>
      </c>
      <c r="F191" s="30" t="s">
        <v>579</v>
      </c>
      <c r="G191" s="48" t="s">
        <v>555</v>
      </c>
      <c r="H191" s="48" t="s">
        <v>118</v>
      </c>
      <c r="I191" s="30" t="s">
        <v>119</v>
      </c>
      <c r="J191" s="30" t="s">
        <v>556</v>
      </c>
      <c r="K191" s="30" t="s">
        <v>557</v>
      </c>
      <c r="L191" s="48" t="s">
        <v>693</v>
      </c>
      <c r="M191" s="79">
        <v>2100120</v>
      </c>
      <c r="N191" s="48" t="s">
        <v>582</v>
      </c>
      <c r="O191" s="48" t="s">
        <v>708</v>
      </c>
      <c r="P191" s="48" t="s">
        <v>695</v>
      </c>
      <c r="Q191" s="48" t="s">
        <v>696</v>
      </c>
      <c r="R191" s="48"/>
      <c r="S191" s="48" t="s">
        <v>709</v>
      </c>
      <c r="T191" s="102" t="s">
        <v>710</v>
      </c>
      <c r="U191" s="48" t="s">
        <v>588</v>
      </c>
      <c r="V191" s="48" t="s">
        <v>633</v>
      </c>
      <c r="W191" s="48" t="s">
        <v>699</v>
      </c>
      <c r="X191" s="103" t="s">
        <v>602</v>
      </c>
      <c r="Y191" s="48" t="s">
        <v>128</v>
      </c>
      <c r="Z191" s="48" t="s">
        <v>128</v>
      </c>
      <c r="AA191" s="48" t="s">
        <v>148</v>
      </c>
      <c r="AB191" s="48" t="s">
        <v>700</v>
      </c>
      <c r="AC191" s="48" t="s">
        <v>700</v>
      </c>
      <c r="AD191" s="48"/>
      <c r="AE191" s="48"/>
      <c r="AF191" s="48" t="s">
        <v>604</v>
      </c>
      <c r="AG191" s="48" t="s">
        <v>440</v>
      </c>
      <c r="AH191" s="48" t="s">
        <v>701</v>
      </c>
      <c r="AI191" s="48"/>
      <c r="AJ191" s="98">
        <v>40071</v>
      </c>
      <c r="AK191" s="80">
        <v>40178</v>
      </c>
      <c r="AL191" s="51">
        <f t="shared" si="111"/>
        <v>15.843835616438357</v>
      </c>
      <c r="AM191" s="52">
        <v>12</v>
      </c>
      <c r="AN191" s="48" t="s">
        <v>132</v>
      </c>
      <c r="AO191" s="30" t="s">
        <v>133</v>
      </c>
      <c r="AP191" s="30" t="s">
        <v>134</v>
      </c>
      <c r="AQ191" s="48">
        <v>148.4</v>
      </c>
      <c r="AR191" s="48">
        <v>3500</v>
      </c>
      <c r="AS191" s="48">
        <v>4000</v>
      </c>
      <c r="AT191" s="48">
        <v>1700</v>
      </c>
      <c r="AU191" s="53">
        <v>1064020000</v>
      </c>
      <c r="AV191" s="54"/>
      <c r="AW191" s="54"/>
      <c r="AX191" s="54">
        <v>868450000</v>
      </c>
      <c r="AY191" s="54"/>
      <c r="AZ191" s="54"/>
      <c r="BA191" s="54">
        <v>1000</v>
      </c>
      <c r="BB191" s="55">
        <v>25192419</v>
      </c>
      <c r="BC191" s="52">
        <v>144</v>
      </c>
      <c r="BD191" s="52">
        <v>192</v>
      </c>
      <c r="BE191" s="52">
        <v>0</v>
      </c>
      <c r="BF191" s="30"/>
      <c r="BG191" s="30" t="s">
        <v>681</v>
      </c>
      <c r="BH191" s="30" t="s">
        <v>569</v>
      </c>
      <c r="BI191" s="30" t="str">
        <f t="shared" si="92"/>
        <v>Bump</v>
      </c>
      <c r="BJ191" s="47" t="s">
        <v>137</v>
      </c>
      <c r="BK191" s="56">
        <f t="shared" si="93"/>
        <v>21280400</v>
      </c>
      <c r="BL191" s="57">
        <f t="shared" si="101"/>
        <v>2028633.2475602815</v>
      </c>
      <c r="BM191" s="57">
        <f t="shared" si="102"/>
        <v>676211.08252009389</v>
      </c>
      <c r="BU191" s="58">
        <f>BM191*3</f>
        <v>2028633.2475602818</v>
      </c>
      <c r="BV191" s="58">
        <f t="shared" si="126"/>
        <v>2028633.2475602818</v>
      </c>
      <c r="BW191" s="58">
        <f t="shared" si="112"/>
        <v>4057266.4951205635</v>
      </c>
      <c r="BX191" s="58">
        <f t="shared" si="119"/>
        <v>2028633.2475602818</v>
      </c>
      <c r="BY191" s="58">
        <f t="shared" si="120"/>
        <v>2028633.2475602818</v>
      </c>
      <c r="BZ191" s="58">
        <f>BM191*3</f>
        <v>2028633.2475602818</v>
      </c>
      <c r="CA191" s="58">
        <f t="shared" si="120"/>
        <v>2028633.2475602818</v>
      </c>
      <c r="CB191" s="58">
        <f>SUM(BX191:CA191)</f>
        <v>8114532.9902411271</v>
      </c>
      <c r="CC191" s="58">
        <f>CA191</f>
        <v>2028633.2475602818</v>
      </c>
      <c r="CD191" s="58">
        <f t="shared" si="125"/>
        <v>2028633.2475602818</v>
      </c>
      <c r="CE191" s="58">
        <f t="shared" si="125"/>
        <v>2028633.2475602818</v>
      </c>
      <c r="CF191" s="58">
        <f t="shared" si="125"/>
        <v>2028633.2475602818</v>
      </c>
      <c r="CG191" s="58">
        <f>SUM(CC191:CF191)</f>
        <v>8114532.9902411271</v>
      </c>
      <c r="CH191" s="58">
        <f>CF191</f>
        <v>2028633.2475602818</v>
      </c>
      <c r="CI191" s="58">
        <f>CH191</f>
        <v>2028633.2475602818</v>
      </c>
      <c r="CJ191" s="58">
        <f>CI191</f>
        <v>2028633.2475602818</v>
      </c>
      <c r="CK191" s="58">
        <f>CJ191</f>
        <v>2028633.2475602818</v>
      </c>
      <c r="CL191" s="58">
        <f>SUM(CH191:CK191)</f>
        <v>8114532.9902411271</v>
      </c>
      <c r="CN191" s="59">
        <f t="shared" si="127"/>
        <v>2.0778982819966195E-3</v>
      </c>
      <c r="CO191" s="64">
        <f t="shared" si="128"/>
        <v>43635863.921929009</v>
      </c>
      <c r="CP191" s="2">
        <f t="shared" si="95"/>
        <v>64916263.921929009</v>
      </c>
    </row>
    <row r="192" spans="1:94" ht="16.5" hidden="1" x14ac:dyDescent="0.3">
      <c r="A192" s="2">
        <v>187</v>
      </c>
      <c r="B192" s="47" t="s">
        <v>21</v>
      </c>
      <c r="C192" s="47"/>
      <c r="D192" s="30" t="s">
        <v>553</v>
      </c>
      <c r="E192" s="30" t="s">
        <v>115</v>
      </c>
      <c r="F192" s="30" t="s">
        <v>579</v>
      </c>
      <c r="G192" s="105" t="s">
        <v>711</v>
      </c>
      <c r="H192" s="48" t="s">
        <v>118</v>
      </c>
      <c r="I192" s="30" t="s">
        <v>119</v>
      </c>
      <c r="J192" s="30" t="s">
        <v>556</v>
      </c>
      <c r="K192" s="30" t="s">
        <v>557</v>
      </c>
      <c r="L192" s="48" t="s">
        <v>608</v>
      </c>
      <c r="M192" s="79">
        <v>2100121</v>
      </c>
      <c r="N192" s="48" t="s">
        <v>582</v>
      </c>
      <c r="O192" s="48" t="s">
        <v>712</v>
      </c>
      <c r="P192" s="48" t="s">
        <v>713</v>
      </c>
      <c r="Q192" s="48" t="s">
        <v>714</v>
      </c>
      <c r="R192" s="48"/>
      <c r="S192" s="30" t="s">
        <v>715</v>
      </c>
      <c r="T192" s="102" t="s">
        <v>716</v>
      </c>
      <c r="U192" s="48" t="s">
        <v>588</v>
      </c>
      <c r="V192" s="48" t="s">
        <v>589</v>
      </c>
      <c r="W192" s="48" t="s">
        <v>717</v>
      </c>
      <c r="X192" s="48" t="s">
        <v>576</v>
      </c>
      <c r="Y192" s="99" t="s">
        <v>576</v>
      </c>
      <c r="Z192" s="99" t="s">
        <v>576</v>
      </c>
      <c r="AA192" s="48" t="s">
        <v>148</v>
      </c>
      <c r="AB192" s="48" t="s">
        <v>615</v>
      </c>
      <c r="AC192" s="48" t="s">
        <v>615</v>
      </c>
      <c r="AD192" s="48"/>
      <c r="AE192" s="48"/>
      <c r="AF192" s="48" t="s">
        <v>604</v>
      </c>
      <c r="AG192" s="48" t="s">
        <v>440</v>
      </c>
      <c r="AH192" s="48" t="s">
        <v>605</v>
      </c>
      <c r="AI192" s="48"/>
      <c r="AJ192" s="98">
        <v>40252</v>
      </c>
      <c r="AK192" s="80">
        <v>40329</v>
      </c>
      <c r="AL192" s="51">
        <f t="shared" si="111"/>
        <v>15.43013698630137</v>
      </c>
      <c r="AM192" s="52">
        <v>12</v>
      </c>
      <c r="AN192" s="48" t="s">
        <v>132</v>
      </c>
      <c r="AO192" s="30" t="s">
        <v>133</v>
      </c>
      <c r="AP192" s="30" t="s">
        <v>606</v>
      </c>
      <c r="AQ192" s="48">
        <v>0</v>
      </c>
      <c r="AR192" s="48">
        <v>1600</v>
      </c>
      <c r="AS192" s="48">
        <v>800</v>
      </c>
      <c r="AT192" s="48">
        <v>2260</v>
      </c>
      <c r="AU192" s="53">
        <v>61327000</v>
      </c>
      <c r="AV192" s="54"/>
      <c r="AW192" s="54"/>
      <c r="AX192" s="54">
        <v>61327000</v>
      </c>
      <c r="AY192" s="54"/>
      <c r="AZ192" s="54"/>
      <c r="BA192" s="54">
        <v>1000</v>
      </c>
      <c r="BB192" s="55">
        <v>1000</v>
      </c>
      <c r="BC192" s="52">
        <v>144</v>
      </c>
      <c r="BD192" s="52">
        <v>187</v>
      </c>
      <c r="BE192" s="52">
        <v>0</v>
      </c>
      <c r="BF192" s="30"/>
      <c r="BG192" s="30" t="s">
        <v>617</v>
      </c>
      <c r="BH192" s="30" t="s">
        <v>569</v>
      </c>
      <c r="BI192" s="30" t="str">
        <f t="shared" si="92"/>
        <v>Bump</v>
      </c>
      <c r="BJ192" s="47" t="s">
        <v>137</v>
      </c>
      <c r="BK192" s="67">
        <f t="shared" si="93"/>
        <v>1226540</v>
      </c>
      <c r="BL192" s="68">
        <f t="shared" si="101"/>
        <v>116924.4856047155</v>
      </c>
      <c r="BM192" s="68">
        <f t="shared" si="102"/>
        <v>38974.828534905166</v>
      </c>
      <c r="BP192" s="69">
        <f>BM192*3</f>
        <v>116924.4856047155</v>
      </c>
      <c r="BQ192" s="69">
        <f>BP192</f>
        <v>116924.4856047155</v>
      </c>
      <c r="BR192" s="69">
        <f>SUM(BN192:BQ192)</f>
        <v>233848.97120943101</v>
      </c>
      <c r="BS192" s="69">
        <f>BQ192</f>
        <v>116924.4856047155</v>
      </c>
      <c r="BT192" s="69">
        <f t="shared" si="126"/>
        <v>116924.4856047155</v>
      </c>
      <c r="BU192" s="100">
        <f t="shared" si="126"/>
        <v>116924.4856047155</v>
      </c>
      <c r="BV192" s="100">
        <f t="shared" si="126"/>
        <v>116924.4856047155</v>
      </c>
      <c r="BW192" s="100">
        <f t="shared" si="112"/>
        <v>467697.94241886202</v>
      </c>
      <c r="BX192" s="101">
        <f t="shared" si="119"/>
        <v>116924.4856047155</v>
      </c>
      <c r="BY192" s="101">
        <f t="shared" si="120"/>
        <v>116924.4856047155</v>
      </c>
      <c r="BZ192" s="101">
        <f t="shared" si="120"/>
        <v>116924.4856047155</v>
      </c>
      <c r="CA192" s="101">
        <f t="shared" si="120"/>
        <v>116924.4856047155</v>
      </c>
      <c r="CB192" s="100">
        <f t="shared" si="86"/>
        <v>467697.94241886202</v>
      </c>
      <c r="CC192" s="101">
        <f t="shared" si="87"/>
        <v>116924.4856047155</v>
      </c>
      <c r="CD192" s="101">
        <f t="shared" si="125"/>
        <v>116924.4856047155</v>
      </c>
      <c r="CE192" s="101">
        <f t="shared" si="125"/>
        <v>116924.4856047155</v>
      </c>
      <c r="CF192" s="101">
        <f t="shared" si="125"/>
        <v>116924.4856047155</v>
      </c>
      <c r="CG192" s="100">
        <f t="shared" si="88"/>
        <v>467697.94241886202</v>
      </c>
      <c r="CH192" s="101">
        <f t="shared" si="89"/>
        <v>116924.4856047155</v>
      </c>
      <c r="CI192" s="101">
        <f t="shared" si="90"/>
        <v>116924.4856047155</v>
      </c>
      <c r="CJ192" s="101">
        <f t="shared" si="90"/>
        <v>116924.4856047155</v>
      </c>
      <c r="CK192" s="101">
        <f t="shared" si="90"/>
        <v>116924.4856047155</v>
      </c>
      <c r="CL192" s="100">
        <f t="shared" si="91"/>
        <v>467697.94241886202</v>
      </c>
      <c r="CM192" s="71"/>
      <c r="CN192" s="59">
        <f t="shared" si="127"/>
        <v>1.1976397806432839E-4</v>
      </c>
      <c r="CO192" s="64">
        <f t="shared" si="128"/>
        <v>2515043.5393508961</v>
      </c>
      <c r="CP192" s="2">
        <f t="shared" si="95"/>
        <v>3741583.5393508961</v>
      </c>
    </row>
    <row r="193" spans="1:94" ht="16.5" hidden="1" x14ac:dyDescent="0.3">
      <c r="A193" s="2">
        <v>188</v>
      </c>
      <c r="B193" s="47" t="s">
        <v>21</v>
      </c>
      <c r="C193" s="47"/>
      <c r="D193" s="30" t="s">
        <v>553</v>
      </c>
      <c r="E193" s="30" t="s">
        <v>115</v>
      </c>
      <c r="F193" s="30" t="s">
        <v>579</v>
      </c>
      <c r="G193" s="48" t="s">
        <v>555</v>
      </c>
      <c r="H193" s="48" t="s">
        <v>118</v>
      </c>
      <c r="I193" s="30" t="s">
        <v>119</v>
      </c>
      <c r="J193" s="30" t="s">
        <v>556</v>
      </c>
      <c r="K193" s="30" t="s">
        <v>557</v>
      </c>
      <c r="L193" s="48" t="s">
        <v>595</v>
      </c>
      <c r="M193" s="79">
        <v>2100123</v>
      </c>
      <c r="N193" s="48" t="s">
        <v>582</v>
      </c>
      <c r="O193" s="48" t="s">
        <v>718</v>
      </c>
      <c r="P193" s="48" t="s">
        <v>621</v>
      </c>
      <c r="Q193" s="48" t="s">
        <v>597</v>
      </c>
      <c r="R193" s="48"/>
      <c r="S193" s="48" t="s">
        <v>719</v>
      </c>
      <c r="T193" s="102" t="s">
        <v>720</v>
      </c>
      <c r="U193" s="48" t="s">
        <v>588</v>
      </c>
      <c r="V193" s="48" t="s">
        <v>600</v>
      </c>
      <c r="W193" s="48" t="s">
        <v>721</v>
      </c>
      <c r="X193" s="48" t="s">
        <v>576</v>
      </c>
      <c r="Y193" s="99" t="s">
        <v>128</v>
      </c>
      <c r="Z193" s="99" t="s">
        <v>128</v>
      </c>
      <c r="AA193" s="48" t="s">
        <v>148</v>
      </c>
      <c r="AB193" s="48" t="s">
        <v>603</v>
      </c>
      <c r="AC193" s="48" t="s">
        <v>603</v>
      </c>
      <c r="AD193" s="48" t="s">
        <v>566</v>
      </c>
      <c r="AE193" s="48"/>
      <c r="AF193" s="48" t="s">
        <v>604</v>
      </c>
      <c r="AG193" s="48" t="s">
        <v>440</v>
      </c>
      <c r="AH193" s="48" t="s">
        <v>605</v>
      </c>
      <c r="AI193" s="48"/>
      <c r="AJ193" s="98">
        <v>40269</v>
      </c>
      <c r="AK193" s="80">
        <v>40329</v>
      </c>
      <c r="AL193" s="51">
        <f t="shared" si="111"/>
        <v>15.43013698630137</v>
      </c>
      <c r="AM193" s="52">
        <v>12</v>
      </c>
      <c r="AN193" s="48" t="s">
        <v>132</v>
      </c>
      <c r="AO193" s="30" t="s">
        <v>133</v>
      </c>
      <c r="AP193" s="30" t="s">
        <v>134</v>
      </c>
      <c r="AQ193" s="48">
        <v>21.6</v>
      </c>
      <c r="AR193" s="48">
        <v>1500</v>
      </c>
      <c r="AS193" s="48">
        <v>3900</v>
      </c>
      <c r="AT193" s="48">
        <v>2328</v>
      </c>
      <c r="AU193" s="53">
        <v>232732015</v>
      </c>
      <c r="AV193" s="54"/>
      <c r="AW193" s="54"/>
      <c r="AX193" s="54">
        <v>232732015</v>
      </c>
      <c r="AY193" s="54"/>
      <c r="AZ193" s="54"/>
      <c r="BA193" s="54">
        <v>1000</v>
      </c>
      <c r="BB193" s="55">
        <v>1000</v>
      </c>
      <c r="BC193" s="52">
        <v>144</v>
      </c>
      <c r="BD193" s="52">
        <v>187</v>
      </c>
      <c r="BE193" s="52">
        <v>0</v>
      </c>
      <c r="BF193" s="30"/>
      <c r="BG193" s="30" t="s">
        <v>607</v>
      </c>
      <c r="BH193" s="30" t="s">
        <v>569</v>
      </c>
      <c r="BI193" s="30" t="str">
        <f t="shared" si="92"/>
        <v>Bump</v>
      </c>
      <c r="BJ193" s="47" t="s">
        <v>137</v>
      </c>
      <c r="BK193" s="67">
        <f t="shared" si="93"/>
        <v>4654640.3</v>
      </c>
      <c r="BL193" s="68">
        <f t="shared" si="101"/>
        <v>443720.89190118434</v>
      </c>
      <c r="BM193" s="68">
        <f t="shared" si="102"/>
        <v>147906.96396706146</v>
      </c>
      <c r="BP193" s="69">
        <f>BM193*3</f>
        <v>443720.89190118434</v>
      </c>
      <c r="BQ193" s="69">
        <f>BP193</f>
        <v>443720.89190118434</v>
      </c>
      <c r="BR193" s="69">
        <f>SUM(BN193:BQ193)</f>
        <v>887441.78380236868</v>
      </c>
      <c r="BS193" s="69">
        <f>BQ193</f>
        <v>443720.89190118434</v>
      </c>
      <c r="BT193" s="69">
        <f t="shared" si="126"/>
        <v>443720.89190118434</v>
      </c>
      <c r="BU193" s="100">
        <f t="shared" si="126"/>
        <v>443720.89190118434</v>
      </c>
      <c r="BV193" s="100">
        <f t="shared" si="126"/>
        <v>443720.89190118434</v>
      </c>
      <c r="BW193" s="100">
        <f t="shared" si="112"/>
        <v>1774883.5676047374</v>
      </c>
      <c r="BX193" s="101">
        <f t="shared" si="119"/>
        <v>443720.89190118434</v>
      </c>
      <c r="BY193" s="101">
        <f t="shared" si="120"/>
        <v>443720.89190118434</v>
      </c>
      <c r="BZ193" s="18">
        <f t="shared" si="120"/>
        <v>443720.89190118434</v>
      </c>
      <c r="CA193" s="18">
        <f t="shared" si="120"/>
        <v>443720.89190118434</v>
      </c>
      <c r="CB193" s="70">
        <f t="shared" si="86"/>
        <v>1774883.5676047374</v>
      </c>
      <c r="CC193" s="18">
        <f t="shared" si="87"/>
        <v>443720.89190118434</v>
      </c>
      <c r="CD193" s="18">
        <f t="shared" si="125"/>
        <v>443720.89190118434</v>
      </c>
      <c r="CE193" s="18">
        <f t="shared" si="125"/>
        <v>443720.89190118434</v>
      </c>
      <c r="CF193" s="18">
        <f t="shared" si="125"/>
        <v>443720.89190118434</v>
      </c>
      <c r="CG193" s="70">
        <f t="shared" si="88"/>
        <v>1774883.5676047374</v>
      </c>
      <c r="CH193" s="18">
        <f t="shared" si="89"/>
        <v>443720.89190118434</v>
      </c>
      <c r="CI193" s="18">
        <f t="shared" si="90"/>
        <v>443720.89190118434</v>
      </c>
      <c r="CJ193" s="18">
        <f t="shared" si="90"/>
        <v>443720.89190118434</v>
      </c>
      <c r="CK193" s="18">
        <f t="shared" si="90"/>
        <v>443720.89190118434</v>
      </c>
      <c r="CL193" s="70">
        <f t="shared" si="91"/>
        <v>1774883.5676047374</v>
      </c>
      <c r="CM193" s="71"/>
      <c r="CN193" s="59">
        <f t="shared" si="127"/>
        <v>4.5449658289704284E-4</v>
      </c>
      <c r="CO193" s="64">
        <f t="shared" si="128"/>
        <v>9544428.2408379</v>
      </c>
      <c r="CP193" s="2">
        <f t="shared" si="95"/>
        <v>14199068.540837899</v>
      </c>
    </row>
    <row r="194" spans="1:94" hidden="1" x14ac:dyDescent="0.3">
      <c r="A194" s="29">
        <v>189</v>
      </c>
      <c r="B194" s="30" t="s">
        <v>21</v>
      </c>
      <c r="C194" s="30"/>
      <c r="D194" s="30" t="s">
        <v>553</v>
      </c>
      <c r="E194" s="30" t="s">
        <v>115</v>
      </c>
      <c r="F194" s="30" t="s">
        <v>579</v>
      </c>
      <c r="G194" s="48" t="s">
        <v>555</v>
      </c>
      <c r="H194" s="48" t="s">
        <v>118</v>
      </c>
      <c r="I194" s="30" t="s">
        <v>119</v>
      </c>
      <c r="J194" s="30" t="s">
        <v>556</v>
      </c>
      <c r="K194" s="30" t="s">
        <v>557</v>
      </c>
      <c r="L194" s="48" t="s">
        <v>595</v>
      </c>
      <c r="M194" s="79">
        <v>2100127</v>
      </c>
      <c r="N194" s="48" t="s">
        <v>582</v>
      </c>
      <c r="O194" s="48" t="s">
        <v>722</v>
      </c>
      <c r="P194" s="48" t="s">
        <v>621</v>
      </c>
      <c r="Q194" s="48" t="s">
        <v>597</v>
      </c>
      <c r="R194" s="48"/>
      <c r="S194" s="48" t="s">
        <v>598</v>
      </c>
      <c r="T194" s="102" t="s">
        <v>723</v>
      </c>
      <c r="U194" s="48" t="s">
        <v>588</v>
      </c>
      <c r="V194" s="48" t="s">
        <v>600</v>
      </c>
      <c r="W194" s="48" t="s">
        <v>721</v>
      </c>
      <c r="X194" s="48"/>
      <c r="Y194" s="48" t="s">
        <v>457</v>
      </c>
      <c r="Z194" s="48" t="s">
        <v>457</v>
      </c>
      <c r="AA194" s="48" t="s">
        <v>148</v>
      </c>
      <c r="AB194" s="48" t="s">
        <v>603</v>
      </c>
      <c r="AC194" s="48" t="s">
        <v>603</v>
      </c>
      <c r="AD194" s="48" t="s">
        <v>566</v>
      </c>
      <c r="AE194" s="48"/>
      <c r="AF194" s="48" t="s">
        <v>604</v>
      </c>
      <c r="AG194" s="48" t="s">
        <v>440</v>
      </c>
      <c r="AH194" s="48" t="s">
        <v>605</v>
      </c>
      <c r="AI194" s="48"/>
      <c r="AJ194" s="98">
        <v>40641</v>
      </c>
      <c r="AK194" s="80">
        <v>40694</v>
      </c>
      <c r="AL194" s="51">
        <f t="shared" si="111"/>
        <v>14.43013698630137</v>
      </c>
      <c r="AM194" s="52">
        <v>12</v>
      </c>
      <c r="AN194" s="48" t="s">
        <v>132</v>
      </c>
      <c r="AO194" s="30" t="s">
        <v>133</v>
      </c>
      <c r="AP194" s="30" t="s">
        <v>134</v>
      </c>
      <c r="AQ194" s="48">
        <v>21.6</v>
      </c>
      <c r="AR194" s="48">
        <v>1500</v>
      </c>
      <c r="AS194" s="48">
        <v>3900</v>
      </c>
      <c r="AT194" s="48">
        <v>2328</v>
      </c>
      <c r="AU194" s="53">
        <v>333694644</v>
      </c>
      <c r="AV194" s="54"/>
      <c r="AW194" s="54"/>
      <c r="AX194" s="54">
        <v>333694644</v>
      </c>
      <c r="AY194" s="54"/>
      <c r="AZ194" s="54"/>
      <c r="BA194" s="74">
        <v>1000</v>
      </c>
      <c r="BB194" s="74">
        <v>1000</v>
      </c>
      <c r="BC194" s="52">
        <v>144</v>
      </c>
      <c r="BD194" s="52">
        <v>175</v>
      </c>
      <c r="BE194" s="52">
        <v>0</v>
      </c>
      <c r="BF194" s="30"/>
      <c r="BG194" s="30" t="s">
        <v>607</v>
      </c>
      <c r="BH194" s="30" t="s">
        <v>569</v>
      </c>
      <c r="BI194" s="30" t="str">
        <f t="shared" si="92"/>
        <v>Bump</v>
      </c>
      <c r="BJ194" s="30" t="s">
        <v>250</v>
      </c>
      <c r="BK194" s="56">
        <f t="shared" si="93"/>
        <v>6673892.8799999999</v>
      </c>
      <c r="BL194" s="57">
        <f t="shared" si="101"/>
        <v>208559.1525</v>
      </c>
      <c r="BM194" s="57">
        <f t="shared" si="102"/>
        <v>69519.717499999999</v>
      </c>
      <c r="BU194" s="58">
        <f>BM194*3</f>
        <v>208559.1525</v>
      </c>
      <c r="BV194" s="58">
        <f t="shared" si="126"/>
        <v>208559.1525</v>
      </c>
      <c r="BW194" s="58">
        <f t="shared" si="112"/>
        <v>417118.30499999999</v>
      </c>
      <c r="BX194" s="58">
        <f t="shared" si="119"/>
        <v>208559.1525</v>
      </c>
      <c r="BY194" s="58">
        <f t="shared" si="120"/>
        <v>208559.1525</v>
      </c>
      <c r="BZ194" s="58">
        <f>BM194*3</f>
        <v>208559.1525</v>
      </c>
      <c r="CA194" s="58">
        <f t="shared" si="120"/>
        <v>208559.1525</v>
      </c>
      <c r="CB194" s="58">
        <f>SUM(BX194:CA194)</f>
        <v>834236.61</v>
      </c>
      <c r="CC194" s="58">
        <f>CA194</f>
        <v>208559.1525</v>
      </c>
      <c r="CD194" s="58">
        <f t="shared" si="125"/>
        <v>208559.1525</v>
      </c>
      <c r="CE194" s="58">
        <f t="shared" si="125"/>
        <v>208559.1525</v>
      </c>
      <c r="CF194" s="58">
        <f t="shared" si="125"/>
        <v>208559.1525</v>
      </c>
      <c r="CG194" s="58">
        <f>SUM(CC194:CF194)</f>
        <v>834236.61</v>
      </c>
      <c r="CH194" s="58">
        <f>CF194</f>
        <v>208559.1525</v>
      </c>
      <c r="CI194" s="58">
        <f t="shared" ref="CI194:CK209" si="129">CH194</f>
        <v>208559.1525</v>
      </c>
      <c r="CJ194" s="58">
        <f t="shared" si="129"/>
        <v>208559.1525</v>
      </c>
      <c r="CK194" s="58">
        <f t="shared" si="129"/>
        <v>208559.1525</v>
      </c>
      <c r="CL194" s="58">
        <f>SUM(CH194:CK194)</f>
        <v>834236.61</v>
      </c>
      <c r="CP194" s="2">
        <f t="shared" si="95"/>
        <v>6673892.8799999999</v>
      </c>
    </row>
    <row r="195" spans="1:94" ht="16.5" hidden="1" x14ac:dyDescent="0.3">
      <c r="A195" s="2">
        <v>190</v>
      </c>
      <c r="B195" s="47" t="s">
        <v>21</v>
      </c>
      <c r="C195" s="47"/>
      <c r="D195" s="30" t="s">
        <v>553</v>
      </c>
      <c r="E195" s="30" t="s">
        <v>115</v>
      </c>
      <c r="F195" s="30" t="s">
        <v>579</v>
      </c>
      <c r="G195" s="30" t="s">
        <v>555</v>
      </c>
      <c r="H195" s="48" t="s">
        <v>118</v>
      </c>
      <c r="I195" s="30" t="s">
        <v>119</v>
      </c>
      <c r="J195" s="30" t="s">
        <v>556</v>
      </c>
      <c r="K195" s="30" t="s">
        <v>557</v>
      </c>
      <c r="L195" s="48" t="s">
        <v>641</v>
      </c>
      <c r="M195" s="79">
        <v>2100128</v>
      </c>
      <c r="N195" s="48" t="s">
        <v>582</v>
      </c>
      <c r="O195" s="48" t="s">
        <v>724</v>
      </c>
      <c r="P195" s="48" t="s">
        <v>643</v>
      </c>
      <c r="Q195" s="48" t="s">
        <v>644</v>
      </c>
      <c r="R195" s="48"/>
      <c r="S195" s="48">
        <v>102803</v>
      </c>
      <c r="T195" s="30" t="s">
        <v>725</v>
      </c>
      <c r="U195" s="48" t="s">
        <v>588</v>
      </c>
      <c r="V195" s="48" t="s">
        <v>646</v>
      </c>
      <c r="W195" s="48" t="s">
        <v>647</v>
      </c>
      <c r="X195" s="103" t="s">
        <v>602</v>
      </c>
      <c r="Y195" s="48" t="s">
        <v>128</v>
      </c>
      <c r="Z195" s="48" t="s">
        <v>128</v>
      </c>
      <c r="AA195" s="48" t="s">
        <v>374</v>
      </c>
      <c r="AB195" s="48" t="s">
        <v>648</v>
      </c>
      <c r="AC195" s="48" t="s">
        <v>648</v>
      </c>
      <c r="AD195" s="48"/>
      <c r="AE195" s="48"/>
      <c r="AF195" s="48" t="s">
        <v>131</v>
      </c>
      <c r="AG195" s="48" t="s">
        <v>649</v>
      </c>
      <c r="AH195" s="48"/>
      <c r="AI195" s="48"/>
      <c r="AJ195" s="98">
        <v>40654</v>
      </c>
      <c r="AK195" s="80">
        <v>40694</v>
      </c>
      <c r="AL195" s="51">
        <f t="shared" si="111"/>
        <v>14.43013698630137</v>
      </c>
      <c r="AM195" s="52">
        <v>12</v>
      </c>
      <c r="AN195" s="48" t="s">
        <v>132</v>
      </c>
      <c r="AO195" s="30" t="s">
        <v>133</v>
      </c>
      <c r="AP195" s="30" t="s">
        <v>134</v>
      </c>
      <c r="AQ195" s="48">
        <v>5</v>
      </c>
      <c r="AR195" s="48">
        <v>2200</v>
      </c>
      <c r="AS195" s="48">
        <v>1400</v>
      </c>
      <c r="AT195" s="48">
        <v>2120</v>
      </c>
      <c r="AU195" s="53">
        <v>657904339</v>
      </c>
      <c r="AV195" s="54"/>
      <c r="AW195" s="54"/>
      <c r="AX195" s="54">
        <v>657904339</v>
      </c>
      <c r="AY195" s="54"/>
      <c r="AZ195" s="54"/>
      <c r="BA195" s="54">
        <v>1000</v>
      </c>
      <c r="BB195" s="55">
        <v>1000</v>
      </c>
      <c r="BC195" s="52">
        <v>144</v>
      </c>
      <c r="BD195" s="52">
        <v>175</v>
      </c>
      <c r="BE195" s="52">
        <v>0</v>
      </c>
      <c r="BF195" s="30"/>
      <c r="BG195" s="30" t="s">
        <v>650</v>
      </c>
      <c r="BH195" s="30" t="s">
        <v>569</v>
      </c>
      <c r="BI195" s="30" t="str">
        <f t="shared" si="92"/>
        <v>Bump</v>
      </c>
      <c r="BJ195" s="47" t="s">
        <v>137</v>
      </c>
      <c r="BK195" s="56">
        <f t="shared" si="93"/>
        <v>13158086.780000001</v>
      </c>
      <c r="BL195" s="57">
        <f t="shared" si="101"/>
        <v>1254343.5422356445</v>
      </c>
      <c r="BM195" s="57">
        <f t="shared" si="102"/>
        <v>418114.51407854818</v>
      </c>
      <c r="BU195" s="58">
        <f>BM195*3</f>
        <v>1254343.5422356445</v>
      </c>
      <c r="BV195" s="58">
        <f t="shared" si="126"/>
        <v>1254343.5422356445</v>
      </c>
      <c r="BW195" s="58">
        <f t="shared" si="112"/>
        <v>2508687.0844712891</v>
      </c>
      <c r="BX195" s="58">
        <f t="shared" si="119"/>
        <v>1254343.5422356445</v>
      </c>
      <c r="BY195" s="58">
        <f t="shared" si="120"/>
        <v>1254343.5422356445</v>
      </c>
      <c r="BZ195" s="58">
        <f>BM195*3</f>
        <v>1254343.5422356445</v>
      </c>
      <c r="CA195" s="58">
        <f t="shared" si="120"/>
        <v>1254343.5422356445</v>
      </c>
      <c r="CB195" s="58">
        <f>SUM(BX195:CA195)</f>
        <v>5017374.1689425781</v>
      </c>
      <c r="CC195" s="58">
        <f>CA195</f>
        <v>1254343.5422356445</v>
      </c>
      <c r="CD195" s="58">
        <f t="shared" si="125"/>
        <v>1254343.5422356445</v>
      </c>
      <c r="CE195" s="58">
        <f t="shared" si="125"/>
        <v>1254343.5422356445</v>
      </c>
      <c r="CF195" s="58">
        <f t="shared" si="125"/>
        <v>1254343.5422356445</v>
      </c>
      <c r="CG195" s="58">
        <f>SUM(CC195:CF195)</f>
        <v>5017374.1689425781</v>
      </c>
      <c r="CH195" s="58">
        <f>CF195</f>
        <v>1254343.5422356445</v>
      </c>
      <c r="CI195" s="58">
        <f t="shared" si="129"/>
        <v>1254343.5422356445</v>
      </c>
      <c r="CJ195" s="58">
        <f t="shared" si="129"/>
        <v>1254343.5422356445</v>
      </c>
      <c r="CK195" s="58">
        <f t="shared" si="129"/>
        <v>1254343.5422356445</v>
      </c>
      <c r="CL195" s="58">
        <f>SUM(CH195:CK195)</f>
        <v>5017374.1689425781</v>
      </c>
      <c r="CN195" s="59">
        <f>BK195/$CN$3</f>
        <v>1.2848050748352679E-3</v>
      </c>
      <c r="CO195" s="64">
        <f>CN195*$CO$4</f>
        <v>26980906.571540628</v>
      </c>
      <c r="CP195" s="2">
        <f t="shared" si="95"/>
        <v>40138993.351540625</v>
      </c>
    </row>
    <row r="196" spans="1:94" hidden="1" x14ac:dyDescent="0.3">
      <c r="A196" s="29">
        <v>191</v>
      </c>
      <c r="B196" s="30" t="s">
        <v>21</v>
      </c>
      <c r="C196" s="30"/>
      <c r="D196" s="30" t="s">
        <v>553</v>
      </c>
      <c r="E196" s="30" t="s">
        <v>115</v>
      </c>
      <c r="F196" s="30" t="s">
        <v>579</v>
      </c>
      <c r="G196" s="48" t="s">
        <v>555</v>
      </c>
      <c r="H196" s="48" t="s">
        <v>118</v>
      </c>
      <c r="I196" s="30" t="s">
        <v>119</v>
      </c>
      <c r="J196" s="30" t="s">
        <v>556</v>
      </c>
      <c r="K196" s="30" t="s">
        <v>557</v>
      </c>
      <c r="L196" s="48" t="s">
        <v>595</v>
      </c>
      <c r="M196" s="79">
        <v>2100129</v>
      </c>
      <c r="N196" s="48" t="s">
        <v>582</v>
      </c>
      <c r="O196" s="48" t="s">
        <v>726</v>
      </c>
      <c r="P196" s="48" t="s">
        <v>621</v>
      </c>
      <c r="Q196" s="48" t="s">
        <v>597</v>
      </c>
      <c r="R196" s="48"/>
      <c r="S196" s="48" t="s">
        <v>621</v>
      </c>
      <c r="T196" s="102" t="s">
        <v>727</v>
      </c>
      <c r="U196" s="48" t="s">
        <v>588</v>
      </c>
      <c r="V196" s="48" t="s">
        <v>600</v>
      </c>
      <c r="W196" s="48" t="s">
        <v>721</v>
      </c>
      <c r="X196" s="48"/>
      <c r="Y196" s="48" t="s">
        <v>457</v>
      </c>
      <c r="Z196" s="48" t="s">
        <v>457</v>
      </c>
      <c r="AA196" s="48" t="s">
        <v>148</v>
      </c>
      <c r="AB196" s="48" t="s">
        <v>603</v>
      </c>
      <c r="AC196" s="48" t="s">
        <v>603</v>
      </c>
      <c r="AD196" s="48" t="s">
        <v>566</v>
      </c>
      <c r="AE196" s="48"/>
      <c r="AF196" s="48" t="s">
        <v>604</v>
      </c>
      <c r="AG196" s="48" t="s">
        <v>440</v>
      </c>
      <c r="AH196" s="48" t="s">
        <v>605</v>
      </c>
      <c r="AI196" s="48"/>
      <c r="AJ196" s="98">
        <v>40680</v>
      </c>
      <c r="AK196" s="80">
        <v>40724</v>
      </c>
      <c r="AL196" s="51">
        <f t="shared" si="111"/>
        <v>14.347945205479451</v>
      </c>
      <c r="AM196" s="52">
        <v>12</v>
      </c>
      <c r="AN196" s="48" t="s">
        <v>132</v>
      </c>
      <c r="AO196" s="30" t="s">
        <v>133</v>
      </c>
      <c r="AP196" s="30" t="s">
        <v>134</v>
      </c>
      <c r="AQ196" s="48">
        <v>21.6</v>
      </c>
      <c r="AR196" s="48">
        <v>1500</v>
      </c>
      <c r="AS196" s="48">
        <v>3900</v>
      </c>
      <c r="AT196" s="48">
        <v>2328</v>
      </c>
      <c r="AU196" s="53">
        <v>309846482</v>
      </c>
      <c r="AV196" s="54"/>
      <c r="AW196" s="54"/>
      <c r="AX196" s="54">
        <v>309846482</v>
      </c>
      <c r="AY196" s="54"/>
      <c r="AZ196" s="54"/>
      <c r="BA196" s="74">
        <v>1000</v>
      </c>
      <c r="BB196" s="74">
        <v>1000</v>
      </c>
      <c r="BC196" s="52">
        <v>144</v>
      </c>
      <c r="BD196" s="52">
        <v>174</v>
      </c>
      <c r="BE196" s="52">
        <v>0</v>
      </c>
      <c r="BF196" s="30"/>
      <c r="BG196" s="30" t="s">
        <v>607</v>
      </c>
      <c r="BH196" s="30" t="s">
        <v>569</v>
      </c>
      <c r="BI196" s="30" t="str">
        <f t="shared" si="92"/>
        <v>Bump</v>
      </c>
      <c r="BJ196" s="30" t="s">
        <v>250</v>
      </c>
      <c r="BK196" s="56">
        <f t="shared" si="93"/>
        <v>6196929.6399999997</v>
      </c>
      <c r="BL196" s="57">
        <f t="shared" si="101"/>
        <v>193654.05124999999</v>
      </c>
      <c r="BM196" s="57">
        <f t="shared" si="102"/>
        <v>64551.350416666661</v>
      </c>
      <c r="BU196" s="58">
        <f>BM196*3</f>
        <v>193654.05124999999</v>
      </c>
      <c r="BV196" s="58">
        <f t="shared" si="126"/>
        <v>193654.05124999999</v>
      </c>
      <c r="BW196" s="58">
        <f t="shared" si="112"/>
        <v>387308.10249999998</v>
      </c>
      <c r="BX196" s="58">
        <f t="shared" si="119"/>
        <v>193654.05124999999</v>
      </c>
      <c r="BY196" s="58">
        <f t="shared" si="120"/>
        <v>193654.05124999999</v>
      </c>
      <c r="BZ196" s="58">
        <f>BM196*3</f>
        <v>193654.05124999999</v>
      </c>
      <c r="CA196" s="58">
        <f t="shared" si="120"/>
        <v>193654.05124999999</v>
      </c>
      <c r="CB196" s="58">
        <f>SUM(BX196:CA196)</f>
        <v>774616.20499999996</v>
      </c>
      <c r="CC196" s="58">
        <f>CA196</f>
        <v>193654.05124999999</v>
      </c>
      <c r="CD196" s="58">
        <f t="shared" si="125"/>
        <v>193654.05124999999</v>
      </c>
      <c r="CE196" s="58">
        <f t="shared" si="125"/>
        <v>193654.05124999999</v>
      </c>
      <c r="CF196" s="58">
        <f t="shared" si="125"/>
        <v>193654.05124999999</v>
      </c>
      <c r="CG196" s="58">
        <f>SUM(CC196:CF196)</f>
        <v>774616.20499999996</v>
      </c>
      <c r="CH196" s="58">
        <f>CF196</f>
        <v>193654.05124999999</v>
      </c>
      <c r="CI196" s="58">
        <f t="shared" si="129"/>
        <v>193654.05124999999</v>
      </c>
      <c r="CJ196" s="58">
        <f t="shared" si="129"/>
        <v>193654.05124999999</v>
      </c>
      <c r="CK196" s="58">
        <f t="shared" si="129"/>
        <v>193654.05124999999</v>
      </c>
      <c r="CL196" s="58">
        <f>SUM(CH196:CK196)</f>
        <v>774616.20499999996</v>
      </c>
      <c r="CP196" s="2">
        <f t="shared" si="95"/>
        <v>6196929.6399999997</v>
      </c>
    </row>
    <row r="197" spans="1:94" hidden="1" x14ac:dyDescent="0.3">
      <c r="A197" s="29">
        <v>192</v>
      </c>
      <c r="B197" s="30" t="s">
        <v>21</v>
      </c>
      <c r="C197" s="30"/>
      <c r="D197" s="30" t="s">
        <v>553</v>
      </c>
      <c r="E197" s="30" t="s">
        <v>115</v>
      </c>
      <c r="F197" s="30" t="s">
        <v>579</v>
      </c>
      <c r="G197" s="30" t="s">
        <v>555</v>
      </c>
      <c r="H197" s="48" t="s">
        <v>385</v>
      </c>
      <c r="I197" s="30" t="s">
        <v>119</v>
      </c>
      <c r="J197" s="30" t="s">
        <v>556</v>
      </c>
      <c r="K197" s="30" t="s">
        <v>557</v>
      </c>
      <c r="L197" s="48" t="s">
        <v>664</v>
      </c>
      <c r="M197" s="79">
        <v>2100131</v>
      </c>
      <c r="N197" s="48" t="s">
        <v>582</v>
      </c>
      <c r="O197" s="48" t="s">
        <v>728</v>
      </c>
      <c r="P197" s="48"/>
      <c r="Q197" s="48" t="s">
        <v>729</v>
      </c>
      <c r="R197" s="48"/>
      <c r="S197" s="48"/>
      <c r="T197" s="30" t="s">
        <v>730</v>
      </c>
      <c r="U197" s="48" t="s">
        <v>588</v>
      </c>
      <c r="V197" s="48"/>
      <c r="W197" s="48" t="s">
        <v>731</v>
      </c>
      <c r="X197" s="48"/>
      <c r="Y197" s="48" t="s">
        <v>457</v>
      </c>
      <c r="Z197" s="48" t="s">
        <v>457</v>
      </c>
      <c r="AA197" s="48" t="s">
        <v>129</v>
      </c>
      <c r="AB197" s="48" t="s">
        <v>669</v>
      </c>
      <c r="AC197" s="48" t="s">
        <v>669</v>
      </c>
      <c r="AD197" s="48"/>
      <c r="AE197" s="48"/>
      <c r="AF197" s="48" t="s">
        <v>131</v>
      </c>
      <c r="AG197" s="48" t="s">
        <v>440</v>
      </c>
      <c r="AH197" s="48" t="s">
        <v>732</v>
      </c>
      <c r="AI197" s="48"/>
      <c r="AJ197" s="98"/>
      <c r="AK197" s="80">
        <v>40724</v>
      </c>
      <c r="AL197" s="51">
        <f t="shared" si="111"/>
        <v>14.347945205479451</v>
      </c>
      <c r="AM197" s="52">
        <v>12</v>
      </c>
      <c r="AN197" s="48" t="s">
        <v>132</v>
      </c>
      <c r="AO197" s="30" t="s">
        <v>133</v>
      </c>
      <c r="AP197" s="30" t="s">
        <v>134</v>
      </c>
      <c r="AQ197" s="48"/>
      <c r="AR197" s="48"/>
      <c r="AS197" s="48"/>
      <c r="AT197" s="48"/>
      <c r="AU197" s="53">
        <v>44500000</v>
      </c>
      <c r="AV197" s="54"/>
      <c r="AW197" s="54"/>
      <c r="AX197" s="54">
        <v>44500000</v>
      </c>
      <c r="AY197" s="54"/>
      <c r="AZ197" s="54"/>
      <c r="BA197" s="74">
        <v>1000</v>
      </c>
      <c r="BB197" s="74">
        <v>1000</v>
      </c>
      <c r="BC197" s="52">
        <v>144</v>
      </c>
      <c r="BD197" s="52">
        <v>174</v>
      </c>
      <c r="BE197" s="52">
        <v>0</v>
      </c>
      <c r="BF197" s="30"/>
      <c r="BG197" s="30" t="s">
        <v>607</v>
      </c>
      <c r="BH197" s="30" t="s">
        <v>569</v>
      </c>
      <c r="BI197" s="30" t="str">
        <f t="shared" si="92"/>
        <v>Bump</v>
      </c>
      <c r="BJ197" s="30" t="s">
        <v>250</v>
      </c>
      <c r="BK197" s="56">
        <f t="shared" si="93"/>
        <v>890000</v>
      </c>
      <c r="BL197" s="57">
        <f t="shared" si="101"/>
        <v>27812.5</v>
      </c>
      <c r="BM197" s="57">
        <f t="shared" si="102"/>
        <v>9270.8333333333339</v>
      </c>
      <c r="BU197" s="58">
        <f>BM197*3</f>
        <v>27812.5</v>
      </c>
      <c r="BV197" s="58">
        <f t="shared" si="126"/>
        <v>27812.5</v>
      </c>
      <c r="BW197" s="58">
        <f t="shared" si="112"/>
        <v>55625</v>
      </c>
      <c r="BX197" s="58">
        <f t="shared" si="119"/>
        <v>27812.5</v>
      </c>
      <c r="BY197" s="58">
        <f t="shared" si="120"/>
        <v>27812.5</v>
      </c>
      <c r="BZ197" s="58">
        <f>BM197*3</f>
        <v>27812.5</v>
      </c>
      <c r="CA197" s="58">
        <f t="shared" si="120"/>
        <v>27812.5</v>
      </c>
      <c r="CB197" s="58">
        <f>SUM(BX197:CA197)</f>
        <v>111250</v>
      </c>
      <c r="CC197" s="58">
        <f>CA197</f>
        <v>27812.5</v>
      </c>
      <c r="CD197" s="58">
        <f t="shared" si="125"/>
        <v>27812.5</v>
      </c>
      <c r="CE197" s="58">
        <f t="shared" si="125"/>
        <v>27812.5</v>
      </c>
      <c r="CF197" s="58">
        <f t="shared" si="125"/>
        <v>27812.5</v>
      </c>
      <c r="CG197" s="58">
        <f>SUM(CC197:CF197)</f>
        <v>111250</v>
      </c>
      <c r="CH197" s="58">
        <f>CF197</f>
        <v>27812.5</v>
      </c>
      <c r="CI197" s="58">
        <f t="shared" si="129"/>
        <v>27812.5</v>
      </c>
      <c r="CJ197" s="58">
        <f t="shared" si="129"/>
        <v>27812.5</v>
      </c>
      <c r="CK197" s="58">
        <f t="shared" si="129"/>
        <v>27812.5</v>
      </c>
      <c r="CL197" s="58">
        <f>SUM(CH197:CK197)</f>
        <v>111250</v>
      </c>
      <c r="CP197" s="2">
        <f t="shared" si="95"/>
        <v>890000</v>
      </c>
    </row>
    <row r="198" spans="1:94" ht="16.5" hidden="1" x14ac:dyDescent="0.3">
      <c r="A198" s="2">
        <v>193</v>
      </c>
      <c r="B198" s="47" t="s">
        <v>21</v>
      </c>
      <c r="C198" s="47"/>
      <c r="D198" s="30" t="s">
        <v>553</v>
      </c>
      <c r="E198" s="30" t="s">
        <v>115</v>
      </c>
      <c r="F198" s="30" t="s">
        <v>579</v>
      </c>
      <c r="G198" s="48" t="s">
        <v>555</v>
      </c>
      <c r="H198" s="48" t="s">
        <v>118</v>
      </c>
      <c r="I198" s="30" t="s">
        <v>119</v>
      </c>
      <c r="J198" s="30" t="s">
        <v>556</v>
      </c>
      <c r="K198" s="30" t="s">
        <v>557</v>
      </c>
      <c r="L198" s="48" t="s">
        <v>693</v>
      </c>
      <c r="M198" s="79">
        <v>2100132</v>
      </c>
      <c r="N198" s="48" t="s">
        <v>582</v>
      </c>
      <c r="O198" s="48" t="s">
        <v>733</v>
      </c>
      <c r="P198" s="48" t="s">
        <v>695</v>
      </c>
      <c r="Q198" s="48" t="s">
        <v>696</v>
      </c>
      <c r="R198" s="48"/>
      <c r="S198" s="48" t="s">
        <v>734</v>
      </c>
      <c r="T198" s="102" t="s">
        <v>735</v>
      </c>
      <c r="U198" s="48" t="s">
        <v>588</v>
      </c>
      <c r="V198" s="48" t="s">
        <v>633</v>
      </c>
      <c r="W198" s="48" t="s">
        <v>699</v>
      </c>
      <c r="X198" s="48" t="s">
        <v>576</v>
      </c>
      <c r="Y198" s="99" t="s">
        <v>576</v>
      </c>
      <c r="Z198" s="99" t="s">
        <v>576</v>
      </c>
      <c r="AA198" s="48" t="s">
        <v>148</v>
      </c>
      <c r="AB198" s="48" t="s">
        <v>700</v>
      </c>
      <c r="AC198" s="48" t="s">
        <v>700</v>
      </c>
      <c r="AD198" s="48"/>
      <c r="AE198" s="48"/>
      <c r="AF198" s="48" t="s">
        <v>604</v>
      </c>
      <c r="AG198" s="48" t="s">
        <v>440</v>
      </c>
      <c r="AH198" s="48" t="s">
        <v>701</v>
      </c>
      <c r="AI198" s="48"/>
      <c r="AJ198" s="98">
        <v>40643</v>
      </c>
      <c r="AK198" s="80">
        <v>40724</v>
      </c>
      <c r="AL198" s="51">
        <f t="shared" si="111"/>
        <v>14.347945205479451</v>
      </c>
      <c r="AM198" s="52">
        <v>12</v>
      </c>
      <c r="AN198" s="48" t="s">
        <v>132</v>
      </c>
      <c r="AO198" s="30" t="s">
        <v>133</v>
      </c>
      <c r="AP198" s="30" t="s">
        <v>606</v>
      </c>
      <c r="AQ198" s="48">
        <v>148.4</v>
      </c>
      <c r="AR198" s="48">
        <v>3500</v>
      </c>
      <c r="AS198" s="48">
        <v>4000</v>
      </c>
      <c r="AT198" s="48">
        <v>1700</v>
      </c>
      <c r="AU198" s="53">
        <v>1315043340</v>
      </c>
      <c r="AV198" s="54"/>
      <c r="AW198" s="54"/>
      <c r="AX198" s="54">
        <v>1067993340</v>
      </c>
      <c r="AY198" s="54"/>
      <c r="AZ198" s="54"/>
      <c r="BA198" s="54">
        <v>1000</v>
      </c>
      <c r="BB198" s="55">
        <v>32720766</v>
      </c>
      <c r="BC198" s="52">
        <v>144</v>
      </c>
      <c r="BD198" s="52">
        <v>174</v>
      </c>
      <c r="BE198" s="52">
        <v>0</v>
      </c>
      <c r="BF198" s="30"/>
      <c r="BG198" s="30" t="s">
        <v>681</v>
      </c>
      <c r="BH198" s="30" t="s">
        <v>569</v>
      </c>
      <c r="BI198" s="30" t="str">
        <f t="shared" si="92"/>
        <v>Bump</v>
      </c>
      <c r="BJ198" s="47" t="s">
        <v>137</v>
      </c>
      <c r="BK198" s="67">
        <f t="shared" si="93"/>
        <v>26300866.800000001</v>
      </c>
      <c r="BL198" s="68">
        <f t="shared" si="101"/>
        <v>2507227.9106658893</v>
      </c>
      <c r="BM198" s="68">
        <f t="shared" si="102"/>
        <v>835742.63688862976</v>
      </c>
      <c r="BP198" s="69">
        <f>BM198*3</f>
        <v>2507227.9106658893</v>
      </c>
      <c r="BQ198" s="69">
        <f>BP198</f>
        <v>2507227.9106658893</v>
      </c>
      <c r="BR198" s="69">
        <f>SUM(BN198:BQ198)</f>
        <v>5014455.8213317785</v>
      </c>
      <c r="BS198" s="69">
        <f>BQ198</f>
        <v>2507227.9106658893</v>
      </c>
      <c r="BT198" s="69">
        <f t="shared" si="126"/>
        <v>2507227.9106658893</v>
      </c>
      <c r="BU198" s="100">
        <f t="shared" si="126"/>
        <v>2507227.9106658893</v>
      </c>
      <c r="BV198" s="100">
        <f t="shared" si="126"/>
        <v>2507227.9106658893</v>
      </c>
      <c r="BW198" s="100">
        <f t="shared" si="112"/>
        <v>10028911.642663557</v>
      </c>
      <c r="BX198" s="101">
        <f t="shared" si="119"/>
        <v>2507227.9106658893</v>
      </c>
      <c r="BY198" s="101">
        <f t="shared" si="120"/>
        <v>2507227.9106658893</v>
      </c>
      <c r="BZ198" s="101">
        <f>BY198</f>
        <v>2507227.9106658893</v>
      </c>
      <c r="CA198" s="101">
        <f t="shared" si="120"/>
        <v>2507227.9106658893</v>
      </c>
      <c r="CB198" s="100">
        <f t="shared" ref="CB198:CB261" si="130">SUM(BX198:CA198)</f>
        <v>10028911.642663557</v>
      </c>
      <c r="CC198" s="101">
        <f t="shared" ref="CC198:CC261" si="131">CA198</f>
        <v>2507227.9106658893</v>
      </c>
      <c r="CD198" s="101">
        <f t="shared" si="125"/>
        <v>2507227.9106658893</v>
      </c>
      <c r="CE198" s="101">
        <f t="shared" si="125"/>
        <v>2507227.9106658893</v>
      </c>
      <c r="CF198" s="101">
        <f t="shared" si="125"/>
        <v>2507227.9106658893</v>
      </c>
      <c r="CG198" s="100">
        <f t="shared" ref="CG198:CG261" si="132">SUM(CC198:CF198)</f>
        <v>10028911.642663557</v>
      </c>
      <c r="CH198" s="101">
        <f t="shared" ref="CH198:CH261" si="133">CF198</f>
        <v>2507227.9106658893</v>
      </c>
      <c r="CI198" s="101">
        <f t="shared" si="129"/>
        <v>2507227.9106658893</v>
      </c>
      <c r="CJ198" s="101">
        <f t="shared" si="129"/>
        <v>2507227.9106658893</v>
      </c>
      <c r="CK198" s="101">
        <f t="shared" si="129"/>
        <v>2507227.9106658893</v>
      </c>
      <c r="CL198" s="100">
        <f t="shared" ref="CL198:CL261" si="134">SUM(CH198:CK198)</f>
        <v>10028911.642663557</v>
      </c>
      <c r="CM198" s="71"/>
      <c r="CN198" s="59">
        <f>BK198/$CN$3</f>
        <v>2.5681155400623075E-3</v>
      </c>
      <c r="CO198" s="64">
        <f>CN198*$CO$4</f>
        <v>53930426.34130846</v>
      </c>
      <c r="CP198" s="2">
        <f t="shared" si="95"/>
        <v>80231293.141308457</v>
      </c>
    </row>
    <row r="199" spans="1:94" hidden="1" x14ac:dyDescent="0.3">
      <c r="A199" s="29">
        <v>194</v>
      </c>
      <c r="B199" s="30" t="s">
        <v>21</v>
      </c>
      <c r="C199" s="30"/>
      <c r="D199" s="30" t="s">
        <v>553</v>
      </c>
      <c r="E199" s="30" t="s">
        <v>115</v>
      </c>
      <c r="F199" s="30" t="s">
        <v>579</v>
      </c>
      <c r="G199" s="48" t="s">
        <v>555</v>
      </c>
      <c r="H199" s="48" t="s">
        <v>118</v>
      </c>
      <c r="I199" s="30" t="s">
        <v>119</v>
      </c>
      <c r="J199" s="30" t="s">
        <v>556</v>
      </c>
      <c r="K199" s="30" t="s">
        <v>557</v>
      </c>
      <c r="L199" s="48" t="s">
        <v>673</v>
      </c>
      <c r="M199" s="79">
        <v>2100133</v>
      </c>
      <c r="N199" s="48" t="s">
        <v>582</v>
      </c>
      <c r="O199" s="48" t="s">
        <v>736</v>
      </c>
      <c r="P199" s="48" t="s">
        <v>737</v>
      </c>
      <c r="Q199" s="48" t="s">
        <v>738</v>
      </c>
      <c r="R199" s="48"/>
      <c r="S199" s="48" t="s">
        <v>739</v>
      </c>
      <c r="T199" s="102" t="s">
        <v>740</v>
      </c>
      <c r="U199" s="48" t="s">
        <v>588</v>
      </c>
      <c r="V199" s="48" t="s">
        <v>600</v>
      </c>
      <c r="W199" s="48" t="s">
        <v>741</v>
      </c>
      <c r="X199" s="48"/>
      <c r="Y199" s="48" t="s">
        <v>457</v>
      </c>
      <c r="Z199" s="48" t="s">
        <v>457</v>
      </c>
      <c r="AA199" s="48" t="s">
        <v>148</v>
      </c>
      <c r="AB199" s="48" t="s">
        <v>742</v>
      </c>
      <c r="AC199" s="48" t="s">
        <v>742</v>
      </c>
      <c r="AD199" s="48"/>
      <c r="AE199" s="48"/>
      <c r="AF199" s="48" t="s">
        <v>604</v>
      </c>
      <c r="AG199" s="48" t="s">
        <v>440</v>
      </c>
      <c r="AH199" s="48" t="s">
        <v>732</v>
      </c>
      <c r="AI199" s="48"/>
      <c r="AJ199" s="98">
        <v>40643</v>
      </c>
      <c r="AK199" s="80">
        <v>40724</v>
      </c>
      <c r="AL199" s="51">
        <f t="shared" si="111"/>
        <v>14.347945205479451</v>
      </c>
      <c r="AM199" s="52">
        <v>12</v>
      </c>
      <c r="AN199" s="48" t="s">
        <v>132</v>
      </c>
      <c r="AO199" s="30" t="s">
        <v>133</v>
      </c>
      <c r="AP199" s="30" t="s">
        <v>606</v>
      </c>
      <c r="AQ199" s="48">
        <v>4</v>
      </c>
      <c r="AR199" s="48">
        <v>2430</v>
      </c>
      <c r="AS199" s="48">
        <v>3200</v>
      </c>
      <c r="AT199" s="48">
        <v>2200</v>
      </c>
      <c r="AU199" s="53">
        <v>341546660</v>
      </c>
      <c r="AV199" s="54"/>
      <c r="AW199" s="54"/>
      <c r="AX199" s="54">
        <v>267446660</v>
      </c>
      <c r="AY199" s="54"/>
      <c r="AZ199" s="54"/>
      <c r="BA199" s="74">
        <v>1000</v>
      </c>
      <c r="BB199" s="74">
        <v>8557708</v>
      </c>
      <c r="BC199" s="52">
        <v>144</v>
      </c>
      <c r="BD199" s="52">
        <v>174</v>
      </c>
      <c r="BE199" s="52">
        <v>0</v>
      </c>
      <c r="BF199" s="30"/>
      <c r="BG199" s="30" t="s">
        <v>681</v>
      </c>
      <c r="BH199" s="30" t="s">
        <v>569</v>
      </c>
      <c r="BI199" s="30" t="str">
        <f t="shared" ref="BI199:BI262" si="135">BH199</f>
        <v>Bump</v>
      </c>
      <c r="BJ199" s="30" t="s">
        <v>250</v>
      </c>
      <c r="BK199" s="56">
        <f t="shared" ref="BK199:BK249" si="136">IF(OR(BA199=1000, BA199=0), AU199*$BQ$1, BA199*(1+$BL$2))</f>
        <v>6830933.2000000002</v>
      </c>
      <c r="BL199" s="57">
        <f t="shared" si="101"/>
        <v>213466.66250000001</v>
      </c>
      <c r="BM199" s="57">
        <f t="shared" si="102"/>
        <v>71155.554166666669</v>
      </c>
      <c r="BU199" s="58">
        <f>BM199*3</f>
        <v>213466.66250000001</v>
      </c>
      <c r="BV199" s="58">
        <f t="shared" si="126"/>
        <v>213466.66250000001</v>
      </c>
      <c r="BW199" s="58">
        <f t="shared" si="112"/>
        <v>426933.32500000001</v>
      </c>
      <c r="BX199" s="58">
        <f t="shared" si="119"/>
        <v>213466.66250000001</v>
      </c>
      <c r="BY199" s="58">
        <f t="shared" si="120"/>
        <v>213466.66250000001</v>
      </c>
      <c r="BZ199" s="58">
        <f>BM199*3</f>
        <v>213466.66250000001</v>
      </c>
      <c r="CA199" s="58">
        <f t="shared" si="120"/>
        <v>213466.66250000001</v>
      </c>
      <c r="CB199" s="58">
        <f t="shared" si="130"/>
        <v>853866.65</v>
      </c>
      <c r="CC199" s="58">
        <f t="shared" si="131"/>
        <v>213466.66250000001</v>
      </c>
      <c r="CD199" s="58">
        <f t="shared" si="125"/>
        <v>213466.66250000001</v>
      </c>
      <c r="CE199" s="58">
        <f t="shared" si="125"/>
        <v>213466.66250000001</v>
      </c>
      <c r="CF199" s="58">
        <f t="shared" si="125"/>
        <v>213466.66250000001</v>
      </c>
      <c r="CG199" s="58">
        <f t="shared" si="132"/>
        <v>853866.65</v>
      </c>
      <c r="CH199" s="58">
        <f t="shared" si="133"/>
        <v>213466.66250000001</v>
      </c>
      <c r="CI199" s="58">
        <f>CH199</f>
        <v>213466.66250000001</v>
      </c>
      <c r="CJ199" s="58">
        <f>CI199</f>
        <v>213466.66250000001</v>
      </c>
      <c r="CK199" s="58">
        <f>CJ199</f>
        <v>213466.66250000001</v>
      </c>
      <c r="CL199" s="58">
        <f t="shared" si="134"/>
        <v>853866.65</v>
      </c>
      <c r="CP199" s="2">
        <f t="shared" ref="CP199:CP262" si="137">CO199+BK199</f>
        <v>6830933.2000000002</v>
      </c>
    </row>
    <row r="200" spans="1:94" ht="16.5" hidden="1" x14ac:dyDescent="0.3">
      <c r="A200" s="2">
        <v>195</v>
      </c>
      <c r="B200" s="47" t="s">
        <v>21</v>
      </c>
      <c r="C200" s="47"/>
      <c r="D200" s="30" t="s">
        <v>553</v>
      </c>
      <c r="E200" s="30" t="s">
        <v>115</v>
      </c>
      <c r="F200" s="30" t="s">
        <v>579</v>
      </c>
      <c r="G200" s="48" t="s">
        <v>555</v>
      </c>
      <c r="H200" s="48" t="s">
        <v>118</v>
      </c>
      <c r="I200" s="30" t="s">
        <v>119</v>
      </c>
      <c r="J200" s="30" t="s">
        <v>556</v>
      </c>
      <c r="K200" s="30" t="s">
        <v>557</v>
      </c>
      <c r="L200" s="48" t="s">
        <v>743</v>
      </c>
      <c r="M200" s="79">
        <v>2100137</v>
      </c>
      <c r="N200" s="48" t="s">
        <v>582</v>
      </c>
      <c r="O200" s="48" t="s">
        <v>744</v>
      </c>
      <c r="P200" s="48" t="s">
        <v>745</v>
      </c>
      <c r="Q200" s="48" t="s">
        <v>746</v>
      </c>
      <c r="R200" s="48"/>
      <c r="S200" s="48" t="s">
        <v>747</v>
      </c>
      <c r="T200" s="102" t="s">
        <v>748</v>
      </c>
      <c r="U200" s="48" t="s">
        <v>588</v>
      </c>
      <c r="V200" s="48" t="s">
        <v>589</v>
      </c>
      <c r="W200" s="48" t="s">
        <v>749</v>
      </c>
      <c r="X200" s="48" t="s">
        <v>576</v>
      </c>
      <c r="Y200" s="99" t="s">
        <v>576</v>
      </c>
      <c r="Z200" s="99" t="s">
        <v>576</v>
      </c>
      <c r="AA200" s="48" t="s">
        <v>148</v>
      </c>
      <c r="AB200" s="48" t="s">
        <v>750</v>
      </c>
      <c r="AC200" s="48" t="s">
        <v>750</v>
      </c>
      <c r="AD200" s="48"/>
      <c r="AE200" s="48"/>
      <c r="AF200" s="48" t="s">
        <v>604</v>
      </c>
      <c r="AG200" s="48" t="s">
        <v>440</v>
      </c>
      <c r="AH200" s="48" t="s">
        <v>732</v>
      </c>
      <c r="AI200" s="48"/>
      <c r="AJ200" s="98">
        <v>40641</v>
      </c>
      <c r="AK200" s="80">
        <v>40755</v>
      </c>
      <c r="AL200" s="51">
        <f t="shared" si="111"/>
        <v>14.263013698630138</v>
      </c>
      <c r="AM200" s="52">
        <v>12</v>
      </c>
      <c r="AN200" s="48" t="s">
        <v>132</v>
      </c>
      <c r="AO200" s="30" t="s">
        <v>133</v>
      </c>
      <c r="AP200" s="30" t="s">
        <v>134</v>
      </c>
      <c r="AQ200" s="48">
        <v>103.75999999999999</v>
      </c>
      <c r="AR200" s="48">
        <v>4643</v>
      </c>
      <c r="AS200" s="48">
        <v>2570</v>
      </c>
      <c r="AT200" s="48">
        <v>1970</v>
      </c>
      <c r="AU200" s="53">
        <v>405300000</v>
      </c>
      <c r="AV200" s="54"/>
      <c r="AW200" s="54"/>
      <c r="AX200" s="54">
        <v>382000000</v>
      </c>
      <c r="AY200" s="54"/>
      <c r="AZ200" s="54"/>
      <c r="BA200" s="54">
        <v>1000</v>
      </c>
      <c r="BB200" s="55">
        <v>2961471</v>
      </c>
      <c r="BC200" s="52">
        <v>144</v>
      </c>
      <c r="BD200" s="52">
        <v>173</v>
      </c>
      <c r="BE200" s="52">
        <v>0</v>
      </c>
      <c r="BF200" s="30"/>
      <c r="BG200" s="30" t="s">
        <v>751</v>
      </c>
      <c r="BH200" s="30" t="s">
        <v>569</v>
      </c>
      <c r="BI200" s="30" t="str">
        <f t="shared" si="135"/>
        <v>Bump</v>
      </c>
      <c r="BJ200" s="47" t="s">
        <v>137</v>
      </c>
      <c r="BK200" s="67">
        <f t="shared" si="136"/>
        <v>8106000</v>
      </c>
      <c r="BL200" s="68">
        <f t="shared" si="101"/>
        <v>772734.58697785949</v>
      </c>
      <c r="BM200" s="68">
        <f t="shared" si="102"/>
        <v>257578.19565928649</v>
      </c>
      <c r="BP200" s="69">
        <f>BM200*3</f>
        <v>772734.58697785949</v>
      </c>
      <c r="BQ200" s="69">
        <f>BP200</f>
        <v>772734.58697785949</v>
      </c>
      <c r="BR200" s="69">
        <f>SUM(BN200:BQ200)</f>
        <v>1545469.173955719</v>
      </c>
      <c r="BS200" s="69">
        <f>BQ200</f>
        <v>772734.58697785949</v>
      </c>
      <c r="BT200" s="69">
        <f t="shared" si="126"/>
        <v>772734.58697785949</v>
      </c>
      <c r="BU200" s="100">
        <f t="shared" si="126"/>
        <v>772734.58697785949</v>
      </c>
      <c r="BV200" s="100">
        <f t="shared" si="126"/>
        <v>772734.58697785949</v>
      </c>
      <c r="BW200" s="100">
        <f t="shared" si="112"/>
        <v>3090938.347911438</v>
      </c>
      <c r="BX200" s="101">
        <f t="shared" si="119"/>
        <v>772734.58697785949</v>
      </c>
      <c r="BY200" s="101">
        <f t="shared" si="120"/>
        <v>772734.58697785949</v>
      </c>
      <c r="BZ200" s="101">
        <f>BY200</f>
        <v>772734.58697785949</v>
      </c>
      <c r="CA200" s="101">
        <f t="shared" si="120"/>
        <v>772734.58697785949</v>
      </c>
      <c r="CB200" s="100">
        <f t="shared" si="130"/>
        <v>3090938.347911438</v>
      </c>
      <c r="CC200" s="101">
        <f t="shared" si="131"/>
        <v>772734.58697785949</v>
      </c>
      <c r="CD200" s="101">
        <f t="shared" si="125"/>
        <v>772734.58697785949</v>
      </c>
      <c r="CE200" s="101">
        <f t="shared" si="125"/>
        <v>772734.58697785949</v>
      </c>
      <c r="CF200" s="101">
        <f t="shared" si="125"/>
        <v>772734.58697785949</v>
      </c>
      <c r="CG200" s="100">
        <f t="shared" si="132"/>
        <v>3090938.347911438</v>
      </c>
      <c r="CH200" s="101">
        <f t="shared" si="133"/>
        <v>772734.58697785949</v>
      </c>
      <c r="CI200" s="101">
        <f t="shared" si="129"/>
        <v>772734.58697785949</v>
      </c>
      <c r="CJ200" s="101">
        <f t="shared" si="129"/>
        <v>772734.58697785949</v>
      </c>
      <c r="CK200" s="101">
        <f t="shared" si="129"/>
        <v>772734.58697785949</v>
      </c>
      <c r="CL200" s="100">
        <f t="shared" si="134"/>
        <v>3090938.347911438</v>
      </c>
      <c r="CM200" s="71"/>
      <c r="CN200" s="59">
        <f>BK200/$CN$3</f>
        <v>7.9150032301388126E-4</v>
      </c>
      <c r="CO200" s="64">
        <f>CN200*$CO$4</f>
        <v>16621506.783291506</v>
      </c>
      <c r="CP200" s="2">
        <f t="shared" si="137"/>
        <v>24727506.783291504</v>
      </c>
    </row>
    <row r="201" spans="1:94" hidden="1" x14ac:dyDescent="0.3">
      <c r="A201" s="29">
        <v>196</v>
      </c>
      <c r="B201" s="30" t="s">
        <v>21</v>
      </c>
      <c r="C201" s="30"/>
      <c r="D201" s="30" t="s">
        <v>553</v>
      </c>
      <c r="E201" s="30" t="s">
        <v>115</v>
      </c>
      <c r="F201" s="30" t="s">
        <v>579</v>
      </c>
      <c r="G201" s="48" t="s">
        <v>555</v>
      </c>
      <c r="H201" s="48" t="s">
        <v>118</v>
      </c>
      <c r="I201" s="30" t="s">
        <v>119</v>
      </c>
      <c r="J201" s="30" t="s">
        <v>556</v>
      </c>
      <c r="K201" s="30" t="s">
        <v>557</v>
      </c>
      <c r="L201" s="48" t="s">
        <v>595</v>
      </c>
      <c r="M201" s="79">
        <v>2100143</v>
      </c>
      <c r="N201" s="48" t="s">
        <v>582</v>
      </c>
      <c r="O201" s="48" t="s">
        <v>752</v>
      </c>
      <c r="P201" s="48" t="s">
        <v>621</v>
      </c>
      <c r="Q201" s="48" t="s">
        <v>597</v>
      </c>
      <c r="R201" s="48"/>
      <c r="S201" s="48"/>
      <c r="T201" s="102" t="s">
        <v>753</v>
      </c>
      <c r="U201" s="48" t="s">
        <v>588</v>
      </c>
      <c r="V201" s="48" t="s">
        <v>600</v>
      </c>
      <c r="W201" s="48" t="s">
        <v>721</v>
      </c>
      <c r="X201" s="48"/>
      <c r="Y201" s="48" t="s">
        <v>457</v>
      </c>
      <c r="Z201" s="48" t="s">
        <v>457</v>
      </c>
      <c r="AA201" s="48" t="s">
        <v>148</v>
      </c>
      <c r="AB201" s="48" t="s">
        <v>603</v>
      </c>
      <c r="AC201" s="48" t="s">
        <v>603</v>
      </c>
      <c r="AD201" s="48" t="s">
        <v>566</v>
      </c>
      <c r="AE201" s="48"/>
      <c r="AF201" s="48" t="s">
        <v>604</v>
      </c>
      <c r="AG201" s="48" t="s">
        <v>440</v>
      </c>
      <c r="AH201" s="48" t="s">
        <v>605</v>
      </c>
      <c r="AI201" s="48"/>
      <c r="AJ201" s="98">
        <v>40751</v>
      </c>
      <c r="AK201" s="80">
        <v>40908</v>
      </c>
      <c r="AL201" s="51">
        <f t="shared" si="111"/>
        <v>13.843835616438357</v>
      </c>
      <c r="AM201" s="52">
        <v>12</v>
      </c>
      <c r="AN201" s="48" t="s">
        <v>132</v>
      </c>
      <c r="AO201" s="30" t="s">
        <v>133</v>
      </c>
      <c r="AP201" s="30" t="s">
        <v>134</v>
      </c>
      <c r="AQ201" s="48">
        <v>21.6</v>
      </c>
      <c r="AR201" s="48">
        <v>1500</v>
      </c>
      <c r="AS201" s="48">
        <v>3900</v>
      </c>
      <c r="AT201" s="48">
        <v>2328</v>
      </c>
      <c r="AU201" s="53">
        <v>629430959</v>
      </c>
      <c r="AV201" s="54"/>
      <c r="AW201" s="54"/>
      <c r="AX201" s="54">
        <v>629430959</v>
      </c>
      <c r="AY201" s="54"/>
      <c r="AZ201" s="54"/>
      <c r="BA201" s="74">
        <v>1000</v>
      </c>
      <c r="BB201" s="74">
        <v>1000</v>
      </c>
      <c r="BC201" s="52">
        <v>144</v>
      </c>
      <c r="BD201" s="52">
        <v>168</v>
      </c>
      <c r="BE201" s="52">
        <v>0</v>
      </c>
      <c r="BF201" s="30"/>
      <c r="BG201" s="30" t="s">
        <v>607</v>
      </c>
      <c r="BH201" s="30" t="s">
        <v>569</v>
      </c>
      <c r="BI201" s="30" t="str">
        <f t="shared" si="135"/>
        <v>Bump</v>
      </c>
      <c r="BJ201" s="30" t="s">
        <v>250</v>
      </c>
      <c r="BK201" s="56">
        <f t="shared" si="136"/>
        <v>12588619.18</v>
      </c>
      <c r="BL201" s="57">
        <f t="shared" si="101"/>
        <v>393394.34937499999</v>
      </c>
      <c r="BM201" s="57">
        <f t="shared" si="102"/>
        <v>131131.44979166667</v>
      </c>
      <c r="BU201" s="58">
        <f>BM201*3</f>
        <v>393394.34937499999</v>
      </c>
      <c r="BV201" s="58">
        <f t="shared" si="126"/>
        <v>393394.34937499999</v>
      </c>
      <c r="BW201" s="58">
        <f t="shared" si="112"/>
        <v>786788.69874999998</v>
      </c>
      <c r="BX201" s="58">
        <f t="shared" si="119"/>
        <v>393394.34937499999</v>
      </c>
      <c r="BY201" s="58">
        <f t="shared" si="120"/>
        <v>393394.34937499999</v>
      </c>
      <c r="BZ201" s="58">
        <f>BM201*3</f>
        <v>393394.34937499999</v>
      </c>
      <c r="CA201" s="58">
        <f t="shared" si="120"/>
        <v>393394.34937499999</v>
      </c>
      <c r="CB201" s="58">
        <f t="shared" si="130"/>
        <v>1573577.3975</v>
      </c>
      <c r="CC201" s="58">
        <f t="shared" si="131"/>
        <v>393394.34937499999</v>
      </c>
      <c r="CD201" s="58">
        <f t="shared" si="125"/>
        <v>393394.34937499999</v>
      </c>
      <c r="CE201" s="58">
        <f t="shared" si="125"/>
        <v>393394.34937499999</v>
      </c>
      <c r="CF201" s="58">
        <f t="shared" si="125"/>
        <v>393394.34937499999</v>
      </c>
      <c r="CG201" s="58">
        <f t="shared" si="132"/>
        <v>1573577.3975</v>
      </c>
      <c r="CH201" s="58">
        <f t="shared" si="133"/>
        <v>393394.34937499999</v>
      </c>
      <c r="CI201" s="58">
        <f t="shared" si="129"/>
        <v>393394.34937499999</v>
      </c>
      <c r="CJ201" s="58">
        <f t="shared" si="129"/>
        <v>393394.34937499999</v>
      </c>
      <c r="CK201" s="58">
        <f t="shared" si="129"/>
        <v>393394.34937499999</v>
      </c>
      <c r="CL201" s="58">
        <f t="shared" si="134"/>
        <v>1573577.3975</v>
      </c>
      <c r="CP201" s="2">
        <f t="shared" si="137"/>
        <v>12588619.18</v>
      </c>
    </row>
    <row r="202" spans="1:94" hidden="1" x14ac:dyDescent="0.3">
      <c r="A202" s="29">
        <v>197</v>
      </c>
      <c r="B202" s="30" t="s">
        <v>21</v>
      </c>
      <c r="C202" s="30"/>
      <c r="D202" s="30" t="s">
        <v>553</v>
      </c>
      <c r="E202" s="30" t="s">
        <v>115</v>
      </c>
      <c r="F202" s="30" t="s">
        <v>579</v>
      </c>
      <c r="G202" s="48" t="s">
        <v>555</v>
      </c>
      <c r="H202" s="48" t="s">
        <v>118</v>
      </c>
      <c r="I202" s="30" t="s">
        <v>119</v>
      </c>
      <c r="J202" s="30" t="s">
        <v>556</v>
      </c>
      <c r="K202" s="30" t="s">
        <v>557</v>
      </c>
      <c r="L202" s="48" t="s">
        <v>595</v>
      </c>
      <c r="M202" s="79">
        <v>2100144</v>
      </c>
      <c r="N202" s="48" t="s">
        <v>582</v>
      </c>
      <c r="O202" s="48" t="s">
        <v>754</v>
      </c>
      <c r="P202" s="48" t="s">
        <v>621</v>
      </c>
      <c r="Q202" s="48" t="s">
        <v>597</v>
      </c>
      <c r="R202" s="48"/>
      <c r="S202" s="48"/>
      <c r="T202" s="102" t="s">
        <v>755</v>
      </c>
      <c r="U202" s="48" t="s">
        <v>588</v>
      </c>
      <c r="V202" s="48" t="s">
        <v>600</v>
      </c>
      <c r="W202" s="48" t="s">
        <v>721</v>
      </c>
      <c r="X202" s="48"/>
      <c r="Y202" s="48" t="s">
        <v>457</v>
      </c>
      <c r="Z202" s="48" t="s">
        <v>457</v>
      </c>
      <c r="AA202" s="48" t="s">
        <v>148</v>
      </c>
      <c r="AB202" s="48" t="s">
        <v>603</v>
      </c>
      <c r="AC202" s="48" t="s">
        <v>603</v>
      </c>
      <c r="AD202" s="48" t="s">
        <v>566</v>
      </c>
      <c r="AE202" s="48"/>
      <c r="AF202" s="48" t="s">
        <v>604</v>
      </c>
      <c r="AG202" s="48" t="s">
        <v>440</v>
      </c>
      <c r="AH202" s="48" t="s">
        <v>605</v>
      </c>
      <c r="AI202" s="48"/>
      <c r="AJ202" s="98">
        <v>41026</v>
      </c>
      <c r="AK202" s="80">
        <v>41060</v>
      </c>
      <c r="AL202" s="51">
        <f t="shared" si="111"/>
        <v>13.427397260273972</v>
      </c>
      <c r="AM202" s="52">
        <v>12</v>
      </c>
      <c r="AN202" s="48" t="s">
        <v>132</v>
      </c>
      <c r="AO202" s="30" t="s">
        <v>133</v>
      </c>
      <c r="AP202" s="30" t="s">
        <v>134</v>
      </c>
      <c r="AQ202" s="48">
        <v>21.6</v>
      </c>
      <c r="AR202" s="48">
        <v>1500</v>
      </c>
      <c r="AS202" s="48">
        <v>3900</v>
      </c>
      <c r="AT202" s="48">
        <v>2328</v>
      </c>
      <c r="AU202" s="53">
        <v>605573815</v>
      </c>
      <c r="AV202" s="54"/>
      <c r="AW202" s="54"/>
      <c r="AX202" s="54">
        <v>605573815</v>
      </c>
      <c r="AY202" s="54"/>
      <c r="AZ202" s="54"/>
      <c r="BA202" s="74">
        <v>1000</v>
      </c>
      <c r="BB202" s="74">
        <v>1000</v>
      </c>
      <c r="BC202" s="52">
        <v>144</v>
      </c>
      <c r="BD202" s="52">
        <v>163</v>
      </c>
      <c r="BE202" s="52">
        <v>0</v>
      </c>
      <c r="BF202" s="30"/>
      <c r="BG202" s="30" t="s">
        <v>607</v>
      </c>
      <c r="BH202" s="30" t="s">
        <v>569</v>
      </c>
      <c r="BI202" s="30" t="str">
        <f t="shared" si="135"/>
        <v>Bump</v>
      </c>
      <c r="BJ202" s="30" t="s">
        <v>250</v>
      </c>
      <c r="BK202" s="56">
        <f t="shared" si="136"/>
        <v>12111476.300000001</v>
      </c>
      <c r="BL202" s="57">
        <f t="shared" si="101"/>
        <v>378483.63437500002</v>
      </c>
      <c r="BM202" s="57">
        <f t="shared" si="102"/>
        <v>126161.21145833335</v>
      </c>
      <c r="BU202" s="58">
        <f>BM202*3</f>
        <v>378483.63437500002</v>
      </c>
      <c r="BV202" s="58">
        <f t="shared" si="126"/>
        <v>378483.63437500002</v>
      </c>
      <c r="BW202" s="58">
        <f t="shared" si="112"/>
        <v>756967.26875000005</v>
      </c>
      <c r="BX202" s="58">
        <f t="shared" si="119"/>
        <v>378483.63437500002</v>
      </c>
      <c r="BY202" s="58">
        <f t="shared" si="120"/>
        <v>378483.63437500002</v>
      </c>
      <c r="BZ202" s="58">
        <f>BM202*3</f>
        <v>378483.63437500002</v>
      </c>
      <c r="CA202" s="58">
        <f t="shared" si="120"/>
        <v>378483.63437500002</v>
      </c>
      <c r="CB202" s="58">
        <f t="shared" si="130"/>
        <v>1513934.5375000001</v>
      </c>
      <c r="CC202" s="58">
        <f t="shared" si="131"/>
        <v>378483.63437500002</v>
      </c>
      <c r="CD202" s="58">
        <f t="shared" si="125"/>
        <v>378483.63437500002</v>
      </c>
      <c r="CE202" s="58">
        <f t="shared" si="125"/>
        <v>378483.63437500002</v>
      </c>
      <c r="CF202" s="58">
        <f t="shared" si="125"/>
        <v>378483.63437500002</v>
      </c>
      <c r="CG202" s="58">
        <f t="shared" si="132"/>
        <v>1513934.5375000001</v>
      </c>
      <c r="CH202" s="58">
        <f t="shared" si="133"/>
        <v>378483.63437500002</v>
      </c>
      <c r="CI202" s="58">
        <f t="shared" si="129"/>
        <v>378483.63437500002</v>
      </c>
      <c r="CJ202" s="58">
        <f t="shared" si="129"/>
        <v>378483.63437500002</v>
      </c>
      <c r="CK202" s="58">
        <f t="shared" si="129"/>
        <v>378483.63437500002</v>
      </c>
      <c r="CL202" s="58">
        <f t="shared" si="134"/>
        <v>1513934.5375000001</v>
      </c>
      <c r="CP202" s="2">
        <f t="shared" si="137"/>
        <v>12111476.300000001</v>
      </c>
    </row>
    <row r="203" spans="1:94" hidden="1" x14ac:dyDescent="0.3">
      <c r="A203" s="29">
        <v>198</v>
      </c>
      <c r="B203" s="30" t="s">
        <v>21</v>
      </c>
      <c r="C203" s="30"/>
      <c r="D203" s="30" t="s">
        <v>553</v>
      </c>
      <c r="E203" s="30" t="s">
        <v>115</v>
      </c>
      <c r="F203" s="30" t="s">
        <v>579</v>
      </c>
      <c r="G203" s="48" t="s">
        <v>555</v>
      </c>
      <c r="H203" s="48" t="s">
        <v>118</v>
      </c>
      <c r="I203" s="30" t="s">
        <v>119</v>
      </c>
      <c r="J203" s="30" t="s">
        <v>556</v>
      </c>
      <c r="K203" s="30" t="s">
        <v>557</v>
      </c>
      <c r="L203" s="48" t="s">
        <v>743</v>
      </c>
      <c r="M203" s="79">
        <v>2100146</v>
      </c>
      <c r="N203" s="48" t="s">
        <v>582</v>
      </c>
      <c r="O203" s="48" t="s">
        <v>744</v>
      </c>
      <c r="P203" s="48" t="s">
        <v>745</v>
      </c>
      <c r="Q203" s="48" t="s">
        <v>746</v>
      </c>
      <c r="R203" s="48"/>
      <c r="S203" s="48" t="s">
        <v>756</v>
      </c>
      <c r="T203" s="102" t="s">
        <v>757</v>
      </c>
      <c r="U203" s="48" t="s">
        <v>588</v>
      </c>
      <c r="V203" s="48" t="s">
        <v>589</v>
      </c>
      <c r="W203" s="48" t="s">
        <v>749</v>
      </c>
      <c r="X203" s="48"/>
      <c r="Y203" s="48" t="s">
        <v>457</v>
      </c>
      <c r="Z203" s="48" t="s">
        <v>457</v>
      </c>
      <c r="AA203" s="48" t="s">
        <v>148</v>
      </c>
      <c r="AB203" s="48" t="s">
        <v>750</v>
      </c>
      <c r="AC203" s="48" t="s">
        <v>750</v>
      </c>
      <c r="AD203" s="48"/>
      <c r="AE203" s="48"/>
      <c r="AF203" s="48" t="s">
        <v>604</v>
      </c>
      <c r="AG203" s="48" t="s">
        <v>440</v>
      </c>
      <c r="AH203" s="48" t="s">
        <v>732</v>
      </c>
      <c r="AI203" s="48"/>
      <c r="AJ203" s="98">
        <v>41542</v>
      </c>
      <c r="AK203" s="80">
        <v>41608</v>
      </c>
      <c r="AL203" s="51">
        <f t="shared" si="111"/>
        <v>11.926027397260274</v>
      </c>
      <c r="AM203" s="52">
        <v>12</v>
      </c>
      <c r="AN203" s="48" t="s">
        <v>132</v>
      </c>
      <c r="AO203" s="30" t="s">
        <v>133</v>
      </c>
      <c r="AP203" s="30" t="s">
        <v>134</v>
      </c>
      <c r="AQ203" s="48">
        <v>103.75999999999999</v>
      </c>
      <c r="AR203" s="48">
        <v>3638</v>
      </c>
      <c r="AS203" s="48">
        <v>2570</v>
      </c>
      <c r="AT203" s="48">
        <v>1970</v>
      </c>
      <c r="AU203" s="53">
        <v>429846000</v>
      </c>
      <c r="AV203" s="54"/>
      <c r="AW203" s="54"/>
      <c r="AX203" s="54">
        <v>429846000</v>
      </c>
      <c r="AY203" s="54"/>
      <c r="AZ203" s="54"/>
      <c r="BA203" s="74">
        <v>1000</v>
      </c>
      <c r="BB203" s="74">
        <v>1000</v>
      </c>
      <c r="BC203" s="52">
        <v>144</v>
      </c>
      <c r="BD203" s="52">
        <v>145</v>
      </c>
      <c r="BE203" s="52">
        <v>0</v>
      </c>
      <c r="BF203" s="30"/>
      <c r="BG203" s="30" t="s">
        <v>751</v>
      </c>
      <c r="BH203" s="30" t="s">
        <v>569</v>
      </c>
      <c r="BI203" s="30" t="str">
        <f t="shared" si="135"/>
        <v>Bump</v>
      </c>
      <c r="BJ203" s="30" t="s">
        <v>250</v>
      </c>
      <c r="BK203" s="56">
        <f t="shared" si="136"/>
        <v>8596920</v>
      </c>
      <c r="BL203" s="57">
        <f t="shared" si="101"/>
        <v>268653.75</v>
      </c>
      <c r="BM203" s="57">
        <f t="shared" si="102"/>
        <v>89551.25</v>
      </c>
      <c r="BU203" s="58">
        <f>BM203*3</f>
        <v>268653.75</v>
      </c>
      <c r="BV203" s="58">
        <f t="shared" si="126"/>
        <v>268653.75</v>
      </c>
      <c r="BW203" s="58">
        <f t="shared" si="112"/>
        <v>537307.5</v>
      </c>
      <c r="BX203" s="58">
        <f t="shared" si="119"/>
        <v>268653.75</v>
      </c>
      <c r="BY203" s="58">
        <f t="shared" si="120"/>
        <v>268653.75</v>
      </c>
      <c r="BZ203" s="58">
        <f>BM203*3</f>
        <v>268653.75</v>
      </c>
      <c r="CA203" s="58">
        <f t="shared" si="120"/>
        <v>268653.75</v>
      </c>
      <c r="CB203" s="58">
        <f t="shared" si="130"/>
        <v>1074615</v>
      </c>
      <c r="CC203" s="58">
        <f t="shared" si="131"/>
        <v>268653.75</v>
      </c>
      <c r="CD203" s="58">
        <f t="shared" si="125"/>
        <v>268653.75</v>
      </c>
      <c r="CE203" s="58">
        <f t="shared" si="125"/>
        <v>268653.75</v>
      </c>
      <c r="CF203" s="58">
        <f t="shared" si="125"/>
        <v>268653.75</v>
      </c>
      <c r="CG203" s="58">
        <f t="shared" si="132"/>
        <v>1074615</v>
      </c>
      <c r="CH203" s="58">
        <f t="shared" si="133"/>
        <v>268653.75</v>
      </c>
      <c r="CI203" s="58">
        <f t="shared" si="129"/>
        <v>268653.75</v>
      </c>
      <c r="CJ203" s="58">
        <f t="shared" si="129"/>
        <v>268653.75</v>
      </c>
      <c r="CK203" s="58">
        <f t="shared" si="129"/>
        <v>268653.75</v>
      </c>
      <c r="CL203" s="58">
        <f t="shared" si="134"/>
        <v>1074615</v>
      </c>
      <c r="CP203" s="2">
        <f t="shared" si="137"/>
        <v>8596920</v>
      </c>
    </row>
    <row r="204" spans="1:94" ht="16.5" hidden="1" x14ac:dyDescent="0.3">
      <c r="A204" s="2">
        <v>199</v>
      </c>
      <c r="B204" s="47" t="s">
        <v>21</v>
      </c>
      <c r="C204" s="47"/>
      <c r="D204" s="30" t="s">
        <v>553</v>
      </c>
      <c r="E204" s="30" t="s">
        <v>115</v>
      </c>
      <c r="F204" s="30" t="s">
        <v>579</v>
      </c>
      <c r="G204" s="48" t="s">
        <v>555</v>
      </c>
      <c r="H204" s="48" t="s">
        <v>118</v>
      </c>
      <c r="I204" s="30" t="s">
        <v>119</v>
      </c>
      <c r="J204" s="30" t="s">
        <v>556</v>
      </c>
      <c r="K204" s="30" t="s">
        <v>557</v>
      </c>
      <c r="L204" s="48" t="s">
        <v>581</v>
      </c>
      <c r="M204" s="79">
        <v>2100151</v>
      </c>
      <c r="N204" s="48" t="s">
        <v>582</v>
      </c>
      <c r="O204" s="48" t="s">
        <v>758</v>
      </c>
      <c r="P204" s="48" t="s">
        <v>584</v>
      </c>
      <c r="Q204" s="48" t="s">
        <v>585</v>
      </c>
      <c r="R204" s="48"/>
      <c r="S204" s="30" t="s">
        <v>759</v>
      </c>
      <c r="T204" s="30" t="s">
        <v>760</v>
      </c>
      <c r="U204" s="48" t="s">
        <v>588</v>
      </c>
      <c r="V204" s="48" t="s">
        <v>589</v>
      </c>
      <c r="W204" s="48" t="s">
        <v>761</v>
      </c>
      <c r="X204" s="103" t="s">
        <v>602</v>
      </c>
      <c r="Y204" s="48" t="s">
        <v>128</v>
      </c>
      <c r="Z204" s="48" t="s">
        <v>128</v>
      </c>
      <c r="AA204" s="48" t="s">
        <v>148</v>
      </c>
      <c r="AB204" s="48" t="s">
        <v>591</v>
      </c>
      <c r="AC204" s="48" t="s">
        <v>591</v>
      </c>
      <c r="AD204" s="48" t="s">
        <v>592</v>
      </c>
      <c r="AE204" s="48"/>
      <c r="AF204" s="48" t="s">
        <v>593</v>
      </c>
      <c r="AG204" s="48" t="s">
        <v>440</v>
      </c>
      <c r="AH204" s="48"/>
      <c r="AI204" s="48"/>
      <c r="AJ204" s="98"/>
      <c r="AK204" s="80">
        <v>42117</v>
      </c>
      <c r="AL204" s="51">
        <f t="shared" si="111"/>
        <v>10.531506849315068</v>
      </c>
      <c r="AM204" s="52">
        <v>12</v>
      </c>
      <c r="AN204" s="48" t="s">
        <v>132</v>
      </c>
      <c r="AO204" s="30" t="s">
        <v>133</v>
      </c>
      <c r="AP204" s="30" t="s">
        <v>134</v>
      </c>
      <c r="AQ204" s="48"/>
      <c r="AR204" s="48"/>
      <c r="AS204" s="48"/>
      <c r="AT204" s="48"/>
      <c r="AU204" s="53">
        <v>15670000</v>
      </c>
      <c r="AV204" s="54"/>
      <c r="AW204" s="54"/>
      <c r="AX204" s="54">
        <v>15670000</v>
      </c>
      <c r="AY204" s="54"/>
      <c r="AZ204" s="54"/>
      <c r="BA204" s="54">
        <v>1854779</v>
      </c>
      <c r="BB204" s="55">
        <v>204741</v>
      </c>
      <c r="BC204" s="52">
        <v>144</v>
      </c>
      <c r="BD204" s="52">
        <v>128</v>
      </c>
      <c r="BE204" s="52">
        <v>15</v>
      </c>
      <c r="BF204" s="30"/>
      <c r="BG204" s="30" t="s">
        <v>626</v>
      </c>
      <c r="BH204" s="30" t="s">
        <v>569</v>
      </c>
      <c r="BI204" s="30" t="str">
        <f t="shared" si="135"/>
        <v>Bump</v>
      </c>
      <c r="BJ204" s="47" t="s">
        <v>137</v>
      </c>
      <c r="BK204" s="56">
        <f t="shared" si="136"/>
        <v>1947517.9500000002</v>
      </c>
      <c r="BL204" s="57">
        <f t="shared" si="101"/>
        <v>185654.3891839647</v>
      </c>
      <c r="BM204" s="57">
        <f t="shared" si="102"/>
        <v>61884.796394654899</v>
      </c>
      <c r="BU204" s="58">
        <f>BM204*3</f>
        <v>185654.3891839647</v>
      </c>
      <c r="BV204" s="58">
        <f t="shared" ref="BV204:BV218" si="138">BU204</f>
        <v>185654.3891839647</v>
      </c>
      <c r="BW204" s="58">
        <f t="shared" si="112"/>
        <v>371308.77836792939</v>
      </c>
      <c r="BX204" s="58">
        <f t="shared" si="119"/>
        <v>185654.3891839647</v>
      </c>
      <c r="BY204" s="58">
        <f t="shared" si="120"/>
        <v>185654.3891839647</v>
      </c>
      <c r="BZ204" s="58">
        <f>BM204*3</f>
        <v>185654.3891839647</v>
      </c>
      <c r="CA204" s="58">
        <f t="shared" si="120"/>
        <v>185654.3891839647</v>
      </c>
      <c r="CB204" s="58">
        <f t="shared" si="130"/>
        <v>742617.55673585879</v>
      </c>
      <c r="CC204" s="58">
        <f t="shared" si="131"/>
        <v>185654.3891839647</v>
      </c>
      <c r="CD204" s="58">
        <f t="shared" si="125"/>
        <v>185654.3891839647</v>
      </c>
      <c r="CE204" s="58">
        <f t="shared" si="125"/>
        <v>185654.3891839647</v>
      </c>
      <c r="CF204" s="58">
        <f t="shared" si="125"/>
        <v>185654.3891839647</v>
      </c>
      <c r="CG204" s="58">
        <f t="shared" si="132"/>
        <v>742617.55673585879</v>
      </c>
      <c r="CH204" s="58">
        <f t="shared" si="133"/>
        <v>185654.3891839647</v>
      </c>
      <c r="CI204" s="58">
        <f t="shared" si="129"/>
        <v>185654.3891839647</v>
      </c>
      <c r="CJ204" s="58">
        <f t="shared" si="129"/>
        <v>185654.3891839647</v>
      </c>
      <c r="CK204" s="58">
        <f t="shared" si="129"/>
        <v>185654.3891839647</v>
      </c>
      <c r="CL204" s="58">
        <f t="shared" si="134"/>
        <v>742617.55673585879</v>
      </c>
      <c r="CN204" s="59">
        <f>BK204/$CN$3</f>
        <v>1.9016297637556526E-4</v>
      </c>
      <c r="CO204" s="64">
        <f>CN204*$CO$4</f>
        <v>3993422.5038868706</v>
      </c>
      <c r="CP204" s="2">
        <f t="shared" si="137"/>
        <v>5940940.4538868703</v>
      </c>
    </row>
    <row r="205" spans="1:94" hidden="1" x14ac:dyDescent="0.3">
      <c r="A205" s="29">
        <v>200</v>
      </c>
      <c r="B205" s="30" t="s">
        <v>21</v>
      </c>
      <c r="C205" s="30"/>
      <c r="D205" s="30" t="s">
        <v>553</v>
      </c>
      <c r="E205" s="30" t="s">
        <v>115</v>
      </c>
      <c r="F205" s="30" t="s">
        <v>579</v>
      </c>
      <c r="G205" s="48" t="s">
        <v>555</v>
      </c>
      <c r="H205" s="48" t="s">
        <v>118</v>
      </c>
      <c r="I205" s="30" t="s">
        <v>119</v>
      </c>
      <c r="J205" s="30" t="s">
        <v>556</v>
      </c>
      <c r="K205" s="30" t="s">
        <v>557</v>
      </c>
      <c r="L205" s="48" t="s">
        <v>641</v>
      </c>
      <c r="M205" s="79">
        <v>2100160</v>
      </c>
      <c r="N205" s="48" t="s">
        <v>582</v>
      </c>
      <c r="O205" s="48" t="s">
        <v>662</v>
      </c>
      <c r="P205" s="48" t="s">
        <v>643</v>
      </c>
      <c r="Q205" s="48" t="s">
        <v>644</v>
      </c>
      <c r="R205" s="48"/>
      <c r="S205" s="48">
        <v>81116</v>
      </c>
      <c r="T205" s="30" t="s">
        <v>762</v>
      </c>
      <c r="U205" s="48" t="s">
        <v>588</v>
      </c>
      <c r="V205" s="48" t="s">
        <v>646</v>
      </c>
      <c r="W205" s="48" t="s">
        <v>647</v>
      </c>
      <c r="X205" s="48"/>
      <c r="Y205" s="48" t="s">
        <v>457</v>
      </c>
      <c r="Z205" s="48" t="s">
        <v>457</v>
      </c>
      <c r="AA205" s="48" t="s">
        <v>374</v>
      </c>
      <c r="AB205" s="48" t="s">
        <v>648</v>
      </c>
      <c r="AC205" s="48" t="s">
        <v>648</v>
      </c>
      <c r="AD205" s="48"/>
      <c r="AE205" s="48"/>
      <c r="AF205" s="48" t="s">
        <v>131</v>
      </c>
      <c r="AG205" s="48" t="s">
        <v>649</v>
      </c>
      <c r="AH205" s="48"/>
      <c r="AI205" s="48"/>
      <c r="AJ205" s="98">
        <v>39063</v>
      </c>
      <c r="AK205" s="80">
        <v>43552</v>
      </c>
      <c r="AL205" s="51">
        <f t="shared" si="111"/>
        <v>6.6</v>
      </c>
      <c r="AM205" s="52">
        <v>12</v>
      </c>
      <c r="AN205" s="48" t="s">
        <v>763</v>
      </c>
      <c r="AO205" s="30" t="s">
        <v>133</v>
      </c>
      <c r="AP205" s="30" t="s">
        <v>134</v>
      </c>
      <c r="AQ205" s="48">
        <v>5</v>
      </c>
      <c r="AR205" s="48">
        <v>2200</v>
      </c>
      <c r="AS205" s="48">
        <v>1400</v>
      </c>
      <c r="AT205" s="48">
        <v>2120</v>
      </c>
      <c r="AU205" s="53">
        <v>26330000</v>
      </c>
      <c r="AV205" s="54"/>
      <c r="AW205" s="54"/>
      <c r="AX205" s="54">
        <v>26330000</v>
      </c>
      <c r="AY205" s="54"/>
      <c r="AZ205" s="54"/>
      <c r="BA205" s="74">
        <v>11531754</v>
      </c>
      <c r="BB205" s="74">
        <v>1662451</v>
      </c>
      <c r="BC205" s="52">
        <v>144</v>
      </c>
      <c r="BD205" s="52">
        <v>81</v>
      </c>
      <c r="BE205" s="52">
        <v>62</v>
      </c>
      <c r="BF205" s="30"/>
      <c r="BG205" s="30" t="s">
        <v>650</v>
      </c>
      <c r="BH205" s="30" t="s">
        <v>569</v>
      </c>
      <c r="BI205" s="30" t="str">
        <f t="shared" si="135"/>
        <v>Bump</v>
      </c>
      <c r="BJ205" s="30" t="s">
        <v>250</v>
      </c>
      <c r="BK205" s="56">
        <f t="shared" si="136"/>
        <v>12108341.700000001</v>
      </c>
      <c r="BL205" s="57">
        <f t="shared" si="101"/>
        <v>378385.67812500003</v>
      </c>
      <c r="BM205" s="57">
        <f t="shared" si="102"/>
        <v>126128.55937500001</v>
      </c>
      <c r="BU205" s="58">
        <f>BM205*3</f>
        <v>378385.67812500003</v>
      </c>
      <c r="BV205" s="58">
        <f t="shared" si="138"/>
        <v>378385.67812500003</v>
      </c>
      <c r="BW205" s="58">
        <f t="shared" si="112"/>
        <v>756771.35625000007</v>
      </c>
      <c r="BX205" s="58">
        <f t="shared" si="119"/>
        <v>378385.67812500003</v>
      </c>
      <c r="BY205" s="58">
        <f t="shared" si="120"/>
        <v>378385.67812500003</v>
      </c>
      <c r="BZ205" s="58">
        <f>BM205*3</f>
        <v>378385.67812500003</v>
      </c>
      <c r="CA205" s="58">
        <f t="shared" si="120"/>
        <v>378385.67812500003</v>
      </c>
      <c r="CB205" s="58">
        <f t="shared" si="130"/>
        <v>1513542.7125000001</v>
      </c>
      <c r="CC205" s="58">
        <f t="shared" si="131"/>
        <v>378385.67812500003</v>
      </c>
      <c r="CD205" s="58">
        <f t="shared" si="125"/>
        <v>378385.67812500003</v>
      </c>
      <c r="CE205" s="58">
        <f t="shared" si="125"/>
        <v>378385.67812500003</v>
      </c>
      <c r="CF205" s="58">
        <f t="shared" si="125"/>
        <v>378385.67812500003</v>
      </c>
      <c r="CG205" s="58">
        <f t="shared" si="132"/>
        <v>1513542.7125000001</v>
      </c>
      <c r="CH205" s="58">
        <f t="shared" si="133"/>
        <v>378385.67812500003</v>
      </c>
      <c r="CI205" s="58">
        <f>CH205</f>
        <v>378385.67812500003</v>
      </c>
      <c r="CJ205" s="58">
        <f>CI205</f>
        <v>378385.67812500003</v>
      </c>
      <c r="CK205" s="58">
        <f>CJ205</f>
        <v>378385.67812500003</v>
      </c>
      <c r="CL205" s="58">
        <f t="shared" si="134"/>
        <v>1513542.7125000001</v>
      </c>
      <c r="CP205" s="2">
        <f t="shared" si="137"/>
        <v>12108341.700000001</v>
      </c>
    </row>
    <row r="206" spans="1:94" ht="16.5" hidden="1" x14ac:dyDescent="0.3">
      <c r="A206" s="2">
        <v>201</v>
      </c>
      <c r="B206" s="47" t="s">
        <v>21</v>
      </c>
      <c r="C206" s="47"/>
      <c r="D206" s="30" t="s">
        <v>553</v>
      </c>
      <c r="E206" s="30" t="s">
        <v>115</v>
      </c>
      <c r="F206" s="30" t="s">
        <v>579</v>
      </c>
      <c r="G206" s="48" t="s">
        <v>555</v>
      </c>
      <c r="H206" s="48" t="s">
        <v>118</v>
      </c>
      <c r="I206" s="30" t="s">
        <v>119</v>
      </c>
      <c r="J206" s="30" t="s">
        <v>764</v>
      </c>
      <c r="K206" s="30" t="s">
        <v>765</v>
      </c>
      <c r="L206" s="30" t="s">
        <v>766</v>
      </c>
      <c r="M206" s="79">
        <v>2100774</v>
      </c>
      <c r="N206" s="48" t="s">
        <v>582</v>
      </c>
      <c r="O206" s="48" t="s">
        <v>767</v>
      </c>
      <c r="P206" s="48" t="s">
        <v>768</v>
      </c>
      <c r="Q206" s="48" t="s">
        <v>769</v>
      </c>
      <c r="R206" s="48"/>
      <c r="S206" s="48" t="s">
        <v>770</v>
      </c>
      <c r="T206" s="48" t="s">
        <v>771</v>
      </c>
      <c r="U206" s="48" t="s">
        <v>588</v>
      </c>
      <c r="V206" s="48" t="s">
        <v>600</v>
      </c>
      <c r="W206" s="48" t="s">
        <v>772</v>
      </c>
      <c r="X206" s="48" t="s">
        <v>127</v>
      </c>
      <c r="Y206" s="48" t="s">
        <v>457</v>
      </c>
      <c r="Z206" s="48" t="s">
        <v>457</v>
      </c>
      <c r="AA206" s="48" t="s">
        <v>148</v>
      </c>
      <c r="AB206" s="30" t="s">
        <v>773</v>
      </c>
      <c r="AC206" s="30" t="s">
        <v>773</v>
      </c>
      <c r="AD206" s="48"/>
      <c r="AE206" s="48"/>
      <c r="AF206" s="48" t="s">
        <v>604</v>
      </c>
      <c r="AG206" s="30" t="s">
        <v>774</v>
      </c>
      <c r="AH206" s="48" t="s">
        <v>775</v>
      </c>
      <c r="AI206" s="48"/>
      <c r="AJ206" s="98">
        <v>39627</v>
      </c>
      <c r="AK206" s="80">
        <v>39691</v>
      </c>
      <c r="AL206" s="51">
        <f t="shared" si="111"/>
        <v>17.17808219178082</v>
      </c>
      <c r="AM206" s="52">
        <v>12</v>
      </c>
      <c r="AN206" s="48" t="s">
        <v>220</v>
      </c>
      <c r="AO206" s="30" t="s">
        <v>133</v>
      </c>
      <c r="AP206" s="30" t="s">
        <v>606</v>
      </c>
      <c r="AQ206" s="48">
        <v>6.9</v>
      </c>
      <c r="AR206" s="48">
        <v>1180</v>
      </c>
      <c r="AS206" s="48">
        <v>1110</v>
      </c>
      <c r="AT206" s="48">
        <v>2180</v>
      </c>
      <c r="AU206" s="53">
        <v>177751626</v>
      </c>
      <c r="AV206" s="54"/>
      <c r="AW206" s="54"/>
      <c r="AX206" s="54">
        <v>177751626</v>
      </c>
      <c r="AY206" s="54"/>
      <c r="AZ206" s="54"/>
      <c r="BA206" s="54">
        <v>1000</v>
      </c>
      <c r="BB206" s="55">
        <v>1000</v>
      </c>
      <c r="BC206" s="52">
        <v>144</v>
      </c>
      <c r="BD206" s="52"/>
      <c r="BE206" s="52">
        <v>0</v>
      </c>
      <c r="BF206" s="30"/>
      <c r="BG206" s="30"/>
      <c r="BH206" s="30" t="s">
        <v>776</v>
      </c>
      <c r="BI206" s="30" t="str">
        <f t="shared" si="135"/>
        <v>COG</v>
      </c>
      <c r="BJ206" s="47" t="s">
        <v>137</v>
      </c>
      <c r="BK206" s="56">
        <f t="shared" si="136"/>
        <v>3555032.52</v>
      </c>
      <c r="BL206" s="57">
        <f t="shared" si="101"/>
        <v>338896.69208426587</v>
      </c>
      <c r="BM206" s="57">
        <f t="shared" si="102"/>
        <v>112965.56402808863</v>
      </c>
      <c r="BU206" s="58">
        <f t="shared" ref="BU206:BU214" si="139">BM206*3</f>
        <v>338896.69208426587</v>
      </c>
      <c r="BV206" s="58">
        <f t="shared" si="138"/>
        <v>338896.69208426587</v>
      </c>
      <c r="BW206" s="58">
        <f t="shared" ref="BW206:BW236" si="140">SUM(BS206:BV206)</f>
        <v>677793.38416853175</v>
      </c>
      <c r="BX206" s="58">
        <f t="shared" si="119"/>
        <v>338896.69208426587</v>
      </c>
      <c r="BY206" s="58">
        <f t="shared" si="120"/>
        <v>338896.69208426587</v>
      </c>
      <c r="BZ206" s="58">
        <f t="shared" ref="BZ206:BZ214" si="141">BM206*3</f>
        <v>338896.69208426587</v>
      </c>
      <c r="CA206" s="58">
        <f t="shared" si="120"/>
        <v>338896.69208426587</v>
      </c>
      <c r="CB206" s="58">
        <f t="shared" si="130"/>
        <v>1355586.7683370635</v>
      </c>
      <c r="CC206" s="58">
        <f t="shared" si="131"/>
        <v>338896.69208426587</v>
      </c>
      <c r="CD206" s="58">
        <f t="shared" ref="CD206:CF221" si="142">CC206</f>
        <v>338896.69208426587</v>
      </c>
      <c r="CE206" s="58">
        <f t="shared" si="142"/>
        <v>338896.69208426587</v>
      </c>
      <c r="CF206" s="58">
        <f t="shared" si="142"/>
        <v>338896.69208426587</v>
      </c>
      <c r="CG206" s="58">
        <f t="shared" si="132"/>
        <v>1355586.7683370635</v>
      </c>
      <c r="CH206" s="58">
        <f t="shared" si="133"/>
        <v>338896.69208426587</v>
      </c>
      <c r="CI206" s="58">
        <f t="shared" si="129"/>
        <v>338896.69208426587</v>
      </c>
      <c r="CJ206" s="58">
        <f t="shared" si="129"/>
        <v>338896.69208426587</v>
      </c>
      <c r="CK206" s="58">
        <f t="shared" si="129"/>
        <v>338896.69208426587</v>
      </c>
      <c r="CL206" s="58">
        <f t="shared" si="134"/>
        <v>1355586.7683370635</v>
      </c>
      <c r="CN206" s="59">
        <f t="shared" ref="CN206:CN240" si="143">BK206/$CN$3</f>
        <v>3.4712674412840517E-4</v>
      </c>
      <c r="CO206" s="64">
        <f t="shared" ref="CO206:CO240" si="144">CN206*$CO$4</f>
        <v>7289661.6266965084</v>
      </c>
      <c r="CP206" s="2">
        <f t="shared" si="137"/>
        <v>10844694.146696508</v>
      </c>
    </row>
    <row r="207" spans="1:94" ht="16.5" hidden="1" x14ac:dyDescent="0.3">
      <c r="A207" s="2">
        <v>202</v>
      </c>
      <c r="B207" s="47" t="s">
        <v>21</v>
      </c>
      <c r="C207" s="47"/>
      <c r="D207" s="30" t="s">
        <v>553</v>
      </c>
      <c r="E207" s="30" t="s">
        <v>115</v>
      </c>
      <c r="F207" s="30" t="s">
        <v>579</v>
      </c>
      <c r="G207" s="48" t="s">
        <v>555</v>
      </c>
      <c r="H207" s="48" t="s">
        <v>118</v>
      </c>
      <c r="I207" s="30" t="s">
        <v>119</v>
      </c>
      <c r="J207" s="30" t="s">
        <v>764</v>
      </c>
      <c r="K207" s="30" t="s">
        <v>765</v>
      </c>
      <c r="L207" s="48" t="s">
        <v>777</v>
      </c>
      <c r="M207" s="79">
        <v>2100775</v>
      </c>
      <c r="N207" s="48" t="s">
        <v>582</v>
      </c>
      <c r="O207" s="48" t="s">
        <v>778</v>
      </c>
      <c r="P207" s="48" t="s">
        <v>779</v>
      </c>
      <c r="Q207" s="48" t="s">
        <v>780</v>
      </c>
      <c r="R207" s="48"/>
      <c r="S207" s="48">
        <v>693</v>
      </c>
      <c r="T207" s="30" t="s">
        <v>781</v>
      </c>
      <c r="U207" s="48" t="s">
        <v>588</v>
      </c>
      <c r="V207" s="48" t="s">
        <v>600</v>
      </c>
      <c r="W207" s="48" t="s">
        <v>782</v>
      </c>
      <c r="X207" s="103" t="s">
        <v>602</v>
      </c>
      <c r="Y207" s="48" t="s">
        <v>576</v>
      </c>
      <c r="Z207" s="48" t="s">
        <v>576</v>
      </c>
      <c r="AA207" s="48" t="s">
        <v>129</v>
      </c>
      <c r="AB207" s="48" t="s">
        <v>783</v>
      </c>
      <c r="AC207" s="48" t="s">
        <v>783</v>
      </c>
      <c r="AD207" s="48"/>
      <c r="AE207" s="48"/>
      <c r="AF207" s="48" t="s">
        <v>131</v>
      </c>
      <c r="AG207" s="48" t="s">
        <v>784</v>
      </c>
      <c r="AH207" s="48"/>
      <c r="AI207" s="48"/>
      <c r="AJ207" s="98">
        <v>39632</v>
      </c>
      <c r="AK207" s="80">
        <v>39691</v>
      </c>
      <c r="AL207" s="51">
        <f t="shared" si="111"/>
        <v>17.17808219178082</v>
      </c>
      <c r="AM207" s="52">
        <v>12</v>
      </c>
      <c r="AN207" s="48" t="s">
        <v>220</v>
      </c>
      <c r="AO207" s="30" t="s">
        <v>133</v>
      </c>
      <c r="AP207" s="30" t="s">
        <v>606</v>
      </c>
      <c r="AQ207" s="48">
        <v>5</v>
      </c>
      <c r="AR207" s="48">
        <v>1500</v>
      </c>
      <c r="AS207" s="48">
        <v>1280</v>
      </c>
      <c r="AT207" s="48">
        <v>1650</v>
      </c>
      <c r="AU207" s="53">
        <v>146890614</v>
      </c>
      <c r="AV207" s="54"/>
      <c r="AW207" s="54"/>
      <c r="AX207" s="54">
        <v>141585739</v>
      </c>
      <c r="AY207" s="54"/>
      <c r="AZ207" s="54"/>
      <c r="BA207" s="54">
        <v>1000</v>
      </c>
      <c r="BB207" s="55">
        <v>1538605</v>
      </c>
      <c r="BC207" s="52">
        <v>144</v>
      </c>
      <c r="BD207" s="52"/>
      <c r="BE207" s="52">
        <v>0</v>
      </c>
      <c r="BF207" s="30"/>
      <c r="BG207" s="30"/>
      <c r="BH207" s="30" t="s">
        <v>776</v>
      </c>
      <c r="BI207" s="30" t="str">
        <f t="shared" si="135"/>
        <v>COG</v>
      </c>
      <c r="BJ207" s="47" t="s">
        <v>137</v>
      </c>
      <c r="BK207" s="56">
        <f t="shared" si="136"/>
        <v>2937812.2800000003</v>
      </c>
      <c r="BL207" s="57">
        <f t="shared" si="101"/>
        <v>280057.8779674666</v>
      </c>
      <c r="BM207" s="57">
        <f t="shared" si="102"/>
        <v>93352.625989155538</v>
      </c>
      <c r="BU207" s="58">
        <f t="shared" si="139"/>
        <v>280057.8779674666</v>
      </c>
      <c r="BV207" s="58">
        <f t="shared" si="138"/>
        <v>280057.8779674666</v>
      </c>
      <c r="BW207" s="58">
        <f t="shared" si="140"/>
        <v>560115.7559349332</v>
      </c>
      <c r="BX207" s="58">
        <f t="shared" si="119"/>
        <v>280057.8779674666</v>
      </c>
      <c r="BY207" s="58">
        <f t="shared" si="120"/>
        <v>280057.8779674666</v>
      </c>
      <c r="BZ207" s="58">
        <f t="shared" si="141"/>
        <v>280057.8779674666</v>
      </c>
      <c r="CA207" s="58">
        <f t="shared" si="120"/>
        <v>280057.8779674666</v>
      </c>
      <c r="CB207" s="58">
        <f t="shared" si="130"/>
        <v>1120231.5118698664</v>
      </c>
      <c r="CC207" s="58">
        <f t="shared" si="131"/>
        <v>280057.8779674666</v>
      </c>
      <c r="CD207" s="58">
        <f t="shared" si="142"/>
        <v>280057.8779674666</v>
      </c>
      <c r="CE207" s="58">
        <f t="shared" si="142"/>
        <v>280057.8779674666</v>
      </c>
      <c r="CF207" s="58">
        <f t="shared" si="142"/>
        <v>280057.8779674666</v>
      </c>
      <c r="CG207" s="58">
        <f t="shared" si="132"/>
        <v>1120231.5118698664</v>
      </c>
      <c r="CH207" s="58">
        <f t="shared" si="133"/>
        <v>280057.8779674666</v>
      </c>
      <c r="CI207" s="58">
        <f t="shared" si="129"/>
        <v>280057.8779674666</v>
      </c>
      <c r="CJ207" s="58">
        <f t="shared" si="129"/>
        <v>280057.8779674666</v>
      </c>
      <c r="CK207" s="58">
        <f t="shared" si="129"/>
        <v>280057.8779674666</v>
      </c>
      <c r="CL207" s="58">
        <f t="shared" si="134"/>
        <v>1120231.5118698664</v>
      </c>
      <c r="CN207" s="59">
        <f t="shared" si="143"/>
        <v>2.8685903880756815E-4</v>
      </c>
      <c r="CO207" s="64">
        <f t="shared" si="144"/>
        <v>6024039.8149589309</v>
      </c>
      <c r="CP207" s="2">
        <f t="shared" si="137"/>
        <v>8961852.0949589312</v>
      </c>
    </row>
    <row r="208" spans="1:94" ht="16.5" hidden="1" x14ac:dyDescent="0.3">
      <c r="A208" s="2">
        <v>203</v>
      </c>
      <c r="B208" s="47" t="s">
        <v>21</v>
      </c>
      <c r="C208" s="47"/>
      <c r="D208" s="30" t="s">
        <v>553</v>
      </c>
      <c r="E208" s="30" t="s">
        <v>115</v>
      </c>
      <c r="F208" s="30" t="s">
        <v>579</v>
      </c>
      <c r="G208" s="48" t="s">
        <v>555</v>
      </c>
      <c r="H208" s="48" t="s">
        <v>118</v>
      </c>
      <c r="I208" s="30" t="s">
        <v>119</v>
      </c>
      <c r="J208" s="30" t="s">
        <v>764</v>
      </c>
      <c r="K208" s="30" t="s">
        <v>765</v>
      </c>
      <c r="L208" s="30" t="s">
        <v>766</v>
      </c>
      <c r="M208" s="79">
        <v>2100784</v>
      </c>
      <c r="N208" s="48" t="s">
        <v>582</v>
      </c>
      <c r="O208" s="48" t="s">
        <v>785</v>
      </c>
      <c r="P208" s="48" t="s">
        <v>768</v>
      </c>
      <c r="Q208" s="48" t="s">
        <v>769</v>
      </c>
      <c r="R208" s="48"/>
      <c r="S208" s="48" t="s">
        <v>786</v>
      </c>
      <c r="T208" s="48" t="s">
        <v>787</v>
      </c>
      <c r="U208" s="48" t="s">
        <v>588</v>
      </c>
      <c r="V208" s="48" t="s">
        <v>600</v>
      </c>
      <c r="W208" s="48" t="s">
        <v>772</v>
      </c>
      <c r="X208" s="48" t="s">
        <v>127</v>
      </c>
      <c r="Y208" s="48" t="s">
        <v>457</v>
      </c>
      <c r="Z208" s="48" t="s">
        <v>457</v>
      </c>
      <c r="AA208" s="48" t="s">
        <v>148</v>
      </c>
      <c r="AB208" s="30" t="s">
        <v>773</v>
      </c>
      <c r="AC208" s="30" t="s">
        <v>773</v>
      </c>
      <c r="AD208" s="48"/>
      <c r="AE208" s="48"/>
      <c r="AF208" s="48" t="s">
        <v>604</v>
      </c>
      <c r="AG208" s="30" t="s">
        <v>774</v>
      </c>
      <c r="AH208" s="48" t="s">
        <v>775</v>
      </c>
      <c r="AI208" s="48"/>
      <c r="AJ208" s="98">
        <v>40402</v>
      </c>
      <c r="AK208" s="80">
        <v>40421</v>
      </c>
      <c r="AL208" s="51">
        <f t="shared" si="111"/>
        <v>15.178082191780822</v>
      </c>
      <c r="AM208" s="52">
        <v>12</v>
      </c>
      <c r="AN208" s="48" t="s">
        <v>220</v>
      </c>
      <c r="AO208" s="30" t="s">
        <v>133</v>
      </c>
      <c r="AP208" s="30" t="s">
        <v>606</v>
      </c>
      <c r="AQ208" s="48">
        <v>6.9</v>
      </c>
      <c r="AR208" s="48">
        <v>1180</v>
      </c>
      <c r="AS208" s="48">
        <v>1110</v>
      </c>
      <c r="AT208" s="48">
        <v>2180</v>
      </c>
      <c r="AU208" s="53">
        <v>250350229</v>
      </c>
      <c r="AV208" s="54"/>
      <c r="AW208" s="54"/>
      <c r="AX208" s="54">
        <v>250350229</v>
      </c>
      <c r="AY208" s="54"/>
      <c r="AZ208" s="54"/>
      <c r="BA208" s="54">
        <v>1000</v>
      </c>
      <c r="BB208" s="55">
        <v>1000</v>
      </c>
      <c r="BC208" s="52">
        <v>144</v>
      </c>
      <c r="BD208" s="52"/>
      <c r="BE208" s="52">
        <v>0</v>
      </c>
      <c r="BF208" s="30"/>
      <c r="BG208" s="30"/>
      <c r="BH208" s="30" t="s">
        <v>776</v>
      </c>
      <c r="BI208" s="30" t="str">
        <f t="shared" si="135"/>
        <v>COG</v>
      </c>
      <c r="BJ208" s="47" t="s">
        <v>137</v>
      </c>
      <c r="BK208" s="56">
        <f t="shared" si="136"/>
        <v>5007004.58</v>
      </c>
      <c r="BL208" s="57">
        <f t="shared" si="101"/>
        <v>477311.32693345071</v>
      </c>
      <c r="BM208" s="57">
        <f t="shared" si="102"/>
        <v>159103.77564448357</v>
      </c>
      <c r="BU208" s="58">
        <f t="shared" si="139"/>
        <v>477311.32693345071</v>
      </c>
      <c r="BV208" s="58">
        <f t="shared" si="138"/>
        <v>477311.32693345071</v>
      </c>
      <c r="BW208" s="58">
        <f t="shared" si="140"/>
        <v>954622.65386690141</v>
      </c>
      <c r="BX208" s="58">
        <f t="shared" si="119"/>
        <v>477311.32693345071</v>
      </c>
      <c r="BY208" s="58">
        <f t="shared" si="120"/>
        <v>477311.32693345071</v>
      </c>
      <c r="BZ208" s="58">
        <f t="shared" si="141"/>
        <v>477311.32693345071</v>
      </c>
      <c r="CA208" s="58">
        <f t="shared" si="120"/>
        <v>477311.32693345071</v>
      </c>
      <c r="CB208" s="58">
        <f t="shared" si="130"/>
        <v>1909245.3077338028</v>
      </c>
      <c r="CC208" s="58">
        <f t="shared" si="131"/>
        <v>477311.32693345071</v>
      </c>
      <c r="CD208" s="58">
        <f t="shared" si="142"/>
        <v>477311.32693345071</v>
      </c>
      <c r="CE208" s="58">
        <f t="shared" si="142"/>
        <v>477311.32693345071</v>
      </c>
      <c r="CF208" s="58">
        <f t="shared" si="142"/>
        <v>477311.32693345071</v>
      </c>
      <c r="CG208" s="58">
        <f t="shared" si="132"/>
        <v>1909245.3077338028</v>
      </c>
      <c r="CH208" s="58">
        <f t="shared" si="133"/>
        <v>477311.32693345071</v>
      </c>
      <c r="CI208" s="58">
        <f t="shared" si="129"/>
        <v>477311.32693345071</v>
      </c>
      <c r="CJ208" s="58">
        <f t="shared" si="129"/>
        <v>477311.32693345071</v>
      </c>
      <c r="CK208" s="58">
        <f t="shared" si="129"/>
        <v>477311.32693345071</v>
      </c>
      <c r="CL208" s="58">
        <f t="shared" si="134"/>
        <v>1909245.3077338028</v>
      </c>
      <c r="CN208" s="59">
        <f t="shared" si="143"/>
        <v>4.8890275627954392E-4</v>
      </c>
      <c r="CO208" s="64">
        <f t="shared" si="144"/>
        <v>10266957.881870423</v>
      </c>
      <c r="CP208" s="2">
        <f t="shared" si="137"/>
        <v>15273962.461870423</v>
      </c>
    </row>
    <row r="209" spans="1:94" ht="16.5" hidden="1" x14ac:dyDescent="0.3">
      <c r="A209" s="2">
        <v>204</v>
      </c>
      <c r="B209" s="47" t="s">
        <v>21</v>
      </c>
      <c r="C209" s="47"/>
      <c r="D209" s="30" t="s">
        <v>553</v>
      </c>
      <c r="E209" s="30" t="s">
        <v>115</v>
      </c>
      <c r="F209" s="30" t="s">
        <v>579</v>
      </c>
      <c r="G209" s="48" t="s">
        <v>555</v>
      </c>
      <c r="H209" s="48" t="s">
        <v>118</v>
      </c>
      <c r="I209" s="30" t="s">
        <v>119</v>
      </c>
      <c r="J209" s="30" t="s">
        <v>764</v>
      </c>
      <c r="K209" s="30" t="s">
        <v>765</v>
      </c>
      <c r="L209" s="30" t="s">
        <v>766</v>
      </c>
      <c r="M209" s="79">
        <v>2100785</v>
      </c>
      <c r="N209" s="48" t="s">
        <v>582</v>
      </c>
      <c r="O209" s="48" t="s">
        <v>788</v>
      </c>
      <c r="P209" s="48" t="s">
        <v>768</v>
      </c>
      <c r="Q209" s="48" t="s">
        <v>769</v>
      </c>
      <c r="R209" s="48"/>
      <c r="S209" s="48" t="s">
        <v>789</v>
      </c>
      <c r="T209" s="48" t="s">
        <v>790</v>
      </c>
      <c r="U209" s="48" t="s">
        <v>588</v>
      </c>
      <c r="V209" s="48" t="s">
        <v>600</v>
      </c>
      <c r="W209" s="48" t="s">
        <v>772</v>
      </c>
      <c r="X209" s="48" t="s">
        <v>127</v>
      </c>
      <c r="Y209" s="48" t="s">
        <v>457</v>
      </c>
      <c r="Z209" s="48" t="s">
        <v>457</v>
      </c>
      <c r="AA209" s="48" t="s">
        <v>148</v>
      </c>
      <c r="AB209" s="30" t="s">
        <v>773</v>
      </c>
      <c r="AC209" s="30" t="s">
        <v>773</v>
      </c>
      <c r="AD209" s="48"/>
      <c r="AE209" s="48"/>
      <c r="AF209" s="48" t="s">
        <v>604</v>
      </c>
      <c r="AG209" s="30" t="s">
        <v>774</v>
      </c>
      <c r="AH209" s="48" t="s">
        <v>775</v>
      </c>
      <c r="AI209" s="48"/>
      <c r="AJ209" s="98">
        <v>40402</v>
      </c>
      <c r="AK209" s="80">
        <v>40421</v>
      </c>
      <c r="AL209" s="51">
        <f t="shared" si="111"/>
        <v>15.178082191780822</v>
      </c>
      <c r="AM209" s="52">
        <v>12</v>
      </c>
      <c r="AN209" s="48" t="s">
        <v>220</v>
      </c>
      <c r="AO209" s="30" t="s">
        <v>133</v>
      </c>
      <c r="AP209" s="30" t="s">
        <v>606</v>
      </c>
      <c r="AQ209" s="48">
        <v>6.9</v>
      </c>
      <c r="AR209" s="48">
        <v>1180</v>
      </c>
      <c r="AS209" s="48">
        <v>1110</v>
      </c>
      <c r="AT209" s="48">
        <v>2180</v>
      </c>
      <c r="AU209" s="53">
        <v>250350228</v>
      </c>
      <c r="AV209" s="54"/>
      <c r="AW209" s="54"/>
      <c r="AX209" s="54">
        <v>250350228</v>
      </c>
      <c r="AY209" s="54"/>
      <c r="AZ209" s="54"/>
      <c r="BA209" s="54">
        <v>1000</v>
      </c>
      <c r="BB209" s="55">
        <v>1000</v>
      </c>
      <c r="BC209" s="52">
        <v>144</v>
      </c>
      <c r="BD209" s="52"/>
      <c r="BE209" s="52">
        <v>0</v>
      </c>
      <c r="BF209" s="30"/>
      <c r="BG209" s="30"/>
      <c r="BH209" s="30" t="s">
        <v>776</v>
      </c>
      <c r="BI209" s="30" t="str">
        <f t="shared" si="135"/>
        <v>COG</v>
      </c>
      <c r="BJ209" s="47" t="s">
        <v>137</v>
      </c>
      <c r="BK209" s="56">
        <f t="shared" si="136"/>
        <v>5007004.5600000005</v>
      </c>
      <c r="BL209" s="57">
        <f t="shared" si="101"/>
        <v>477311.32502687641</v>
      </c>
      <c r="BM209" s="57">
        <f t="shared" si="102"/>
        <v>159103.77500895879</v>
      </c>
      <c r="BU209" s="58">
        <f t="shared" si="139"/>
        <v>477311.32502687641</v>
      </c>
      <c r="BV209" s="58">
        <f t="shared" si="138"/>
        <v>477311.32502687641</v>
      </c>
      <c r="BW209" s="58">
        <f t="shared" si="140"/>
        <v>954622.65005375282</v>
      </c>
      <c r="BX209" s="58">
        <f t="shared" si="119"/>
        <v>477311.32502687641</v>
      </c>
      <c r="BY209" s="58">
        <f t="shared" si="120"/>
        <v>477311.32502687641</v>
      </c>
      <c r="BZ209" s="58">
        <f t="shared" si="141"/>
        <v>477311.32502687641</v>
      </c>
      <c r="CA209" s="58">
        <f t="shared" si="120"/>
        <v>477311.32502687641</v>
      </c>
      <c r="CB209" s="58">
        <f t="shared" si="130"/>
        <v>1909245.3001075056</v>
      </c>
      <c r="CC209" s="58">
        <f t="shared" si="131"/>
        <v>477311.32502687641</v>
      </c>
      <c r="CD209" s="58">
        <f t="shared" si="142"/>
        <v>477311.32502687641</v>
      </c>
      <c r="CE209" s="58">
        <f t="shared" si="142"/>
        <v>477311.32502687641</v>
      </c>
      <c r="CF209" s="58">
        <f t="shared" si="142"/>
        <v>477311.32502687641</v>
      </c>
      <c r="CG209" s="58">
        <f t="shared" si="132"/>
        <v>1909245.3001075056</v>
      </c>
      <c r="CH209" s="58">
        <f t="shared" si="133"/>
        <v>477311.32502687641</v>
      </c>
      <c r="CI209" s="58">
        <f t="shared" si="129"/>
        <v>477311.32502687641</v>
      </c>
      <c r="CJ209" s="58">
        <f t="shared" si="129"/>
        <v>477311.32502687641</v>
      </c>
      <c r="CK209" s="58">
        <f t="shared" si="129"/>
        <v>477311.32502687641</v>
      </c>
      <c r="CL209" s="58">
        <f t="shared" si="134"/>
        <v>1909245.3001075056</v>
      </c>
      <c r="CN209" s="59">
        <f t="shared" si="143"/>
        <v>4.8890275432666877E-4</v>
      </c>
      <c r="CO209" s="64">
        <f t="shared" si="144"/>
        <v>10266957.840860045</v>
      </c>
      <c r="CP209" s="2">
        <f t="shared" si="137"/>
        <v>15273962.400860045</v>
      </c>
    </row>
    <row r="210" spans="1:94" ht="16.5" hidden="1" x14ac:dyDescent="0.3">
      <c r="A210" s="2">
        <v>205</v>
      </c>
      <c r="B210" s="47" t="s">
        <v>21</v>
      </c>
      <c r="C210" s="47"/>
      <c r="D210" s="30" t="s">
        <v>553</v>
      </c>
      <c r="E210" s="30" t="s">
        <v>115</v>
      </c>
      <c r="F210" s="30" t="s">
        <v>579</v>
      </c>
      <c r="G210" s="48" t="s">
        <v>555</v>
      </c>
      <c r="H210" s="48" t="s">
        <v>118</v>
      </c>
      <c r="I210" s="30" t="s">
        <v>119</v>
      </c>
      <c r="J210" s="30" t="s">
        <v>764</v>
      </c>
      <c r="K210" s="30" t="s">
        <v>765</v>
      </c>
      <c r="L210" s="48" t="s">
        <v>777</v>
      </c>
      <c r="M210" s="79">
        <v>2100787</v>
      </c>
      <c r="N210" s="48" t="s">
        <v>582</v>
      </c>
      <c r="O210" s="48" t="s">
        <v>791</v>
      </c>
      <c r="P210" s="48" t="s">
        <v>779</v>
      </c>
      <c r="Q210" s="48" t="s">
        <v>780</v>
      </c>
      <c r="R210" s="48"/>
      <c r="S210" s="48">
        <v>707</v>
      </c>
      <c r="T210" s="30" t="s">
        <v>792</v>
      </c>
      <c r="U210" s="48" t="s">
        <v>588</v>
      </c>
      <c r="V210" s="48" t="s">
        <v>600</v>
      </c>
      <c r="W210" s="48" t="s">
        <v>793</v>
      </c>
      <c r="X210" s="103" t="s">
        <v>602</v>
      </c>
      <c r="Y210" s="48" t="s">
        <v>576</v>
      </c>
      <c r="Z210" s="48" t="s">
        <v>576</v>
      </c>
      <c r="AA210" s="48" t="s">
        <v>129</v>
      </c>
      <c r="AB210" s="48" t="s">
        <v>783</v>
      </c>
      <c r="AC210" s="48" t="s">
        <v>783</v>
      </c>
      <c r="AD210" s="48"/>
      <c r="AE210" s="48"/>
      <c r="AF210" s="48" t="s">
        <v>131</v>
      </c>
      <c r="AG210" s="48" t="s">
        <v>784</v>
      </c>
      <c r="AH210" s="48"/>
      <c r="AI210" s="48"/>
      <c r="AJ210" s="98">
        <v>40404</v>
      </c>
      <c r="AK210" s="80">
        <v>40421</v>
      </c>
      <c r="AL210" s="51">
        <f t="shared" si="111"/>
        <v>15.178082191780822</v>
      </c>
      <c r="AM210" s="52">
        <v>12</v>
      </c>
      <c r="AN210" s="48" t="s">
        <v>220</v>
      </c>
      <c r="AO210" s="30" t="s">
        <v>133</v>
      </c>
      <c r="AP210" s="30" t="s">
        <v>606</v>
      </c>
      <c r="AQ210" s="48">
        <v>5</v>
      </c>
      <c r="AR210" s="48">
        <v>1200</v>
      </c>
      <c r="AS210" s="48">
        <v>1100</v>
      </c>
      <c r="AT210" s="48">
        <v>1650</v>
      </c>
      <c r="AU210" s="53">
        <v>217313154</v>
      </c>
      <c r="AV210" s="54"/>
      <c r="AW210" s="54"/>
      <c r="AX210" s="54">
        <v>217313154</v>
      </c>
      <c r="AY210" s="54"/>
      <c r="AZ210" s="54"/>
      <c r="BA210" s="54">
        <v>1000</v>
      </c>
      <c r="BB210" s="55">
        <v>1000</v>
      </c>
      <c r="BC210" s="52">
        <v>144</v>
      </c>
      <c r="BD210" s="52"/>
      <c r="BE210" s="52">
        <v>0</v>
      </c>
      <c r="BF210" s="30"/>
      <c r="BG210" s="30"/>
      <c r="BH210" s="30" t="s">
        <v>776</v>
      </c>
      <c r="BI210" s="30" t="str">
        <f t="shared" si="135"/>
        <v>COG</v>
      </c>
      <c r="BJ210" s="47" t="s">
        <v>137</v>
      </c>
      <c r="BK210" s="56">
        <f t="shared" si="136"/>
        <v>4346263.08</v>
      </c>
      <c r="BL210" s="57">
        <f t="shared" si="101"/>
        <v>414323.68690117443</v>
      </c>
      <c r="BM210" s="57">
        <f t="shared" si="102"/>
        <v>138107.89563372481</v>
      </c>
      <c r="BU210" s="58">
        <f t="shared" si="139"/>
        <v>414323.68690117443</v>
      </c>
      <c r="BV210" s="58">
        <f t="shared" si="138"/>
        <v>414323.68690117443</v>
      </c>
      <c r="BW210" s="58">
        <f t="shared" si="140"/>
        <v>828647.37380234885</v>
      </c>
      <c r="BX210" s="58">
        <f t="shared" si="119"/>
        <v>414323.68690117443</v>
      </c>
      <c r="BY210" s="58">
        <f t="shared" si="120"/>
        <v>414323.68690117443</v>
      </c>
      <c r="BZ210" s="58">
        <f t="shared" si="141"/>
        <v>414323.68690117443</v>
      </c>
      <c r="CA210" s="58">
        <f t="shared" si="120"/>
        <v>414323.68690117443</v>
      </c>
      <c r="CB210" s="58">
        <f t="shared" si="130"/>
        <v>1657294.7476046977</v>
      </c>
      <c r="CC210" s="58">
        <f t="shared" si="131"/>
        <v>414323.68690117443</v>
      </c>
      <c r="CD210" s="58">
        <f t="shared" si="142"/>
        <v>414323.68690117443</v>
      </c>
      <c r="CE210" s="58">
        <f t="shared" si="142"/>
        <v>414323.68690117443</v>
      </c>
      <c r="CF210" s="58">
        <f t="shared" si="142"/>
        <v>414323.68690117443</v>
      </c>
      <c r="CG210" s="58">
        <f t="shared" si="132"/>
        <v>1657294.7476046977</v>
      </c>
      <c r="CH210" s="58">
        <f t="shared" si="133"/>
        <v>414323.68690117443</v>
      </c>
      <c r="CI210" s="58">
        <f t="shared" ref="CI210:CK271" si="145">CH210</f>
        <v>414323.68690117443</v>
      </c>
      <c r="CJ210" s="58">
        <f t="shared" si="145"/>
        <v>414323.68690117443</v>
      </c>
      <c r="CK210" s="58">
        <f t="shared" si="145"/>
        <v>414323.68690117443</v>
      </c>
      <c r="CL210" s="58">
        <f t="shared" si="134"/>
        <v>1657294.7476046977</v>
      </c>
      <c r="CN210" s="59">
        <f t="shared" si="143"/>
        <v>4.2438547146845629E-4</v>
      </c>
      <c r="CO210" s="64">
        <f t="shared" si="144"/>
        <v>8912094.9008375816</v>
      </c>
      <c r="CP210" s="2">
        <f t="shared" si="137"/>
        <v>13258357.980837582</v>
      </c>
    </row>
    <row r="211" spans="1:94" ht="16.5" hidden="1" x14ac:dyDescent="0.3">
      <c r="A211" s="2">
        <v>206</v>
      </c>
      <c r="B211" s="47" t="s">
        <v>21</v>
      </c>
      <c r="C211" s="47"/>
      <c r="D211" s="30" t="s">
        <v>553</v>
      </c>
      <c r="E211" s="30" t="s">
        <v>115</v>
      </c>
      <c r="F211" s="30" t="s">
        <v>579</v>
      </c>
      <c r="G211" s="48" t="s">
        <v>555</v>
      </c>
      <c r="H211" s="48" t="s">
        <v>118</v>
      </c>
      <c r="I211" s="30" t="s">
        <v>119</v>
      </c>
      <c r="J211" s="30" t="s">
        <v>764</v>
      </c>
      <c r="K211" s="30" t="s">
        <v>765</v>
      </c>
      <c r="L211" s="48" t="s">
        <v>794</v>
      </c>
      <c r="M211" s="79">
        <v>2100789</v>
      </c>
      <c r="N211" s="48" t="s">
        <v>582</v>
      </c>
      <c r="O211" s="48" t="s">
        <v>795</v>
      </c>
      <c r="P211" s="48" t="s">
        <v>796</v>
      </c>
      <c r="Q211" s="48" t="s">
        <v>797</v>
      </c>
      <c r="R211" s="48"/>
      <c r="S211" s="48" t="s">
        <v>798</v>
      </c>
      <c r="T211" s="30" t="s">
        <v>799</v>
      </c>
      <c r="U211" s="48" t="s">
        <v>588</v>
      </c>
      <c r="V211" s="48" t="s">
        <v>800</v>
      </c>
      <c r="W211" s="48" t="s">
        <v>801</v>
      </c>
      <c r="X211" s="103" t="s">
        <v>602</v>
      </c>
      <c r="Y211" s="48" t="s">
        <v>576</v>
      </c>
      <c r="Z211" s="48" t="s">
        <v>576</v>
      </c>
      <c r="AA211" s="48" t="s">
        <v>129</v>
      </c>
      <c r="AB211" s="48" t="s">
        <v>802</v>
      </c>
      <c r="AC211" s="48" t="s">
        <v>802</v>
      </c>
      <c r="AD211" s="48"/>
      <c r="AE211" s="48"/>
      <c r="AF211" s="48" t="s">
        <v>131</v>
      </c>
      <c r="AG211" s="48" t="s">
        <v>649</v>
      </c>
      <c r="AH211" s="48"/>
      <c r="AI211" s="48"/>
      <c r="AJ211" s="98">
        <v>40600</v>
      </c>
      <c r="AK211" s="80">
        <v>40574</v>
      </c>
      <c r="AL211" s="51">
        <f t="shared" si="111"/>
        <v>14.758904109589041</v>
      </c>
      <c r="AM211" s="52">
        <v>12</v>
      </c>
      <c r="AN211" s="48" t="s">
        <v>220</v>
      </c>
      <c r="AO211" s="30" t="s">
        <v>133</v>
      </c>
      <c r="AP211" s="30" t="s">
        <v>606</v>
      </c>
      <c r="AQ211" s="48">
        <v>5.5</v>
      </c>
      <c r="AR211" s="48">
        <v>1695</v>
      </c>
      <c r="AS211" s="48">
        <v>1300</v>
      </c>
      <c r="AT211" s="48">
        <v>2220</v>
      </c>
      <c r="AU211" s="53">
        <v>260651463</v>
      </c>
      <c r="AV211" s="54"/>
      <c r="AW211" s="54"/>
      <c r="AX211" s="54">
        <v>260651463</v>
      </c>
      <c r="AY211" s="54"/>
      <c r="AZ211" s="54"/>
      <c r="BA211" s="54">
        <v>1000</v>
      </c>
      <c r="BB211" s="55">
        <v>1000</v>
      </c>
      <c r="BC211" s="52">
        <v>144</v>
      </c>
      <c r="BD211" s="52"/>
      <c r="BE211" s="52">
        <v>0</v>
      </c>
      <c r="BF211" s="30"/>
      <c r="BG211" s="30"/>
      <c r="BH211" s="30" t="s">
        <v>776</v>
      </c>
      <c r="BI211" s="30" t="str">
        <f t="shared" si="135"/>
        <v>COG</v>
      </c>
      <c r="BJ211" s="47" t="s">
        <v>137</v>
      </c>
      <c r="BK211" s="56">
        <f t="shared" si="136"/>
        <v>5213029.26</v>
      </c>
      <c r="BL211" s="57">
        <f t="shared" si="101"/>
        <v>496951.39552548691</v>
      </c>
      <c r="BM211" s="57">
        <f t="shared" si="102"/>
        <v>165650.4651751623</v>
      </c>
      <c r="BU211" s="58">
        <f t="shared" si="139"/>
        <v>496951.39552548691</v>
      </c>
      <c r="BV211" s="58">
        <f t="shared" si="138"/>
        <v>496951.39552548691</v>
      </c>
      <c r="BW211" s="58">
        <f t="shared" si="140"/>
        <v>993902.79105097381</v>
      </c>
      <c r="BX211" s="58">
        <f t="shared" si="119"/>
        <v>496951.39552548691</v>
      </c>
      <c r="BY211" s="58">
        <f t="shared" si="120"/>
        <v>496951.39552548691</v>
      </c>
      <c r="BZ211" s="58">
        <f t="shared" si="141"/>
        <v>496951.39552548691</v>
      </c>
      <c r="CA211" s="58">
        <f t="shared" si="120"/>
        <v>496951.39552548691</v>
      </c>
      <c r="CB211" s="58">
        <f t="shared" si="130"/>
        <v>1987805.5821019476</v>
      </c>
      <c r="CC211" s="58">
        <f t="shared" si="131"/>
        <v>496951.39552548691</v>
      </c>
      <c r="CD211" s="58">
        <f t="shared" si="142"/>
        <v>496951.39552548691</v>
      </c>
      <c r="CE211" s="58">
        <f t="shared" si="142"/>
        <v>496951.39552548691</v>
      </c>
      <c r="CF211" s="58">
        <f t="shared" si="142"/>
        <v>496951.39552548691</v>
      </c>
      <c r="CG211" s="58">
        <f t="shared" si="132"/>
        <v>1987805.5821019476</v>
      </c>
      <c r="CH211" s="58">
        <f t="shared" si="133"/>
        <v>496951.39552548691</v>
      </c>
      <c r="CI211" s="58">
        <f t="shared" si="145"/>
        <v>496951.39552548691</v>
      </c>
      <c r="CJ211" s="58">
        <f t="shared" si="145"/>
        <v>496951.39552548691</v>
      </c>
      <c r="CK211" s="58">
        <f t="shared" si="145"/>
        <v>496951.39552548691</v>
      </c>
      <c r="CL211" s="58">
        <f t="shared" si="134"/>
        <v>1987805.5821019476</v>
      </c>
      <c r="CN211" s="59">
        <f t="shared" si="143"/>
        <v>5.0901978080074197E-4</v>
      </c>
      <c r="CO211" s="64">
        <f t="shared" si="144"/>
        <v>10689415.396815581</v>
      </c>
      <c r="CP211" s="2">
        <f t="shared" si="137"/>
        <v>15902444.656815581</v>
      </c>
    </row>
    <row r="212" spans="1:94" ht="16.5" hidden="1" x14ac:dyDescent="0.3">
      <c r="A212" s="2">
        <v>207</v>
      </c>
      <c r="B212" s="47" t="s">
        <v>21</v>
      </c>
      <c r="C212" s="47"/>
      <c r="D212" s="30" t="s">
        <v>553</v>
      </c>
      <c r="E212" s="30" t="s">
        <v>115</v>
      </c>
      <c r="F212" s="30" t="s">
        <v>579</v>
      </c>
      <c r="G212" s="48" t="s">
        <v>555</v>
      </c>
      <c r="H212" s="48" t="s">
        <v>118</v>
      </c>
      <c r="I212" s="30" t="s">
        <v>119</v>
      </c>
      <c r="J212" s="30" t="s">
        <v>764</v>
      </c>
      <c r="K212" s="30" t="s">
        <v>765</v>
      </c>
      <c r="L212" s="30" t="s">
        <v>766</v>
      </c>
      <c r="M212" s="79">
        <v>2100790</v>
      </c>
      <c r="N212" s="48" t="s">
        <v>582</v>
      </c>
      <c r="O212" s="48" t="s">
        <v>803</v>
      </c>
      <c r="P212" s="48" t="s">
        <v>768</v>
      </c>
      <c r="Q212" s="48" t="s">
        <v>769</v>
      </c>
      <c r="R212" s="48"/>
      <c r="S212" s="48" t="s">
        <v>804</v>
      </c>
      <c r="T212" s="48" t="s">
        <v>805</v>
      </c>
      <c r="U212" s="48" t="s">
        <v>588</v>
      </c>
      <c r="V212" s="48" t="s">
        <v>600</v>
      </c>
      <c r="W212" s="48" t="s">
        <v>772</v>
      </c>
      <c r="X212" s="48" t="s">
        <v>127</v>
      </c>
      <c r="Y212" s="48" t="s">
        <v>457</v>
      </c>
      <c r="Z212" s="48" t="s">
        <v>457</v>
      </c>
      <c r="AA212" s="48" t="s">
        <v>148</v>
      </c>
      <c r="AB212" s="30" t="s">
        <v>773</v>
      </c>
      <c r="AC212" s="30" t="s">
        <v>773</v>
      </c>
      <c r="AD212" s="48"/>
      <c r="AE212" s="48"/>
      <c r="AF212" s="48" t="s">
        <v>604</v>
      </c>
      <c r="AG212" s="30" t="s">
        <v>774</v>
      </c>
      <c r="AH212" s="48" t="s">
        <v>775</v>
      </c>
      <c r="AI212" s="48"/>
      <c r="AJ212" s="98">
        <v>40539</v>
      </c>
      <c r="AK212" s="80">
        <v>40574</v>
      </c>
      <c r="AL212" s="51">
        <f t="shared" si="111"/>
        <v>14.758904109589041</v>
      </c>
      <c r="AM212" s="52">
        <v>12</v>
      </c>
      <c r="AN212" s="48" t="s">
        <v>220</v>
      </c>
      <c r="AO212" s="30" t="s">
        <v>133</v>
      </c>
      <c r="AP212" s="30" t="s">
        <v>606</v>
      </c>
      <c r="AQ212" s="48">
        <v>6.9</v>
      </c>
      <c r="AR212" s="48">
        <v>1180</v>
      </c>
      <c r="AS212" s="48">
        <v>1110</v>
      </c>
      <c r="AT212" s="48">
        <v>2180</v>
      </c>
      <c r="AU212" s="53">
        <v>253752748</v>
      </c>
      <c r="AV212" s="54"/>
      <c r="AW212" s="54"/>
      <c r="AX212" s="54">
        <v>253752748</v>
      </c>
      <c r="AY212" s="54"/>
      <c r="AZ212" s="54"/>
      <c r="BA212" s="54">
        <v>1000</v>
      </c>
      <c r="BB212" s="55">
        <v>1000</v>
      </c>
      <c r="BC212" s="52">
        <v>144</v>
      </c>
      <c r="BD212" s="52"/>
      <c r="BE212" s="52">
        <v>0</v>
      </c>
      <c r="BF212" s="30"/>
      <c r="BG212" s="30"/>
      <c r="BH212" s="30" t="s">
        <v>776</v>
      </c>
      <c r="BI212" s="30" t="str">
        <f t="shared" si="135"/>
        <v>COG</v>
      </c>
      <c r="BJ212" s="47" t="s">
        <v>137</v>
      </c>
      <c r="BK212" s="56">
        <f t="shared" si="136"/>
        <v>5075054.96</v>
      </c>
      <c r="BL212" s="57">
        <f t="shared" si="101"/>
        <v>483798.48240877595</v>
      </c>
      <c r="BM212" s="57">
        <f t="shared" si="102"/>
        <v>161266.16080292533</v>
      </c>
      <c r="BU212" s="58">
        <f t="shared" si="139"/>
        <v>483798.48240877595</v>
      </c>
      <c r="BV212" s="58">
        <f t="shared" si="138"/>
        <v>483798.48240877595</v>
      </c>
      <c r="BW212" s="58">
        <f t="shared" si="140"/>
        <v>967596.9648175519</v>
      </c>
      <c r="BX212" s="58">
        <f t="shared" si="119"/>
        <v>483798.48240877595</v>
      </c>
      <c r="BY212" s="58">
        <f t="shared" si="120"/>
        <v>483798.48240877595</v>
      </c>
      <c r="BZ212" s="58">
        <f t="shared" si="141"/>
        <v>483798.48240877595</v>
      </c>
      <c r="CA212" s="58">
        <f t="shared" si="120"/>
        <v>483798.48240877595</v>
      </c>
      <c r="CB212" s="58">
        <f t="shared" si="130"/>
        <v>1935193.9296351038</v>
      </c>
      <c r="CC212" s="58">
        <f t="shared" si="131"/>
        <v>483798.48240877595</v>
      </c>
      <c r="CD212" s="58">
        <f t="shared" si="142"/>
        <v>483798.48240877595</v>
      </c>
      <c r="CE212" s="58">
        <f t="shared" si="142"/>
        <v>483798.48240877595</v>
      </c>
      <c r="CF212" s="58">
        <f t="shared" si="142"/>
        <v>483798.48240877595</v>
      </c>
      <c r="CG212" s="58">
        <f t="shared" si="132"/>
        <v>1935193.9296351038</v>
      </c>
      <c r="CH212" s="58">
        <f t="shared" si="133"/>
        <v>483798.48240877595</v>
      </c>
      <c r="CI212" s="58">
        <f t="shared" si="145"/>
        <v>483798.48240877595</v>
      </c>
      <c r="CJ212" s="58">
        <f t="shared" si="145"/>
        <v>483798.48240877595</v>
      </c>
      <c r="CK212" s="58">
        <f t="shared" si="145"/>
        <v>483798.48240877595</v>
      </c>
      <c r="CL212" s="58">
        <f t="shared" si="134"/>
        <v>1935193.9296351038</v>
      </c>
      <c r="CN212" s="59">
        <f t="shared" si="143"/>
        <v>4.9554745128956327E-4</v>
      </c>
      <c r="CO212" s="64">
        <f t="shared" si="144"/>
        <v>10406496.477080829</v>
      </c>
      <c r="CP212" s="2">
        <f t="shared" si="137"/>
        <v>15481551.43708083</v>
      </c>
    </row>
    <row r="213" spans="1:94" ht="16.5" hidden="1" x14ac:dyDescent="0.3">
      <c r="A213" s="2">
        <v>208</v>
      </c>
      <c r="B213" s="47" t="s">
        <v>21</v>
      </c>
      <c r="C213" s="47"/>
      <c r="D213" s="30" t="s">
        <v>553</v>
      </c>
      <c r="E213" s="30" t="s">
        <v>115</v>
      </c>
      <c r="F213" s="30" t="s">
        <v>579</v>
      </c>
      <c r="G213" s="48" t="s">
        <v>555</v>
      </c>
      <c r="H213" s="48" t="s">
        <v>118</v>
      </c>
      <c r="I213" s="30" t="s">
        <v>119</v>
      </c>
      <c r="J213" s="30" t="s">
        <v>764</v>
      </c>
      <c r="K213" s="30" t="s">
        <v>765</v>
      </c>
      <c r="L213" s="30" t="s">
        <v>766</v>
      </c>
      <c r="M213" s="79">
        <v>2100792</v>
      </c>
      <c r="N213" s="48" t="s">
        <v>582</v>
      </c>
      <c r="O213" s="48" t="s">
        <v>806</v>
      </c>
      <c r="P213" s="48" t="s">
        <v>768</v>
      </c>
      <c r="Q213" s="48" t="s">
        <v>769</v>
      </c>
      <c r="R213" s="48"/>
      <c r="S213" s="48" t="s">
        <v>807</v>
      </c>
      <c r="T213" s="48" t="s">
        <v>808</v>
      </c>
      <c r="U213" s="48" t="s">
        <v>588</v>
      </c>
      <c r="V213" s="48" t="s">
        <v>600</v>
      </c>
      <c r="W213" s="48" t="s">
        <v>772</v>
      </c>
      <c r="X213" s="48" t="s">
        <v>127</v>
      </c>
      <c r="Y213" s="48" t="s">
        <v>457</v>
      </c>
      <c r="Z213" s="48" t="s">
        <v>457</v>
      </c>
      <c r="AA213" s="48" t="s">
        <v>148</v>
      </c>
      <c r="AB213" s="30" t="s">
        <v>773</v>
      </c>
      <c r="AC213" s="30" t="s">
        <v>773</v>
      </c>
      <c r="AD213" s="48"/>
      <c r="AE213" s="48"/>
      <c r="AF213" s="48" t="s">
        <v>604</v>
      </c>
      <c r="AG213" s="30" t="s">
        <v>774</v>
      </c>
      <c r="AH213" s="48" t="s">
        <v>775</v>
      </c>
      <c r="AI213" s="48"/>
      <c r="AJ213" s="98">
        <v>40600</v>
      </c>
      <c r="AK213" s="80">
        <v>40633</v>
      </c>
      <c r="AL213" s="51">
        <f t="shared" si="111"/>
        <v>14.597260273972603</v>
      </c>
      <c r="AM213" s="52">
        <v>12</v>
      </c>
      <c r="AN213" s="48" t="s">
        <v>220</v>
      </c>
      <c r="AO213" s="30" t="s">
        <v>133</v>
      </c>
      <c r="AP213" s="30" t="s">
        <v>606</v>
      </c>
      <c r="AQ213" s="48">
        <v>6.9</v>
      </c>
      <c r="AR213" s="48">
        <v>1180</v>
      </c>
      <c r="AS213" s="48">
        <v>1110</v>
      </c>
      <c r="AT213" s="48">
        <v>2180</v>
      </c>
      <c r="AU213" s="53">
        <v>241473916</v>
      </c>
      <c r="AV213" s="54"/>
      <c r="AW213" s="54"/>
      <c r="AX213" s="54">
        <v>241473916</v>
      </c>
      <c r="AY213" s="54"/>
      <c r="AZ213" s="54"/>
      <c r="BA213" s="54">
        <v>1000</v>
      </c>
      <c r="BB213" s="55">
        <v>1000</v>
      </c>
      <c r="BC213" s="52">
        <v>144</v>
      </c>
      <c r="BD213" s="52"/>
      <c r="BE213" s="52">
        <v>0</v>
      </c>
      <c r="BF213" s="30"/>
      <c r="BG213" s="30"/>
      <c r="BH213" s="30" t="s">
        <v>776</v>
      </c>
      <c r="BI213" s="30" t="str">
        <f t="shared" si="135"/>
        <v>COG</v>
      </c>
      <c r="BJ213" s="47" t="s">
        <v>137</v>
      </c>
      <c r="BK213" s="56">
        <f t="shared" si="136"/>
        <v>4829478.32</v>
      </c>
      <c r="BL213" s="57">
        <f t="shared" si="101"/>
        <v>460387.97618106677</v>
      </c>
      <c r="BM213" s="57">
        <f t="shared" si="102"/>
        <v>153462.65872702227</v>
      </c>
      <c r="BU213" s="58">
        <f t="shared" si="139"/>
        <v>460387.97618106683</v>
      </c>
      <c r="BV213" s="58">
        <f t="shared" si="138"/>
        <v>460387.97618106683</v>
      </c>
      <c r="BW213" s="58">
        <f t="shared" si="140"/>
        <v>920775.95236213366</v>
      </c>
      <c r="BX213" s="58">
        <f t="shared" si="119"/>
        <v>460387.97618106683</v>
      </c>
      <c r="BY213" s="58">
        <f t="shared" si="120"/>
        <v>460387.97618106683</v>
      </c>
      <c r="BZ213" s="58">
        <f t="shared" si="141"/>
        <v>460387.97618106683</v>
      </c>
      <c r="CA213" s="58">
        <f t="shared" si="120"/>
        <v>460387.97618106683</v>
      </c>
      <c r="CB213" s="58">
        <f t="shared" si="130"/>
        <v>1841551.9047242673</v>
      </c>
      <c r="CC213" s="58">
        <f t="shared" si="131"/>
        <v>460387.97618106683</v>
      </c>
      <c r="CD213" s="58">
        <f t="shared" si="142"/>
        <v>460387.97618106683</v>
      </c>
      <c r="CE213" s="58">
        <f t="shared" si="142"/>
        <v>460387.97618106683</v>
      </c>
      <c r="CF213" s="58">
        <f t="shared" si="142"/>
        <v>460387.97618106683</v>
      </c>
      <c r="CG213" s="58">
        <f t="shared" si="132"/>
        <v>1841551.9047242673</v>
      </c>
      <c r="CH213" s="58">
        <f t="shared" si="133"/>
        <v>460387.97618106683</v>
      </c>
      <c r="CI213" s="58">
        <f t="shared" si="145"/>
        <v>460387.97618106683</v>
      </c>
      <c r="CJ213" s="58">
        <f t="shared" si="145"/>
        <v>460387.97618106683</v>
      </c>
      <c r="CK213" s="58">
        <f t="shared" si="145"/>
        <v>460387.97618106683</v>
      </c>
      <c r="CL213" s="58">
        <f t="shared" si="134"/>
        <v>1841551.9047242673</v>
      </c>
      <c r="CN213" s="59">
        <f t="shared" si="143"/>
        <v>4.7156842465686366E-4</v>
      </c>
      <c r="CO213" s="64">
        <f t="shared" si="144"/>
        <v>9902936.9177941363</v>
      </c>
      <c r="CP213" s="2">
        <f t="shared" si="137"/>
        <v>14732415.237794137</v>
      </c>
    </row>
    <row r="214" spans="1:94" ht="16.5" hidden="1" x14ac:dyDescent="0.3">
      <c r="A214" s="2">
        <v>209</v>
      </c>
      <c r="B214" s="47" t="s">
        <v>21</v>
      </c>
      <c r="C214" s="47"/>
      <c r="D214" s="30" t="s">
        <v>553</v>
      </c>
      <c r="E214" s="30" t="s">
        <v>115</v>
      </c>
      <c r="F214" s="30" t="s">
        <v>579</v>
      </c>
      <c r="G214" s="48" t="s">
        <v>555</v>
      </c>
      <c r="H214" s="48" t="s">
        <v>118</v>
      </c>
      <c r="I214" s="30" t="s">
        <v>119</v>
      </c>
      <c r="J214" s="30" t="s">
        <v>764</v>
      </c>
      <c r="K214" s="30" t="s">
        <v>765</v>
      </c>
      <c r="L214" s="30" t="s">
        <v>766</v>
      </c>
      <c r="M214" s="79">
        <v>2100793</v>
      </c>
      <c r="N214" s="48" t="s">
        <v>582</v>
      </c>
      <c r="O214" s="48" t="s">
        <v>809</v>
      </c>
      <c r="P214" s="48" t="s">
        <v>768</v>
      </c>
      <c r="Q214" s="48" t="s">
        <v>769</v>
      </c>
      <c r="R214" s="48"/>
      <c r="S214" s="48" t="s">
        <v>810</v>
      </c>
      <c r="T214" s="48" t="s">
        <v>811</v>
      </c>
      <c r="U214" s="48" t="s">
        <v>588</v>
      </c>
      <c r="V214" s="48" t="s">
        <v>600</v>
      </c>
      <c r="W214" s="48" t="s">
        <v>772</v>
      </c>
      <c r="X214" s="48" t="s">
        <v>127</v>
      </c>
      <c r="Y214" s="48" t="s">
        <v>457</v>
      </c>
      <c r="Z214" s="48" t="s">
        <v>457</v>
      </c>
      <c r="AA214" s="48" t="s">
        <v>148</v>
      </c>
      <c r="AB214" s="30" t="s">
        <v>773</v>
      </c>
      <c r="AC214" s="30" t="s">
        <v>773</v>
      </c>
      <c r="AD214" s="48"/>
      <c r="AE214" s="48"/>
      <c r="AF214" s="48" t="s">
        <v>604</v>
      </c>
      <c r="AG214" s="30" t="s">
        <v>774</v>
      </c>
      <c r="AH214" s="48" t="s">
        <v>775</v>
      </c>
      <c r="AI214" s="48"/>
      <c r="AJ214" s="98">
        <v>40600</v>
      </c>
      <c r="AK214" s="80">
        <v>40633</v>
      </c>
      <c r="AL214" s="51">
        <f t="shared" si="111"/>
        <v>14.597260273972603</v>
      </c>
      <c r="AM214" s="52">
        <v>12</v>
      </c>
      <c r="AN214" s="48" t="s">
        <v>220</v>
      </c>
      <c r="AO214" s="30" t="s">
        <v>133</v>
      </c>
      <c r="AP214" s="30" t="s">
        <v>606</v>
      </c>
      <c r="AQ214" s="48">
        <v>6.9</v>
      </c>
      <c r="AR214" s="48">
        <v>1180</v>
      </c>
      <c r="AS214" s="48">
        <v>1110</v>
      </c>
      <c r="AT214" s="48">
        <v>2180</v>
      </c>
      <c r="AU214" s="53">
        <v>241473916</v>
      </c>
      <c r="AV214" s="54"/>
      <c r="AW214" s="54"/>
      <c r="AX214" s="54">
        <v>241473916</v>
      </c>
      <c r="AY214" s="54"/>
      <c r="AZ214" s="54"/>
      <c r="BA214" s="54">
        <v>1000</v>
      </c>
      <c r="BB214" s="55">
        <v>1000</v>
      </c>
      <c r="BC214" s="52">
        <v>144</v>
      </c>
      <c r="BD214" s="52"/>
      <c r="BE214" s="52">
        <v>0</v>
      </c>
      <c r="BF214" s="30"/>
      <c r="BG214" s="30"/>
      <c r="BH214" s="30" t="s">
        <v>776</v>
      </c>
      <c r="BI214" s="30" t="str">
        <f t="shared" si="135"/>
        <v>COG</v>
      </c>
      <c r="BJ214" s="47" t="s">
        <v>137</v>
      </c>
      <c r="BK214" s="56">
        <f t="shared" si="136"/>
        <v>4829478.32</v>
      </c>
      <c r="BL214" s="57">
        <f t="shared" si="101"/>
        <v>460387.97618106677</v>
      </c>
      <c r="BM214" s="57">
        <f t="shared" si="102"/>
        <v>153462.65872702227</v>
      </c>
      <c r="BU214" s="58">
        <f t="shared" si="139"/>
        <v>460387.97618106683</v>
      </c>
      <c r="BV214" s="58">
        <f t="shared" si="138"/>
        <v>460387.97618106683</v>
      </c>
      <c r="BW214" s="58">
        <f t="shared" si="140"/>
        <v>920775.95236213366</v>
      </c>
      <c r="BX214" s="58">
        <f t="shared" si="119"/>
        <v>460387.97618106683</v>
      </c>
      <c r="BY214" s="58">
        <f t="shared" si="120"/>
        <v>460387.97618106683</v>
      </c>
      <c r="BZ214" s="58">
        <f t="shared" si="141"/>
        <v>460387.97618106683</v>
      </c>
      <c r="CA214" s="58">
        <f t="shared" si="120"/>
        <v>460387.97618106683</v>
      </c>
      <c r="CB214" s="58">
        <f t="shared" si="130"/>
        <v>1841551.9047242673</v>
      </c>
      <c r="CC214" s="58">
        <f t="shared" si="131"/>
        <v>460387.97618106683</v>
      </c>
      <c r="CD214" s="58">
        <f t="shared" si="142"/>
        <v>460387.97618106683</v>
      </c>
      <c r="CE214" s="58">
        <f t="shared" si="142"/>
        <v>460387.97618106683</v>
      </c>
      <c r="CF214" s="58">
        <f t="shared" si="142"/>
        <v>460387.97618106683</v>
      </c>
      <c r="CG214" s="58">
        <f t="shared" si="132"/>
        <v>1841551.9047242673</v>
      </c>
      <c r="CH214" s="58">
        <f t="shared" si="133"/>
        <v>460387.97618106683</v>
      </c>
      <c r="CI214" s="58">
        <f t="shared" si="145"/>
        <v>460387.97618106683</v>
      </c>
      <c r="CJ214" s="58">
        <f t="shared" si="145"/>
        <v>460387.97618106683</v>
      </c>
      <c r="CK214" s="58">
        <f t="shared" si="145"/>
        <v>460387.97618106683</v>
      </c>
      <c r="CL214" s="58">
        <f t="shared" si="134"/>
        <v>1841551.9047242673</v>
      </c>
      <c r="CN214" s="59">
        <f t="shared" si="143"/>
        <v>4.7156842465686366E-4</v>
      </c>
      <c r="CO214" s="64">
        <f t="shared" si="144"/>
        <v>9902936.9177941363</v>
      </c>
      <c r="CP214" s="2">
        <f t="shared" si="137"/>
        <v>14732415.237794137</v>
      </c>
    </row>
    <row r="215" spans="1:94" ht="16.5" hidden="1" x14ac:dyDescent="0.3">
      <c r="A215" s="2">
        <v>210</v>
      </c>
      <c r="B215" s="47" t="s">
        <v>21</v>
      </c>
      <c r="C215" s="47"/>
      <c r="D215" s="30" t="s">
        <v>553</v>
      </c>
      <c r="E215" s="30" t="s">
        <v>115</v>
      </c>
      <c r="F215" s="30" t="s">
        <v>579</v>
      </c>
      <c r="G215" s="48" t="s">
        <v>555</v>
      </c>
      <c r="H215" s="48" t="s">
        <v>118</v>
      </c>
      <c r="I215" s="30" t="s">
        <v>119</v>
      </c>
      <c r="J215" s="30" t="s">
        <v>764</v>
      </c>
      <c r="K215" s="30" t="s">
        <v>765</v>
      </c>
      <c r="L215" s="30" t="s">
        <v>766</v>
      </c>
      <c r="M215" s="79">
        <v>2100794</v>
      </c>
      <c r="N215" s="48" t="s">
        <v>582</v>
      </c>
      <c r="O215" s="48" t="s">
        <v>812</v>
      </c>
      <c r="P215" s="48" t="s">
        <v>768</v>
      </c>
      <c r="Q215" s="48" t="s">
        <v>769</v>
      </c>
      <c r="R215" s="48"/>
      <c r="S215" s="48" t="s">
        <v>813</v>
      </c>
      <c r="T215" s="48" t="s">
        <v>814</v>
      </c>
      <c r="U215" s="48" t="s">
        <v>588</v>
      </c>
      <c r="V215" s="48" t="s">
        <v>600</v>
      </c>
      <c r="W215" s="48" t="s">
        <v>772</v>
      </c>
      <c r="X215" s="48" t="s">
        <v>147</v>
      </c>
      <c r="Y215" s="99" t="s">
        <v>457</v>
      </c>
      <c r="Z215" s="99" t="s">
        <v>457</v>
      </c>
      <c r="AA215" s="48" t="s">
        <v>148</v>
      </c>
      <c r="AB215" s="30" t="s">
        <v>773</v>
      </c>
      <c r="AC215" s="30" t="s">
        <v>773</v>
      </c>
      <c r="AD215" s="48"/>
      <c r="AE215" s="48"/>
      <c r="AF215" s="48" t="s">
        <v>604</v>
      </c>
      <c r="AG215" s="30" t="s">
        <v>774</v>
      </c>
      <c r="AH215" s="48" t="s">
        <v>775</v>
      </c>
      <c r="AI215" s="48"/>
      <c r="AJ215" s="98">
        <v>40600</v>
      </c>
      <c r="AK215" s="80">
        <v>40633</v>
      </c>
      <c r="AL215" s="51">
        <f t="shared" si="111"/>
        <v>14.597260273972603</v>
      </c>
      <c r="AM215" s="52">
        <v>12</v>
      </c>
      <c r="AN215" s="48" t="s">
        <v>220</v>
      </c>
      <c r="AO215" s="30" t="s">
        <v>133</v>
      </c>
      <c r="AP215" s="30" t="s">
        <v>606</v>
      </c>
      <c r="AQ215" s="48">
        <v>6.9</v>
      </c>
      <c r="AR215" s="48">
        <v>1180</v>
      </c>
      <c r="AS215" s="48">
        <v>1110</v>
      </c>
      <c r="AT215" s="48">
        <v>2180</v>
      </c>
      <c r="AU215" s="53">
        <v>241473916</v>
      </c>
      <c r="AV215" s="54"/>
      <c r="AW215" s="54"/>
      <c r="AX215" s="54">
        <v>241473916</v>
      </c>
      <c r="AY215" s="54"/>
      <c r="AZ215" s="54"/>
      <c r="BA215" s="54">
        <v>1000</v>
      </c>
      <c r="BB215" s="55">
        <v>1000</v>
      </c>
      <c r="BC215" s="52">
        <v>144</v>
      </c>
      <c r="BD215" s="52"/>
      <c r="BE215" s="52">
        <v>0</v>
      </c>
      <c r="BF215" s="30"/>
      <c r="BG215" s="30"/>
      <c r="BH215" s="30" t="s">
        <v>776</v>
      </c>
      <c r="BI215" s="30" t="str">
        <f t="shared" si="135"/>
        <v>COG</v>
      </c>
      <c r="BJ215" s="47" t="s">
        <v>137</v>
      </c>
      <c r="BK215" s="67">
        <f t="shared" si="136"/>
        <v>4829478.32</v>
      </c>
      <c r="BL215" s="68">
        <f t="shared" si="101"/>
        <v>460387.97618106677</v>
      </c>
      <c r="BM215" s="68">
        <f t="shared" si="102"/>
        <v>153462.65872702227</v>
      </c>
      <c r="BP215" s="69">
        <f>BM215*3</f>
        <v>460387.97618106683</v>
      </c>
      <c r="BQ215" s="69">
        <f>BP215</f>
        <v>460387.97618106683</v>
      </c>
      <c r="BR215" s="69">
        <f>SUM(BN215:BQ215)</f>
        <v>920775.95236213366</v>
      </c>
      <c r="BS215" s="69">
        <f>BQ215</f>
        <v>460387.97618106683</v>
      </c>
      <c r="BT215" s="69">
        <f>BS215</f>
        <v>460387.97618106683</v>
      </c>
      <c r="BU215" s="100">
        <f>BT215</f>
        <v>460387.97618106683</v>
      </c>
      <c r="BV215" s="100">
        <f t="shared" si="138"/>
        <v>460387.97618106683</v>
      </c>
      <c r="BW215" s="100">
        <f t="shared" si="140"/>
        <v>1841551.9047242673</v>
      </c>
      <c r="BX215" s="101">
        <f t="shared" si="119"/>
        <v>460387.97618106683</v>
      </c>
      <c r="BY215" s="101">
        <f t="shared" si="120"/>
        <v>460387.97618106683</v>
      </c>
      <c r="BZ215" s="18">
        <f>BM215*3</f>
        <v>460387.97618106683</v>
      </c>
      <c r="CA215" s="18">
        <f t="shared" si="120"/>
        <v>460387.97618106683</v>
      </c>
      <c r="CB215" s="70">
        <f t="shared" si="130"/>
        <v>1841551.9047242673</v>
      </c>
      <c r="CC215" s="18">
        <f t="shared" si="131"/>
        <v>460387.97618106683</v>
      </c>
      <c r="CD215" s="18">
        <f t="shared" si="142"/>
        <v>460387.97618106683</v>
      </c>
      <c r="CE215" s="18">
        <f t="shared" si="142"/>
        <v>460387.97618106683</v>
      </c>
      <c r="CF215" s="18">
        <f t="shared" si="142"/>
        <v>460387.97618106683</v>
      </c>
      <c r="CG215" s="70">
        <f t="shared" si="132"/>
        <v>1841551.9047242673</v>
      </c>
      <c r="CH215" s="18">
        <f t="shared" si="133"/>
        <v>460387.97618106683</v>
      </c>
      <c r="CI215" s="18">
        <f t="shared" si="145"/>
        <v>460387.97618106683</v>
      </c>
      <c r="CJ215" s="18">
        <f t="shared" si="145"/>
        <v>460387.97618106683</v>
      </c>
      <c r="CK215" s="18">
        <f t="shared" si="145"/>
        <v>460387.97618106683</v>
      </c>
      <c r="CL215" s="70">
        <f t="shared" si="134"/>
        <v>1841551.9047242673</v>
      </c>
      <c r="CM215" s="71"/>
      <c r="CN215" s="59">
        <f t="shared" si="143"/>
        <v>4.7156842465686366E-4</v>
      </c>
      <c r="CO215" s="64">
        <f t="shared" si="144"/>
        <v>9902936.9177941363</v>
      </c>
      <c r="CP215" s="2">
        <f t="shared" si="137"/>
        <v>14732415.237794137</v>
      </c>
    </row>
    <row r="216" spans="1:94" ht="16.5" hidden="1" x14ac:dyDescent="0.3">
      <c r="A216" s="2">
        <v>211</v>
      </c>
      <c r="B216" s="47" t="s">
        <v>21</v>
      </c>
      <c r="C216" s="47"/>
      <c r="D216" s="30" t="s">
        <v>553</v>
      </c>
      <c r="E216" s="30" t="s">
        <v>115</v>
      </c>
      <c r="F216" s="30" t="s">
        <v>579</v>
      </c>
      <c r="G216" s="48" t="s">
        <v>555</v>
      </c>
      <c r="H216" s="48" t="s">
        <v>118</v>
      </c>
      <c r="I216" s="30" t="s">
        <v>119</v>
      </c>
      <c r="J216" s="30" t="s">
        <v>764</v>
      </c>
      <c r="K216" s="30" t="s">
        <v>765</v>
      </c>
      <c r="L216" s="48" t="s">
        <v>794</v>
      </c>
      <c r="M216" s="79">
        <v>2100795</v>
      </c>
      <c r="N216" s="48" t="s">
        <v>582</v>
      </c>
      <c r="O216" s="48" t="s">
        <v>815</v>
      </c>
      <c r="P216" s="48" t="s">
        <v>796</v>
      </c>
      <c r="Q216" s="48" t="s">
        <v>797</v>
      </c>
      <c r="R216" s="48"/>
      <c r="S216" s="48" t="s">
        <v>816</v>
      </c>
      <c r="T216" s="30" t="s">
        <v>817</v>
      </c>
      <c r="U216" s="48" t="s">
        <v>588</v>
      </c>
      <c r="V216" s="48" t="s">
        <v>800</v>
      </c>
      <c r="W216" s="48" t="s">
        <v>801</v>
      </c>
      <c r="X216" s="103" t="s">
        <v>602</v>
      </c>
      <c r="Y216" s="48" t="s">
        <v>576</v>
      </c>
      <c r="Z216" s="48" t="s">
        <v>576</v>
      </c>
      <c r="AA216" s="48" t="s">
        <v>129</v>
      </c>
      <c r="AB216" s="48" t="s">
        <v>802</v>
      </c>
      <c r="AC216" s="48" t="s">
        <v>802</v>
      </c>
      <c r="AD216" s="48"/>
      <c r="AE216" s="48"/>
      <c r="AF216" s="48" t="s">
        <v>131</v>
      </c>
      <c r="AG216" s="48" t="s">
        <v>649</v>
      </c>
      <c r="AH216" s="48"/>
      <c r="AI216" s="48"/>
      <c r="AJ216" s="98">
        <v>40600</v>
      </c>
      <c r="AK216" s="80">
        <v>40633</v>
      </c>
      <c r="AL216" s="51">
        <f t="shared" si="111"/>
        <v>14.597260273972603</v>
      </c>
      <c r="AM216" s="52">
        <v>12</v>
      </c>
      <c r="AN216" s="48" t="s">
        <v>220</v>
      </c>
      <c r="AO216" s="30" t="s">
        <v>133</v>
      </c>
      <c r="AP216" s="30" t="s">
        <v>606</v>
      </c>
      <c r="AQ216" s="48">
        <v>5.5</v>
      </c>
      <c r="AR216" s="48">
        <v>1695</v>
      </c>
      <c r="AS216" s="48">
        <v>1300</v>
      </c>
      <c r="AT216" s="48">
        <v>2220</v>
      </c>
      <c r="AU216" s="53">
        <v>250983716</v>
      </c>
      <c r="AV216" s="54"/>
      <c r="AW216" s="54"/>
      <c r="AX216" s="54">
        <v>250983716</v>
      </c>
      <c r="AY216" s="54"/>
      <c r="AZ216" s="54"/>
      <c r="BA216" s="54">
        <v>1000</v>
      </c>
      <c r="BB216" s="55">
        <v>1000</v>
      </c>
      <c r="BC216" s="52">
        <v>144</v>
      </c>
      <c r="BD216" s="52"/>
      <c r="BE216" s="52">
        <v>0</v>
      </c>
      <c r="BF216" s="30"/>
      <c r="BG216" s="30"/>
      <c r="BH216" s="30" t="s">
        <v>776</v>
      </c>
      <c r="BI216" s="30" t="str">
        <f t="shared" si="135"/>
        <v>COG</v>
      </c>
      <c r="BJ216" s="47" t="s">
        <v>137</v>
      </c>
      <c r="BK216" s="56">
        <f t="shared" si="136"/>
        <v>5019674.32</v>
      </c>
      <c r="BL216" s="57">
        <f t="shared" si="101"/>
        <v>478519.11700327758</v>
      </c>
      <c r="BM216" s="57">
        <f t="shared" si="102"/>
        <v>159506.37233442586</v>
      </c>
      <c r="BU216" s="58">
        <f>BM216*3</f>
        <v>478519.11700327758</v>
      </c>
      <c r="BV216" s="58">
        <f t="shared" si="138"/>
        <v>478519.11700327758</v>
      </c>
      <c r="BW216" s="58">
        <f t="shared" si="140"/>
        <v>957038.23400655517</v>
      </c>
      <c r="BX216" s="58">
        <f t="shared" si="119"/>
        <v>478519.11700327758</v>
      </c>
      <c r="BY216" s="58">
        <f t="shared" si="120"/>
        <v>478519.11700327758</v>
      </c>
      <c r="BZ216" s="58">
        <f>BM216*3</f>
        <v>478519.11700327758</v>
      </c>
      <c r="CA216" s="58">
        <f t="shared" si="120"/>
        <v>478519.11700327758</v>
      </c>
      <c r="CB216" s="58">
        <f t="shared" si="130"/>
        <v>1914076.4680131103</v>
      </c>
      <c r="CC216" s="58">
        <f t="shared" si="131"/>
        <v>478519.11700327758</v>
      </c>
      <c r="CD216" s="58">
        <f t="shared" si="142"/>
        <v>478519.11700327758</v>
      </c>
      <c r="CE216" s="58">
        <f t="shared" si="142"/>
        <v>478519.11700327758</v>
      </c>
      <c r="CF216" s="58">
        <f t="shared" si="142"/>
        <v>478519.11700327758</v>
      </c>
      <c r="CG216" s="58">
        <f t="shared" si="132"/>
        <v>1914076.4680131103</v>
      </c>
      <c r="CH216" s="58">
        <f t="shared" si="133"/>
        <v>478519.11700327758</v>
      </c>
      <c r="CI216" s="58">
        <f t="shared" si="145"/>
        <v>478519.11700327758</v>
      </c>
      <c r="CJ216" s="58">
        <f t="shared" si="145"/>
        <v>478519.11700327758</v>
      </c>
      <c r="CK216" s="58">
        <f t="shared" si="145"/>
        <v>478519.11700327758</v>
      </c>
      <c r="CL216" s="58">
        <f t="shared" si="134"/>
        <v>1914076.4680131103</v>
      </c>
      <c r="CN216" s="59">
        <f t="shared" si="143"/>
        <v>4.9013987733832775E-4</v>
      </c>
      <c r="CO216" s="64">
        <f t="shared" si="144"/>
        <v>10292937.424104882</v>
      </c>
      <c r="CP216" s="2">
        <f t="shared" si="137"/>
        <v>15312611.744104883</v>
      </c>
    </row>
    <row r="217" spans="1:94" ht="16.5" hidden="1" x14ac:dyDescent="0.3">
      <c r="A217" s="2">
        <v>212</v>
      </c>
      <c r="B217" s="47" t="s">
        <v>21</v>
      </c>
      <c r="C217" s="47"/>
      <c r="D217" s="30" t="s">
        <v>553</v>
      </c>
      <c r="E217" s="30" t="s">
        <v>115</v>
      </c>
      <c r="F217" s="30" t="s">
        <v>579</v>
      </c>
      <c r="G217" s="48" t="s">
        <v>555</v>
      </c>
      <c r="H217" s="48" t="s">
        <v>118</v>
      </c>
      <c r="I217" s="30" t="s">
        <v>119</v>
      </c>
      <c r="J217" s="30" t="s">
        <v>764</v>
      </c>
      <c r="K217" s="30" t="s">
        <v>765</v>
      </c>
      <c r="L217" s="48" t="s">
        <v>794</v>
      </c>
      <c r="M217" s="79">
        <v>2100796</v>
      </c>
      <c r="N217" s="48" t="s">
        <v>582</v>
      </c>
      <c r="O217" s="48" t="s">
        <v>818</v>
      </c>
      <c r="P217" s="48" t="s">
        <v>796</v>
      </c>
      <c r="Q217" s="48" t="s">
        <v>797</v>
      </c>
      <c r="R217" s="48"/>
      <c r="S217" s="48" t="s">
        <v>819</v>
      </c>
      <c r="T217" s="30" t="s">
        <v>820</v>
      </c>
      <c r="U217" s="48" t="s">
        <v>588</v>
      </c>
      <c r="V217" s="48" t="s">
        <v>800</v>
      </c>
      <c r="W217" s="48" t="s">
        <v>801</v>
      </c>
      <c r="X217" s="103" t="s">
        <v>602</v>
      </c>
      <c r="Y217" s="48" t="s">
        <v>576</v>
      </c>
      <c r="Z217" s="48" t="s">
        <v>576</v>
      </c>
      <c r="AA217" s="48" t="s">
        <v>129</v>
      </c>
      <c r="AB217" s="48" t="s">
        <v>802</v>
      </c>
      <c r="AC217" s="48" t="s">
        <v>802</v>
      </c>
      <c r="AD217" s="48"/>
      <c r="AE217" s="48"/>
      <c r="AF217" s="48" t="s">
        <v>131</v>
      </c>
      <c r="AG217" s="48" t="s">
        <v>649</v>
      </c>
      <c r="AH217" s="48"/>
      <c r="AI217" s="48"/>
      <c r="AJ217" s="98">
        <v>40731</v>
      </c>
      <c r="AK217" s="80">
        <v>40633</v>
      </c>
      <c r="AL217" s="51">
        <f t="shared" si="111"/>
        <v>14.597260273972603</v>
      </c>
      <c r="AM217" s="52">
        <v>12</v>
      </c>
      <c r="AN217" s="48" t="s">
        <v>220</v>
      </c>
      <c r="AO217" s="30" t="s">
        <v>133</v>
      </c>
      <c r="AP217" s="30" t="s">
        <v>606</v>
      </c>
      <c r="AQ217" s="48">
        <v>5.5</v>
      </c>
      <c r="AR217" s="48">
        <v>1695</v>
      </c>
      <c r="AS217" s="48">
        <v>1300</v>
      </c>
      <c r="AT217" s="48">
        <v>2220</v>
      </c>
      <c r="AU217" s="53">
        <v>250983715</v>
      </c>
      <c r="AV217" s="54"/>
      <c r="AW217" s="54"/>
      <c r="AX217" s="54">
        <v>250983715</v>
      </c>
      <c r="AY217" s="54"/>
      <c r="AZ217" s="54"/>
      <c r="BA217" s="54">
        <v>1000</v>
      </c>
      <c r="BB217" s="55">
        <v>1000</v>
      </c>
      <c r="BC217" s="52">
        <v>144</v>
      </c>
      <c r="BD217" s="52"/>
      <c r="BE217" s="52">
        <v>0</v>
      </c>
      <c r="BF217" s="30"/>
      <c r="BG217" s="30"/>
      <c r="BH217" s="30" t="s">
        <v>776</v>
      </c>
      <c r="BI217" s="30" t="str">
        <f t="shared" si="135"/>
        <v>COG</v>
      </c>
      <c r="BJ217" s="47" t="s">
        <v>137</v>
      </c>
      <c r="BK217" s="56">
        <f t="shared" si="136"/>
        <v>5019674.3</v>
      </c>
      <c r="BL217" s="57">
        <f t="shared" si="101"/>
        <v>478519.11509670317</v>
      </c>
      <c r="BM217" s="57">
        <f t="shared" si="102"/>
        <v>159506.37169890106</v>
      </c>
      <c r="BU217" s="58">
        <f>BM217*3</f>
        <v>478519.11509670317</v>
      </c>
      <c r="BV217" s="58">
        <f t="shared" si="138"/>
        <v>478519.11509670317</v>
      </c>
      <c r="BW217" s="58">
        <f t="shared" si="140"/>
        <v>957038.23019340634</v>
      </c>
      <c r="BX217" s="58">
        <f t="shared" si="119"/>
        <v>478519.11509670317</v>
      </c>
      <c r="BY217" s="58">
        <f t="shared" si="120"/>
        <v>478519.11509670317</v>
      </c>
      <c r="BZ217" s="58">
        <f>BM217*3</f>
        <v>478519.11509670317</v>
      </c>
      <c r="CA217" s="58">
        <f t="shared" si="120"/>
        <v>478519.11509670317</v>
      </c>
      <c r="CB217" s="58">
        <f t="shared" si="130"/>
        <v>1914076.4603868127</v>
      </c>
      <c r="CC217" s="58">
        <f t="shared" si="131"/>
        <v>478519.11509670317</v>
      </c>
      <c r="CD217" s="58">
        <f t="shared" si="142"/>
        <v>478519.11509670317</v>
      </c>
      <c r="CE217" s="58">
        <f t="shared" si="142"/>
        <v>478519.11509670317</v>
      </c>
      <c r="CF217" s="58">
        <f t="shared" si="142"/>
        <v>478519.11509670317</v>
      </c>
      <c r="CG217" s="58">
        <f t="shared" si="132"/>
        <v>1914076.4603868127</v>
      </c>
      <c r="CH217" s="58">
        <f t="shared" si="133"/>
        <v>478519.11509670317</v>
      </c>
      <c r="CI217" s="58">
        <f t="shared" si="145"/>
        <v>478519.11509670317</v>
      </c>
      <c r="CJ217" s="58">
        <f t="shared" si="145"/>
        <v>478519.11509670317</v>
      </c>
      <c r="CK217" s="58">
        <f t="shared" si="145"/>
        <v>478519.11509670317</v>
      </c>
      <c r="CL217" s="58">
        <f t="shared" si="134"/>
        <v>1914076.4603868127</v>
      </c>
      <c r="CN217" s="59">
        <f t="shared" si="143"/>
        <v>4.901398753854525E-4</v>
      </c>
      <c r="CO217" s="64">
        <f t="shared" si="144"/>
        <v>10292937.383094503</v>
      </c>
      <c r="CP217" s="2">
        <f t="shared" si="137"/>
        <v>15312611.683094501</v>
      </c>
    </row>
    <row r="218" spans="1:94" ht="16.5" hidden="1" x14ac:dyDescent="0.3">
      <c r="A218" s="2">
        <v>213</v>
      </c>
      <c r="B218" s="47" t="s">
        <v>21</v>
      </c>
      <c r="C218" s="47"/>
      <c r="D218" s="30" t="s">
        <v>553</v>
      </c>
      <c r="E218" s="30" t="s">
        <v>115</v>
      </c>
      <c r="F218" s="30" t="s">
        <v>579</v>
      </c>
      <c r="G218" s="48" t="s">
        <v>555</v>
      </c>
      <c r="H218" s="48" t="s">
        <v>118</v>
      </c>
      <c r="I218" s="30" t="s">
        <v>119</v>
      </c>
      <c r="J218" s="30" t="s">
        <v>764</v>
      </c>
      <c r="K218" s="30" t="s">
        <v>765</v>
      </c>
      <c r="L218" s="48" t="s">
        <v>777</v>
      </c>
      <c r="M218" s="79">
        <v>2100798</v>
      </c>
      <c r="N218" s="48" t="s">
        <v>582</v>
      </c>
      <c r="O218" s="48" t="s">
        <v>821</v>
      </c>
      <c r="P218" s="48" t="s">
        <v>822</v>
      </c>
      <c r="Q218" s="48" t="s">
        <v>823</v>
      </c>
      <c r="R218" s="48"/>
      <c r="S218" s="48" t="s">
        <v>824</v>
      </c>
      <c r="T218" s="30" t="s">
        <v>825</v>
      </c>
      <c r="U218" s="48" t="s">
        <v>588</v>
      </c>
      <c r="V218" s="48" t="s">
        <v>589</v>
      </c>
      <c r="W218" s="48" t="s">
        <v>826</v>
      </c>
      <c r="X218" s="48" t="s">
        <v>147</v>
      </c>
      <c r="Y218" s="99" t="s">
        <v>576</v>
      </c>
      <c r="Z218" s="99" t="s">
        <v>576</v>
      </c>
      <c r="AA218" s="48" t="s">
        <v>129</v>
      </c>
      <c r="AB218" s="48" t="s">
        <v>783</v>
      </c>
      <c r="AC218" s="48" t="s">
        <v>783</v>
      </c>
      <c r="AD218" s="48"/>
      <c r="AE218" s="48"/>
      <c r="AF218" s="48" t="s">
        <v>131</v>
      </c>
      <c r="AG218" s="48" t="s">
        <v>784</v>
      </c>
      <c r="AH218" s="48"/>
      <c r="AI218" s="48"/>
      <c r="AJ218" s="98">
        <v>40561</v>
      </c>
      <c r="AK218" s="80">
        <v>40663</v>
      </c>
      <c r="AL218" s="51">
        <f t="shared" si="111"/>
        <v>14.515068493150684</v>
      </c>
      <c r="AM218" s="52">
        <v>12</v>
      </c>
      <c r="AN218" s="48" t="s">
        <v>220</v>
      </c>
      <c r="AO218" s="30" t="s">
        <v>133</v>
      </c>
      <c r="AP218" s="30" t="s">
        <v>606</v>
      </c>
      <c r="AQ218" s="48">
        <v>4</v>
      </c>
      <c r="AR218" s="48">
        <v>1200</v>
      </c>
      <c r="AS218" s="48">
        <v>1100</v>
      </c>
      <c r="AT218" s="48">
        <v>1650</v>
      </c>
      <c r="AU218" s="53">
        <v>153100000</v>
      </c>
      <c r="AV218" s="54"/>
      <c r="AW218" s="54"/>
      <c r="AX218" s="54">
        <v>153100000</v>
      </c>
      <c r="AY218" s="54"/>
      <c r="AZ218" s="54"/>
      <c r="BA218" s="54">
        <v>1000</v>
      </c>
      <c r="BB218" s="55">
        <v>1000</v>
      </c>
      <c r="BC218" s="52">
        <v>144</v>
      </c>
      <c r="BD218" s="52"/>
      <c r="BE218" s="52">
        <v>0</v>
      </c>
      <c r="BF218" s="30"/>
      <c r="BG218" s="30"/>
      <c r="BH218" s="30" t="s">
        <v>776</v>
      </c>
      <c r="BI218" s="30" t="str">
        <f t="shared" si="135"/>
        <v>COG</v>
      </c>
      <c r="BJ218" s="47" t="s">
        <v>137</v>
      </c>
      <c r="BK218" s="67">
        <f t="shared" si="136"/>
        <v>3062000</v>
      </c>
      <c r="BL218" s="68">
        <f t="shared" si="101"/>
        <v>291896.53408909525</v>
      </c>
      <c r="BM218" s="68">
        <f t="shared" si="102"/>
        <v>97298.844696365079</v>
      </c>
      <c r="BP218" s="69">
        <f>BM218*3</f>
        <v>291896.53408909525</v>
      </c>
      <c r="BQ218" s="69">
        <f>BP218</f>
        <v>291896.53408909525</v>
      </c>
      <c r="BR218" s="69">
        <f>SUM(BN218:BQ218)</f>
        <v>583793.0681781905</v>
      </c>
      <c r="BS218" s="69">
        <f>BQ218</f>
        <v>291896.53408909525</v>
      </c>
      <c r="BT218" s="69">
        <f>BS218</f>
        <v>291896.53408909525</v>
      </c>
      <c r="BU218" s="100">
        <f>BT218</f>
        <v>291896.53408909525</v>
      </c>
      <c r="BV218" s="100">
        <f t="shared" si="138"/>
        <v>291896.53408909525</v>
      </c>
      <c r="BW218" s="100">
        <f t="shared" si="140"/>
        <v>1167586.136356381</v>
      </c>
      <c r="BX218" s="101">
        <f t="shared" si="119"/>
        <v>291896.53408909525</v>
      </c>
      <c r="BY218" s="101">
        <f t="shared" si="120"/>
        <v>291896.53408909525</v>
      </c>
      <c r="BZ218" s="101">
        <f t="shared" si="120"/>
        <v>291896.53408909525</v>
      </c>
      <c r="CA218" s="101">
        <f t="shared" si="120"/>
        <v>291896.53408909525</v>
      </c>
      <c r="CB218" s="100">
        <f t="shared" si="130"/>
        <v>1167586.136356381</v>
      </c>
      <c r="CC218" s="101">
        <f t="shared" si="131"/>
        <v>291896.53408909525</v>
      </c>
      <c r="CD218" s="101">
        <f t="shared" si="142"/>
        <v>291896.53408909525</v>
      </c>
      <c r="CE218" s="101">
        <f t="shared" si="142"/>
        <v>291896.53408909525</v>
      </c>
      <c r="CF218" s="101">
        <f t="shared" si="142"/>
        <v>291896.53408909525</v>
      </c>
      <c r="CG218" s="100">
        <f t="shared" si="132"/>
        <v>1167586.136356381</v>
      </c>
      <c r="CH218" s="101">
        <f t="shared" si="133"/>
        <v>291896.53408909525</v>
      </c>
      <c r="CI218" s="101">
        <f t="shared" si="145"/>
        <v>291896.53408909525</v>
      </c>
      <c r="CJ218" s="101">
        <f t="shared" si="145"/>
        <v>291896.53408909525</v>
      </c>
      <c r="CK218" s="101">
        <f t="shared" si="145"/>
        <v>291896.53408909525</v>
      </c>
      <c r="CL218" s="100">
        <f t="shared" si="134"/>
        <v>1167586.136356381</v>
      </c>
      <c r="CM218" s="71"/>
      <c r="CN218" s="59">
        <f t="shared" si="143"/>
        <v>2.9898519480243084E-4</v>
      </c>
      <c r="CO218" s="64">
        <f t="shared" si="144"/>
        <v>6278689.090851048</v>
      </c>
      <c r="CP218" s="2">
        <f t="shared" si="137"/>
        <v>9340689.090851048</v>
      </c>
    </row>
    <row r="219" spans="1:94" ht="16.5" hidden="1" x14ac:dyDescent="0.3">
      <c r="A219" s="2">
        <v>214</v>
      </c>
      <c r="B219" s="47" t="s">
        <v>21</v>
      </c>
      <c r="C219" s="47"/>
      <c r="D219" s="30" t="s">
        <v>553</v>
      </c>
      <c r="E219" s="30" t="s">
        <v>115</v>
      </c>
      <c r="F219" s="30" t="s">
        <v>579</v>
      </c>
      <c r="G219" s="48" t="s">
        <v>555</v>
      </c>
      <c r="H219" s="48" t="s">
        <v>118</v>
      </c>
      <c r="I219" s="30" t="s">
        <v>119</v>
      </c>
      <c r="J219" s="30" t="s">
        <v>764</v>
      </c>
      <c r="K219" s="30" t="s">
        <v>765</v>
      </c>
      <c r="L219" s="48" t="s">
        <v>777</v>
      </c>
      <c r="M219" s="79">
        <v>2100799</v>
      </c>
      <c r="N219" s="48" t="s">
        <v>582</v>
      </c>
      <c r="O219" s="48" t="s">
        <v>827</v>
      </c>
      <c r="P219" s="48" t="s">
        <v>822</v>
      </c>
      <c r="Q219" s="48" t="s">
        <v>823</v>
      </c>
      <c r="R219" s="48"/>
      <c r="S219" s="48" t="s">
        <v>828</v>
      </c>
      <c r="T219" s="30" t="s">
        <v>829</v>
      </c>
      <c r="U219" s="48" t="s">
        <v>588</v>
      </c>
      <c r="V219" s="48" t="s">
        <v>589</v>
      </c>
      <c r="W219" s="48" t="s">
        <v>826</v>
      </c>
      <c r="X219" s="48" t="s">
        <v>147</v>
      </c>
      <c r="Y219" s="99" t="s">
        <v>576</v>
      </c>
      <c r="Z219" s="99" t="s">
        <v>576</v>
      </c>
      <c r="AA219" s="48" t="s">
        <v>129</v>
      </c>
      <c r="AB219" s="48" t="s">
        <v>783</v>
      </c>
      <c r="AC219" s="48" t="s">
        <v>783</v>
      </c>
      <c r="AD219" s="48"/>
      <c r="AE219" s="48"/>
      <c r="AF219" s="48" t="s">
        <v>131</v>
      </c>
      <c r="AG219" s="48" t="s">
        <v>784</v>
      </c>
      <c r="AH219" s="48"/>
      <c r="AI219" s="48"/>
      <c r="AJ219" s="98">
        <v>40603</v>
      </c>
      <c r="AK219" s="80">
        <v>40694</v>
      </c>
      <c r="AL219" s="51">
        <f t="shared" si="111"/>
        <v>14.43013698630137</v>
      </c>
      <c r="AM219" s="52">
        <v>12</v>
      </c>
      <c r="AN219" s="48" t="s">
        <v>220</v>
      </c>
      <c r="AO219" s="30" t="s">
        <v>133</v>
      </c>
      <c r="AP219" s="30" t="s">
        <v>606</v>
      </c>
      <c r="AQ219" s="48">
        <v>4</v>
      </c>
      <c r="AR219" s="48">
        <v>1200</v>
      </c>
      <c r="AS219" s="48">
        <v>1100</v>
      </c>
      <c r="AT219" s="48">
        <v>1650</v>
      </c>
      <c r="AU219" s="53">
        <v>152400000</v>
      </c>
      <c r="AV219" s="54"/>
      <c r="AW219" s="54"/>
      <c r="AX219" s="54">
        <v>152400000</v>
      </c>
      <c r="AY219" s="54"/>
      <c r="AZ219" s="54"/>
      <c r="BA219" s="54">
        <v>1000</v>
      </c>
      <c r="BB219" s="55">
        <v>1000</v>
      </c>
      <c r="BC219" s="52">
        <v>144</v>
      </c>
      <c r="BD219" s="52"/>
      <c r="BE219" s="52">
        <v>0</v>
      </c>
      <c r="BF219" s="30"/>
      <c r="BG219" s="30"/>
      <c r="BH219" s="30" t="s">
        <v>776</v>
      </c>
      <c r="BI219" s="30" t="str">
        <f t="shared" si="135"/>
        <v>COG</v>
      </c>
      <c r="BJ219" s="47" t="s">
        <v>137</v>
      </c>
      <c r="BK219" s="67">
        <f t="shared" si="136"/>
        <v>3048000</v>
      </c>
      <c r="BL219" s="68">
        <f t="shared" si="101"/>
        <v>290561.93203904713</v>
      </c>
      <c r="BM219" s="68">
        <f t="shared" si="102"/>
        <v>96853.977346349042</v>
      </c>
      <c r="BP219" s="69">
        <f>BM219*3</f>
        <v>290561.93203904713</v>
      </c>
      <c r="BQ219" s="69">
        <f>BP219</f>
        <v>290561.93203904713</v>
      </c>
      <c r="BR219" s="69">
        <f>SUM(BN219:BQ219)</f>
        <v>581123.86407809425</v>
      </c>
      <c r="BS219" s="69">
        <f>BQ219</f>
        <v>290561.93203904713</v>
      </c>
      <c r="BT219" s="69">
        <f t="shared" ref="BT219:BV234" si="146">BS219</f>
        <v>290561.93203904713</v>
      </c>
      <c r="BU219" s="100">
        <f t="shared" si="146"/>
        <v>290561.93203904713</v>
      </c>
      <c r="BV219" s="100">
        <f t="shared" si="146"/>
        <v>290561.93203904713</v>
      </c>
      <c r="BW219" s="100">
        <f t="shared" si="140"/>
        <v>1162247.7281561885</v>
      </c>
      <c r="BX219" s="101">
        <f t="shared" si="119"/>
        <v>290561.93203904713</v>
      </c>
      <c r="BY219" s="101">
        <f t="shared" si="120"/>
        <v>290561.93203904713</v>
      </c>
      <c r="BZ219" s="101">
        <f t="shared" si="120"/>
        <v>290561.93203904713</v>
      </c>
      <c r="CA219" s="101">
        <f t="shared" si="120"/>
        <v>290561.93203904713</v>
      </c>
      <c r="CB219" s="100">
        <f t="shared" si="130"/>
        <v>1162247.7281561885</v>
      </c>
      <c r="CC219" s="101">
        <f t="shared" si="131"/>
        <v>290561.93203904713</v>
      </c>
      <c r="CD219" s="101">
        <f t="shared" si="142"/>
        <v>290561.93203904713</v>
      </c>
      <c r="CE219" s="101">
        <f t="shared" si="142"/>
        <v>290561.93203904713</v>
      </c>
      <c r="CF219" s="101">
        <f t="shared" si="142"/>
        <v>290561.93203904713</v>
      </c>
      <c r="CG219" s="100">
        <f t="shared" si="132"/>
        <v>1162247.7281561885</v>
      </c>
      <c r="CH219" s="101">
        <f t="shared" si="133"/>
        <v>290561.93203904713</v>
      </c>
      <c r="CI219" s="101">
        <f t="shared" si="145"/>
        <v>290561.93203904713</v>
      </c>
      <c r="CJ219" s="101">
        <f t="shared" si="145"/>
        <v>290561.93203904713</v>
      </c>
      <c r="CK219" s="101">
        <f t="shared" si="145"/>
        <v>290561.93203904713</v>
      </c>
      <c r="CL219" s="100">
        <f t="shared" si="134"/>
        <v>1162247.7281561885</v>
      </c>
      <c r="CM219" s="71"/>
      <c r="CN219" s="59">
        <f t="shared" si="143"/>
        <v>2.9761818215473849E-4</v>
      </c>
      <c r="CO219" s="64">
        <f t="shared" si="144"/>
        <v>6249981.825249508</v>
      </c>
      <c r="CP219" s="2">
        <f t="shared" si="137"/>
        <v>9297981.825249508</v>
      </c>
    </row>
    <row r="220" spans="1:94" ht="16.5" hidden="1" x14ac:dyDescent="0.3">
      <c r="A220" s="2">
        <v>215</v>
      </c>
      <c r="B220" s="47" t="s">
        <v>21</v>
      </c>
      <c r="C220" s="47"/>
      <c r="D220" s="30" t="s">
        <v>553</v>
      </c>
      <c r="E220" s="30" t="s">
        <v>115</v>
      </c>
      <c r="F220" s="30" t="s">
        <v>579</v>
      </c>
      <c r="G220" s="48" t="s">
        <v>555</v>
      </c>
      <c r="H220" s="48" t="s">
        <v>118</v>
      </c>
      <c r="I220" s="30" t="s">
        <v>119</v>
      </c>
      <c r="J220" s="30" t="s">
        <v>764</v>
      </c>
      <c r="K220" s="30" t="s">
        <v>765</v>
      </c>
      <c r="L220" s="48" t="s">
        <v>777</v>
      </c>
      <c r="M220" s="79">
        <v>2100800</v>
      </c>
      <c r="N220" s="48" t="s">
        <v>582</v>
      </c>
      <c r="O220" s="48" t="s">
        <v>830</v>
      </c>
      <c r="P220" s="48" t="s">
        <v>822</v>
      </c>
      <c r="Q220" s="48" t="s">
        <v>823</v>
      </c>
      <c r="R220" s="48"/>
      <c r="S220" s="48" t="s">
        <v>831</v>
      </c>
      <c r="T220" s="30" t="s">
        <v>832</v>
      </c>
      <c r="U220" s="48" t="s">
        <v>588</v>
      </c>
      <c r="V220" s="48" t="s">
        <v>589</v>
      </c>
      <c r="W220" s="48" t="s">
        <v>826</v>
      </c>
      <c r="X220" s="48" t="s">
        <v>147</v>
      </c>
      <c r="Y220" s="99" t="s">
        <v>576</v>
      </c>
      <c r="Z220" s="99" t="s">
        <v>576</v>
      </c>
      <c r="AA220" s="48" t="s">
        <v>129</v>
      </c>
      <c r="AB220" s="48" t="s">
        <v>783</v>
      </c>
      <c r="AC220" s="48" t="s">
        <v>783</v>
      </c>
      <c r="AD220" s="48"/>
      <c r="AE220" s="48"/>
      <c r="AF220" s="48" t="s">
        <v>131</v>
      </c>
      <c r="AG220" s="48" t="s">
        <v>784</v>
      </c>
      <c r="AH220" s="48"/>
      <c r="AI220" s="48"/>
      <c r="AJ220" s="98">
        <v>40603</v>
      </c>
      <c r="AK220" s="80">
        <v>40694</v>
      </c>
      <c r="AL220" s="51">
        <f t="shared" si="111"/>
        <v>14.43013698630137</v>
      </c>
      <c r="AM220" s="52">
        <v>12</v>
      </c>
      <c r="AN220" s="48" t="s">
        <v>220</v>
      </c>
      <c r="AO220" s="30" t="s">
        <v>133</v>
      </c>
      <c r="AP220" s="30" t="s">
        <v>606</v>
      </c>
      <c r="AQ220" s="48">
        <v>4</v>
      </c>
      <c r="AR220" s="48">
        <v>1200</v>
      </c>
      <c r="AS220" s="48">
        <v>1100</v>
      </c>
      <c r="AT220" s="48">
        <v>1650</v>
      </c>
      <c r="AU220" s="53">
        <v>152400000</v>
      </c>
      <c r="AV220" s="54"/>
      <c r="AW220" s="54"/>
      <c r="AX220" s="54">
        <v>152400000</v>
      </c>
      <c r="AY220" s="54"/>
      <c r="AZ220" s="54"/>
      <c r="BA220" s="54">
        <v>1000</v>
      </c>
      <c r="BB220" s="55">
        <v>1000</v>
      </c>
      <c r="BC220" s="52">
        <v>144</v>
      </c>
      <c r="BD220" s="52"/>
      <c r="BE220" s="52">
        <v>0</v>
      </c>
      <c r="BF220" s="30"/>
      <c r="BG220" s="30"/>
      <c r="BH220" s="30" t="s">
        <v>776</v>
      </c>
      <c r="BI220" s="30" t="str">
        <f t="shared" si="135"/>
        <v>COG</v>
      </c>
      <c r="BJ220" s="47" t="s">
        <v>137</v>
      </c>
      <c r="BK220" s="67">
        <f t="shared" si="136"/>
        <v>3048000</v>
      </c>
      <c r="BL220" s="68">
        <f t="shared" si="101"/>
        <v>290561.93203904713</v>
      </c>
      <c r="BM220" s="68">
        <f t="shared" si="102"/>
        <v>96853.977346349042</v>
      </c>
      <c r="BP220" s="69">
        <f>BM220*3</f>
        <v>290561.93203904713</v>
      </c>
      <c r="BQ220" s="69">
        <f>BP220</f>
        <v>290561.93203904713</v>
      </c>
      <c r="BR220" s="69">
        <f>SUM(BN220:BQ220)</f>
        <v>581123.86407809425</v>
      </c>
      <c r="BS220" s="69">
        <f>BQ220</f>
        <v>290561.93203904713</v>
      </c>
      <c r="BT220" s="69">
        <f t="shared" si="146"/>
        <v>290561.93203904713</v>
      </c>
      <c r="BU220" s="100">
        <f t="shared" si="146"/>
        <v>290561.93203904713</v>
      </c>
      <c r="BV220" s="100">
        <f t="shared" si="146"/>
        <v>290561.93203904713</v>
      </c>
      <c r="BW220" s="100">
        <f t="shared" si="140"/>
        <v>1162247.7281561885</v>
      </c>
      <c r="BX220" s="101">
        <f t="shared" si="119"/>
        <v>290561.93203904713</v>
      </c>
      <c r="BY220" s="101">
        <f t="shared" si="120"/>
        <v>290561.93203904713</v>
      </c>
      <c r="BZ220" s="101">
        <f t="shared" si="120"/>
        <v>290561.93203904713</v>
      </c>
      <c r="CA220" s="101">
        <f t="shared" si="120"/>
        <v>290561.93203904713</v>
      </c>
      <c r="CB220" s="100">
        <f t="shared" si="130"/>
        <v>1162247.7281561885</v>
      </c>
      <c r="CC220" s="101">
        <f t="shared" si="131"/>
        <v>290561.93203904713</v>
      </c>
      <c r="CD220" s="101">
        <f t="shared" si="142"/>
        <v>290561.93203904713</v>
      </c>
      <c r="CE220" s="101">
        <f t="shared" si="142"/>
        <v>290561.93203904713</v>
      </c>
      <c r="CF220" s="101">
        <f t="shared" si="142"/>
        <v>290561.93203904713</v>
      </c>
      <c r="CG220" s="100">
        <f t="shared" si="132"/>
        <v>1162247.7281561885</v>
      </c>
      <c r="CH220" s="101">
        <f t="shared" si="133"/>
        <v>290561.93203904713</v>
      </c>
      <c r="CI220" s="101">
        <f t="shared" si="145"/>
        <v>290561.93203904713</v>
      </c>
      <c r="CJ220" s="101">
        <f t="shared" si="145"/>
        <v>290561.93203904713</v>
      </c>
      <c r="CK220" s="101">
        <f t="shared" si="145"/>
        <v>290561.93203904713</v>
      </c>
      <c r="CL220" s="100">
        <f t="shared" si="134"/>
        <v>1162247.7281561885</v>
      </c>
      <c r="CM220" s="71"/>
      <c r="CN220" s="59">
        <f t="shared" si="143"/>
        <v>2.9761818215473849E-4</v>
      </c>
      <c r="CO220" s="64">
        <f t="shared" si="144"/>
        <v>6249981.825249508</v>
      </c>
      <c r="CP220" s="2">
        <f t="shared" si="137"/>
        <v>9297981.825249508</v>
      </c>
    </row>
    <row r="221" spans="1:94" ht="16.5" hidden="1" x14ac:dyDescent="0.3">
      <c r="A221" s="2">
        <v>216</v>
      </c>
      <c r="B221" s="47" t="s">
        <v>21</v>
      </c>
      <c r="C221" s="47"/>
      <c r="D221" s="30" t="s">
        <v>553</v>
      </c>
      <c r="E221" s="30" t="s">
        <v>115</v>
      </c>
      <c r="F221" s="30" t="s">
        <v>579</v>
      </c>
      <c r="G221" s="48" t="s">
        <v>555</v>
      </c>
      <c r="H221" s="48" t="s">
        <v>118</v>
      </c>
      <c r="I221" s="30" t="s">
        <v>119</v>
      </c>
      <c r="J221" s="30" t="s">
        <v>764</v>
      </c>
      <c r="K221" s="30" t="s">
        <v>765</v>
      </c>
      <c r="L221" s="30" t="s">
        <v>766</v>
      </c>
      <c r="M221" s="79">
        <v>2100801</v>
      </c>
      <c r="N221" s="48" t="s">
        <v>582</v>
      </c>
      <c r="O221" s="48" t="s">
        <v>833</v>
      </c>
      <c r="P221" s="48" t="s">
        <v>768</v>
      </c>
      <c r="Q221" s="48" t="s">
        <v>769</v>
      </c>
      <c r="R221" s="48"/>
      <c r="S221" s="48" t="s">
        <v>834</v>
      </c>
      <c r="T221" s="48" t="s">
        <v>835</v>
      </c>
      <c r="U221" s="48" t="s">
        <v>588</v>
      </c>
      <c r="V221" s="48" t="s">
        <v>600</v>
      </c>
      <c r="W221" s="48" t="s">
        <v>772</v>
      </c>
      <c r="X221" s="48" t="s">
        <v>147</v>
      </c>
      <c r="Y221" s="99" t="s">
        <v>457</v>
      </c>
      <c r="Z221" s="99" t="s">
        <v>457</v>
      </c>
      <c r="AA221" s="48" t="s">
        <v>148</v>
      </c>
      <c r="AB221" s="30" t="s">
        <v>773</v>
      </c>
      <c r="AC221" s="30" t="s">
        <v>773</v>
      </c>
      <c r="AD221" s="48"/>
      <c r="AE221" s="48"/>
      <c r="AF221" s="48" t="s">
        <v>604</v>
      </c>
      <c r="AG221" s="30" t="s">
        <v>774</v>
      </c>
      <c r="AH221" s="48" t="s">
        <v>775</v>
      </c>
      <c r="AI221" s="48"/>
      <c r="AJ221" s="98">
        <v>40737</v>
      </c>
      <c r="AK221" s="80">
        <v>40755</v>
      </c>
      <c r="AL221" s="51">
        <f t="shared" si="111"/>
        <v>14.263013698630138</v>
      </c>
      <c r="AM221" s="52">
        <v>12</v>
      </c>
      <c r="AN221" s="48" t="s">
        <v>220</v>
      </c>
      <c r="AO221" s="30" t="s">
        <v>133</v>
      </c>
      <c r="AP221" s="30" t="s">
        <v>606</v>
      </c>
      <c r="AQ221" s="48">
        <v>6.9</v>
      </c>
      <c r="AR221" s="48">
        <v>1180</v>
      </c>
      <c r="AS221" s="48">
        <v>1110</v>
      </c>
      <c r="AT221" s="48">
        <v>2180</v>
      </c>
      <c r="AU221" s="53">
        <v>234400595</v>
      </c>
      <c r="AV221" s="54"/>
      <c r="AW221" s="54"/>
      <c r="AX221" s="54">
        <v>234400595</v>
      </c>
      <c r="AY221" s="54"/>
      <c r="AZ221" s="54"/>
      <c r="BA221" s="54">
        <v>1000</v>
      </c>
      <c r="BB221" s="55">
        <v>1000</v>
      </c>
      <c r="BC221" s="52">
        <v>144</v>
      </c>
      <c r="BD221" s="52"/>
      <c r="BE221" s="52">
        <v>0</v>
      </c>
      <c r="BF221" s="30"/>
      <c r="BG221" s="30"/>
      <c r="BH221" s="30" t="s">
        <v>776</v>
      </c>
      <c r="BI221" s="30" t="str">
        <f t="shared" si="135"/>
        <v>COG</v>
      </c>
      <c r="BJ221" s="47" t="s">
        <v>137</v>
      </c>
      <c r="BK221" s="67">
        <f t="shared" si="136"/>
        <v>4688011.9000000004</v>
      </c>
      <c r="BL221" s="68">
        <f t="shared" ref="BL221:BL284" si="147">CP221/$BL$1/4</f>
        <v>446902.16374214052</v>
      </c>
      <c r="BM221" s="68">
        <f t="shared" ref="BM221:BM284" si="148">CP221/$BL$1/12</f>
        <v>148967.38791404685</v>
      </c>
      <c r="BP221" s="69">
        <f>BM221*3</f>
        <v>446902.16374214052</v>
      </c>
      <c r="BQ221" s="69">
        <f>BP221</f>
        <v>446902.16374214052</v>
      </c>
      <c r="BR221" s="69">
        <f>SUM(BN221:BQ221)</f>
        <v>893804.32748428104</v>
      </c>
      <c r="BS221" s="69">
        <f>BQ221</f>
        <v>446902.16374214052</v>
      </c>
      <c r="BT221" s="69">
        <f t="shared" si="146"/>
        <v>446902.16374214052</v>
      </c>
      <c r="BU221" s="100">
        <f t="shared" si="146"/>
        <v>446902.16374214052</v>
      </c>
      <c r="BV221" s="100">
        <f t="shared" si="146"/>
        <v>446902.16374214052</v>
      </c>
      <c r="BW221" s="100">
        <f t="shared" si="140"/>
        <v>1787608.6549685621</v>
      </c>
      <c r="BX221" s="101">
        <f t="shared" si="119"/>
        <v>446902.16374214052</v>
      </c>
      <c r="BY221" s="101">
        <f t="shared" si="120"/>
        <v>446902.16374214052</v>
      </c>
      <c r="BZ221" s="18">
        <f>BM221*3</f>
        <v>446902.16374214052</v>
      </c>
      <c r="CA221" s="18">
        <f t="shared" si="120"/>
        <v>446902.16374214052</v>
      </c>
      <c r="CB221" s="70">
        <f t="shared" si="130"/>
        <v>1787608.6549685621</v>
      </c>
      <c r="CC221" s="18">
        <f t="shared" si="131"/>
        <v>446902.16374214052</v>
      </c>
      <c r="CD221" s="18">
        <f t="shared" si="142"/>
        <v>446902.16374214052</v>
      </c>
      <c r="CE221" s="18">
        <f t="shared" si="142"/>
        <v>446902.16374214052</v>
      </c>
      <c r="CF221" s="18">
        <f t="shared" si="142"/>
        <v>446902.16374214052</v>
      </c>
      <c r="CG221" s="70">
        <f t="shared" si="132"/>
        <v>1787608.6549685621</v>
      </c>
      <c r="CH221" s="18">
        <f t="shared" si="133"/>
        <v>446902.16374214052</v>
      </c>
      <c r="CI221" s="18">
        <f t="shared" si="145"/>
        <v>446902.16374214052</v>
      </c>
      <c r="CJ221" s="18">
        <f t="shared" si="145"/>
        <v>446902.16374214052</v>
      </c>
      <c r="CK221" s="18">
        <f t="shared" si="145"/>
        <v>446902.16374214052</v>
      </c>
      <c r="CL221" s="70">
        <f t="shared" si="134"/>
        <v>1787608.6549685621</v>
      </c>
      <c r="CM221" s="71"/>
      <c r="CN221" s="59">
        <f t="shared" si="143"/>
        <v>4.5775511141659504E-4</v>
      </c>
      <c r="CO221" s="64">
        <f t="shared" si="144"/>
        <v>9612857.3397484962</v>
      </c>
      <c r="CP221" s="2">
        <f t="shared" si="137"/>
        <v>14300869.239748497</v>
      </c>
    </row>
    <row r="222" spans="1:94" ht="16.5" hidden="1" x14ac:dyDescent="0.3">
      <c r="A222" s="2">
        <v>217</v>
      </c>
      <c r="B222" s="47" t="s">
        <v>21</v>
      </c>
      <c r="C222" s="47"/>
      <c r="D222" s="30" t="s">
        <v>553</v>
      </c>
      <c r="E222" s="30" t="s">
        <v>115</v>
      </c>
      <c r="F222" s="30" t="s">
        <v>579</v>
      </c>
      <c r="G222" s="48" t="s">
        <v>555</v>
      </c>
      <c r="H222" s="48" t="s">
        <v>118</v>
      </c>
      <c r="I222" s="30" t="s">
        <v>119</v>
      </c>
      <c r="J222" s="30" t="s">
        <v>764</v>
      </c>
      <c r="K222" s="30" t="s">
        <v>765</v>
      </c>
      <c r="L222" s="30" t="s">
        <v>766</v>
      </c>
      <c r="M222" s="79">
        <v>2100802</v>
      </c>
      <c r="N222" s="48" t="s">
        <v>582</v>
      </c>
      <c r="O222" s="48" t="s">
        <v>836</v>
      </c>
      <c r="P222" s="48" t="s">
        <v>768</v>
      </c>
      <c r="Q222" s="48" t="s">
        <v>769</v>
      </c>
      <c r="R222" s="48"/>
      <c r="S222" s="48" t="s">
        <v>837</v>
      </c>
      <c r="T222" s="48" t="s">
        <v>838</v>
      </c>
      <c r="U222" s="48" t="s">
        <v>588</v>
      </c>
      <c r="V222" s="48" t="s">
        <v>600</v>
      </c>
      <c r="W222" s="48" t="s">
        <v>772</v>
      </c>
      <c r="X222" s="48" t="s">
        <v>127</v>
      </c>
      <c r="Y222" s="48" t="s">
        <v>457</v>
      </c>
      <c r="Z222" s="48" t="s">
        <v>457</v>
      </c>
      <c r="AA222" s="48" t="s">
        <v>148</v>
      </c>
      <c r="AB222" s="30" t="s">
        <v>773</v>
      </c>
      <c r="AC222" s="30" t="s">
        <v>773</v>
      </c>
      <c r="AD222" s="48"/>
      <c r="AE222" s="48"/>
      <c r="AF222" s="48" t="s">
        <v>604</v>
      </c>
      <c r="AG222" s="30" t="s">
        <v>774</v>
      </c>
      <c r="AH222" s="48" t="s">
        <v>775</v>
      </c>
      <c r="AI222" s="48"/>
      <c r="AJ222" s="98">
        <v>40737</v>
      </c>
      <c r="AK222" s="80">
        <v>40755</v>
      </c>
      <c r="AL222" s="51">
        <f t="shared" si="111"/>
        <v>14.263013698630138</v>
      </c>
      <c r="AM222" s="52">
        <v>12</v>
      </c>
      <c r="AN222" s="48" t="s">
        <v>220</v>
      </c>
      <c r="AO222" s="30" t="s">
        <v>133</v>
      </c>
      <c r="AP222" s="30" t="s">
        <v>606</v>
      </c>
      <c r="AQ222" s="48">
        <v>6.9</v>
      </c>
      <c r="AR222" s="48">
        <v>1180</v>
      </c>
      <c r="AS222" s="48">
        <v>1110</v>
      </c>
      <c r="AT222" s="48">
        <v>2180</v>
      </c>
      <c r="AU222" s="53">
        <v>234400595</v>
      </c>
      <c r="AV222" s="54"/>
      <c r="AW222" s="54"/>
      <c r="AX222" s="54">
        <v>234400595</v>
      </c>
      <c r="AY222" s="54"/>
      <c r="AZ222" s="54"/>
      <c r="BA222" s="54">
        <v>1000</v>
      </c>
      <c r="BB222" s="55">
        <v>1000</v>
      </c>
      <c r="BC222" s="52">
        <v>144</v>
      </c>
      <c r="BD222" s="52"/>
      <c r="BE222" s="52">
        <v>0</v>
      </c>
      <c r="BF222" s="30"/>
      <c r="BG222" s="30"/>
      <c r="BH222" s="30" t="s">
        <v>776</v>
      </c>
      <c r="BI222" s="30" t="str">
        <f t="shared" si="135"/>
        <v>COG</v>
      </c>
      <c r="BJ222" s="47" t="s">
        <v>137</v>
      </c>
      <c r="BK222" s="56">
        <f t="shared" si="136"/>
        <v>4688011.9000000004</v>
      </c>
      <c r="BL222" s="57">
        <f t="shared" si="147"/>
        <v>446902.16374214052</v>
      </c>
      <c r="BM222" s="57">
        <f t="shared" si="148"/>
        <v>148967.38791404685</v>
      </c>
      <c r="BU222" s="58">
        <f>BM222*3</f>
        <v>446902.16374214052</v>
      </c>
      <c r="BV222" s="58">
        <f t="shared" si="146"/>
        <v>446902.16374214052</v>
      </c>
      <c r="BW222" s="58">
        <f t="shared" si="140"/>
        <v>893804.32748428104</v>
      </c>
      <c r="BX222" s="58">
        <f t="shared" si="119"/>
        <v>446902.16374214052</v>
      </c>
      <c r="BY222" s="58">
        <f t="shared" si="120"/>
        <v>446902.16374214052</v>
      </c>
      <c r="BZ222" s="58">
        <f>BM222*3</f>
        <v>446902.16374214052</v>
      </c>
      <c r="CA222" s="58">
        <f t="shared" si="120"/>
        <v>446902.16374214052</v>
      </c>
      <c r="CB222" s="58">
        <f t="shared" si="130"/>
        <v>1787608.6549685621</v>
      </c>
      <c r="CC222" s="58">
        <f t="shared" si="131"/>
        <v>446902.16374214052</v>
      </c>
      <c r="CD222" s="58">
        <f t="shared" ref="CD222:CF237" si="149">CC222</f>
        <v>446902.16374214052</v>
      </c>
      <c r="CE222" s="58">
        <f t="shared" si="149"/>
        <v>446902.16374214052</v>
      </c>
      <c r="CF222" s="58">
        <f t="shared" si="149"/>
        <v>446902.16374214052</v>
      </c>
      <c r="CG222" s="58">
        <f t="shared" si="132"/>
        <v>1787608.6549685621</v>
      </c>
      <c r="CH222" s="58">
        <f t="shared" si="133"/>
        <v>446902.16374214052</v>
      </c>
      <c r="CI222" s="58">
        <f t="shared" si="145"/>
        <v>446902.16374214052</v>
      </c>
      <c r="CJ222" s="58">
        <f t="shared" si="145"/>
        <v>446902.16374214052</v>
      </c>
      <c r="CK222" s="58">
        <f t="shared" si="145"/>
        <v>446902.16374214052</v>
      </c>
      <c r="CL222" s="58">
        <f t="shared" si="134"/>
        <v>1787608.6549685621</v>
      </c>
      <c r="CN222" s="59">
        <f t="shared" si="143"/>
        <v>4.5775511141659504E-4</v>
      </c>
      <c r="CO222" s="64">
        <f t="shared" si="144"/>
        <v>9612857.3397484962</v>
      </c>
      <c r="CP222" s="2">
        <f t="shared" si="137"/>
        <v>14300869.239748497</v>
      </c>
    </row>
    <row r="223" spans="1:94" ht="16.5" hidden="1" x14ac:dyDescent="0.3">
      <c r="A223" s="2">
        <v>218</v>
      </c>
      <c r="B223" s="47" t="s">
        <v>21</v>
      </c>
      <c r="C223" s="47"/>
      <c r="D223" s="30" t="s">
        <v>553</v>
      </c>
      <c r="E223" s="30" t="s">
        <v>115</v>
      </c>
      <c r="F223" s="30" t="s">
        <v>579</v>
      </c>
      <c r="G223" s="48" t="s">
        <v>555</v>
      </c>
      <c r="H223" s="48" t="s">
        <v>118</v>
      </c>
      <c r="I223" s="30" t="s">
        <v>119</v>
      </c>
      <c r="J223" s="30" t="s">
        <v>764</v>
      </c>
      <c r="K223" s="30" t="s">
        <v>765</v>
      </c>
      <c r="L223" s="48" t="s">
        <v>794</v>
      </c>
      <c r="M223" s="79">
        <v>2100803</v>
      </c>
      <c r="N223" s="48" t="s">
        <v>582</v>
      </c>
      <c r="O223" s="48" t="s">
        <v>839</v>
      </c>
      <c r="P223" s="48" t="s">
        <v>796</v>
      </c>
      <c r="Q223" s="48" t="s">
        <v>797</v>
      </c>
      <c r="R223" s="48"/>
      <c r="S223" s="48" t="s">
        <v>840</v>
      </c>
      <c r="T223" s="30" t="s">
        <v>841</v>
      </c>
      <c r="U223" s="48" t="s">
        <v>588</v>
      </c>
      <c r="V223" s="48" t="s">
        <v>800</v>
      </c>
      <c r="W223" s="48" t="s">
        <v>801</v>
      </c>
      <c r="X223" s="103" t="s">
        <v>602</v>
      </c>
      <c r="Y223" s="48" t="s">
        <v>128</v>
      </c>
      <c r="Z223" s="48" t="s">
        <v>128</v>
      </c>
      <c r="AA223" s="48" t="s">
        <v>129</v>
      </c>
      <c r="AB223" s="48" t="s">
        <v>802</v>
      </c>
      <c r="AC223" s="48" t="s">
        <v>802</v>
      </c>
      <c r="AD223" s="48"/>
      <c r="AE223" s="48"/>
      <c r="AF223" s="48" t="s">
        <v>131</v>
      </c>
      <c r="AG223" s="48" t="s">
        <v>649</v>
      </c>
      <c r="AH223" s="48"/>
      <c r="AI223" s="48"/>
      <c r="AJ223" s="98">
        <v>40731</v>
      </c>
      <c r="AK223" s="80">
        <v>40755</v>
      </c>
      <c r="AL223" s="51">
        <f t="shared" si="111"/>
        <v>14.263013698630138</v>
      </c>
      <c r="AM223" s="52">
        <v>12</v>
      </c>
      <c r="AN223" s="48" t="s">
        <v>220</v>
      </c>
      <c r="AO223" s="30" t="s">
        <v>133</v>
      </c>
      <c r="AP223" s="30" t="s">
        <v>606</v>
      </c>
      <c r="AQ223" s="48">
        <v>5.5</v>
      </c>
      <c r="AR223" s="48">
        <v>1695</v>
      </c>
      <c r="AS223" s="48">
        <v>1300</v>
      </c>
      <c r="AT223" s="48">
        <v>2220</v>
      </c>
      <c r="AU223" s="53">
        <v>228120861</v>
      </c>
      <c r="AV223" s="54"/>
      <c r="AW223" s="54"/>
      <c r="AX223" s="54">
        <v>228120861</v>
      </c>
      <c r="AY223" s="54"/>
      <c r="AZ223" s="54"/>
      <c r="BA223" s="54">
        <v>1000</v>
      </c>
      <c r="BB223" s="55">
        <v>1000</v>
      </c>
      <c r="BC223" s="52">
        <v>144</v>
      </c>
      <c r="BD223" s="52"/>
      <c r="BE223" s="52">
        <v>0</v>
      </c>
      <c r="BF223" s="30"/>
      <c r="BG223" s="30"/>
      <c r="BH223" s="30" t="s">
        <v>776</v>
      </c>
      <c r="BI223" s="30" t="str">
        <f t="shared" si="135"/>
        <v>COG</v>
      </c>
      <c r="BJ223" s="47" t="s">
        <v>137</v>
      </c>
      <c r="BK223" s="56">
        <f t="shared" si="136"/>
        <v>4562417.22</v>
      </c>
      <c r="BL223" s="57">
        <f t="shared" si="147"/>
        <v>434929.38392763061</v>
      </c>
      <c r="BM223" s="57">
        <f t="shared" si="148"/>
        <v>144976.46130921019</v>
      </c>
      <c r="BU223" s="58">
        <f>BM223*3</f>
        <v>434929.38392763061</v>
      </c>
      <c r="BV223" s="58">
        <f t="shared" si="146"/>
        <v>434929.38392763061</v>
      </c>
      <c r="BW223" s="58">
        <f t="shared" si="140"/>
        <v>869858.76785526122</v>
      </c>
      <c r="BX223" s="58">
        <f t="shared" si="119"/>
        <v>434929.38392763061</v>
      </c>
      <c r="BY223" s="58">
        <f t="shared" si="120"/>
        <v>434929.38392763061</v>
      </c>
      <c r="BZ223" s="58">
        <f>BM223*3</f>
        <v>434929.38392763061</v>
      </c>
      <c r="CA223" s="58">
        <f t="shared" si="120"/>
        <v>434929.38392763061</v>
      </c>
      <c r="CB223" s="58">
        <f t="shared" si="130"/>
        <v>1739717.5357105224</v>
      </c>
      <c r="CC223" s="58">
        <f t="shared" si="131"/>
        <v>434929.38392763061</v>
      </c>
      <c r="CD223" s="58">
        <f t="shared" si="149"/>
        <v>434929.38392763061</v>
      </c>
      <c r="CE223" s="58">
        <f t="shared" si="149"/>
        <v>434929.38392763061</v>
      </c>
      <c r="CF223" s="58">
        <f t="shared" si="149"/>
        <v>434929.38392763061</v>
      </c>
      <c r="CG223" s="58">
        <f t="shared" si="132"/>
        <v>1739717.5357105224</v>
      </c>
      <c r="CH223" s="58">
        <f t="shared" si="133"/>
        <v>434929.38392763061</v>
      </c>
      <c r="CI223" s="58">
        <f t="shared" si="145"/>
        <v>434929.38392763061</v>
      </c>
      <c r="CJ223" s="58">
        <f t="shared" si="145"/>
        <v>434929.38392763061</v>
      </c>
      <c r="CK223" s="58">
        <f t="shared" si="145"/>
        <v>434929.38392763061</v>
      </c>
      <c r="CL223" s="58">
        <f t="shared" si="134"/>
        <v>1739717.5357105224</v>
      </c>
      <c r="CN223" s="59">
        <f t="shared" si="143"/>
        <v>4.4549157455638956E-4</v>
      </c>
      <c r="CO223" s="64">
        <f t="shared" si="144"/>
        <v>9355323.0656841807</v>
      </c>
      <c r="CP223" s="2">
        <f t="shared" si="137"/>
        <v>13917740.28568418</v>
      </c>
    </row>
    <row r="224" spans="1:94" ht="16.5" hidden="1" x14ac:dyDescent="0.3">
      <c r="A224" s="2">
        <v>219</v>
      </c>
      <c r="B224" s="47" t="s">
        <v>21</v>
      </c>
      <c r="C224" s="47"/>
      <c r="D224" s="30" t="s">
        <v>553</v>
      </c>
      <c r="E224" s="30" t="s">
        <v>115</v>
      </c>
      <c r="F224" s="30" t="s">
        <v>579</v>
      </c>
      <c r="G224" s="48" t="s">
        <v>555</v>
      </c>
      <c r="H224" s="48" t="s">
        <v>118</v>
      </c>
      <c r="I224" s="30" t="s">
        <v>119</v>
      </c>
      <c r="J224" s="30" t="s">
        <v>764</v>
      </c>
      <c r="K224" s="30" t="s">
        <v>765</v>
      </c>
      <c r="L224" s="48" t="s">
        <v>794</v>
      </c>
      <c r="M224" s="79">
        <v>2100804</v>
      </c>
      <c r="N224" s="48" t="s">
        <v>582</v>
      </c>
      <c r="O224" s="48" t="s">
        <v>842</v>
      </c>
      <c r="P224" s="48" t="s">
        <v>796</v>
      </c>
      <c r="Q224" s="48" t="s">
        <v>797</v>
      </c>
      <c r="R224" s="48"/>
      <c r="S224" s="48" t="s">
        <v>843</v>
      </c>
      <c r="T224" s="30" t="s">
        <v>844</v>
      </c>
      <c r="U224" s="48" t="s">
        <v>588</v>
      </c>
      <c r="V224" s="48" t="s">
        <v>800</v>
      </c>
      <c r="W224" s="48" t="s">
        <v>801</v>
      </c>
      <c r="X224" s="103" t="s">
        <v>602</v>
      </c>
      <c r="Y224" s="48" t="s">
        <v>128</v>
      </c>
      <c r="Z224" s="48" t="s">
        <v>128</v>
      </c>
      <c r="AA224" s="48" t="s">
        <v>129</v>
      </c>
      <c r="AB224" s="48" t="s">
        <v>802</v>
      </c>
      <c r="AC224" s="48" t="s">
        <v>802</v>
      </c>
      <c r="AD224" s="48"/>
      <c r="AE224" s="48"/>
      <c r="AF224" s="48" t="s">
        <v>131</v>
      </c>
      <c r="AG224" s="48" t="s">
        <v>649</v>
      </c>
      <c r="AH224" s="48"/>
      <c r="AI224" s="48"/>
      <c r="AJ224" s="98">
        <v>40787</v>
      </c>
      <c r="AK224" s="80">
        <v>40755</v>
      </c>
      <c r="AL224" s="51">
        <f t="shared" si="111"/>
        <v>14.263013698630138</v>
      </c>
      <c r="AM224" s="52">
        <v>12</v>
      </c>
      <c r="AN224" s="48" t="s">
        <v>220</v>
      </c>
      <c r="AO224" s="30" t="s">
        <v>133</v>
      </c>
      <c r="AP224" s="30" t="s">
        <v>606</v>
      </c>
      <c r="AQ224" s="48">
        <v>5.5</v>
      </c>
      <c r="AR224" s="48">
        <v>1695</v>
      </c>
      <c r="AS224" s="48">
        <v>1300</v>
      </c>
      <c r="AT224" s="48">
        <v>2220</v>
      </c>
      <c r="AU224" s="53">
        <v>228120860</v>
      </c>
      <c r="AV224" s="54"/>
      <c r="AW224" s="54"/>
      <c r="AX224" s="54">
        <v>228120860</v>
      </c>
      <c r="AY224" s="54"/>
      <c r="AZ224" s="54"/>
      <c r="BA224" s="54">
        <v>1000</v>
      </c>
      <c r="BB224" s="55">
        <v>1000</v>
      </c>
      <c r="BC224" s="52">
        <v>144</v>
      </c>
      <c r="BD224" s="52"/>
      <c r="BE224" s="52">
        <v>0</v>
      </c>
      <c r="BF224" s="30"/>
      <c r="BG224" s="30"/>
      <c r="BH224" s="30" t="s">
        <v>776</v>
      </c>
      <c r="BI224" s="30" t="str">
        <f t="shared" si="135"/>
        <v>COG</v>
      </c>
      <c r="BJ224" s="47" t="s">
        <v>137</v>
      </c>
      <c r="BK224" s="56">
        <f t="shared" si="136"/>
        <v>4562417.2</v>
      </c>
      <c r="BL224" s="57">
        <f t="shared" si="147"/>
        <v>434929.38202105637</v>
      </c>
      <c r="BM224" s="57">
        <f t="shared" si="148"/>
        <v>144976.46067368545</v>
      </c>
      <c r="BU224" s="58">
        <f>BM224*3</f>
        <v>434929.38202105637</v>
      </c>
      <c r="BV224" s="58">
        <f t="shared" si="146"/>
        <v>434929.38202105637</v>
      </c>
      <c r="BW224" s="58">
        <f t="shared" si="140"/>
        <v>869858.76404211274</v>
      </c>
      <c r="BX224" s="58">
        <f t="shared" si="119"/>
        <v>434929.38202105637</v>
      </c>
      <c r="BY224" s="58">
        <f t="shared" si="120"/>
        <v>434929.38202105637</v>
      </c>
      <c r="BZ224" s="58">
        <f>BM224*3</f>
        <v>434929.38202105637</v>
      </c>
      <c r="CA224" s="58">
        <f t="shared" si="120"/>
        <v>434929.38202105637</v>
      </c>
      <c r="CB224" s="58">
        <f t="shared" si="130"/>
        <v>1739717.5280842255</v>
      </c>
      <c r="CC224" s="58">
        <f t="shared" si="131"/>
        <v>434929.38202105637</v>
      </c>
      <c r="CD224" s="58">
        <f t="shared" si="149"/>
        <v>434929.38202105637</v>
      </c>
      <c r="CE224" s="58">
        <f t="shared" si="149"/>
        <v>434929.38202105637</v>
      </c>
      <c r="CF224" s="58">
        <f t="shared" si="149"/>
        <v>434929.38202105637</v>
      </c>
      <c r="CG224" s="58">
        <f t="shared" si="132"/>
        <v>1739717.5280842255</v>
      </c>
      <c r="CH224" s="58">
        <f t="shared" si="133"/>
        <v>434929.38202105637</v>
      </c>
      <c r="CI224" s="58">
        <f t="shared" si="145"/>
        <v>434929.38202105637</v>
      </c>
      <c r="CJ224" s="58">
        <f t="shared" si="145"/>
        <v>434929.38202105637</v>
      </c>
      <c r="CK224" s="58">
        <f t="shared" si="145"/>
        <v>434929.38202105637</v>
      </c>
      <c r="CL224" s="58">
        <f t="shared" si="134"/>
        <v>1739717.5280842255</v>
      </c>
      <c r="CN224" s="59">
        <f t="shared" si="143"/>
        <v>4.4549157260351442E-4</v>
      </c>
      <c r="CO224" s="64">
        <f t="shared" si="144"/>
        <v>9355323.0246738028</v>
      </c>
      <c r="CP224" s="2">
        <f t="shared" si="137"/>
        <v>13917740.224673804</v>
      </c>
    </row>
    <row r="225" spans="1:94" ht="16.5" hidden="1" x14ac:dyDescent="0.3">
      <c r="A225" s="2">
        <v>220</v>
      </c>
      <c r="B225" s="47" t="s">
        <v>21</v>
      </c>
      <c r="C225" s="47"/>
      <c r="D225" s="30" t="s">
        <v>553</v>
      </c>
      <c r="E225" s="30" t="s">
        <v>115</v>
      </c>
      <c r="F225" s="30" t="s">
        <v>579</v>
      </c>
      <c r="G225" s="48" t="s">
        <v>555</v>
      </c>
      <c r="H225" s="48" t="s">
        <v>118</v>
      </c>
      <c r="I225" s="30" t="s">
        <v>119</v>
      </c>
      <c r="J225" s="30" t="s">
        <v>764</v>
      </c>
      <c r="K225" s="30" t="s">
        <v>765</v>
      </c>
      <c r="L225" s="48" t="s">
        <v>777</v>
      </c>
      <c r="M225" s="79">
        <v>2100805</v>
      </c>
      <c r="N225" s="48" t="s">
        <v>582</v>
      </c>
      <c r="O225" s="48" t="s">
        <v>845</v>
      </c>
      <c r="P225" s="48"/>
      <c r="Q225" s="48" t="s">
        <v>823</v>
      </c>
      <c r="R225" s="48"/>
      <c r="S225" s="48" t="s">
        <v>846</v>
      </c>
      <c r="T225" s="48" t="s">
        <v>847</v>
      </c>
      <c r="U225" s="48" t="s">
        <v>588</v>
      </c>
      <c r="V225" s="48" t="s">
        <v>589</v>
      </c>
      <c r="W225" s="48" t="s">
        <v>826</v>
      </c>
      <c r="X225" s="48" t="s">
        <v>147</v>
      </c>
      <c r="Y225" s="99" t="s">
        <v>128</v>
      </c>
      <c r="Z225" s="99" t="s">
        <v>128</v>
      </c>
      <c r="AA225" s="48" t="s">
        <v>129</v>
      </c>
      <c r="AB225" s="48" t="s">
        <v>783</v>
      </c>
      <c r="AC225" s="48" t="s">
        <v>783</v>
      </c>
      <c r="AD225" s="48"/>
      <c r="AE225" s="48"/>
      <c r="AF225" s="48" t="s">
        <v>131</v>
      </c>
      <c r="AG225" s="48" t="s">
        <v>784</v>
      </c>
      <c r="AH225" s="48"/>
      <c r="AI225" s="48"/>
      <c r="AJ225" s="98"/>
      <c r="AK225" s="80">
        <v>40755</v>
      </c>
      <c r="AL225" s="51">
        <f t="shared" si="111"/>
        <v>14.263013698630138</v>
      </c>
      <c r="AM225" s="52">
        <v>12</v>
      </c>
      <c r="AN225" s="48" t="s">
        <v>220</v>
      </c>
      <c r="AO225" s="30" t="s">
        <v>133</v>
      </c>
      <c r="AP225" s="30" t="s">
        <v>606</v>
      </c>
      <c r="AQ225" s="48"/>
      <c r="AR225" s="48"/>
      <c r="AS225" s="48"/>
      <c r="AT225" s="48"/>
      <c r="AU225" s="53">
        <v>159325000</v>
      </c>
      <c r="AV225" s="54"/>
      <c r="AW225" s="54"/>
      <c r="AX225" s="54">
        <v>159325000</v>
      </c>
      <c r="AY225" s="54"/>
      <c r="AZ225" s="54"/>
      <c r="BA225" s="54">
        <v>1000</v>
      </c>
      <c r="BB225" s="55">
        <v>1000</v>
      </c>
      <c r="BC225" s="52">
        <v>144</v>
      </c>
      <c r="BD225" s="52"/>
      <c r="BE225" s="52">
        <v>0</v>
      </c>
      <c r="BF225" s="30"/>
      <c r="BG225" s="30"/>
      <c r="BH225" s="30" t="s">
        <v>776</v>
      </c>
      <c r="BI225" s="30" t="str">
        <f t="shared" si="135"/>
        <v>COG</v>
      </c>
      <c r="BJ225" s="47" t="s">
        <v>137</v>
      </c>
      <c r="BK225" s="67">
        <f t="shared" si="136"/>
        <v>3186500</v>
      </c>
      <c r="BL225" s="68">
        <f t="shared" si="147"/>
        <v>303764.95946273743</v>
      </c>
      <c r="BM225" s="68">
        <f t="shared" si="148"/>
        <v>101254.98648757914</v>
      </c>
      <c r="BP225" s="69">
        <f>BM225*3</f>
        <v>303764.95946273743</v>
      </c>
      <c r="BQ225" s="69">
        <f>BP225</f>
        <v>303764.95946273743</v>
      </c>
      <c r="BR225" s="69">
        <f>SUM(BN225:BQ225)</f>
        <v>607529.91892547486</v>
      </c>
      <c r="BS225" s="69">
        <f>BQ225</f>
        <v>303764.95946273743</v>
      </c>
      <c r="BT225" s="69">
        <f t="shared" si="146"/>
        <v>303764.95946273743</v>
      </c>
      <c r="BU225" s="100">
        <f t="shared" si="146"/>
        <v>303764.95946273743</v>
      </c>
      <c r="BV225" s="100">
        <f t="shared" si="146"/>
        <v>303764.95946273743</v>
      </c>
      <c r="BW225" s="100">
        <f t="shared" si="140"/>
        <v>1215059.8378509497</v>
      </c>
      <c r="BX225" s="101">
        <f t="shared" si="119"/>
        <v>303764.95946273743</v>
      </c>
      <c r="BY225" s="101">
        <f t="shared" si="120"/>
        <v>303764.95946273743</v>
      </c>
      <c r="BZ225" s="18">
        <f t="shared" si="120"/>
        <v>303764.95946273743</v>
      </c>
      <c r="CA225" s="18">
        <f t="shared" si="120"/>
        <v>303764.95946273743</v>
      </c>
      <c r="CB225" s="70">
        <f t="shared" si="130"/>
        <v>1215059.8378509497</v>
      </c>
      <c r="CC225" s="18">
        <f t="shared" si="131"/>
        <v>303764.95946273743</v>
      </c>
      <c r="CD225" s="18">
        <f t="shared" si="149"/>
        <v>303764.95946273743</v>
      </c>
      <c r="CE225" s="18">
        <f t="shared" si="149"/>
        <v>303764.95946273743</v>
      </c>
      <c r="CF225" s="18">
        <f t="shared" si="149"/>
        <v>303764.95946273743</v>
      </c>
      <c r="CG225" s="70">
        <f t="shared" si="132"/>
        <v>1215059.8378509497</v>
      </c>
      <c r="CH225" s="18">
        <f t="shared" si="133"/>
        <v>303764.95946273743</v>
      </c>
      <c r="CI225" s="18">
        <f t="shared" si="145"/>
        <v>303764.95946273743</v>
      </c>
      <c r="CJ225" s="18">
        <f t="shared" si="145"/>
        <v>303764.95946273743</v>
      </c>
      <c r="CK225" s="18">
        <f t="shared" si="145"/>
        <v>303764.95946273743</v>
      </c>
      <c r="CL225" s="70">
        <f t="shared" si="134"/>
        <v>1215059.8378509497</v>
      </c>
      <c r="CM225" s="71"/>
      <c r="CN225" s="59">
        <f t="shared" si="143"/>
        <v>3.1114184299083796E-4</v>
      </c>
      <c r="CO225" s="64">
        <f t="shared" si="144"/>
        <v>6533978.7028075969</v>
      </c>
      <c r="CP225" s="2">
        <f t="shared" si="137"/>
        <v>9720478.7028075978</v>
      </c>
    </row>
    <row r="226" spans="1:94" ht="16.5" hidden="1" x14ac:dyDescent="0.3">
      <c r="A226" s="2">
        <v>221</v>
      </c>
      <c r="B226" s="47" t="s">
        <v>21</v>
      </c>
      <c r="C226" s="47"/>
      <c r="D226" s="30" t="s">
        <v>553</v>
      </c>
      <c r="E226" s="30" t="s">
        <v>115</v>
      </c>
      <c r="F226" s="30" t="s">
        <v>579</v>
      </c>
      <c r="G226" s="48" t="s">
        <v>555</v>
      </c>
      <c r="H226" s="48" t="s">
        <v>118</v>
      </c>
      <c r="I226" s="30" t="s">
        <v>119</v>
      </c>
      <c r="J226" s="30" t="s">
        <v>764</v>
      </c>
      <c r="K226" s="30" t="s">
        <v>765</v>
      </c>
      <c r="L226" s="30" t="s">
        <v>766</v>
      </c>
      <c r="M226" s="79">
        <v>2100807</v>
      </c>
      <c r="N226" s="48" t="s">
        <v>582</v>
      </c>
      <c r="O226" s="48" t="s">
        <v>848</v>
      </c>
      <c r="P226" s="48" t="s">
        <v>768</v>
      </c>
      <c r="Q226" s="48" t="s">
        <v>769</v>
      </c>
      <c r="R226" s="48"/>
      <c r="S226" s="48" t="s">
        <v>849</v>
      </c>
      <c r="T226" s="48" t="s">
        <v>850</v>
      </c>
      <c r="U226" s="48" t="s">
        <v>588</v>
      </c>
      <c r="V226" s="48" t="s">
        <v>600</v>
      </c>
      <c r="W226" s="48" t="s">
        <v>772</v>
      </c>
      <c r="X226" s="48" t="s">
        <v>127</v>
      </c>
      <c r="Y226" s="48" t="s">
        <v>457</v>
      </c>
      <c r="Z226" s="48" t="s">
        <v>457</v>
      </c>
      <c r="AA226" s="48" t="s">
        <v>148</v>
      </c>
      <c r="AB226" s="30" t="s">
        <v>773</v>
      </c>
      <c r="AC226" s="30" t="s">
        <v>773</v>
      </c>
      <c r="AD226" s="48"/>
      <c r="AE226" s="48"/>
      <c r="AF226" s="48" t="s">
        <v>604</v>
      </c>
      <c r="AG226" s="30" t="s">
        <v>774</v>
      </c>
      <c r="AH226" s="48" t="s">
        <v>775</v>
      </c>
      <c r="AI226" s="48"/>
      <c r="AJ226" s="98">
        <v>40787</v>
      </c>
      <c r="AK226" s="80">
        <v>40816</v>
      </c>
      <c r="AL226" s="51">
        <f t="shared" si="111"/>
        <v>14.095890410958905</v>
      </c>
      <c r="AM226" s="52">
        <v>12</v>
      </c>
      <c r="AN226" s="48" t="s">
        <v>220</v>
      </c>
      <c r="AO226" s="30" t="s">
        <v>133</v>
      </c>
      <c r="AP226" s="30" t="s">
        <v>606</v>
      </c>
      <c r="AQ226" s="48">
        <v>6.9</v>
      </c>
      <c r="AR226" s="48">
        <v>1180</v>
      </c>
      <c r="AS226" s="48">
        <v>1110</v>
      </c>
      <c r="AT226" s="48">
        <v>2180</v>
      </c>
      <c r="AU226" s="53">
        <v>253295612</v>
      </c>
      <c r="AV226" s="54"/>
      <c r="AW226" s="54"/>
      <c r="AX226" s="54">
        <v>253295612</v>
      </c>
      <c r="AY226" s="54"/>
      <c r="AZ226" s="54"/>
      <c r="BA226" s="54">
        <v>1000</v>
      </c>
      <c r="BB226" s="55">
        <v>1000</v>
      </c>
      <c r="BC226" s="52">
        <v>144</v>
      </c>
      <c r="BD226" s="52"/>
      <c r="BE226" s="52">
        <v>0</v>
      </c>
      <c r="BF226" s="30"/>
      <c r="BG226" s="30"/>
      <c r="BH226" s="30" t="s">
        <v>776</v>
      </c>
      <c r="BI226" s="30" t="str">
        <f t="shared" si="135"/>
        <v>COG</v>
      </c>
      <c r="BJ226" s="47" t="s">
        <v>137</v>
      </c>
      <c r="BK226" s="56">
        <f t="shared" si="136"/>
        <v>5065912.24</v>
      </c>
      <c r="BL226" s="57">
        <f t="shared" si="147"/>
        <v>482926.91863341763</v>
      </c>
      <c r="BM226" s="57">
        <f t="shared" si="148"/>
        <v>160975.63954447253</v>
      </c>
      <c r="BU226" s="58">
        <f>BM226*3</f>
        <v>482926.91863341758</v>
      </c>
      <c r="BV226" s="58">
        <f t="shared" si="146"/>
        <v>482926.91863341758</v>
      </c>
      <c r="BW226" s="58">
        <f t="shared" si="140"/>
        <v>965853.83726683515</v>
      </c>
      <c r="BX226" s="58">
        <f t="shared" si="119"/>
        <v>482926.91863341758</v>
      </c>
      <c r="BY226" s="58">
        <f t="shared" si="120"/>
        <v>482926.91863341758</v>
      </c>
      <c r="BZ226" s="58">
        <f>BM226*3</f>
        <v>482926.91863341758</v>
      </c>
      <c r="CA226" s="58">
        <f t="shared" si="120"/>
        <v>482926.91863341758</v>
      </c>
      <c r="CB226" s="58">
        <f t="shared" si="130"/>
        <v>1931707.6745336703</v>
      </c>
      <c r="CC226" s="58">
        <f t="shared" si="131"/>
        <v>482926.91863341758</v>
      </c>
      <c r="CD226" s="58">
        <f t="shared" si="149"/>
        <v>482926.91863341758</v>
      </c>
      <c r="CE226" s="58">
        <f t="shared" si="149"/>
        <v>482926.91863341758</v>
      </c>
      <c r="CF226" s="58">
        <f t="shared" si="149"/>
        <v>482926.91863341758</v>
      </c>
      <c r="CG226" s="58">
        <f t="shared" si="132"/>
        <v>1931707.6745336703</v>
      </c>
      <c r="CH226" s="58">
        <f t="shared" si="133"/>
        <v>482926.91863341758</v>
      </c>
      <c r="CI226" s="58">
        <f t="shared" si="145"/>
        <v>482926.91863341758</v>
      </c>
      <c r="CJ226" s="58">
        <f t="shared" si="145"/>
        <v>482926.91863341758</v>
      </c>
      <c r="CK226" s="58">
        <f t="shared" si="145"/>
        <v>482926.91863341758</v>
      </c>
      <c r="CL226" s="58">
        <f t="shared" si="134"/>
        <v>1931707.6745336703</v>
      </c>
      <c r="CN226" s="59">
        <f t="shared" si="143"/>
        <v>4.9465472172711261E-4</v>
      </c>
      <c r="CO226" s="64">
        <f t="shared" si="144"/>
        <v>10387749.156269364</v>
      </c>
      <c r="CP226" s="2">
        <f t="shared" si="137"/>
        <v>15453661.396269364</v>
      </c>
    </row>
    <row r="227" spans="1:94" ht="16.5" hidden="1" x14ac:dyDescent="0.3">
      <c r="A227" s="2">
        <v>222</v>
      </c>
      <c r="B227" s="47" t="s">
        <v>21</v>
      </c>
      <c r="C227" s="47"/>
      <c r="D227" s="30" t="s">
        <v>553</v>
      </c>
      <c r="E227" s="30" t="s">
        <v>115</v>
      </c>
      <c r="F227" s="30" t="s">
        <v>579</v>
      </c>
      <c r="G227" s="48" t="s">
        <v>555</v>
      </c>
      <c r="H227" s="48" t="s">
        <v>118</v>
      </c>
      <c r="I227" s="30" t="s">
        <v>119</v>
      </c>
      <c r="J227" s="30" t="s">
        <v>764</v>
      </c>
      <c r="K227" s="30" t="s">
        <v>765</v>
      </c>
      <c r="L227" s="48" t="s">
        <v>794</v>
      </c>
      <c r="M227" s="79">
        <v>2100809</v>
      </c>
      <c r="N227" s="48" t="s">
        <v>582</v>
      </c>
      <c r="O227" s="48" t="s">
        <v>851</v>
      </c>
      <c r="P227" s="48" t="s">
        <v>796</v>
      </c>
      <c r="Q227" s="48" t="s">
        <v>797</v>
      </c>
      <c r="R227" s="48"/>
      <c r="S227" s="48" t="s">
        <v>852</v>
      </c>
      <c r="T227" s="30" t="s">
        <v>853</v>
      </c>
      <c r="U227" s="48" t="s">
        <v>588</v>
      </c>
      <c r="V227" s="48" t="s">
        <v>800</v>
      </c>
      <c r="W227" s="48" t="s">
        <v>801</v>
      </c>
      <c r="X227" s="103" t="s">
        <v>602</v>
      </c>
      <c r="Y227" s="48" t="s">
        <v>128</v>
      </c>
      <c r="Z227" s="48" t="s">
        <v>128</v>
      </c>
      <c r="AA227" s="48" t="s">
        <v>129</v>
      </c>
      <c r="AB227" s="48" t="s">
        <v>802</v>
      </c>
      <c r="AC227" s="48" t="s">
        <v>802</v>
      </c>
      <c r="AD227" s="48"/>
      <c r="AE227" s="48"/>
      <c r="AF227" s="48" t="s">
        <v>131</v>
      </c>
      <c r="AG227" s="48" t="s">
        <v>649</v>
      </c>
      <c r="AH227" s="48"/>
      <c r="AI227" s="48"/>
      <c r="AJ227" s="98">
        <v>40891</v>
      </c>
      <c r="AK227" s="80">
        <v>40847</v>
      </c>
      <c r="AL227" s="51">
        <f t="shared" si="111"/>
        <v>14.010958904109589</v>
      </c>
      <c r="AM227" s="52">
        <v>12</v>
      </c>
      <c r="AN227" s="48" t="s">
        <v>220</v>
      </c>
      <c r="AO227" s="30" t="s">
        <v>133</v>
      </c>
      <c r="AP227" s="30" t="s">
        <v>606</v>
      </c>
      <c r="AQ227" s="48">
        <v>5.5</v>
      </c>
      <c r="AR227" s="48">
        <v>1695</v>
      </c>
      <c r="AS227" s="48">
        <v>1300</v>
      </c>
      <c r="AT227" s="48">
        <v>2220</v>
      </c>
      <c r="AU227" s="53">
        <v>232249729</v>
      </c>
      <c r="AV227" s="54"/>
      <c r="AW227" s="54"/>
      <c r="AX227" s="54">
        <v>232249729</v>
      </c>
      <c r="AY227" s="54"/>
      <c r="AZ227" s="54"/>
      <c r="BA227" s="54">
        <v>1000</v>
      </c>
      <c r="BB227" s="55">
        <v>1000</v>
      </c>
      <c r="BC227" s="52">
        <v>144</v>
      </c>
      <c r="BD227" s="52"/>
      <c r="BE227" s="52">
        <v>0</v>
      </c>
      <c r="BF227" s="30"/>
      <c r="BG227" s="30"/>
      <c r="BH227" s="30" t="s">
        <v>776</v>
      </c>
      <c r="BI227" s="30" t="str">
        <f t="shared" si="135"/>
        <v>COG</v>
      </c>
      <c r="BJ227" s="47" t="s">
        <v>137</v>
      </c>
      <c r="BK227" s="56">
        <f t="shared" si="136"/>
        <v>4644994.58</v>
      </c>
      <c r="BL227" s="57">
        <f t="shared" si="147"/>
        <v>442801.37778074219</v>
      </c>
      <c r="BM227" s="57">
        <f t="shared" si="148"/>
        <v>147600.45926024739</v>
      </c>
      <c r="BU227" s="58">
        <f>BM227*3</f>
        <v>442801.37778074213</v>
      </c>
      <c r="BV227" s="58">
        <f t="shared" si="146"/>
        <v>442801.37778074213</v>
      </c>
      <c r="BW227" s="58">
        <f t="shared" si="140"/>
        <v>885602.75556148426</v>
      </c>
      <c r="BX227" s="58">
        <f t="shared" si="119"/>
        <v>442801.37778074213</v>
      </c>
      <c r="BY227" s="58">
        <f t="shared" si="120"/>
        <v>442801.37778074213</v>
      </c>
      <c r="BZ227" s="58">
        <f>BM227*3</f>
        <v>442801.37778074213</v>
      </c>
      <c r="CA227" s="58">
        <f t="shared" si="120"/>
        <v>442801.37778074213</v>
      </c>
      <c r="CB227" s="58">
        <f t="shared" si="130"/>
        <v>1771205.5111229685</v>
      </c>
      <c r="CC227" s="58">
        <f t="shared" si="131"/>
        <v>442801.37778074213</v>
      </c>
      <c r="CD227" s="58">
        <f t="shared" si="149"/>
        <v>442801.37778074213</v>
      </c>
      <c r="CE227" s="58">
        <f t="shared" si="149"/>
        <v>442801.37778074213</v>
      </c>
      <c r="CF227" s="58">
        <f t="shared" si="149"/>
        <v>442801.37778074213</v>
      </c>
      <c r="CG227" s="58">
        <f t="shared" si="132"/>
        <v>1771205.5111229685</v>
      </c>
      <c r="CH227" s="58">
        <f t="shared" si="133"/>
        <v>442801.37778074213</v>
      </c>
      <c r="CI227" s="58">
        <f t="shared" si="145"/>
        <v>442801.37778074213</v>
      </c>
      <c r="CJ227" s="58">
        <f t="shared" si="145"/>
        <v>442801.37778074213</v>
      </c>
      <c r="CK227" s="58">
        <f t="shared" si="145"/>
        <v>442801.37778074213</v>
      </c>
      <c r="CL227" s="58">
        <f t="shared" si="134"/>
        <v>1771205.5111229685</v>
      </c>
      <c r="CN227" s="59">
        <f t="shared" si="143"/>
        <v>4.5355473852303575E-4</v>
      </c>
      <c r="CO227" s="64">
        <f t="shared" si="144"/>
        <v>9524649.5089837499</v>
      </c>
      <c r="CP227" s="2">
        <f t="shared" si="137"/>
        <v>14169644.08898375</v>
      </c>
    </row>
    <row r="228" spans="1:94" ht="16.5" hidden="1" x14ac:dyDescent="0.3">
      <c r="A228" s="2">
        <v>223</v>
      </c>
      <c r="B228" s="47" t="s">
        <v>21</v>
      </c>
      <c r="C228" s="47"/>
      <c r="D228" s="30" t="s">
        <v>553</v>
      </c>
      <c r="E228" s="30" t="s">
        <v>115</v>
      </c>
      <c r="F228" s="30" t="s">
        <v>579</v>
      </c>
      <c r="G228" s="48" t="s">
        <v>555</v>
      </c>
      <c r="H228" s="48" t="s">
        <v>118</v>
      </c>
      <c r="I228" s="30" t="s">
        <v>119</v>
      </c>
      <c r="J228" s="30" t="s">
        <v>764</v>
      </c>
      <c r="K228" s="30" t="s">
        <v>765</v>
      </c>
      <c r="L228" s="48" t="s">
        <v>794</v>
      </c>
      <c r="M228" s="79">
        <v>2100810</v>
      </c>
      <c r="N228" s="48" t="s">
        <v>582</v>
      </c>
      <c r="O228" s="48" t="s">
        <v>854</v>
      </c>
      <c r="P228" s="48" t="s">
        <v>796</v>
      </c>
      <c r="Q228" s="48" t="s">
        <v>797</v>
      </c>
      <c r="R228" s="48"/>
      <c r="S228" s="48" t="s">
        <v>855</v>
      </c>
      <c r="T228" s="30" t="s">
        <v>856</v>
      </c>
      <c r="U228" s="48" t="s">
        <v>588</v>
      </c>
      <c r="V228" s="48" t="s">
        <v>800</v>
      </c>
      <c r="W228" s="48" t="s">
        <v>801</v>
      </c>
      <c r="X228" s="103" t="s">
        <v>602</v>
      </c>
      <c r="Y228" s="48" t="s">
        <v>457</v>
      </c>
      <c r="Z228" s="48" t="s">
        <v>457</v>
      </c>
      <c r="AA228" s="48" t="s">
        <v>129</v>
      </c>
      <c r="AB228" s="48" t="s">
        <v>802</v>
      </c>
      <c r="AC228" s="48" t="s">
        <v>802</v>
      </c>
      <c r="AD228" s="48"/>
      <c r="AE228" s="48"/>
      <c r="AF228" s="48" t="s">
        <v>131</v>
      </c>
      <c r="AG228" s="48" t="s">
        <v>649</v>
      </c>
      <c r="AH228" s="48"/>
      <c r="AI228" s="48"/>
      <c r="AJ228" s="98">
        <v>40973</v>
      </c>
      <c r="AK228" s="80">
        <v>40908</v>
      </c>
      <c r="AL228" s="51">
        <f t="shared" si="111"/>
        <v>13.843835616438357</v>
      </c>
      <c r="AM228" s="52">
        <v>12</v>
      </c>
      <c r="AN228" s="48" t="s">
        <v>220</v>
      </c>
      <c r="AO228" s="30" t="s">
        <v>133</v>
      </c>
      <c r="AP228" s="30" t="s">
        <v>606</v>
      </c>
      <c r="AQ228" s="48">
        <v>5.5</v>
      </c>
      <c r="AR228" s="48">
        <v>1695</v>
      </c>
      <c r="AS228" s="48">
        <v>1300</v>
      </c>
      <c r="AT228" s="48">
        <v>2220</v>
      </c>
      <c r="AU228" s="53">
        <v>244928130</v>
      </c>
      <c r="AV228" s="54"/>
      <c r="AW228" s="54"/>
      <c r="AX228" s="54">
        <v>244928130</v>
      </c>
      <c r="AY228" s="54"/>
      <c r="AZ228" s="54"/>
      <c r="BA228" s="54">
        <v>1000</v>
      </c>
      <c r="BB228" s="55">
        <v>1000</v>
      </c>
      <c r="BC228" s="52">
        <v>144</v>
      </c>
      <c r="BD228" s="52"/>
      <c r="BE228" s="52">
        <v>0</v>
      </c>
      <c r="BF228" s="30"/>
      <c r="BG228" s="30"/>
      <c r="BH228" s="30" t="s">
        <v>776</v>
      </c>
      <c r="BI228" s="30" t="str">
        <f t="shared" si="135"/>
        <v>COG</v>
      </c>
      <c r="BJ228" s="47" t="s">
        <v>137</v>
      </c>
      <c r="BK228" s="56">
        <f t="shared" si="136"/>
        <v>4898562.6000000006</v>
      </c>
      <c r="BL228" s="57">
        <f t="shared" si="147"/>
        <v>466973.69201778807</v>
      </c>
      <c r="BM228" s="57">
        <f t="shared" si="148"/>
        <v>155657.89733926268</v>
      </c>
      <c r="BU228" s="58">
        <f>BM228*3</f>
        <v>466973.69201778807</v>
      </c>
      <c r="BV228" s="58">
        <f t="shared" si="146"/>
        <v>466973.69201778807</v>
      </c>
      <c r="BW228" s="58">
        <f t="shared" si="140"/>
        <v>933947.38403557613</v>
      </c>
      <c r="BX228" s="58">
        <f t="shared" si="119"/>
        <v>466973.69201778807</v>
      </c>
      <c r="BY228" s="58">
        <f t="shared" si="120"/>
        <v>466973.69201778807</v>
      </c>
      <c r="BZ228" s="58">
        <f>BM228*3</f>
        <v>466973.69201778807</v>
      </c>
      <c r="CA228" s="58">
        <f t="shared" si="120"/>
        <v>466973.69201778807</v>
      </c>
      <c r="CB228" s="58">
        <f t="shared" si="130"/>
        <v>1867894.7680711523</v>
      </c>
      <c r="CC228" s="58">
        <f t="shared" si="131"/>
        <v>466973.69201778807</v>
      </c>
      <c r="CD228" s="58">
        <f t="shared" si="149"/>
        <v>466973.69201778807</v>
      </c>
      <c r="CE228" s="58">
        <f t="shared" si="149"/>
        <v>466973.69201778807</v>
      </c>
      <c r="CF228" s="58">
        <f t="shared" si="149"/>
        <v>466973.69201778807</v>
      </c>
      <c r="CG228" s="58">
        <f t="shared" si="132"/>
        <v>1867894.7680711523</v>
      </c>
      <c r="CH228" s="58">
        <f t="shared" si="133"/>
        <v>466973.69201778807</v>
      </c>
      <c r="CI228" s="58">
        <f t="shared" si="145"/>
        <v>466973.69201778807</v>
      </c>
      <c r="CJ228" s="58">
        <f t="shared" si="145"/>
        <v>466973.69201778807</v>
      </c>
      <c r="CK228" s="58">
        <f t="shared" si="145"/>
        <v>466973.69201778807</v>
      </c>
      <c r="CL228" s="58">
        <f t="shared" si="134"/>
        <v>1867894.7680711523</v>
      </c>
      <c r="CN228" s="59">
        <f t="shared" si="143"/>
        <v>4.7831407355091517E-4</v>
      </c>
      <c r="CO228" s="64">
        <f t="shared" si="144"/>
        <v>10044595.544569219</v>
      </c>
      <c r="CP228" s="2">
        <f t="shared" si="137"/>
        <v>14943158.144569218</v>
      </c>
    </row>
    <row r="229" spans="1:94" ht="16.5" hidden="1" x14ac:dyDescent="0.3">
      <c r="A229" s="2">
        <v>224</v>
      </c>
      <c r="B229" s="47" t="s">
        <v>21</v>
      </c>
      <c r="C229" s="47"/>
      <c r="D229" s="30" t="s">
        <v>553</v>
      </c>
      <c r="E229" s="30" t="s">
        <v>115</v>
      </c>
      <c r="F229" s="30" t="s">
        <v>579</v>
      </c>
      <c r="G229" s="48" t="s">
        <v>555</v>
      </c>
      <c r="H229" s="48" t="s">
        <v>118</v>
      </c>
      <c r="I229" s="30" t="s">
        <v>119</v>
      </c>
      <c r="J229" s="30" t="s">
        <v>764</v>
      </c>
      <c r="K229" s="30" t="s">
        <v>765</v>
      </c>
      <c r="L229" s="30" t="s">
        <v>766</v>
      </c>
      <c r="M229" s="79">
        <v>2100816</v>
      </c>
      <c r="N229" s="48" t="s">
        <v>582</v>
      </c>
      <c r="O229" s="48" t="s">
        <v>857</v>
      </c>
      <c r="P229" s="48" t="s">
        <v>768</v>
      </c>
      <c r="Q229" s="48" t="s">
        <v>769</v>
      </c>
      <c r="R229" s="48"/>
      <c r="S229" s="48" t="s">
        <v>858</v>
      </c>
      <c r="T229" s="48" t="s">
        <v>859</v>
      </c>
      <c r="U229" s="48" t="s">
        <v>588</v>
      </c>
      <c r="V229" s="48" t="s">
        <v>600</v>
      </c>
      <c r="W229" s="48" t="s">
        <v>772</v>
      </c>
      <c r="X229" s="48" t="s">
        <v>147</v>
      </c>
      <c r="Y229" s="99" t="s">
        <v>457</v>
      </c>
      <c r="Z229" s="99" t="s">
        <v>457</v>
      </c>
      <c r="AA229" s="48" t="s">
        <v>148</v>
      </c>
      <c r="AB229" s="30" t="s">
        <v>773</v>
      </c>
      <c r="AC229" s="30" t="s">
        <v>773</v>
      </c>
      <c r="AD229" s="48"/>
      <c r="AE229" s="48"/>
      <c r="AF229" s="48" t="s">
        <v>604</v>
      </c>
      <c r="AG229" s="30" t="s">
        <v>774</v>
      </c>
      <c r="AH229" s="48" t="s">
        <v>775</v>
      </c>
      <c r="AI229" s="48"/>
      <c r="AJ229" s="98"/>
      <c r="AK229" s="80">
        <v>40999</v>
      </c>
      <c r="AL229" s="51">
        <f t="shared" si="111"/>
        <v>13.594520547945205</v>
      </c>
      <c r="AM229" s="52">
        <v>12</v>
      </c>
      <c r="AN229" s="48" t="s">
        <v>220</v>
      </c>
      <c r="AO229" s="30" t="s">
        <v>133</v>
      </c>
      <c r="AP229" s="30" t="s">
        <v>606</v>
      </c>
      <c r="AQ229" s="48"/>
      <c r="AR229" s="48"/>
      <c r="AS229" s="48"/>
      <c r="AT229" s="48"/>
      <c r="AU229" s="53">
        <v>246507746</v>
      </c>
      <c r="AV229" s="54"/>
      <c r="AW229" s="54"/>
      <c r="AX229" s="54">
        <v>246507746</v>
      </c>
      <c r="AY229" s="54"/>
      <c r="AZ229" s="54"/>
      <c r="BA229" s="54">
        <v>1000</v>
      </c>
      <c r="BB229" s="55">
        <v>1000</v>
      </c>
      <c r="BC229" s="52">
        <v>144</v>
      </c>
      <c r="BD229" s="52"/>
      <c r="BE229" s="52">
        <v>0</v>
      </c>
      <c r="BF229" s="30"/>
      <c r="BG229" s="30"/>
      <c r="BH229" s="30" t="s">
        <v>776</v>
      </c>
      <c r="BI229" s="30" t="str">
        <f t="shared" si="135"/>
        <v>COG</v>
      </c>
      <c r="BJ229" s="47" t="s">
        <v>137</v>
      </c>
      <c r="BK229" s="67">
        <f t="shared" si="136"/>
        <v>4930154.92</v>
      </c>
      <c r="BL229" s="68">
        <f t="shared" si="147"/>
        <v>469985.34737762919</v>
      </c>
      <c r="BM229" s="68">
        <f t="shared" si="148"/>
        <v>156661.78245920973</v>
      </c>
      <c r="BP229" s="69">
        <f>BM229*3</f>
        <v>469985.34737762919</v>
      </c>
      <c r="BQ229" s="69">
        <f>BP229</f>
        <v>469985.34737762919</v>
      </c>
      <c r="BR229" s="69">
        <f>SUM(BN229:BQ229)</f>
        <v>939970.69475525839</v>
      </c>
      <c r="BS229" s="69">
        <f>BQ229</f>
        <v>469985.34737762919</v>
      </c>
      <c r="BT229" s="69">
        <f t="shared" si="146"/>
        <v>469985.34737762919</v>
      </c>
      <c r="BU229" s="100">
        <f t="shared" si="146"/>
        <v>469985.34737762919</v>
      </c>
      <c r="BV229" s="100">
        <f t="shared" si="146"/>
        <v>469985.34737762919</v>
      </c>
      <c r="BW229" s="100">
        <f t="shared" si="140"/>
        <v>1879941.3895105168</v>
      </c>
      <c r="BX229" s="101">
        <f t="shared" si="119"/>
        <v>469985.34737762919</v>
      </c>
      <c r="BY229" s="101">
        <f t="shared" si="120"/>
        <v>469985.34737762919</v>
      </c>
      <c r="BZ229" s="18">
        <f>BM229*3</f>
        <v>469985.34737762919</v>
      </c>
      <c r="CA229" s="18">
        <f t="shared" si="120"/>
        <v>469985.34737762919</v>
      </c>
      <c r="CB229" s="70">
        <f t="shared" si="130"/>
        <v>1879941.3895105168</v>
      </c>
      <c r="CC229" s="18">
        <f t="shared" si="131"/>
        <v>469985.34737762919</v>
      </c>
      <c r="CD229" s="18">
        <f t="shared" si="149"/>
        <v>469985.34737762919</v>
      </c>
      <c r="CE229" s="18">
        <f t="shared" si="149"/>
        <v>469985.34737762919</v>
      </c>
      <c r="CF229" s="18">
        <f t="shared" si="149"/>
        <v>469985.34737762919</v>
      </c>
      <c r="CG229" s="70">
        <f t="shared" si="132"/>
        <v>1879941.3895105168</v>
      </c>
      <c r="CH229" s="18">
        <f t="shared" si="133"/>
        <v>469985.34737762919</v>
      </c>
      <c r="CI229" s="18">
        <f t="shared" si="145"/>
        <v>469985.34737762919</v>
      </c>
      <c r="CJ229" s="18">
        <f t="shared" si="145"/>
        <v>469985.34737762919</v>
      </c>
      <c r="CK229" s="18">
        <f t="shared" si="145"/>
        <v>469985.34737762919</v>
      </c>
      <c r="CL229" s="70">
        <f t="shared" si="134"/>
        <v>1879941.3895105168</v>
      </c>
      <c r="CM229" s="71"/>
      <c r="CN229" s="59">
        <f t="shared" si="143"/>
        <v>4.8139886648019691E-4</v>
      </c>
      <c r="CO229" s="64">
        <f t="shared" si="144"/>
        <v>10109376.196084134</v>
      </c>
      <c r="CP229" s="2">
        <f t="shared" si="137"/>
        <v>15039531.116084134</v>
      </c>
    </row>
    <row r="230" spans="1:94" ht="16.5" hidden="1" x14ac:dyDescent="0.3">
      <c r="A230" s="2">
        <v>225</v>
      </c>
      <c r="B230" s="47" t="s">
        <v>21</v>
      </c>
      <c r="C230" s="47"/>
      <c r="D230" s="30" t="s">
        <v>553</v>
      </c>
      <c r="E230" s="30" t="s">
        <v>115</v>
      </c>
      <c r="F230" s="30" t="s">
        <v>579</v>
      </c>
      <c r="G230" s="48" t="s">
        <v>555</v>
      </c>
      <c r="H230" s="48" t="s">
        <v>118</v>
      </c>
      <c r="I230" s="30" t="s">
        <v>119</v>
      </c>
      <c r="J230" s="30" t="s">
        <v>764</v>
      </c>
      <c r="K230" s="30" t="s">
        <v>765</v>
      </c>
      <c r="L230" s="30" t="s">
        <v>766</v>
      </c>
      <c r="M230" s="79">
        <v>2100817</v>
      </c>
      <c r="N230" s="48" t="s">
        <v>582</v>
      </c>
      <c r="O230" s="48" t="s">
        <v>860</v>
      </c>
      <c r="P230" s="48" t="s">
        <v>768</v>
      </c>
      <c r="Q230" s="48" t="s">
        <v>769</v>
      </c>
      <c r="R230" s="48"/>
      <c r="S230" s="48" t="s">
        <v>861</v>
      </c>
      <c r="T230" s="48" t="s">
        <v>862</v>
      </c>
      <c r="U230" s="48" t="s">
        <v>588</v>
      </c>
      <c r="V230" s="48" t="s">
        <v>600</v>
      </c>
      <c r="W230" s="48" t="s">
        <v>772</v>
      </c>
      <c r="X230" s="48" t="s">
        <v>147</v>
      </c>
      <c r="Y230" s="99" t="s">
        <v>457</v>
      </c>
      <c r="Z230" s="99" t="s">
        <v>457</v>
      </c>
      <c r="AA230" s="48" t="s">
        <v>148</v>
      </c>
      <c r="AB230" s="30" t="s">
        <v>773</v>
      </c>
      <c r="AC230" s="30" t="s">
        <v>773</v>
      </c>
      <c r="AD230" s="48"/>
      <c r="AE230" s="48"/>
      <c r="AF230" s="48" t="s">
        <v>604</v>
      </c>
      <c r="AG230" s="30" t="s">
        <v>774</v>
      </c>
      <c r="AH230" s="48" t="s">
        <v>775</v>
      </c>
      <c r="AI230" s="48"/>
      <c r="AJ230" s="98"/>
      <c r="AK230" s="80">
        <v>40999</v>
      </c>
      <c r="AL230" s="51">
        <f t="shared" si="111"/>
        <v>13.594520547945205</v>
      </c>
      <c r="AM230" s="52">
        <v>12</v>
      </c>
      <c r="AN230" s="48" t="s">
        <v>220</v>
      </c>
      <c r="AO230" s="30" t="s">
        <v>133</v>
      </c>
      <c r="AP230" s="30" t="s">
        <v>606</v>
      </c>
      <c r="AQ230" s="48"/>
      <c r="AR230" s="48"/>
      <c r="AS230" s="48"/>
      <c r="AT230" s="48"/>
      <c r="AU230" s="53">
        <v>276986340</v>
      </c>
      <c r="AV230" s="54"/>
      <c r="AW230" s="54"/>
      <c r="AX230" s="54">
        <v>276986340</v>
      </c>
      <c r="AY230" s="54"/>
      <c r="AZ230" s="54"/>
      <c r="BA230" s="54">
        <v>1000</v>
      </c>
      <c r="BB230" s="55">
        <v>1000</v>
      </c>
      <c r="BC230" s="52">
        <v>144</v>
      </c>
      <c r="BD230" s="52"/>
      <c r="BE230" s="52">
        <v>0</v>
      </c>
      <c r="BF230" s="30"/>
      <c r="BG230" s="30"/>
      <c r="BH230" s="30" t="s">
        <v>776</v>
      </c>
      <c r="BI230" s="30" t="str">
        <f t="shared" si="135"/>
        <v>COG</v>
      </c>
      <c r="BJ230" s="47" t="s">
        <v>137</v>
      </c>
      <c r="BK230" s="67">
        <f t="shared" si="136"/>
        <v>5539726.7999999998</v>
      </c>
      <c r="BL230" s="68">
        <f t="shared" si="147"/>
        <v>528095.05314189242</v>
      </c>
      <c r="BM230" s="68">
        <f t="shared" si="148"/>
        <v>176031.68438063082</v>
      </c>
      <c r="BP230" s="69">
        <f>BM230*3</f>
        <v>528095.05314189242</v>
      </c>
      <c r="BQ230" s="69">
        <f>BP230</f>
        <v>528095.05314189242</v>
      </c>
      <c r="BR230" s="69">
        <f>SUM(BN230:BQ230)</f>
        <v>1056190.1062837848</v>
      </c>
      <c r="BS230" s="69">
        <f>BQ230</f>
        <v>528095.05314189242</v>
      </c>
      <c r="BT230" s="69">
        <f t="shared" si="146"/>
        <v>528095.05314189242</v>
      </c>
      <c r="BU230" s="100">
        <f t="shared" si="146"/>
        <v>528095.05314189242</v>
      </c>
      <c r="BV230" s="100">
        <f t="shared" si="146"/>
        <v>528095.05314189242</v>
      </c>
      <c r="BW230" s="100">
        <f t="shared" si="140"/>
        <v>2112380.2125675697</v>
      </c>
      <c r="BX230" s="101">
        <f t="shared" si="119"/>
        <v>528095.05314189242</v>
      </c>
      <c r="BY230" s="101">
        <f t="shared" si="120"/>
        <v>528095.05314189242</v>
      </c>
      <c r="BZ230" s="18">
        <f>BM230*3</f>
        <v>528095.05314189242</v>
      </c>
      <c r="CA230" s="18">
        <f t="shared" si="120"/>
        <v>528095.05314189242</v>
      </c>
      <c r="CB230" s="70">
        <f t="shared" si="130"/>
        <v>2112380.2125675697</v>
      </c>
      <c r="CC230" s="18">
        <f t="shared" si="131"/>
        <v>528095.05314189242</v>
      </c>
      <c r="CD230" s="18">
        <f t="shared" si="149"/>
        <v>528095.05314189242</v>
      </c>
      <c r="CE230" s="18">
        <f t="shared" si="149"/>
        <v>528095.05314189242</v>
      </c>
      <c r="CF230" s="18">
        <f t="shared" si="149"/>
        <v>528095.05314189242</v>
      </c>
      <c r="CG230" s="70">
        <f t="shared" si="132"/>
        <v>2112380.2125675697</v>
      </c>
      <c r="CH230" s="18">
        <f t="shared" si="133"/>
        <v>528095.05314189242</v>
      </c>
      <c r="CI230" s="18">
        <f t="shared" si="145"/>
        <v>528095.05314189242</v>
      </c>
      <c r="CJ230" s="18">
        <f t="shared" si="145"/>
        <v>528095.05314189242</v>
      </c>
      <c r="CK230" s="18">
        <f t="shared" si="145"/>
        <v>528095.05314189242</v>
      </c>
      <c r="CL230" s="70">
        <f t="shared" si="134"/>
        <v>2112380.2125675697</v>
      </c>
      <c r="CM230" s="71"/>
      <c r="CN230" s="59">
        <f t="shared" si="143"/>
        <v>5.4091975716859795E-4</v>
      </c>
      <c r="CO230" s="64">
        <f t="shared" si="144"/>
        <v>11359314.900540557</v>
      </c>
      <c r="CP230" s="2">
        <f t="shared" si="137"/>
        <v>16899041.700540558</v>
      </c>
    </row>
    <row r="231" spans="1:94" ht="16.5" hidden="1" x14ac:dyDescent="0.3">
      <c r="A231" s="2">
        <v>226</v>
      </c>
      <c r="B231" s="47" t="s">
        <v>21</v>
      </c>
      <c r="C231" s="47"/>
      <c r="D231" s="30" t="s">
        <v>553</v>
      </c>
      <c r="E231" s="30" t="s">
        <v>115</v>
      </c>
      <c r="F231" s="30" t="s">
        <v>579</v>
      </c>
      <c r="G231" s="48" t="s">
        <v>555</v>
      </c>
      <c r="H231" s="48" t="s">
        <v>118</v>
      </c>
      <c r="I231" s="30" t="s">
        <v>119</v>
      </c>
      <c r="J231" s="30" t="s">
        <v>764</v>
      </c>
      <c r="K231" s="30" t="s">
        <v>765</v>
      </c>
      <c r="L231" s="48" t="s">
        <v>777</v>
      </c>
      <c r="M231" s="79">
        <v>2100818</v>
      </c>
      <c r="N231" s="48" t="s">
        <v>582</v>
      </c>
      <c r="O231" s="48" t="s">
        <v>863</v>
      </c>
      <c r="P231" s="48"/>
      <c r="Q231" s="48" t="s">
        <v>864</v>
      </c>
      <c r="R231" s="48"/>
      <c r="S231" s="30" t="s">
        <v>865</v>
      </c>
      <c r="T231" s="30" t="s">
        <v>866</v>
      </c>
      <c r="U231" s="48" t="s">
        <v>588</v>
      </c>
      <c r="V231" s="48" t="s">
        <v>589</v>
      </c>
      <c r="W231" s="48" t="s">
        <v>867</v>
      </c>
      <c r="X231" s="103" t="s">
        <v>602</v>
      </c>
      <c r="Y231" s="48" t="s">
        <v>128</v>
      </c>
      <c r="Z231" s="48" t="s">
        <v>128</v>
      </c>
      <c r="AA231" s="48" t="s">
        <v>129</v>
      </c>
      <c r="AB231" s="48" t="s">
        <v>783</v>
      </c>
      <c r="AC231" s="48" t="s">
        <v>868</v>
      </c>
      <c r="AD231" s="48"/>
      <c r="AE231" s="48"/>
      <c r="AF231" s="48" t="s">
        <v>131</v>
      </c>
      <c r="AG231" s="48" t="s">
        <v>784</v>
      </c>
      <c r="AH231" s="48"/>
      <c r="AI231" s="48"/>
      <c r="AJ231" s="98"/>
      <c r="AK231" s="80">
        <v>41333</v>
      </c>
      <c r="AL231" s="51">
        <f t="shared" si="111"/>
        <v>12.67945205479452</v>
      </c>
      <c r="AM231" s="52">
        <v>12</v>
      </c>
      <c r="AN231" s="48" t="s">
        <v>220</v>
      </c>
      <c r="AO231" s="30" t="s">
        <v>133</v>
      </c>
      <c r="AP231" s="30" t="s">
        <v>606</v>
      </c>
      <c r="AQ231" s="48"/>
      <c r="AR231" s="48"/>
      <c r="AS231" s="48"/>
      <c r="AT231" s="48"/>
      <c r="AU231" s="53">
        <v>450500000</v>
      </c>
      <c r="AV231" s="54"/>
      <c r="AW231" s="54"/>
      <c r="AX231" s="54">
        <v>450500000</v>
      </c>
      <c r="AY231" s="54"/>
      <c r="AZ231" s="54"/>
      <c r="BA231" s="54">
        <v>1000</v>
      </c>
      <c r="BB231" s="55">
        <v>1000</v>
      </c>
      <c r="BC231" s="52">
        <v>144</v>
      </c>
      <c r="BD231" s="52"/>
      <c r="BE231" s="52">
        <v>0</v>
      </c>
      <c r="BF231" s="30"/>
      <c r="BG231" s="30"/>
      <c r="BH231" s="30" t="s">
        <v>776</v>
      </c>
      <c r="BI231" s="30" t="str">
        <f t="shared" si="135"/>
        <v>COG</v>
      </c>
      <c r="BJ231" s="47" t="s">
        <v>137</v>
      </c>
      <c r="BK231" s="56">
        <f t="shared" si="136"/>
        <v>9010000</v>
      </c>
      <c r="BL231" s="57">
        <f t="shared" si="147"/>
        <v>858911.74792382366</v>
      </c>
      <c r="BM231" s="57">
        <f t="shared" si="148"/>
        <v>286303.91597460787</v>
      </c>
      <c r="BU231" s="58">
        <f t="shared" ref="BU231:BU236" si="150">BM231*3</f>
        <v>858911.74792382354</v>
      </c>
      <c r="BV231" s="58">
        <f t="shared" si="146"/>
        <v>858911.74792382354</v>
      </c>
      <c r="BW231" s="58">
        <f t="shared" si="140"/>
        <v>1717823.4958476471</v>
      </c>
      <c r="BX231" s="58">
        <f t="shared" si="119"/>
        <v>858911.74792382354</v>
      </c>
      <c r="BY231" s="58">
        <f t="shared" si="120"/>
        <v>858911.74792382354</v>
      </c>
      <c r="BZ231" s="58">
        <f t="shared" ref="BZ231:BZ236" si="151">BM231*3</f>
        <v>858911.74792382354</v>
      </c>
      <c r="CA231" s="58">
        <f t="shared" si="120"/>
        <v>858911.74792382354</v>
      </c>
      <c r="CB231" s="58">
        <f t="shared" si="130"/>
        <v>3435646.9916952942</v>
      </c>
      <c r="CC231" s="58">
        <f t="shared" si="131"/>
        <v>858911.74792382354</v>
      </c>
      <c r="CD231" s="58">
        <f t="shared" si="149"/>
        <v>858911.74792382354</v>
      </c>
      <c r="CE231" s="58">
        <f t="shared" si="149"/>
        <v>858911.74792382354</v>
      </c>
      <c r="CF231" s="58">
        <f t="shared" si="149"/>
        <v>858911.74792382354</v>
      </c>
      <c r="CG231" s="58">
        <f t="shared" si="132"/>
        <v>3435646.9916952942</v>
      </c>
      <c r="CH231" s="58">
        <f t="shared" si="133"/>
        <v>858911.74792382354</v>
      </c>
      <c r="CI231" s="58">
        <f t="shared" si="145"/>
        <v>858911.74792382354</v>
      </c>
      <c r="CJ231" s="58">
        <f t="shared" si="145"/>
        <v>858911.74792382354</v>
      </c>
      <c r="CK231" s="58">
        <f t="shared" si="145"/>
        <v>858911.74792382354</v>
      </c>
      <c r="CL231" s="58">
        <f t="shared" si="134"/>
        <v>3435646.9916952942</v>
      </c>
      <c r="CN231" s="59">
        <f t="shared" si="143"/>
        <v>8.7977028255058849E-4</v>
      </c>
      <c r="CO231" s="64">
        <f t="shared" si="144"/>
        <v>18475175.933562357</v>
      </c>
      <c r="CP231" s="2">
        <f t="shared" si="137"/>
        <v>27485175.933562357</v>
      </c>
    </row>
    <row r="232" spans="1:94" ht="16.5" hidden="1" x14ac:dyDescent="0.3">
      <c r="A232" s="2">
        <v>227</v>
      </c>
      <c r="B232" s="47" t="s">
        <v>21</v>
      </c>
      <c r="C232" s="47"/>
      <c r="D232" s="30" t="s">
        <v>553</v>
      </c>
      <c r="E232" s="30" t="s">
        <v>115</v>
      </c>
      <c r="F232" s="30" t="s">
        <v>579</v>
      </c>
      <c r="G232" s="48" t="s">
        <v>555</v>
      </c>
      <c r="H232" s="48" t="s">
        <v>118</v>
      </c>
      <c r="I232" s="30" t="s">
        <v>119</v>
      </c>
      <c r="J232" s="30" t="s">
        <v>764</v>
      </c>
      <c r="K232" s="30" t="s">
        <v>765</v>
      </c>
      <c r="L232" s="48" t="s">
        <v>777</v>
      </c>
      <c r="M232" s="79">
        <v>2100832</v>
      </c>
      <c r="N232" s="48" t="s">
        <v>582</v>
      </c>
      <c r="O232" s="48" t="s">
        <v>869</v>
      </c>
      <c r="P232" s="48"/>
      <c r="Q232" s="48" t="s">
        <v>870</v>
      </c>
      <c r="R232" s="48"/>
      <c r="S232" s="30" t="s">
        <v>871</v>
      </c>
      <c r="T232" s="30" t="s">
        <v>872</v>
      </c>
      <c r="U232" s="48" t="s">
        <v>588</v>
      </c>
      <c r="V232" s="48" t="s">
        <v>589</v>
      </c>
      <c r="W232" s="48" t="s">
        <v>873</v>
      </c>
      <c r="X232" s="103" t="s">
        <v>602</v>
      </c>
      <c r="Y232" s="48" t="s">
        <v>128</v>
      </c>
      <c r="Z232" s="48" t="s">
        <v>128</v>
      </c>
      <c r="AA232" s="48" t="s">
        <v>129</v>
      </c>
      <c r="AB232" s="48" t="s">
        <v>868</v>
      </c>
      <c r="AC232" s="48" t="s">
        <v>868</v>
      </c>
      <c r="AD232" s="48"/>
      <c r="AE232" s="48"/>
      <c r="AF232" s="48" t="s">
        <v>131</v>
      </c>
      <c r="AG232" s="48" t="s">
        <v>649</v>
      </c>
      <c r="AH232" s="48"/>
      <c r="AI232" s="48"/>
      <c r="AJ232" s="98"/>
      <c r="AK232" s="80">
        <v>42460</v>
      </c>
      <c r="AL232" s="51">
        <f t="shared" si="111"/>
        <v>9.5917808219178085</v>
      </c>
      <c r="AM232" s="52">
        <v>12</v>
      </c>
      <c r="AN232" s="48" t="s">
        <v>220</v>
      </c>
      <c r="AO232" s="30" t="s">
        <v>133</v>
      </c>
      <c r="AP232" s="30" t="s">
        <v>606</v>
      </c>
      <c r="AQ232" s="48"/>
      <c r="AR232" s="48"/>
      <c r="AS232" s="48"/>
      <c r="AT232" s="48"/>
      <c r="AU232" s="53">
        <v>178800000</v>
      </c>
      <c r="AV232" s="54"/>
      <c r="AW232" s="54"/>
      <c r="AX232" s="54">
        <v>178800000</v>
      </c>
      <c r="AY232" s="54"/>
      <c r="AZ232" s="54"/>
      <c r="BA232" s="54">
        <v>34831943</v>
      </c>
      <c r="BB232" s="55">
        <v>14122528</v>
      </c>
      <c r="BC232" s="52">
        <v>144</v>
      </c>
      <c r="BD232" s="52"/>
      <c r="BE232" s="52">
        <v>26</v>
      </c>
      <c r="BF232" s="30"/>
      <c r="BG232" s="30"/>
      <c r="BH232" s="30" t="s">
        <v>776</v>
      </c>
      <c r="BI232" s="30" t="str">
        <f t="shared" si="135"/>
        <v>COG</v>
      </c>
      <c r="BJ232" s="47" t="s">
        <v>137</v>
      </c>
      <c r="BK232" s="56">
        <f t="shared" si="136"/>
        <v>36573540.149999999</v>
      </c>
      <c r="BL232" s="57">
        <f t="shared" si="147"/>
        <v>3486508.6901219357</v>
      </c>
      <c r="BM232" s="57">
        <f t="shared" si="148"/>
        <v>1162169.5633739785</v>
      </c>
      <c r="BU232" s="58">
        <f t="shared" si="150"/>
        <v>3486508.6901219357</v>
      </c>
      <c r="BV232" s="58">
        <f t="shared" si="146"/>
        <v>3486508.6901219357</v>
      </c>
      <c r="BW232" s="58">
        <f t="shared" si="140"/>
        <v>6973017.3802438714</v>
      </c>
      <c r="BX232" s="58">
        <f t="shared" si="119"/>
        <v>3486508.6901219357</v>
      </c>
      <c r="BY232" s="58">
        <f t="shared" si="120"/>
        <v>3486508.6901219357</v>
      </c>
      <c r="BZ232" s="58">
        <f t="shared" si="151"/>
        <v>3486508.6901219357</v>
      </c>
      <c r="CA232" s="58">
        <f t="shared" si="120"/>
        <v>3486508.6901219357</v>
      </c>
      <c r="CB232" s="58">
        <f t="shared" si="130"/>
        <v>13946034.760487743</v>
      </c>
      <c r="CC232" s="58">
        <f t="shared" si="131"/>
        <v>3486508.6901219357</v>
      </c>
      <c r="CD232" s="58">
        <f t="shared" si="149"/>
        <v>3486508.6901219357</v>
      </c>
      <c r="CE232" s="58">
        <f t="shared" si="149"/>
        <v>3486508.6901219357</v>
      </c>
      <c r="CF232" s="58">
        <f t="shared" si="149"/>
        <v>3486508.6901219357</v>
      </c>
      <c r="CG232" s="58">
        <f t="shared" si="132"/>
        <v>13946034.760487743</v>
      </c>
      <c r="CH232" s="58">
        <f t="shared" si="133"/>
        <v>3486508.6901219357</v>
      </c>
      <c r="CI232" s="58">
        <f t="shared" si="145"/>
        <v>3486508.6901219357</v>
      </c>
      <c r="CJ232" s="58">
        <f t="shared" si="145"/>
        <v>3486508.6901219357</v>
      </c>
      <c r="CK232" s="58">
        <f t="shared" si="145"/>
        <v>3486508.6901219357</v>
      </c>
      <c r="CL232" s="58">
        <f t="shared" si="134"/>
        <v>13946034.760487743</v>
      </c>
      <c r="CN232" s="59">
        <f t="shared" si="143"/>
        <v>3.5711779968524739E-3</v>
      </c>
      <c r="CO232" s="64">
        <f t="shared" si="144"/>
        <v>74994737.933901951</v>
      </c>
      <c r="CP232" s="2">
        <f t="shared" si="137"/>
        <v>111568278.08390194</v>
      </c>
    </row>
    <row r="233" spans="1:94" ht="16.5" hidden="1" x14ac:dyDescent="0.3">
      <c r="A233" s="2">
        <v>228</v>
      </c>
      <c r="B233" s="47" t="s">
        <v>21</v>
      </c>
      <c r="C233" s="47"/>
      <c r="D233" s="30" t="s">
        <v>553</v>
      </c>
      <c r="E233" s="30" t="s">
        <v>115</v>
      </c>
      <c r="F233" s="30" t="s">
        <v>579</v>
      </c>
      <c r="G233" s="48" t="s">
        <v>555</v>
      </c>
      <c r="H233" s="48" t="s">
        <v>118</v>
      </c>
      <c r="I233" s="30" t="s">
        <v>119</v>
      </c>
      <c r="J233" s="30" t="s">
        <v>764</v>
      </c>
      <c r="K233" s="30" t="s">
        <v>765</v>
      </c>
      <c r="L233" s="48" t="s">
        <v>777</v>
      </c>
      <c r="M233" s="79">
        <v>2100833</v>
      </c>
      <c r="N233" s="48" t="s">
        <v>582</v>
      </c>
      <c r="O233" s="48" t="s">
        <v>874</v>
      </c>
      <c r="P233" s="48"/>
      <c r="Q233" s="48" t="s">
        <v>870</v>
      </c>
      <c r="R233" s="48"/>
      <c r="S233" s="30" t="s">
        <v>875</v>
      </c>
      <c r="T233" s="30" t="s">
        <v>876</v>
      </c>
      <c r="U233" s="48" t="s">
        <v>588</v>
      </c>
      <c r="V233" s="48" t="s">
        <v>589</v>
      </c>
      <c r="W233" s="48" t="s">
        <v>873</v>
      </c>
      <c r="X233" s="48" t="s">
        <v>127</v>
      </c>
      <c r="Y233" s="48" t="s">
        <v>128</v>
      </c>
      <c r="Z233" s="48" t="s">
        <v>128</v>
      </c>
      <c r="AA233" s="48" t="s">
        <v>129</v>
      </c>
      <c r="AB233" s="48" t="s">
        <v>868</v>
      </c>
      <c r="AC233" s="48" t="s">
        <v>868</v>
      </c>
      <c r="AD233" s="48"/>
      <c r="AE233" s="48"/>
      <c r="AF233" s="48" t="s">
        <v>131</v>
      </c>
      <c r="AG233" s="48" t="s">
        <v>649</v>
      </c>
      <c r="AH233" s="48"/>
      <c r="AI233" s="48"/>
      <c r="AJ233" s="98"/>
      <c r="AK233" s="80">
        <v>42460</v>
      </c>
      <c r="AL233" s="51">
        <f t="shared" ref="AL233:AL248" si="152">($AL$1-AK233)/365</f>
        <v>9.5917808219178085</v>
      </c>
      <c r="AM233" s="52">
        <v>12</v>
      </c>
      <c r="AN233" s="48" t="s">
        <v>220</v>
      </c>
      <c r="AO233" s="30" t="s">
        <v>133</v>
      </c>
      <c r="AP233" s="30" t="s">
        <v>606</v>
      </c>
      <c r="AQ233" s="48"/>
      <c r="AR233" s="48"/>
      <c r="AS233" s="48"/>
      <c r="AT233" s="48"/>
      <c r="AU233" s="53">
        <v>179500000</v>
      </c>
      <c r="AV233" s="54"/>
      <c r="AW233" s="54"/>
      <c r="AX233" s="54">
        <v>179500000</v>
      </c>
      <c r="AY233" s="54"/>
      <c r="AZ233" s="54"/>
      <c r="BA233" s="54">
        <v>34968310</v>
      </c>
      <c r="BB233" s="55">
        <v>14177817</v>
      </c>
      <c r="BC233" s="52">
        <v>144</v>
      </c>
      <c r="BD233" s="52"/>
      <c r="BE233" s="52">
        <v>26</v>
      </c>
      <c r="BF233" s="30"/>
      <c r="BG233" s="30"/>
      <c r="BH233" s="30" t="s">
        <v>776</v>
      </c>
      <c r="BI233" s="30" t="str">
        <f t="shared" si="135"/>
        <v>COG</v>
      </c>
      <c r="BJ233" s="47" t="s">
        <v>137</v>
      </c>
      <c r="BK233" s="56">
        <f t="shared" si="136"/>
        <v>36716725.5</v>
      </c>
      <c r="BL233" s="57">
        <f t="shared" si="147"/>
        <v>3500158.3659538543</v>
      </c>
      <c r="BM233" s="57">
        <f t="shared" si="148"/>
        <v>1166719.4553179515</v>
      </c>
      <c r="BU233" s="58">
        <f t="shared" si="150"/>
        <v>3500158.3659538543</v>
      </c>
      <c r="BV233" s="58">
        <f t="shared" si="146"/>
        <v>3500158.3659538543</v>
      </c>
      <c r="BW233" s="58">
        <f t="shared" si="140"/>
        <v>7000316.7319077086</v>
      </c>
      <c r="BX233" s="58">
        <f t="shared" si="119"/>
        <v>3500158.3659538543</v>
      </c>
      <c r="BY233" s="58">
        <f t="shared" si="120"/>
        <v>3500158.3659538543</v>
      </c>
      <c r="BZ233" s="58">
        <f t="shared" si="151"/>
        <v>3500158.3659538543</v>
      </c>
      <c r="CA233" s="58">
        <f t="shared" si="120"/>
        <v>3500158.3659538543</v>
      </c>
      <c r="CB233" s="58">
        <f t="shared" si="130"/>
        <v>14000633.463815417</v>
      </c>
      <c r="CC233" s="58">
        <f t="shared" si="131"/>
        <v>3500158.3659538543</v>
      </c>
      <c r="CD233" s="58">
        <f t="shared" si="149"/>
        <v>3500158.3659538543</v>
      </c>
      <c r="CE233" s="58">
        <f t="shared" si="149"/>
        <v>3500158.3659538543</v>
      </c>
      <c r="CF233" s="58">
        <f t="shared" si="149"/>
        <v>3500158.3659538543</v>
      </c>
      <c r="CG233" s="58">
        <f t="shared" si="132"/>
        <v>14000633.463815417</v>
      </c>
      <c r="CH233" s="58">
        <f t="shared" si="133"/>
        <v>3500158.3659538543</v>
      </c>
      <c r="CI233" s="58">
        <f t="shared" si="145"/>
        <v>3500158.3659538543</v>
      </c>
      <c r="CJ233" s="58">
        <f t="shared" si="145"/>
        <v>3500158.3659538543</v>
      </c>
      <c r="CK233" s="58">
        <f t="shared" si="145"/>
        <v>3500158.3659538543</v>
      </c>
      <c r="CL233" s="58">
        <f t="shared" si="134"/>
        <v>14000633.463815417</v>
      </c>
      <c r="CN233" s="59">
        <f t="shared" si="143"/>
        <v>3.5851591528820639E-3</v>
      </c>
      <c r="CO233" s="64">
        <f t="shared" si="144"/>
        <v>75288342.210523337</v>
      </c>
      <c r="CP233" s="2">
        <f t="shared" si="137"/>
        <v>112005067.71052334</v>
      </c>
    </row>
    <row r="234" spans="1:94" ht="16.5" hidden="1" x14ac:dyDescent="0.3">
      <c r="A234" s="2">
        <v>229</v>
      </c>
      <c r="B234" s="47" t="s">
        <v>21</v>
      </c>
      <c r="C234" s="47"/>
      <c r="D234" s="30" t="s">
        <v>553</v>
      </c>
      <c r="E234" s="30" t="s">
        <v>115</v>
      </c>
      <c r="F234" s="30" t="s">
        <v>579</v>
      </c>
      <c r="G234" s="48" t="s">
        <v>555</v>
      </c>
      <c r="H234" s="48" t="s">
        <v>118</v>
      </c>
      <c r="I234" s="30" t="s">
        <v>119</v>
      </c>
      <c r="J234" s="30" t="s">
        <v>764</v>
      </c>
      <c r="K234" s="30" t="s">
        <v>765</v>
      </c>
      <c r="L234" s="48" t="s">
        <v>777</v>
      </c>
      <c r="M234" s="79">
        <v>2100854</v>
      </c>
      <c r="N234" s="48" t="s">
        <v>582</v>
      </c>
      <c r="O234" s="48" t="s">
        <v>877</v>
      </c>
      <c r="P234" s="48"/>
      <c r="Q234" s="48" t="s">
        <v>870</v>
      </c>
      <c r="R234" s="48"/>
      <c r="S234" s="30" t="s">
        <v>878</v>
      </c>
      <c r="T234" s="30" t="s">
        <v>879</v>
      </c>
      <c r="U234" s="48" t="s">
        <v>588</v>
      </c>
      <c r="V234" s="48" t="s">
        <v>589</v>
      </c>
      <c r="W234" s="48" t="s">
        <v>873</v>
      </c>
      <c r="X234" s="48" t="s">
        <v>127</v>
      </c>
      <c r="Y234" s="48" t="s">
        <v>128</v>
      </c>
      <c r="Z234" s="48" t="s">
        <v>128</v>
      </c>
      <c r="AA234" s="48" t="s">
        <v>129</v>
      </c>
      <c r="AB234" s="48" t="s">
        <v>868</v>
      </c>
      <c r="AC234" s="48" t="s">
        <v>868</v>
      </c>
      <c r="AD234" s="48"/>
      <c r="AE234" s="48"/>
      <c r="AF234" s="48" t="s">
        <v>131</v>
      </c>
      <c r="AG234" s="48" t="s">
        <v>649</v>
      </c>
      <c r="AH234" s="48"/>
      <c r="AI234" s="48"/>
      <c r="AJ234" s="98"/>
      <c r="AK234" s="80">
        <v>43496</v>
      </c>
      <c r="AL234" s="51">
        <f t="shared" si="152"/>
        <v>6.7534246575342465</v>
      </c>
      <c r="AM234" s="52">
        <v>12</v>
      </c>
      <c r="AN234" s="48" t="s">
        <v>220</v>
      </c>
      <c r="AO234" s="30" t="s">
        <v>133</v>
      </c>
      <c r="AP234" s="30" t="s">
        <v>134</v>
      </c>
      <c r="AQ234" s="48"/>
      <c r="AR234" s="48"/>
      <c r="AS234" s="48"/>
      <c r="AT234" s="48"/>
      <c r="AU234" s="53">
        <v>38212556</v>
      </c>
      <c r="AV234" s="54"/>
      <c r="AW234" s="54"/>
      <c r="AX234" s="54">
        <v>38212556</v>
      </c>
      <c r="AY234" s="54"/>
      <c r="AZ234" s="54"/>
      <c r="BA234" s="54">
        <v>16458610</v>
      </c>
      <c r="BB234" s="55">
        <v>7468635</v>
      </c>
      <c r="BC234" s="52">
        <v>144</v>
      </c>
      <c r="BD234" s="52"/>
      <c r="BE234" s="52">
        <v>60</v>
      </c>
      <c r="BF234" s="30"/>
      <c r="BG234" s="30"/>
      <c r="BH234" s="30" t="s">
        <v>776</v>
      </c>
      <c r="BI234" s="30" t="str">
        <f t="shared" si="135"/>
        <v>COG</v>
      </c>
      <c r="BJ234" s="47" t="s">
        <v>137</v>
      </c>
      <c r="BK234" s="56">
        <f t="shared" si="136"/>
        <v>17281540.5</v>
      </c>
      <c r="BL234" s="57">
        <f t="shared" si="147"/>
        <v>1647427.0985206824</v>
      </c>
      <c r="BM234" s="57">
        <f t="shared" si="148"/>
        <v>549142.36617356085</v>
      </c>
      <c r="BU234" s="58">
        <f t="shared" si="150"/>
        <v>1647427.0985206827</v>
      </c>
      <c r="BV234" s="58">
        <f t="shared" si="146"/>
        <v>1647427.0985206827</v>
      </c>
      <c r="BW234" s="58">
        <f t="shared" si="140"/>
        <v>3294854.1970413653</v>
      </c>
      <c r="BX234" s="58">
        <f t="shared" si="119"/>
        <v>1647427.0985206827</v>
      </c>
      <c r="BY234" s="58">
        <f t="shared" si="120"/>
        <v>1647427.0985206827</v>
      </c>
      <c r="BZ234" s="58">
        <f t="shared" si="151"/>
        <v>1647427.0985206827</v>
      </c>
      <c r="CA234" s="58">
        <f t="shared" si="120"/>
        <v>1647427.0985206827</v>
      </c>
      <c r="CB234" s="58">
        <f t="shared" si="130"/>
        <v>6589708.3940827306</v>
      </c>
      <c r="CC234" s="58">
        <f t="shared" si="131"/>
        <v>1647427.0985206827</v>
      </c>
      <c r="CD234" s="58">
        <f t="shared" si="149"/>
        <v>1647427.0985206827</v>
      </c>
      <c r="CE234" s="58">
        <f t="shared" si="149"/>
        <v>1647427.0985206827</v>
      </c>
      <c r="CF234" s="58">
        <f t="shared" si="149"/>
        <v>1647427.0985206827</v>
      </c>
      <c r="CG234" s="58">
        <f t="shared" si="132"/>
        <v>6589708.3940827306</v>
      </c>
      <c r="CH234" s="58">
        <f t="shared" si="133"/>
        <v>1647427.0985206827</v>
      </c>
      <c r="CI234" s="58">
        <f t="shared" si="145"/>
        <v>1647427.0985206827</v>
      </c>
      <c r="CJ234" s="58">
        <f t="shared" si="145"/>
        <v>1647427.0985206827</v>
      </c>
      <c r="CK234" s="58">
        <f t="shared" si="145"/>
        <v>1647427.0985206827</v>
      </c>
      <c r="CL234" s="58">
        <f t="shared" si="134"/>
        <v>6589708.3940827306</v>
      </c>
      <c r="CN234" s="59">
        <f t="shared" si="143"/>
        <v>1.6874346025077067E-3</v>
      </c>
      <c r="CO234" s="64">
        <f t="shared" si="144"/>
        <v>35436126.652661838</v>
      </c>
      <c r="CP234" s="2">
        <f t="shared" si="137"/>
        <v>52717667.152661838</v>
      </c>
    </row>
    <row r="235" spans="1:94" ht="16.5" hidden="1" x14ac:dyDescent="0.3">
      <c r="A235" s="2">
        <v>230</v>
      </c>
      <c r="B235" s="47" t="s">
        <v>21</v>
      </c>
      <c r="C235" s="47"/>
      <c r="D235" s="30" t="s">
        <v>553</v>
      </c>
      <c r="E235" s="30" t="s">
        <v>115</v>
      </c>
      <c r="F235" s="30" t="s">
        <v>579</v>
      </c>
      <c r="G235" s="48" t="s">
        <v>555</v>
      </c>
      <c r="H235" s="48" t="s">
        <v>118</v>
      </c>
      <c r="I235" s="30" t="s">
        <v>119</v>
      </c>
      <c r="J235" s="30" t="s">
        <v>764</v>
      </c>
      <c r="K235" s="30" t="s">
        <v>765</v>
      </c>
      <c r="L235" s="48" t="s">
        <v>794</v>
      </c>
      <c r="M235" s="79">
        <v>2100855</v>
      </c>
      <c r="N235" s="48" t="s">
        <v>582</v>
      </c>
      <c r="O235" s="48" t="s">
        <v>880</v>
      </c>
      <c r="P235" s="48" t="s">
        <v>797</v>
      </c>
      <c r="Q235" s="48" t="s">
        <v>797</v>
      </c>
      <c r="R235" s="48"/>
      <c r="S235" s="30" t="s">
        <v>881</v>
      </c>
      <c r="T235" s="30" t="s">
        <v>882</v>
      </c>
      <c r="U235" s="48" t="s">
        <v>588</v>
      </c>
      <c r="V235" s="48" t="s">
        <v>800</v>
      </c>
      <c r="W235" s="48" t="s">
        <v>801</v>
      </c>
      <c r="X235" s="103" t="s">
        <v>602</v>
      </c>
      <c r="Y235" s="48" t="s">
        <v>457</v>
      </c>
      <c r="Z235" s="48" t="s">
        <v>457</v>
      </c>
      <c r="AA235" s="48" t="s">
        <v>129</v>
      </c>
      <c r="AB235" s="48" t="s">
        <v>802</v>
      </c>
      <c r="AC235" s="48" t="s">
        <v>802</v>
      </c>
      <c r="AD235" s="48"/>
      <c r="AE235" s="48"/>
      <c r="AF235" s="48" t="s">
        <v>131</v>
      </c>
      <c r="AG235" s="48" t="s">
        <v>649</v>
      </c>
      <c r="AH235" s="48"/>
      <c r="AI235" s="48"/>
      <c r="AJ235" s="98"/>
      <c r="AK235" s="80">
        <v>43496</v>
      </c>
      <c r="AL235" s="51">
        <f t="shared" si="152"/>
        <v>6.7534246575342465</v>
      </c>
      <c r="AM235" s="52">
        <v>12</v>
      </c>
      <c r="AN235" s="48" t="s">
        <v>220</v>
      </c>
      <c r="AO235" s="30" t="s">
        <v>133</v>
      </c>
      <c r="AP235" s="30" t="s">
        <v>134</v>
      </c>
      <c r="AQ235" s="48"/>
      <c r="AR235" s="48"/>
      <c r="AS235" s="48"/>
      <c r="AT235" s="48"/>
      <c r="AU235" s="53">
        <v>38262556</v>
      </c>
      <c r="AV235" s="54"/>
      <c r="AW235" s="54"/>
      <c r="AX235" s="54">
        <v>38262556</v>
      </c>
      <c r="AY235" s="54"/>
      <c r="AZ235" s="54"/>
      <c r="BA235" s="54">
        <v>16480146</v>
      </c>
      <c r="BB235" s="55">
        <v>7478408</v>
      </c>
      <c r="BC235" s="52">
        <v>144</v>
      </c>
      <c r="BD235" s="52"/>
      <c r="BE235" s="52">
        <v>60</v>
      </c>
      <c r="BF235" s="30"/>
      <c r="BG235" s="30"/>
      <c r="BH235" s="30" t="s">
        <v>776</v>
      </c>
      <c r="BI235" s="30" t="str">
        <f t="shared" si="135"/>
        <v>COG</v>
      </c>
      <c r="BJ235" s="47" t="s">
        <v>137</v>
      </c>
      <c r="BK235" s="56">
        <f t="shared" si="136"/>
        <v>17304153.300000001</v>
      </c>
      <c r="BL235" s="57">
        <f t="shared" si="147"/>
        <v>1649582.7477519205</v>
      </c>
      <c r="BM235" s="57">
        <f t="shared" si="148"/>
        <v>549860.91591730679</v>
      </c>
      <c r="BU235" s="58">
        <f t="shared" si="150"/>
        <v>1649582.7477519205</v>
      </c>
      <c r="BV235" s="58">
        <f t="shared" ref="BV235:BV251" si="153">BU235</f>
        <v>1649582.7477519205</v>
      </c>
      <c r="BW235" s="58">
        <f t="shared" si="140"/>
        <v>3299165.495503841</v>
      </c>
      <c r="BX235" s="58">
        <f>BV235</f>
        <v>1649582.7477519205</v>
      </c>
      <c r="BY235" s="58">
        <f>BX235</f>
        <v>1649582.7477519205</v>
      </c>
      <c r="BZ235" s="58">
        <f t="shared" si="151"/>
        <v>1649582.7477519205</v>
      </c>
      <c r="CA235" s="58">
        <f>BZ235</f>
        <v>1649582.7477519205</v>
      </c>
      <c r="CB235" s="58">
        <f t="shared" si="130"/>
        <v>6598330.9910076819</v>
      </c>
      <c r="CC235" s="58">
        <f t="shared" si="131"/>
        <v>1649582.7477519205</v>
      </c>
      <c r="CD235" s="58">
        <f t="shared" si="149"/>
        <v>1649582.7477519205</v>
      </c>
      <c r="CE235" s="58">
        <f t="shared" si="149"/>
        <v>1649582.7477519205</v>
      </c>
      <c r="CF235" s="58">
        <f t="shared" si="149"/>
        <v>1649582.7477519205</v>
      </c>
      <c r="CG235" s="58">
        <f t="shared" si="132"/>
        <v>6598330.9910076819</v>
      </c>
      <c r="CH235" s="58">
        <f t="shared" si="133"/>
        <v>1649582.7477519205</v>
      </c>
      <c r="CI235" s="58">
        <f t="shared" si="145"/>
        <v>1649582.7477519205</v>
      </c>
      <c r="CJ235" s="58">
        <f t="shared" si="145"/>
        <v>1649582.7477519205</v>
      </c>
      <c r="CK235" s="58">
        <f t="shared" si="145"/>
        <v>1649582.7477519205</v>
      </c>
      <c r="CL235" s="58">
        <f t="shared" si="134"/>
        <v>6598330.9910076819</v>
      </c>
      <c r="CN235" s="59">
        <f t="shared" si="143"/>
        <v>1.6896426013362595E-3</v>
      </c>
      <c r="CO235" s="64">
        <f t="shared" si="144"/>
        <v>35482494.628061451</v>
      </c>
      <c r="CP235" s="2">
        <f t="shared" si="137"/>
        <v>52786647.928061455</v>
      </c>
    </row>
    <row r="236" spans="1:94" ht="16.5" hidden="1" x14ac:dyDescent="0.3">
      <c r="A236" s="2">
        <v>231</v>
      </c>
      <c r="B236" s="47" t="s">
        <v>21</v>
      </c>
      <c r="C236" s="47"/>
      <c r="D236" s="30" t="s">
        <v>553</v>
      </c>
      <c r="E236" s="30" t="s">
        <v>115</v>
      </c>
      <c r="F236" s="30" t="s">
        <v>579</v>
      </c>
      <c r="G236" s="48" t="s">
        <v>555</v>
      </c>
      <c r="H236" s="48" t="s">
        <v>118</v>
      </c>
      <c r="I236" s="30" t="s">
        <v>119</v>
      </c>
      <c r="J236" s="30" t="s">
        <v>764</v>
      </c>
      <c r="K236" s="30" t="s">
        <v>765</v>
      </c>
      <c r="L236" s="48" t="s">
        <v>794</v>
      </c>
      <c r="M236" s="79">
        <v>2100856</v>
      </c>
      <c r="N236" s="48" t="s">
        <v>582</v>
      </c>
      <c r="O236" s="48" t="s">
        <v>880</v>
      </c>
      <c r="P236" s="48" t="s">
        <v>797</v>
      </c>
      <c r="Q236" s="48" t="s">
        <v>797</v>
      </c>
      <c r="R236" s="48"/>
      <c r="S236" s="30" t="s">
        <v>883</v>
      </c>
      <c r="T236" s="30" t="s">
        <v>884</v>
      </c>
      <c r="U236" s="48" t="s">
        <v>588</v>
      </c>
      <c r="V236" s="48" t="s">
        <v>800</v>
      </c>
      <c r="W236" s="48" t="s">
        <v>801</v>
      </c>
      <c r="X236" s="103" t="s">
        <v>602</v>
      </c>
      <c r="Y236" s="48" t="s">
        <v>457</v>
      </c>
      <c r="Z236" s="48" t="s">
        <v>457</v>
      </c>
      <c r="AA236" s="48" t="s">
        <v>129</v>
      </c>
      <c r="AB236" s="48" t="s">
        <v>802</v>
      </c>
      <c r="AC236" s="48" t="s">
        <v>802</v>
      </c>
      <c r="AD236" s="48"/>
      <c r="AE236" s="48"/>
      <c r="AF236" s="48" t="s">
        <v>131</v>
      </c>
      <c r="AG236" s="48" t="s">
        <v>649</v>
      </c>
      <c r="AH236" s="48"/>
      <c r="AI236" s="48"/>
      <c r="AJ236" s="98"/>
      <c r="AK236" s="80">
        <v>43496</v>
      </c>
      <c r="AL236" s="51">
        <f t="shared" si="152"/>
        <v>6.7534246575342465</v>
      </c>
      <c r="AM236" s="52">
        <v>12</v>
      </c>
      <c r="AN236" s="48" t="s">
        <v>220</v>
      </c>
      <c r="AO236" s="30" t="s">
        <v>133</v>
      </c>
      <c r="AP236" s="30" t="s">
        <v>134</v>
      </c>
      <c r="AQ236" s="48"/>
      <c r="AR236" s="48"/>
      <c r="AS236" s="48"/>
      <c r="AT236" s="48"/>
      <c r="AU236" s="53">
        <v>38262556</v>
      </c>
      <c r="AV236" s="54"/>
      <c r="AW236" s="54"/>
      <c r="AX236" s="54">
        <v>38262556</v>
      </c>
      <c r="AY236" s="54"/>
      <c r="AZ236" s="54"/>
      <c r="BA236" s="54">
        <v>16480146</v>
      </c>
      <c r="BB236" s="55">
        <v>7478408</v>
      </c>
      <c r="BC236" s="52">
        <v>144</v>
      </c>
      <c r="BD236" s="52"/>
      <c r="BE236" s="52">
        <v>60</v>
      </c>
      <c r="BF236" s="30"/>
      <c r="BG236" s="30"/>
      <c r="BH236" s="30" t="s">
        <v>776</v>
      </c>
      <c r="BI236" s="30" t="str">
        <f t="shared" si="135"/>
        <v>COG</v>
      </c>
      <c r="BJ236" s="47" t="s">
        <v>137</v>
      </c>
      <c r="BK236" s="56">
        <f t="shared" si="136"/>
        <v>17304153.300000001</v>
      </c>
      <c r="BL236" s="57">
        <f t="shared" si="147"/>
        <v>1649582.7477519205</v>
      </c>
      <c r="BM236" s="57">
        <f t="shared" si="148"/>
        <v>549860.91591730679</v>
      </c>
      <c r="BU236" s="58">
        <f t="shared" si="150"/>
        <v>1649582.7477519205</v>
      </c>
      <c r="BV236" s="58">
        <f t="shared" si="153"/>
        <v>1649582.7477519205</v>
      </c>
      <c r="BW236" s="58">
        <f t="shared" si="140"/>
        <v>3299165.495503841</v>
      </c>
      <c r="BX236" s="58">
        <f>BV236</f>
        <v>1649582.7477519205</v>
      </c>
      <c r="BY236" s="58">
        <f>BX236</f>
        <v>1649582.7477519205</v>
      </c>
      <c r="BZ236" s="58">
        <f t="shared" si="151"/>
        <v>1649582.7477519205</v>
      </c>
      <c r="CA236" s="58">
        <f>BZ236</f>
        <v>1649582.7477519205</v>
      </c>
      <c r="CB236" s="58">
        <f t="shared" si="130"/>
        <v>6598330.9910076819</v>
      </c>
      <c r="CC236" s="58">
        <f t="shared" si="131"/>
        <v>1649582.7477519205</v>
      </c>
      <c r="CD236" s="58">
        <f t="shared" si="149"/>
        <v>1649582.7477519205</v>
      </c>
      <c r="CE236" s="58">
        <f t="shared" si="149"/>
        <v>1649582.7477519205</v>
      </c>
      <c r="CF236" s="58">
        <f t="shared" si="149"/>
        <v>1649582.7477519205</v>
      </c>
      <c r="CG236" s="58">
        <f t="shared" si="132"/>
        <v>6598330.9910076819</v>
      </c>
      <c r="CH236" s="58">
        <f t="shared" si="133"/>
        <v>1649582.7477519205</v>
      </c>
      <c r="CI236" s="58">
        <f t="shared" si="145"/>
        <v>1649582.7477519205</v>
      </c>
      <c r="CJ236" s="58">
        <f t="shared" si="145"/>
        <v>1649582.7477519205</v>
      </c>
      <c r="CK236" s="58">
        <f t="shared" si="145"/>
        <v>1649582.7477519205</v>
      </c>
      <c r="CL236" s="58">
        <f t="shared" si="134"/>
        <v>6598330.9910076819</v>
      </c>
      <c r="CN236" s="59">
        <f t="shared" si="143"/>
        <v>1.6896426013362595E-3</v>
      </c>
      <c r="CO236" s="64">
        <f t="shared" si="144"/>
        <v>35482494.628061451</v>
      </c>
      <c r="CP236" s="2">
        <f t="shared" si="137"/>
        <v>52786647.928061455</v>
      </c>
    </row>
    <row r="237" spans="1:94" ht="16.5" hidden="1" x14ac:dyDescent="0.3">
      <c r="A237" s="2">
        <v>232</v>
      </c>
      <c r="B237" s="47" t="s">
        <v>21</v>
      </c>
      <c r="C237" s="47"/>
      <c r="D237" s="30" t="s">
        <v>553</v>
      </c>
      <c r="E237" s="30" t="s">
        <v>115</v>
      </c>
      <c r="F237" s="30" t="s">
        <v>579</v>
      </c>
      <c r="G237" s="48" t="s">
        <v>555</v>
      </c>
      <c r="H237" s="48" t="s">
        <v>118</v>
      </c>
      <c r="I237" s="30" t="s">
        <v>119</v>
      </c>
      <c r="J237" s="30" t="s">
        <v>764</v>
      </c>
      <c r="K237" s="30" t="s">
        <v>765</v>
      </c>
      <c r="L237" s="30" t="s">
        <v>885</v>
      </c>
      <c r="M237" s="79">
        <v>2100889</v>
      </c>
      <c r="N237" s="48" t="s">
        <v>582</v>
      </c>
      <c r="O237" s="48" t="s">
        <v>886</v>
      </c>
      <c r="P237" s="48" t="s">
        <v>887</v>
      </c>
      <c r="Q237" s="48" t="s">
        <v>888</v>
      </c>
      <c r="R237" s="48"/>
      <c r="S237" s="48" t="s">
        <v>889</v>
      </c>
      <c r="T237" s="48" t="s">
        <v>890</v>
      </c>
      <c r="U237" s="48" t="s">
        <v>588</v>
      </c>
      <c r="V237" s="48" t="s">
        <v>600</v>
      </c>
      <c r="W237" s="48" t="s">
        <v>176</v>
      </c>
      <c r="X237" s="48" t="s">
        <v>147</v>
      </c>
      <c r="Y237" s="48" t="s">
        <v>576</v>
      </c>
      <c r="Z237" s="48" t="s">
        <v>576</v>
      </c>
      <c r="AA237" s="49" t="s">
        <v>891</v>
      </c>
      <c r="AB237" s="49" t="s">
        <v>892</v>
      </c>
      <c r="AC237" s="48"/>
      <c r="AD237" s="48"/>
      <c r="AE237" s="48"/>
      <c r="AF237" s="30" t="s">
        <v>604</v>
      </c>
      <c r="AG237" s="30" t="s">
        <v>774</v>
      </c>
      <c r="AH237" s="48" t="s">
        <v>893</v>
      </c>
      <c r="AI237" s="48"/>
      <c r="AJ237" s="98">
        <v>39468</v>
      </c>
      <c r="AK237" s="80">
        <v>39629</v>
      </c>
      <c r="AL237" s="51">
        <f t="shared" si="152"/>
        <v>17.347945205479451</v>
      </c>
      <c r="AM237" s="52">
        <v>12</v>
      </c>
      <c r="AN237" s="48" t="s">
        <v>220</v>
      </c>
      <c r="AO237" s="30" t="s">
        <v>133</v>
      </c>
      <c r="AP237" s="30" t="s">
        <v>606</v>
      </c>
      <c r="AQ237" s="48">
        <v>36.1</v>
      </c>
      <c r="AR237" s="48">
        <v>3987</v>
      </c>
      <c r="AS237" s="48">
        <v>3454</v>
      </c>
      <c r="AT237" s="48">
        <v>2100</v>
      </c>
      <c r="AU237" s="53">
        <v>1554125655</v>
      </c>
      <c r="AV237" s="54"/>
      <c r="AW237" s="54"/>
      <c r="AX237" s="54">
        <v>1480986630</v>
      </c>
      <c r="AY237" s="54"/>
      <c r="AZ237" s="54"/>
      <c r="BA237" s="54">
        <v>1000</v>
      </c>
      <c r="BB237" s="55">
        <v>20307574</v>
      </c>
      <c r="BC237" s="52">
        <v>144</v>
      </c>
      <c r="BD237" s="52">
        <v>210</v>
      </c>
      <c r="BE237" s="52">
        <v>0</v>
      </c>
      <c r="BF237" s="30"/>
      <c r="BG237" s="30" t="s">
        <v>894</v>
      </c>
      <c r="BH237" s="30" t="s">
        <v>776</v>
      </c>
      <c r="BI237" s="30" t="str">
        <f t="shared" si="135"/>
        <v>COG</v>
      </c>
      <c r="BJ237" s="47" t="s">
        <v>137</v>
      </c>
      <c r="BK237" s="56">
        <f t="shared" si="136"/>
        <v>31082513.100000001</v>
      </c>
      <c r="BL237" s="57">
        <f t="shared" si="147"/>
        <v>2963056.121707675</v>
      </c>
      <c r="BM237" s="57">
        <f t="shared" si="148"/>
        <v>987685.37390255835</v>
      </c>
      <c r="BP237" s="69">
        <f t="shared" ref="BP237:BP297" si="154">BM237*3</f>
        <v>2963056.121707675</v>
      </c>
      <c r="BQ237" s="69">
        <f t="shared" ref="BQ237:BQ297" si="155">BP237</f>
        <v>2963056.121707675</v>
      </c>
      <c r="BR237" s="69">
        <f>SUM(BN237:BQ237)</f>
        <v>5926112.2434153501</v>
      </c>
      <c r="BS237" s="69">
        <f t="shared" ref="BS237:BS297" si="156">BQ237</f>
        <v>2963056.121707675</v>
      </c>
      <c r="BT237" s="69">
        <f>BS237</f>
        <v>2963056.121707675</v>
      </c>
      <c r="BU237" s="100">
        <f>BT237</f>
        <v>2963056.121707675</v>
      </c>
      <c r="BV237" s="100">
        <f t="shared" si="153"/>
        <v>2963056.121707675</v>
      </c>
      <c r="BW237" s="100">
        <f>SUM(BS237:BV237)</f>
        <v>11852224.4868307</v>
      </c>
      <c r="BX237" s="101">
        <f t="shared" ref="BX237:BX300" si="157">BV237</f>
        <v>2963056.121707675</v>
      </c>
      <c r="BY237" s="101">
        <f t="shared" ref="BY237:CA298" si="158">BX237</f>
        <v>2963056.121707675</v>
      </c>
      <c r="BZ237" s="106">
        <f>BY237</f>
        <v>2963056.121707675</v>
      </c>
      <c r="CA237" s="106">
        <f t="shared" ref="CA237:CA272" si="159">BZ237</f>
        <v>2963056.121707675</v>
      </c>
      <c r="CB237" s="107">
        <f t="shared" si="130"/>
        <v>11852224.4868307</v>
      </c>
      <c r="CC237" s="106">
        <f t="shared" si="131"/>
        <v>2963056.121707675</v>
      </c>
      <c r="CD237" s="106">
        <f t="shared" si="149"/>
        <v>2963056.121707675</v>
      </c>
      <c r="CE237" s="106">
        <f t="shared" si="149"/>
        <v>2963056.121707675</v>
      </c>
      <c r="CF237" s="106">
        <f t="shared" si="149"/>
        <v>2963056.121707675</v>
      </c>
      <c r="CG237" s="107">
        <f t="shared" si="132"/>
        <v>11852224.4868307</v>
      </c>
      <c r="CH237" s="106">
        <f t="shared" si="133"/>
        <v>2963056.121707675</v>
      </c>
      <c r="CI237" s="106">
        <f t="shared" si="145"/>
        <v>2963056.121707675</v>
      </c>
      <c r="CJ237" s="106">
        <f t="shared" si="145"/>
        <v>2963056.121707675</v>
      </c>
      <c r="CK237" s="106">
        <f t="shared" si="145"/>
        <v>2963056.121707675</v>
      </c>
      <c r="CL237" s="107">
        <f t="shared" si="134"/>
        <v>11852224.4868307</v>
      </c>
      <c r="CM237" s="71"/>
      <c r="CN237" s="59">
        <f t="shared" si="143"/>
        <v>3.0350134664116949E-3</v>
      </c>
      <c r="CO237" s="64">
        <f t="shared" si="144"/>
        <v>63735282.794645593</v>
      </c>
      <c r="CP237" s="2">
        <f t="shared" si="137"/>
        <v>94817795.894645602</v>
      </c>
    </row>
    <row r="238" spans="1:94" ht="16.5" hidden="1" x14ac:dyDescent="0.3">
      <c r="A238" s="2">
        <v>233</v>
      </c>
      <c r="B238" s="47" t="s">
        <v>21</v>
      </c>
      <c r="C238" s="47"/>
      <c r="D238" s="30" t="s">
        <v>553</v>
      </c>
      <c r="E238" s="30" t="s">
        <v>115</v>
      </c>
      <c r="F238" s="30" t="s">
        <v>579</v>
      </c>
      <c r="G238" s="48" t="s">
        <v>555</v>
      </c>
      <c r="H238" s="48" t="s">
        <v>385</v>
      </c>
      <c r="I238" s="30" t="s">
        <v>119</v>
      </c>
      <c r="J238" s="30" t="s">
        <v>764</v>
      </c>
      <c r="K238" s="30" t="s">
        <v>765</v>
      </c>
      <c r="L238" s="30" t="s">
        <v>885</v>
      </c>
      <c r="M238" s="79">
        <v>2100890</v>
      </c>
      <c r="N238" s="48" t="s">
        <v>582</v>
      </c>
      <c r="O238" s="48" t="s">
        <v>895</v>
      </c>
      <c r="P238" s="48" t="s">
        <v>896</v>
      </c>
      <c r="Q238" s="48" t="s">
        <v>897</v>
      </c>
      <c r="R238" s="48"/>
      <c r="S238" s="48" t="s">
        <v>898</v>
      </c>
      <c r="T238" s="48" t="s">
        <v>899</v>
      </c>
      <c r="U238" s="48" t="s">
        <v>588</v>
      </c>
      <c r="V238" s="48" t="s">
        <v>600</v>
      </c>
      <c r="W238" s="48" t="s">
        <v>176</v>
      </c>
      <c r="X238" s="48" t="s">
        <v>127</v>
      </c>
      <c r="Y238" s="48" t="s">
        <v>457</v>
      </c>
      <c r="Z238" s="48" t="s">
        <v>457</v>
      </c>
      <c r="AA238" s="49" t="s">
        <v>891</v>
      </c>
      <c r="AB238" s="108" t="s">
        <v>900</v>
      </c>
      <c r="AC238" s="48"/>
      <c r="AD238" s="48"/>
      <c r="AE238" s="48"/>
      <c r="AF238" s="30" t="s">
        <v>604</v>
      </c>
      <c r="AG238" s="30" t="s">
        <v>774</v>
      </c>
      <c r="AH238" s="48" t="s">
        <v>893</v>
      </c>
      <c r="AI238" s="48"/>
      <c r="AJ238" s="98">
        <v>40600</v>
      </c>
      <c r="AK238" s="80">
        <v>40633</v>
      </c>
      <c r="AL238" s="51">
        <f t="shared" si="152"/>
        <v>14.597260273972603</v>
      </c>
      <c r="AM238" s="52">
        <v>12</v>
      </c>
      <c r="AN238" s="48" t="s">
        <v>220</v>
      </c>
      <c r="AO238" s="30" t="s">
        <v>133</v>
      </c>
      <c r="AP238" s="30" t="s">
        <v>606</v>
      </c>
      <c r="AQ238" s="48">
        <v>36.1</v>
      </c>
      <c r="AR238" s="48">
        <v>3987</v>
      </c>
      <c r="AS238" s="48">
        <v>3454</v>
      </c>
      <c r="AT238" s="48">
        <v>2100</v>
      </c>
      <c r="AU238" s="53">
        <v>1922784380</v>
      </c>
      <c r="AV238" s="54"/>
      <c r="AW238" s="54"/>
      <c r="AX238" s="54">
        <v>1922784380</v>
      </c>
      <c r="AY238" s="54"/>
      <c r="AZ238" s="54"/>
      <c r="BA238" s="54">
        <v>1000</v>
      </c>
      <c r="BB238" s="55">
        <v>1000</v>
      </c>
      <c r="BC238" s="52">
        <v>144</v>
      </c>
      <c r="BD238" s="52">
        <v>177</v>
      </c>
      <c r="BE238" s="52">
        <v>0</v>
      </c>
      <c r="BF238" s="30"/>
      <c r="BG238" s="30" t="s">
        <v>894</v>
      </c>
      <c r="BH238" s="30" t="s">
        <v>776</v>
      </c>
      <c r="BI238" s="30" t="str">
        <f t="shared" si="135"/>
        <v>COG</v>
      </c>
      <c r="BJ238" s="47" t="s">
        <v>137</v>
      </c>
      <c r="BK238" s="56">
        <f t="shared" si="136"/>
        <v>38455687.600000001</v>
      </c>
      <c r="BL238" s="57">
        <f t="shared" si="147"/>
        <v>3665931.3933549961</v>
      </c>
      <c r="BM238" s="57">
        <f t="shared" si="148"/>
        <v>1221977.131118332</v>
      </c>
      <c r="BU238" s="58">
        <f>BM238*3</f>
        <v>3665931.3933549961</v>
      </c>
      <c r="BV238" s="58">
        <f t="shared" si="153"/>
        <v>3665931.3933549961</v>
      </c>
      <c r="BW238" s="58">
        <f>SUM(BS238:BV238)</f>
        <v>7331862.7867099922</v>
      </c>
      <c r="BX238" s="58">
        <f t="shared" si="157"/>
        <v>3665931.3933549961</v>
      </c>
      <c r="BY238" s="58">
        <f t="shared" si="158"/>
        <v>3665931.3933549961</v>
      </c>
      <c r="BZ238" s="58">
        <f>BM238*3</f>
        <v>3665931.3933549961</v>
      </c>
      <c r="CA238" s="58">
        <f t="shared" si="159"/>
        <v>3665931.3933549961</v>
      </c>
      <c r="CB238" s="58">
        <f t="shared" si="130"/>
        <v>14663725.573419984</v>
      </c>
      <c r="CC238" s="58">
        <f t="shared" si="131"/>
        <v>3665931.3933549961</v>
      </c>
      <c r="CD238" s="58">
        <f t="shared" ref="CD238:CF254" si="160">CC238</f>
        <v>3665931.3933549961</v>
      </c>
      <c r="CE238" s="58">
        <f t="shared" si="160"/>
        <v>3665931.3933549961</v>
      </c>
      <c r="CF238" s="58">
        <f t="shared" si="160"/>
        <v>3665931.3933549961</v>
      </c>
      <c r="CG238" s="58">
        <f t="shared" si="132"/>
        <v>14663725.573419984</v>
      </c>
      <c r="CH238" s="58">
        <f t="shared" si="133"/>
        <v>3665931.3933549961</v>
      </c>
      <c r="CI238" s="58">
        <f t="shared" si="145"/>
        <v>3665931.3933549961</v>
      </c>
      <c r="CJ238" s="58">
        <f t="shared" si="145"/>
        <v>3665931.3933549961</v>
      </c>
      <c r="CK238" s="58">
        <f t="shared" si="145"/>
        <v>3665931.3933549961</v>
      </c>
      <c r="CL238" s="58">
        <f t="shared" si="134"/>
        <v>14663725.573419984</v>
      </c>
      <c r="CN238" s="59">
        <f t="shared" si="143"/>
        <v>3.7549579517790416E-3</v>
      </c>
      <c r="CO238" s="64">
        <f t="shared" si="144"/>
        <v>78854116.987359866</v>
      </c>
      <c r="CP238" s="2">
        <f t="shared" si="137"/>
        <v>117309804.58735988</v>
      </c>
    </row>
    <row r="239" spans="1:94" ht="16.5" hidden="1" x14ac:dyDescent="0.3">
      <c r="A239" s="2">
        <v>234</v>
      </c>
      <c r="B239" s="47" t="s">
        <v>21</v>
      </c>
      <c r="C239" s="47"/>
      <c r="D239" s="30" t="s">
        <v>553</v>
      </c>
      <c r="E239" s="30" t="s">
        <v>115</v>
      </c>
      <c r="F239" s="30" t="s">
        <v>579</v>
      </c>
      <c r="G239" s="48" t="s">
        <v>555</v>
      </c>
      <c r="H239" s="48" t="s">
        <v>385</v>
      </c>
      <c r="I239" s="30" t="s">
        <v>119</v>
      </c>
      <c r="J239" s="30" t="s">
        <v>764</v>
      </c>
      <c r="K239" s="30" t="s">
        <v>765</v>
      </c>
      <c r="L239" s="48" t="s">
        <v>901</v>
      </c>
      <c r="M239" s="79">
        <v>2100894</v>
      </c>
      <c r="N239" s="48" t="s">
        <v>582</v>
      </c>
      <c r="O239" s="48" t="s">
        <v>902</v>
      </c>
      <c r="P239" s="48"/>
      <c r="Q239" s="48" t="s">
        <v>903</v>
      </c>
      <c r="R239" s="48"/>
      <c r="S239" s="30" t="s">
        <v>904</v>
      </c>
      <c r="T239" s="30" t="s">
        <v>905</v>
      </c>
      <c r="U239" s="48" t="s">
        <v>588</v>
      </c>
      <c r="V239" s="48"/>
      <c r="W239" s="48" t="s">
        <v>906</v>
      </c>
      <c r="X239" s="48" t="s">
        <v>127</v>
      </c>
      <c r="Y239" s="48" t="s">
        <v>457</v>
      </c>
      <c r="Z239" s="48" t="s">
        <v>457</v>
      </c>
      <c r="AA239" s="48" t="s">
        <v>129</v>
      </c>
      <c r="AB239" s="48" t="s">
        <v>907</v>
      </c>
      <c r="AC239" s="48" t="s">
        <v>907</v>
      </c>
      <c r="AD239" s="48"/>
      <c r="AE239" s="48"/>
      <c r="AF239" s="48" t="s">
        <v>131</v>
      </c>
      <c r="AG239" s="48" t="s">
        <v>908</v>
      </c>
      <c r="AH239" s="48"/>
      <c r="AI239" s="48"/>
      <c r="AJ239" s="98"/>
      <c r="AK239" s="80">
        <v>39263</v>
      </c>
      <c r="AL239" s="51">
        <f t="shared" si="152"/>
        <v>18.350684931506848</v>
      </c>
      <c r="AM239" s="52">
        <v>12</v>
      </c>
      <c r="AN239" s="48" t="s">
        <v>132</v>
      </c>
      <c r="AO239" s="30" t="s">
        <v>133</v>
      </c>
      <c r="AP239" s="30" t="s">
        <v>606</v>
      </c>
      <c r="AQ239" s="48"/>
      <c r="AR239" s="48"/>
      <c r="AS239" s="48"/>
      <c r="AT239" s="48"/>
      <c r="AU239" s="53">
        <v>401940000</v>
      </c>
      <c r="AV239" s="54"/>
      <c r="AW239" s="54"/>
      <c r="AX239" s="54">
        <v>401940000</v>
      </c>
      <c r="AY239" s="54"/>
      <c r="AZ239" s="54"/>
      <c r="BA239" s="54">
        <v>1000</v>
      </c>
      <c r="BB239" s="55">
        <v>1000</v>
      </c>
      <c r="BC239" s="52">
        <v>144</v>
      </c>
      <c r="BD239" s="52">
        <v>222</v>
      </c>
      <c r="BE239" s="52">
        <v>0</v>
      </c>
      <c r="BF239" s="30"/>
      <c r="BG239" s="30"/>
      <c r="BH239" s="30" t="s">
        <v>776</v>
      </c>
      <c r="BI239" s="30" t="str">
        <f t="shared" si="135"/>
        <v>COG</v>
      </c>
      <c r="BJ239" s="47" t="s">
        <v>137</v>
      </c>
      <c r="BK239" s="56">
        <f t="shared" si="136"/>
        <v>8038800</v>
      </c>
      <c r="BL239" s="57">
        <f t="shared" si="147"/>
        <v>766328.49713762873</v>
      </c>
      <c r="BM239" s="57">
        <f t="shared" si="148"/>
        <v>255442.83237920958</v>
      </c>
      <c r="BU239" s="58">
        <f>BM239*3</f>
        <v>766328.49713762873</v>
      </c>
      <c r="BV239" s="58">
        <f t="shared" si="153"/>
        <v>766328.49713762873</v>
      </c>
      <c r="BW239" s="58">
        <f>SUM(BS239:BV239)</f>
        <v>1532656.9942752575</v>
      </c>
      <c r="BX239" s="58">
        <f t="shared" si="157"/>
        <v>766328.49713762873</v>
      </c>
      <c r="BY239" s="58">
        <f t="shared" si="158"/>
        <v>766328.49713762873</v>
      </c>
      <c r="BZ239" s="58">
        <f>BM239*3</f>
        <v>766328.49713762873</v>
      </c>
      <c r="CA239" s="58">
        <f t="shared" si="159"/>
        <v>766328.49713762873</v>
      </c>
      <c r="CB239" s="58">
        <f t="shared" si="130"/>
        <v>3065313.9885505149</v>
      </c>
      <c r="CC239" s="58">
        <f t="shared" si="131"/>
        <v>766328.49713762873</v>
      </c>
      <c r="CD239" s="58">
        <f t="shared" si="160"/>
        <v>766328.49713762873</v>
      </c>
      <c r="CE239" s="58">
        <f t="shared" si="160"/>
        <v>766328.49713762873</v>
      </c>
      <c r="CF239" s="58">
        <f t="shared" si="160"/>
        <v>766328.49713762873</v>
      </c>
      <c r="CG239" s="58">
        <f t="shared" si="132"/>
        <v>3065313.9885505149</v>
      </c>
      <c r="CH239" s="58">
        <f t="shared" si="133"/>
        <v>766328.49713762873</v>
      </c>
      <c r="CI239" s="58">
        <f t="shared" si="145"/>
        <v>766328.49713762873</v>
      </c>
      <c r="CJ239" s="58">
        <f t="shared" si="145"/>
        <v>766328.49713762873</v>
      </c>
      <c r="CK239" s="58">
        <f t="shared" si="145"/>
        <v>766328.49713762873</v>
      </c>
      <c r="CL239" s="58">
        <f t="shared" si="134"/>
        <v>3065313.9885505149</v>
      </c>
      <c r="CN239" s="59">
        <f t="shared" si="143"/>
        <v>7.8493866230495795E-4</v>
      </c>
      <c r="CO239" s="64">
        <f t="shared" si="144"/>
        <v>16483711.908404117</v>
      </c>
      <c r="CP239" s="2">
        <f t="shared" si="137"/>
        <v>24522511.908404119</v>
      </c>
    </row>
    <row r="240" spans="1:94" s="78" customFormat="1" ht="16.5" hidden="1" x14ac:dyDescent="0.3">
      <c r="A240" s="2">
        <v>235</v>
      </c>
      <c r="B240" s="47" t="s">
        <v>21</v>
      </c>
      <c r="C240" s="47"/>
      <c r="D240" s="30" t="s">
        <v>553</v>
      </c>
      <c r="E240" s="30" t="s">
        <v>115</v>
      </c>
      <c r="F240" s="30" t="s">
        <v>579</v>
      </c>
      <c r="G240" s="48" t="s">
        <v>555</v>
      </c>
      <c r="H240" s="48" t="s">
        <v>385</v>
      </c>
      <c r="I240" s="30" t="s">
        <v>119</v>
      </c>
      <c r="J240" s="30" t="s">
        <v>764</v>
      </c>
      <c r="K240" s="30" t="s">
        <v>765</v>
      </c>
      <c r="L240" s="48" t="s">
        <v>901</v>
      </c>
      <c r="M240" s="79">
        <v>2100902</v>
      </c>
      <c r="N240" s="48" t="s">
        <v>582</v>
      </c>
      <c r="O240" s="48" t="s">
        <v>909</v>
      </c>
      <c r="P240" s="48" t="s">
        <v>910</v>
      </c>
      <c r="Q240" s="48" t="s">
        <v>903</v>
      </c>
      <c r="R240" s="48"/>
      <c r="S240" s="48" t="s">
        <v>904</v>
      </c>
      <c r="T240" s="30" t="s">
        <v>905</v>
      </c>
      <c r="U240" s="48" t="s">
        <v>588</v>
      </c>
      <c r="V240" s="48"/>
      <c r="W240" s="48" t="s">
        <v>911</v>
      </c>
      <c r="X240" s="48" t="s">
        <v>127</v>
      </c>
      <c r="Y240" s="48" t="s">
        <v>457</v>
      </c>
      <c r="Z240" s="48" t="s">
        <v>457</v>
      </c>
      <c r="AA240" s="48" t="s">
        <v>129</v>
      </c>
      <c r="AB240" s="48" t="s">
        <v>907</v>
      </c>
      <c r="AC240" s="48" t="s">
        <v>907</v>
      </c>
      <c r="AD240" s="48"/>
      <c r="AE240" s="48"/>
      <c r="AF240" s="48" t="s">
        <v>131</v>
      </c>
      <c r="AG240" s="48" t="s">
        <v>908</v>
      </c>
      <c r="AH240" s="48"/>
      <c r="AI240" s="48"/>
      <c r="AJ240" s="98">
        <v>39981</v>
      </c>
      <c r="AK240" s="80">
        <v>42835</v>
      </c>
      <c r="AL240" s="51">
        <f t="shared" si="152"/>
        <v>8.5643835616438349</v>
      </c>
      <c r="AM240" s="52">
        <v>12</v>
      </c>
      <c r="AN240" s="48" t="s">
        <v>132</v>
      </c>
      <c r="AO240" s="30" t="s">
        <v>133</v>
      </c>
      <c r="AP240" s="30" t="s">
        <v>134</v>
      </c>
      <c r="AQ240" s="48">
        <v>6</v>
      </c>
      <c r="AR240" s="48">
        <v>1570</v>
      </c>
      <c r="AS240" s="48">
        <v>2170</v>
      </c>
      <c r="AT240" s="48">
        <v>2170</v>
      </c>
      <c r="AU240" s="53">
        <v>142000000</v>
      </c>
      <c r="AV240" s="54"/>
      <c r="AW240" s="54"/>
      <c r="AX240" s="54">
        <v>142000000</v>
      </c>
      <c r="AY240" s="54"/>
      <c r="AZ240" s="54"/>
      <c r="BA240" s="54">
        <v>39390288</v>
      </c>
      <c r="BB240" s="55">
        <v>17071540</v>
      </c>
      <c r="BC240" s="52">
        <v>144</v>
      </c>
      <c r="BD240" s="52">
        <v>104</v>
      </c>
      <c r="BE240" s="52">
        <v>39</v>
      </c>
      <c r="BF240" s="30"/>
      <c r="BG240" s="30"/>
      <c r="BH240" s="30" t="s">
        <v>776</v>
      </c>
      <c r="BI240" s="30" t="str">
        <f t="shared" si="135"/>
        <v>COG</v>
      </c>
      <c r="BJ240" s="47" t="s">
        <v>137</v>
      </c>
      <c r="BK240" s="56">
        <f t="shared" si="136"/>
        <v>41359802.399999999</v>
      </c>
      <c r="BL240" s="57">
        <f t="shared" si="147"/>
        <v>3942776.9337589294</v>
      </c>
      <c r="BM240" s="57">
        <f t="shared" si="148"/>
        <v>1314258.977919643</v>
      </c>
      <c r="BN240" s="2"/>
      <c r="BO240" s="2"/>
      <c r="BP240" s="15"/>
      <c r="BQ240" s="15"/>
      <c r="BR240" s="15"/>
      <c r="BS240" s="15"/>
      <c r="BT240" s="15"/>
      <c r="BU240" s="58">
        <f>BM240*3</f>
        <v>3942776.9337589294</v>
      </c>
      <c r="BV240" s="58">
        <f t="shared" si="153"/>
        <v>3942776.9337589294</v>
      </c>
      <c r="BW240" s="58">
        <f>SUM(BS240:BV240)</f>
        <v>7885553.8675178587</v>
      </c>
      <c r="BX240" s="58">
        <f t="shared" si="157"/>
        <v>3942776.9337589294</v>
      </c>
      <c r="BY240" s="58">
        <f t="shared" si="158"/>
        <v>3942776.9337589294</v>
      </c>
      <c r="BZ240" s="58">
        <f>BM240*3</f>
        <v>3942776.9337589294</v>
      </c>
      <c r="CA240" s="58">
        <f t="shared" si="159"/>
        <v>3942776.9337589294</v>
      </c>
      <c r="CB240" s="58">
        <f t="shared" si="130"/>
        <v>15771107.735035717</v>
      </c>
      <c r="CC240" s="58">
        <f t="shared" si="131"/>
        <v>3942776.9337589294</v>
      </c>
      <c r="CD240" s="58">
        <f t="shared" si="160"/>
        <v>3942776.9337589294</v>
      </c>
      <c r="CE240" s="58">
        <f t="shared" si="160"/>
        <v>3942776.9337589294</v>
      </c>
      <c r="CF240" s="58">
        <f t="shared" si="160"/>
        <v>3942776.9337589294</v>
      </c>
      <c r="CG240" s="58">
        <f t="shared" si="132"/>
        <v>15771107.735035717</v>
      </c>
      <c r="CH240" s="58">
        <f t="shared" si="133"/>
        <v>3942776.9337589294</v>
      </c>
      <c r="CI240" s="58">
        <f t="shared" si="145"/>
        <v>3942776.9337589294</v>
      </c>
      <c r="CJ240" s="58">
        <f t="shared" si="145"/>
        <v>3942776.9337589294</v>
      </c>
      <c r="CK240" s="58">
        <f t="shared" si="145"/>
        <v>3942776.9337589294</v>
      </c>
      <c r="CL240" s="58">
        <f t="shared" si="134"/>
        <v>15771107.735035717</v>
      </c>
      <c r="CM240" s="2"/>
      <c r="CN240" s="59">
        <f t="shared" si="143"/>
        <v>4.0385266419183689E-3</v>
      </c>
      <c r="CO240" s="64">
        <f t="shared" si="144"/>
        <v>84809059.480285749</v>
      </c>
      <c r="CP240" s="78">
        <f t="shared" si="137"/>
        <v>126168861.88028574</v>
      </c>
    </row>
    <row r="241" spans="1:94" hidden="1" x14ac:dyDescent="0.3">
      <c r="A241" s="29">
        <v>236</v>
      </c>
      <c r="B241" s="30" t="s">
        <v>21</v>
      </c>
      <c r="C241" s="30"/>
      <c r="D241" s="30" t="s">
        <v>553</v>
      </c>
      <c r="E241" s="30" t="s">
        <v>115</v>
      </c>
      <c r="F241" s="30" t="s">
        <v>579</v>
      </c>
      <c r="G241" s="48" t="s">
        <v>555</v>
      </c>
      <c r="H241" s="48" t="s">
        <v>118</v>
      </c>
      <c r="I241" s="48" t="s">
        <v>912</v>
      </c>
      <c r="J241" s="30" t="s">
        <v>556</v>
      </c>
      <c r="K241" s="30" t="s">
        <v>913</v>
      </c>
      <c r="L241" s="48" t="s">
        <v>914</v>
      </c>
      <c r="M241" s="79">
        <v>2100946</v>
      </c>
      <c r="N241" s="48" t="s">
        <v>582</v>
      </c>
      <c r="O241" s="48" t="s">
        <v>915</v>
      </c>
      <c r="P241" s="48" t="s">
        <v>916</v>
      </c>
      <c r="Q241" s="48" t="str">
        <f>P241</f>
        <v>UIS-0814CUP-LB</v>
      </c>
      <c r="R241" s="48"/>
      <c r="S241" s="48" t="s">
        <v>917</v>
      </c>
      <c r="T241" s="30" t="s">
        <v>918</v>
      </c>
      <c r="U241" s="48" t="s">
        <v>588</v>
      </c>
      <c r="V241" s="48" t="s">
        <v>600</v>
      </c>
      <c r="W241" s="48"/>
      <c r="X241" s="48"/>
      <c r="Y241" s="48" t="s">
        <v>457</v>
      </c>
      <c r="Z241" s="48" t="s">
        <v>457</v>
      </c>
      <c r="AA241" s="48" t="s">
        <v>148</v>
      </c>
      <c r="AB241" s="48" t="s">
        <v>603</v>
      </c>
      <c r="AC241" s="48" t="s">
        <v>603</v>
      </c>
      <c r="AD241" s="48" t="s">
        <v>566</v>
      </c>
      <c r="AE241" s="48"/>
      <c r="AF241" s="48" t="s">
        <v>604</v>
      </c>
      <c r="AG241" s="48" t="s">
        <v>440</v>
      </c>
      <c r="AH241" s="48" t="s">
        <v>605</v>
      </c>
      <c r="AI241" s="48"/>
      <c r="AJ241" s="98">
        <v>43643</v>
      </c>
      <c r="AK241" s="80">
        <v>43669</v>
      </c>
      <c r="AL241" s="51">
        <f t="shared" si="152"/>
        <v>6.279452054794521</v>
      </c>
      <c r="AM241" s="52">
        <v>5</v>
      </c>
      <c r="AN241" s="48" t="s">
        <v>763</v>
      </c>
      <c r="AO241" s="30" t="s">
        <v>133</v>
      </c>
      <c r="AP241" s="30" t="s">
        <v>606</v>
      </c>
      <c r="AQ241" s="48">
        <v>21.6</v>
      </c>
      <c r="AR241" s="48">
        <v>1500</v>
      </c>
      <c r="AS241" s="48">
        <v>3900</v>
      </c>
      <c r="AT241" s="48">
        <v>2328</v>
      </c>
      <c r="AU241" s="53">
        <v>499153980</v>
      </c>
      <c r="AV241" s="54"/>
      <c r="AW241" s="54"/>
      <c r="AX241" s="54">
        <v>499153980</v>
      </c>
      <c r="AY241" s="54"/>
      <c r="AZ241" s="54"/>
      <c r="BA241" s="74">
        <v>1000</v>
      </c>
      <c r="BB241" s="74">
        <v>1000</v>
      </c>
      <c r="BC241" s="52">
        <v>60</v>
      </c>
      <c r="BD241" s="52">
        <v>77</v>
      </c>
      <c r="BE241" s="52">
        <v>0</v>
      </c>
      <c r="BF241" s="30"/>
      <c r="BG241" s="30" t="s">
        <v>607</v>
      </c>
      <c r="BH241" s="30" t="s">
        <v>569</v>
      </c>
      <c r="BI241" s="30" t="str">
        <f t="shared" si="135"/>
        <v>Bump</v>
      </c>
      <c r="BJ241" s="30" t="s">
        <v>250</v>
      </c>
      <c r="BK241" s="56">
        <f t="shared" si="136"/>
        <v>9983079.5999999996</v>
      </c>
      <c r="BL241" s="57">
        <f t="shared" si="147"/>
        <v>311971.23749999999</v>
      </c>
      <c r="BM241" s="57">
        <f t="shared" si="148"/>
        <v>103990.41249999999</v>
      </c>
      <c r="BU241" s="58">
        <f>BM241*3</f>
        <v>311971.23749999999</v>
      </c>
      <c r="BV241" s="58">
        <f t="shared" si="153"/>
        <v>311971.23749999999</v>
      </c>
      <c r="BW241" s="58">
        <f>SUM(BS241:BV241)</f>
        <v>623942.47499999998</v>
      </c>
      <c r="BX241" s="58">
        <f t="shared" si="157"/>
        <v>311971.23749999999</v>
      </c>
      <c r="BY241" s="58">
        <f t="shared" si="158"/>
        <v>311971.23749999999</v>
      </c>
      <c r="BZ241" s="58">
        <f>BM241*3</f>
        <v>311971.23749999999</v>
      </c>
      <c r="CA241" s="58">
        <f t="shared" si="159"/>
        <v>311971.23749999999</v>
      </c>
      <c r="CB241" s="58">
        <f t="shared" si="130"/>
        <v>1247884.95</v>
      </c>
      <c r="CC241" s="58">
        <f t="shared" si="131"/>
        <v>311971.23749999999</v>
      </c>
      <c r="CD241" s="58">
        <f t="shared" si="160"/>
        <v>311971.23749999999</v>
      </c>
      <c r="CE241" s="58">
        <f t="shared" si="160"/>
        <v>311971.23749999999</v>
      </c>
      <c r="CF241" s="58">
        <f t="shared" si="160"/>
        <v>311971.23749999999</v>
      </c>
      <c r="CG241" s="58">
        <f t="shared" si="132"/>
        <v>1247884.95</v>
      </c>
      <c r="CH241" s="58">
        <f t="shared" si="133"/>
        <v>311971.23749999999</v>
      </c>
      <c r="CI241" s="58">
        <f t="shared" si="145"/>
        <v>311971.23749999999</v>
      </c>
      <c r="CJ241" s="58">
        <f t="shared" si="145"/>
        <v>311971.23749999999</v>
      </c>
      <c r="CK241" s="58">
        <f t="shared" si="145"/>
        <v>311971.23749999999</v>
      </c>
      <c r="CL241" s="58">
        <f t="shared" si="134"/>
        <v>1247884.95</v>
      </c>
      <c r="CP241" s="2">
        <f t="shared" si="137"/>
        <v>9983079.5999999996</v>
      </c>
    </row>
    <row r="242" spans="1:94" s="78" customFormat="1" ht="16.5" hidden="1" x14ac:dyDescent="0.3">
      <c r="A242" s="2">
        <v>237</v>
      </c>
      <c r="B242" s="47" t="s">
        <v>21</v>
      </c>
      <c r="C242" s="47"/>
      <c r="D242" s="30" t="s">
        <v>553</v>
      </c>
      <c r="E242" s="30" t="s">
        <v>115</v>
      </c>
      <c r="F242" s="30" t="s">
        <v>579</v>
      </c>
      <c r="G242" s="48" t="s">
        <v>555</v>
      </c>
      <c r="H242" s="48" t="s">
        <v>118</v>
      </c>
      <c r="I242" s="48" t="s">
        <v>119</v>
      </c>
      <c r="J242" s="30" t="s">
        <v>556</v>
      </c>
      <c r="K242" s="30" t="s">
        <v>913</v>
      </c>
      <c r="L242" s="48" t="s">
        <v>919</v>
      </c>
      <c r="M242" s="79">
        <v>2100970</v>
      </c>
      <c r="N242" s="48" t="s">
        <v>582</v>
      </c>
      <c r="O242" s="48" t="s">
        <v>920</v>
      </c>
      <c r="P242" s="48" t="s">
        <v>921</v>
      </c>
      <c r="Q242" s="48" t="s">
        <v>585</v>
      </c>
      <c r="R242" s="48"/>
      <c r="S242" s="48" t="s">
        <v>922</v>
      </c>
      <c r="T242" s="48" t="s">
        <v>923</v>
      </c>
      <c r="U242" s="48" t="s">
        <v>588</v>
      </c>
      <c r="V242" s="48" t="s">
        <v>589</v>
      </c>
      <c r="W242" s="48" t="s">
        <v>924</v>
      </c>
      <c r="X242" s="48" t="s">
        <v>576</v>
      </c>
      <c r="Y242" s="99" t="s">
        <v>576</v>
      </c>
      <c r="Z242" s="99" t="s">
        <v>576</v>
      </c>
      <c r="AA242" s="48" t="s">
        <v>129</v>
      </c>
      <c r="AB242" s="48" t="s">
        <v>925</v>
      </c>
      <c r="AC242" s="48" t="s">
        <v>925</v>
      </c>
      <c r="AD242" s="48"/>
      <c r="AE242" s="48"/>
      <c r="AF242" s="48" t="s">
        <v>131</v>
      </c>
      <c r="AG242" s="48" t="s">
        <v>774</v>
      </c>
      <c r="AH242" s="48"/>
      <c r="AI242" s="48"/>
      <c r="AJ242" s="98">
        <v>43878</v>
      </c>
      <c r="AK242" s="80">
        <v>43915</v>
      </c>
      <c r="AL242" s="51">
        <f t="shared" si="152"/>
        <v>5.6054794520547944</v>
      </c>
      <c r="AM242" s="52">
        <v>12</v>
      </c>
      <c r="AN242" s="48" t="s">
        <v>132</v>
      </c>
      <c r="AO242" s="30" t="s">
        <v>133</v>
      </c>
      <c r="AP242" s="30" t="s">
        <v>134</v>
      </c>
      <c r="AQ242" s="48">
        <v>40</v>
      </c>
      <c r="AR242" s="48">
        <v>1520</v>
      </c>
      <c r="AS242" s="48">
        <v>1680</v>
      </c>
      <c r="AT242" s="48">
        <v>1856</v>
      </c>
      <c r="AU242" s="53">
        <v>80600000</v>
      </c>
      <c r="AV242" s="54"/>
      <c r="AW242" s="54"/>
      <c r="AX242" s="54">
        <v>80600000</v>
      </c>
      <c r="AY242" s="54"/>
      <c r="AZ242" s="54"/>
      <c r="BA242" s="54">
        <v>42538888</v>
      </c>
      <c r="BB242" s="55">
        <v>26273639</v>
      </c>
      <c r="BC242" s="52">
        <v>144</v>
      </c>
      <c r="BD242" s="52">
        <v>69</v>
      </c>
      <c r="BE242" s="52">
        <v>74</v>
      </c>
      <c r="BF242" s="30"/>
      <c r="BG242" s="30"/>
      <c r="BH242" s="30" t="s">
        <v>569</v>
      </c>
      <c r="BI242" s="30" t="str">
        <f t="shared" si="135"/>
        <v>Bump</v>
      </c>
      <c r="BJ242" s="47" t="s">
        <v>137</v>
      </c>
      <c r="BK242" s="67">
        <f t="shared" si="136"/>
        <v>44665832.399999999</v>
      </c>
      <c r="BL242" s="68">
        <f t="shared" si="147"/>
        <v>4257936.5348675419</v>
      </c>
      <c r="BM242" s="68">
        <f t="shared" si="148"/>
        <v>1419312.1782891806</v>
      </c>
      <c r="BN242" s="2"/>
      <c r="BO242" s="2"/>
      <c r="BP242" s="69">
        <f t="shared" si="154"/>
        <v>4257936.5348675419</v>
      </c>
      <c r="BQ242" s="69">
        <f t="shared" si="155"/>
        <v>4257936.5348675419</v>
      </c>
      <c r="BR242" s="69">
        <f t="shared" ref="BR242:BR300" si="161">SUM(BN242:BQ242)</f>
        <v>8515873.0697350837</v>
      </c>
      <c r="BS242" s="69">
        <f t="shared" si="156"/>
        <v>4257936.5348675419</v>
      </c>
      <c r="BT242" s="69">
        <f>BS242</f>
        <v>4257936.5348675419</v>
      </c>
      <c r="BU242" s="100">
        <f>BT242</f>
        <v>4257936.5348675419</v>
      </c>
      <c r="BV242" s="100">
        <f t="shared" si="153"/>
        <v>4257936.5348675419</v>
      </c>
      <c r="BW242" s="100">
        <f t="shared" ref="BW242:BW300" si="162">SUM(BS242:BV242)</f>
        <v>17031746.139470167</v>
      </c>
      <c r="BX242" s="101">
        <f t="shared" si="157"/>
        <v>4257936.5348675419</v>
      </c>
      <c r="BY242" s="101">
        <f t="shared" si="158"/>
        <v>4257936.5348675419</v>
      </c>
      <c r="BZ242" s="101">
        <f>BY242</f>
        <v>4257936.5348675419</v>
      </c>
      <c r="CA242" s="101">
        <f t="shared" si="159"/>
        <v>4257936.5348675419</v>
      </c>
      <c r="CB242" s="100">
        <f t="shared" si="130"/>
        <v>17031746.139470167</v>
      </c>
      <c r="CC242" s="101">
        <f t="shared" si="131"/>
        <v>4257936.5348675419</v>
      </c>
      <c r="CD242" s="101">
        <f t="shared" si="160"/>
        <v>4257936.5348675419</v>
      </c>
      <c r="CE242" s="101">
        <f t="shared" si="160"/>
        <v>4257936.5348675419</v>
      </c>
      <c r="CF242" s="101">
        <f t="shared" si="160"/>
        <v>4257936.5348675419</v>
      </c>
      <c r="CG242" s="100">
        <f t="shared" si="132"/>
        <v>17031746.139470167</v>
      </c>
      <c r="CH242" s="101">
        <f t="shared" si="133"/>
        <v>4257936.5348675419</v>
      </c>
      <c r="CI242" s="101">
        <f t="shared" si="145"/>
        <v>4257936.5348675419</v>
      </c>
      <c r="CJ242" s="101">
        <f t="shared" si="145"/>
        <v>4257936.5348675419</v>
      </c>
      <c r="CK242" s="101">
        <f t="shared" si="145"/>
        <v>4257936.5348675419</v>
      </c>
      <c r="CL242" s="100">
        <f t="shared" si="134"/>
        <v>17031746.139470167</v>
      </c>
      <c r="CM242" s="109"/>
      <c r="CN242" s="59">
        <f t="shared" ref="CN242:CN244" si="163">BK242/$CN$3</f>
        <v>4.3613398436076834E-3</v>
      </c>
      <c r="CO242" s="64">
        <f t="shared" ref="CO242:CO244" si="164">CN242*$CO$4</f>
        <v>91588136.715761349</v>
      </c>
      <c r="CP242" s="78">
        <f t="shared" si="137"/>
        <v>136253969.11576134</v>
      </c>
    </row>
    <row r="243" spans="1:94" ht="16.5" hidden="1" x14ac:dyDescent="0.3">
      <c r="A243" s="2">
        <v>238</v>
      </c>
      <c r="B243" s="47" t="s">
        <v>21</v>
      </c>
      <c r="C243" s="47"/>
      <c r="D243" s="30" t="s">
        <v>553</v>
      </c>
      <c r="E243" s="30" t="s">
        <v>115</v>
      </c>
      <c r="F243" s="30" t="s">
        <v>579</v>
      </c>
      <c r="G243" s="48" t="s">
        <v>555</v>
      </c>
      <c r="H243" s="48" t="s">
        <v>926</v>
      </c>
      <c r="I243" s="30" t="s">
        <v>119</v>
      </c>
      <c r="J243" s="30" t="s">
        <v>764</v>
      </c>
      <c r="K243" s="30" t="s">
        <v>765</v>
      </c>
      <c r="L243" s="48" t="s">
        <v>927</v>
      </c>
      <c r="M243" s="79">
        <v>2101009</v>
      </c>
      <c r="N243" s="48" t="s">
        <v>582</v>
      </c>
      <c r="O243" s="48" t="s">
        <v>928</v>
      </c>
      <c r="P243" s="48" t="s">
        <v>929</v>
      </c>
      <c r="Q243" s="48" t="s">
        <v>870</v>
      </c>
      <c r="R243" s="48"/>
      <c r="S243" s="48" t="s">
        <v>930</v>
      </c>
      <c r="T243" s="30" t="s">
        <v>931</v>
      </c>
      <c r="U243" s="48" t="s">
        <v>588</v>
      </c>
      <c r="V243" s="48" t="s">
        <v>589</v>
      </c>
      <c r="W243" s="48" t="s">
        <v>873</v>
      </c>
      <c r="X243" s="48" t="s">
        <v>127</v>
      </c>
      <c r="Y243" s="48" t="s">
        <v>457</v>
      </c>
      <c r="Z243" s="48" t="s">
        <v>457</v>
      </c>
      <c r="AA243" s="48" t="s">
        <v>129</v>
      </c>
      <c r="AB243" s="48" t="s">
        <v>868</v>
      </c>
      <c r="AC243" s="48" t="s">
        <v>868</v>
      </c>
      <c r="AD243" s="48"/>
      <c r="AE243" s="48"/>
      <c r="AF243" s="48" t="s">
        <v>131</v>
      </c>
      <c r="AG243" s="48" t="s">
        <v>649</v>
      </c>
      <c r="AH243" s="48"/>
      <c r="AI243" s="48"/>
      <c r="AJ243" s="98">
        <v>43984</v>
      </c>
      <c r="AK243" s="80">
        <v>44050</v>
      </c>
      <c r="AL243" s="51">
        <f t="shared" si="152"/>
        <v>5.2356164383561641</v>
      </c>
      <c r="AM243" s="52">
        <v>12</v>
      </c>
      <c r="AN243" s="48" t="s">
        <v>234</v>
      </c>
      <c r="AO243" s="30" t="s">
        <v>133</v>
      </c>
      <c r="AP243" s="30" t="s">
        <v>134</v>
      </c>
      <c r="AQ243" s="48">
        <v>5.7</v>
      </c>
      <c r="AR243" s="48">
        <v>1700</v>
      </c>
      <c r="AS243" s="48">
        <v>1140</v>
      </c>
      <c r="AT243" s="48">
        <v>1610</v>
      </c>
      <c r="AU243" s="53">
        <v>175000000</v>
      </c>
      <c r="AV243" s="110"/>
      <c r="AW243" s="54"/>
      <c r="AX243" s="54">
        <v>175000000</v>
      </c>
      <c r="AY243" s="54"/>
      <c r="AZ243" s="54"/>
      <c r="BA243" s="54">
        <v>98437501</v>
      </c>
      <c r="BB243" s="55">
        <v>45588374</v>
      </c>
      <c r="BC243" s="52">
        <v>144</v>
      </c>
      <c r="BD243" s="52"/>
      <c r="BE243" s="52">
        <v>79</v>
      </c>
      <c r="BF243" s="30"/>
      <c r="BG243" s="30"/>
      <c r="BH243" s="30" t="s">
        <v>776</v>
      </c>
      <c r="BI243" s="30" t="str">
        <f t="shared" si="135"/>
        <v>COG</v>
      </c>
      <c r="BJ243" s="47" t="s">
        <v>137</v>
      </c>
      <c r="BK243" s="56">
        <f t="shared" si="136"/>
        <v>103359376.05</v>
      </c>
      <c r="BL243" s="57">
        <f t="shared" si="147"/>
        <v>9853116.7977160159</v>
      </c>
      <c r="BM243" s="57">
        <f t="shared" si="148"/>
        <v>3284372.2659053388</v>
      </c>
      <c r="BU243" s="58">
        <f t="shared" ref="BU243:BU249" si="165">BM243*3</f>
        <v>9853116.7977160159</v>
      </c>
      <c r="BV243" s="58">
        <f t="shared" si="153"/>
        <v>9853116.7977160159</v>
      </c>
      <c r="BW243" s="58">
        <f t="shared" si="162"/>
        <v>19706233.595432032</v>
      </c>
      <c r="BX243" s="58">
        <f t="shared" si="157"/>
        <v>9853116.7977160159</v>
      </c>
      <c r="BY243" s="58">
        <f t="shared" si="158"/>
        <v>9853116.7977160159</v>
      </c>
      <c r="BZ243" s="58">
        <f t="shared" ref="BZ243:BZ249" si="166">BM243*3</f>
        <v>9853116.7977160159</v>
      </c>
      <c r="CA243" s="58">
        <f t="shared" si="159"/>
        <v>9853116.7977160159</v>
      </c>
      <c r="CB243" s="58">
        <f t="shared" si="130"/>
        <v>39412467.190864064</v>
      </c>
      <c r="CC243" s="58">
        <f t="shared" si="131"/>
        <v>9853116.7977160159</v>
      </c>
      <c r="CD243" s="58">
        <f t="shared" si="160"/>
        <v>9853116.7977160159</v>
      </c>
      <c r="CE243" s="58">
        <f t="shared" si="160"/>
        <v>9853116.7977160159</v>
      </c>
      <c r="CF243" s="58">
        <f t="shared" si="160"/>
        <v>9853116.7977160159</v>
      </c>
      <c r="CG243" s="58">
        <f t="shared" si="132"/>
        <v>39412467.190864064</v>
      </c>
      <c r="CH243" s="58">
        <f t="shared" si="133"/>
        <v>9853116.7977160159</v>
      </c>
      <c r="CI243" s="58">
        <f t="shared" si="145"/>
        <v>9853116.7977160159</v>
      </c>
      <c r="CJ243" s="58">
        <f t="shared" si="145"/>
        <v>9853116.7977160159</v>
      </c>
      <c r="CK243" s="58">
        <f t="shared" si="145"/>
        <v>9853116.7977160159</v>
      </c>
      <c r="CL243" s="58">
        <f t="shared" si="134"/>
        <v>39412467.190864064</v>
      </c>
      <c r="CN243" s="59">
        <f t="shared" si="163"/>
        <v>1.0092398165567262E-2</v>
      </c>
      <c r="CO243" s="64">
        <f t="shared" si="164"/>
        <v>211940361.4769125</v>
      </c>
      <c r="CP243" s="2">
        <f t="shared" si="137"/>
        <v>315299737.52691251</v>
      </c>
    </row>
    <row r="244" spans="1:94" ht="16.5" hidden="1" x14ac:dyDescent="0.3">
      <c r="A244" s="2">
        <v>239</v>
      </c>
      <c r="B244" s="47" t="s">
        <v>21</v>
      </c>
      <c r="C244" s="47"/>
      <c r="D244" s="30" t="s">
        <v>553</v>
      </c>
      <c r="E244" s="30" t="s">
        <v>115</v>
      </c>
      <c r="F244" s="30" t="s">
        <v>579</v>
      </c>
      <c r="G244" s="48" t="s">
        <v>555</v>
      </c>
      <c r="H244" s="48" t="s">
        <v>926</v>
      </c>
      <c r="I244" s="30" t="s">
        <v>119</v>
      </c>
      <c r="J244" s="30" t="s">
        <v>764</v>
      </c>
      <c r="K244" s="30" t="s">
        <v>765</v>
      </c>
      <c r="L244" s="48" t="s">
        <v>927</v>
      </c>
      <c r="M244" s="79">
        <v>2101010</v>
      </c>
      <c r="N244" s="48" t="s">
        <v>582</v>
      </c>
      <c r="O244" s="48" t="s">
        <v>932</v>
      </c>
      <c r="P244" s="48" t="s">
        <v>929</v>
      </c>
      <c r="Q244" s="111" t="s">
        <v>870</v>
      </c>
      <c r="R244" s="111"/>
      <c r="S244" s="111" t="s">
        <v>933</v>
      </c>
      <c r="T244" s="30" t="s">
        <v>934</v>
      </c>
      <c r="U244" s="48" t="s">
        <v>588</v>
      </c>
      <c r="V244" s="48" t="s">
        <v>589</v>
      </c>
      <c r="W244" s="48" t="s">
        <v>873</v>
      </c>
      <c r="X244" s="48" t="s">
        <v>127</v>
      </c>
      <c r="Y244" s="48" t="s">
        <v>457</v>
      </c>
      <c r="Z244" s="48" t="s">
        <v>457</v>
      </c>
      <c r="AA244" s="48" t="s">
        <v>129</v>
      </c>
      <c r="AB244" s="48" t="s">
        <v>868</v>
      </c>
      <c r="AC244" s="48" t="s">
        <v>868</v>
      </c>
      <c r="AD244" s="48"/>
      <c r="AE244" s="48"/>
      <c r="AF244" s="48" t="s">
        <v>131</v>
      </c>
      <c r="AG244" s="48" t="s">
        <v>649</v>
      </c>
      <c r="AH244" s="48"/>
      <c r="AI244" s="48"/>
      <c r="AJ244" s="98">
        <v>43984</v>
      </c>
      <c r="AK244" s="80">
        <v>44050</v>
      </c>
      <c r="AL244" s="51">
        <f t="shared" si="152"/>
        <v>5.2356164383561641</v>
      </c>
      <c r="AM244" s="52">
        <v>12</v>
      </c>
      <c r="AN244" s="48" t="s">
        <v>234</v>
      </c>
      <c r="AO244" s="30" t="s">
        <v>133</v>
      </c>
      <c r="AP244" s="30" t="s">
        <v>134</v>
      </c>
      <c r="AQ244" s="48">
        <v>5.7</v>
      </c>
      <c r="AR244" s="48">
        <v>1700</v>
      </c>
      <c r="AS244" s="48">
        <v>1140</v>
      </c>
      <c r="AT244" s="48">
        <v>1610</v>
      </c>
      <c r="AU244" s="53">
        <v>175000000</v>
      </c>
      <c r="AV244" s="110"/>
      <c r="AW244" s="54"/>
      <c r="AX244" s="54">
        <v>175000000</v>
      </c>
      <c r="AY244" s="54"/>
      <c r="AZ244" s="54"/>
      <c r="BA244" s="54">
        <v>98437501</v>
      </c>
      <c r="BB244" s="55">
        <v>45588374</v>
      </c>
      <c r="BC244" s="52">
        <v>144</v>
      </c>
      <c r="BD244" s="52"/>
      <c r="BE244" s="52">
        <v>79</v>
      </c>
      <c r="BF244" s="30"/>
      <c r="BG244" s="30"/>
      <c r="BH244" s="30" t="s">
        <v>776</v>
      </c>
      <c r="BI244" s="30" t="str">
        <f t="shared" si="135"/>
        <v>COG</v>
      </c>
      <c r="BJ244" s="47" t="s">
        <v>137</v>
      </c>
      <c r="BK244" s="56">
        <f t="shared" si="136"/>
        <v>103359376.05</v>
      </c>
      <c r="BL244" s="57">
        <f t="shared" si="147"/>
        <v>9853116.7977160159</v>
      </c>
      <c r="BM244" s="57">
        <f t="shared" si="148"/>
        <v>3284372.2659053388</v>
      </c>
      <c r="BU244" s="58">
        <f t="shared" si="165"/>
        <v>9853116.7977160159</v>
      </c>
      <c r="BV244" s="58">
        <f t="shared" si="153"/>
        <v>9853116.7977160159</v>
      </c>
      <c r="BW244" s="58">
        <f t="shared" si="162"/>
        <v>19706233.595432032</v>
      </c>
      <c r="BX244" s="58">
        <f t="shared" si="157"/>
        <v>9853116.7977160159</v>
      </c>
      <c r="BY244" s="58">
        <f t="shared" si="158"/>
        <v>9853116.7977160159</v>
      </c>
      <c r="BZ244" s="58">
        <f t="shared" si="166"/>
        <v>9853116.7977160159</v>
      </c>
      <c r="CA244" s="58">
        <f t="shared" si="159"/>
        <v>9853116.7977160159</v>
      </c>
      <c r="CB244" s="58">
        <f t="shared" si="130"/>
        <v>39412467.190864064</v>
      </c>
      <c r="CC244" s="58">
        <f t="shared" si="131"/>
        <v>9853116.7977160159</v>
      </c>
      <c r="CD244" s="58">
        <f t="shared" si="160"/>
        <v>9853116.7977160159</v>
      </c>
      <c r="CE244" s="58">
        <f t="shared" si="160"/>
        <v>9853116.7977160159</v>
      </c>
      <c r="CF244" s="58">
        <f t="shared" si="160"/>
        <v>9853116.7977160159</v>
      </c>
      <c r="CG244" s="58">
        <f t="shared" si="132"/>
        <v>39412467.190864064</v>
      </c>
      <c r="CH244" s="58">
        <f t="shared" si="133"/>
        <v>9853116.7977160159</v>
      </c>
      <c r="CI244" s="58">
        <f t="shared" si="145"/>
        <v>9853116.7977160159</v>
      </c>
      <c r="CJ244" s="58">
        <f t="shared" si="145"/>
        <v>9853116.7977160159</v>
      </c>
      <c r="CK244" s="58">
        <f t="shared" si="145"/>
        <v>9853116.7977160159</v>
      </c>
      <c r="CL244" s="58">
        <f t="shared" si="134"/>
        <v>39412467.190864064</v>
      </c>
      <c r="CN244" s="59">
        <f t="shared" si="163"/>
        <v>1.0092398165567262E-2</v>
      </c>
      <c r="CO244" s="64">
        <f t="shared" si="164"/>
        <v>211940361.4769125</v>
      </c>
      <c r="CP244" s="2">
        <f t="shared" si="137"/>
        <v>315299737.52691251</v>
      </c>
    </row>
    <row r="245" spans="1:94" hidden="1" x14ac:dyDescent="0.3">
      <c r="A245" s="29">
        <v>240</v>
      </c>
      <c r="B245" s="30" t="s">
        <v>21</v>
      </c>
      <c r="C245" s="30"/>
      <c r="D245" s="30" t="s">
        <v>553</v>
      </c>
      <c r="E245" s="30" t="s">
        <v>115</v>
      </c>
      <c r="F245" s="30" t="s">
        <v>579</v>
      </c>
      <c r="G245" s="48" t="s">
        <v>555</v>
      </c>
      <c r="H245" s="48" t="s">
        <v>118</v>
      </c>
      <c r="I245" s="30" t="s">
        <v>119</v>
      </c>
      <c r="J245" s="30" t="s">
        <v>556</v>
      </c>
      <c r="K245" s="30" t="s">
        <v>913</v>
      </c>
      <c r="L245" s="48" t="s">
        <v>664</v>
      </c>
      <c r="M245" s="79">
        <v>2101011</v>
      </c>
      <c r="N245" s="48" t="s">
        <v>582</v>
      </c>
      <c r="O245" s="48" t="s">
        <v>935</v>
      </c>
      <c r="P245" s="48" t="s">
        <v>936</v>
      </c>
      <c r="Q245" s="48" t="s">
        <v>937</v>
      </c>
      <c r="R245" s="48"/>
      <c r="S245" s="48" t="s">
        <v>938</v>
      </c>
      <c r="T245" s="30" t="s">
        <v>939</v>
      </c>
      <c r="U245" s="48" t="s">
        <v>588</v>
      </c>
      <c r="V245" s="48" t="s">
        <v>589</v>
      </c>
      <c r="W245" s="48" t="s">
        <v>940</v>
      </c>
      <c r="X245" s="48"/>
      <c r="Y245" s="48" t="s">
        <v>457</v>
      </c>
      <c r="Z245" s="48" t="s">
        <v>457</v>
      </c>
      <c r="AA245" s="48" t="s">
        <v>129</v>
      </c>
      <c r="AB245" s="48" t="s">
        <v>669</v>
      </c>
      <c r="AC245" s="48" t="s">
        <v>669</v>
      </c>
      <c r="AD245" s="48"/>
      <c r="AE245" s="48"/>
      <c r="AF245" s="48" t="s">
        <v>131</v>
      </c>
      <c r="AG245" s="48" t="s">
        <v>440</v>
      </c>
      <c r="AH245" s="48" t="s">
        <v>732</v>
      </c>
      <c r="AI245" s="48"/>
      <c r="AJ245" s="98">
        <v>44317</v>
      </c>
      <c r="AK245" s="80">
        <v>44074</v>
      </c>
      <c r="AL245" s="51">
        <f t="shared" si="152"/>
        <v>5.1698630136986301</v>
      </c>
      <c r="AM245" s="52">
        <v>12</v>
      </c>
      <c r="AN245" s="48" t="s">
        <v>763</v>
      </c>
      <c r="AO245" s="30" t="s">
        <v>133</v>
      </c>
      <c r="AP245" s="30" t="s">
        <v>134</v>
      </c>
      <c r="AQ245" s="48">
        <v>3.1</v>
      </c>
      <c r="AR245" s="48">
        <v>500</v>
      </c>
      <c r="AS245" s="48">
        <v>770</v>
      </c>
      <c r="AT245" s="48">
        <v>1790</v>
      </c>
      <c r="AU245" s="53">
        <v>36000000</v>
      </c>
      <c r="AV245" s="54"/>
      <c r="AW245" s="54"/>
      <c r="AX245" s="54">
        <v>36000000</v>
      </c>
      <c r="AY245" s="54"/>
      <c r="AZ245" s="54"/>
      <c r="BA245" s="74">
        <v>20250000</v>
      </c>
      <c r="BB245" s="74">
        <v>2971222</v>
      </c>
      <c r="BC245" s="52">
        <v>144</v>
      </c>
      <c r="BD245" s="52">
        <v>64</v>
      </c>
      <c r="BE245" s="52">
        <v>79</v>
      </c>
      <c r="BF245" s="30"/>
      <c r="BG245" s="30" t="s">
        <v>607</v>
      </c>
      <c r="BH245" s="30" t="s">
        <v>569</v>
      </c>
      <c r="BI245" s="30" t="str">
        <f t="shared" si="135"/>
        <v>Bump</v>
      </c>
      <c r="BJ245" s="30" t="s">
        <v>250</v>
      </c>
      <c r="BK245" s="56">
        <f t="shared" si="136"/>
        <v>21262500</v>
      </c>
      <c r="BL245" s="57">
        <f t="shared" si="147"/>
        <v>664453.125</v>
      </c>
      <c r="BM245" s="57">
        <f t="shared" si="148"/>
        <v>221484.375</v>
      </c>
      <c r="BU245" s="58">
        <f t="shared" si="165"/>
        <v>664453.125</v>
      </c>
      <c r="BV245" s="58">
        <f t="shared" si="153"/>
        <v>664453.125</v>
      </c>
      <c r="BW245" s="58">
        <f t="shared" si="162"/>
        <v>1328906.25</v>
      </c>
      <c r="BX245" s="58">
        <f t="shared" si="157"/>
        <v>664453.125</v>
      </c>
      <c r="BY245" s="58">
        <f t="shared" si="158"/>
        <v>664453.125</v>
      </c>
      <c r="BZ245" s="58">
        <f t="shared" si="166"/>
        <v>664453.125</v>
      </c>
      <c r="CA245" s="58">
        <f t="shared" si="159"/>
        <v>664453.125</v>
      </c>
      <c r="CB245" s="58">
        <f t="shared" si="130"/>
        <v>2657812.5</v>
      </c>
      <c r="CC245" s="58">
        <f t="shared" si="131"/>
        <v>664453.125</v>
      </c>
      <c r="CD245" s="58">
        <f t="shared" si="160"/>
        <v>664453.125</v>
      </c>
      <c r="CE245" s="58">
        <f t="shared" si="160"/>
        <v>664453.125</v>
      </c>
      <c r="CF245" s="58">
        <f t="shared" si="160"/>
        <v>664453.125</v>
      </c>
      <c r="CG245" s="58">
        <f t="shared" si="132"/>
        <v>2657812.5</v>
      </c>
      <c r="CH245" s="58">
        <f t="shared" si="133"/>
        <v>664453.125</v>
      </c>
      <c r="CI245" s="58">
        <f t="shared" si="145"/>
        <v>664453.125</v>
      </c>
      <c r="CJ245" s="58">
        <f t="shared" si="145"/>
        <v>664453.125</v>
      </c>
      <c r="CK245" s="58">
        <f t="shared" si="145"/>
        <v>664453.125</v>
      </c>
      <c r="CL245" s="58">
        <f t="shared" si="134"/>
        <v>2657812.5</v>
      </c>
      <c r="CP245" s="2">
        <f t="shared" si="137"/>
        <v>21262500</v>
      </c>
    </row>
    <row r="246" spans="1:94" ht="16.5" hidden="1" x14ac:dyDescent="0.3">
      <c r="A246" s="2">
        <v>241</v>
      </c>
      <c r="B246" s="47" t="s">
        <v>21</v>
      </c>
      <c r="C246" s="47"/>
      <c r="D246" s="30" t="s">
        <v>553</v>
      </c>
      <c r="E246" s="30" t="s">
        <v>115</v>
      </c>
      <c r="F246" s="30" t="s">
        <v>579</v>
      </c>
      <c r="G246" s="48" t="s">
        <v>555</v>
      </c>
      <c r="H246" s="48" t="s">
        <v>926</v>
      </c>
      <c r="I246" s="30" t="s">
        <v>119</v>
      </c>
      <c r="J246" s="30" t="s">
        <v>764</v>
      </c>
      <c r="K246" s="30" t="s">
        <v>765</v>
      </c>
      <c r="L246" s="48" t="s">
        <v>927</v>
      </c>
      <c r="M246" s="79">
        <v>2101020</v>
      </c>
      <c r="N246" s="48" t="s">
        <v>582</v>
      </c>
      <c r="O246" s="48" t="s">
        <v>941</v>
      </c>
      <c r="P246" s="48" t="s">
        <v>929</v>
      </c>
      <c r="Q246" s="48" t="s">
        <v>870</v>
      </c>
      <c r="R246" s="48"/>
      <c r="S246" s="48" t="s">
        <v>942</v>
      </c>
      <c r="T246" s="30" t="s">
        <v>943</v>
      </c>
      <c r="U246" s="48" t="s">
        <v>588</v>
      </c>
      <c r="V246" s="48" t="s">
        <v>589</v>
      </c>
      <c r="W246" s="48" t="s">
        <v>873</v>
      </c>
      <c r="X246" s="48" t="s">
        <v>127</v>
      </c>
      <c r="Y246" s="48" t="s">
        <v>457</v>
      </c>
      <c r="Z246" s="48" t="s">
        <v>457</v>
      </c>
      <c r="AA246" s="48" t="s">
        <v>129</v>
      </c>
      <c r="AB246" s="48" t="s">
        <v>868</v>
      </c>
      <c r="AC246" s="48" t="s">
        <v>868</v>
      </c>
      <c r="AD246" s="48"/>
      <c r="AE246" s="48"/>
      <c r="AF246" s="48" t="s">
        <v>131</v>
      </c>
      <c r="AG246" s="48" t="s">
        <v>649</v>
      </c>
      <c r="AH246" s="48"/>
      <c r="AI246" s="48"/>
      <c r="AJ246" s="98">
        <v>44098</v>
      </c>
      <c r="AK246" s="80">
        <v>44127</v>
      </c>
      <c r="AL246" s="51">
        <f t="shared" si="152"/>
        <v>5.0246575342465754</v>
      </c>
      <c r="AM246" s="52">
        <v>12</v>
      </c>
      <c r="AN246" s="48" t="s">
        <v>220</v>
      </c>
      <c r="AO246" s="30" t="s">
        <v>133</v>
      </c>
      <c r="AP246" s="30" t="s">
        <v>606</v>
      </c>
      <c r="AQ246" s="48">
        <v>5.7</v>
      </c>
      <c r="AR246" s="48">
        <v>1700</v>
      </c>
      <c r="AS246" s="48">
        <v>1140</v>
      </c>
      <c r="AT246" s="48">
        <v>1610</v>
      </c>
      <c r="AU246" s="53">
        <v>178603000</v>
      </c>
      <c r="AV246" s="110"/>
      <c r="AW246" s="54"/>
      <c r="AX246" s="54">
        <v>178603000</v>
      </c>
      <c r="AY246" s="54"/>
      <c r="AZ246" s="54"/>
      <c r="BA246" s="54">
        <v>102944786</v>
      </c>
      <c r="BB246" s="55">
        <v>47751367</v>
      </c>
      <c r="BC246" s="52">
        <v>144</v>
      </c>
      <c r="BD246" s="52"/>
      <c r="BE246" s="52">
        <v>81</v>
      </c>
      <c r="BF246" s="30"/>
      <c r="BG246" s="30"/>
      <c r="BH246" s="30" t="s">
        <v>776</v>
      </c>
      <c r="BI246" s="30" t="str">
        <f t="shared" si="135"/>
        <v>COG</v>
      </c>
      <c r="BJ246" s="47" t="s">
        <v>137</v>
      </c>
      <c r="BK246" s="56">
        <f t="shared" si="136"/>
        <v>108092025.30000001</v>
      </c>
      <c r="BL246" s="57">
        <f t="shared" si="147"/>
        <v>10304274.182802351</v>
      </c>
      <c r="BM246" s="57">
        <f t="shared" si="148"/>
        <v>3434758.0609341171</v>
      </c>
      <c r="BU246" s="58">
        <f t="shared" si="165"/>
        <v>10304274.182802351</v>
      </c>
      <c r="BV246" s="58">
        <f t="shared" si="153"/>
        <v>10304274.182802351</v>
      </c>
      <c r="BW246" s="58">
        <f t="shared" si="162"/>
        <v>20608548.365604702</v>
      </c>
      <c r="BX246" s="58">
        <f t="shared" si="157"/>
        <v>10304274.182802351</v>
      </c>
      <c r="BY246" s="58">
        <f t="shared" si="158"/>
        <v>10304274.182802351</v>
      </c>
      <c r="BZ246" s="58">
        <f t="shared" si="166"/>
        <v>10304274.182802351</v>
      </c>
      <c r="CA246" s="58">
        <f t="shared" si="159"/>
        <v>10304274.182802351</v>
      </c>
      <c r="CB246" s="58">
        <f t="shared" si="130"/>
        <v>41217096.731209405</v>
      </c>
      <c r="CC246" s="58">
        <f t="shared" si="131"/>
        <v>10304274.182802351</v>
      </c>
      <c r="CD246" s="58">
        <f t="shared" si="160"/>
        <v>10304274.182802351</v>
      </c>
      <c r="CE246" s="58">
        <f t="shared" si="160"/>
        <v>10304274.182802351</v>
      </c>
      <c r="CF246" s="58">
        <f t="shared" si="160"/>
        <v>10304274.182802351</v>
      </c>
      <c r="CG246" s="58">
        <f t="shared" si="132"/>
        <v>41217096.731209405</v>
      </c>
      <c r="CH246" s="58">
        <f t="shared" si="133"/>
        <v>10304274.182802351</v>
      </c>
      <c r="CI246" s="58">
        <f t="shared" si="145"/>
        <v>10304274.182802351</v>
      </c>
      <c r="CJ246" s="58">
        <f t="shared" si="145"/>
        <v>10304274.182802351</v>
      </c>
      <c r="CK246" s="58">
        <f t="shared" si="145"/>
        <v>10304274.182802351</v>
      </c>
      <c r="CL246" s="58">
        <f t="shared" si="134"/>
        <v>41217096.731209405</v>
      </c>
      <c r="CN246" s="59">
        <f>BK246/$CN$3</f>
        <v>1.055451183569882E-2</v>
      </c>
      <c r="CO246" s="64">
        <f>CN246*$CO$4</f>
        <v>221644748.54967523</v>
      </c>
      <c r="CP246" s="2">
        <f t="shared" si="137"/>
        <v>329736773.84967524</v>
      </c>
    </row>
    <row r="247" spans="1:94" hidden="1" x14ac:dyDescent="0.3">
      <c r="A247" s="29">
        <v>242</v>
      </c>
      <c r="B247" s="30" t="s">
        <v>21</v>
      </c>
      <c r="C247" s="30"/>
      <c r="D247" s="30" t="s">
        <v>553</v>
      </c>
      <c r="E247" s="30" t="s">
        <v>115</v>
      </c>
      <c r="F247" s="30" t="s">
        <v>579</v>
      </c>
      <c r="G247" s="48" t="s">
        <v>555</v>
      </c>
      <c r="H247" s="48" t="s">
        <v>118</v>
      </c>
      <c r="I247" s="30" t="s">
        <v>119</v>
      </c>
      <c r="J247" s="30" t="s">
        <v>556</v>
      </c>
      <c r="K247" s="30" t="s">
        <v>913</v>
      </c>
      <c r="L247" s="48" t="s">
        <v>664</v>
      </c>
      <c r="M247" s="79">
        <v>2101062</v>
      </c>
      <c r="N247" s="48" t="s">
        <v>582</v>
      </c>
      <c r="O247" s="48" t="s">
        <v>944</v>
      </c>
      <c r="P247" s="48" t="s">
        <v>936</v>
      </c>
      <c r="Q247" s="48" t="s">
        <v>937</v>
      </c>
      <c r="R247" s="48"/>
      <c r="S247" s="48" t="s">
        <v>945</v>
      </c>
      <c r="T247" s="30" t="s">
        <v>946</v>
      </c>
      <c r="U247" s="48" t="s">
        <v>588</v>
      </c>
      <c r="V247" s="48" t="s">
        <v>589</v>
      </c>
      <c r="W247" s="48" t="s">
        <v>940</v>
      </c>
      <c r="X247" s="48"/>
      <c r="Y247" s="48" t="s">
        <v>457</v>
      </c>
      <c r="Z247" s="48" t="s">
        <v>457</v>
      </c>
      <c r="AA247" s="48" t="s">
        <v>129</v>
      </c>
      <c r="AB247" s="48" t="s">
        <v>669</v>
      </c>
      <c r="AC247" s="48" t="s">
        <v>669</v>
      </c>
      <c r="AD247" s="48"/>
      <c r="AE247" s="48"/>
      <c r="AF247" s="48" t="s">
        <v>131</v>
      </c>
      <c r="AG247" s="48" t="s">
        <v>440</v>
      </c>
      <c r="AH247" s="48" t="s">
        <v>732</v>
      </c>
      <c r="AI247" s="48"/>
      <c r="AJ247" s="98">
        <v>44317</v>
      </c>
      <c r="AK247" s="80">
        <v>44196</v>
      </c>
      <c r="AL247" s="51">
        <f t="shared" si="152"/>
        <v>4.8356164383561646</v>
      </c>
      <c r="AM247" s="52">
        <v>12</v>
      </c>
      <c r="AN247" s="48" t="s">
        <v>763</v>
      </c>
      <c r="AO247" s="30" t="s">
        <v>133</v>
      </c>
      <c r="AP247" s="30" t="s">
        <v>134</v>
      </c>
      <c r="AQ247" s="48">
        <v>3.1</v>
      </c>
      <c r="AR247" s="48">
        <v>500</v>
      </c>
      <c r="AS247" s="48">
        <v>770</v>
      </c>
      <c r="AT247" s="48">
        <v>1790</v>
      </c>
      <c r="AU247" s="53">
        <v>38750000</v>
      </c>
      <c r="AV247" s="54"/>
      <c r="AW247" s="54"/>
      <c r="AX247" s="54">
        <v>38750000</v>
      </c>
      <c r="AY247" s="54"/>
      <c r="AZ247" s="54"/>
      <c r="BA247" s="74">
        <v>22873263</v>
      </c>
      <c r="BB247" s="74">
        <v>3366517</v>
      </c>
      <c r="BC247" s="52">
        <v>144</v>
      </c>
      <c r="BD247" s="52">
        <v>60</v>
      </c>
      <c r="BE247" s="52">
        <v>83</v>
      </c>
      <c r="BF247" s="30"/>
      <c r="BG247" s="30" t="s">
        <v>607</v>
      </c>
      <c r="BH247" s="30" t="s">
        <v>569</v>
      </c>
      <c r="BI247" s="30" t="str">
        <f t="shared" si="135"/>
        <v>Bump</v>
      </c>
      <c r="BJ247" s="30" t="s">
        <v>250</v>
      </c>
      <c r="BK247" s="56">
        <f t="shared" si="136"/>
        <v>24016926.150000002</v>
      </c>
      <c r="BL247" s="57">
        <f t="shared" si="147"/>
        <v>750528.94218750007</v>
      </c>
      <c r="BM247" s="57">
        <f t="shared" si="148"/>
        <v>250176.31406250002</v>
      </c>
      <c r="BU247" s="58">
        <f t="shared" si="165"/>
        <v>750528.94218750007</v>
      </c>
      <c r="BV247" s="58">
        <f t="shared" si="153"/>
        <v>750528.94218750007</v>
      </c>
      <c r="BW247" s="58">
        <f t="shared" si="162"/>
        <v>1501057.8843750001</v>
      </c>
      <c r="BX247" s="58">
        <f t="shared" si="157"/>
        <v>750528.94218750007</v>
      </c>
      <c r="BY247" s="58">
        <f t="shared" si="158"/>
        <v>750528.94218750007</v>
      </c>
      <c r="BZ247" s="58">
        <f t="shared" si="166"/>
        <v>750528.94218750007</v>
      </c>
      <c r="CA247" s="58">
        <f t="shared" si="159"/>
        <v>750528.94218750007</v>
      </c>
      <c r="CB247" s="58">
        <f t="shared" si="130"/>
        <v>3002115.7687500003</v>
      </c>
      <c r="CC247" s="58">
        <f t="shared" si="131"/>
        <v>750528.94218750007</v>
      </c>
      <c r="CD247" s="58">
        <f t="shared" si="160"/>
        <v>750528.94218750007</v>
      </c>
      <c r="CE247" s="58">
        <f t="shared" si="160"/>
        <v>750528.94218750007</v>
      </c>
      <c r="CF247" s="58">
        <f t="shared" si="160"/>
        <v>750528.94218750007</v>
      </c>
      <c r="CG247" s="58">
        <f t="shared" si="132"/>
        <v>3002115.7687500003</v>
      </c>
      <c r="CH247" s="58">
        <f t="shared" si="133"/>
        <v>750528.94218750007</v>
      </c>
      <c r="CI247" s="58">
        <f t="shared" si="145"/>
        <v>750528.94218750007</v>
      </c>
      <c r="CJ247" s="58">
        <f t="shared" si="145"/>
        <v>750528.94218750007</v>
      </c>
      <c r="CK247" s="58">
        <f t="shared" si="145"/>
        <v>750528.94218750007</v>
      </c>
      <c r="CL247" s="58">
        <f t="shared" si="134"/>
        <v>3002115.7687500003</v>
      </c>
      <c r="CP247" s="2">
        <f t="shared" si="137"/>
        <v>24016926.150000002</v>
      </c>
    </row>
    <row r="248" spans="1:94" s="113" customFormat="1" ht="16.5" hidden="1" x14ac:dyDescent="0.3">
      <c r="A248" s="2">
        <v>243</v>
      </c>
      <c r="B248" s="47" t="s">
        <v>21</v>
      </c>
      <c r="C248" s="47"/>
      <c r="D248" s="30" t="s">
        <v>553</v>
      </c>
      <c r="E248" s="30" t="s">
        <v>115</v>
      </c>
      <c r="F248" s="30" t="s">
        <v>579</v>
      </c>
      <c r="G248" s="48" t="s">
        <v>555</v>
      </c>
      <c r="H248" s="48" t="s">
        <v>118</v>
      </c>
      <c r="I248" s="30" t="s">
        <v>119</v>
      </c>
      <c r="J248" s="30" t="s">
        <v>764</v>
      </c>
      <c r="K248" s="30" t="s">
        <v>765</v>
      </c>
      <c r="L248" s="30" t="s">
        <v>766</v>
      </c>
      <c r="M248" s="79">
        <v>2101157</v>
      </c>
      <c r="N248" s="48" t="s">
        <v>582</v>
      </c>
      <c r="O248" s="48" t="s">
        <v>947</v>
      </c>
      <c r="P248" s="48" t="s">
        <v>948</v>
      </c>
      <c r="Q248" s="48" t="s">
        <v>949</v>
      </c>
      <c r="R248" s="48"/>
      <c r="S248" s="48" t="s">
        <v>950</v>
      </c>
      <c r="T248" s="48" t="s">
        <v>951</v>
      </c>
      <c r="U248" s="48" t="s">
        <v>588</v>
      </c>
      <c r="V248" s="48" t="s">
        <v>589</v>
      </c>
      <c r="W248" s="48" t="s">
        <v>952</v>
      </c>
      <c r="X248" s="48" t="s">
        <v>127</v>
      </c>
      <c r="Y248" s="48" t="s">
        <v>457</v>
      </c>
      <c r="Z248" s="48" t="s">
        <v>457</v>
      </c>
      <c r="AA248" s="48" t="s">
        <v>148</v>
      </c>
      <c r="AB248" s="112" t="s">
        <v>953</v>
      </c>
      <c r="AC248" s="48"/>
      <c r="AD248" s="48"/>
      <c r="AE248" s="48"/>
      <c r="AF248" s="30" t="s">
        <v>604</v>
      </c>
      <c r="AG248" s="30" t="s">
        <v>440</v>
      </c>
      <c r="AH248" s="48"/>
      <c r="AI248" s="48"/>
      <c r="AJ248" s="98">
        <v>44350</v>
      </c>
      <c r="AK248" s="80">
        <v>44347</v>
      </c>
      <c r="AL248" s="51">
        <f t="shared" si="152"/>
        <v>4.4219178082191783</v>
      </c>
      <c r="AM248" s="52">
        <v>12</v>
      </c>
      <c r="AN248" s="48" t="s">
        <v>234</v>
      </c>
      <c r="AO248" s="30" t="s">
        <v>133</v>
      </c>
      <c r="AP248" s="30" t="s">
        <v>954</v>
      </c>
      <c r="AQ248" s="48">
        <v>3.2</v>
      </c>
      <c r="AR248" s="48">
        <v>1180</v>
      </c>
      <c r="AS248" s="48">
        <v>1170</v>
      </c>
      <c r="AT248" s="48">
        <v>2160</v>
      </c>
      <c r="AU248" s="53">
        <v>317500000</v>
      </c>
      <c r="AV248" s="110"/>
      <c r="AW248" s="54"/>
      <c r="AX248" s="54">
        <v>317500000</v>
      </c>
      <c r="AY248" s="54"/>
      <c r="AZ248" s="54"/>
      <c r="BA248" s="54">
        <v>198437501</v>
      </c>
      <c r="BB248" s="55">
        <v>92504979</v>
      </c>
      <c r="BC248" s="52">
        <v>144</v>
      </c>
      <c r="BD248" s="52"/>
      <c r="BE248" s="52">
        <v>88</v>
      </c>
      <c r="BF248" s="30"/>
      <c r="BG248" s="30"/>
      <c r="BH248" s="30" t="s">
        <v>776</v>
      </c>
      <c r="BI248" s="30" t="str">
        <f t="shared" si="135"/>
        <v>COG</v>
      </c>
      <c r="BJ248" s="47" t="s">
        <v>137</v>
      </c>
      <c r="BK248" s="56">
        <f t="shared" si="136"/>
        <v>208359376.05000001</v>
      </c>
      <c r="BL248" s="57">
        <f t="shared" si="147"/>
        <v>19862632.17307689</v>
      </c>
      <c r="BM248" s="57">
        <f t="shared" si="148"/>
        <v>6620877.3910256298</v>
      </c>
      <c r="BN248" s="2"/>
      <c r="BO248" s="2"/>
      <c r="BP248" s="15"/>
      <c r="BQ248" s="15"/>
      <c r="BR248" s="15"/>
      <c r="BS248" s="15"/>
      <c r="BT248" s="15"/>
      <c r="BU248" s="58">
        <f t="shared" si="165"/>
        <v>19862632.17307689</v>
      </c>
      <c r="BV248" s="58">
        <f t="shared" si="153"/>
        <v>19862632.17307689</v>
      </c>
      <c r="BW248" s="58">
        <f t="shared" si="162"/>
        <v>39725264.346153781</v>
      </c>
      <c r="BX248" s="58">
        <f t="shared" si="157"/>
        <v>19862632.17307689</v>
      </c>
      <c r="BY248" s="58">
        <f t="shared" si="158"/>
        <v>19862632.17307689</v>
      </c>
      <c r="BZ248" s="58">
        <f t="shared" si="166"/>
        <v>19862632.17307689</v>
      </c>
      <c r="CA248" s="58">
        <f t="shared" si="159"/>
        <v>19862632.17307689</v>
      </c>
      <c r="CB248" s="58">
        <f t="shared" si="130"/>
        <v>79450528.692307562</v>
      </c>
      <c r="CC248" s="58">
        <f t="shared" si="131"/>
        <v>19862632.17307689</v>
      </c>
      <c r="CD248" s="58">
        <f t="shared" si="160"/>
        <v>19862632.17307689</v>
      </c>
      <c r="CE248" s="58">
        <f t="shared" si="160"/>
        <v>19862632.17307689</v>
      </c>
      <c r="CF248" s="58">
        <f t="shared" si="160"/>
        <v>19862632.17307689</v>
      </c>
      <c r="CG248" s="58">
        <f t="shared" si="132"/>
        <v>79450528.692307562</v>
      </c>
      <c r="CH248" s="58">
        <f t="shared" si="133"/>
        <v>19862632.17307689</v>
      </c>
      <c r="CI248" s="58">
        <f t="shared" si="145"/>
        <v>19862632.17307689</v>
      </c>
      <c r="CJ248" s="58">
        <f t="shared" si="145"/>
        <v>19862632.17307689</v>
      </c>
      <c r="CK248" s="58">
        <f t="shared" si="145"/>
        <v>19862632.17307689</v>
      </c>
      <c r="CL248" s="58">
        <f t="shared" si="134"/>
        <v>79450528.692307562</v>
      </c>
      <c r="CN248" s="114">
        <f>BK248/$CN$3</f>
        <v>2.0344993023260025E-2</v>
      </c>
      <c r="CO248" s="115">
        <f>CN248*$CO$4</f>
        <v>427244853.48846054</v>
      </c>
      <c r="CP248" s="113">
        <f t="shared" si="137"/>
        <v>635604229.53846049</v>
      </c>
    </row>
    <row r="249" spans="1:94" hidden="1" x14ac:dyDescent="0.3">
      <c r="A249" s="29">
        <v>244</v>
      </c>
      <c r="B249" s="30" t="s">
        <v>21</v>
      </c>
      <c r="C249" s="30"/>
      <c r="D249" s="30" t="s">
        <v>553</v>
      </c>
      <c r="E249" s="30" t="s">
        <v>115</v>
      </c>
      <c r="F249" s="30" t="s">
        <v>579</v>
      </c>
      <c r="G249" s="48" t="s">
        <v>555</v>
      </c>
      <c r="H249" s="48" t="s">
        <v>118</v>
      </c>
      <c r="I249" s="30" t="s">
        <v>119</v>
      </c>
      <c r="J249" s="30" t="s">
        <v>556</v>
      </c>
      <c r="K249" s="30" t="s">
        <v>913</v>
      </c>
      <c r="L249" s="48" t="s">
        <v>955</v>
      </c>
      <c r="M249" s="79">
        <v>2100726</v>
      </c>
      <c r="N249" s="48" t="s">
        <v>582</v>
      </c>
      <c r="O249" s="103" t="s">
        <v>956</v>
      </c>
      <c r="P249" s="48" t="s">
        <v>957</v>
      </c>
      <c r="Q249" s="48" t="s">
        <v>958</v>
      </c>
      <c r="R249" s="48"/>
      <c r="S249" s="48" t="s">
        <v>959</v>
      </c>
      <c r="T249" s="48" t="s">
        <v>960</v>
      </c>
      <c r="U249" s="48" t="s">
        <v>588</v>
      </c>
      <c r="V249" s="48" t="s">
        <v>600</v>
      </c>
      <c r="W249" s="48" t="s">
        <v>961</v>
      </c>
      <c r="X249" s="48"/>
      <c r="Y249" s="48" t="s">
        <v>457</v>
      </c>
      <c r="Z249" s="48" t="s">
        <v>457</v>
      </c>
      <c r="AA249" s="48" t="s">
        <v>148</v>
      </c>
      <c r="AB249" s="48" t="s">
        <v>962</v>
      </c>
      <c r="AC249" s="48" t="s">
        <v>962</v>
      </c>
      <c r="AD249" s="48"/>
      <c r="AE249" s="48"/>
      <c r="AF249" s="48" t="s">
        <v>604</v>
      </c>
      <c r="AG249" s="48" t="s">
        <v>440</v>
      </c>
      <c r="AH249" s="48" t="s">
        <v>689</v>
      </c>
      <c r="AI249" s="48"/>
      <c r="AJ249" s="98">
        <v>39542</v>
      </c>
      <c r="AK249" s="80">
        <v>39599</v>
      </c>
      <c r="AL249" s="51">
        <f>($AN$1-AK249)/365</f>
        <v>-108.49041095890411</v>
      </c>
      <c r="AM249" s="52">
        <v>12</v>
      </c>
      <c r="AN249" s="48" t="s">
        <v>132</v>
      </c>
      <c r="AO249" s="30" t="s">
        <v>133</v>
      </c>
      <c r="AP249" s="30" t="s">
        <v>606</v>
      </c>
      <c r="AQ249" s="48">
        <v>28.8</v>
      </c>
      <c r="AR249" s="48">
        <v>2560</v>
      </c>
      <c r="AS249" s="48">
        <v>4155</v>
      </c>
      <c r="AT249" s="48">
        <v>1850</v>
      </c>
      <c r="AU249" s="53">
        <v>269510000</v>
      </c>
      <c r="AV249" s="116"/>
      <c r="AW249" s="116"/>
      <c r="AX249" s="116">
        <v>201460000</v>
      </c>
      <c r="AY249" s="117"/>
      <c r="AZ249" s="117"/>
      <c r="BA249" s="74">
        <v>1000</v>
      </c>
      <c r="BB249" s="74">
        <v>35062778</v>
      </c>
      <c r="BC249" s="52">
        <v>144</v>
      </c>
      <c r="BD249" s="52">
        <v>211</v>
      </c>
      <c r="BE249" s="52">
        <v>0</v>
      </c>
      <c r="BF249" s="30"/>
      <c r="BG249" s="30"/>
      <c r="BH249" s="30" t="s">
        <v>569</v>
      </c>
      <c r="BI249" s="30" t="str">
        <f t="shared" si="135"/>
        <v>Bump</v>
      </c>
      <c r="BJ249" s="30" t="s">
        <v>250</v>
      </c>
      <c r="BK249" s="56">
        <f t="shared" si="136"/>
        <v>5390200</v>
      </c>
      <c r="BL249" s="57">
        <f t="shared" si="147"/>
        <v>168443.75</v>
      </c>
      <c r="BM249" s="57">
        <f t="shared" si="148"/>
        <v>56147.916666666664</v>
      </c>
      <c r="BU249" s="58">
        <f t="shared" si="165"/>
        <v>168443.75</v>
      </c>
      <c r="BV249" s="58">
        <f t="shared" si="153"/>
        <v>168443.75</v>
      </c>
      <c r="BW249" s="58">
        <f t="shared" si="162"/>
        <v>336887.5</v>
      </c>
      <c r="BX249" s="58">
        <f t="shared" si="157"/>
        <v>168443.75</v>
      </c>
      <c r="BY249" s="58">
        <f t="shared" si="158"/>
        <v>168443.75</v>
      </c>
      <c r="BZ249" s="58">
        <f t="shared" si="166"/>
        <v>168443.75</v>
      </c>
      <c r="CA249" s="58">
        <f t="shared" si="159"/>
        <v>168443.75</v>
      </c>
      <c r="CB249" s="58">
        <f t="shared" si="130"/>
        <v>673775</v>
      </c>
      <c r="CC249" s="58">
        <f t="shared" si="131"/>
        <v>168443.75</v>
      </c>
      <c r="CD249" s="58">
        <f t="shared" si="160"/>
        <v>168443.75</v>
      </c>
      <c r="CE249" s="58">
        <f t="shared" si="160"/>
        <v>168443.75</v>
      </c>
      <c r="CF249" s="58">
        <f t="shared" si="160"/>
        <v>168443.75</v>
      </c>
      <c r="CG249" s="58">
        <f t="shared" si="132"/>
        <v>673775</v>
      </c>
      <c r="CH249" s="58">
        <f t="shared" si="133"/>
        <v>168443.75</v>
      </c>
      <c r="CI249" s="58">
        <f t="shared" si="145"/>
        <v>168443.75</v>
      </c>
      <c r="CJ249" s="58">
        <f t="shared" si="145"/>
        <v>168443.75</v>
      </c>
      <c r="CK249" s="58">
        <f t="shared" si="145"/>
        <v>168443.75</v>
      </c>
      <c r="CL249" s="58">
        <f t="shared" si="134"/>
        <v>673775</v>
      </c>
      <c r="CP249" s="2">
        <f t="shared" si="137"/>
        <v>5390200</v>
      </c>
    </row>
    <row r="250" spans="1:94" ht="16.5" hidden="1" x14ac:dyDescent="0.3">
      <c r="A250" s="2">
        <v>245</v>
      </c>
      <c r="B250" s="118" t="s">
        <v>963</v>
      </c>
      <c r="C250" s="47"/>
      <c r="D250" s="30" t="s">
        <v>553</v>
      </c>
      <c r="E250" s="30" t="s">
        <v>115</v>
      </c>
      <c r="F250" s="30" t="s">
        <v>579</v>
      </c>
      <c r="G250" s="48" t="s">
        <v>555</v>
      </c>
      <c r="H250" s="48" t="s">
        <v>118</v>
      </c>
      <c r="I250" s="30" t="s">
        <v>119</v>
      </c>
      <c r="J250" s="30" t="s">
        <v>556</v>
      </c>
      <c r="K250" s="119" t="s">
        <v>913</v>
      </c>
      <c r="L250" s="48" t="s">
        <v>964</v>
      </c>
      <c r="M250" s="30" t="s">
        <v>965</v>
      </c>
      <c r="N250" s="48" t="s">
        <v>966</v>
      </c>
      <c r="O250" s="48" t="s">
        <v>967</v>
      </c>
      <c r="P250" s="48" t="s">
        <v>958</v>
      </c>
      <c r="Q250" s="48" t="s">
        <v>958</v>
      </c>
      <c r="R250" s="48"/>
      <c r="S250" s="48"/>
      <c r="T250" s="48"/>
      <c r="U250" s="48"/>
      <c r="V250" s="48" t="s">
        <v>600</v>
      </c>
      <c r="W250" s="48"/>
      <c r="X250" s="48" t="s">
        <v>576</v>
      </c>
      <c r="Y250" s="120" t="s">
        <v>576</v>
      </c>
      <c r="Z250" s="120" t="s">
        <v>576</v>
      </c>
      <c r="AA250" s="48" t="s">
        <v>148</v>
      </c>
      <c r="AB250" s="48" t="s">
        <v>968</v>
      </c>
      <c r="AC250" s="48" t="s">
        <v>968</v>
      </c>
      <c r="AD250" s="48"/>
      <c r="AE250" s="48"/>
      <c r="AF250" s="48" t="s">
        <v>604</v>
      </c>
      <c r="AG250" s="48" t="s">
        <v>440</v>
      </c>
      <c r="AH250" s="48" t="s">
        <v>732</v>
      </c>
      <c r="AI250" s="48"/>
      <c r="AJ250" s="98"/>
      <c r="AK250" s="80"/>
      <c r="AL250" s="51"/>
      <c r="AM250" s="52"/>
      <c r="AN250" s="48"/>
      <c r="AO250" s="30"/>
      <c r="AP250" s="30"/>
      <c r="AQ250" s="48"/>
      <c r="AR250" s="48"/>
      <c r="AS250" s="48"/>
      <c r="AT250" s="48"/>
      <c r="AU250" s="110">
        <v>1000000000</v>
      </c>
      <c r="AV250" s="110"/>
      <c r="AW250" s="54"/>
      <c r="AX250" s="54"/>
      <c r="AY250" s="54"/>
      <c r="AZ250" s="54"/>
      <c r="BA250" s="110">
        <v>1000000000</v>
      </c>
      <c r="BB250" s="110"/>
      <c r="BC250" s="52"/>
      <c r="BD250" s="52"/>
      <c r="BE250" s="52"/>
      <c r="BF250" s="30"/>
      <c r="BG250" s="30"/>
      <c r="BH250" s="30" t="s">
        <v>569</v>
      </c>
      <c r="BI250" s="30" t="str">
        <f t="shared" si="135"/>
        <v>Bump</v>
      </c>
      <c r="BJ250" s="47" t="s">
        <v>137</v>
      </c>
      <c r="BK250" s="67">
        <f>BA250</f>
        <v>1000000000</v>
      </c>
      <c r="BL250" s="68">
        <f t="shared" si="147"/>
        <v>31250000</v>
      </c>
      <c r="BM250" s="68">
        <f t="shared" si="148"/>
        <v>10416666.666666666</v>
      </c>
      <c r="BP250" s="69">
        <f t="shared" si="154"/>
        <v>31250000</v>
      </c>
      <c r="BQ250" s="69">
        <f t="shared" si="155"/>
        <v>31250000</v>
      </c>
      <c r="BR250" s="69">
        <f t="shared" si="161"/>
        <v>62500000</v>
      </c>
      <c r="BS250" s="69">
        <f t="shared" si="156"/>
        <v>31250000</v>
      </c>
      <c r="BT250" s="69">
        <f>BS250</f>
        <v>31250000</v>
      </c>
      <c r="BU250" s="100">
        <f>BT250</f>
        <v>31250000</v>
      </c>
      <c r="BV250" s="100">
        <f t="shared" si="153"/>
        <v>31250000</v>
      </c>
      <c r="BW250" s="100">
        <f t="shared" si="162"/>
        <v>125000000</v>
      </c>
      <c r="BX250" s="101">
        <f t="shared" si="157"/>
        <v>31250000</v>
      </c>
      <c r="BY250" s="101">
        <f t="shared" si="158"/>
        <v>31250000</v>
      </c>
      <c r="BZ250" s="101">
        <f>BY250</f>
        <v>31250000</v>
      </c>
      <c r="CA250" s="101">
        <f t="shared" si="159"/>
        <v>31250000</v>
      </c>
      <c r="CB250" s="100">
        <f t="shared" si="130"/>
        <v>125000000</v>
      </c>
      <c r="CC250" s="101">
        <f t="shared" si="131"/>
        <v>31250000</v>
      </c>
      <c r="CD250" s="101">
        <f t="shared" si="160"/>
        <v>31250000</v>
      </c>
      <c r="CE250" s="101">
        <f t="shared" si="160"/>
        <v>31250000</v>
      </c>
      <c r="CF250" s="101">
        <f t="shared" si="160"/>
        <v>31250000</v>
      </c>
      <c r="CG250" s="100">
        <f t="shared" si="132"/>
        <v>125000000</v>
      </c>
      <c r="CH250" s="101">
        <f t="shared" si="133"/>
        <v>31250000</v>
      </c>
      <c r="CI250" s="101">
        <f t="shared" si="145"/>
        <v>31250000</v>
      </c>
      <c r="CJ250" s="101">
        <f t="shared" si="145"/>
        <v>31250000</v>
      </c>
      <c r="CK250" s="101">
        <f t="shared" si="145"/>
        <v>31250000</v>
      </c>
      <c r="CL250" s="100">
        <f t="shared" si="134"/>
        <v>125000000</v>
      </c>
      <c r="CM250" s="71"/>
      <c r="CN250" s="71">
        <v>0</v>
      </c>
      <c r="CP250" s="2">
        <f t="shared" si="137"/>
        <v>1000000000</v>
      </c>
    </row>
    <row r="251" spans="1:94" hidden="1" x14ac:dyDescent="0.3">
      <c r="A251" s="29">
        <v>246</v>
      </c>
      <c r="B251" s="30" t="s">
        <v>963</v>
      </c>
      <c r="C251" s="30"/>
      <c r="D251" s="30" t="s">
        <v>553</v>
      </c>
      <c r="E251" s="30"/>
      <c r="F251" s="30" t="s">
        <v>579</v>
      </c>
      <c r="G251" s="48" t="s">
        <v>555</v>
      </c>
      <c r="H251" s="48" t="s">
        <v>118</v>
      </c>
      <c r="I251" s="30" t="s">
        <v>119</v>
      </c>
      <c r="J251" s="30" t="s">
        <v>556</v>
      </c>
      <c r="K251" s="30" t="s">
        <v>557</v>
      </c>
      <c r="L251" s="48" t="s">
        <v>627</v>
      </c>
      <c r="M251" s="79"/>
      <c r="N251" s="48" t="s">
        <v>582</v>
      </c>
      <c r="O251" s="103" t="s">
        <v>969</v>
      </c>
      <c r="P251" s="48" t="s">
        <v>970</v>
      </c>
      <c r="Q251" s="48" t="s">
        <v>971</v>
      </c>
      <c r="R251" s="48"/>
      <c r="S251" s="48"/>
      <c r="T251" s="102"/>
      <c r="U251" s="48"/>
      <c r="V251" s="48" t="s">
        <v>600</v>
      </c>
      <c r="W251" s="48" t="s">
        <v>972</v>
      </c>
      <c r="X251" s="48" t="s">
        <v>147</v>
      </c>
      <c r="Y251" s="48"/>
      <c r="Z251" s="48"/>
      <c r="AA251" s="48" t="s">
        <v>148</v>
      </c>
      <c r="AB251" s="48" t="s">
        <v>973</v>
      </c>
      <c r="AC251" s="48" t="s">
        <v>973</v>
      </c>
      <c r="AD251" s="48"/>
      <c r="AE251" s="48"/>
      <c r="AF251" s="48" t="s">
        <v>604</v>
      </c>
      <c r="AG251" s="48" t="s">
        <v>440</v>
      </c>
      <c r="AH251" s="48" t="s">
        <v>732</v>
      </c>
      <c r="AI251" s="48"/>
      <c r="AJ251" s="98">
        <v>38796</v>
      </c>
      <c r="AK251" s="80">
        <v>38868</v>
      </c>
      <c r="AL251" s="51">
        <f>($AL$1-AK251)/365</f>
        <v>19.432876712328767</v>
      </c>
      <c r="AM251" s="52">
        <v>12</v>
      </c>
      <c r="AN251" s="48" t="s">
        <v>132</v>
      </c>
      <c r="AO251" s="30" t="s">
        <v>133</v>
      </c>
      <c r="AP251" s="30" t="s">
        <v>606</v>
      </c>
      <c r="AQ251" s="48">
        <v>43.2</v>
      </c>
      <c r="AR251" s="48">
        <v>3042</v>
      </c>
      <c r="AS251" s="48">
        <v>1956</v>
      </c>
      <c r="AT251" s="48">
        <v>2489</v>
      </c>
      <c r="AU251" s="121">
        <v>3000000000</v>
      </c>
      <c r="AV251" s="116"/>
      <c r="AW251" s="116"/>
      <c r="AX251" s="116"/>
      <c r="AY251" s="116"/>
      <c r="AZ251" s="116"/>
      <c r="BA251" s="121">
        <v>3000000000</v>
      </c>
      <c r="BB251" s="121"/>
      <c r="BC251" s="52"/>
      <c r="BD251" s="52"/>
      <c r="BE251" s="52"/>
      <c r="BF251" s="30"/>
      <c r="BG251" s="30"/>
      <c r="BH251" s="30" t="s">
        <v>569</v>
      </c>
      <c r="BI251" s="30" t="str">
        <f t="shared" si="135"/>
        <v>Bump</v>
      </c>
      <c r="BJ251" s="30" t="s">
        <v>250</v>
      </c>
      <c r="BK251" s="56">
        <f>BA251</f>
        <v>3000000000</v>
      </c>
      <c r="BL251" s="57">
        <f>BK251/$BL$1/4</f>
        <v>93750000</v>
      </c>
      <c r="BM251" s="57">
        <f>BK251/$BL$1/12</f>
        <v>31250000</v>
      </c>
      <c r="BU251" s="58">
        <f>BM251*3</f>
        <v>93750000</v>
      </c>
      <c r="BV251" s="58">
        <f t="shared" si="153"/>
        <v>93750000</v>
      </c>
      <c r="BW251" s="58">
        <f>SUM(BS251:BV251)</f>
        <v>187500000</v>
      </c>
      <c r="BX251" s="58">
        <f t="shared" si="157"/>
        <v>93750000</v>
      </c>
      <c r="BY251" s="58">
        <f t="shared" si="158"/>
        <v>93750000</v>
      </c>
      <c r="BZ251" s="58">
        <f>BM251*3</f>
        <v>93750000</v>
      </c>
      <c r="CA251" s="58">
        <f t="shared" si="159"/>
        <v>93750000</v>
      </c>
      <c r="CB251" s="58">
        <f t="shared" si="130"/>
        <v>375000000</v>
      </c>
      <c r="CC251" s="58">
        <f t="shared" si="131"/>
        <v>93750000</v>
      </c>
      <c r="CD251" s="58">
        <f t="shared" si="160"/>
        <v>93750000</v>
      </c>
      <c r="CE251" s="58">
        <f t="shared" si="160"/>
        <v>93750000</v>
      </c>
      <c r="CF251" s="58">
        <f t="shared" si="160"/>
        <v>93750000</v>
      </c>
      <c r="CG251" s="58">
        <f t="shared" si="132"/>
        <v>375000000</v>
      </c>
      <c r="CH251" s="58">
        <f t="shared" si="133"/>
        <v>93750000</v>
      </c>
      <c r="CI251" s="58">
        <f>CH251</f>
        <v>93750000</v>
      </c>
      <c r="CJ251" s="58">
        <f>CI251</f>
        <v>93750000</v>
      </c>
      <c r="CK251" s="58">
        <f>CJ251</f>
        <v>93750000</v>
      </c>
      <c r="CL251" s="58">
        <f t="shared" si="134"/>
        <v>375000000</v>
      </c>
      <c r="CP251" s="2">
        <f t="shared" si="137"/>
        <v>3000000000</v>
      </c>
    </row>
    <row r="252" spans="1:94" ht="16.5" hidden="1" x14ac:dyDescent="0.3">
      <c r="A252" s="2">
        <v>247</v>
      </c>
      <c r="B252" s="118" t="s">
        <v>963</v>
      </c>
      <c r="C252" s="47"/>
      <c r="D252" s="30" t="s">
        <v>553</v>
      </c>
      <c r="E252" s="30" t="s">
        <v>115</v>
      </c>
      <c r="F252" s="30" t="s">
        <v>579</v>
      </c>
      <c r="G252" s="48" t="s">
        <v>555</v>
      </c>
      <c r="H252" s="48" t="s">
        <v>118</v>
      </c>
      <c r="I252" s="30" t="s">
        <v>119</v>
      </c>
      <c r="J252" s="30" t="s">
        <v>556</v>
      </c>
      <c r="K252" s="119" t="s">
        <v>913</v>
      </c>
      <c r="L252" s="48" t="s">
        <v>974</v>
      </c>
      <c r="M252" s="30" t="s">
        <v>975</v>
      </c>
      <c r="N252" s="48" t="s">
        <v>966</v>
      </c>
      <c r="O252" s="48" t="s">
        <v>976</v>
      </c>
      <c r="P252" s="48" t="s">
        <v>977</v>
      </c>
      <c r="Q252" s="48" t="s">
        <v>978</v>
      </c>
      <c r="R252" s="48"/>
      <c r="S252" s="48"/>
      <c r="T252" s="48"/>
      <c r="U252" s="48"/>
      <c r="V252" s="48"/>
      <c r="W252" s="48"/>
      <c r="X252" s="48" t="s">
        <v>576</v>
      </c>
      <c r="Y252" s="120" t="s">
        <v>576</v>
      </c>
      <c r="Z252" s="120" t="s">
        <v>576</v>
      </c>
      <c r="AA252" s="48" t="s">
        <v>148</v>
      </c>
      <c r="AB252" s="48" t="s">
        <v>979</v>
      </c>
      <c r="AC252" s="48" t="s">
        <v>979</v>
      </c>
      <c r="AD252" s="48"/>
      <c r="AE252" s="48"/>
      <c r="AF252" s="48" t="s">
        <v>604</v>
      </c>
      <c r="AG252" s="48" t="s">
        <v>440</v>
      </c>
      <c r="AH252" s="48" t="s">
        <v>732</v>
      </c>
      <c r="AI252" s="48"/>
      <c r="AJ252" s="98"/>
      <c r="AK252" s="80"/>
      <c r="AL252" s="51"/>
      <c r="AM252" s="52"/>
      <c r="AN252" s="48"/>
      <c r="AO252" s="30"/>
      <c r="AP252" s="30"/>
      <c r="AQ252" s="48"/>
      <c r="AR252" s="48"/>
      <c r="AS252" s="48"/>
      <c r="AT252" s="48"/>
      <c r="AU252" s="110">
        <v>600000000</v>
      </c>
      <c r="AV252" s="110"/>
      <c r="AW252" s="54"/>
      <c r="AX252" s="54"/>
      <c r="AY252" s="54"/>
      <c r="AZ252" s="54"/>
      <c r="BA252" s="54">
        <v>600000000</v>
      </c>
      <c r="BB252" s="54"/>
      <c r="BC252" s="52"/>
      <c r="BD252" s="52"/>
      <c r="BE252" s="52"/>
      <c r="BF252" s="30"/>
      <c r="BG252" s="30"/>
      <c r="BH252" s="30" t="s">
        <v>569</v>
      </c>
      <c r="BI252" s="30" t="str">
        <f t="shared" si="135"/>
        <v>Bump</v>
      </c>
      <c r="BJ252" s="47" t="s">
        <v>137</v>
      </c>
      <c r="BK252" s="67">
        <f>BA252</f>
        <v>600000000</v>
      </c>
      <c r="BL252" s="68">
        <f t="shared" si="147"/>
        <v>18750000</v>
      </c>
      <c r="BM252" s="68">
        <f t="shared" si="148"/>
        <v>6250000</v>
      </c>
      <c r="BP252" s="69">
        <f t="shared" si="154"/>
        <v>18750000</v>
      </c>
      <c r="BQ252" s="69">
        <f t="shared" si="155"/>
        <v>18750000</v>
      </c>
      <c r="BR252" s="69">
        <f t="shared" si="161"/>
        <v>37500000</v>
      </c>
      <c r="BS252" s="69">
        <f t="shared" si="156"/>
        <v>18750000</v>
      </c>
      <c r="BT252" s="69">
        <f t="shared" ref="BT252:BV267" si="167">BS252</f>
        <v>18750000</v>
      </c>
      <c r="BU252" s="100">
        <f t="shared" si="167"/>
        <v>18750000</v>
      </c>
      <c r="BV252" s="100">
        <f t="shared" si="167"/>
        <v>18750000</v>
      </c>
      <c r="BW252" s="100">
        <f t="shared" si="162"/>
        <v>75000000</v>
      </c>
      <c r="BX252" s="101">
        <f t="shared" si="157"/>
        <v>18750000</v>
      </c>
      <c r="BY252" s="101">
        <f t="shared" si="158"/>
        <v>18750000</v>
      </c>
      <c r="BZ252" s="101">
        <f>BY252</f>
        <v>18750000</v>
      </c>
      <c r="CA252" s="101">
        <f t="shared" si="159"/>
        <v>18750000</v>
      </c>
      <c r="CB252" s="100">
        <f t="shared" si="130"/>
        <v>75000000</v>
      </c>
      <c r="CC252" s="101">
        <f t="shared" si="131"/>
        <v>18750000</v>
      </c>
      <c r="CD252" s="101">
        <f t="shared" si="160"/>
        <v>18750000</v>
      </c>
      <c r="CE252" s="101">
        <f t="shared" si="160"/>
        <v>18750000</v>
      </c>
      <c r="CF252" s="101">
        <f t="shared" si="160"/>
        <v>18750000</v>
      </c>
      <c r="CG252" s="100">
        <f t="shared" si="132"/>
        <v>75000000</v>
      </c>
      <c r="CH252" s="101">
        <f t="shared" si="133"/>
        <v>18750000</v>
      </c>
      <c r="CI252" s="101">
        <f t="shared" si="145"/>
        <v>18750000</v>
      </c>
      <c r="CJ252" s="101">
        <f t="shared" si="145"/>
        <v>18750000</v>
      </c>
      <c r="CK252" s="101">
        <f t="shared" si="145"/>
        <v>18750000</v>
      </c>
      <c r="CL252" s="100">
        <f t="shared" si="134"/>
        <v>75000000</v>
      </c>
      <c r="CM252" s="71"/>
      <c r="CN252" s="71"/>
      <c r="CP252" s="2">
        <f t="shared" si="137"/>
        <v>600000000</v>
      </c>
    </row>
    <row r="253" spans="1:94" ht="16.5" hidden="1" x14ac:dyDescent="0.3">
      <c r="A253" s="2">
        <v>248</v>
      </c>
      <c r="B253" s="118" t="s">
        <v>963</v>
      </c>
      <c r="C253" s="47"/>
      <c r="D253" s="30" t="s">
        <v>553</v>
      </c>
      <c r="E253" s="30" t="s">
        <v>115</v>
      </c>
      <c r="F253" s="30" t="s">
        <v>579</v>
      </c>
      <c r="G253" s="48" t="s">
        <v>555</v>
      </c>
      <c r="H253" s="48" t="s">
        <v>118</v>
      </c>
      <c r="I253" s="30" t="s">
        <v>119</v>
      </c>
      <c r="J253" s="30" t="s">
        <v>556</v>
      </c>
      <c r="K253" s="119" t="s">
        <v>913</v>
      </c>
      <c r="L253" s="48" t="s">
        <v>654</v>
      </c>
      <c r="M253" s="30" t="s">
        <v>980</v>
      </c>
      <c r="N253" s="48" t="s">
        <v>559</v>
      </c>
      <c r="O253" s="48" t="s">
        <v>981</v>
      </c>
      <c r="P253" s="48" t="s">
        <v>982</v>
      </c>
      <c r="Q253" s="48" t="s">
        <v>983</v>
      </c>
      <c r="R253" s="48"/>
      <c r="S253" s="47"/>
      <c r="T253" s="48"/>
      <c r="U253" s="48"/>
      <c r="V253" s="48"/>
      <c r="W253" s="48" t="s">
        <v>984</v>
      </c>
      <c r="X253" s="48" t="s">
        <v>576</v>
      </c>
      <c r="Y253" s="120" t="s">
        <v>576</v>
      </c>
      <c r="Z253" s="120" t="s">
        <v>576</v>
      </c>
      <c r="AA253" s="48" t="s">
        <v>129</v>
      </c>
      <c r="AB253" s="48" t="s">
        <v>985</v>
      </c>
      <c r="AC253" s="48" t="s">
        <v>985</v>
      </c>
      <c r="AD253" s="48"/>
      <c r="AE253" s="48"/>
      <c r="AF253" s="48" t="s">
        <v>131</v>
      </c>
      <c r="AG253" s="122" t="s">
        <v>661</v>
      </c>
      <c r="AH253" s="48"/>
      <c r="AI253" s="48"/>
      <c r="AJ253" s="98"/>
      <c r="AK253" s="80"/>
      <c r="AL253" s="51"/>
      <c r="AM253" s="52"/>
      <c r="AN253" s="48"/>
      <c r="AO253" s="30"/>
      <c r="AP253" s="30"/>
      <c r="AQ253" s="48"/>
      <c r="AR253" s="48"/>
      <c r="AS253" s="48"/>
      <c r="AT253" s="48"/>
      <c r="AU253" s="110">
        <v>500000000</v>
      </c>
      <c r="AV253" s="110"/>
      <c r="AW253" s="54"/>
      <c r="AX253" s="54"/>
      <c r="AY253" s="54"/>
      <c r="AZ253" s="54"/>
      <c r="BA253" s="54">
        <v>500000000</v>
      </c>
      <c r="BB253" s="54"/>
      <c r="BC253" s="52"/>
      <c r="BD253" s="52"/>
      <c r="BE253" s="52"/>
      <c r="BF253" s="30"/>
      <c r="BG253" s="30"/>
      <c r="BH253" s="30" t="s">
        <v>569</v>
      </c>
      <c r="BI253" s="30" t="str">
        <f t="shared" si="135"/>
        <v>Bump</v>
      </c>
      <c r="BJ253" s="47" t="s">
        <v>137</v>
      </c>
      <c r="BK253" s="67">
        <f t="shared" ref="BK253:BK272" si="168">BA253</f>
        <v>500000000</v>
      </c>
      <c r="BL253" s="68">
        <f t="shared" si="147"/>
        <v>15625000</v>
      </c>
      <c r="BM253" s="68">
        <f t="shared" si="148"/>
        <v>5208333.333333333</v>
      </c>
      <c r="BP253" s="69">
        <f t="shared" si="154"/>
        <v>15625000</v>
      </c>
      <c r="BQ253" s="69">
        <f t="shared" si="155"/>
        <v>15625000</v>
      </c>
      <c r="BR253" s="69">
        <f t="shared" si="161"/>
        <v>31250000</v>
      </c>
      <c r="BS253" s="69">
        <f t="shared" si="156"/>
        <v>15625000</v>
      </c>
      <c r="BT253" s="69">
        <f t="shared" si="167"/>
        <v>15625000</v>
      </c>
      <c r="BU253" s="100">
        <f t="shared" si="167"/>
        <v>15625000</v>
      </c>
      <c r="BV253" s="100">
        <f t="shared" si="167"/>
        <v>15625000</v>
      </c>
      <c r="BW253" s="100">
        <f t="shared" si="162"/>
        <v>62500000</v>
      </c>
      <c r="BX253" s="101">
        <f t="shared" si="157"/>
        <v>15625000</v>
      </c>
      <c r="BY253" s="101">
        <f t="shared" si="158"/>
        <v>15625000</v>
      </c>
      <c r="BZ253" s="101">
        <f>BY253</f>
        <v>15625000</v>
      </c>
      <c r="CA253" s="101">
        <f t="shared" si="159"/>
        <v>15625000</v>
      </c>
      <c r="CB253" s="100">
        <f t="shared" si="130"/>
        <v>62500000</v>
      </c>
      <c r="CC253" s="101">
        <f t="shared" si="131"/>
        <v>15625000</v>
      </c>
      <c r="CD253" s="101">
        <f t="shared" si="160"/>
        <v>15625000</v>
      </c>
      <c r="CE253" s="101">
        <f t="shared" si="160"/>
        <v>15625000</v>
      </c>
      <c r="CF253" s="101">
        <f t="shared" si="160"/>
        <v>15625000</v>
      </c>
      <c r="CG253" s="100">
        <f t="shared" si="132"/>
        <v>62500000</v>
      </c>
      <c r="CH253" s="101">
        <f t="shared" si="133"/>
        <v>15625000</v>
      </c>
      <c r="CI253" s="101">
        <f t="shared" si="145"/>
        <v>15625000</v>
      </c>
      <c r="CJ253" s="101">
        <f t="shared" si="145"/>
        <v>15625000</v>
      </c>
      <c r="CK253" s="101">
        <f t="shared" si="145"/>
        <v>15625000</v>
      </c>
      <c r="CL253" s="100">
        <f t="shared" si="134"/>
        <v>62500000</v>
      </c>
      <c r="CM253" s="71"/>
      <c r="CN253" s="71"/>
      <c r="CP253" s="2">
        <f t="shared" si="137"/>
        <v>500000000</v>
      </c>
    </row>
    <row r="254" spans="1:94" hidden="1" x14ac:dyDescent="0.3">
      <c r="A254" s="29">
        <v>249</v>
      </c>
      <c r="B254" s="30" t="s">
        <v>963</v>
      </c>
      <c r="C254" s="30"/>
      <c r="D254" s="30" t="s">
        <v>553</v>
      </c>
      <c r="E254" s="30" t="s">
        <v>115</v>
      </c>
      <c r="F254" s="30" t="s">
        <v>579</v>
      </c>
      <c r="G254" s="48" t="s">
        <v>555</v>
      </c>
      <c r="H254" s="48" t="s">
        <v>118</v>
      </c>
      <c r="I254" s="30" t="s">
        <v>119</v>
      </c>
      <c r="J254" s="30" t="s">
        <v>556</v>
      </c>
      <c r="K254" s="30" t="s">
        <v>913</v>
      </c>
      <c r="L254" s="48" t="s">
        <v>654</v>
      </c>
      <c r="M254" s="30" t="s">
        <v>986</v>
      </c>
      <c r="N254" s="48" t="s">
        <v>559</v>
      </c>
      <c r="O254" s="48" t="s">
        <v>981</v>
      </c>
      <c r="P254" s="48" t="s">
        <v>982</v>
      </c>
      <c r="Q254" s="48" t="s">
        <v>983</v>
      </c>
      <c r="R254" s="48"/>
      <c r="S254" s="48"/>
      <c r="T254" s="48"/>
      <c r="U254" s="48"/>
      <c r="V254" s="48"/>
      <c r="W254" s="48" t="s">
        <v>984</v>
      </c>
      <c r="X254" s="48"/>
      <c r="Y254" s="48" t="s">
        <v>457</v>
      </c>
      <c r="Z254" s="48" t="s">
        <v>457</v>
      </c>
      <c r="AA254" s="48" t="s">
        <v>129</v>
      </c>
      <c r="AB254" s="48" t="s">
        <v>985</v>
      </c>
      <c r="AC254" s="48" t="s">
        <v>985</v>
      </c>
      <c r="AD254" s="48"/>
      <c r="AE254" s="48"/>
      <c r="AF254" s="48" t="s">
        <v>131</v>
      </c>
      <c r="AG254" s="122" t="s">
        <v>661</v>
      </c>
      <c r="AH254" s="48"/>
      <c r="AI254" s="48"/>
      <c r="AJ254" s="123"/>
      <c r="AK254" s="80"/>
      <c r="AL254" s="51"/>
      <c r="AM254" s="52"/>
      <c r="AN254" s="48"/>
      <c r="AO254" s="30"/>
      <c r="AP254" s="30"/>
      <c r="AQ254" s="48"/>
      <c r="AR254" s="48"/>
      <c r="AS254" s="48"/>
      <c r="AT254" s="48"/>
      <c r="AU254" s="121">
        <v>500000000</v>
      </c>
      <c r="AV254" s="110"/>
      <c r="AW254" s="54"/>
      <c r="AX254" s="54"/>
      <c r="AY254" s="54"/>
      <c r="AZ254" s="54"/>
      <c r="BA254" s="74">
        <v>500000000</v>
      </c>
      <c r="BB254" s="74"/>
      <c r="BC254" s="52"/>
      <c r="BD254" s="52"/>
      <c r="BE254" s="52"/>
      <c r="BF254" s="30"/>
      <c r="BG254" s="30"/>
      <c r="BH254" s="30" t="s">
        <v>569</v>
      </c>
      <c r="BI254" s="30" t="str">
        <f t="shared" si="135"/>
        <v>Bump</v>
      </c>
      <c r="BJ254" s="30" t="s">
        <v>250</v>
      </c>
      <c r="BK254" s="56">
        <f t="shared" si="168"/>
        <v>500000000</v>
      </c>
      <c r="BL254" s="57">
        <f t="shared" si="147"/>
        <v>15625000</v>
      </c>
      <c r="BM254" s="57">
        <f t="shared" si="148"/>
        <v>5208333.333333333</v>
      </c>
      <c r="BU254" s="58">
        <f>BM254*3</f>
        <v>15625000</v>
      </c>
      <c r="BV254" s="58">
        <f t="shared" si="167"/>
        <v>15625000</v>
      </c>
      <c r="BW254" s="58">
        <f>SUM(BS254:BV254)</f>
        <v>31250000</v>
      </c>
      <c r="BX254" s="58">
        <f t="shared" si="157"/>
        <v>15625000</v>
      </c>
      <c r="BY254" s="58">
        <f t="shared" si="158"/>
        <v>15625000</v>
      </c>
      <c r="BZ254" s="58">
        <f>BM254*3</f>
        <v>15625000</v>
      </c>
      <c r="CA254" s="58">
        <f t="shared" si="159"/>
        <v>15625000</v>
      </c>
      <c r="CB254" s="58">
        <f t="shared" si="130"/>
        <v>62500000</v>
      </c>
      <c r="CC254" s="58">
        <f t="shared" si="131"/>
        <v>15625000</v>
      </c>
      <c r="CD254" s="58">
        <f t="shared" si="160"/>
        <v>15625000</v>
      </c>
      <c r="CE254" s="58">
        <f t="shared" si="160"/>
        <v>15625000</v>
      </c>
      <c r="CF254" s="58">
        <f t="shared" si="160"/>
        <v>15625000</v>
      </c>
      <c r="CG254" s="58">
        <f t="shared" si="132"/>
        <v>62500000</v>
      </c>
      <c r="CH254" s="58">
        <f t="shared" si="133"/>
        <v>15625000</v>
      </c>
      <c r="CI254" s="58">
        <f>CH254</f>
        <v>15625000</v>
      </c>
      <c r="CJ254" s="58">
        <f>CI254</f>
        <v>15625000</v>
      </c>
      <c r="CK254" s="58">
        <f>CJ254</f>
        <v>15625000</v>
      </c>
      <c r="CL254" s="58">
        <f t="shared" si="134"/>
        <v>62500000</v>
      </c>
      <c r="CP254" s="2">
        <f t="shared" si="137"/>
        <v>500000000</v>
      </c>
    </row>
    <row r="255" spans="1:94" ht="16.5" hidden="1" x14ac:dyDescent="0.3">
      <c r="A255" s="2">
        <v>250</v>
      </c>
      <c r="B255" s="118" t="s">
        <v>963</v>
      </c>
      <c r="C255" s="47"/>
      <c r="D255" s="30" t="s">
        <v>553</v>
      </c>
      <c r="E255" s="30" t="s">
        <v>115</v>
      </c>
      <c r="F255" s="30" t="s">
        <v>579</v>
      </c>
      <c r="G255" s="48" t="s">
        <v>555</v>
      </c>
      <c r="H255" s="48" t="s">
        <v>118</v>
      </c>
      <c r="I255" s="30" t="s">
        <v>119</v>
      </c>
      <c r="J255" s="30" t="s">
        <v>556</v>
      </c>
      <c r="K255" s="119" t="s">
        <v>913</v>
      </c>
      <c r="L255" s="48" t="s">
        <v>654</v>
      </c>
      <c r="M255" s="30" t="s">
        <v>987</v>
      </c>
      <c r="N255" s="48" t="s">
        <v>559</v>
      </c>
      <c r="O255" s="48" t="s">
        <v>988</v>
      </c>
      <c r="P255" s="48" t="s">
        <v>989</v>
      </c>
      <c r="Q255" s="48" t="str">
        <f>P255</f>
        <v>AL120-LMB86</v>
      </c>
      <c r="R255" s="48"/>
      <c r="S255" s="48"/>
      <c r="T255" s="48"/>
      <c r="U255" s="48"/>
      <c r="V255" s="48"/>
      <c r="W255" s="48" t="s">
        <v>984</v>
      </c>
      <c r="X255" s="48" t="s">
        <v>576</v>
      </c>
      <c r="Y255" s="120" t="s">
        <v>576</v>
      </c>
      <c r="Z255" s="120" t="s">
        <v>576</v>
      </c>
      <c r="AA255" s="48" t="s">
        <v>129</v>
      </c>
      <c r="AB255" s="124" t="s">
        <v>990</v>
      </c>
      <c r="AC255" s="48"/>
      <c r="AD255" s="48"/>
      <c r="AE255" s="48"/>
      <c r="AF255" s="48" t="s">
        <v>131</v>
      </c>
      <c r="AG255" s="48"/>
      <c r="AH255" s="48"/>
      <c r="AI255" s="48"/>
      <c r="AJ255" s="98"/>
      <c r="AK255" s="80"/>
      <c r="AL255" s="51"/>
      <c r="AM255" s="52"/>
      <c r="AN255" s="48"/>
      <c r="AO255" s="30"/>
      <c r="AP255" s="30"/>
      <c r="AQ255" s="48"/>
      <c r="AR255" s="48"/>
      <c r="AS255" s="48"/>
      <c r="AT255" s="48"/>
      <c r="AU255" s="110">
        <v>80000000</v>
      </c>
      <c r="AV255" s="110"/>
      <c r="AW255" s="54"/>
      <c r="AX255" s="54"/>
      <c r="AY255" s="54"/>
      <c r="AZ255" s="54"/>
      <c r="BA255" s="110">
        <v>80000000</v>
      </c>
      <c r="BB255" s="110"/>
      <c r="BC255" s="52"/>
      <c r="BD255" s="52"/>
      <c r="BE255" s="52"/>
      <c r="BF255" s="30"/>
      <c r="BG255" s="30"/>
      <c r="BH255" s="30" t="s">
        <v>569</v>
      </c>
      <c r="BI255" s="30" t="str">
        <f t="shared" si="135"/>
        <v>Bump</v>
      </c>
      <c r="BJ255" s="47" t="s">
        <v>137</v>
      </c>
      <c r="BK255" s="67">
        <f t="shared" si="168"/>
        <v>80000000</v>
      </c>
      <c r="BL255" s="68">
        <f t="shared" si="147"/>
        <v>2500000</v>
      </c>
      <c r="BM255" s="68">
        <f t="shared" si="148"/>
        <v>833333.33333333337</v>
      </c>
      <c r="BP255" s="69">
        <f t="shared" si="154"/>
        <v>2500000</v>
      </c>
      <c r="BQ255" s="69">
        <f t="shared" si="155"/>
        <v>2500000</v>
      </c>
      <c r="BR255" s="69">
        <f t="shared" si="161"/>
        <v>5000000</v>
      </c>
      <c r="BS255" s="69">
        <f t="shared" si="156"/>
        <v>2500000</v>
      </c>
      <c r="BT255" s="69">
        <f t="shared" si="167"/>
        <v>2500000</v>
      </c>
      <c r="BU255" s="100">
        <f t="shared" si="167"/>
        <v>2500000</v>
      </c>
      <c r="BV255" s="100">
        <f t="shared" si="167"/>
        <v>2500000</v>
      </c>
      <c r="BW255" s="100">
        <f t="shared" si="162"/>
        <v>10000000</v>
      </c>
      <c r="BX255" s="101">
        <f t="shared" si="157"/>
        <v>2500000</v>
      </c>
      <c r="BY255" s="101">
        <f t="shared" si="158"/>
        <v>2500000</v>
      </c>
      <c r="BZ255" s="101">
        <f t="shared" si="158"/>
        <v>2500000</v>
      </c>
      <c r="CA255" s="101">
        <f t="shared" si="159"/>
        <v>2500000</v>
      </c>
      <c r="CB255" s="100">
        <f t="shared" si="130"/>
        <v>10000000</v>
      </c>
      <c r="CC255" s="101">
        <f t="shared" si="131"/>
        <v>2500000</v>
      </c>
      <c r="CD255" s="101">
        <f t="shared" ref="CD255:CF272" si="169">CC255</f>
        <v>2500000</v>
      </c>
      <c r="CE255" s="101">
        <f t="shared" si="169"/>
        <v>2500000</v>
      </c>
      <c r="CF255" s="101">
        <f t="shared" si="169"/>
        <v>2500000</v>
      </c>
      <c r="CG255" s="100">
        <f t="shared" si="132"/>
        <v>10000000</v>
      </c>
      <c r="CH255" s="101">
        <f t="shared" si="133"/>
        <v>2500000</v>
      </c>
      <c r="CI255" s="101">
        <f t="shared" si="145"/>
        <v>2500000</v>
      </c>
      <c r="CJ255" s="101">
        <f t="shared" si="145"/>
        <v>2500000</v>
      </c>
      <c r="CK255" s="101">
        <f t="shared" si="145"/>
        <v>2500000</v>
      </c>
      <c r="CL255" s="100">
        <f t="shared" si="134"/>
        <v>10000000</v>
      </c>
      <c r="CM255" s="71"/>
      <c r="CN255" s="71"/>
      <c r="CP255" s="2">
        <f t="shared" si="137"/>
        <v>80000000</v>
      </c>
    </row>
    <row r="256" spans="1:94" ht="16.5" hidden="1" x14ac:dyDescent="0.3">
      <c r="A256" s="2">
        <v>251</v>
      </c>
      <c r="B256" s="118" t="s">
        <v>963</v>
      </c>
      <c r="C256" s="47"/>
      <c r="D256" s="30" t="s">
        <v>553</v>
      </c>
      <c r="E256" s="30" t="s">
        <v>115</v>
      </c>
      <c r="F256" s="30" t="s">
        <v>579</v>
      </c>
      <c r="G256" s="48" t="s">
        <v>555</v>
      </c>
      <c r="H256" s="48" t="s">
        <v>118</v>
      </c>
      <c r="I256" s="30" t="s">
        <v>119</v>
      </c>
      <c r="J256" s="30" t="s">
        <v>556</v>
      </c>
      <c r="K256" s="119" t="s">
        <v>913</v>
      </c>
      <c r="L256" s="48" t="s">
        <v>654</v>
      </c>
      <c r="M256" s="30" t="s">
        <v>991</v>
      </c>
      <c r="N256" s="48" t="s">
        <v>559</v>
      </c>
      <c r="O256" s="48" t="s">
        <v>988</v>
      </c>
      <c r="P256" s="48" t="s">
        <v>989</v>
      </c>
      <c r="Q256" s="48" t="str">
        <f t="shared" ref="Q256:Q264" si="170">P256</f>
        <v>AL120-LMB86</v>
      </c>
      <c r="R256" s="48"/>
      <c r="S256" s="48"/>
      <c r="T256" s="48"/>
      <c r="U256" s="48"/>
      <c r="V256" s="48"/>
      <c r="W256" s="48" t="s">
        <v>984</v>
      </c>
      <c r="X256" s="48" t="s">
        <v>576</v>
      </c>
      <c r="Y256" s="120" t="s">
        <v>576</v>
      </c>
      <c r="Z256" s="120" t="s">
        <v>576</v>
      </c>
      <c r="AA256" s="48" t="s">
        <v>129</v>
      </c>
      <c r="AB256" s="124" t="s">
        <v>990</v>
      </c>
      <c r="AC256" s="48"/>
      <c r="AD256" s="48"/>
      <c r="AE256" s="48"/>
      <c r="AF256" s="48" t="s">
        <v>131</v>
      </c>
      <c r="AG256" s="48"/>
      <c r="AH256" s="48"/>
      <c r="AI256" s="48"/>
      <c r="AJ256" s="98"/>
      <c r="AK256" s="80"/>
      <c r="AL256" s="51"/>
      <c r="AM256" s="52"/>
      <c r="AN256" s="48"/>
      <c r="AO256" s="30"/>
      <c r="AP256" s="30"/>
      <c r="AQ256" s="48"/>
      <c r="AR256" s="48"/>
      <c r="AS256" s="48"/>
      <c r="AT256" s="48"/>
      <c r="AU256" s="110">
        <v>80000000</v>
      </c>
      <c r="AV256" s="110"/>
      <c r="AW256" s="54"/>
      <c r="AX256" s="54"/>
      <c r="AY256" s="54"/>
      <c r="AZ256" s="54"/>
      <c r="BA256" s="110">
        <v>80000000</v>
      </c>
      <c r="BB256" s="110"/>
      <c r="BC256" s="52"/>
      <c r="BD256" s="52"/>
      <c r="BE256" s="52"/>
      <c r="BF256" s="30"/>
      <c r="BG256" s="30"/>
      <c r="BH256" s="30" t="s">
        <v>569</v>
      </c>
      <c r="BI256" s="30" t="str">
        <f t="shared" si="135"/>
        <v>Bump</v>
      </c>
      <c r="BJ256" s="47" t="s">
        <v>137</v>
      </c>
      <c r="BK256" s="67">
        <f t="shared" si="168"/>
        <v>80000000</v>
      </c>
      <c r="BL256" s="68">
        <f t="shared" si="147"/>
        <v>2500000</v>
      </c>
      <c r="BM256" s="68">
        <f t="shared" si="148"/>
        <v>833333.33333333337</v>
      </c>
      <c r="BP256" s="69">
        <f t="shared" si="154"/>
        <v>2500000</v>
      </c>
      <c r="BQ256" s="69">
        <f t="shared" si="155"/>
        <v>2500000</v>
      </c>
      <c r="BR256" s="69">
        <f t="shared" si="161"/>
        <v>5000000</v>
      </c>
      <c r="BS256" s="69">
        <f t="shared" si="156"/>
        <v>2500000</v>
      </c>
      <c r="BT256" s="69">
        <f t="shared" si="167"/>
        <v>2500000</v>
      </c>
      <c r="BU256" s="100">
        <f t="shared" si="167"/>
        <v>2500000</v>
      </c>
      <c r="BV256" s="100">
        <f t="shared" si="167"/>
        <v>2500000</v>
      </c>
      <c r="BW256" s="100">
        <f t="shared" si="162"/>
        <v>10000000</v>
      </c>
      <c r="BX256" s="101">
        <f t="shared" si="157"/>
        <v>2500000</v>
      </c>
      <c r="BY256" s="101">
        <f t="shared" si="158"/>
        <v>2500000</v>
      </c>
      <c r="BZ256" s="101">
        <f t="shared" si="158"/>
        <v>2500000</v>
      </c>
      <c r="CA256" s="101">
        <f t="shared" si="159"/>
        <v>2500000</v>
      </c>
      <c r="CB256" s="100">
        <f t="shared" si="130"/>
        <v>10000000</v>
      </c>
      <c r="CC256" s="101">
        <f t="shared" si="131"/>
        <v>2500000</v>
      </c>
      <c r="CD256" s="101">
        <f t="shared" si="169"/>
        <v>2500000</v>
      </c>
      <c r="CE256" s="101">
        <f t="shared" si="169"/>
        <v>2500000</v>
      </c>
      <c r="CF256" s="101">
        <f t="shared" si="169"/>
        <v>2500000</v>
      </c>
      <c r="CG256" s="100">
        <f t="shared" si="132"/>
        <v>10000000</v>
      </c>
      <c r="CH256" s="101">
        <f t="shared" si="133"/>
        <v>2500000</v>
      </c>
      <c r="CI256" s="101">
        <f t="shared" si="145"/>
        <v>2500000</v>
      </c>
      <c r="CJ256" s="101">
        <f t="shared" si="145"/>
        <v>2500000</v>
      </c>
      <c r="CK256" s="101">
        <f t="shared" si="145"/>
        <v>2500000</v>
      </c>
      <c r="CL256" s="100">
        <f t="shared" si="134"/>
        <v>10000000</v>
      </c>
      <c r="CM256" s="71"/>
      <c r="CN256" s="71"/>
      <c r="CP256" s="2">
        <f t="shared" si="137"/>
        <v>80000000</v>
      </c>
    </row>
    <row r="257" spans="1:94" ht="16.5" hidden="1" x14ac:dyDescent="0.3">
      <c r="A257" s="2">
        <v>252</v>
      </c>
      <c r="B257" s="118" t="s">
        <v>963</v>
      </c>
      <c r="C257" s="47"/>
      <c r="D257" s="30" t="s">
        <v>553</v>
      </c>
      <c r="E257" s="30" t="s">
        <v>115</v>
      </c>
      <c r="F257" s="30" t="s">
        <v>579</v>
      </c>
      <c r="G257" s="48" t="s">
        <v>555</v>
      </c>
      <c r="H257" s="48" t="s">
        <v>118</v>
      </c>
      <c r="I257" s="30" t="s">
        <v>119</v>
      </c>
      <c r="J257" s="30" t="s">
        <v>556</v>
      </c>
      <c r="K257" s="119" t="s">
        <v>913</v>
      </c>
      <c r="L257" s="48" t="s">
        <v>654</v>
      </c>
      <c r="M257" s="30" t="s">
        <v>992</v>
      </c>
      <c r="N257" s="48" t="s">
        <v>559</v>
      </c>
      <c r="O257" s="48" t="s">
        <v>988</v>
      </c>
      <c r="P257" s="48" t="s">
        <v>989</v>
      </c>
      <c r="Q257" s="48" t="str">
        <f t="shared" si="170"/>
        <v>AL120-LMB86</v>
      </c>
      <c r="R257" s="48"/>
      <c r="S257" s="48"/>
      <c r="T257" s="48"/>
      <c r="U257" s="48"/>
      <c r="V257" s="48"/>
      <c r="W257" s="48" t="s">
        <v>984</v>
      </c>
      <c r="X257" s="48" t="s">
        <v>576</v>
      </c>
      <c r="Y257" s="120" t="s">
        <v>576</v>
      </c>
      <c r="Z257" s="120" t="s">
        <v>576</v>
      </c>
      <c r="AA257" s="48" t="s">
        <v>129</v>
      </c>
      <c r="AB257" s="124" t="s">
        <v>990</v>
      </c>
      <c r="AC257" s="48"/>
      <c r="AD257" s="48"/>
      <c r="AE257" s="48"/>
      <c r="AF257" s="48" t="s">
        <v>131</v>
      </c>
      <c r="AG257" s="48"/>
      <c r="AH257" s="48"/>
      <c r="AI257" s="48"/>
      <c r="AJ257" s="98"/>
      <c r="AK257" s="80"/>
      <c r="AL257" s="51"/>
      <c r="AM257" s="52"/>
      <c r="AN257" s="48"/>
      <c r="AO257" s="30"/>
      <c r="AP257" s="30"/>
      <c r="AQ257" s="48"/>
      <c r="AR257" s="48"/>
      <c r="AS257" s="48"/>
      <c r="AT257" s="48"/>
      <c r="AU257" s="110">
        <v>80000000</v>
      </c>
      <c r="AV257" s="110"/>
      <c r="AW257" s="54"/>
      <c r="AX257" s="54"/>
      <c r="AY257" s="54"/>
      <c r="AZ257" s="54"/>
      <c r="BA257" s="110">
        <v>80000000</v>
      </c>
      <c r="BB257" s="110"/>
      <c r="BC257" s="52"/>
      <c r="BD257" s="52"/>
      <c r="BE257" s="52"/>
      <c r="BF257" s="30"/>
      <c r="BG257" s="30"/>
      <c r="BH257" s="30" t="s">
        <v>569</v>
      </c>
      <c r="BI257" s="30" t="str">
        <f t="shared" si="135"/>
        <v>Bump</v>
      </c>
      <c r="BJ257" s="47" t="s">
        <v>137</v>
      </c>
      <c r="BK257" s="67">
        <f t="shared" si="168"/>
        <v>80000000</v>
      </c>
      <c r="BL257" s="68">
        <f t="shared" si="147"/>
        <v>2500000</v>
      </c>
      <c r="BM257" s="68">
        <f t="shared" si="148"/>
        <v>833333.33333333337</v>
      </c>
      <c r="BP257" s="69">
        <f t="shared" si="154"/>
        <v>2500000</v>
      </c>
      <c r="BQ257" s="69">
        <f t="shared" si="155"/>
        <v>2500000</v>
      </c>
      <c r="BR257" s="69">
        <f t="shared" si="161"/>
        <v>5000000</v>
      </c>
      <c r="BS257" s="69">
        <f t="shared" si="156"/>
        <v>2500000</v>
      </c>
      <c r="BT257" s="69">
        <f t="shared" si="167"/>
        <v>2500000</v>
      </c>
      <c r="BU257" s="100">
        <f t="shared" si="167"/>
        <v>2500000</v>
      </c>
      <c r="BV257" s="100">
        <f t="shared" si="167"/>
        <v>2500000</v>
      </c>
      <c r="BW257" s="100">
        <f t="shared" si="162"/>
        <v>10000000</v>
      </c>
      <c r="BX257" s="101">
        <f t="shared" si="157"/>
        <v>2500000</v>
      </c>
      <c r="BY257" s="101">
        <f t="shared" si="158"/>
        <v>2500000</v>
      </c>
      <c r="BZ257" s="101">
        <f t="shared" si="158"/>
        <v>2500000</v>
      </c>
      <c r="CA257" s="101">
        <f t="shared" si="159"/>
        <v>2500000</v>
      </c>
      <c r="CB257" s="100">
        <f t="shared" si="130"/>
        <v>10000000</v>
      </c>
      <c r="CC257" s="101">
        <f t="shared" si="131"/>
        <v>2500000</v>
      </c>
      <c r="CD257" s="101">
        <f t="shared" si="169"/>
        <v>2500000</v>
      </c>
      <c r="CE257" s="101">
        <f t="shared" si="169"/>
        <v>2500000</v>
      </c>
      <c r="CF257" s="101">
        <f t="shared" si="169"/>
        <v>2500000</v>
      </c>
      <c r="CG257" s="100">
        <f t="shared" si="132"/>
        <v>10000000</v>
      </c>
      <c r="CH257" s="101">
        <f t="shared" si="133"/>
        <v>2500000</v>
      </c>
      <c r="CI257" s="101">
        <f t="shared" si="145"/>
        <v>2500000</v>
      </c>
      <c r="CJ257" s="101">
        <f t="shared" si="145"/>
        <v>2500000</v>
      </c>
      <c r="CK257" s="101">
        <f t="shared" si="145"/>
        <v>2500000</v>
      </c>
      <c r="CL257" s="100">
        <f t="shared" si="134"/>
        <v>10000000</v>
      </c>
      <c r="CM257" s="71"/>
      <c r="CN257" s="71"/>
      <c r="CP257" s="2">
        <f t="shared" si="137"/>
        <v>80000000</v>
      </c>
    </row>
    <row r="258" spans="1:94" ht="16.5" hidden="1" x14ac:dyDescent="0.3">
      <c r="A258" s="2">
        <v>253</v>
      </c>
      <c r="B258" s="118" t="s">
        <v>963</v>
      </c>
      <c r="C258" s="47"/>
      <c r="D258" s="30" t="s">
        <v>553</v>
      </c>
      <c r="E258" s="30" t="s">
        <v>115</v>
      </c>
      <c r="F258" s="30" t="s">
        <v>579</v>
      </c>
      <c r="G258" s="48" t="s">
        <v>555</v>
      </c>
      <c r="H258" s="48" t="s">
        <v>118</v>
      </c>
      <c r="I258" s="30" t="s">
        <v>119</v>
      </c>
      <c r="J258" s="30" t="s">
        <v>556</v>
      </c>
      <c r="K258" s="119" t="s">
        <v>913</v>
      </c>
      <c r="L258" s="48" t="s">
        <v>654</v>
      </c>
      <c r="M258" s="30" t="s">
        <v>993</v>
      </c>
      <c r="N258" s="48" t="s">
        <v>559</v>
      </c>
      <c r="O258" s="48" t="s">
        <v>988</v>
      </c>
      <c r="P258" s="48" t="s">
        <v>989</v>
      </c>
      <c r="Q258" s="48" t="str">
        <f t="shared" si="170"/>
        <v>AL120-LMB86</v>
      </c>
      <c r="R258" s="48"/>
      <c r="S258" s="48"/>
      <c r="T258" s="48"/>
      <c r="U258" s="48"/>
      <c r="V258" s="48"/>
      <c r="W258" s="48" t="s">
        <v>984</v>
      </c>
      <c r="X258" s="48" t="s">
        <v>576</v>
      </c>
      <c r="Y258" s="120" t="s">
        <v>576</v>
      </c>
      <c r="Z258" s="120" t="s">
        <v>576</v>
      </c>
      <c r="AA258" s="48" t="s">
        <v>129</v>
      </c>
      <c r="AB258" s="124" t="s">
        <v>990</v>
      </c>
      <c r="AC258" s="48"/>
      <c r="AD258" s="48"/>
      <c r="AE258" s="48"/>
      <c r="AF258" s="48" t="s">
        <v>131</v>
      </c>
      <c r="AG258" s="48"/>
      <c r="AH258" s="48"/>
      <c r="AI258" s="48"/>
      <c r="AJ258" s="98"/>
      <c r="AK258" s="80"/>
      <c r="AL258" s="51"/>
      <c r="AM258" s="52"/>
      <c r="AN258" s="48"/>
      <c r="AO258" s="30"/>
      <c r="AP258" s="30"/>
      <c r="AQ258" s="48"/>
      <c r="AR258" s="48"/>
      <c r="AS258" s="48"/>
      <c r="AT258" s="48"/>
      <c r="AU258" s="110">
        <v>80000000</v>
      </c>
      <c r="AV258" s="110"/>
      <c r="AW258" s="54"/>
      <c r="AX258" s="54"/>
      <c r="AY258" s="54"/>
      <c r="AZ258" s="54"/>
      <c r="BA258" s="110">
        <v>80000000</v>
      </c>
      <c r="BB258" s="110"/>
      <c r="BC258" s="52"/>
      <c r="BD258" s="52"/>
      <c r="BE258" s="52"/>
      <c r="BF258" s="30"/>
      <c r="BG258" s="30"/>
      <c r="BH258" s="30" t="s">
        <v>569</v>
      </c>
      <c r="BI258" s="30" t="str">
        <f t="shared" si="135"/>
        <v>Bump</v>
      </c>
      <c r="BJ258" s="47" t="s">
        <v>137</v>
      </c>
      <c r="BK258" s="67">
        <f t="shared" si="168"/>
        <v>80000000</v>
      </c>
      <c r="BL258" s="68">
        <f t="shared" si="147"/>
        <v>2500000</v>
      </c>
      <c r="BM258" s="68">
        <f t="shared" si="148"/>
        <v>833333.33333333337</v>
      </c>
      <c r="BP258" s="69">
        <f t="shared" si="154"/>
        <v>2500000</v>
      </c>
      <c r="BQ258" s="69">
        <f t="shared" si="155"/>
        <v>2500000</v>
      </c>
      <c r="BR258" s="69">
        <f t="shared" si="161"/>
        <v>5000000</v>
      </c>
      <c r="BS258" s="69">
        <f t="shared" si="156"/>
        <v>2500000</v>
      </c>
      <c r="BT258" s="69">
        <f t="shared" si="167"/>
        <v>2500000</v>
      </c>
      <c r="BU258" s="100">
        <f t="shared" si="167"/>
        <v>2500000</v>
      </c>
      <c r="BV258" s="100">
        <f t="shared" si="167"/>
        <v>2500000</v>
      </c>
      <c r="BW258" s="100">
        <f t="shared" si="162"/>
        <v>10000000</v>
      </c>
      <c r="BX258" s="101">
        <f t="shared" si="157"/>
        <v>2500000</v>
      </c>
      <c r="BY258" s="101">
        <f t="shared" si="158"/>
        <v>2500000</v>
      </c>
      <c r="BZ258" s="101">
        <f t="shared" si="158"/>
        <v>2500000</v>
      </c>
      <c r="CA258" s="101">
        <f t="shared" si="159"/>
        <v>2500000</v>
      </c>
      <c r="CB258" s="100">
        <f t="shared" si="130"/>
        <v>10000000</v>
      </c>
      <c r="CC258" s="101">
        <f t="shared" si="131"/>
        <v>2500000</v>
      </c>
      <c r="CD258" s="101">
        <f t="shared" si="169"/>
        <v>2500000</v>
      </c>
      <c r="CE258" s="101">
        <f t="shared" si="169"/>
        <v>2500000</v>
      </c>
      <c r="CF258" s="101">
        <f t="shared" si="169"/>
        <v>2500000</v>
      </c>
      <c r="CG258" s="100">
        <f t="shared" si="132"/>
        <v>10000000</v>
      </c>
      <c r="CH258" s="101">
        <f t="shared" si="133"/>
        <v>2500000</v>
      </c>
      <c r="CI258" s="101">
        <f t="shared" si="145"/>
        <v>2500000</v>
      </c>
      <c r="CJ258" s="101">
        <f t="shared" si="145"/>
        <v>2500000</v>
      </c>
      <c r="CK258" s="101">
        <f t="shared" si="145"/>
        <v>2500000</v>
      </c>
      <c r="CL258" s="100">
        <f t="shared" si="134"/>
        <v>10000000</v>
      </c>
      <c r="CM258" s="71"/>
      <c r="CN258" s="71"/>
      <c r="CP258" s="2">
        <f t="shared" si="137"/>
        <v>80000000</v>
      </c>
    </row>
    <row r="259" spans="1:94" ht="16.5" hidden="1" x14ac:dyDescent="0.3">
      <c r="A259" s="2">
        <v>254</v>
      </c>
      <c r="B259" s="118" t="s">
        <v>963</v>
      </c>
      <c r="C259" s="47"/>
      <c r="D259" s="30" t="s">
        <v>553</v>
      </c>
      <c r="E259" s="30" t="s">
        <v>115</v>
      </c>
      <c r="F259" s="30" t="s">
        <v>579</v>
      </c>
      <c r="G259" s="48" t="s">
        <v>555</v>
      </c>
      <c r="H259" s="48" t="s">
        <v>118</v>
      </c>
      <c r="I259" s="30" t="s">
        <v>119</v>
      </c>
      <c r="J259" s="30" t="s">
        <v>556</v>
      </c>
      <c r="K259" s="119" t="s">
        <v>913</v>
      </c>
      <c r="L259" s="48" t="s">
        <v>654</v>
      </c>
      <c r="M259" s="30" t="s">
        <v>994</v>
      </c>
      <c r="N259" s="48" t="s">
        <v>559</v>
      </c>
      <c r="O259" s="48" t="s">
        <v>988</v>
      </c>
      <c r="P259" s="48" t="s">
        <v>989</v>
      </c>
      <c r="Q259" s="48" t="str">
        <f t="shared" si="170"/>
        <v>AL120-LMB86</v>
      </c>
      <c r="R259" s="48"/>
      <c r="S259" s="48"/>
      <c r="T259" s="48"/>
      <c r="U259" s="48"/>
      <c r="V259" s="48"/>
      <c r="W259" s="48" t="s">
        <v>984</v>
      </c>
      <c r="X259" s="48" t="s">
        <v>576</v>
      </c>
      <c r="Y259" s="120" t="s">
        <v>576</v>
      </c>
      <c r="Z259" s="120" t="s">
        <v>576</v>
      </c>
      <c r="AA259" s="48" t="s">
        <v>129</v>
      </c>
      <c r="AB259" s="124" t="s">
        <v>990</v>
      </c>
      <c r="AC259" s="48"/>
      <c r="AD259" s="48"/>
      <c r="AE259" s="48"/>
      <c r="AF259" s="48" t="s">
        <v>131</v>
      </c>
      <c r="AG259" s="48"/>
      <c r="AH259" s="48"/>
      <c r="AI259" s="48"/>
      <c r="AJ259" s="98"/>
      <c r="AK259" s="80"/>
      <c r="AL259" s="51"/>
      <c r="AM259" s="52"/>
      <c r="AN259" s="48"/>
      <c r="AO259" s="30"/>
      <c r="AP259" s="30"/>
      <c r="AQ259" s="48"/>
      <c r="AR259" s="48"/>
      <c r="AS259" s="48"/>
      <c r="AT259" s="48"/>
      <c r="AU259" s="110">
        <v>80000000</v>
      </c>
      <c r="AV259" s="110"/>
      <c r="AW259" s="54"/>
      <c r="AX259" s="54"/>
      <c r="AY259" s="54"/>
      <c r="AZ259" s="54"/>
      <c r="BA259" s="110">
        <v>80000000</v>
      </c>
      <c r="BB259" s="110"/>
      <c r="BC259" s="52"/>
      <c r="BD259" s="52"/>
      <c r="BE259" s="52"/>
      <c r="BF259" s="30"/>
      <c r="BG259" s="30"/>
      <c r="BH259" s="30" t="s">
        <v>569</v>
      </c>
      <c r="BI259" s="30" t="str">
        <f t="shared" si="135"/>
        <v>Bump</v>
      </c>
      <c r="BJ259" s="47" t="s">
        <v>137</v>
      </c>
      <c r="BK259" s="67">
        <f t="shared" si="168"/>
        <v>80000000</v>
      </c>
      <c r="BL259" s="68">
        <f t="shared" si="147"/>
        <v>2500000</v>
      </c>
      <c r="BM259" s="68">
        <f t="shared" si="148"/>
        <v>833333.33333333337</v>
      </c>
      <c r="BP259" s="69">
        <f t="shared" si="154"/>
        <v>2500000</v>
      </c>
      <c r="BQ259" s="69">
        <f t="shared" si="155"/>
        <v>2500000</v>
      </c>
      <c r="BR259" s="69">
        <f t="shared" si="161"/>
        <v>5000000</v>
      </c>
      <c r="BS259" s="69">
        <f t="shared" si="156"/>
        <v>2500000</v>
      </c>
      <c r="BT259" s="69">
        <f t="shared" si="167"/>
        <v>2500000</v>
      </c>
      <c r="BU259" s="100">
        <f t="shared" si="167"/>
        <v>2500000</v>
      </c>
      <c r="BV259" s="100">
        <f t="shared" si="167"/>
        <v>2500000</v>
      </c>
      <c r="BW259" s="100">
        <f t="shared" si="162"/>
        <v>10000000</v>
      </c>
      <c r="BX259" s="101">
        <f t="shared" si="157"/>
        <v>2500000</v>
      </c>
      <c r="BY259" s="101">
        <f t="shared" si="158"/>
        <v>2500000</v>
      </c>
      <c r="BZ259" s="101">
        <f t="shared" si="158"/>
        <v>2500000</v>
      </c>
      <c r="CA259" s="101">
        <f t="shared" si="159"/>
        <v>2500000</v>
      </c>
      <c r="CB259" s="100">
        <f t="shared" si="130"/>
        <v>10000000</v>
      </c>
      <c r="CC259" s="101">
        <f t="shared" si="131"/>
        <v>2500000</v>
      </c>
      <c r="CD259" s="101">
        <f t="shared" si="169"/>
        <v>2500000</v>
      </c>
      <c r="CE259" s="101">
        <f t="shared" si="169"/>
        <v>2500000</v>
      </c>
      <c r="CF259" s="101">
        <f t="shared" si="169"/>
        <v>2500000</v>
      </c>
      <c r="CG259" s="100">
        <f t="shared" si="132"/>
        <v>10000000</v>
      </c>
      <c r="CH259" s="101">
        <f t="shared" si="133"/>
        <v>2500000</v>
      </c>
      <c r="CI259" s="101">
        <f t="shared" si="145"/>
        <v>2500000</v>
      </c>
      <c r="CJ259" s="101">
        <f t="shared" si="145"/>
        <v>2500000</v>
      </c>
      <c r="CK259" s="101">
        <f t="shared" si="145"/>
        <v>2500000</v>
      </c>
      <c r="CL259" s="100">
        <f t="shared" si="134"/>
        <v>10000000</v>
      </c>
      <c r="CM259" s="71"/>
      <c r="CN259" s="71"/>
      <c r="CP259" s="2">
        <f t="shared" si="137"/>
        <v>80000000</v>
      </c>
    </row>
    <row r="260" spans="1:94" ht="15" hidden="1" x14ac:dyDescent="0.3">
      <c r="A260" s="29">
        <v>255</v>
      </c>
      <c r="B260" s="30" t="s">
        <v>963</v>
      </c>
      <c r="C260" s="30"/>
      <c r="D260" s="30" t="s">
        <v>553</v>
      </c>
      <c r="E260" s="30" t="s">
        <v>115</v>
      </c>
      <c r="F260" s="30" t="s">
        <v>579</v>
      </c>
      <c r="G260" s="48" t="s">
        <v>555</v>
      </c>
      <c r="H260" s="48" t="s">
        <v>118</v>
      </c>
      <c r="I260" s="30" t="s">
        <v>119</v>
      </c>
      <c r="J260" s="30" t="s">
        <v>556</v>
      </c>
      <c r="K260" s="30" t="s">
        <v>913</v>
      </c>
      <c r="L260" s="48" t="s">
        <v>654</v>
      </c>
      <c r="M260" s="30" t="s">
        <v>995</v>
      </c>
      <c r="N260" s="48" t="s">
        <v>559</v>
      </c>
      <c r="O260" s="48" t="s">
        <v>988</v>
      </c>
      <c r="P260" s="48" t="s">
        <v>989</v>
      </c>
      <c r="Q260" s="48" t="str">
        <f t="shared" si="170"/>
        <v>AL120-LMB86</v>
      </c>
      <c r="R260" s="48"/>
      <c r="S260" s="48"/>
      <c r="T260" s="48"/>
      <c r="U260" s="48"/>
      <c r="V260" s="48"/>
      <c r="W260" s="48" t="s">
        <v>984</v>
      </c>
      <c r="X260" s="48"/>
      <c r="Y260" s="48" t="s">
        <v>457</v>
      </c>
      <c r="Z260" s="48" t="s">
        <v>457</v>
      </c>
      <c r="AA260" s="48" t="s">
        <v>129</v>
      </c>
      <c r="AB260" s="124" t="s">
        <v>990</v>
      </c>
      <c r="AC260" s="48"/>
      <c r="AD260" s="48"/>
      <c r="AE260" s="48"/>
      <c r="AF260" s="48" t="s">
        <v>131</v>
      </c>
      <c r="AG260" s="48"/>
      <c r="AH260" s="48"/>
      <c r="AI260" s="48"/>
      <c r="AJ260" s="123"/>
      <c r="AK260" s="80"/>
      <c r="AL260" s="51"/>
      <c r="AM260" s="52"/>
      <c r="AN260" s="48"/>
      <c r="AO260" s="30"/>
      <c r="AP260" s="30"/>
      <c r="AQ260" s="48"/>
      <c r="AR260" s="48"/>
      <c r="AS260" s="48"/>
      <c r="AT260" s="48"/>
      <c r="AU260" s="121">
        <v>80000000</v>
      </c>
      <c r="AV260" s="110"/>
      <c r="AW260" s="54"/>
      <c r="AX260" s="54"/>
      <c r="AY260" s="54"/>
      <c r="AZ260" s="54"/>
      <c r="BA260" s="121">
        <v>80000000</v>
      </c>
      <c r="BB260" s="121"/>
      <c r="BC260" s="52"/>
      <c r="BD260" s="52"/>
      <c r="BE260" s="52"/>
      <c r="BF260" s="30"/>
      <c r="BG260" s="30"/>
      <c r="BH260" s="30" t="s">
        <v>569</v>
      </c>
      <c r="BI260" s="30" t="str">
        <f t="shared" si="135"/>
        <v>Bump</v>
      </c>
      <c r="BJ260" s="30" t="s">
        <v>250</v>
      </c>
      <c r="BK260" s="56">
        <f t="shared" si="168"/>
        <v>80000000</v>
      </c>
      <c r="BL260" s="57">
        <f t="shared" si="147"/>
        <v>2500000</v>
      </c>
      <c r="BM260" s="57">
        <f t="shared" si="148"/>
        <v>833333.33333333337</v>
      </c>
      <c r="BU260" s="58">
        <f>BM260*3</f>
        <v>2500000</v>
      </c>
      <c r="BV260" s="58">
        <f t="shared" si="167"/>
        <v>2500000</v>
      </c>
      <c r="BW260" s="58">
        <f>SUM(BS260:BV260)</f>
        <v>5000000</v>
      </c>
      <c r="BX260" s="58">
        <f t="shared" si="157"/>
        <v>2500000</v>
      </c>
      <c r="BY260" s="58">
        <f t="shared" si="158"/>
        <v>2500000</v>
      </c>
      <c r="BZ260" s="58">
        <f>BM260*3</f>
        <v>2500000</v>
      </c>
      <c r="CA260" s="58">
        <f t="shared" si="159"/>
        <v>2500000</v>
      </c>
      <c r="CB260" s="58">
        <f t="shared" si="130"/>
        <v>10000000</v>
      </c>
      <c r="CC260" s="58">
        <f t="shared" si="131"/>
        <v>2500000</v>
      </c>
      <c r="CD260" s="58">
        <f t="shared" si="169"/>
        <v>2500000</v>
      </c>
      <c r="CE260" s="58">
        <f t="shared" si="169"/>
        <v>2500000</v>
      </c>
      <c r="CF260" s="58">
        <f t="shared" si="169"/>
        <v>2500000</v>
      </c>
      <c r="CG260" s="58">
        <f t="shared" si="132"/>
        <v>10000000</v>
      </c>
      <c r="CH260" s="58">
        <f t="shared" si="133"/>
        <v>2500000</v>
      </c>
      <c r="CI260" s="58">
        <f t="shared" si="145"/>
        <v>2500000</v>
      </c>
      <c r="CJ260" s="58">
        <f t="shared" si="145"/>
        <v>2500000</v>
      </c>
      <c r="CK260" s="58">
        <f t="shared" si="145"/>
        <v>2500000</v>
      </c>
      <c r="CL260" s="58">
        <f t="shared" si="134"/>
        <v>10000000</v>
      </c>
      <c r="CP260" s="2">
        <f t="shared" si="137"/>
        <v>80000000</v>
      </c>
    </row>
    <row r="261" spans="1:94" ht="15" hidden="1" x14ac:dyDescent="0.3">
      <c r="A261" s="29">
        <v>256</v>
      </c>
      <c r="B261" s="30" t="s">
        <v>963</v>
      </c>
      <c r="C261" s="30"/>
      <c r="D261" s="30" t="s">
        <v>553</v>
      </c>
      <c r="E261" s="30" t="s">
        <v>115</v>
      </c>
      <c r="F261" s="30" t="s">
        <v>579</v>
      </c>
      <c r="G261" s="48" t="s">
        <v>555</v>
      </c>
      <c r="H261" s="48" t="s">
        <v>118</v>
      </c>
      <c r="I261" s="30" t="s">
        <v>119</v>
      </c>
      <c r="J261" s="30" t="s">
        <v>556</v>
      </c>
      <c r="K261" s="30" t="s">
        <v>913</v>
      </c>
      <c r="L261" s="48" t="s">
        <v>654</v>
      </c>
      <c r="M261" s="30" t="s">
        <v>996</v>
      </c>
      <c r="N261" s="48" t="s">
        <v>559</v>
      </c>
      <c r="O261" s="48" t="s">
        <v>988</v>
      </c>
      <c r="P261" s="48" t="s">
        <v>989</v>
      </c>
      <c r="Q261" s="48" t="str">
        <f t="shared" si="170"/>
        <v>AL120-LMB86</v>
      </c>
      <c r="R261" s="48"/>
      <c r="S261" s="48"/>
      <c r="T261" s="48"/>
      <c r="U261" s="48"/>
      <c r="V261" s="48"/>
      <c r="W261" s="48" t="s">
        <v>984</v>
      </c>
      <c r="X261" s="48"/>
      <c r="Y261" s="48" t="s">
        <v>457</v>
      </c>
      <c r="Z261" s="48" t="s">
        <v>457</v>
      </c>
      <c r="AA261" s="48" t="s">
        <v>129</v>
      </c>
      <c r="AB261" s="124" t="s">
        <v>990</v>
      </c>
      <c r="AC261" s="48"/>
      <c r="AD261" s="48"/>
      <c r="AE261" s="48"/>
      <c r="AF261" s="48" t="s">
        <v>131</v>
      </c>
      <c r="AG261" s="48"/>
      <c r="AH261" s="48"/>
      <c r="AI261" s="48"/>
      <c r="AJ261" s="123"/>
      <c r="AK261" s="80"/>
      <c r="AL261" s="51"/>
      <c r="AM261" s="52"/>
      <c r="AN261" s="48"/>
      <c r="AO261" s="30"/>
      <c r="AP261" s="30"/>
      <c r="AQ261" s="48"/>
      <c r="AR261" s="48"/>
      <c r="AS261" s="48"/>
      <c r="AT261" s="48"/>
      <c r="AU261" s="121">
        <v>80000000</v>
      </c>
      <c r="AV261" s="110"/>
      <c r="AW261" s="54"/>
      <c r="AX261" s="54"/>
      <c r="AY261" s="54"/>
      <c r="AZ261" s="54"/>
      <c r="BA261" s="121">
        <v>80000000</v>
      </c>
      <c r="BB261" s="121"/>
      <c r="BC261" s="52"/>
      <c r="BD261" s="52"/>
      <c r="BE261" s="52"/>
      <c r="BF261" s="30"/>
      <c r="BG261" s="30"/>
      <c r="BH261" s="30" t="s">
        <v>569</v>
      </c>
      <c r="BI261" s="30" t="str">
        <f t="shared" si="135"/>
        <v>Bump</v>
      </c>
      <c r="BJ261" s="30" t="s">
        <v>250</v>
      </c>
      <c r="BK261" s="56">
        <f t="shared" si="168"/>
        <v>80000000</v>
      </c>
      <c r="BL261" s="57">
        <f t="shared" si="147"/>
        <v>2500000</v>
      </c>
      <c r="BM261" s="57">
        <f t="shared" si="148"/>
        <v>833333.33333333337</v>
      </c>
      <c r="BU261" s="58">
        <f>BM261*3</f>
        <v>2500000</v>
      </c>
      <c r="BV261" s="58">
        <f t="shared" si="167"/>
        <v>2500000</v>
      </c>
      <c r="BW261" s="58">
        <f>SUM(BS261:BV261)</f>
        <v>5000000</v>
      </c>
      <c r="BX261" s="58">
        <f t="shared" si="157"/>
        <v>2500000</v>
      </c>
      <c r="BY261" s="58">
        <f t="shared" si="158"/>
        <v>2500000</v>
      </c>
      <c r="BZ261" s="58">
        <f>BM261*3</f>
        <v>2500000</v>
      </c>
      <c r="CA261" s="58">
        <f t="shared" si="159"/>
        <v>2500000</v>
      </c>
      <c r="CB261" s="58">
        <f t="shared" si="130"/>
        <v>10000000</v>
      </c>
      <c r="CC261" s="58">
        <f t="shared" si="131"/>
        <v>2500000</v>
      </c>
      <c r="CD261" s="58">
        <f t="shared" si="169"/>
        <v>2500000</v>
      </c>
      <c r="CE261" s="58">
        <f t="shared" si="169"/>
        <v>2500000</v>
      </c>
      <c r="CF261" s="58">
        <f t="shared" si="169"/>
        <v>2500000</v>
      </c>
      <c r="CG261" s="58">
        <f t="shared" si="132"/>
        <v>10000000</v>
      </c>
      <c r="CH261" s="58">
        <f t="shared" si="133"/>
        <v>2500000</v>
      </c>
      <c r="CI261" s="58">
        <f t="shared" si="145"/>
        <v>2500000</v>
      </c>
      <c r="CJ261" s="58">
        <f t="shared" si="145"/>
        <v>2500000</v>
      </c>
      <c r="CK261" s="58">
        <f t="shared" si="145"/>
        <v>2500000</v>
      </c>
      <c r="CL261" s="58">
        <f t="shared" si="134"/>
        <v>10000000</v>
      </c>
      <c r="CP261" s="2">
        <f t="shared" si="137"/>
        <v>80000000</v>
      </c>
    </row>
    <row r="262" spans="1:94" ht="16.5" hidden="1" x14ac:dyDescent="0.3">
      <c r="A262" s="2">
        <v>257</v>
      </c>
      <c r="B262" s="118" t="s">
        <v>963</v>
      </c>
      <c r="C262" s="47"/>
      <c r="D262" s="30" t="s">
        <v>553</v>
      </c>
      <c r="E262" s="30" t="s">
        <v>115</v>
      </c>
      <c r="F262" s="30" t="s">
        <v>579</v>
      </c>
      <c r="G262" s="48" t="s">
        <v>555</v>
      </c>
      <c r="H262" s="48" t="s">
        <v>118</v>
      </c>
      <c r="I262" s="30" t="s">
        <v>119</v>
      </c>
      <c r="J262" s="30" t="s">
        <v>556</v>
      </c>
      <c r="K262" s="119" t="s">
        <v>913</v>
      </c>
      <c r="L262" s="48" t="s">
        <v>654</v>
      </c>
      <c r="M262" s="30" t="s">
        <v>997</v>
      </c>
      <c r="N262" s="48" t="s">
        <v>559</v>
      </c>
      <c r="O262" s="48" t="s">
        <v>998</v>
      </c>
      <c r="P262" s="103" t="s">
        <v>999</v>
      </c>
      <c r="Q262" s="48" t="str">
        <f>P262</f>
        <v>TM-812</v>
      </c>
      <c r="R262" s="48"/>
      <c r="S262" s="48"/>
      <c r="T262" s="48"/>
      <c r="U262" s="48"/>
      <c r="V262" s="48"/>
      <c r="W262" s="48"/>
      <c r="X262" s="48" t="s">
        <v>576</v>
      </c>
      <c r="Y262" s="120" t="s">
        <v>576</v>
      </c>
      <c r="Z262" s="120" t="s">
        <v>576</v>
      </c>
      <c r="AA262" s="48" t="s">
        <v>129</v>
      </c>
      <c r="AB262" s="124" t="s">
        <v>1000</v>
      </c>
      <c r="AC262" s="48"/>
      <c r="AD262" s="48"/>
      <c r="AE262" s="48"/>
      <c r="AF262" s="48" t="s">
        <v>131</v>
      </c>
      <c r="AG262" s="48"/>
      <c r="AH262" s="48"/>
      <c r="AI262" s="48"/>
      <c r="AJ262" s="98"/>
      <c r="AK262" s="80"/>
      <c r="AL262" s="51"/>
      <c r="AM262" s="52"/>
      <c r="AN262" s="48"/>
      <c r="AO262" s="30"/>
      <c r="AP262" s="30"/>
      <c r="AQ262" s="48"/>
      <c r="AR262" s="48"/>
      <c r="AS262" s="48"/>
      <c r="AT262" s="48"/>
      <c r="AU262" s="110">
        <v>60000000</v>
      </c>
      <c r="AV262" s="110"/>
      <c r="AW262" s="54"/>
      <c r="AX262" s="54"/>
      <c r="AY262" s="54"/>
      <c r="AZ262" s="54"/>
      <c r="BA262" s="110">
        <v>60000000</v>
      </c>
      <c r="BB262" s="110"/>
      <c r="BC262" s="52"/>
      <c r="BD262" s="52"/>
      <c r="BE262" s="52"/>
      <c r="BF262" s="30"/>
      <c r="BG262" s="30"/>
      <c r="BH262" s="30" t="s">
        <v>569</v>
      </c>
      <c r="BI262" s="30" t="str">
        <f t="shared" si="135"/>
        <v>Bump</v>
      </c>
      <c r="BJ262" s="47" t="s">
        <v>137</v>
      </c>
      <c r="BK262" s="67">
        <f t="shared" si="168"/>
        <v>60000000</v>
      </c>
      <c r="BL262" s="68">
        <f t="shared" si="147"/>
        <v>1875000</v>
      </c>
      <c r="BM262" s="68">
        <f t="shared" si="148"/>
        <v>625000</v>
      </c>
      <c r="BP262" s="69">
        <f t="shared" si="154"/>
        <v>1875000</v>
      </c>
      <c r="BQ262" s="69">
        <f t="shared" si="155"/>
        <v>1875000</v>
      </c>
      <c r="BR262" s="69">
        <f t="shared" si="161"/>
        <v>3750000</v>
      </c>
      <c r="BS262" s="69">
        <f t="shared" si="156"/>
        <v>1875000</v>
      </c>
      <c r="BT262" s="69">
        <f t="shared" si="167"/>
        <v>1875000</v>
      </c>
      <c r="BU262" s="100">
        <f t="shared" si="167"/>
        <v>1875000</v>
      </c>
      <c r="BV262" s="100">
        <f t="shared" si="167"/>
        <v>1875000</v>
      </c>
      <c r="BW262" s="100">
        <f t="shared" si="162"/>
        <v>7500000</v>
      </c>
      <c r="BX262" s="101">
        <f t="shared" si="157"/>
        <v>1875000</v>
      </c>
      <c r="BY262" s="101">
        <f t="shared" si="158"/>
        <v>1875000</v>
      </c>
      <c r="BZ262" s="101">
        <f t="shared" si="158"/>
        <v>1875000</v>
      </c>
      <c r="CA262" s="101">
        <f t="shared" si="159"/>
        <v>1875000</v>
      </c>
      <c r="CB262" s="100">
        <f t="shared" ref="CB262:CB325" si="171">SUM(BX262:CA262)</f>
        <v>7500000</v>
      </c>
      <c r="CC262" s="101">
        <f t="shared" ref="CC262:CC325" si="172">CA262</f>
        <v>1875000</v>
      </c>
      <c r="CD262" s="101">
        <f t="shared" si="169"/>
        <v>1875000</v>
      </c>
      <c r="CE262" s="101">
        <f t="shared" si="169"/>
        <v>1875000</v>
      </c>
      <c r="CF262" s="101">
        <f t="shared" si="169"/>
        <v>1875000</v>
      </c>
      <c r="CG262" s="100">
        <f t="shared" ref="CG262:CG325" si="173">SUM(CC262:CF262)</f>
        <v>7500000</v>
      </c>
      <c r="CH262" s="101">
        <f t="shared" ref="CH262:CH325" si="174">CF262</f>
        <v>1875000</v>
      </c>
      <c r="CI262" s="101">
        <f t="shared" si="145"/>
        <v>1875000</v>
      </c>
      <c r="CJ262" s="101">
        <f t="shared" si="145"/>
        <v>1875000</v>
      </c>
      <c r="CK262" s="101">
        <f t="shared" si="145"/>
        <v>1875000</v>
      </c>
      <c r="CL262" s="100">
        <f t="shared" ref="CL262:CL324" si="175">SUM(CH262:CK262)</f>
        <v>7500000</v>
      </c>
      <c r="CM262" s="71"/>
      <c r="CN262" s="71"/>
      <c r="CP262" s="2">
        <f t="shared" si="137"/>
        <v>60000000</v>
      </c>
    </row>
    <row r="263" spans="1:94" ht="16.5" hidden="1" x14ac:dyDescent="0.3">
      <c r="A263" s="2">
        <v>258</v>
      </c>
      <c r="B263" s="118" t="s">
        <v>963</v>
      </c>
      <c r="C263" s="47"/>
      <c r="D263" s="30" t="s">
        <v>553</v>
      </c>
      <c r="E263" s="30" t="s">
        <v>115</v>
      </c>
      <c r="F263" s="30" t="s">
        <v>579</v>
      </c>
      <c r="G263" s="48" t="s">
        <v>555</v>
      </c>
      <c r="H263" s="48" t="s">
        <v>118</v>
      </c>
      <c r="I263" s="30" t="s">
        <v>119</v>
      </c>
      <c r="J263" s="30" t="s">
        <v>556</v>
      </c>
      <c r="K263" s="119" t="s">
        <v>913</v>
      </c>
      <c r="L263" s="48" t="s">
        <v>654</v>
      </c>
      <c r="M263" s="30" t="s">
        <v>1001</v>
      </c>
      <c r="N263" s="48" t="s">
        <v>559</v>
      </c>
      <c r="O263" s="48" t="s">
        <v>1002</v>
      </c>
      <c r="P263" s="48" t="s">
        <v>1003</v>
      </c>
      <c r="Q263" s="48" t="str">
        <f t="shared" si="170"/>
        <v>XDV-u_WAFER</v>
      </c>
      <c r="R263" s="48"/>
      <c r="S263" s="48"/>
      <c r="T263" s="48"/>
      <c r="U263" s="48"/>
      <c r="V263" s="48"/>
      <c r="W263" s="48"/>
      <c r="X263" s="48" t="s">
        <v>576</v>
      </c>
      <c r="Y263" s="120" t="s">
        <v>576</v>
      </c>
      <c r="Z263" s="120" t="s">
        <v>576</v>
      </c>
      <c r="AA263" s="48" t="s">
        <v>129</v>
      </c>
      <c r="AB263" s="49" t="s">
        <v>1004</v>
      </c>
      <c r="AC263" s="48"/>
      <c r="AD263" s="48"/>
      <c r="AE263" s="48"/>
      <c r="AF263" s="48" t="s">
        <v>131</v>
      </c>
      <c r="AG263" s="48"/>
      <c r="AH263" s="48"/>
      <c r="AI263" s="48"/>
      <c r="AJ263" s="98"/>
      <c r="AK263" s="80"/>
      <c r="AL263" s="51"/>
      <c r="AM263" s="52"/>
      <c r="AN263" s="48"/>
      <c r="AO263" s="30"/>
      <c r="AP263" s="30"/>
      <c r="AQ263" s="48"/>
      <c r="AR263" s="48"/>
      <c r="AS263" s="48"/>
      <c r="AT263" s="48"/>
      <c r="AU263" s="110">
        <v>69000000</v>
      </c>
      <c r="AV263" s="110"/>
      <c r="AW263" s="54"/>
      <c r="AX263" s="54"/>
      <c r="AY263" s="54"/>
      <c r="AZ263" s="54"/>
      <c r="BA263" s="110">
        <v>69000000</v>
      </c>
      <c r="BB263" s="110"/>
      <c r="BC263" s="52"/>
      <c r="BD263" s="52"/>
      <c r="BE263" s="52"/>
      <c r="BF263" s="30"/>
      <c r="BG263" s="30"/>
      <c r="BH263" s="30" t="s">
        <v>569</v>
      </c>
      <c r="BI263" s="30" t="str">
        <f t="shared" ref="BI263:BI326" si="176">BH263</f>
        <v>Bump</v>
      </c>
      <c r="BJ263" s="47" t="s">
        <v>137</v>
      </c>
      <c r="BK263" s="67">
        <f t="shared" si="168"/>
        <v>69000000</v>
      </c>
      <c r="BL263" s="68">
        <f t="shared" si="147"/>
        <v>2156250</v>
      </c>
      <c r="BM263" s="68">
        <f t="shared" si="148"/>
        <v>718750</v>
      </c>
      <c r="BP263" s="69">
        <f t="shared" si="154"/>
        <v>2156250</v>
      </c>
      <c r="BQ263" s="69">
        <f t="shared" si="155"/>
        <v>2156250</v>
      </c>
      <c r="BR263" s="69">
        <f t="shared" si="161"/>
        <v>4312500</v>
      </c>
      <c r="BS263" s="69">
        <f t="shared" si="156"/>
        <v>2156250</v>
      </c>
      <c r="BT263" s="69">
        <f t="shared" si="167"/>
        <v>2156250</v>
      </c>
      <c r="BU263" s="100">
        <f t="shared" si="167"/>
        <v>2156250</v>
      </c>
      <c r="BV263" s="100">
        <f t="shared" si="167"/>
        <v>2156250</v>
      </c>
      <c r="BW263" s="100">
        <f t="shared" si="162"/>
        <v>8625000</v>
      </c>
      <c r="BX263" s="101">
        <f t="shared" si="157"/>
        <v>2156250</v>
      </c>
      <c r="BY263" s="101">
        <f t="shared" si="158"/>
        <v>2156250</v>
      </c>
      <c r="BZ263" s="101">
        <f t="shared" si="158"/>
        <v>2156250</v>
      </c>
      <c r="CA263" s="101">
        <f t="shared" si="159"/>
        <v>2156250</v>
      </c>
      <c r="CB263" s="100">
        <f t="shared" si="171"/>
        <v>8625000</v>
      </c>
      <c r="CC263" s="101">
        <f t="shared" si="172"/>
        <v>2156250</v>
      </c>
      <c r="CD263" s="101">
        <f t="shared" si="169"/>
        <v>2156250</v>
      </c>
      <c r="CE263" s="101">
        <f t="shared" si="169"/>
        <v>2156250</v>
      </c>
      <c r="CF263" s="101">
        <f t="shared" si="169"/>
        <v>2156250</v>
      </c>
      <c r="CG263" s="100">
        <f t="shared" si="173"/>
        <v>8625000</v>
      </c>
      <c r="CH263" s="101">
        <f t="shared" si="174"/>
        <v>2156250</v>
      </c>
      <c r="CI263" s="101">
        <f t="shared" si="145"/>
        <v>2156250</v>
      </c>
      <c r="CJ263" s="101">
        <f t="shared" si="145"/>
        <v>2156250</v>
      </c>
      <c r="CK263" s="101">
        <f t="shared" si="145"/>
        <v>2156250</v>
      </c>
      <c r="CL263" s="100">
        <f t="shared" si="175"/>
        <v>8625000</v>
      </c>
      <c r="CM263" s="71"/>
      <c r="CN263" s="71"/>
      <c r="CP263" s="2">
        <f t="shared" ref="CP263:CP326" si="177">CO263+BK263</f>
        <v>69000000</v>
      </c>
    </row>
    <row r="264" spans="1:94" ht="16.5" hidden="1" x14ac:dyDescent="0.3">
      <c r="A264" s="2">
        <v>259</v>
      </c>
      <c r="B264" s="118" t="s">
        <v>963</v>
      </c>
      <c r="C264" s="47"/>
      <c r="D264" s="30" t="s">
        <v>553</v>
      </c>
      <c r="E264" s="30" t="s">
        <v>115</v>
      </c>
      <c r="F264" s="30" t="s">
        <v>579</v>
      </c>
      <c r="G264" s="48" t="s">
        <v>555</v>
      </c>
      <c r="H264" s="48" t="s">
        <v>118</v>
      </c>
      <c r="I264" s="30" t="s">
        <v>119</v>
      </c>
      <c r="J264" s="30" t="s">
        <v>556</v>
      </c>
      <c r="K264" s="119" t="s">
        <v>913</v>
      </c>
      <c r="L264" s="48" t="s">
        <v>654</v>
      </c>
      <c r="M264" s="30" t="s">
        <v>1005</v>
      </c>
      <c r="N264" s="48" t="s">
        <v>559</v>
      </c>
      <c r="O264" s="48" t="s">
        <v>1006</v>
      </c>
      <c r="P264" s="103" t="s">
        <v>1007</v>
      </c>
      <c r="Q264" s="48" t="str">
        <f t="shared" si="170"/>
        <v>TM-812 (Ashing)</v>
      </c>
      <c r="R264" s="48"/>
      <c r="S264" s="48"/>
      <c r="T264" s="48"/>
      <c r="U264" s="48"/>
      <c r="V264" s="48"/>
      <c r="W264" s="48"/>
      <c r="X264" s="48" t="s">
        <v>576</v>
      </c>
      <c r="Y264" s="120" t="s">
        <v>576</v>
      </c>
      <c r="Z264" s="120" t="s">
        <v>576</v>
      </c>
      <c r="AA264" s="48" t="s">
        <v>129</v>
      </c>
      <c r="AB264" s="108" t="s">
        <v>1008</v>
      </c>
      <c r="AC264" s="48"/>
      <c r="AD264" s="48"/>
      <c r="AE264" s="48"/>
      <c r="AF264" s="48" t="s">
        <v>131</v>
      </c>
      <c r="AG264" s="48"/>
      <c r="AH264" s="48"/>
      <c r="AI264" s="48"/>
      <c r="AJ264" s="98"/>
      <c r="AK264" s="80"/>
      <c r="AL264" s="51"/>
      <c r="AM264" s="52"/>
      <c r="AN264" s="48"/>
      <c r="AO264" s="30"/>
      <c r="AP264" s="30"/>
      <c r="AQ264" s="48"/>
      <c r="AR264" s="48"/>
      <c r="AS264" s="48"/>
      <c r="AT264" s="48"/>
      <c r="AU264" s="110">
        <v>290000000</v>
      </c>
      <c r="AV264" s="110"/>
      <c r="AW264" s="54"/>
      <c r="AX264" s="54"/>
      <c r="AY264" s="54"/>
      <c r="AZ264" s="54"/>
      <c r="BA264" s="110">
        <v>290000000</v>
      </c>
      <c r="BB264" s="110"/>
      <c r="BC264" s="52"/>
      <c r="BD264" s="52"/>
      <c r="BE264" s="52"/>
      <c r="BF264" s="30"/>
      <c r="BG264" s="30"/>
      <c r="BH264" s="30" t="s">
        <v>569</v>
      </c>
      <c r="BI264" s="30" t="str">
        <f t="shared" si="176"/>
        <v>Bump</v>
      </c>
      <c r="BJ264" s="47" t="s">
        <v>137</v>
      </c>
      <c r="BK264" s="67">
        <f t="shared" si="168"/>
        <v>290000000</v>
      </c>
      <c r="BL264" s="68">
        <f t="shared" si="147"/>
        <v>9062500</v>
      </c>
      <c r="BM264" s="68">
        <f t="shared" si="148"/>
        <v>3020833.3333333335</v>
      </c>
      <c r="BP264" s="69">
        <f t="shared" si="154"/>
        <v>9062500</v>
      </c>
      <c r="BQ264" s="69">
        <f t="shared" si="155"/>
        <v>9062500</v>
      </c>
      <c r="BR264" s="69">
        <f t="shared" si="161"/>
        <v>18125000</v>
      </c>
      <c r="BS264" s="69">
        <f t="shared" si="156"/>
        <v>9062500</v>
      </c>
      <c r="BT264" s="69">
        <f t="shared" si="167"/>
        <v>9062500</v>
      </c>
      <c r="BU264" s="100">
        <f t="shared" si="167"/>
        <v>9062500</v>
      </c>
      <c r="BV264" s="100">
        <f t="shared" si="167"/>
        <v>9062500</v>
      </c>
      <c r="BW264" s="100">
        <f t="shared" si="162"/>
        <v>36250000</v>
      </c>
      <c r="BX264" s="101">
        <f t="shared" si="157"/>
        <v>9062500</v>
      </c>
      <c r="BY264" s="101">
        <f t="shared" si="158"/>
        <v>9062500</v>
      </c>
      <c r="BZ264" s="101">
        <f t="shared" si="158"/>
        <v>9062500</v>
      </c>
      <c r="CA264" s="101">
        <f t="shared" si="159"/>
        <v>9062500</v>
      </c>
      <c r="CB264" s="100">
        <f t="shared" si="171"/>
        <v>36250000</v>
      </c>
      <c r="CC264" s="101">
        <f t="shared" si="172"/>
        <v>9062500</v>
      </c>
      <c r="CD264" s="101">
        <f t="shared" si="169"/>
        <v>9062500</v>
      </c>
      <c r="CE264" s="101">
        <f t="shared" si="169"/>
        <v>9062500</v>
      </c>
      <c r="CF264" s="101">
        <f t="shared" si="169"/>
        <v>9062500</v>
      </c>
      <c r="CG264" s="100">
        <f t="shared" si="173"/>
        <v>36250000</v>
      </c>
      <c r="CH264" s="101">
        <f t="shared" si="174"/>
        <v>9062500</v>
      </c>
      <c r="CI264" s="101">
        <f t="shared" si="145"/>
        <v>9062500</v>
      </c>
      <c r="CJ264" s="101">
        <f t="shared" si="145"/>
        <v>9062500</v>
      </c>
      <c r="CK264" s="101">
        <f t="shared" si="145"/>
        <v>9062500</v>
      </c>
      <c r="CL264" s="100">
        <f t="shared" si="175"/>
        <v>36250000</v>
      </c>
      <c r="CM264" s="71"/>
      <c r="CN264" s="71"/>
      <c r="CP264" s="2">
        <f t="shared" si="177"/>
        <v>290000000</v>
      </c>
    </row>
    <row r="265" spans="1:94" ht="16.5" hidden="1" x14ac:dyDescent="0.3">
      <c r="A265" s="2">
        <v>260</v>
      </c>
      <c r="B265" s="118" t="s">
        <v>963</v>
      </c>
      <c r="C265" s="47"/>
      <c r="D265" s="30" t="s">
        <v>553</v>
      </c>
      <c r="E265" s="30" t="s">
        <v>115</v>
      </c>
      <c r="F265" s="30" t="s">
        <v>579</v>
      </c>
      <c r="G265" s="48" t="s">
        <v>555</v>
      </c>
      <c r="H265" s="48" t="s">
        <v>118</v>
      </c>
      <c r="I265" s="30" t="s">
        <v>119</v>
      </c>
      <c r="J265" s="30" t="s">
        <v>556</v>
      </c>
      <c r="K265" s="119" t="s">
        <v>913</v>
      </c>
      <c r="L265" s="48" t="s">
        <v>654</v>
      </c>
      <c r="M265" s="30" t="s">
        <v>1009</v>
      </c>
      <c r="N265" s="48" t="s">
        <v>559</v>
      </c>
      <c r="O265" s="48" t="s">
        <v>1010</v>
      </c>
      <c r="P265" s="48" t="s">
        <v>1011</v>
      </c>
      <c r="Q265" s="48" t="s">
        <v>1012</v>
      </c>
      <c r="R265" s="48"/>
      <c r="S265" s="48"/>
      <c r="T265" s="48"/>
      <c r="U265" s="48"/>
      <c r="V265" s="48"/>
      <c r="W265" s="48"/>
      <c r="X265" s="48" t="s">
        <v>576</v>
      </c>
      <c r="Y265" s="120" t="s">
        <v>576</v>
      </c>
      <c r="Z265" s="120" t="s">
        <v>576</v>
      </c>
      <c r="AA265" s="48" t="s">
        <v>148</v>
      </c>
      <c r="AB265" s="48" t="s">
        <v>1013</v>
      </c>
      <c r="AC265" s="48" t="s">
        <v>1013</v>
      </c>
      <c r="AD265" s="48"/>
      <c r="AE265" s="48"/>
      <c r="AF265" s="48" t="s">
        <v>604</v>
      </c>
      <c r="AG265" s="48" t="s">
        <v>1014</v>
      </c>
      <c r="AH265" s="48" t="s">
        <v>732</v>
      </c>
      <c r="AI265" s="48"/>
      <c r="AJ265" s="98"/>
      <c r="AK265" s="80"/>
      <c r="AL265" s="51"/>
      <c r="AM265" s="52"/>
      <c r="AN265" s="48"/>
      <c r="AO265" s="30"/>
      <c r="AP265" s="30"/>
      <c r="AQ265" s="48"/>
      <c r="AR265" s="48"/>
      <c r="AS265" s="48"/>
      <c r="AT265" s="48"/>
      <c r="AU265" s="110">
        <v>250000000</v>
      </c>
      <c r="AV265" s="110"/>
      <c r="AW265" s="54"/>
      <c r="AX265" s="54"/>
      <c r="AY265" s="54"/>
      <c r="AZ265" s="54"/>
      <c r="BA265" s="110">
        <v>250000000</v>
      </c>
      <c r="BB265" s="110"/>
      <c r="BC265" s="52"/>
      <c r="BD265" s="52"/>
      <c r="BE265" s="52"/>
      <c r="BF265" s="30"/>
      <c r="BG265" s="30"/>
      <c r="BH265" s="30" t="s">
        <v>569</v>
      </c>
      <c r="BI265" s="30" t="str">
        <f t="shared" si="176"/>
        <v>Bump</v>
      </c>
      <c r="BJ265" s="47" t="s">
        <v>137</v>
      </c>
      <c r="BK265" s="67">
        <f t="shared" si="168"/>
        <v>250000000</v>
      </c>
      <c r="BL265" s="68">
        <f t="shared" si="147"/>
        <v>7812500</v>
      </c>
      <c r="BM265" s="68">
        <f t="shared" si="148"/>
        <v>2604166.6666666665</v>
      </c>
      <c r="BP265" s="69">
        <f t="shared" si="154"/>
        <v>7812500</v>
      </c>
      <c r="BQ265" s="69">
        <f t="shared" si="155"/>
        <v>7812500</v>
      </c>
      <c r="BR265" s="69">
        <f t="shared" si="161"/>
        <v>15625000</v>
      </c>
      <c r="BS265" s="69">
        <f t="shared" si="156"/>
        <v>7812500</v>
      </c>
      <c r="BT265" s="69">
        <f t="shared" si="167"/>
        <v>7812500</v>
      </c>
      <c r="BU265" s="100">
        <f t="shared" si="167"/>
        <v>7812500</v>
      </c>
      <c r="BV265" s="100">
        <f t="shared" si="167"/>
        <v>7812500</v>
      </c>
      <c r="BW265" s="100">
        <f t="shared" si="162"/>
        <v>31250000</v>
      </c>
      <c r="BX265" s="101">
        <f t="shared" si="157"/>
        <v>7812500</v>
      </c>
      <c r="BY265" s="101">
        <f t="shared" si="158"/>
        <v>7812500</v>
      </c>
      <c r="BZ265" s="101">
        <f t="shared" si="158"/>
        <v>7812500</v>
      </c>
      <c r="CA265" s="101">
        <f t="shared" si="159"/>
        <v>7812500</v>
      </c>
      <c r="CB265" s="100">
        <f t="shared" si="171"/>
        <v>31250000</v>
      </c>
      <c r="CC265" s="101">
        <f t="shared" si="172"/>
        <v>7812500</v>
      </c>
      <c r="CD265" s="101">
        <f t="shared" si="169"/>
        <v>7812500</v>
      </c>
      <c r="CE265" s="101">
        <f t="shared" si="169"/>
        <v>7812500</v>
      </c>
      <c r="CF265" s="101">
        <f t="shared" si="169"/>
        <v>7812500</v>
      </c>
      <c r="CG265" s="100">
        <f t="shared" si="173"/>
        <v>31250000</v>
      </c>
      <c r="CH265" s="101">
        <f t="shared" si="174"/>
        <v>7812500</v>
      </c>
      <c r="CI265" s="101">
        <f t="shared" si="145"/>
        <v>7812500</v>
      </c>
      <c r="CJ265" s="101">
        <f t="shared" si="145"/>
        <v>7812500</v>
      </c>
      <c r="CK265" s="101">
        <f t="shared" si="145"/>
        <v>7812500</v>
      </c>
      <c r="CL265" s="100">
        <f t="shared" si="175"/>
        <v>31250000</v>
      </c>
      <c r="CM265" s="71"/>
      <c r="CN265" s="71"/>
      <c r="CP265" s="2">
        <f t="shared" si="177"/>
        <v>250000000</v>
      </c>
    </row>
    <row r="266" spans="1:94" ht="16.5" hidden="1" x14ac:dyDescent="0.3">
      <c r="A266" s="2">
        <v>261</v>
      </c>
      <c r="B266" s="118" t="s">
        <v>963</v>
      </c>
      <c r="C266" s="47"/>
      <c r="D266" s="30" t="s">
        <v>553</v>
      </c>
      <c r="E266" s="30" t="s">
        <v>115</v>
      </c>
      <c r="F266" s="30" t="s">
        <v>579</v>
      </c>
      <c r="G266" s="48" t="s">
        <v>555</v>
      </c>
      <c r="H266" s="48" t="s">
        <v>118</v>
      </c>
      <c r="I266" s="30" t="s">
        <v>119</v>
      </c>
      <c r="J266" s="30" t="s">
        <v>556</v>
      </c>
      <c r="K266" s="119" t="s">
        <v>913</v>
      </c>
      <c r="L266" s="48" t="s">
        <v>654</v>
      </c>
      <c r="M266" s="30" t="s">
        <v>1015</v>
      </c>
      <c r="N266" s="48" t="s">
        <v>559</v>
      </c>
      <c r="O266" s="48" t="s">
        <v>1016</v>
      </c>
      <c r="P266" s="103" t="s">
        <v>1017</v>
      </c>
      <c r="Q266" s="103" t="s">
        <v>1018</v>
      </c>
      <c r="R266" s="103"/>
      <c r="S266" s="48"/>
      <c r="T266" s="48"/>
      <c r="U266" s="48"/>
      <c r="V266" s="48"/>
      <c r="W266" s="48"/>
      <c r="X266" s="48" t="s">
        <v>576</v>
      </c>
      <c r="Y266" s="120" t="s">
        <v>576</v>
      </c>
      <c r="Z266" s="120" t="s">
        <v>576</v>
      </c>
      <c r="AA266" s="48" t="s">
        <v>129</v>
      </c>
      <c r="AB266" s="48" t="s">
        <v>375</v>
      </c>
      <c r="AC266" s="48"/>
      <c r="AD266" s="48"/>
      <c r="AE266" s="48"/>
      <c r="AF266" s="48" t="s">
        <v>131</v>
      </c>
      <c r="AG266" s="48"/>
      <c r="AH266" s="48"/>
      <c r="AI266" s="48"/>
      <c r="AJ266" s="98"/>
      <c r="AK266" s="80"/>
      <c r="AL266" s="51"/>
      <c r="AM266" s="52"/>
      <c r="AN266" s="48"/>
      <c r="AO266" s="30"/>
      <c r="AP266" s="30"/>
      <c r="AQ266" s="48"/>
      <c r="AR266" s="48"/>
      <c r="AS266" s="48"/>
      <c r="AT266" s="48"/>
      <c r="AU266" s="110">
        <v>30000000</v>
      </c>
      <c r="AV266" s="110"/>
      <c r="AW266" s="54"/>
      <c r="AX266" s="54"/>
      <c r="AY266" s="54"/>
      <c r="AZ266" s="54"/>
      <c r="BA266" s="110">
        <v>30000000</v>
      </c>
      <c r="BB266" s="110"/>
      <c r="BC266" s="52"/>
      <c r="BD266" s="52"/>
      <c r="BE266" s="52"/>
      <c r="BF266" s="30"/>
      <c r="BG266" s="30"/>
      <c r="BH266" s="30" t="s">
        <v>569</v>
      </c>
      <c r="BI266" s="30" t="str">
        <f t="shared" si="176"/>
        <v>Bump</v>
      </c>
      <c r="BJ266" s="47" t="s">
        <v>137</v>
      </c>
      <c r="BK266" s="67">
        <f t="shared" si="168"/>
        <v>30000000</v>
      </c>
      <c r="BL266" s="68">
        <f t="shared" si="147"/>
        <v>937500</v>
      </c>
      <c r="BM266" s="68">
        <f t="shared" si="148"/>
        <v>312500</v>
      </c>
      <c r="BP266" s="69">
        <f t="shared" si="154"/>
        <v>937500</v>
      </c>
      <c r="BQ266" s="69">
        <f t="shared" si="155"/>
        <v>937500</v>
      </c>
      <c r="BR266" s="69">
        <f t="shared" si="161"/>
        <v>1875000</v>
      </c>
      <c r="BS266" s="69">
        <f t="shared" si="156"/>
        <v>937500</v>
      </c>
      <c r="BT266" s="69">
        <f t="shared" si="167"/>
        <v>937500</v>
      </c>
      <c r="BU266" s="100">
        <f t="shared" si="167"/>
        <v>937500</v>
      </c>
      <c r="BV266" s="100">
        <f t="shared" si="167"/>
        <v>937500</v>
      </c>
      <c r="BW266" s="100">
        <f t="shared" si="162"/>
        <v>3750000</v>
      </c>
      <c r="BX266" s="101">
        <f t="shared" si="157"/>
        <v>937500</v>
      </c>
      <c r="BY266" s="101">
        <f t="shared" si="158"/>
        <v>937500</v>
      </c>
      <c r="BZ266" s="101">
        <f t="shared" si="158"/>
        <v>937500</v>
      </c>
      <c r="CA266" s="101">
        <f t="shared" si="159"/>
        <v>937500</v>
      </c>
      <c r="CB266" s="100">
        <f t="shared" si="171"/>
        <v>3750000</v>
      </c>
      <c r="CC266" s="101">
        <f t="shared" si="172"/>
        <v>937500</v>
      </c>
      <c r="CD266" s="101">
        <f t="shared" si="169"/>
        <v>937500</v>
      </c>
      <c r="CE266" s="101">
        <f t="shared" si="169"/>
        <v>937500</v>
      </c>
      <c r="CF266" s="101">
        <f t="shared" si="169"/>
        <v>937500</v>
      </c>
      <c r="CG266" s="100">
        <f t="shared" si="173"/>
        <v>3750000</v>
      </c>
      <c r="CH266" s="101">
        <f t="shared" si="174"/>
        <v>937500</v>
      </c>
      <c r="CI266" s="101">
        <f t="shared" si="145"/>
        <v>937500</v>
      </c>
      <c r="CJ266" s="101">
        <f t="shared" si="145"/>
        <v>937500</v>
      </c>
      <c r="CK266" s="101">
        <f t="shared" si="145"/>
        <v>937500</v>
      </c>
      <c r="CL266" s="100">
        <f t="shared" si="175"/>
        <v>3750000</v>
      </c>
      <c r="CM266" s="71"/>
      <c r="CN266" s="71"/>
      <c r="CP266" s="2">
        <f t="shared" si="177"/>
        <v>30000000</v>
      </c>
    </row>
    <row r="267" spans="1:94" ht="16.5" hidden="1" x14ac:dyDescent="0.3">
      <c r="A267" s="2">
        <v>262</v>
      </c>
      <c r="B267" s="118" t="s">
        <v>963</v>
      </c>
      <c r="C267" s="47"/>
      <c r="D267" s="30" t="s">
        <v>553</v>
      </c>
      <c r="E267" s="30" t="s">
        <v>115</v>
      </c>
      <c r="F267" s="30" t="s">
        <v>579</v>
      </c>
      <c r="G267" s="48" t="s">
        <v>555</v>
      </c>
      <c r="H267" s="48" t="s">
        <v>118</v>
      </c>
      <c r="I267" s="30" t="s">
        <v>119</v>
      </c>
      <c r="J267" s="30" t="s">
        <v>776</v>
      </c>
      <c r="K267" s="119" t="s">
        <v>765</v>
      </c>
      <c r="L267" s="72" t="s">
        <v>2270</v>
      </c>
      <c r="M267" s="30" t="s">
        <v>1019</v>
      </c>
      <c r="N267" s="48" t="s">
        <v>559</v>
      </c>
      <c r="O267" s="103" t="s">
        <v>1020</v>
      </c>
      <c r="P267" s="48" t="s">
        <v>1021</v>
      </c>
      <c r="Q267" s="48" t="str">
        <f>P267</f>
        <v>CUWLA-121</v>
      </c>
      <c r="R267" s="48"/>
      <c r="S267" s="48"/>
      <c r="T267" s="48"/>
      <c r="U267" s="48"/>
      <c r="V267" s="48"/>
      <c r="W267" s="48"/>
      <c r="X267" s="48" t="s">
        <v>147</v>
      </c>
      <c r="Y267" s="120" t="s">
        <v>576</v>
      </c>
      <c r="Z267" s="120" t="s">
        <v>576</v>
      </c>
      <c r="AA267" s="48" t="s">
        <v>374</v>
      </c>
      <c r="AB267" s="49" t="s">
        <v>1022</v>
      </c>
      <c r="AC267" s="48"/>
      <c r="AD267" s="48"/>
      <c r="AE267" s="48"/>
      <c r="AF267" s="48"/>
      <c r="AG267" s="48"/>
      <c r="AH267" s="48"/>
      <c r="AI267" s="48"/>
      <c r="AJ267" s="98"/>
      <c r="AK267" s="80"/>
      <c r="AL267" s="51"/>
      <c r="AM267" s="52"/>
      <c r="AN267" s="48"/>
      <c r="AO267" s="30"/>
      <c r="AP267" s="30"/>
      <c r="AQ267" s="48"/>
      <c r="AR267" s="48"/>
      <c r="AS267" s="48"/>
      <c r="AT267" s="48"/>
      <c r="AU267" s="110">
        <v>500000000</v>
      </c>
      <c r="AV267" s="110"/>
      <c r="AW267" s="54"/>
      <c r="AX267" s="54"/>
      <c r="AY267" s="54"/>
      <c r="AZ267" s="54"/>
      <c r="BA267" s="110">
        <v>500000000</v>
      </c>
      <c r="BB267" s="110"/>
      <c r="BC267" s="52"/>
      <c r="BD267" s="52"/>
      <c r="BE267" s="52"/>
      <c r="BF267" s="30"/>
      <c r="BG267" s="30"/>
      <c r="BH267" s="30" t="s">
        <v>569</v>
      </c>
      <c r="BI267" s="30" t="str">
        <f t="shared" si="176"/>
        <v>Bump</v>
      </c>
      <c r="BJ267" s="47" t="s">
        <v>137</v>
      </c>
      <c r="BK267" s="67">
        <f t="shared" si="168"/>
        <v>500000000</v>
      </c>
      <c r="BL267" s="68">
        <f t="shared" si="147"/>
        <v>15625000</v>
      </c>
      <c r="BM267" s="68">
        <f t="shared" si="148"/>
        <v>5208333.333333333</v>
      </c>
      <c r="BP267" s="69">
        <f t="shared" si="154"/>
        <v>15625000</v>
      </c>
      <c r="BQ267" s="69">
        <f t="shared" si="155"/>
        <v>15625000</v>
      </c>
      <c r="BR267" s="69">
        <f t="shared" si="161"/>
        <v>31250000</v>
      </c>
      <c r="BS267" s="69">
        <f t="shared" si="156"/>
        <v>15625000</v>
      </c>
      <c r="BT267" s="69">
        <f t="shared" si="167"/>
        <v>15625000</v>
      </c>
      <c r="BU267" s="100">
        <f t="shared" si="167"/>
        <v>15625000</v>
      </c>
      <c r="BV267" s="100">
        <f t="shared" si="167"/>
        <v>15625000</v>
      </c>
      <c r="BW267" s="100">
        <f t="shared" si="162"/>
        <v>62500000</v>
      </c>
      <c r="BX267" s="101">
        <f t="shared" si="157"/>
        <v>15625000</v>
      </c>
      <c r="BY267" s="101">
        <f t="shared" si="158"/>
        <v>15625000</v>
      </c>
      <c r="BZ267" s="101">
        <f t="shared" si="158"/>
        <v>15625000</v>
      </c>
      <c r="CA267" s="101">
        <f t="shared" si="159"/>
        <v>15625000</v>
      </c>
      <c r="CB267" s="100">
        <f t="shared" si="171"/>
        <v>62500000</v>
      </c>
      <c r="CC267" s="101">
        <f t="shared" si="172"/>
        <v>15625000</v>
      </c>
      <c r="CD267" s="101">
        <f t="shared" si="169"/>
        <v>15625000</v>
      </c>
      <c r="CE267" s="101">
        <f t="shared" si="169"/>
        <v>15625000</v>
      </c>
      <c r="CF267" s="101">
        <f t="shared" si="169"/>
        <v>15625000</v>
      </c>
      <c r="CG267" s="100">
        <f t="shared" si="173"/>
        <v>62500000</v>
      </c>
      <c r="CH267" s="101">
        <f t="shared" si="174"/>
        <v>15625000</v>
      </c>
      <c r="CI267" s="101">
        <f t="shared" si="145"/>
        <v>15625000</v>
      </c>
      <c r="CJ267" s="101">
        <f t="shared" si="145"/>
        <v>15625000</v>
      </c>
      <c r="CK267" s="101">
        <f t="shared" si="145"/>
        <v>15625000</v>
      </c>
      <c r="CL267" s="100">
        <f t="shared" si="175"/>
        <v>62500000</v>
      </c>
      <c r="CM267" s="71"/>
      <c r="CN267" s="71"/>
      <c r="CP267" s="2">
        <f t="shared" si="177"/>
        <v>500000000</v>
      </c>
    </row>
    <row r="268" spans="1:94" ht="51.75" hidden="1" x14ac:dyDescent="0.3">
      <c r="A268" s="2">
        <v>263</v>
      </c>
      <c r="B268" s="118" t="s">
        <v>963</v>
      </c>
      <c r="C268" s="47"/>
      <c r="D268" s="30" t="s">
        <v>553</v>
      </c>
      <c r="E268" s="30" t="s">
        <v>115</v>
      </c>
      <c r="F268" s="30" t="s">
        <v>579</v>
      </c>
      <c r="G268" s="48" t="s">
        <v>555</v>
      </c>
      <c r="H268" s="48" t="s">
        <v>118</v>
      </c>
      <c r="I268" s="30" t="s">
        <v>119</v>
      </c>
      <c r="J268" s="30" t="s">
        <v>776</v>
      </c>
      <c r="K268" s="119" t="s">
        <v>765</v>
      </c>
      <c r="L268" s="72" t="s">
        <v>2272</v>
      </c>
      <c r="M268" s="30" t="s">
        <v>1023</v>
      </c>
      <c r="N268" s="48" t="s">
        <v>559</v>
      </c>
      <c r="O268" s="103" t="s">
        <v>1024</v>
      </c>
      <c r="P268" s="122" t="s">
        <v>1025</v>
      </c>
      <c r="Q268" s="122" t="s">
        <v>1026</v>
      </c>
      <c r="R268" s="122"/>
      <c r="S268" s="48"/>
      <c r="T268" s="48"/>
      <c r="U268" s="48"/>
      <c r="V268" s="48"/>
      <c r="W268" s="48"/>
      <c r="X268" s="48" t="s">
        <v>147</v>
      </c>
      <c r="Y268" s="120" t="s">
        <v>576</v>
      </c>
      <c r="Z268" s="120" t="s">
        <v>576</v>
      </c>
      <c r="AA268" s="48" t="s">
        <v>129</v>
      </c>
      <c r="AB268" s="48" t="s">
        <v>1027</v>
      </c>
      <c r="AC268" s="48"/>
      <c r="AD268" s="48"/>
      <c r="AE268" s="48"/>
      <c r="AF268" s="48"/>
      <c r="AG268" s="48"/>
      <c r="AH268" s="48"/>
      <c r="AI268" s="48"/>
      <c r="AJ268" s="98"/>
      <c r="AK268" s="80"/>
      <c r="AL268" s="51"/>
      <c r="AM268" s="52"/>
      <c r="AN268" s="48"/>
      <c r="AO268" s="30"/>
      <c r="AP268" s="30"/>
      <c r="AQ268" s="48"/>
      <c r="AR268" s="48"/>
      <c r="AS268" s="48"/>
      <c r="AT268" s="48"/>
      <c r="AU268" s="110">
        <v>7000000</v>
      </c>
      <c r="AV268" s="110"/>
      <c r="AW268" s="54"/>
      <c r="AX268" s="54"/>
      <c r="AY268" s="54"/>
      <c r="AZ268" s="54"/>
      <c r="BA268" s="110">
        <v>7000000</v>
      </c>
      <c r="BB268" s="110"/>
      <c r="BC268" s="52"/>
      <c r="BD268" s="52"/>
      <c r="BE268" s="52"/>
      <c r="BF268" s="30"/>
      <c r="BG268" s="30"/>
      <c r="BH268" s="30" t="s">
        <v>569</v>
      </c>
      <c r="BI268" s="30" t="str">
        <f t="shared" si="176"/>
        <v>Bump</v>
      </c>
      <c r="BJ268" s="47" t="s">
        <v>137</v>
      </c>
      <c r="BK268" s="67">
        <f t="shared" si="168"/>
        <v>7000000</v>
      </c>
      <c r="BL268" s="68">
        <f t="shared" si="147"/>
        <v>218750</v>
      </c>
      <c r="BM268" s="68">
        <f t="shared" si="148"/>
        <v>72916.666666666672</v>
      </c>
      <c r="BP268" s="69">
        <f t="shared" si="154"/>
        <v>218750</v>
      </c>
      <c r="BQ268" s="69">
        <f t="shared" si="155"/>
        <v>218750</v>
      </c>
      <c r="BR268" s="69">
        <f t="shared" si="161"/>
        <v>437500</v>
      </c>
      <c r="BS268" s="69">
        <f t="shared" si="156"/>
        <v>218750</v>
      </c>
      <c r="BT268" s="69">
        <f t="shared" ref="BT268:BV283" si="178">BS268</f>
        <v>218750</v>
      </c>
      <c r="BU268" s="100">
        <f t="shared" si="178"/>
        <v>218750</v>
      </c>
      <c r="BV268" s="100">
        <f t="shared" si="178"/>
        <v>218750</v>
      </c>
      <c r="BW268" s="100">
        <f t="shared" si="162"/>
        <v>875000</v>
      </c>
      <c r="BX268" s="101">
        <f t="shared" si="157"/>
        <v>218750</v>
      </c>
      <c r="BY268" s="101">
        <f t="shared" si="158"/>
        <v>218750</v>
      </c>
      <c r="BZ268" s="101">
        <f t="shared" si="158"/>
        <v>218750</v>
      </c>
      <c r="CA268" s="101">
        <f t="shared" si="159"/>
        <v>218750</v>
      </c>
      <c r="CB268" s="100">
        <f t="shared" si="171"/>
        <v>875000</v>
      </c>
      <c r="CC268" s="101">
        <f t="shared" si="172"/>
        <v>218750</v>
      </c>
      <c r="CD268" s="101">
        <f t="shared" si="169"/>
        <v>218750</v>
      </c>
      <c r="CE268" s="101">
        <f t="shared" si="169"/>
        <v>218750</v>
      </c>
      <c r="CF268" s="101">
        <f t="shared" si="169"/>
        <v>218750</v>
      </c>
      <c r="CG268" s="100">
        <f t="shared" si="173"/>
        <v>875000</v>
      </c>
      <c r="CH268" s="101">
        <f t="shared" si="174"/>
        <v>218750</v>
      </c>
      <c r="CI268" s="101">
        <f t="shared" si="145"/>
        <v>218750</v>
      </c>
      <c r="CJ268" s="101">
        <f t="shared" si="145"/>
        <v>218750</v>
      </c>
      <c r="CK268" s="101">
        <f t="shared" si="145"/>
        <v>218750</v>
      </c>
      <c r="CL268" s="100">
        <f t="shared" si="175"/>
        <v>875000</v>
      </c>
      <c r="CM268" s="71"/>
      <c r="CN268" s="71"/>
      <c r="CP268" s="2">
        <f t="shared" si="177"/>
        <v>7000000</v>
      </c>
    </row>
    <row r="269" spans="1:94" ht="16.5" hidden="1" x14ac:dyDescent="0.3">
      <c r="A269" s="2">
        <v>264</v>
      </c>
      <c r="B269" s="47" t="s">
        <v>963</v>
      </c>
      <c r="C269" s="47"/>
      <c r="D269" s="30" t="s">
        <v>553</v>
      </c>
      <c r="E269" s="30" t="s">
        <v>115</v>
      </c>
      <c r="F269" s="30" t="s">
        <v>579</v>
      </c>
      <c r="G269" s="48" t="s">
        <v>555</v>
      </c>
      <c r="H269" s="48" t="s">
        <v>118</v>
      </c>
      <c r="I269" s="30" t="s">
        <v>119</v>
      </c>
      <c r="J269" s="30" t="s">
        <v>776</v>
      </c>
      <c r="K269" s="30" t="s">
        <v>765</v>
      </c>
      <c r="L269" s="48" t="s">
        <v>654</v>
      </c>
      <c r="M269" s="30" t="s">
        <v>1028</v>
      </c>
      <c r="N269" s="48" t="s">
        <v>559</v>
      </c>
      <c r="O269" s="48" t="s">
        <v>1029</v>
      </c>
      <c r="P269" s="48" t="s">
        <v>1030</v>
      </c>
      <c r="Q269" s="48" t="s">
        <v>1031</v>
      </c>
      <c r="R269" s="48"/>
      <c r="S269" s="48"/>
      <c r="T269" s="48"/>
      <c r="U269" s="48"/>
      <c r="V269" s="48"/>
      <c r="W269" s="48"/>
      <c r="X269" s="48" t="s">
        <v>127</v>
      </c>
      <c r="Y269" s="48" t="s">
        <v>576</v>
      </c>
      <c r="Z269" s="48" t="s">
        <v>576</v>
      </c>
      <c r="AA269" s="48" t="s">
        <v>129</v>
      </c>
      <c r="AB269" s="49" t="s">
        <v>1032</v>
      </c>
      <c r="AC269" s="48"/>
      <c r="AD269" s="48"/>
      <c r="AE269" s="48"/>
      <c r="AF269" s="48"/>
      <c r="AG269" s="48"/>
      <c r="AH269" s="48"/>
      <c r="AI269" s="48"/>
      <c r="AJ269" s="98"/>
      <c r="AK269" s="80"/>
      <c r="AL269" s="51"/>
      <c r="AM269" s="52"/>
      <c r="AN269" s="48"/>
      <c r="AO269" s="30"/>
      <c r="AP269" s="30"/>
      <c r="AQ269" s="48"/>
      <c r="AR269" s="48"/>
      <c r="AS269" s="48"/>
      <c r="AT269" s="48"/>
      <c r="AU269" s="110">
        <v>200000000</v>
      </c>
      <c r="AV269" s="110"/>
      <c r="AW269" s="54"/>
      <c r="AX269" s="54"/>
      <c r="AY269" s="54"/>
      <c r="AZ269" s="54"/>
      <c r="BA269" s="110">
        <v>200000000</v>
      </c>
      <c r="BB269" s="110"/>
      <c r="BC269" s="52"/>
      <c r="BD269" s="52"/>
      <c r="BE269" s="52"/>
      <c r="BF269" s="30"/>
      <c r="BG269" s="30"/>
      <c r="BH269" s="30" t="s">
        <v>569</v>
      </c>
      <c r="BI269" s="30" t="str">
        <f t="shared" si="176"/>
        <v>Bump</v>
      </c>
      <c r="BJ269" s="47" t="s">
        <v>137</v>
      </c>
      <c r="BK269" s="56">
        <f t="shared" si="168"/>
        <v>200000000</v>
      </c>
      <c r="BL269" s="57">
        <f t="shared" si="147"/>
        <v>6250000</v>
      </c>
      <c r="BM269" s="57">
        <f t="shared" si="148"/>
        <v>2083333.3333333333</v>
      </c>
      <c r="BU269" s="58">
        <f>BM269*3</f>
        <v>6250000</v>
      </c>
      <c r="BV269" s="58">
        <f t="shared" si="178"/>
        <v>6250000</v>
      </c>
      <c r="BW269" s="58">
        <f>SUM(BS269:BV269)</f>
        <v>12500000</v>
      </c>
      <c r="BX269" s="58">
        <f t="shared" si="157"/>
        <v>6250000</v>
      </c>
      <c r="BY269" s="58">
        <f t="shared" si="158"/>
        <v>6250000</v>
      </c>
      <c r="BZ269" s="58">
        <f>BM269*3</f>
        <v>6250000</v>
      </c>
      <c r="CA269" s="58">
        <f t="shared" si="159"/>
        <v>6250000</v>
      </c>
      <c r="CB269" s="58">
        <f t="shared" si="171"/>
        <v>25000000</v>
      </c>
      <c r="CC269" s="58">
        <f t="shared" si="172"/>
        <v>6250000</v>
      </c>
      <c r="CD269" s="58">
        <f t="shared" si="169"/>
        <v>6250000</v>
      </c>
      <c r="CE269" s="58">
        <f t="shared" si="169"/>
        <v>6250000</v>
      </c>
      <c r="CF269" s="58">
        <f t="shared" si="169"/>
        <v>6250000</v>
      </c>
      <c r="CG269" s="58">
        <f t="shared" si="173"/>
        <v>25000000</v>
      </c>
      <c r="CH269" s="58">
        <f t="shared" si="174"/>
        <v>6250000</v>
      </c>
      <c r="CI269" s="58">
        <f t="shared" si="145"/>
        <v>6250000</v>
      </c>
      <c r="CJ269" s="58">
        <f t="shared" si="145"/>
        <v>6250000</v>
      </c>
      <c r="CK269" s="58">
        <f t="shared" si="145"/>
        <v>6250000</v>
      </c>
      <c r="CL269" s="58">
        <f t="shared" si="175"/>
        <v>25000000</v>
      </c>
      <c r="CP269" s="2">
        <f t="shared" si="177"/>
        <v>200000000</v>
      </c>
    </row>
    <row r="270" spans="1:94" ht="16.5" hidden="1" x14ac:dyDescent="0.3">
      <c r="A270" s="2">
        <v>265</v>
      </c>
      <c r="B270" s="47" t="s">
        <v>963</v>
      </c>
      <c r="C270" s="47"/>
      <c r="D270" s="30" t="s">
        <v>553</v>
      </c>
      <c r="E270" s="30" t="s">
        <v>115</v>
      </c>
      <c r="F270" s="30" t="s">
        <v>579</v>
      </c>
      <c r="G270" s="48" t="s">
        <v>555</v>
      </c>
      <c r="H270" s="48" t="s">
        <v>118</v>
      </c>
      <c r="I270" s="30" t="s">
        <v>119</v>
      </c>
      <c r="J270" s="30" t="s">
        <v>776</v>
      </c>
      <c r="K270" s="30" t="s">
        <v>765</v>
      </c>
      <c r="L270" s="48" t="s">
        <v>654</v>
      </c>
      <c r="M270" s="30" t="s">
        <v>1033</v>
      </c>
      <c r="N270" s="48" t="s">
        <v>559</v>
      </c>
      <c r="O270" s="48" t="s">
        <v>1034</v>
      </c>
      <c r="P270" s="103" t="s">
        <v>970</v>
      </c>
      <c r="Q270" s="103" t="s">
        <v>1018</v>
      </c>
      <c r="R270" s="103"/>
      <c r="S270" s="48"/>
      <c r="T270" s="48"/>
      <c r="U270" s="48"/>
      <c r="V270" s="48"/>
      <c r="W270" s="48"/>
      <c r="X270" s="48" t="s">
        <v>127</v>
      </c>
      <c r="Y270" s="48" t="s">
        <v>576</v>
      </c>
      <c r="Z270" s="48" t="s">
        <v>576</v>
      </c>
      <c r="AA270" s="48" t="s">
        <v>129</v>
      </c>
      <c r="AB270" s="48" t="s">
        <v>375</v>
      </c>
      <c r="AC270" s="48"/>
      <c r="AD270" s="48"/>
      <c r="AE270" s="48"/>
      <c r="AF270" s="48"/>
      <c r="AG270" s="48"/>
      <c r="AH270" s="48"/>
      <c r="AI270" s="48"/>
      <c r="AJ270" s="98"/>
      <c r="AK270" s="80"/>
      <c r="AL270" s="51"/>
      <c r="AM270" s="52"/>
      <c r="AN270" s="48"/>
      <c r="AO270" s="30"/>
      <c r="AP270" s="30"/>
      <c r="AQ270" s="48"/>
      <c r="AR270" s="48"/>
      <c r="AS270" s="48"/>
      <c r="AT270" s="48"/>
      <c r="AU270" s="110">
        <v>80000000</v>
      </c>
      <c r="AV270" s="110"/>
      <c r="AW270" s="54"/>
      <c r="AX270" s="54"/>
      <c r="AY270" s="54"/>
      <c r="AZ270" s="54"/>
      <c r="BA270" s="110">
        <v>80000000</v>
      </c>
      <c r="BB270" s="110"/>
      <c r="BC270" s="52"/>
      <c r="BD270" s="52"/>
      <c r="BE270" s="52"/>
      <c r="BF270" s="30"/>
      <c r="BG270" s="30"/>
      <c r="BH270" s="30" t="s">
        <v>569</v>
      </c>
      <c r="BI270" s="30" t="str">
        <f t="shared" si="176"/>
        <v>Bump</v>
      </c>
      <c r="BJ270" s="47" t="s">
        <v>137</v>
      </c>
      <c r="BK270" s="56">
        <f t="shared" si="168"/>
        <v>80000000</v>
      </c>
      <c r="BL270" s="57">
        <f t="shared" si="147"/>
        <v>2500000</v>
      </c>
      <c r="BM270" s="57">
        <f t="shared" si="148"/>
        <v>833333.33333333337</v>
      </c>
      <c r="BU270" s="58">
        <f>BM270*3</f>
        <v>2500000</v>
      </c>
      <c r="BV270" s="58">
        <f t="shared" si="178"/>
        <v>2500000</v>
      </c>
      <c r="BW270" s="58">
        <f>SUM(BS270:BV270)</f>
        <v>5000000</v>
      </c>
      <c r="BX270" s="58">
        <f t="shared" si="157"/>
        <v>2500000</v>
      </c>
      <c r="BY270" s="58">
        <f t="shared" si="158"/>
        <v>2500000</v>
      </c>
      <c r="BZ270" s="58">
        <f>BM270*3</f>
        <v>2500000</v>
      </c>
      <c r="CA270" s="58">
        <f t="shared" si="159"/>
        <v>2500000</v>
      </c>
      <c r="CB270" s="58">
        <f t="shared" si="171"/>
        <v>10000000</v>
      </c>
      <c r="CC270" s="58">
        <f t="shared" si="172"/>
        <v>2500000</v>
      </c>
      <c r="CD270" s="58">
        <f t="shared" si="169"/>
        <v>2500000</v>
      </c>
      <c r="CE270" s="58">
        <f t="shared" si="169"/>
        <v>2500000</v>
      </c>
      <c r="CF270" s="58">
        <f t="shared" si="169"/>
        <v>2500000</v>
      </c>
      <c r="CG270" s="58">
        <f t="shared" si="173"/>
        <v>10000000</v>
      </c>
      <c r="CH270" s="58">
        <f t="shared" si="174"/>
        <v>2500000</v>
      </c>
      <c r="CI270" s="58">
        <f t="shared" si="145"/>
        <v>2500000</v>
      </c>
      <c r="CJ270" s="58">
        <f t="shared" si="145"/>
        <v>2500000</v>
      </c>
      <c r="CK270" s="58">
        <f t="shared" si="145"/>
        <v>2500000</v>
      </c>
      <c r="CL270" s="58">
        <f t="shared" si="175"/>
        <v>10000000</v>
      </c>
      <c r="CP270" s="2">
        <f t="shared" si="177"/>
        <v>80000000</v>
      </c>
    </row>
    <row r="271" spans="1:94" ht="16.5" hidden="1" x14ac:dyDescent="0.3">
      <c r="A271" s="2">
        <v>266</v>
      </c>
      <c r="B271" s="47" t="s">
        <v>963</v>
      </c>
      <c r="C271" s="47"/>
      <c r="D271" s="30" t="s">
        <v>553</v>
      </c>
      <c r="E271" s="30" t="s">
        <v>115</v>
      </c>
      <c r="F271" s="30" t="s">
        <v>579</v>
      </c>
      <c r="G271" s="48" t="s">
        <v>555</v>
      </c>
      <c r="H271" s="48" t="s">
        <v>118</v>
      </c>
      <c r="I271" s="30" t="s">
        <v>119</v>
      </c>
      <c r="J271" s="30" t="s">
        <v>776</v>
      </c>
      <c r="K271" s="30" t="s">
        <v>765</v>
      </c>
      <c r="L271" s="48" t="s">
        <v>654</v>
      </c>
      <c r="M271" s="30" t="s">
        <v>1035</v>
      </c>
      <c r="N271" s="48" t="s">
        <v>559</v>
      </c>
      <c r="O271" s="48" t="s">
        <v>1036</v>
      </c>
      <c r="P271" s="48" t="s">
        <v>1037</v>
      </c>
      <c r="Q271" s="48" t="s">
        <v>1038</v>
      </c>
      <c r="R271" s="48"/>
      <c r="S271" s="48"/>
      <c r="T271" s="48"/>
      <c r="U271" s="48"/>
      <c r="V271" s="48"/>
      <c r="W271" s="48"/>
      <c r="X271" s="48" t="s">
        <v>127</v>
      </c>
      <c r="Y271" s="48" t="s">
        <v>576</v>
      </c>
      <c r="Z271" s="48" t="s">
        <v>576</v>
      </c>
      <c r="AA271" s="48" t="s">
        <v>129</v>
      </c>
      <c r="AB271" s="72" t="s">
        <v>990</v>
      </c>
      <c r="AC271" s="48"/>
      <c r="AD271" s="48"/>
      <c r="AE271" s="48"/>
      <c r="AF271" s="48"/>
      <c r="AG271" s="48"/>
      <c r="AH271" s="48"/>
      <c r="AI271" s="48"/>
      <c r="AJ271" s="98"/>
      <c r="AK271" s="80"/>
      <c r="AL271" s="51"/>
      <c r="AM271" s="52"/>
      <c r="AN271" s="48"/>
      <c r="AO271" s="30"/>
      <c r="AP271" s="30"/>
      <c r="AQ271" s="48"/>
      <c r="AR271" s="48"/>
      <c r="AS271" s="48"/>
      <c r="AT271" s="48"/>
      <c r="AU271" s="110">
        <v>60000000</v>
      </c>
      <c r="AV271" s="110"/>
      <c r="AW271" s="54"/>
      <c r="AX271" s="54"/>
      <c r="AY271" s="54"/>
      <c r="AZ271" s="54"/>
      <c r="BA271" s="110">
        <v>60000000</v>
      </c>
      <c r="BB271" s="110"/>
      <c r="BC271" s="52"/>
      <c r="BD271" s="52"/>
      <c r="BE271" s="52"/>
      <c r="BF271" s="30"/>
      <c r="BG271" s="30"/>
      <c r="BH271" s="30" t="s">
        <v>569</v>
      </c>
      <c r="BI271" s="30" t="str">
        <f t="shared" si="176"/>
        <v>Bump</v>
      </c>
      <c r="BJ271" s="47" t="s">
        <v>137</v>
      </c>
      <c r="BK271" s="56">
        <f t="shared" si="168"/>
        <v>60000000</v>
      </c>
      <c r="BL271" s="57">
        <f t="shared" si="147"/>
        <v>1875000</v>
      </c>
      <c r="BM271" s="57">
        <f t="shared" si="148"/>
        <v>625000</v>
      </c>
      <c r="BU271" s="58">
        <f>BM271*3</f>
        <v>1875000</v>
      </c>
      <c r="BV271" s="58">
        <f t="shared" si="178"/>
        <v>1875000</v>
      </c>
      <c r="BW271" s="58">
        <f>SUM(BS271:BV271)</f>
        <v>3750000</v>
      </c>
      <c r="BX271" s="58">
        <f t="shared" si="157"/>
        <v>1875000</v>
      </c>
      <c r="BY271" s="58">
        <f t="shared" si="158"/>
        <v>1875000</v>
      </c>
      <c r="BZ271" s="58">
        <f>BM271*3</f>
        <v>1875000</v>
      </c>
      <c r="CA271" s="58">
        <f t="shared" si="159"/>
        <v>1875000</v>
      </c>
      <c r="CB271" s="58">
        <f t="shared" si="171"/>
        <v>7500000</v>
      </c>
      <c r="CC271" s="58">
        <f t="shared" si="172"/>
        <v>1875000</v>
      </c>
      <c r="CD271" s="58">
        <f t="shared" si="169"/>
        <v>1875000</v>
      </c>
      <c r="CE271" s="58">
        <f t="shared" si="169"/>
        <v>1875000</v>
      </c>
      <c r="CF271" s="58">
        <f t="shared" si="169"/>
        <v>1875000</v>
      </c>
      <c r="CG271" s="58">
        <f t="shared" si="173"/>
        <v>7500000</v>
      </c>
      <c r="CH271" s="58">
        <f t="shared" si="174"/>
        <v>1875000</v>
      </c>
      <c r="CI271" s="58">
        <f t="shared" si="145"/>
        <v>1875000</v>
      </c>
      <c r="CJ271" s="58">
        <f t="shared" si="145"/>
        <v>1875000</v>
      </c>
      <c r="CK271" s="58">
        <f t="shared" si="145"/>
        <v>1875000</v>
      </c>
      <c r="CL271" s="58">
        <f t="shared" si="175"/>
        <v>7500000</v>
      </c>
      <c r="CP271" s="2">
        <f t="shared" si="177"/>
        <v>60000000</v>
      </c>
    </row>
    <row r="272" spans="1:94" ht="16.5" hidden="1" x14ac:dyDescent="0.3">
      <c r="A272" s="2">
        <v>267</v>
      </c>
      <c r="B272" s="47" t="s">
        <v>963</v>
      </c>
      <c r="C272" s="47"/>
      <c r="D272" s="30" t="s">
        <v>553</v>
      </c>
      <c r="E272" s="30" t="s">
        <v>115</v>
      </c>
      <c r="F272" s="30" t="s">
        <v>579</v>
      </c>
      <c r="G272" s="48" t="s">
        <v>555</v>
      </c>
      <c r="H272" s="48" t="s">
        <v>118</v>
      </c>
      <c r="I272" s="30" t="s">
        <v>119</v>
      </c>
      <c r="J272" s="30" t="s">
        <v>776</v>
      </c>
      <c r="K272" s="30" t="s">
        <v>765</v>
      </c>
      <c r="L272" s="48" t="s">
        <v>654</v>
      </c>
      <c r="M272" s="30" t="s">
        <v>1039</v>
      </c>
      <c r="N272" s="48" t="s">
        <v>559</v>
      </c>
      <c r="O272" s="48" t="s">
        <v>1036</v>
      </c>
      <c r="P272" s="48" t="s">
        <v>1037</v>
      </c>
      <c r="Q272" s="48" t="s">
        <v>1038</v>
      </c>
      <c r="R272" s="48"/>
      <c r="S272" s="48"/>
      <c r="T272" s="48"/>
      <c r="U272" s="48"/>
      <c r="V272" s="48"/>
      <c r="W272" s="48"/>
      <c r="X272" s="48" t="s">
        <v>127</v>
      </c>
      <c r="Y272" s="48" t="s">
        <v>576</v>
      </c>
      <c r="Z272" s="48" t="s">
        <v>576</v>
      </c>
      <c r="AA272" s="48" t="s">
        <v>129</v>
      </c>
      <c r="AB272" s="72" t="s">
        <v>990</v>
      </c>
      <c r="AC272" s="48"/>
      <c r="AD272" s="48"/>
      <c r="AE272" s="48"/>
      <c r="AF272" s="48"/>
      <c r="AG272" s="48"/>
      <c r="AH272" s="48"/>
      <c r="AI272" s="48"/>
      <c r="AJ272" s="98"/>
      <c r="AK272" s="80"/>
      <c r="AL272" s="51"/>
      <c r="AM272" s="52"/>
      <c r="AN272" s="48"/>
      <c r="AO272" s="30"/>
      <c r="AP272" s="30"/>
      <c r="AQ272" s="48"/>
      <c r="AR272" s="48"/>
      <c r="AS272" s="48"/>
      <c r="AT272" s="48"/>
      <c r="AU272" s="110">
        <v>60000000</v>
      </c>
      <c r="AV272" s="110"/>
      <c r="AW272" s="54"/>
      <c r="AX272" s="54"/>
      <c r="AY272" s="54"/>
      <c r="AZ272" s="54"/>
      <c r="BA272" s="110">
        <v>60000000</v>
      </c>
      <c r="BB272" s="110"/>
      <c r="BC272" s="52"/>
      <c r="BD272" s="52"/>
      <c r="BE272" s="52"/>
      <c r="BF272" s="30"/>
      <c r="BG272" s="30"/>
      <c r="BH272" s="30" t="s">
        <v>569</v>
      </c>
      <c r="BI272" s="30" t="str">
        <f t="shared" si="176"/>
        <v>Bump</v>
      </c>
      <c r="BJ272" s="47" t="s">
        <v>137</v>
      </c>
      <c r="BK272" s="56">
        <f t="shared" si="168"/>
        <v>60000000</v>
      </c>
      <c r="BL272" s="57">
        <f t="shared" si="147"/>
        <v>1875000</v>
      </c>
      <c r="BM272" s="57">
        <f t="shared" si="148"/>
        <v>625000</v>
      </c>
      <c r="BU272" s="58">
        <f>BM272*3</f>
        <v>1875000</v>
      </c>
      <c r="BV272" s="58">
        <f t="shared" si="178"/>
        <v>1875000</v>
      </c>
      <c r="BW272" s="58">
        <f>SUM(BS272:BV272)</f>
        <v>3750000</v>
      </c>
      <c r="BX272" s="58">
        <f t="shared" si="157"/>
        <v>1875000</v>
      </c>
      <c r="BY272" s="58">
        <f t="shared" si="158"/>
        <v>1875000</v>
      </c>
      <c r="BZ272" s="58">
        <f>BM272*3</f>
        <v>1875000</v>
      </c>
      <c r="CA272" s="58">
        <f t="shared" si="159"/>
        <v>1875000</v>
      </c>
      <c r="CB272" s="58">
        <f t="shared" si="171"/>
        <v>7500000</v>
      </c>
      <c r="CC272" s="58">
        <f t="shared" si="172"/>
        <v>1875000</v>
      </c>
      <c r="CD272" s="58">
        <f t="shared" si="169"/>
        <v>1875000</v>
      </c>
      <c r="CE272" s="58">
        <f t="shared" si="169"/>
        <v>1875000</v>
      </c>
      <c r="CF272" s="58">
        <f t="shared" si="169"/>
        <v>1875000</v>
      </c>
      <c r="CG272" s="58">
        <f t="shared" si="173"/>
        <v>7500000</v>
      </c>
      <c r="CH272" s="58">
        <f t="shared" si="174"/>
        <v>1875000</v>
      </c>
      <c r="CI272" s="58">
        <f t="shared" ref="CI272:CK287" si="179">CH272</f>
        <v>1875000</v>
      </c>
      <c r="CJ272" s="58">
        <f t="shared" si="179"/>
        <v>1875000</v>
      </c>
      <c r="CK272" s="58">
        <f t="shared" si="179"/>
        <v>1875000</v>
      </c>
      <c r="CL272" s="58">
        <f t="shared" si="175"/>
        <v>7500000</v>
      </c>
      <c r="CP272" s="2">
        <f t="shared" si="177"/>
        <v>60000000</v>
      </c>
    </row>
    <row r="273" spans="1:94" ht="16.5" hidden="1" x14ac:dyDescent="0.3">
      <c r="A273" s="2">
        <v>268</v>
      </c>
      <c r="B273" s="47" t="s">
        <v>21</v>
      </c>
      <c r="C273" s="47" t="s">
        <v>1040</v>
      </c>
      <c r="D273" s="30" t="s">
        <v>1041</v>
      </c>
      <c r="E273" s="30" t="s">
        <v>1042</v>
      </c>
      <c r="F273" s="30" t="s">
        <v>1043</v>
      </c>
      <c r="G273" s="30" t="s">
        <v>117</v>
      </c>
      <c r="H273" s="30" t="s">
        <v>385</v>
      </c>
      <c r="I273" s="30" t="s">
        <v>119</v>
      </c>
      <c r="J273" s="30" t="s">
        <v>1044</v>
      </c>
      <c r="K273" s="30" t="s">
        <v>1044</v>
      </c>
      <c r="L273" s="30" t="s">
        <v>766</v>
      </c>
      <c r="M273" s="30">
        <v>1000043</v>
      </c>
      <c r="N273" s="30" t="s">
        <v>138</v>
      </c>
      <c r="O273" s="30" t="s">
        <v>1045</v>
      </c>
      <c r="P273" s="30" t="s">
        <v>768</v>
      </c>
      <c r="Q273" s="30" t="s">
        <v>769</v>
      </c>
      <c r="R273" s="30"/>
      <c r="S273" s="30" t="s">
        <v>1046</v>
      </c>
      <c r="T273" s="30"/>
      <c r="U273" s="30" t="s">
        <v>1047</v>
      </c>
      <c r="V273" s="30" t="s">
        <v>415</v>
      </c>
      <c r="W273" s="30" t="s">
        <v>1048</v>
      </c>
      <c r="X273" s="30" t="s">
        <v>147</v>
      </c>
      <c r="Y273" s="125" t="s">
        <v>576</v>
      </c>
      <c r="Z273" s="125" t="s">
        <v>576</v>
      </c>
      <c r="AA273" s="48" t="s">
        <v>148</v>
      </c>
      <c r="AB273" s="30" t="s">
        <v>773</v>
      </c>
      <c r="AC273" s="30" t="s">
        <v>773</v>
      </c>
      <c r="AD273" s="30"/>
      <c r="AE273" s="30"/>
      <c r="AF273" s="48" t="s">
        <v>604</v>
      </c>
      <c r="AG273" s="30" t="s">
        <v>774</v>
      </c>
      <c r="AH273" s="48" t="s">
        <v>775</v>
      </c>
      <c r="AI273" s="30"/>
      <c r="AJ273" s="50">
        <v>38307</v>
      </c>
      <c r="AK273" s="50">
        <v>38338</v>
      </c>
      <c r="AL273" s="51">
        <f t="shared" ref="AL273:AL336" si="180">($AL$1-AK273)/365</f>
        <v>20.884931506849316</v>
      </c>
      <c r="AM273" s="30">
        <v>8</v>
      </c>
      <c r="AN273" s="30" t="s">
        <v>1049</v>
      </c>
      <c r="AO273" s="30" t="s">
        <v>1050</v>
      </c>
      <c r="AP273" s="30" t="s">
        <v>1051</v>
      </c>
      <c r="AQ273" s="30">
        <v>6.24</v>
      </c>
      <c r="AR273" s="30">
        <v>1150</v>
      </c>
      <c r="AS273" s="30">
        <v>1200</v>
      </c>
      <c r="AT273" s="30">
        <v>2100</v>
      </c>
      <c r="AU273" s="54">
        <v>215496237</v>
      </c>
      <c r="AV273" s="54"/>
      <c r="AW273" s="54"/>
      <c r="AX273" s="54"/>
      <c r="AY273" s="54">
        <v>215495237</v>
      </c>
      <c r="AZ273" s="54">
        <v>0</v>
      </c>
      <c r="BA273" s="54">
        <v>1000</v>
      </c>
      <c r="BB273" s="55">
        <f>VLOOKUP(M273,[1]Sheet1!$E$6:$F$556,2,FALSE)</f>
        <v>1000</v>
      </c>
      <c r="BC273" s="74"/>
      <c r="BD273" s="74"/>
      <c r="BE273" s="30"/>
      <c r="BF273" s="30" t="s">
        <v>1052</v>
      </c>
      <c r="BG273" s="30" t="s">
        <v>1053</v>
      </c>
      <c r="BH273" s="30" t="s">
        <v>1054</v>
      </c>
      <c r="BI273" s="30" t="str">
        <f t="shared" si="176"/>
        <v>COF(Assy_FT)</v>
      </c>
      <c r="BJ273" s="47" t="s">
        <v>137</v>
      </c>
      <c r="BK273" s="67">
        <f t="shared" ref="BK273:BK336" si="181">IF(OR(BA273=1000, BA273=0), AU273*$BQ$1, BA273*(1+$BL$2))</f>
        <v>4309924.74</v>
      </c>
      <c r="BL273" s="68">
        <f t="shared" si="147"/>
        <v>410859.59953979263</v>
      </c>
      <c r="BM273" s="68">
        <f t="shared" si="148"/>
        <v>136953.19984659753</v>
      </c>
      <c r="BP273" s="69">
        <f t="shared" si="154"/>
        <v>410859.59953979263</v>
      </c>
      <c r="BQ273" s="69">
        <f t="shared" si="155"/>
        <v>410859.59953979263</v>
      </c>
      <c r="BR273" s="69">
        <f t="shared" si="161"/>
        <v>821719.19907958526</v>
      </c>
      <c r="BS273" s="69">
        <f t="shared" si="156"/>
        <v>410859.59953979263</v>
      </c>
      <c r="BT273" s="69">
        <f t="shared" si="178"/>
        <v>410859.59953979263</v>
      </c>
      <c r="BU273" s="100">
        <f t="shared" si="178"/>
        <v>410859.59953979263</v>
      </c>
      <c r="BV273" s="100">
        <f t="shared" si="178"/>
        <v>410859.59953979263</v>
      </c>
      <c r="BW273" s="100">
        <f t="shared" si="162"/>
        <v>1643438.3981591705</v>
      </c>
      <c r="BX273" s="101">
        <f t="shared" si="157"/>
        <v>410859.59953979263</v>
      </c>
      <c r="BY273" s="101">
        <f t="shared" si="158"/>
        <v>410859.59953979263</v>
      </c>
      <c r="BZ273" s="101">
        <f t="shared" si="158"/>
        <v>410859.59953979263</v>
      </c>
      <c r="CA273" s="101">
        <f t="shared" si="158"/>
        <v>410859.59953979263</v>
      </c>
      <c r="CB273" s="100">
        <f t="shared" si="171"/>
        <v>1643438.3981591705</v>
      </c>
      <c r="CC273" s="101">
        <f t="shared" si="172"/>
        <v>410859.59953979263</v>
      </c>
      <c r="CD273" s="101">
        <f t="shared" ref="CD273:CF288" si="182">CC273</f>
        <v>410859.59953979263</v>
      </c>
      <c r="CE273" s="101">
        <f t="shared" si="182"/>
        <v>410859.59953979263</v>
      </c>
      <c r="CF273" s="101">
        <f t="shared" si="182"/>
        <v>410859.59953979263</v>
      </c>
      <c r="CG273" s="100">
        <f t="shared" si="173"/>
        <v>1643438.3981591705</v>
      </c>
      <c r="CH273" s="101">
        <f t="shared" si="174"/>
        <v>410859.59953979263</v>
      </c>
      <c r="CI273" s="101">
        <f t="shared" si="179"/>
        <v>410859.59953979263</v>
      </c>
      <c r="CJ273" s="101">
        <f t="shared" si="179"/>
        <v>410859.59953979263</v>
      </c>
      <c r="CK273" s="101">
        <f t="shared" si="179"/>
        <v>410859.59953979263</v>
      </c>
      <c r="CL273" s="100">
        <f t="shared" si="175"/>
        <v>1643438.3981591705</v>
      </c>
      <c r="CM273" s="71"/>
      <c r="CN273" s="59">
        <f t="shared" ref="CN273:CN274" si="183">BK273/$CN$3</f>
        <v>4.208372592987316E-4</v>
      </c>
      <c r="CO273" s="64">
        <f t="shared" ref="CO273:CO274" si="184">CN273*$CO$4</f>
        <v>8837582.445273364</v>
      </c>
      <c r="CP273" s="2">
        <f t="shared" si="177"/>
        <v>13147507.185273364</v>
      </c>
    </row>
    <row r="274" spans="1:94" ht="16.5" hidden="1" x14ac:dyDescent="0.3">
      <c r="A274" s="2">
        <v>269</v>
      </c>
      <c r="B274" s="47" t="s">
        <v>21</v>
      </c>
      <c r="C274" s="47"/>
      <c r="D274" s="30" t="s">
        <v>1041</v>
      </c>
      <c r="E274" s="30" t="s">
        <v>1042</v>
      </c>
      <c r="F274" s="30" t="s">
        <v>1043</v>
      </c>
      <c r="G274" s="30" t="s">
        <v>117</v>
      </c>
      <c r="H274" s="30" t="s">
        <v>385</v>
      </c>
      <c r="I274" s="30" t="s">
        <v>119</v>
      </c>
      <c r="J274" s="30" t="s">
        <v>1044</v>
      </c>
      <c r="K274" s="30" t="s">
        <v>1044</v>
      </c>
      <c r="L274" s="30" t="s">
        <v>766</v>
      </c>
      <c r="M274" s="30">
        <v>1000044</v>
      </c>
      <c r="N274" s="30" t="s">
        <v>138</v>
      </c>
      <c r="O274" s="30" t="s">
        <v>1055</v>
      </c>
      <c r="P274" s="30" t="s">
        <v>768</v>
      </c>
      <c r="Q274" s="30" t="s">
        <v>769</v>
      </c>
      <c r="R274" s="30"/>
      <c r="S274" s="30" t="s">
        <v>1056</v>
      </c>
      <c r="T274" s="30"/>
      <c r="U274" s="30" t="s">
        <v>144</v>
      </c>
      <c r="V274" s="30" t="s">
        <v>415</v>
      </c>
      <c r="W274" s="30" t="s">
        <v>1048</v>
      </c>
      <c r="X274" s="30" t="s">
        <v>147</v>
      </c>
      <c r="Y274" s="125" t="s">
        <v>576</v>
      </c>
      <c r="Z274" s="125" t="s">
        <v>576</v>
      </c>
      <c r="AA274" s="48" t="s">
        <v>148</v>
      </c>
      <c r="AB274" s="30" t="s">
        <v>773</v>
      </c>
      <c r="AC274" s="30" t="s">
        <v>773</v>
      </c>
      <c r="AD274" s="30"/>
      <c r="AE274" s="30"/>
      <c r="AF274" s="48" t="s">
        <v>604</v>
      </c>
      <c r="AG274" s="30" t="s">
        <v>774</v>
      </c>
      <c r="AH274" s="48" t="s">
        <v>775</v>
      </c>
      <c r="AI274" s="30"/>
      <c r="AJ274" s="50">
        <v>38307</v>
      </c>
      <c r="AK274" s="50">
        <v>38338</v>
      </c>
      <c r="AL274" s="51">
        <f t="shared" si="180"/>
        <v>20.884931506849316</v>
      </c>
      <c r="AM274" s="30">
        <v>8</v>
      </c>
      <c r="AN274" s="30" t="s">
        <v>1057</v>
      </c>
      <c r="AO274" s="30" t="s">
        <v>1050</v>
      </c>
      <c r="AP274" s="30" t="s">
        <v>1051</v>
      </c>
      <c r="AQ274" s="30">
        <v>6.24</v>
      </c>
      <c r="AR274" s="30">
        <v>1150</v>
      </c>
      <c r="AS274" s="30">
        <v>1200</v>
      </c>
      <c r="AT274" s="30">
        <v>2100</v>
      </c>
      <c r="AU274" s="54">
        <v>204918957</v>
      </c>
      <c r="AV274" s="54"/>
      <c r="AW274" s="54"/>
      <c r="AX274" s="54"/>
      <c r="AY274" s="54">
        <v>204917957</v>
      </c>
      <c r="AZ274" s="54">
        <v>0</v>
      </c>
      <c r="BA274" s="54">
        <v>1000</v>
      </c>
      <c r="BB274" s="55">
        <f>VLOOKUP(M274,[1]Sheet1!$E$6:$F$556,2,FALSE)</f>
        <v>1000</v>
      </c>
      <c r="BC274" s="74"/>
      <c r="BD274" s="74"/>
      <c r="BE274" s="30"/>
      <c r="BF274" s="30" t="s">
        <v>1052</v>
      </c>
      <c r="BG274" s="30" t="s">
        <v>1053</v>
      </c>
      <c r="BH274" s="30" t="s">
        <v>1054</v>
      </c>
      <c r="BI274" s="30" t="str">
        <f t="shared" si="176"/>
        <v>COF(Assy_FT)</v>
      </c>
      <c r="BJ274" s="47" t="s">
        <v>137</v>
      </c>
      <c r="BK274" s="67">
        <f t="shared" si="181"/>
        <v>4098379.14</v>
      </c>
      <c r="BL274" s="68">
        <f t="shared" si="147"/>
        <v>390693.22872274555</v>
      </c>
      <c r="BM274" s="68">
        <f t="shared" si="148"/>
        <v>130231.07624091518</v>
      </c>
      <c r="BP274" s="69">
        <f t="shared" si="154"/>
        <v>390693.22872274555</v>
      </c>
      <c r="BQ274" s="69">
        <f t="shared" si="155"/>
        <v>390693.22872274555</v>
      </c>
      <c r="BR274" s="69">
        <f t="shared" si="161"/>
        <v>781386.45744549111</v>
      </c>
      <c r="BS274" s="69">
        <f t="shared" si="156"/>
        <v>390693.22872274555</v>
      </c>
      <c r="BT274" s="69">
        <f t="shared" si="178"/>
        <v>390693.22872274555</v>
      </c>
      <c r="BU274" s="100">
        <f t="shared" si="178"/>
        <v>390693.22872274555</v>
      </c>
      <c r="BV274" s="100">
        <f t="shared" si="178"/>
        <v>390693.22872274555</v>
      </c>
      <c r="BW274" s="100">
        <f t="shared" si="162"/>
        <v>1562772.9148909822</v>
      </c>
      <c r="BX274" s="101">
        <f t="shared" si="157"/>
        <v>390693.22872274555</v>
      </c>
      <c r="BY274" s="101">
        <f t="shared" si="158"/>
        <v>390693.22872274555</v>
      </c>
      <c r="BZ274" s="18">
        <f t="shared" si="158"/>
        <v>390693.22872274555</v>
      </c>
      <c r="CA274" s="18">
        <f t="shared" si="158"/>
        <v>390693.22872274555</v>
      </c>
      <c r="CB274" s="70">
        <f t="shared" si="171"/>
        <v>1562772.9148909822</v>
      </c>
      <c r="CC274" s="18">
        <f t="shared" si="172"/>
        <v>390693.22872274555</v>
      </c>
      <c r="CD274" s="18">
        <f t="shared" si="182"/>
        <v>390693.22872274555</v>
      </c>
      <c r="CE274" s="18">
        <f t="shared" si="182"/>
        <v>390693.22872274555</v>
      </c>
      <c r="CF274" s="18">
        <f t="shared" si="182"/>
        <v>390693.22872274555</v>
      </c>
      <c r="CG274" s="70">
        <f t="shared" si="173"/>
        <v>1562772.9148909822</v>
      </c>
      <c r="CH274" s="18">
        <f t="shared" si="174"/>
        <v>390693.22872274555</v>
      </c>
      <c r="CI274" s="18">
        <f t="shared" si="179"/>
        <v>390693.22872274555</v>
      </c>
      <c r="CJ274" s="18">
        <f t="shared" si="179"/>
        <v>390693.22872274555</v>
      </c>
      <c r="CK274" s="18">
        <f t="shared" si="179"/>
        <v>390693.22872274555</v>
      </c>
      <c r="CL274" s="70">
        <f t="shared" si="175"/>
        <v>1562772.9148909822</v>
      </c>
      <c r="CM274" s="71"/>
      <c r="CN274" s="59">
        <f t="shared" si="183"/>
        <v>4.0018115138704081E-4</v>
      </c>
      <c r="CO274" s="64">
        <f t="shared" si="184"/>
        <v>8403804.1791278571</v>
      </c>
      <c r="CP274" s="2">
        <f t="shared" si="177"/>
        <v>12502183.319127858</v>
      </c>
    </row>
    <row r="275" spans="1:94" hidden="1" x14ac:dyDescent="0.3">
      <c r="A275" s="29">
        <v>270</v>
      </c>
      <c r="B275" s="30" t="s">
        <v>21</v>
      </c>
      <c r="C275" s="30"/>
      <c r="D275" s="30" t="s">
        <v>1041</v>
      </c>
      <c r="E275" s="30" t="s">
        <v>1042</v>
      </c>
      <c r="F275" s="30" t="s">
        <v>1043</v>
      </c>
      <c r="G275" s="30" t="s">
        <v>117</v>
      </c>
      <c r="H275" s="30" t="s">
        <v>1058</v>
      </c>
      <c r="I275" s="30" t="s">
        <v>119</v>
      </c>
      <c r="J275" s="30" t="s">
        <v>1044</v>
      </c>
      <c r="K275" s="30" t="s">
        <v>1044</v>
      </c>
      <c r="L275" s="30" t="s">
        <v>1059</v>
      </c>
      <c r="M275" s="30">
        <v>1000150</v>
      </c>
      <c r="N275" s="48" t="s">
        <v>559</v>
      </c>
      <c r="O275" s="30" t="s">
        <v>1060</v>
      </c>
      <c r="P275" s="30" t="s">
        <v>1061</v>
      </c>
      <c r="Q275" s="30" t="s">
        <v>1062</v>
      </c>
      <c r="R275" s="30"/>
      <c r="S275" s="30" t="s">
        <v>1063</v>
      </c>
      <c r="T275" s="30"/>
      <c r="U275" s="30" t="s">
        <v>144</v>
      </c>
      <c r="V275" s="30" t="s">
        <v>415</v>
      </c>
      <c r="W275" s="30" t="s">
        <v>984</v>
      </c>
      <c r="X275" s="30"/>
      <c r="Y275" s="30" t="s">
        <v>457</v>
      </c>
      <c r="Z275" s="30" t="s">
        <v>457</v>
      </c>
      <c r="AA275" s="30" t="s">
        <v>374</v>
      </c>
      <c r="AB275" s="30" t="s">
        <v>1064</v>
      </c>
      <c r="AC275" s="30" t="s">
        <v>1064</v>
      </c>
      <c r="AD275" s="30" t="s">
        <v>566</v>
      </c>
      <c r="AE275" s="30"/>
      <c r="AF275" s="30" t="s">
        <v>131</v>
      </c>
      <c r="AG275" s="30" t="s">
        <v>649</v>
      </c>
      <c r="AH275" s="30"/>
      <c r="AI275" s="30"/>
      <c r="AJ275" s="50">
        <v>38347</v>
      </c>
      <c r="AK275" s="50">
        <v>38347</v>
      </c>
      <c r="AL275" s="51">
        <f t="shared" si="180"/>
        <v>20.860273972602741</v>
      </c>
      <c r="AM275" s="30">
        <v>8</v>
      </c>
      <c r="AN275" s="30" t="s">
        <v>1065</v>
      </c>
      <c r="AO275" s="30" t="s">
        <v>1050</v>
      </c>
      <c r="AP275" s="30" t="s">
        <v>1051</v>
      </c>
      <c r="AQ275" s="30">
        <v>0</v>
      </c>
      <c r="AR275" s="30"/>
      <c r="AS275" s="30"/>
      <c r="AT275" s="30"/>
      <c r="AU275" s="74">
        <v>40000000</v>
      </c>
      <c r="AV275" s="54"/>
      <c r="AW275" s="54"/>
      <c r="AX275" s="54"/>
      <c r="AY275" s="54">
        <v>39999000</v>
      </c>
      <c r="AZ275" s="54">
        <v>0</v>
      </c>
      <c r="BA275" s="74">
        <v>1000</v>
      </c>
      <c r="BB275" s="55">
        <f>VLOOKUP(M275,[1]Sheet1!$E$6:$F$556,2,FALSE)</f>
        <v>1000</v>
      </c>
      <c r="BC275" s="74"/>
      <c r="BD275" s="74"/>
      <c r="BE275" s="30"/>
      <c r="BF275" s="30" t="s">
        <v>1052</v>
      </c>
      <c r="BG275" s="30" t="s">
        <v>1066</v>
      </c>
      <c r="BH275" s="30" t="s">
        <v>1054</v>
      </c>
      <c r="BI275" s="30" t="str">
        <f t="shared" si="176"/>
        <v>COF(Assy_FT)</v>
      </c>
      <c r="BJ275" s="30" t="s">
        <v>250</v>
      </c>
      <c r="BK275" s="56">
        <f t="shared" si="181"/>
        <v>800000</v>
      </c>
      <c r="BL275" s="57">
        <f t="shared" si="147"/>
        <v>25000</v>
      </c>
      <c r="BM275" s="57">
        <f t="shared" si="148"/>
        <v>8333.3333333333339</v>
      </c>
      <c r="BU275" s="58">
        <f>BM275*3</f>
        <v>25000</v>
      </c>
      <c r="BV275" s="58">
        <f t="shared" si="178"/>
        <v>25000</v>
      </c>
      <c r="BW275" s="58">
        <f>SUM(BS275:BV275)</f>
        <v>50000</v>
      </c>
      <c r="BX275" s="58">
        <f t="shared" si="157"/>
        <v>25000</v>
      </c>
      <c r="BY275" s="58">
        <f t="shared" si="158"/>
        <v>25000</v>
      </c>
      <c r="BZ275" s="58">
        <f>BM275*3</f>
        <v>25000</v>
      </c>
      <c r="CA275" s="58">
        <f t="shared" si="158"/>
        <v>25000</v>
      </c>
      <c r="CB275" s="58">
        <f t="shared" si="171"/>
        <v>100000</v>
      </c>
      <c r="CC275" s="58">
        <f t="shared" si="172"/>
        <v>25000</v>
      </c>
      <c r="CD275" s="58">
        <f t="shared" si="182"/>
        <v>25000</v>
      </c>
      <c r="CE275" s="58">
        <f t="shared" si="182"/>
        <v>25000</v>
      </c>
      <c r="CF275" s="58">
        <f t="shared" si="182"/>
        <v>25000</v>
      </c>
      <c r="CG275" s="58">
        <f t="shared" si="173"/>
        <v>100000</v>
      </c>
      <c r="CH275" s="58">
        <f t="shared" si="174"/>
        <v>25000</v>
      </c>
      <c r="CI275" s="58">
        <f t="shared" si="179"/>
        <v>25000</v>
      </c>
      <c r="CJ275" s="58">
        <f t="shared" si="179"/>
        <v>25000</v>
      </c>
      <c r="CK275" s="58">
        <f t="shared" si="179"/>
        <v>25000</v>
      </c>
      <c r="CL275" s="58">
        <f t="shared" si="175"/>
        <v>100000</v>
      </c>
      <c r="CP275" s="2">
        <f t="shared" si="177"/>
        <v>800000</v>
      </c>
    </row>
    <row r="276" spans="1:94" hidden="1" x14ac:dyDescent="0.3">
      <c r="A276" s="29">
        <v>271</v>
      </c>
      <c r="B276" s="30" t="s">
        <v>21</v>
      </c>
      <c r="C276" s="30"/>
      <c r="D276" s="30" t="s">
        <v>1041</v>
      </c>
      <c r="E276" s="30" t="s">
        <v>1042</v>
      </c>
      <c r="F276" s="30" t="s">
        <v>1043</v>
      </c>
      <c r="G276" s="30" t="s">
        <v>117</v>
      </c>
      <c r="H276" s="30" t="s">
        <v>1058</v>
      </c>
      <c r="I276" s="30" t="s">
        <v>119</v>
      </c>
      <c r="J276" s="30" t="s">
        <v>1044</v>
      </c>
      <c r="K276" s="30" t="s">
        <v>1044</v>
      </c>
      <c r="L276" s="30" t="s">
        <v>1059</v>
      </c>
      <c r="M276" s="30">
        <v>1000160</v>
      </c>
      <c r="N276" s="30" t="s">
        <v>559</v>
      </c>
      <c r="O276" s="30" t="s">
        <v>1067</v>
      </c>
      <c r="P276" s="30" t="s">
        <v>1068</v>
      </c>
      <c r="Q276" s="30" t="s">
        <v>1069</v>
      </c>
      <c r="R276" s="30"/>
      <c r="S276" s="30"/>
      <c r="T276" s="30" t="s">
        <v>1070</v>
      </c>
      <c r="U276" s="30" t="s">
        <v>144</v>
      </c>
      <c r="V276" s="30" t="s">
        <v>437</v>
      </c>
      <c r="W276" s="30" t="s">
        <v>1071</v>
      </c>
      <c r="X276" s="30"/>
      <c r="Y276" s="30" t="s">
        <v>457</v>
      </c>
      <c r="Z276" s="30" t="s">
        <v>457</v>
      </c>
      <c r="AA276" s="30" t="s">
        <v>129</v>
      </c>
      <c r="AB276" s="30" t="s">
        <v>1072</v>
      </c>
      <c r="AC276" s="30" t="s">
        <v>1072</v>
      </c>
      <c r="AD276" s="30" t="s">
        <v>566</v>
      </c>
      <c r="AE276" s="30"/>
      <c r="AF276" s="30" t="s">
        <v>131</v>
      </c>
      <c r="AG276" s="30" t="s">
        <v>1073</v>
      </c>
      <c r="AH276" s="30"/>
      <c r="AI276" s="30"/>
      <c r="AJ276" s="50">
        <v>38351</v>
      </c>
      <c r="AK276" s="50">
        <v>38351</v>
      </c>
      <c r="AL276" s="51">
        <f t="shared" si="180"/>
        <v>20.849315068493151</v>
      </c>
      <c r="AM276" s="30">
        <v>8</v>
      </c>
      <c r="AN276" s="30" t="s">
        <v>1065</v>
      </c>
      <c r="AO276" s="30" t="s">
        <v>1050</v>
      </c>
      <c r="AP276" s="30" t="s">
        <v>1051</v>
      </c>
      <c r="AQ276" s="30">
        <v>0</v>
      </c>
      <c r="AR276" s="30"/>
      <c r="AS276" s="30"/>
      <c r="AT276" s="30"/>
      <c r="AU276" s="74">
        <v>360000</v>
      </c>
      <c r="AV276" s="54"/>
      <c r="AW276" s="54"/>
      <c r="AX276" s="54"/>
      <c r="AY276" s="54">
        <v>359000</v>
      </c>
      <c r="AZ276" s="54">
        <v>0</v>
      </c>
      <c r="BA276" s="74">
        <v>1000</v>
      </c>
      <c r="BB276" s="55">
        <f>VLOOKUP(M276,[1]Sheet1!$E$6:$F$556,2,FALSE)</f>
        <v>1000</v>
      </c>
      <c r="BC276" s="74"/>
      <c r="BD276" s="74"/>
      <c r="BE276" s="30"/>
      <c r="BF276" s="30" t="s">
        <v>1052</v>
      </c>
      <c r="BG276" s="30" t="s">
        <v>1074</v>
      </c>
      <c r="BH276" s="30" t="s">
        <v>1054</v>
      </c>
      <c r="BI276" s="30" t="str">
        <f t="shared" si="176"/>
        <v>COF(Assy_FT)</v>
      </c>
      <c r="BJ276" s="30" t="s">
        <v>250</v>
      </c>
      <c r="BK276" s="56">
        <f t="shared" si="181"/>
        <v>7200</v>
      </c>
      <c r="BL276" s="57">
        <f t="shared" si="147"/>
        <v>225</v>
      </c>
      <c r="BM276" s="57">
        <f t="shared" si="148"/>
        <v>75</v>
      </c>
      <c r="BU276" s="58">
        <f>BM276*3</f>
        <v>225</v>
      </c>
      <c r="BV276" s="58">
        <f t="shared" si="178"/>
        <v>225</v>
      </c>
      <c r="BW276" s="58">
        <f>SUM(BS276:BV276)</f>
        <v>450</v>
      </c>
      <c r="BX276" s="58">
        <f t="shared" si="157"/>
        <v>225</v>
      </c>
      <c r="BY276" s="58">
        <f t="shared" si="158"/>
        <v>225</v>
      </c>
      <c r="BZ276" s="58">
        <f>BM276*3</f>
        <v>225</v>
      </c>
      <c r="CA276" s="58">
        <f t="shared" si="158"/>
        <v>225</v>
      </c>
      <c r="CB276" s="58">
        <f t="shared" si="171"/>
        <v>900</v>
      </c>
      <c r="CC276" s="58">
        <f t="shared" si="172"/>
        <v>225</v>
      </c>
      <c r="CD276" s="58">
        <f t="shared" si="182"/>
        <v>225</v>
      </c>
      <c r="CE276" s="58">
        <f t="shared" si="182"/>
        <v>225</v>
      </c>
      <c r="CF276" s="58">
        <f t="shared" si="182"/>
        <v>225</v>
      </c>
      <c r="CG276" s="58">
        <f t="shared" si="173"/>
        <v>900</v>
      </c>
      <c r="CH276" s="58">
        <f t="shared" si="174"/>
        <v>225</v>
      </c>
      <c r="CI276" s="58">
        <f t="shared" si="179"/>
        <v>225</v>
      </c>
      <c r="CJ276" s="58">
        <f t="shared" si="179"/>
        <v>225</v>
      </c>
      <c r="CK276" s="58">
        <f t="shared" si="179"/>
        <v>225</v>
      </c>
      <c r="CL276" s="58">
        <f t="shared" si="175"/>
        <v>900</v>
      </c>
      <c r="CP276" s="2">
        <f t="shared" si="177"/>
        <v>7200</v>
      </c>
    </row>
    <row r="277" spans="1:94" hidden="1" x14ac:dyDescent="0.3">
      <c r="A277" s="29">
        <v>272</v>
      </c>
      <c r="B277" s="30" t="s">
        <v>21</v>
      </c>
      <c r="C277" s="30"/>
      <c r="D277" s="30" t="s">
        <v>1041</v>
      </c>
      <c r="E277" s="30" t="s">
        <v>1042</v>
      </c>
      <c r="F277" s="30" t="s">
        <v>1043</v>
      </c>
      <c r="G277" s="30" t="s">
        <v>117</v>
      </c>
      <c r="H277" s="30" t="s">
        <v>385</v>
      </c>
      <c r="I277" s="30" t="s">
        <v>119</v>
      </c>
      <c r="J277" s="30" t="s">
        <v>1044</v>
      </c>
      <c r="K277" s="30" t="s">
        <v>1044</v>
      </c>
      <c r="L277" s="30" t="s">
        <v>1075</v>
      </c>
      <c r="M277" s="30">
        <v>1000161</v>
      </c>
      <c r="N277" s="30" t="s">
        <v>559</v>
      </c>
      <c r="O277" s="30" t="s">
        <v>1076</v>
      </c>
      <c r="P277" s="30" t="s">
        <v>1077</v>
      </c>
      <c r="Q277" s="30" t="s">
        <v>1077</v>
      </c>
      <c r="R277" s="30"/>
      <c r="S277" s="30"/>
      <c r="T277" s="30" t="s">
        <v>1070</v>
      </c>
      <c r="U277" s="30" t="s">
        <v>144</v>
      </c>
      <c r="V277" s="30" t="s">
        <v>437</v>
      </c>
      <c r="W277" s="30" t="s">
        <v>1078</v>
      </c>
      <c r="X277" s="30"/>
      <c r="Y277" s="30" t="s">
        <v>457</v>
      </c>
      <c r="Z277" s="30" t="s">
        <v>457</v>
      </c>
      <c r="AA277" s="30" t="s">
        <v>129</v>
      </c>
      <c r="AB277" s="30" t="s">
        <v>1079</v>
      </c>
      <c r="AC277" s="30" t="s">
        <v>1079</v>
      </c>
      <c r="AD277" s="30" t="s">
        <v>566</v>
      </c>
      <c r="AE277" s="30"/>
      <c r="AF277" s="30" t="s">
        <v>131</v>
      </c>
      <c r="AG277" s="30" t="s">
        <v>649</v>
      </c>
      <c r="AH277" s="30"/>
      <c r="AI277" s="30"/>
      <c r="AJ277" s="50">
        <v>38351</v>
      </c>
      <c r="AK277" s="50">
        <v>38351</v>
      </c>
      <c r="AL277" s="51">
        <f t="shared" si="180"/>
        <v>20.849315068493151</v>
      </c>
      <c r="AM277" s="30">
        <v>8</v>
      </c>
      <c r="AN277" s="30" t="s">
        <v>1065</v>
      </c>
      <c r="AO277" s="30" t="s">
        <v>1050</v>
      </c>
      <c r="AP277" s="30" t="s">
        <v>1051</v>
      </c>
      <c r="AQ277" s="30">
        <v>0</v>
      </c>
      <c r="AR277" s="30"/>
      <c r="AS277" s="30"/>
      <c r="AT277" s="30"/>
      <c r="AU277" s="74">
        <v>410000</v>
      </c>
      <c r="AV277" s="54"/>
      <c r="AW277" s="54"/>
      <c r="AX277" s="54"/>
      <c r="AY277" s="54">
        <v>409000</v>
      </c>
      <c r="AZ277" s="54">
        <v>0</v>
      </c>
      <c r="BA277" s="74">
        <v>1000</v>
      </c>
      <c r="BB277" s="55">
        <f>VLOOKUP(M277,[1]Sheet1!$E$6:$F$556,2,FALSE)</f>
        <v>1000</v>
      </c>
      <c r="BC277" s="74"/>
      <c r="BD277" s="74"/>
      <c r="BE277" s="30"/>
      <c r="BF277" s="30" t="s">
        <v>1052</v>
      </c>
      <c r="BG277" s="30" t="s">
        <v>1080</v>
      </c>
      <c r="BH277" s="30" t="s">
        <v>1054</v>
      </c>
      <c r="BI277" s="30" t="str">
        <f t="shared" si="176"/>
        <v>COF(Assy_FT)</v>
      </c>
      <c r="BJ277" s="30" t="s">
        <v>250</v>
      </c>
      <c r="BK277" s="56">
        <f t="shared" si="181"/>
        <v>8200</v>
      </c>
      <c r="BL277" s="57">
        <f t="shared" si="147"/>
        <v>256.25</v>
      </c>
      <c r="BM277" s="57">
        <f t="shared" si="148"/>
        <v>85.416666666666671</v>
      </c>
      <c r="BU277" s="58">
        <f>BM277*3</f>
        <v>256.25</v>
      </c>
      <c r="BV277" s="58">
        <f t="shared" si="178"/>
        <v>256.25</v>
      </c>
      <c r="BW277" s="58">
        <f>SUM(BS277:BV277)</f>
        <v>512.5</v>
      </c>
      <c r="BX277" s="58">
        <f t="shared" si="157"/>
        <v>256.25</v>
      </c>
      <c r="BY277" s="58">
        <f t="shared" si="158"/>
        <v>256.25</v>
      </c>
      <c r="BZ277" s="58">
        <f>BM277*3</f>
        <v>256.25</v>
      </c>
      <c r="CA277" s="58">
        <f t="shared" si="158"/>
        <v>256.25</v>
      </c>
      <c r="CB277" s="58">
        <f t="shared" si="171"/>
        <v>1025</v>
      </c>
      <c r="CC277" s="58">
        <f t="shared" si="172"/>
        <v>256.25</v>
      </c>
      <c r="CD277" s="58">
        <f t="shared" si="182"/>
        <v>256.25</v>
      </c>
      <c r="CE277" s="58">
        <f t="shared" si="182"/>
        <v>256.25</v>
      </c>
      <c r="CF277" s="58">
        <f t="shared" si="182"/>
        <v>256.25</v>
      </c>
      <c r="CG277" s="58">
        <f t="shared" si="173"/>
        <v>1025</v>
      </c>
      <c r="CH277" s="58">
        <f t="shared" si="174"/>
        <v>256.25</v>
      </c>
      <c r="CI277" s="58">
        <f t="shared" si="179"/>
        <v>256.25</v>
      </c>
      <c r="CJ277" s="58">
        <f t="shared" si="179"/>
        <v>256.25</v>
      </c>
      <c r="CK277" s="58">
        <f t="shared" si="179"/>
        <v>256.25</v>
      </c>
      <c r="CL277" s="58">
        <f t="shared" si="175"/>
        <v>1025</v>
      </c>
      <c r="CP277" s="2">
        <f t="shared" si="177"/>
        <v>8200</v>
      </c>
    </row>
    <row r="278" spans="1:94" ht="16.5" hidden="1" x14ac:dyDescent="0.3">
      <c r="A278" s="2">
        <v>273</v>
      </c>
      <c r="B278" s="47" t="s">
        <v>21</v>
      </c>
      <c r="C278" s="47"/>
      <c r="D278" s="30" t="s">
        <v>1041</v>
      </c>
      <c r="E278" s="30" t="s">
        <v>1042</v>
      </c>
      <c r="F278" s="30" t="s">
        <v>1043</v>
      </c>
      <c r="G278" s="30" t="s">
        <v>117</v>
      </c>
      <c r="H278" s="30" t="s">
        <v>385</v>
      </c>
      <c r="I278" s="30" t="s">
        <v>119</v>
      </c>
      <c r="J278" s="30" t="s">
        <v>1044</v>
      </c>
      <c r="K278" s="30" t="s">
        <v>1044</v>
      </c>
      <c r="L278" s="30" t="s">
        <v>1075</v>
      </c>
      <c r="M278" s="30">
        <v>1000172</v>
      </c>
      <c r="N278" s="30" t="s">
        <v>138</v>
      </c>
      <c r="O278" s="30" t="s">
        <v>1081</v>
      </c>
      <c r="P278" s="30" t="s">
        <v>1082</v>
      </c>
      <c r="Q278" s="30" t="s">
        <v>1083</v>
      </c>
      <c r="R278" s="30"/>
      <c r="S278" s="30" t="s">
        <v>1084</v>
      </c>
      <c r="T278" s="30" t="s">
        <v>1085</v>
      </c>
      <c r="U278" s="30" t="s">
        <v>144</v>
      </c>
      <c r="V278" s="30" t="s">
        <v>437</v>
      </c>
      <c r="W278" s="30" t="s">
        <v>1086</v>
      </c>
      <c r="X278" s="30" t="s">
        <v>147</v>
      </c>
      <c r="Y278" s="125" t="s">
        <v>457</v>
      </c>
      <c r="Z278" s="125" t="s">
        <v>457</v>
      </c>
      <c r="AA278" s="30" t="s">
        <v>129</v>
      </c>
      <c r="AB278" s="30" t="s">
        <v>1087</v>
      </c>
      <c r="AC278" s="30" t="s">
        <v>1087</v>
      </c>
      <c r="AD278" s="30"/>
      <c r="AE278" s="30"/>
      <c r="AF278" s="30" t="s">
        <v>131</v>
      </c>
      <c r="AG278" s="30" t="s">
        <v>1088</v>
      </c>
      <c r="AH278" s="30"/>
      <c r="AI278" s="30"/>
      <c r="AJ278" s="50">
        <v>38306</v>
      </c>
      <c r="AK278" s="50">
        <v>38351</v>
      </c>
      <c r="AL278" s="51">
        <f t="shared" si="180"/>
        <v>20.849315068493151</v>
      </c>
      <c r="AM278" s="30">
        <v>8</v>
      </c>
      <c r="AN278" s="30" t="s">
        <v>1057</v>
      </c>
      <c r="AO278" s="30" t="s">
        <v>1050</v>
      </c>
      <c r="AP278" s="30" t="s">
        <v>1051</v>
      </c>
      <c r="AQ278" s="30">
        <v>1</v>
      </c>
      <c r="AR278" s="30">
        <v>900</v>
      </c>
      <c r="AS278" s="30">
        <v>600</v>
      </c>
      <c r="AT278" s="30">
        <v>500</v>
      </c>
      <c r="AU278" s="54">
        <v>19000000</v>
      </c>
      <c r="AV278" s="54"/>
      <c r="AW278" s="54"/>
      <c r="AX278" s="54"/>
      <c r="AY278" s="54">
        <v>18999000</v>
      </c>
      <c r="AZ278" s="54">
        <v>0</v>
      </c>
      <c r="BA278" s="54">
        <v>1000</v>
      </c>
      <c r="BB278" s="55">
        <f>VLOOKUP(M278,[1]Sheet1!$E$6:$F$556,2,FALSE)</f>
        <v>1000</v>
      </c>
      <c r="BC278" s="74"/>
      <c r="BD278" s="74"/>
      <c r="BE278" s="30"/>
      <c r="BF278" s="30" t="s">
        <v>1052</v>
      </c>
      <c r="BG278" s="30" t="s">
        <v>1053</v>
      </c>
      <c r="BH278" s="30" t="s">
        <v>1054</v>
      </c>
      <c r="BI278" s="30" t="str">
        <f t="shared" si="176"/>
        <v>COF(Assy_FT)</v>
      </c>
      <c r="BJ278" s="47" t="s">
        <v>137</v>
      </c>
      <c r="BK278" s="67">
        <f t="shared" si="181"/>
        <v>380000</v>
      </c>
      <c r="BL278" s="68">
        <f t="shared" si="147"/>
        <v>36224.912787020308</v>
      </c>
      <c r="BM278" s="68">
        <f t="shared" si="148"/>
        <v>12074.970929006769</v>
      </c>
      <c r="BP278" s="69">
        <f t="shared" si="154"/>
        <v>36224.912787020308</v>
      </c>
      <c r="BQ278" s="69">
        <f t="shared" si="155"/>
        <v>36224.912787020308</v>
      </c>
      <c r="BR278" s="69">
        <f t="shared" si="161"/>
        <v>72449.825574040617</v>
      </c>
      <c r="BS278" s="69">
        <f t="shared" si="156"/>
        <v>36224.912787020308</v>
      </c>
      <c r="BT278" s="69">
        <f t="shared" si="178"/>
        <v>36224.912787020308</v>
      </c>
      <c r="BU278" s="100">
        <f t="shared" si="178"/>
        <v>36224.912787020308</v>
      </c>
      <c r="BV278" s="100">
        <f t="shared" si="178"/>
        <v>36224.912787020308</v>
      </c>
      <c r="BW278" s="100">
        <f t="shared" si="162"/>
        <v>144899.65114808123</v>
      </c>
      <c r="BX278" s="101">
        <f t="shared" si="157"/>
        <v>36224.912787020308</v>
      </c>
      <c r="BY278" s="101">
        <f t="shared" si="158"/>
        <v>36224.912787020308</v>
      </c>
      <c r="BZ278" s="18">
        <f>BM278*3</f>
        <v>36224.912787020308</v>
      </c>
      <c r="CA278" s="18">
        <f t="shared" si="158"/>
        <v>36224.912787020308</v>
      </c>
      <c r="CB278" s="70">
        <f t="shared" si="171"/>
        <v>144899.65114808123</v>
      </c>
      <c r="CC278" s="18">
        <f t="shared" si="172"/>
        <v>36224.912787020308</v>
      </c>
      <c r="CD278" s="18">
        <f t="shared" si="182"/>
        <v>36224.912787020308</v>
      </c>
      <c r="CE278" s="18">
        <f t="shared" si="182"/>
        <v>36224.912787020308</v>
      </c>
      <c r="CF278" s="18">
        <f t="shared" si="182"/>
        <v>36224.912787020308</v>
      </c>
      <c r="CG278" s="70">
        <f t="shared" si="173"/>
        <v>144899.65114808123</v>
      </c>
      <c r="CH278" s="18">
        <f t="shared" si="174"/>
        <v>36224.912787020308</v>
      </c>
      <c r="CI278" s="18">
        <f t="shared" si="179"/>
        <v>36224.912787020308</v>
      </c>
      <c r="CJ278" s="18">
        <f t="shared" si="179"/>
        <v>36224.912787020308</v>
      </c>
      <c r="CK278" s="18">
        <f t="shared" si="179"/>
        <v>36224.912787020308</v>
      </c>
      <c r="CL278" s="70">
        <f t="shared" si="175"/>
        <v>144899.65114808123</v>
      </c>
      <c r="CM278" s="71"/>
      <c r="CN278" s="59">
        <f t="shared" ref="CN278:CN280" si="185">BK278/$CN$3</f>
        <v>3.7104629008792856E-5</v>
      </c>
      <c r="CO278" s="64">
        <f t="shared" ref="CO278:CO280" si="186">CN278*$CO$4</f>
        <v>779197.20918464998</v>
      </c>
      <c r="CP278" s="2">
        <f t="shared" si="177"/>
        <v>1159197.2091846499</v>
      </c>
    </row>
    <row r="279" spans="1:94" ht="16.5" x14ac:dyDescent="0.3">
      <c r="A279" s="2">
        <v>274</v>
      </c>
      <c r="B279" s="47" t="s">
        <v>21</v>
      </c>
      <c r="C279" s="47"/>
      <c r="D279" s="30" t="s">
        <v>1041</v>
      </c>
      <c r="E279" s="30" t="s">
        <v>1042</v>
      </c>
      <c r="F279" s="30" t="s">
        <v>1043</v>
      </c>
      <c r="G279" s="30" t="s">
        <v>117</v>
      </c>
      <c r="H279" s="30" t="s">
        <v>385</v>
      </c>
      <c r="I279" s="30" t="s">
        <v>119</v>
      </c>
      <c r="J279" s="30" t="s">
        <v>1044</v>
      </c>
      <c r="K279" s="30" t="s">
        <v>1044</v>
      </c>
      <c r="L279" s="30" t="s">
        <v>1089</v>
      </c>
      <c r="M279" s="30">
        <v>1000173</v>
      </c>
      <c r="N279" s="30" t="s">
        <v>138</v>
      </c>
      <c r="O279" s="30" t="s">
        <v>1090</v>
      </c>
      <c r="P279" s="30" t="s">
        <v>1091</v>
      </c>
      <c r="Q279" s="30" t="s">
        <v>1092</v>
      </c>
      <c r="R279" s="30"/>
      <c r="S279" s="30" t="s">
        <v>1093</v>
      </c>
      <c r="T279" s="30" t="s">
        <v>1094</v>
      </c>
      <c r="U279" s="30" t="s">
        <v>144</v>
      </c>
      <c r="V279" s="30" t="s">
        <v>437</v>
      </c>
      <c r="W279" s="30" t="s">
        <v>1095</v>
      </c>
      <c r="X279" s="30" t="s">
        <v>147</v>
      </c>
      <c r="Y279" s="125" t="s">
        <v>457</v>
      </c>
      <c r="Z279" s="125" t="s">
        <v>457</v>
      </c>
      <c r="AA279" s="30" t="s">
        <v>129</v>
      </c>
      <c r="AB279" s="30" t="s">
        <v>1096</v>
      </c>
      <c r="AC279" s="30" t="s">
        <v>1096</v>
      </c>
      <c r="AD279" s="30" t="s">
        <v>566</v>
      </c>
      <c r="AE279" s="30"/>
      <c r="AF279" s="30" t="s">
        <v>131</v>
      </c>
      <c r="AG279" s="30" t="s">
        <v>1097</v>
      </c>
      <c r="AH279" s="30"/>
      <c r="AI279" s="30"/>
      <c r="AJ279" s="50">
        <v>38309</v>
      </c>
      <c r="AK279" s="50">
        <v>38351</v>
      </c>
      <c r="AL279" s="51">
        <f t="shared" si="180"/>
        <v>20.849315068493151</v>
      </c>
      <c r="AM279" s="30">
        <v>8</v>
      </c>
      <c r="AN279" s="30" t="s">
        <v>1057</v>
      </c>
      <c r="AO279" s="30" t="s">
        <v>1050</v>
      </c>
      <c r="AP279" s="30" t="s">
        <v>1051</v>
      </c>
      <c r="AQ279" s="30">
        <v>2.4</v>
      </c>
      <c r="AR279" s="30">
        <v>700</v>
      </c>
      <c r="AS279" s="30">
        <v>600</v>
      </c>
      <c r="AT279" s="30">
        <v>1200</v>
      </c>
      <c r="AU279" s="54">
        <v>23450000</v>
      </c>
      <c r="AV279" s="54"/>
      <c r="AW279" s="54"/>
      <c r="AX279" s="54"/>
      <c r="AY279" s="54">
        <v>23449000</v>
      </c>
      <c r="AZ279" s="54">
        <v>0</v>
      </c>
      <c r="BA279" s="54">
        <v>1000</v>
      </c>
      <c r="BB279" s="55">
        <f>VLOOKUP(M279,[1]Sheet1!$E$6:$F$556,2,FALSE)</f>
        <v>1000</v>
      </c>
      <c r="BC279" s="74"/>
      <c r="BD279" s="74"/>
      <c r="BE279" s="30"/>
      <c r="BF279" s="30" t="s">
        <v>1052</v>
      </c>
      <c r="BG279" s="30" t="s">
        <v>1053</v>
      </c>
      <c r="BH279" s="30" t="s">
        <v>1054</v>
      </c>
      <c r="BI279" s="30" t="str">
        <f t="shared" si="176"/>
        <v>COF(Assy_FT)</v>
      </c>
      <c r="BJ279" s="47" t="s">
        <v>137</v>
      </c>
      <c r="BK279" s="67">
        <f t="shared" si="181"/>
        <v>469000</v>
      </c>
      <c r="BL279" s="68">
        <f t="shared" si="147"/>
        <v>44709.168676611909</v>
      </c>
      <c r="BM279" s="68">
        <f t="shared" si="148"/>
        <v>14903.056225537302</v>
      </c>
      <c r="BP279" s="69">
        <f t="shared" si="154"/>
        <v>44709.168676611909</v>
      </c>
      <c r="BQ279" s="69">
        <f t="shared" si="155"/>
        <v>44709.168676611909</v>
      </c>
      <c r="BR279" s="69">
        <f t="shared" si="161"/>
        <v>89418.337353223818</v>
      </c>
      <c r="BS279" s="69">
        <f t="shared" si="156"/>
        <v>44709.168676611909</v>
      </c>
      <c r="BT279" s="69">
        <f t="shared" si="178"/>
        <v>44709.168676611909</v>
      </c>
      <c r="BU279" s="100">
        <f t="shared" si="178"/>
        <v>44709.168676611909</v>
      </c>
      <c r="BV279" s="100">
        <f t="shared" si="178"/>
        <v>44709.168676611909</v>
      </c>
      <c r="BW279" s="100">
        <f t="shared" si="162"/>
        <v>178836.67470644764</v>
      </c>
      <c r="BX279" s="101">
        <f t="shared" si="157"/>
        <v>44709.168676611909</v>
      </c>
      <c r="BY279" s="101">
        <f t="shared" si="158"/>
        <v>44709.168676611909</v>
      </c>
      <c r="BZ279" s="18">
        <f>BM279*3</f>
        <v>44709.168676611909</v>
      </c>
      <c r="CA279" s="18">
        <f t="shared" si="158"/>
        <v>44709.168676611909</v>
      </c>
      <c r="CB279" s="70">
        <f t="shared" si="171"/>
        <v>178836.67470644764</v>
      </c>
      <c r="CC279" s="18">
        <f t="shared" si="172"/>
        <v>44709.168676611909</v>
      </c>
      <c r="CD279" s="18">
        <f t="shared" si="182"/>
        <v>44709.168676611909</v>
      </c>
      <c r="CE279" s="18">
        <f t="shared" si="182"/>
        <v>44709.168676611909</v>
      </c>
      <c r="CF279" s="18">
        <f t="shared" si="182"/>
        <v>44709.168676611909</v>
      </c>
      <c r="CG279" s="70">
        <f t="shared" si="173"/>
        <v>178836.67470644764</v>
      </c>
      <c r="CH279" s="18">
        <f t="shared" si="174"/>
        <v>44709.168676611909</v>
      </c>
      <c r="CI279" s="18">
        <f t="shared" si="179"/>
        <v>44709.168676611909</v>
      </c>
      <c r="CJ279" s="18">
        <f t="shared" si="179"/>
        <v>44709.168676611909</v>
      </c>
      <c r="CK279" s="18">
        <f t="shared" si="179"/>
        <v>44709.168676611909</v>
      </c>
      <c r="CL279" s="70">
        <f t="shared" si="175"/>
        <v>178836.67470644764</v>
      </c>
      <c r="CM279" s="71"/>
      <c r="CN279" s="59">
        <f t="shared" si="185"/>
        <v>4.5794923697694337E-5</v>
      </c>
      <c r="CO279" s="64">
        <f t="shared" si="186"/>
        <v>961693.39765158109</v>
      </c>
      <c r="CP279" s="2">
        <f t="shared" si="177"/>
        <v>1430693.3976515811</v>
      </c>
    </row>
    <row r="280" spans="1:94" ht="16.5" hidden="1" x14ac:dyDescent="0.3">
      <c r="A280" s="2">
        <v>275</v>
      </c>
      <c r="B280" s="47" t="s">
        <v>21</v>
      </c>
      <c r="C280" s="47"/>
      <c r="D280" s="30" t="s">
        <v>1041</v>
      </c>
      <c r="E280" s="30" t="s">
        <v>1042</v>
      </c>
      <c r="F280" s="30" t="s">
        <v>1043</v>
      </c>
      <c r="G280" s="30" t="s">
        <v>117</v>
      </c>
      <c r="H280" s="30" t="s">
        <v>1058</v>
      </c>
      <c r="I280" s="30" t="s">
        <v>119</v>
      </c>
      <c r="J280" s="30" t="s">
        <v>1044</v>
      </c>
      <c r="K280" s="30" t="s">
        <v>1044</v>
      </c>
      <c r="L280" s="30" t="s">
        <v>766</v>
      </c>
      <c r="M280" s="30">
        <v>1000174</v>
      </c>
      <c r="N280" s="30" t="s">
        <v>138</v>
      </c>
      <c r="O280" s="30" t="s">
        <v>1098</v>
      </c>
      <c r="P280" s="30" t="s">
        <v>1099</v>
      </c>
      <c r="Q280" s="30" t="s">
        <v>1100</v>
      </c>
      <c r="R280" s="30"/>
      <c r="S280" s="30" t="s">
        <v>1101</v>
      </c>
      <c r="T280" s="30"/>
      <c r="U280" s="30" t="s">
        <v>144</v>
      </c>
      <c r="V280" s="30" t="s">
        <v>415</v>
      </c>
      <c r="W280" s="30" t="s">
        <v>1102</v>
      </c>
      <c r="X280" s="30" t="s">
        <v>147</v>
      </c>
      <c r="Y280" s="125" t="s">
        <v>576</v>
      </c>
      <c r="Z280" s="125" t="s">
        <v>576</v>
      </c>
      <c r="AA280" s="48" t="s">
        <v>148</v>
      </c>
      <c r="AB280" s="30" t="s">
        <v>773</v>
      </c>
      <c r="AC280" s="30"/>
      <c r="AD280" s="30" t="s">
        <v>566</v>
      </c>
      <c r="AE280" s="30"/>
      <c r="AF280" s="48" t="s">
        <v>604</v>
      </c>
      <c r="AG280" s="30" t="s">
        <v>440</v>
      </c>
      <c r="AH280" s="30"/>
      <c r="AI280" s="30"/>
      <c r="AJ280" s="50">
        <v>38351</v>
      </c>
      <c r="AK280" s="50">
        <v>38351</v>
      </c>
      <c r="AL280" s="51">
        <f t="shared" si="180"/>
        <v>20.849315068493151</v>
      </c>
      <c r="AM280" s="30">
        <v>8</v>
      </c>
      <c r="AN280" s="30" t="s">
        <v>1057</v>
      </c>
      <c r="AO280" s="30" t="s">
        <v>1050</v>
      </c>
      <c r="AP280" s="30" t="s">
        <v>1051</v>
      </c>
      <c r="AQ280" s="30">
        <v>1</v>
      </c>
      <c r="AR280" s="30">
        <v>430</v>
      </c>
      <c r="AS280" s="30">
        <v>500</v>
      </c>
      <c r="AT280" s="30">
        <v>1350</v>
      </c>
      <c r="AU280" s="54">
        <v>31000000</v>
      </c>
      <c r="AV280" s="54"/>
      <c r="AW280" s="54"/>
      <c r="AX280" s="54"/>
      <c r="AY280" s="54">
        <v>30999000</v>
      </c>
      <c r="AZ280" s="54">
        <v>0</v>
      </c>
      <c r="BA280" s="54">
        <v>1000</v>
      </c>
      <c r="BB280" s="55">
        <f>VLOOKUP(M280,[1]Sheet1!$E$6:$F$556,2,FALSE)</f>
        <v>1000</v>
      </c>
      <c r="BC280" s="74"/>
      <c r="BD280" s="74"/>
      <c r="BE280" s="30"/>
      <c r="BF280" s="30" t="s">
        <v>1052</v>
      </c>
      <c r="BG280" s="30" t="s">
        <v>1053</v>
      </c>
      <c r="BH280" s="30" t="s">
        <v>1054</v>
      </c>
      <c r="BI280" s="30" t="str">
        <f t="shared" si="176"/>
        <v>COF(Assy_FT)</v>
      </c>
      <c r="BJ280" s="47" t="s">
        <v>137</v>
      </c>
      <c r="BK280" s="67">
        <f t="shared" si="181"/>
        <v>620000</v>
      </c>
      <c r="BL280" s="68">
        <f t="shared" si="147"/>
        <v>59103.805073559459</v>
      </c>
      <c r="BM280" s="68">
        <f t="shared" si="148"/>
        <v>19701.268357853154</v>
      </c>
      <c r="BP280" s="69">
        <f t="shared" si="154"/>
        <v>59103.805073559459</v>
      </c>
      <c r="BQ280" s="69">
        <f t="shared" si="155"/>
        <v>59103.805073559459</v>
      </c>
      <c r="BR280" s="69">
        <f t="shared" si="161"/>
        <v>118207.61014711892</v>
      </c>
      <c r="BS280" s="69">
        <f t="shared" si="156"/>
        <v>59103.805073559459</v>
      </c>
      <c r="BT280" s="69">
        <f t="shared" si="178"/>
        <v>59103.805073559459</v>
      </c>
      <c r="BU280" s="100">
        <f t="shared" si="178"/>
        <v>59103.805073559459</v>
      </c>
      <c r="BV280" s="100">
        <f t="shared" si="178"/>
        <v>59103.805073559459</v>
      </c>
      <c r="BW280" s="100">
        <f t="shared" si="162"/>
        <v>236415.22029423784</v>
      </c>
      <c r="BX280" s="101">
        <f t="shared" si="157"/>
        <v>59103.805073559459</v>
      </c>
      <c r="BY280" s="101">
        <f t="shared" si="158"/>
        <v>59103.805073559459</v>
      </c>
      <c r="BZ280" s="18">
        <f>BY280</f>
        <v>59103.805073559459</v>
      </c>
      <c r="CA280" s="18">
        <f t="shared" si="158"/>
        <v>59103.805073559459</v>
      </c>
      <c r="CB280" s="70">
        <f t="shared" si="171"/>
        <v>236415.22029423784</v>
      </c>
      <c r="CC280" s="18">
        <f t="shared" si="172"/>
        <v>59103.805073559459</v>
      </c>
      <c r="CD280" s="18">
        <f t="shared" si="182"/>
        <v>59103.805073559459</v>
      </c>
      <c r="CE280" s="18">
        <f t="shared" si="182"/>
        <v>59103.805073559459</v>
      </c>
      <c r="CF280" s="18">
        <f t="shared" si="182"/>
        <v>59103.805073559459</v>
      </c>
      <c r="CG280" s="70">
        <f t="shared" si="173"/>
        <v>236415.22029423784</v>
      </c>
      <c r="CH280" s="18">
        <f t="shared" si="174"/>
        <v>59103.805073559459</v>
      </c>
      <c r="CI280" s="18">
        <f t="shared" si="179"/>
        <v>59103.805073559459</v>
      </c>
      <c r="CJ280" s="18">
        <f t="shared" si="179"/>
        <v>59103.805073559459</v>
      </c>
      <c r="CK280" s="18">
        <f t="shared" si="179"/>
        <v>59103.805073559459</v>
      </c>
      <c r="CL280" s="70">
        <f t="shared" si="175"/>
        <v>236415.22029423784</v>
      </c>
      <c r="CM280" s="71"/>
      <c r="CN280" s="59">
        <f t="shared" si="185"/>
        <v>6.0539131540662027E-5</v>
      </c>
      <c r="CO280" s="64">
        <f t="shared" si="186"/>
        <v>1271321.7623539027</v>
      </c>
      <c r="CP280" s="2">
        <f t="shared" si="177"/>
        <v>1891321.7623539027</v>
      </c>
    </row>
    <row r="281" spans="1:94" hidden="1" x14ac:dyDescent="0.3">
      <c r="A281" s="29">
        <v>276</v>
      </c>
      <c r="B281" s="30" t="s">
        <v>21</v>
      </c>
      <c r="C281" s="30"/>
      <c r="D281" s="30" t="s">
        <v>1041</v>
      </c>
      <c r="E281" s="30" t="s">
        <v>1042</v>
      </c>
      <c r="F281" s="30" t="s">
        <v>1043</v>
      </c>
      <c r="G281" s="30" t="s">
        <v>117</v>
      </c>
      <c r="H281" s="30" t="s">
        <v>1058</v>
      </c>
      <c r="I281" s="30" t="s">
        <v>119</v>
      </c>
      <c r="J281" s="30" t="s">
        <v>1044</v>
      </c>
      <c r="K281" s="30" t="s">
        <v>1044</v>
      </c>
      <c r="L281" s="30" t="s">
        <v>1059</v>
      </c>
      <c r="M281" s="30">
        <v>1000186</v>
      </c>
      <c r="N281" s="30" t="s">
        <v>559</v>
      </c>
      <c r="O281" s="30" t="s">
        <v>1103</v>
      </c>
      <c r="P281" s="30" t="s">
        <v>1104</v>
      </c>
      <c r="Q281" s="30" t="s">
        <v>657</v>
      </c>
      <c r="R281" s="30"/>
      <c r="S281" s="30"/>
      <c r="T281" s="30"/>
      <c r="U281" s="30" t="s">
        <v>144</v>
      </c>
      <c r="V281" s="30" t="s">
        <v>1105</v>
      </c>
      <c r="W281" s="30" t="s">
        <v>1106</v>
      </c>
      <c r="X281" s="30"/>
      <c r="Y281" s="30" t="s">
        <v>457</v>
      </c>
      <c r="Z281" s="30" t="s">
        <v>457</v>
      </c>
      <c r="AA281" s="30" t="s">
        <v>129</v>
      </c>
      <c r="AB281" s="30" t="s">
        <v>1107</v>
      </c>
      <c r="AC281" s="30" t="s">
        <v>1107</v>
      </c>
      <c r="AD281" s="30" t="s">
        <v>566</v>
      </c>
      <c r="AE281" s="30"/>
      <c r="AF281" s="30" t="s">
        <v>131</v>
      </c>
      <c r="AG281" s="30" t="s">
        <v>649</v>
      </c>
      <c r="AH281" s="30"/>
      <c r="AI281" s="30"/>
      <c r="AJ281" s="50">
        <v>38351</v>
      </c>
      <c r="AK281" s="50">
        <v>38351</v>
      </c>
      <c r="AL281" s="51">
        <f t="shared" si="180"/>
        <v>20.849315068493151</v>
      </c>
      <c r="AM281" s="30">
        <v>8</v>
      </c>
      <c r="AN281" s="30" t="s">
        <v>1057</v>
      </c>
      <c r="AO281" s="30" t="s">
        <v>1050</v>
      </c>
      <c r="AP281" s="30" t="s">
        <v>1051</v>
      </c>
      <c r="AQ281" s="30">
        <v>2.11</v>
      </c>
      <c r="AR281" s="30">
        <v>630</v>
      </c>
      <c r="AS281" s="30">
        <v>600</v>
      </c>
      <c r="AT281" s="30">
        <v>830</v>
      </c>
      <c r="AU281" s="74">
        <v>42100000</v>
      </c>
      <c r="AV281" s="54"/>
      <c r="AW281" s="54"/>
      <c r="AX281" s="54"/>
      <c r="AY281" s="54">
        <v>42099000</v>
      </c>
      <c r="AZ281" s="54">
        <v>0</v>
      </c>
      <c r="BA281" s="74">
        <v>1000</v>
      </c>
      <c r="BB281" s="55">
        <f>VLOOKUP(M281,[1]Sheet1!$E$6:$F$556,2,FALSE)</f>
        <v>1000</v>
      </c>
      <c r="BC281" s="74"/>
      <c r="BD281" s="74"/>
      <c r="BE281" s="30"/>
      <c r="BF281" s="30" t="s">
        <v>1052</v>
      </c>
      <c r="BG281" s="30" t="s">
        <v>1108</v>
      </c>
      <c r="BH281" s="30" t="s">
        <v>1054</v>
      </c>
      <c r="BI281" s="30" t="str">
        <f t="shared" si="176"/>
        <v>COF(Assy_FT)</v>
      </c>
      <c r="BJ281" s="30" t="s">
        <v>250</v>
      </c>
      <c r="BK281" s="56">
        <f t="shared" si="181"/>
        <v>842000</v>
      </c>
      <c r="BL281" s="57">
        <f t="shared" si="147"/>
        <v>26312.5</v>
      </c>
      <c r="BM281" s="57">
        <f t="shared" si="148"/>
        <v>8770.8333333333339</v>
      </c>
      <c r="BU281" s="58">
        <f>BM281*3</f>
        <v>26312.5</v>
      </c>
      <c r="BV281" s="58">
        <f t="shared" si="178"/>
        <v>26312.5</v>
      </c>
      <c r="BW281" s="58">
        <f>SUM(BS281:BV281)</f>
        <v>52625</v>
      </c>
      <c r="BX281" s="58">
        <f t="shared" si="157"/>
        <v>26312.5</v>
      </c>
      <c r="BY281" s="58">
        <f t="shared" si="158"/>
        <v>26312.5</v>
      </c>
      <c r="BZ281" s="58">
        <f>BM281*3</f>
        <v>26312.5</v>
      </c>
      <c r="CA281" s="58">
        <f t="shared" si="158"/>
        <v>26312.5</v>
      </c>
      <c r="CB281" s="58">
        <f t="shared" si="171"/>
        <v>105250</v>
      </c>
      <c r="CC281" s="58">
        <f t="shared" si="172"/>
        <v>26312.5</v>
      </c>
      <c r="CD281" s="58">
        <f t="shared" si="182"/>
        <v>26312.5</v>
      </c>
      <c r="CE281" s="58">
        <f t="shared" si="182"/>
        <v>26312.5</v>
      </c>
      <c r="CF281" s="58">
        <f t="shared" si="182"/>
        <v>26312.5</v>
      </c>
      <c r="CG281" s="58">
        <f t="shared" si="173"/>
        <v>105250</v>
      </c>
      <c r="CH281" s="58">
        <f t="shared" si="174"/>
        <v>26312.5</v>
      </c>
      <c r="CI281" s="58">
        <f t="shared" si="179"/>
        <v>26312.5</v>
      </c>
      <c r="CJ281" s="58">
        <f t="shared" si="179"/>
        <v>26312.5</v>
      </c>
      <c r="CK281" s="58">
        <f t="shared" si="179"/>
        <v>26312.5</v>
      </c>
      <c r="CL281" s="58">
        <f t="shared" si="175"/>
        <v>105250</v>
      </c>
      <c r="CP281" s="2">
        <f t="shared" si="177"/>
        <v>842000</v>
      </c>
    </row>
    <row r="282" spans="1:94" ht="16.5" hidden="1" x14ac:dyDescent="0.3">
      <c r="A282" s="2">
        <v>277</v>
      </c>
      <c r="B282" s="47" t="s">
        <v>21</v>
      </c>
      <c r="C282" s="47"/>
      <c r="D282" s="30" t="s">
        <v>1041</v>
      </c>
      <c r="E282" s="30" t="s">
        <v>1042</v>
      </c>
      <c r="F282" s="30" t="s">
        <v>1043</v>
      </c>
      <c r="G282" s="30" t="s">
        <v>117</v>
      </c>
      <c r="H282" s="30" t="s">
        <v>1058</v>
      </c>
      <c r="I282" s="30" t="s">
        <v>119</v>
      </c>
      <c r="J282" s="30" t="s">
        <v>1044</v>
      </c>
      <c r="K282" s="30" t="s">
        <v>1044</v>
      </c>
      <c r="L282" s="30" t="s">
        <v>1109</v>
      </c>
      <c r="M282" s="30">
        <v>1000235</v>
      </c>
      <c r="N282" s="30" t="s">
        <v>138</v>
      </c>
      <c r="O282" s="30" t="s">
        <v>1110</v>
      </c>
      <c r="P282" s="30" t="s">
        <v>1111</v>
      </c>
      <c r="Q282" s="30" t="s">
        <v>585</v>
      </c>
      <c r="R282" s="30"/>
      <c r="S282" s="30" t="s">
        <v>1112</v>
      </c>
      <c r="T282" s="30"/>
      <c r="U282" s="30" t="s">
        <v>144</v>
      </c>
      <c r="V282" s="30" t="s">
        <v>437</v>
      </c>
      <c r="W282" s="30" t="s">
        <v>1113</v>
      </c>
      <c r="X282" s="30" t="s">
        <v>147</v>
      </c>
      <c r="Y282" s="125" t="s">
        <v>576</v>
      </c>
      <c r="Z282" s="125" t="s">
        <v>576</v>
      </c>
      <c r="AA282" s="30" t="s">
        <v>129</v>
      </c>
      <c r="AB282" s="30" t="s">
        <v>1114</v>
      </c>
      <c r="AC282" s="30" t="s">
        <v>1114</v>
      </c>
      <c r="AD282" s="30" t="s">
        <v>1115</v>
      </c>
      <c r="AE282" s="30"/>
      <c r="AF282" s="30" t="s">
        <v>131</v>
      </c>
      <c r="AG282" s="30" t="s">
        <v>774</v>
      </c>
      <c r="AH282" s="30" t="s">
        <v>1116</v>
      </c>
      <c r="AI282" s="30"/>
      <c r="AJ282" s="50">
        <v>38458</v>
      </c>
      <c r="AK282" s="50">
        <v>38458</v>
      </c>
      <c r="AL282" s="51">
        <f t="shared" si="180"/>
        <v>20.556164383561644</v>
      </c>
      <c r="AM282" s="30">
        <v>8</v>
      </c>
      <c r="AN282" s="30" t="s">
        <v>1065</v>
      </c>
      <c r="AO282" s="30" t="s">
        <v>1050</v>
      </c>
      <c r="AP282" s="30" t="s">
        <v>1051</v>
      </c>
      <c r="AQ282" s="30">
        <v>5</v>
      </c>
      <c r="AR282" s="30">
        <v>1470</v>
      </c>
      <c r="AS282" s="30">
        <v>960</v>
      </c>
      <c r="AT282" s="30">
        <v>1675</v>
      </c>
      <c r="AU282" s="54">
        <v>9900000</v>
      </c>
      <c r="AV282" s="54"/>
      <c r="AW282" s="54"/>
      <c r="AX282" s="54"/>
      <c r="AY282" s="54">
        <v>9899000</v>
      </c>
      <c r="AZ282" s="54">
        <v>0</v>
      </c>
      <c r="BA282" s="54">
        <v>1000</v>
      </c>
      <c r="BB282" s="55">
        <f>VLOOKUP(M282,[1]Sheet1!$E$6:$F$556,2,FALSE)</f>
        <v>1000</v>
      </c>
      <c r="BC282" s="74"/>
      <c r="BD282" s="74"/>
      <c r="BE282" s="30"/>
      <c r="BF282" s="30" t="s">
        <v>1052</v>
      </c>
      <c r="BG282" s="30" t="s">
        <v>1117</v>
      </c>
      <c r="BH282" s="30" t="s">
        <v>1054</v>
      </c>
      <c r="BI282" s="30" t="str">
        <f t="shared" si="176"/>
        <v>COF(Assy_FT)</v>
      </c>
      <c r="BJ282" s="47" t="s">
        <v>137</v>
      </c>
      <c r="BK282" s="67">
        <f t="shared" si="181"/>
        <v>198000</v>
      </c>
      <c r="BL282" s="68">
        <f t="shared" si="147"/>
        <v>18875.086136394792</v>
      </c>
      <c r="BM282" s="68">
        <f t="shared" si="148"/>
        <v>6291.6953787982638</v>
      </c>
      <c r="BP282" s="69">
        <f t="shared" si="154"/>
        <v>18875.086136394792</v>
      </c>
      <c r="BQ282" s="69">
        <f t="shared" si="155"/>
        <v>18875.086136394792</v>
      </c>
      <c r="BR282" s="69">
        <f t="shared" si="161"/>
        <v>37750.172272789583</v>
      </c>
      <c r="BS282" s="69">
        <f t="shared" si="156"/>
        <v>18875.086136394792</v>
      </c>
      <c r="BT282" s="69">
        <f t="shared" si="178"/>
        <v>18875.086136394792</v>
      </c>
      <c r="BU282" s="100">
        <f t="shared" si="178"/>
        <v>18875.086136394792</v>
      </c>
      <c r="BV282" s="100">
        <f t="shared" si="178"/>
        <v>18875.086136394792</v>
      </c>
      <c r="BW282" s="100">
        <f t="shared" si="162"/>
        <v>75500.344545579166</v>
      </c>
      <c r="BX282" s="101">
        <f t="shared" si="157"/>
        <v>18875.086136394792</v>
      </c>
      <c r="BY282" s="101">
        <f t="shared" si="158"/>
        <v>18875.086136394792</v>
      </c>
      <c r="BZ282" s="18">
        <f t="shared" si="158"/>
        <v>18875.086136394792</v>
      </c>
      <c r="CA282" s="18">
        <f t="shared" si="158"/>
        <v>18875.086136394792</v>
      </c>
      <c r="CB282" s="70">
        <f t="shared" si="171"/>
        <v>75500.344545579166</v>
      </c>
      <c r="CC282" s="18">
        <f t="shared" si="172"/>
        <v>18875.086136394792</v>
      </c>
      <c r="CD282" s="18">
        <f t="shared" si="182"/>
        <v>18875.086136394792</v>
      </c>
      <c r="CE282" s="18">
        <f t="shared" si="182"/>
        <v>18875.086136394792</v>
      </c>
      <c r="CF282" s="18">
        <f t="shared" si="182"/>
        <v>18875.086136394792</v>
      </c>
      <c r="CG282" s="70">
        <f t="shared" si="173"/>
        <v>75500.344545579166</v>
      </c>
      <c r="CH282" s="18">
        <f t="shared" si="174"/>
        <v>18875.086136394792</v>
      </c>
      <c r="CI282" s="18">
        <f t="shared" si="179"/>
        <v>18875.086136394792</v>
      </c>
      <c r="CJ282" s="18">
        <f t="shared" si="179"/>
        <v>18875.086136394792</v>
      </c>
      <c r="CK282" s="18">
        <f t="shared" si="179"/>
        <v>18875.086136394792</v>
      </c>
      <c r="CL282" s="70">
        <f t="shared" si="175"/>
        <v>75500.344545579166</v>
      </c>
      <c r="CM282" s="71"/>
      <c r="CN282" s="59">
        <f t="shared" ref="CN282:CN310" si="187">BK282/$CN$3</f>
        <v>1.9333464588792065E-5</v>
      </c>
      <c r="CO282" s="64">
        <f t="shared" ref="CO282:CO310" si="188">CN282*$CO$4</f>
        <v>406002.75636463339</v>
      </c>
      <c r="CP282" s="2">
        <f t="shared" si="177"/>
        <v>604002.75636463333</v>
      </c>
    </row>
    <row r="283" spans="1:94" ht="16.5" hidden="1" x14ac:dyDescent="0.3">
      <c r="A283" s="2">
        <v>278</v>
      </c>
      <c r="B283" s="47" t="s">
        <v>21</v>
      </c>
      <c r="C283" s="47"/>
      <c r="D283" s="30" t="s">
        <v>1041</v>
      </c>
      <c r="E283" s="30" t="s">
        <v>1042</v>
      </c>
      <c r="F283" s="30" t="s">
        <v>1043</v>
      </c>
      <c r="G283" s="30" t="s">
        <v>117</v>
      </c>
      <c r="H283" s="30" t="s">
        <v>1058</v>
      </c>
      <c r="I283" s="30" t="s">
        <v>119</v>
      </c>
      <c r="J283" s="30" t="s">
        <v>1044</v>
      </c>
      <c r="K283" s="30" t="s">
        <v>1044</v>
      </c>
      <c r="L283" s="30" t="s">
        <v>1109</v>
      </c>
      <c r="M283" s="30">
        <v>1000236</v>
      </c>
      <c r="N283" s="30" t="s">
        <v>138</v>
      </c>
      <c r="O283" s="30" t="s">
        <v>1118</v>
      </c>
      <c r="P283" s="30" t="s">
        <v>1111</v>
      </c>
      <c r="Q283" s="30" t="s">
        <v>585</v>
      </c>
      <c r="R283" s="30"/>
      <c r="S283" s="30" t="s">
        <v>1119</v>
      </c>
      <c r="T283" s="30"/>
      <c r="U283" s="30" t="s">
        <v>144</v>
      </c>
      <c r="V283" s="30" t="s">
        <v>437</v>
      </c>
      <c r="W283" s="30" t="s">
        <v>1113</v>
      </c>
      <c r="X283" s="30" t="s">
        <v>147</v>
      </c>
      <c r="Y283" s="125" t="s">
        <v>576</v>
      </c>
      <c r="Z283" s="125" t="s">
        <v>576</v>
      </c>
      <c r="AA283" s="30" t="s">
        <v>129</v>
      </c>
      <c r="AB283" s="30" t="s">
        <v>1114</v>
      </c>
      <c r="AC283" s="30" t="s">
        <v>1114</v>
      </c>
      <c r="AD283" s="30" t="s">
        <v>1115</v>
      </c>
      <c r="AE283" s="30"/>
      <c r="AF283" s="30" t="s">
        <v>131</v>
      </c>
      <c r="AG283" s="30" t="s">
        <v>774</v>
      </c>
      <c r="AH283" s="30" t="s">
        <v>1116</v>
      </c>
      <c r="AI283" s="30"/>
      <c r="AJ283" s="50">
        <v>38458</v>
      </c>
      <c r="AK283" s="50">
        <v>38458</v>
      </c>
      <c r="AL283" s="51">
        <f t="shared" si="180"/>
        <v>20.556164383561644</v>
      </c>
      <c r="AM283" s="30">
        <v>8</v>
      </c>
      <c r="AN283" s="30" t="s">
        <v>1065</v>
      </c>
      <c r="AO283" s="30" t="s">
        <v>1050</v>
      </c>
      <c r="AP283" s="30" t="s">
        <v>1051</v>
      </c>
      <c r="AQ283" s="30">
        <v>5</v>
      </c>
      <c r="AR283" s="30">
        <v>1470</v>
      </c>
      <c r="AS283" s="30">
        <v>960</v>
      </c>
      <c r="AT283" s="30">
        <v>1675</v>
      </c>
      <c r="AU283" s="54">
        <v>9900000</v>
      </c>
      <c r="AV283" s="54"/>
      <c r="AW283" s="54"/>
      <c r="AX283" s="54"/>
      <c r="AY283" s="54">
        <v>9899000</v>
      </c>
      <c r="AZ283" s="54">
        <v>0</v>
      </c>
      <c r="BA283" s="54">
        <v>1000</v>
      </c>
      <c r="BB283" s="55">
        <f>VLOOKUP(M283,[1]Sheet1!$E$6:$F$556,2,FALSE)</f>
        <v>1000</v>
      </c>
      <c r="BC283" s="74"/>
      <c r="BD283" s="74"/>
      <c r="BE283" s="30"/>
      <c r="BF283" s="30" t="s">
        <v>1052</v>
      </c>
      <c r="BG283" s="30" t="s">
        <v>1117</v>
      </c>
      <c r="BH283" s="30" t="s">
        <v>1054</v>
      </c>
      <c r="BI283" s="30" t="str">
        <f t="shared" si="176"/>
        <v>COF(Assy_FT)</v>
      </c>
      <c r="BJ283" s="47" t="s">
        <v>137</v>
      </c>
      <c r="BK283" s="67">
        <f t="shared" si="181"/>
        <v>198000</v>
      </c>
      <c r="BL283" s="68">
        <f t="shared" si="147"/>
        <v>18875.086136394792</v>
      </c>
      <c r="BM283" s="68">
        <f t="shared" si="148"/>
        <v>6291.6953787982638</v>
      </c>
      <c r="BP283" s="69">
        <f t="shared" si="154"/>
        <v>18875.086136394792</v>
      </c>
      <c r="BQ283" s="69">
        <f t="shared" si="155"/>
        <v>18875.086136394792</v>
      </c>
      <c r="BR283" s="69">
        <f t="shared" si="161"/>
        <v>37750.172272789583</v>
      </c>
      <c r="BS283" s="69">
        <f t="shared" si="156"/>
        <v>18875.086136394792</v>
      </c>
      <c r="BT283" s="69">
        <f t="shared" si="178"/>
        <v>18875.086136394792</v>
      </c>
      <c r="BU283" s="100">
        <f t="shared" si="178"/>
        <v>18875.086136394792</v>
      </c>
      <c r="BV283" s="100">
        <f t="shared" si="178"/>
        <v>18875.086136394792</v>
      </c>
      <c r="BW283" s="100">
        <f t="shared" si="162"/>
        <v>75500.344545579166</v>
      </c>
      <c r="BX283" s="101">
        <f t="shared" si="157"/>
        <v>18875.086136394792</v>
      </c>
      <c r="BY283" s="101">
        <f t="shared" si="158"/>
        <v>18875.086136394792</v>
      </c>
      <c r="BZ283" s="18">
        <f t="shared" si="158"/>
        <v>18875.086136394792</v>
      </c>
      <c r="CA283" s="18">
        <f t="shared" si="158"/>
        <v>18875.086136394792</v>
      </c>
      <c r="CB283" s="70">
        <f t="shared" si="171"/>
        <v>75500.344545579166</v>
      </c>
      <c r="CC283" s="18">
        <f t="shared" si="172"/>
        <v>18875.086136394792</v>
      </c>
      <c r="CD283" s="18">
        <f t="shared" si="182"/>
        <v>18875.086136394792</v>
      </c>
      <c r="CE283" s="18">
        <f t="shared" si="182"/>
        <v>18875.086136394792</v>
      </c>
      <c r="CF283" s="18">
        <f t="shared" si="182"/>
        <v>18875.086136394792</v>
      </c>
      <c r="CG283" s="70">
        <f t="shared" si="173"/>
        <v>75500.344545579166</v>
      </c>
      <c r="CH283" s="18">
        <f t="shared" si="174"/>
        <v>18875.086136394792</v>
      </c>
      <c r="CI283" s="18">
        <f t="shared" si="179"/>
        <v>18875.086136394792</v>
      </c>
      <c r="CJ283" s="18">
        <f t="shared" si="179"/>
        <v>18875.086136394792</v>
      </c>
      <c r="CK283" s="18">
        <f t="shared" si="179"/>
        <v>18875.086136394792</v>
      </c>
      <c r="CL283" s="70">
        <f t="shared" si="175"/>
        <v>75500.344545579166</v>
      </c>
      <c r="CM283" s="71"/>
      <c r="CN283" s="59">
        <f t="shared" si="187"/>
        <v>1.9333464588792065E-5</v>
      </c>
      <c r="CO283" s="64">
        <f t="shared" si="188"/>
        <v>406002.75636463339</v>
      </c>
      <c r="CP283" s="2">
        <f t="shared" si="177"/>
        <v>604002.75636463333</v>
      </c>
    </row>
    <row r="284" spans="1:94" ht="16.5" hidden="1" x14ac:dyDescent="0.3">
      <c r="A284" s="2">
        <v>279</v>
      </c>
      <c r="B284" s="47" t="s">
        <v>21</v>
      </c>
      <c r="C284" s="47"/>
      <c r="D284" s="30" t="s">
        <v>1041</v>
      </c>
      <c r="E284" s="30" t="s">
        <v>1042</v>
      </c>
      <c r="F284" s="30" t="s">
        <v>1043</v>
      </c>
      <c r="G284" s="30" t="s">
        <v>117</v>
      </c>
      <c r="H284" s="30" t="s">
        <v>1058</v>
      </c>
      <c r="I284" s="30" t="s">
        <v>119</v>
      </c>
      <c r="J284" s="30" t="s">
        <v>1044</v>
      </c>
      <c r="K284" s="30" t="s">
        <v>1044</v>
      </c>
      <c r="L284" s="30" t="s">
        <v>1120</v>
      </c>
      <c r="M284" s="30">
        <v>1000250</v>
      </c>
      <c r="N284" s="30" t="s">
        <v>138</v>
      </c>
      <c r="O284" s="30" t="s">
        <v>1121</v>
      </c>
      <c r="P284" s="30" t="s">
        <v>1122</v>
      </c>
      <c r="Q284" s="30" t="s">
        <v>1123</v>
      </c>
      <c r="R284" s="30"/>
      <c r="S284" s="30" t="s">
        <v>1124</v>
      </c>
      <c r="T284" s="30"/>
      <c r="U284" s="30" t="s">
        <v>144</v>
      </c>
      <c r="V284" s="30" t="s">
        <v>437</v>
      </c>
      <c r="W284" s="30" t="s">
        <v>1125</v>
      </c>
      <c r="X284" s="30" t="s">
        <v>127</v>
      </c>
      <c r="Y284" s="30" t="s">
        <v>576</v>
      </c>
      <c r="Z284" s="30" t="s">
        <v>576</v>
      </c>
      <c r="AA284" s="30" t="s">
        <v>129</v>
      </c>
      <c r="AB284" s="126" t="s">
        <v>1126</v>
      </c>
      <c r="AC284" s="30"/>
      <c r="AD284" s="30"/>
      <c r="AE284" s="30"/>
      <c r="AF284" s="30" t="s">
        <v>131</v>
      </c>
      <c r="AG284" s="30" t="s">
        <v>774</v>
      </c>
      <c r="AH284" s="30"/>
      <c r="AI284" s="30"/>
      <c r="AJ284" s="50">
        <v>38471</v>
      </c>
      <c r="AK284" s="50">
        <v>38471</v>
      </c>
      <c r="AL284" s="51">
        <f t="shared" si="180"/>
        <v>20.520547945205479</v>
      </c>
      <c r="AM284" s="30">
        <v>8</v>
      </c>
      <c r="AN284" s="30" t="s">
        <v>1065</v>
      </c>
      <c r="AO284" s="30" t="s">
        <v>1050</v>
      </c>
      <c r="AP284" s="30" t="s">
        <v>1051</v>
      </c>
      <c r="AQ284" s="30">
        <v>6.6</v>
      </c>
      <c r="AR284" s="30">
        <v>6625</v>
      </c>
      <c r="AS284" s="30">
        <v>820</v>
      </c>
      <c r="AT284" s="30">
        <v>1900</v>
      </c>
      <c r="AU284" s="54">
        <v>229000000</v>
      </c>
      <c r="AV284" s="54"/>
      <c r="AW284" s="54"/>
      <c r="AX284" s="54"/>
      <c r="AY284" s="54">
        <v>228999000</v>
      </c>
      <c r="AZ284" s="54">
        <v>0</v>
      </c>
      <c r="BA284" s="54">
        <v>1000</v>
      </c>
      <c r="BB284" s="55">
        <f>VLOOKUP(M284,[1]Sheet1!$E$6:$F$556,2,FALSE)</f>
        <v>1000</v>
      </c>
      <c r="BC284" s="74"/>
      <c r="BD284" s="74"/>
      <c r="BE284" s="30"/>
      <c r="BF284" s="30" t="s">
        <v>1052</v>
      </c>
      <c r="BG284" s="30" t="s">
        <v>1117</v>
      </c>
      <c r="BH284" s="30" t="s">
        <v>1054</v>
      </c>
      <c r="BI284" s="30" t="str">
        <f t="shared" si="176"/>
        <v>COF(Assy_FT)</v>
      </c>
      <c r="BJ284" s="47" t="s">
        <v>137</v>
      </c>
      <c r="BK284" s="56">
        <f t="shared" si="181"/>
        <v>4580000</v>
      </c>
      <c r="BL284" s="57">
        <f t="shared" si="147"/>
        <v>436605.52780145535</v>
      </c>
      <c r="BM284" s="57">
        <f t="shared" si="148"/>
        <v>145535.17593381845</v>
      </c>
      <c r="BU284" s="58">
        <f>BM284*3</f>
        <v>436605.52780145535</v>
      </c>
      <c r="BV284" s="58">
        <f t="shared" ref="BT284:BV298" si="189">BU284</f>
        <v>436605.52780145535</v>
      </c>
      <c r="BW284" s="58">
        <f>SUM(BS284:BV284)</f>
        <v>873211.0556029107</v>
      </c>
      <c r="BX284" s="58">
        <f t="shared" si="157"/>
        <v>436605.52780145535</v>
      </c>
      <c r="BY284" s="58">
        <f t="shared" si="158"/>
        <v>436605.52780145535</v>
      </c>
      <c r="BZ284" s="58">
        <f>BM284*3</f>
        <v>436605.52780145535</v>
      </c>
      <c r="CA284" s="58">
        <f t="shared" si="158"/>
        <v>436605.52780145535</v>
      </c>
      <c r="CB284" s="58">
        <f t="shared" si="171"/>
        <v>1746422.1112058214</v>
      </c>
      <c r="CC284" s="58">
        <f t="shared" si="172"/>
        <v>436605.52780145535</v>
      </c>
      <c r="CD284" s="58">
        <f t="shared" si="182"/>
        <v>436605.52780145535</v>
      </c>
      <c r="CE284" s="58">
        <f t="shared" si="182"/>
        <v>436605.52780145535</v>
      </c>
      <c r="CF284" s="58">
        <f t="shared" si="182"/>
        <v>436605.52780145535</v>
      </c>
      <c r="CG284" s="58">
        <f t="shared" si="173"/>
        <v>1746422.1112058214</v>
      </c>
      <c r="CH284" s="58">
        <f t="shared" si="174"/>
        <v>436605.52780145535</v>
      </c>
      <c r="CI284" s="58">
        <f t="shared" si="179"/>
        <v>436605.52780145535</v>
      </c>
      <c r="CJ284" s="58">
        <f t="shared" si="179"/>
        <v>436605.52780145535</v>
      </c>
      <c r="CK284" s="58">
        <f t="shared" si="179"/>
        <v>436605.52780145535</v>
      </c>
      <c r="CL284" s="58">
        <f t="shared" si="175"/>
        <v>1746422.1112058214</v>
      </c>
      <c r="CN284" s="59">
        <f t="shared" si="187"/>
        <v>4.4720842331650337E-4</v>
      </c>
      <c r="CO284" s="64">
        <f t="shared" si="188"/>
        <v>9391376.8896465711</v>
      </c>
      <c r="CP284" s="2">
        <f t="shared" si="177"/>
        <v>13971376.889646571</v>
      </c>
    </row>
    <row r="285" spans="1:94" ht="16.5" hidden="1" x14ac:dyDescent="0.3">
      <c r="A285" s="2">
        <v>280</v>
      </c>
      <c r="B285" s="47" t="s">
        <v>21</v>
      </c>
      <c r="C285" s="47"/>
      <c r="D285" s="30" t="s">
        <v>1041</v>
      </c>
      <c r="E285" s="30" t="s">
        <v>1042</v>
      </c>
      <c r="F285" s="30" t="s">
        <v>1043</v>
      </c>
      <c r="G285" s="30" t="s">
        <v>117</v>
      </c>
      <c r="H285" s="30" t="s">
        <v>1058</v>
      </c>
      <c r="I285" s="30" t="s">
        <v>119</v>
      </c>
      <c r="J285" s="30" t="s">
        <v>1044</v>
      </c>
      <c r="K285" s="30" t="s">
        <v>1044</v>
      </c>
      <c r="L285" s="30" t="s">
        <v>1120</v>
      </c>
      <c r="M285" s="30">
        <v>1000251</v>
      </c>
      <c r="N285" s="30" t="s">
        <v>138</v>
      </c>
      <c r="O285" s="30" t="s">
        <v>1127</v>
      </c>
      <c r="P285" s="30" t="s">
        <v>1123</v>
      </c>
      <c r="Q285" s="30" t="s">
        <v>1123</v>
      </c>
      <c r="R285" s="30"/>
      <c r="S285" s="30" t="s">
        <v>1128</v>
      </c>
      <c r="T285" s="30"/>
      <c r="U285" s="30" t="s">
        <v>144</v>
      </c>
      <c r="V285" s="30" t="s">
        <v>437</v>
      </c>
      <c r="W285" s="30" t="s">
        <v>1125</v>
      </c>
      <c r="X285" s="30" t="s">
        <v>147</v>
      </c>
      <c r="Y285" s="125" t="s">
        <v>576</v>
      </c>
      <c r="Z285" s="125" t="s">
        <v>576</v>
      </c>
      <c r="AA285" s="30" t="s">
        <v>129</v>
      </c>
      <c r="AB285" s="127" t="s">
        <v>1129</v>
      </c>
      <c r="AC285" s="30"/>
      <c r="AD285" s="30"/>
      <c r="AE285" s="30"/>
      <c r="AF285" s="30" t="s">
        <v>131</v>
      </c>
      <c r="AG285" s="30" t="s">
        <v>774</v>
      </c>
      <c r="AH285" s="30"/>
      <c r="AI285" s="30"/>
      <c r="AJ285" s="50">
        <v>38471</v>
      </c>
      <c r="AK285" s="50">
        <v>38471</v>
      </c>
      <c r="AL285" s="51">
        <f t="shared" si="180"/>
        <v>20.520547945205479</v>
      </c>
      <c r="AM285" s="30">
        <v>8</v>
      </c>
      <c r="AN285" s="30" t="s">
        <v>1065</v>
      </c>
      <c r="AO285" s="30" t="s">
        <v>1050</v>
      </c>
      <c r="AP285" s="30" t="s">
        <v>1051</v>
      </c>
      <c r="AQ285" s="30">
        <v>6.6</v>
      </c>
      <c r="AR285" s="30">
        <v>6625</v>
      </c>
      <c r="AS285" s="30">
        <v>820</v>
      </c>
      <c r="AT285" s="30">
        <v>1900</v>
      </c>
      <c r="AU285" s="54">
        <v>229000000</v>
      </c>
      <c r="AV285" s="54"/>
      <c r="AW285" s="54"/>
      <c r="AX285" s="54"/>
      <c r="AY285" s="54">
        <v>228999000</v>
      </c>
      <c r="AZ285" s="54">
        <v>0</v>
      </c>
      <c r="BA285" s="54">
        <v>1000</v>
      </c>
      <c r="BB285" s="55">
        <f>VLOOKUP(M285,[1]Sheet1!$E$6:$F$556,2,FALSE)</f>
        <v>1000</v>
      </c>
      <c r="BC285" s="74"/>
      <c r="BD285" s="74"/>
      <c r="BE285" s="30"/>
      <c r="BF285" s="30" t="s">
        <v>1052</v>
      </c>
      <c r="BG285" s="30" t="s">
        <v>1117</v>
      </c>
      <c r="BH285" s="30" t="s">
        <v>1054</v>
      </c>
      <c r="BI285" s="30" t="str">
        <f t="shared" si="176"/>
        <v>COF(Assy_FT)</v>
      </c>
      <c r="BJ285" s="47" t="s">
        <v>137</v>
      </c>
      <c r="BK285" s="67">
        <f t="shared" si="181"/>
        <v>4580000</v>
      </c>
      <c r="BL285" s="68">
        <f t="shared" ref="BL285:BL310" si="190">CP285/$BL$1/4</f>
        <v>436605.52780145535</v>
      </c>
      <c r="BM285" s="68">
        <f t="shared" ref="BM285:BM310" si="191">CP285/$BL$1/12</f>
        <v>145535.17593381845</v>
      </c>
      <c r="BP285" s="69">
        <f t="shared" si="154"/>
        <v>436605.52780145535</v>
      </c>
      <c r="BQ285" s="69">
        <f t="shared" si="155"/>
        <v>436605.52780145535</v>
      </c>
      <c r="BR285" s="69">
        <f t="shared" si="161"/>
        <v>873211.0556029107</v>
      </c>
      <c r="BS285" s="69">
        <f t="shared" si="156"/>
        <v>436605.52780145535</v>
      </c>
      <c r="BT285" s="69">
        <f t="shared" si="189"/>
        <v>436605.52780145535</v>
      </c>
      <c r="BU285" s="100">
        <f t="shared" si="189"/>
        <v>436605.52780145535</v>
      </c>
      <c r="BV285" s="100">
        <f t="shared" si="189"/>
        <v>436605.52780145535</v>
      </c>
      <c r="BW285" s="100">
        <f t="shared" si="162"/>
        <v>1746422.1112058214</v>
      </c>
      <c r="BX285" s="101">
        <f t="shared" si="157"/>
        <v>436605.52780145535</v>
      </c>
      <c r="BY285" s="101">
        <f t="shared" si="158"/>
        <v>436605.52780145535</v>
      </c>
      <c r="BZ285" s="18">
        <f t="shared" si="158"/>
        <v>436605.52780145535</v>
      </c>
      <c r="CA285" s="18">
        <f t="shared" si="158"/>
        <v>436605.52780145535</v>
      </c>
      <c r="CB285" s="70">
        <f t="shared" si="171"/>
        <v>1746422.1112058214</v>
      </c>
      <c r="CC285" s="18">
        <f t="shared" si="172"/>
        <v>436605.52780145535</v>
      </c>
      <c r="CD285" s="18">
        <f t="shared" si="182"/>
        <v>436605.52780145535</v>
      </c>
      <c r="CE285" s="18">
        <f t="shared" si="182"/>
        <v>436605.52780145535</v>
      </c>
      <c r="CF285" s="18">
        <f t="shared" si="182"/>
        <v>436605.52780145535</v>
      </c>
      <c r="CG285" s="70">
        <f t="shared" si="173"/>
        <v>1746422.1112058214</v>
      </c>
      <c r="CH285" s="18">
        <f t="shared" si="174"/>
        <v>436605.52780145535</v>
      </c>
      <c r="CI285" s="18">
        <f t="shared" si="179"/>
        <v>436605.52780145535</v>
      </c>
      <c r="CJ285" s="18">
        <f t="shared" si="179"/>
        <v>436605.52780145535</v>
      </c>
      <c r="CK285" s="18">
        <f t="shared" si="179"/>
        <v>436605.52780145535</v>
      </c>
      <c r="CL285" s="70">
        <f t="shared" si="175"/>
        <v>1746422.1112058214</v>
      </c>
      <c r="CM285" s="71"/>
      <c r="CN285" s="59">
        <f t="shared" si="187"/>
        <v>4.4720842331650337E-4</v>
      </c>
      <c r="CO285" s="64">
        <f t="shared" si="188"/>
        <v>9391376.8896465711</v>
      </c>
      <c r="CP285" s="2">
        <f t="shared" si="177"/>
        <v>13971376.889646571</v>
      </c>
    </row>
    <row r="286" spans="1:94" ht="16.5" hidden="1" x14ac:dyDescent="0.3">
      <c r="A286" s="2">
        <v>281</v>
      </c>
      <c r="B286" s="47" t="s">
        <v>21</v>
      </c>
      <c r="C286" s="47"/>
      <c r="D286" s="30" t="s">
        <v>1041</v>
      </c>
      <c r="E286" s="30" t="s">
        <v>1042</v>
      </c>
      <c r="F286" s="30" t="s">
        <v>1043</v>
      </c>
      <c r="G286" s="30" t="s">
        <v>117</v>
      </c>
      <c r="H286" s="30" t="s">
        <v>1058</v>
      </c>
      <c r="I286" s="30" t="s">
        <v>119</v>
      </c>
      <c r="J286" s="30" t="s">
        <v>1044</v>
      </c>
      <c r="K286" s="30" t="s">
        <v>1044</v>
      </c>
      <c r="L286" s="30" t="s">
        <v>1130</v>
      </c>
      <c r="M286" s="30">
        <v>1004790</v>
      </c>
      <c r="N286" s="30" t="s">
        <v>369</v>
      </c>
      <c r="O286" s="30" t="s">
        <v>1131</v>
      </c>
      <c r="P286" s="30"/>
      <c r="Q286" s="48" t="s">
        <v>372</v>
      </c>
      <c r="R286" s="30"/>
      <c r="S286" s="30"/>
      <c r="T286" s="30"/>
      <c r="U286" s="30" t="s">
        <v>144</v>
      </c>
      <c r="V286" s="30" t="s">
        <v>437</v>
      </c>
      <c r="W286" s="30"/>
      <c r="X286" s="30" t="s">
        <v>127</v>
      </c>
      <c r="Y286" s="30" t="s">
        <v>576</v>
      </c>
      <c r="Z286" s="30" t="s">
        <v>576</v>
      </c>
      <c r="AA286" s="30" t="s">
        <v>129</v>
      </c>
      <c r="AB286" s="30" t="s">
        <v>1132</v>
      </c>
      <c r="AC286" s="30"/>
      <c r="AD286" s="30"/>
      <c r="AE286" s="30"/>
      <c r="AF286" s="30"/>
      <c r="AG286" s="30"/>
      <c r="AH286" s="30"/>
      <c r="AI286" s="30"/>
      <c r="AJ286" s="50">
        <v>42522</v>
      </c>
      <c r="AK286" s="50">
        <v>42522</v>
      </c>
      <c r="AL286" s="51">
        <f t="shared" si="180"/>
        <v>9.4219178082191775</v>
      </c>
      <c r="AM286" s="30">
        <v>8</v>
      </c>
      <c r="AN286" s="30" t="s">
        <v>1065</v>
      </c>
      <c r="AO286" s="30" t="s">
        <v>1050</v>
      </c>
      <c r="AP286" s="30" t="s">
        <v>1051</v>
      </c>
      <c r="AQ286" s="30">
        <v>0</v>
      </c>
      <c r="AR286" s="30"/>
      <c r="AS286" s="30"/>
      <c r="AT286" s="30"/>
      <c r="AU286" s="54">
        <v>667540000</v>
      </c>
      <c r="AV286" s="54"/>
      <c r="AW286" s="54"/>
      <c r="AX286" s="54"/>
      <c r="AY286" s="54">
        <v>667539000</v>
      </c>
      <c r="AZ286" s="54">
        <v>5005553</v>
      </c>
      <c r="BA286" s="54">
        <v>1000</v>
      </c>
      <c r="BB286" s="55">
        <f>VLOOKUP(M286,[1]Sheet1!$E$6:$F$556,2,FALSE)</f>
        <v>1000</v>
      </c>
      <c r="BC286" s="74"/>
      <c r="BD286" s="74"/>
      <c r="BE286" s="30"/>
      <c r="BF286" s="30" t="s">
        <v>1052</v>
      </c>
      <c r="BG286" s="30" t="s">
        <v>1074</v>
      </c>
      <c r="BH286" s="30" t="s">
        <v>1054</v>
      </c>
      <c r="BI286" s="30" t="str">
        <f t="shared" si="176"/>
        <v>COF(Assy_FT)</v>
      </c>
      <c r="BJ286" s="47" t="s">
        <v>137</v>
      </c>
      <c r="BK286" s="56">
        <f t="shared" si="181"/>
        <v>13350800</v>
      </c>
      <c r="BL286" s="57">
        <f t="shared" si="190"/>
        <v>1272714.6464130282</v>
      </c>
      <c r="BM286" s="57">
        <f t="shared" si="191"/>
        <v>424238.21547100943</v>
      </c>
      <c r="BU286" s="58">
        <f>BM286*3</f>
        <v>1272714.6464130282</v>
      </c>
      <c r="BV286" s="58">
        <f t="shared" si="189"/>
        <v>1272714.6464130282</v>
      </c>
      <c r="BW286" s="58">
        <f>SUM(BS286:BV286)</f>
        <v>2545429.2928260565</v>
      </c>
      <c r="BX286" s="58">
        <f t="shared" si="157"/>
        <v>1272714.6464130282</v>
      </c>
      <c r="BY286" s="58">
        <f t="shared" si="158"/>
        <v>1272714.6464130282</v>
      </c>
      <c r="BZ286" s="58">
        <f>BM286*3</f>
        <v>1272714.6464130282</v>
      </c>
      <c r="CA286" s="58">
        <f t="shared" si="158"/>
        <v>1272714.6464130282</v>
      </c>
      <c r="CB286" s="58">
        <f t="shared" si="171"/>
        <v>5090858.585652113</v>
      </c>
      <c r="CC286" s="58">
        <f t="shared" si="172"/>
        <v>1272714.6464130282</v>
      </c>
      <c r="CD286" s="58">
        <f t="shared" si="182"/>
        <v>1272714.6464130282</v>
      </c>
      <c r="CE286" s="58">
        <f t="shared" si="182"/>
        <v>1272714.6464130282</v>
      </c>
      <c r="CF286" s="58">
        <f t="shared" si="182"/>
        <v>1272714.6464130282</v>
      </c>
      <c r="CG286" s="58">
        <f t="shared" si="173"/>
        <v>5090858.585652113</v>
      </c>
      <c r="CH286" s="58">
        <f t="shared" si="174"/>
        <v>1272714.6464130282</v>
      </c>
      <c r="CI286" s="58">
        <f t="shared" si="179"/>
        <v>1272714.6464130282</v>
      </c>
      <c r="CJ286" s="58">
        <f t="shared" si="179"/>
        <v>1272714.6464130282</v>
      </c>
      <c r="CK286" s="58">
        <f t="shared" si="179"/>
        <v>1272714.6464130282</v>
      </c>
      <c r="CL286" s="58">
        <f t="shared" si="175"/>
        <v>5090858.585652113</v>
      </c>
      <c r="CN286" s="59">
        <f t="shared" si="187"/>
        <v>1.3036223183436621E-3</v>
      </c>
      <c r="CO286" s="64">
        <f t="shared" si="188"/>
        <v>27376068.685216904</v>
      </c>
      <c r="CP286" s="2">
        <f t="shared" si="177"/>
        <v>40726868.685216904</v>
      </c>
    </row>
    <row r="287" spans="1:94" ht="16.5" hidden="1" x14ac:dyDescent="0.3">
      <c r="A287" s="2">
        <v>282</v>
      </c>
      <c r="B287" s="47" t="s">
        <v>21</v>
      </c>
      <c r="C287" s="47"/>
      <c r="D287" s="30" t="s">
        <v>1041</v>
      </c>
      <c r="E287" s="30" t="s">
        <v>1042</v>
      </c>
      <c r="F287" s="30" t="s">
        <v>1043</v>
      </c>
      <c r="G287" s="30" t="s">
        <v>117</v>
      </c>
      <c r="H287" s="30" t="s">
        <v>1058</v>
      </c>
      <c r="I287" s="30" t="s">
        <v>119</v>
      </c>
      <c r="J287" s="30" t="s">
        <v>1044</v>
      </c>
      <c r="K287" s="30" t="s">
        <v>1044</v>
      </c>
      <c r="L287" s="30" t="s">
        <v>1130</v>
      </c>
      <c r="M287" s="30">
        <v>1007664</v>
      </c>
      <c r="N287" s="30" t="s">
        <v>369</v>
      </c>
      <c r="O287" s="30" t="s">
        <v>1133</v>
      </c>
      <c r="P287" s="30"/>
      <c r="Q287" s="48" t="s">
        <v>372</v>
      </c>
      <c r="R287" s="30"/>
      <c r="S287" s="30"/>
      <c r="T287" s="30"/>
      <c r="U287" s="30" t="s">
        <v>144</v>
      </c>
      <c r="V287" s="30" t="s">
        <v>437</v>
      </c>
      <c r="W287" s="30"/>
      <c r="X287" s="30" t="s">
        <v>127</v>
      </c>
      <c r="Y287" s="30" t="s">
        <v>576</v>
      </c>
      <c r="Z287" s="30" t="s">
        <v>576</v>
      </c>
      <c r="AA287" s="30" t="s">
        <v>129</v>
      </c>
      <c r="AB287" s="30" t="s">
        <v>375</v>
      </c>
      <c r="AC287" s="30"/>
      <c r="AD287" s="30"/>
      <c r="AE287" s="30"/>
      <c r="AF287" s="30"/>
      <c r="AG287" s="30"/>
      <c r="AH287" s="30"/>
      <c r="AI287" s="30"/>
      <c r="AJ287" s="50">
        <v>45473</v>
      </c>
      <c r="AK287" s="50">
        <v>45473</v>
      </c>
      <c r="AL287" s="51">
        <f t="shared" si="180"/>
        <v>1.3369863013698631</v>
      </c>
      <c r="AM287" s="30">
        <v>8</v>
      </c>
      <c r="AN287" s="30" t="s">
        <v>1065</v>
      </c>
      <c r="AO287" s="30" t="s">
        <v>1050</v>
      </c>
      <c r="AP287" s="30" t="s">
        <v>1051</v>
      </c>
      <c r="AQ287" s="30">
        <v>0</v>
      </c>
      <c r="AR287" s="30"/>
      <c r="AS287" s="30"/>
      <c r="AT287" s="30"/>
      <c r="AU287" s="54">
        <v>30000000</v>
      </c>
      <c r="AV287" s="54"/>
      <c r="AW287" s="54"/>
      <c r="AX287" s="54"/>
      <c r="AY287" s="54">
        <v>4375000</v>
      </c>
      <c r="AZ287" s="54">
        <v>312500</v>
      </c>
      <c r="BA287" s="54">
        <v>24687500</v>
      </c>
      <c r="BB287" s="55">
        <f>VLOOKUP(M287,[1]Sheet1!$E$6:$F$556,2,FALSE)</f>
        <v>2437889</v>
      </c>
      <c r="BC287" s="74"/>
      <c r="BD287" s="74"/>
      <c r="BE287" s="30">
        <v>82</v>
      </c>
      <c r="BF287" s="30" t="s">
        <v>1134</v>
      </c>
      <c r="BG287" s="30" t="s">
        <v>1074</v>
      </c>
      <c r="BH287" s="30" t="s">
        <v>1054</v>
      </c>
      <c r="BI287" s="30" t="str">
        <f t="shared" si="176"/>
        <v>COF(Assy_FT)</v>
      </c>
      <c r="BJ287" s="47" t="s">
        <v>137</v>
      </c>
      <c r="BK287" s="56">
        <f t="shared" si="181"/>
        <v>25921875</v>
      </c>
      <c r="BL287" s="57">
        <f t="shared" si="190"/>
        <v>2471099.1082922164</v>
      </c>
      <c r="BM287" s="57">
        <f t="shared" si="191"/>
        <v>823699.70276407211</v>
      </c>
      <c r="BU287" s="58">
        <f>BM287*3</f>
        <v>2471099.1082922164</v>
      </c>
      <c r="BV287" s="58">
        <f t="shared" si="189"/>
        <v>2471099.1082922164</v>
      </c>
      <c r="BW287" s="58">
        <f>SUM(BS287:BV287)</f>
        <v>4942198.2165844329</v>
      </c>
      <c r="BX287" s="58">
        <f t="shared" si="157"/>
        <v>2471099.1082922164</v>
      </c>
      <c r="BY287" s="58">
        <f t="shared" si="158"/>
        <v>2471099.1082922164</v>
      </c>
      <c r="BZ287" s="58">
        <f>BM287*3</f>
        <v>2471099.1082922164</v>
      </c>
      <c r="CA287" s="58">
        <f t="shared" si="158"/>
        <v>2471099.1082922164</v>
      </c>
      <c r="CB287" s="58">
        <f t="shared" si="171"/>
        <v>9884396.4331688657</v>
      </c>
      <c r="CC287" s="58">
        <f t="shared" si="172"/>
        <v>2471099.1082922164</v>
      </c>
      <c r="CD287" s="58">
        <f t="shared" si="182"/>
        <v>2471099.1082922164</v>
      </c>
      <c r="CE287" s="58">
        <f t="shared" si="182"/>
        <v>2471099.1082922164</v>
      </c>
      <c r="CF287" s="58">
        <f t="shared" si="182"/>
        <v>2471099.1082922164</v>
      </c>
      <c r="CG287" s="58">
        <f t="shared" si="173"/>
        <v>9884396.4331688657</v>
      </c>
      <c r="CH287" s="58">
        <f t="shared" si="174"/>
        <v>2471099.1082922164</v>
      </c>
      <c r="CI287" s="58">
        <f t="shared" si="179"/>
        <v>2471099.1082922164</v>
      </c>
      <c r="CJ287" s="58">
        <f t="shared" si="179"/>
        <v>2471099.1082922164</v>
      </c>
      <c r="CK287" s="58">
        <f t="shared" si="179"/>
        <v>2471099.1082922164</v>
      </c>
      <c r="CL287" s="58">
        <f t="shared" si="175"/>
        <v>9884396.4331688657</v>
      </c>
      <c r="CN287" s="59">
        <f t="shared" si="187"/>
        <v>2.5311093554929009E-3</v>
      </c>
      <c r="CO287" s="64">
        <f t="shared" si="188"/>
        <v>53153296.465350918</v>
      </c>
      <c r="CP287" s="2">
        <f t="shared" si="177"/>
        <v>79075171.465350926</v>
      </c>
    </row>
    <row r="288" spans="1:94" ht="16.5" hidden="1" x14ac:dyDescent="0.3">
      <c r="A288" s="2">
        <v>283</v>
      </c>
      <c r="B288" s="47" t="s">
        <v>21</v>
      </c>
      <c r="C288" s="47"/>
      <c r="D288" s="30" t="s">
        <v>1041</v>
      </c>
      <c r="E288" s="30" t="s">
        <v>1042</v>
      </c>
      <c r="F288" s="30" t="s">
        <v>1043</v>
      </c>
      <c r="G288" s="30" t="s">
        <v>117</v>
      </c>
      <c r="H288" s="30" t="s">
        <v>1058</v>
      </c>
      <c r="I288" s="30" t="s">
        <v>119</v>
      </c>
      <c r="J288" s="30" t="s">
        <v>1044</v>
      </c>
      <c r="K288" s="30" t="s">
        <v>1044</v>
      </c>
      <c r="L288" s="30" t="s">
        <v>1130</v>
      </c>
      <c r="M288" s="30">
        <v>1000902</v>
      </c>
      <c r="N288" s="30" t="s">
        <v>369</v>
      </c>
      <c r="O288" s="30" t="s">
        <v>1135</v>
      </c>
      <c r="P288" s="30"/>
      <c r="Q288" s="48" t="s">
        <v>372</v>
      </c>
      <c r="R288" s="30"/>
      <c r="S288" s="30"/>
      <c r="T288" s="30"/>
      <c r="U288" s="30" t="s">
        <v>144</v>
      </c>
      <c r="V288" s="30" t="s">
        <v>437</v>
      </c>
      <c r="W288" s="30"/>
      <c r="X288" s="30" t="s">
        <v>127</v>
      </c>
      <c r="Y288" s="30" t="s">
        <v>576</v>
      </c>
      <c r="Z288" s="30" t="s">
        <v>576</v>
      </c>
      <c r="AA288" s="30" t="s">
        <v>129</v>
      </c>
      <c r="AB288" s="30" t="s">
        <v>1132</v>
      </c>
      <c r="AC288" s="30"/>
      <c r="AD288" s="30"/>
      <c r="AE288" s="30"/>
      <c r="AF288" s="30"/>
      <c r="AG288" s="30"/>
      <c r="AH288" s="30"/>
      <c r="AI288" s="30"/>
      <c r="AJ288" s="50">
        <v>39139</v>
      </c>
      <c r="AK288" s="50">
        <v>39139</v>
      </c>
      <c r="AL288" s="51">
        <f t="shared" si="180"/>
        <v>18.69041095890411</v>
      </c>
      <c r="AM288" s="30">
        <v>8</v>
      </c>
      <c r="AN288" s="30" t="s">
        <v>1065</v>
      </c>
      <c r="AO288" s="30" t="s">
        <v>1050</v>
      </c>
      <c r="AP288" s="30" t="s">
        <v>1051</v>
      </c>
      <c r="AQ288" s="30">
        <v>0</v>
      </c>
      <c r="AR288" s="30"/>
      <c r="AS288" s="30"/>
      <c r="AT288" s="30"/>
      <c r="AU288" s="54">
        <v>12500000</v>
      </c>
      <c r="AV288" s="54"/>
      <c r="AW288" s="54"/>
      <c r="AX288" s="54"/>
      <c r="AY288" s="54">
        <v>12499000</v>
      </c>
      <c r="AZ288" s="54">
        <v>0</v>
      </c>
      <c r="BA288" s="54">
        <v>1000</v>
      </c>
      <c r="BB288" s="55">
        <f>VLOOKUP(M288,[1]Sheet1!$E$6:$F$556,2,FALSE)</f>
        <v>1000</v>
      </c>
      <c r="BC288" s="74"/>
      <c r="BD288" s="74"/>
      <c r="BE288" s="30"/>
      <c r="BF288" s="30" t="s">
        <v>1052</v>
      </c>
      <c r="BG288" s="30" t="s">
        <v>1074</v>
      </c>
      <c r="BH288" s="30" t="s">
        <v>1054</v>
      </c>
      <c r="BI288" s="30" t="str">
        <f t="shared" si="176"/>
        <v>COF(Assy_FT)</v>
      </c>
      <c r="BJ288" s="47" t="s">
        <v>137</v>
      </c>
      <c r="BK288" s="56">
        <f t="shared" si="181"/>
        <v>250000</v>
      </c>
      <c r="BL288" s="57">
        <f t="shared" si="190"/>
        <v>23832.179465144938</v>
      </c>
      <c r="BM288" s="57">
        <f t="shared" si="191"/>
        <v>7944.0598217149791</v>
      </c>
      <c r="BU288" s="58">
        <f>BM288*3</f>
        <v>23832.179465144938</v>
      </c>
      <c r="BV288" s="58">
        <f t="shared" si="189"/>
        <v>23832.179465144938</v>
      </c>
      <c r="BW288" s="58">
        <f>SUM(BS288:BV288)</f>
        <v>47664.358930289876</v>
      </c>
      <c r="BX288" s="58">
        <f t="shared" si="157"/>
        <v>23832.179465144938</v>
      </c>
      <c r="BY288" s="58">
        <f t="shared" si="158"/>
        <v>23832.179465144938</v>
      </c>
      <c r="BZ288" s="58">
        <f>BM288*3</f>
        <v>23832.179465144938</v>
      </c>
      <c r="CA288" s="58">
        <f t="shared" si="158"/>
        <v>23832.179465144938</v>
      </c>
      <c r="CB288" s="58">
        <f t="shared" si="171"/>
        <v>95328.717860579753</v>
      </c>
      <c r="CC288" s="58">
        <f t="shared" si="172"/>
        <v>23832.179465144938</v>
      </c>
      <c r="CD288" s="58">
        <f t="shared" si="182"/>
        <v>23832.179465144938</v>
      </c>
      <c r="CE288" s="58">
        <f t="shared" si="182"/>
        <v>23832.179465144938</v>
      </c>
      <c r="CF288" s="58">
        <f t="shared" si="182"/>
        <v>23832.179465144938</v>
      </c>
      <c r="CG288" s="58">
        <f t="shared" si="173"/>
        <v>95328.717860579753</v>
      </c>
      <c r="CH288" s="58">
        <f t="shared" si="174"/>
        <v>23832.179465144938</v>
      </c>
      <c r="CI288" s="58">
        <f t="shared" ref="CI288:CK293" si="192">CH288</f>
        <v>23832.179465144938</v>
      </c>
      <c r="CJ288" s="58">
        <f t="shared" si="192"/>
        <v>23832.179465144938</v>
      </c>
      <c r="CK288" s="58">
        <f t="shared" si="192"/>
        <v>23832.179465144938</v>
      </c>
      <c r="CL288" s="58">
        <f t="shared" si="175"/>
        <v>95328.717860579753</v>
      </c>
      <c r="CN288" s="59">
        <f t="shared" si="187"/>
        <v>2.4410940137363719E-5</v>
      </c>
      <c r="CO288" s="64">
        <f t="shared" si="188"/>
        <v>512629.74288463808</v>
      </c>
      <c r="CP288" s="2">
        <f t="shared" si="177"/>
        <v>762629.74288463802</v>
      </c>
    </row>
    <row r="289" spans="1:94" ht="16.5" hidden="1" x14ac:dyDescent="0.3">
      <c r="A289" s="2">
        <v>284</v>
      </c>
      <c r="B289" s="47" t="s">
        <v>21</v>
      </c>
      <c r="C289" s="47"/>
      <c r="D289" s="30" t="s">
        <v>1041</v>
      </c>
      <c r="E289" s="30" t="s">
        <v>1042</v>
      </c>
      <c r="F289" s="30" t="s">
        <v>1043</v>
      </c>
      <c r="G289" s="30" t="s">
        <v>117</v>
      </c>
      <c r="H289" s="30" t="s">
        <v>1058</v>
      </c>
      <c r="I289" s="30" t="s">
        <v>119</v>
      </c>
      <c r="J289" s="30" t="s">
        <v>1044</v>
      </c>
      <c r="K289" s="30" t="s">
        <v>1044</v>
      </c>
      <c r="L289" s="30" t="s">
        <v>766</v>
      </c>
      <c r="M289" s="30">
        <v>1000286</v>
      </c>
      <c r="N289" s="30" t="s">
        <v>138</v>
      </c>
      <c r="O289" s="30" t="s">
        <v>1136</v>
      </c>
      <c r="P289" s="30" t="s">
        <v>1099</v>
      </c>
      <c r="Q289" s="30" t="s">
        <v>1100</v>
      </c>
      <c r="R289" s="30"/>
      <c r="S289" s="30">
        <v>82</v>
      </c>
      <c r="T289" s="30"/>
      <c r="U289" s="30" t="s">
        <v>144</v>
      </c>
      <c r="V289" s="30" t="s">
        <v>415</v>
      </c>
      <c r="W289" s="30" t="s">
        <v>1102</v>
      </c>
      <c r="X289" s="30" t="s">
        <v>147</v>
      </c>
      <c r="Y289" s="125" t="s">
        <v>576</v>
      </c>
      <c r="Z289" s="125" t="s">
        <v>576</v>
      </c>
      <c r="AA289" s="48" t="s">
        <v>148</v>
      </c>
      <c r="AB289" s="30" t="s">
        <v>773</v>
      </c>
      <c r="AC289" s="30"/>
      <c r="AD289" s="30"/>
      <c r="AE289" s="30"/>
      <c r="AF289" s="48" t="s">
        <v>604</v>
      </c>
      <c r="AG289" s="30" t="s">
        <v>440</v>
      </c>
      <c r="AH289" s="30"/>
      <c r="AI289" s="30"/>
      <c r="AJ289" s="50">
        <v>38490</v>
      </c>
      <c r="AK289" s="50">
        <v>38493</v>
      </c>
      <c r="AL289" s="51">
        <f t="shared" si="180"/>
        <v>20.460273972602739</v>
      </c>
      <c r="AM289" s="30">
        <v>8</v>
      </c>
      <c r="AN289" s="30" t="s">
        <v>1057</v>
      </c>
      <c r="AO289" s="30" t="s">
        <v>1050</v>
      </c>
      <c r="AP289" s="30" t="s">
        <v>1051</v>
      </c>
      <c r="AQ289" s="30">
        <v>1</v>
      </c>
      <c r="AR289" s="30">
        <v>430</v>
      </c>
      <c r="AS289" s="30">
        <v>500</v>
      </c>
      <c r="AT289" s="30">
        <v>1350</v>
      </c>
      <c r="AU289" s="54">
        <v>31000000</v>
      </c>
      <c r="AV289" s="54"/>
      <c r="AW289" s="54"/>
      <c r="AX289" s="54"/>
      <c r="AY289" s="54">
        <v>30999000</v>
      </c>
      <c r="AZ289" s="54">
        <v>0</v>
      </c>
      <c r="BA289" s="54">
        <v>1000</v>
      </c>
      <c r="BB289" s="55">
        <f>VLOOKUP(M289,[1]Sheet1!$E$6:$F$556,2,FALSE)</f>
        <v>1000</v>
      </c>
      <c r="BC289" s="74"/>
      <c r="BD289" s="74"/>
      <c r="BE289" s="30"/>
      <c r="BF289" s="30" t="s">
        <v>1052</v>
      </c>
      <c r="BG289" s="30" t="s">
        <v>1053</v>
      </c>
      <c r="BH289" s="30" t="s">
        <v>1054</v>
      </c>
      <c r="BI289" s="30" t="str">
        <f t="shared" si="176"/>
        <v>COF(Assy_FT)</v>
      </c>
      <c r="BJ289" s="47" t="s">
        <v>137</v>
      </c>
      <c r="BK289" s="67">
        <f t="shared" si="181"/>
        <v>620000</v>
      </c>
      <c r="BL289" s="68">
        <f t="shared" si="190"/>
        <v>59103.805073559459</v>
      </c>
      <c r="BM289" s="68">
        <f t="shared" si="191"/>
        <v>19701.268357853154</v>
      </c>
      <c r="BP289" s="69">
        <f t="shared" si="154"/>
        <v>59103.805073559459</v>
      </c>
      <c r="BQ289" s="69">
        <f t="shared" si="155"/>
        <v>59103.805073559459</v>
      </c>
      <c r="BR289" s="69">
        <f t="shared" si="161"/>
        <v>118207.61014711892</v>
      </c>
      <c r="BS289" s="69">
        <f t="shared" si="156"/>
        <v>59103.805073559459</v>
      </c>
      <c r="BT289" s="69">
        <f t="shared" si="189"/>
        <v>59103.805073559459</v>
      </c>
      <c r="BU289" s="100">
        <f t="shared" si="189"/>
        <v>59103.805073559459</v>
      </c>
      <c r="BV289" s="100">
        <f t="shared" si="189"/>
        <v>59103.805073559459</v>
      </c>
      <c r="BW289" s="100">
        <f t="shared" si="162"/>
        <v>236415.22029423784</v>
      </c>
      <c r="BX289" s="101">
        <f t="shared" si="157"/>
        <v>59103.805073559459</v>
      </c>
      <c r="BY289" s="101">
        <f t="shared" si="158"/>
        <v>59103.805073559459</v>
      </c>
      <c r="BZ289" s="18">
        <f t="shared" si="158"/>
        <v>59103.805073559459</v>
      </c>
      <c r="CA289" s="18">
        <f t="shared" si="158"/>
        <v>59103.805073559459</v>
      </c>
      <c r="CB289" s="70">
        <f t="shared" si="171"/>
        <v>236415.22029423784</v>
      </c>
      <c r="CC289" s="18">
        <f t="shared" si="172"/>
        <v>59103.805073559459</v>
      </c>
      <c r="CD289" s="18">
        <f t="shared" ref="CD289:CF308" si="193">CC289</f>
        <v>59103.805073559459</v>
      </c>
      <c r="CE289" s="18">
        <f t="shared" si="193"/>
        <v>59103.805073559459</v>
      </c>
      <c r="CF289" s="18">
        <f t="shared" si="193"/>
        <v>59103.805073559459</v>
      </c>
      <c r="CG289" s="70">
        <f t="shared" si="173"/>
        <v>236415.22029423784</v>
      </c>
      <c r="CH289" s="18">
        <f t="shared" si="174"/>
        <v>59103.805073559459</v>
      </c>
      <c r="CI289" s="18">
        <f t="shared" si="192"/>
        <v>59103.805073559459</v>
      </c>
      <c r="CJ289" s="18">
        <f t="shared" si="192"/>
        <v>59103.805073559459</v>
      </c>
      <c r="CK289" s="18">
        <f t="shared" si="192"/>
        <v>59103.805073559459</v>
      </c>
      <c r="CL289" s="70">
        <f t="shared" si="175"/>
        <v>236415.22029423784</v>
      </c>
      <c r="CM289" s="71"/>
      <c r="CN289" s="59">
        <f t="shared" si="187"/>
        <v>6.0539131540662027E-5</v>
      </c>
      <c r="CO289" s="64">
        <f t="shared" si="188"/>
        <v>1271321.7623539027</v>
      </c>
      <c r="CP289" s="2">
        <f t="shared" si="177"/>
        <v>1891321.7623539027</v>
      </c>
    </row>
    <row r="290" spans="1:94" ht="16.5" hidden="1" x14ac:dyDescent="0.3">
      <c r="A290" s="2">
        <v>285</v>
      </c>
      <c r="B290" s="47" t="s">
        <v>21</v>
      </c>
      <c r="C290" s="47"/>
      <c r="D290" s="30" t="s">
        <v>1041</v>
      </c>
      <c r="E290" s="30" t="s">
        <v>1042</v>
      </c>
      <c r="F290" s="30" t="s">
        <v>1043</v>
      </c>
      <c r="G290" s="30" t="s">
        <v>117</v>
      </c>
      <c r="H290" s="30" t="s">
        <v>1058</v>
      </c>
      <c r="I290" s="30" t="s">
        <v>119</v>
      </c>
      <c r="J290" s="30" t="s">
        <v>1044</v>
      </c>
      <c r="K290" s="30" t="s">
        <v>1044</v>
      </c>
      <c r="L290" s="30" t="s">
        <v>1130</v>
      </c>
      <c r="M290" s="30">
        <v>1006342</v>
      </c>
      <c r="N290" s="30" t="s">
        <v>369</v>
      </c>
      <c r="O290" s="30" t="s">
        <v>1137</v>
      </c>
      <c r="P290" s="30"/>
      <c r="Q290" s="48" t="s">
        <v>372</v>
      </c>
      <c r="R290" s="30"/>
      <c r="S290" s="30"/>
      <c r="T290" s="30"/>
      <c r="U290" s="30" t="s">
        <v>144</v>
      </c>
      <c r="V290" s="30" t="s">
        <v>437</v>
      </c>
      <c r="W290" s="30"/>
      <c r="X290" s="30" t="s">
        <v>127</v>
      </c>
      <c r="Y290" s="30" t="s">
        <v>576</v>
      </c>
      <c r="Z290" s="30" t="s">
        <v>576</v>
      </c>
      <c r="AA290" s="30" t="s">
        <v>129</v>
      </c>
      <c r="AB290" s="30" t="s">
        <v>1132</v>
      </c>
      <c r="AC290" s="30"/>
      <c r="AD290" s="30"/>
      <c r="AE290" s="30"/>
      <c r="AF290" s="30"/>
      <c r="AG290" s="30"/>
      <c r="AH290" s="30"/>
      <c r="AI290" s="30"/>
      <c r="AJ290" s="50">
        <v>43977</v>
      </c>
      <c r="AK290" s="50">
        <v>43977</v>
      </c>
      <c r="AL290" s="51">
        <f t="shared" si="180"/>
        <v>5.4356164383561643</v>
      </c>
      <c r="AM290" s="30">
        <v>8</v>
      </c>
      <c r="AN290" s="30" t="s">
        <v>1065</v>
      </c>
      <c r="AO290" s="30" t="s">
        <v>1050</v>
      </c>
      <c r="AP290" s="30" t="s">
        <v>1051</v>
      </c>
      <c r="AQ290" s="30">
        <v>0</v>
      </c>
      <c r="AR290" s="30"/>
      <c r="AS290" s="30"/>
      <c r="AT290" s="30"/>
      <c r="AU290" s="54">
        <v>56000000</v>
      </c>
      <c r="AV290" s="54"/>
      <c r="AW290" s="54"/>
      <c r="AX290" s="54"/>
      <c r="AY290" s="54">
        <v>36749997</v>
      </c>
      <c r="AZ290" s="54">
        <v>583333</v>
      </c>
      <c r="BA290" s="54">
        <v>17500004</v>
      </c>
      <c r="BB290" s="55">
        <f>VLOOKUP(M290,[1]Sheet1!$E$6:$F$556,2,FALSE)</f>
        <v>1537407</v>
      </c>
      <c r="BC290" s="74"/>
      <c r="BD290" s="74"/>
      <c r="BE290" s="128">
        <v>33.000024000013717</v>
      </c>
      <c r="BF290" s="30" t="s">
        <v>1134</v>
      </c>
      <c r="BG290" s="30" t="s">
        <v>1074</v>
      </c>
      <c r="BH290" s="30" t="s">
        <v>1054</v>
      </c>
      <c r="BI290" s="30" t="str">
        <f t="shared" si="176"/>
        <v>COF(Assy_FT)</v>
      </c>
      <c r="BJ290" s="47" t="s">
        <v>137</v>
      </c>
      <c r="BK290" s="56">
        <f t="shared" si="181"/>
        <v>18375004.199999999</v>
      </c>
      <c r="BL290" s="57">
        <f t="shared" si="190"/>
        <v>1751665.5910687679</v>
      </c>
      <c r="BM290" s="57">
        <f t="shared" si="191"/>
        <v>583888.53035625594</v>
      </c>
      <c r="BU290" s="58">
        <f>BM290*3</f>
        <v>1751665.5910687679</v>
      </c>
      <c r="BV290" s="58">
        <f t="shared" si="189"/>
        <v>1751665.5910687679</v>
      </c>
      <c r="BW290" s="58">
        <f>SUM(BS290:BV290)</f>
        <v>3503331.1821375359</v>
      </c>
      <c r="BX290" s="58">
        <f t="shared" si="157"/>
        <v>1751665.5910687679</v>
      </c>
      <c r="BY290" s="58">
        <f t="shared" si="158"/>
        <v>1751665.5910687679</v>
      </c>
      <c r="BZ290" s="58">
        <f>BM290*3</f>
        <v>1751665.5910687679</v>
      </c>
      <c r="CA290" s="58">
        <f t="shared" si="158"/>
        <v>1751665.5910687679</v>
      </c>
      <c r="CB290" s="58">
        <f t="shared" si="171"/>
        <v>7006662.3642750718</v>
      </c>
      <c r="CC290" s="58">
        <f t="shared" si="172"/>
        <v>1751665.5910687679</v>
      </c>
      <c r="CD290" s="58">
        <f t="shared" si="193"/>
        <v>1751665.5910687679</v>
      </c>
      <c r="CE290" s="58">
        <f t="shared" si="193"/>
        <v>1751665.5910687679</v>
      </c>
      <c r="CF290" s="58">
        <f t="shared" si="193"/>
        <v>1751665.5910687679</v>
      </c>
      <c r="CG290" s="58">
        <f t="shared" si="173"/>
        <v>7006662.3642750718</v>
      </c>
      <c r="CH290" s="58">
        <f t="shared" si="174"/>
        <v>1751665.5910687679</v>
      </c>
      <c r="CI290" s="58">
        <f t="shared" si="192"/>
        <v>1751665.5910687679</v>
      </c>
      <c r="CJ290" s="58">
        <f t="shared" si="192"/>
        <v>1751665.5910687679</v>
      </c>
      <c r="CK290" s="58">
        <f t="shared" si="192"/>
        <v>1751665.5910687679</v>
      </c>
      <c r="CL290" s="58">
        <f t="shared" si="175"/>
        <v>7006662.3642750718</v>
      </c>
      <c r="CN290" s="59">
        <f t="shared" si="187"/>
        <v>1.7942045102000276E-3</v>
      </c>
      <c r="CO290" s="64">
        <f t="shared" si="188"/>
        <v>37678294.714200579</v>
      </c>
      <c r="CP290" s="2">
        <f t="shared" si="177"/>
        <v>56053298.914200574</v>
      </c>
    </row>
    <row r="291" spans="1:94" ht="16.5" hidden="1" x14ac:dyDescent="0.3">
      <c r="A291" s="2">
        <v>286</v>
      </c>
      <c r="B291" s="47" t="s">
        <v>21</v>
      </c>
      <c r="C291" s="47"/>
      <c r="D291" s="30" t="s">
        <v>1041</v>
      </c>
      <c r="E291" s="30" t="s">
        <v>1042</v>
      </c>
      <c r="F291" s="30" t="s">
        <v>1043</v>
      </c>
      <c r="G291" s="30" t="s">
        <v>117</v>
      </c>
      <c r="H291" s="30" t="s">
        <v>1058</v>
      </c>
      <c r="I291" s="30" t="s">
        <v>119</v>
      </c>
      <c r="J291" s="30" t="s">
        <v>1044</v>
      </c>
      <c r="K291" s="30" t="s">
        <v>1044</v>
      </c>
      <c r="L291" s="30" t="s">
        <v>1130</v>
      </c>
      <c r="M291" s="30">
        <v>1004789</v>
      </c>
      <c r="N291" s="30" t="s">
        <v>369</v>
      </c>
      <c r="O291" s="30" t="s">
        <v>1138</v>
      </c>
      <c r="P291" s="30"/>
      <c r="Q291" s="48" t="s">
        <v>372</v>
      </c>
      <c r="R291" s="30"/>
      <c r="S291" s="30"/>
      <c r="T291" s="30"/>
      <c r="U291" s="30" t="s">
        <v>144</v>
      </c>
      <c r="V291" s="30" t="s">
        <v>437</v>
      </c>
      <c r="W291" s="30"/>
      <c r="X291" s="30" t="s">
        <v>127</v>
      </c>
      <c r="Y291" s="30" t="s">
        <v>576</v>
      </c>
      <c r="Z291" s="30" t="s">
        <v>576</v>
      </c>
      <c r="AA291" s="30" t="s">
        <v>129</v>
      </c>
      <c r="AB291" s="30" t="s">
        <v>1132</v>
      </c>
      <c r="AC291" s="30"/>
      <c r="AD291" s="30"/>
      <c r="AE291" s="30"/>
      <c r="AF291" s="30"/>
      <c r="AG291" s="30"/>
      <c r="AH291" s="30"/>
      <c r="AI291" s="30"/>
      <c r="AJ291" s="50">
        <v>42522</v>
      </c>
      <c r="AK291" s="50">
        <v>42522</v>
      </c>
      <c r="AL291" s="51">
        <f t="shared" si="180"/>
        <v>9.4219178082191775</v>
      </c>
      <c r="AM291" s="30">
        <v>8</v>
      </c>
      <c r="AN291" s="30" t="s">
        <v>1065</v>
      </c>
      <c r="AO291" s="30" t="s">
        <v>1050</v>
      </c>
      <c r="AP291" s="30" t="s">
        <v>1051</v>
      </c>
      <c r="AQ291" s="30">
        <v>0</v>
      </c>
      <c r="AR291" s="30"/>
      <c r="AS291" s="30"/>
      <c r="AT291" s="30"/>
      <c r="AU291" s="54">
        <v>46000000</v>
      </c>
      <c r="AV291" s="54"/>
      <c r="AW291" s="54"/>
      <c r="AX291" s="54"/>
      <c r="AY291" s="54">
        <v>45999000</v>
      </c>
      <c r="AZ291" s="54">
        <v>344001</v>
      </c>
      <c r="BA291" s="54">
        <v>1000</v>
      </c>
      <c r="BB291" s="55">
        <f>VLOOKUP(M291,[1]Sheet1!$E$6:$F$556,2,FALSE)</f>
        <v>1000</v>
      </c>
      <c r="BC291" s="74"/>
      <c r="BD291" s="74"/>
      <c r="BE291" s="30"/>
      <c r="BF291" s="30" t="s">
        <v>1052</v>
      </c>
      <c r="BG291" s="30" t="s">
        <v>1074</v>
      </c>
      <c r="BH291" s="30" t="s">
        <v>1054</v>
      </c>
      <c r="BI291" s="30" t="str">
        <f t="shared" si="176"/>
        <v>COF(Assy_FT)</v>
      </c>
      <c r="BJ291" s="47" t="s">
        <v>137</v>
      </c>
      <c r="BK291" s="56">
        <f t="shared" si="181"/>
        <v>920000</v>
      </c>
      <c r="BL291" s="57">
        <f t="shared" si="190"/>
        <v>87702.420431733393</v>
      </c>
      <c r="BM291" s="57">
        <f t="shared" si="191"/>
        <v>29234.140143911132</v>
      </c>
      <c r="BU291" s="58">
        <f>BM291*3</f>
        <v>87702.420431733393</v>
      </c>
      <c r="BV291" s="58">
        <f t="shared" si="189"/>
        <v>87702.420431733393</v>
      </c>
      <c r="BW291" s="58">
        <f>SUM(BS291:BV291)</f>
        <v>175404.84086346679</v>
      </c>
      <c r="BX291" s="58">
        <f t="shared" si="157"/>
        <v>87702.420431733393</v>
      </c>
      <c r="BY291" s="58">
        <f t="shared" si="158"/>
        <v>87702.420431733393</v>
      </c>
      <c r="BZ291" s="58">
        <f>BM291*3</f>
        <v>87702.420431733393</v>
      </c>
      <c r="CA291" s="58">
        <f t="shared" si="158"/>
        <v>87702.420431733393</v>
      </c>
      <c r="CB291" s="58">
        <f t="shared" si="171"/>
        <v>350809.68172693357</v>
      </c>
      <c r="CC291" s="58">
        <f t="shared" si="172"/>
        <v>87702.420431733393</v>
      </c>
      <c r="CD291" s="58">
        <f t="shared" si="193"/>
        <v>87702.420431733393</v>
      </c>
      <c r="CE291" s="58">
        <f t="shared" si="193"/>
        <v>87702.420431733393</v>
      </c>
      <c r="CF291" s="58">
        <f t="shared" si="193"/>
        <v>87702.420431733393</v>
      </c>
      <c r="CG291" s="58">
        <f t="shared" si="173"/>
        <v>350809.68172693357</v>
      </c>
      <c r="CH291" s="58">
        <f t="shared" si="174"/>
        <v>87702.420431733393</v>
      </c>
      <c r="CI291" s="58">
        <f t="shared" si="192"/>
        <v>87702.420431733393</v>
      </c>
      <c r="CJ291" s="58">
        <f t="shared" si="192"/>
        <v>87702.420431733393</v>
      </c>
      <c r="CK291" s="58">
        <f t="shared" si="192"/>
        <v>87702.420431733393</v>
      </c>
      <c r="CL291" s="58">
        <f t="shared" si="175"/>
        <v>350809.68172693357</v>
      </c>
      <c r="CN291" s="59">
        <f t="shared" si="187"/>
        <v>8.9832259705498497E-5</v>
      </c>
      <c r="CO291" s="64">
        <f t="shared" si="188"/>
        <v>1886477.4538154684</v>
      </c>
      <c r="CP291" s="2">
        <f t="shared" si="177"/>
        <v>2806477.4538154686</v>
      </c>
    </row>
    <row r="292" spans="1:94" ht="16.5" hidden="1" x14ac:dyDescent="0.3">
      <c r="A292" s="2">
        <v>287</v>
      </c>
      <c r="B292" s="47" t="s">
        <v>21</v>
      </c>
      <c r="C292" s="47"/>
      <c r="D292" s="30" t="s">
        <v>1041</v>
      </c>
      <c r="E292" s="30" t="s">
        <v>1042</v>
      </c>
      <c r="F292" s="30" t="s">
        <v>1043</v>
      </c>
      <c r="G292" s="30" t="s">
        <v>117</v>
      </c>
      <c r="H292" s="30" t="s">
        <v>385</v>
      </c>
      <c r="I292" s="30" t="s">
        <v>119</v>
      </c>
      <c r="J292" s="30" t="s">
        <v>1044</v>
      </c>
      <c r="K292" s="30" t="s">
        <v>1044</v>
      </c>
      <c r="L292" s="30" t="s">
        <v>1130</v>
      </c>
      <c r="M292" s="30">
        <v>1000582</v>
      </c>
      <c r="N292" s="30" t="s">
        <v>138</v>
      </c>
      <c r="O292" s="30" t="s">
        <v>1139</v>
      </c>
      <c r="P292" s="30" t="s">
        <v>1140</v>
      </c>
      <c r="Q292" s="30" t="s">
        <v>1141</v>
      </c>
      <c r="R292" s="30" t="s">
        <v>1142</v>
      </c>
      <c r="S292" s="30" t="s">
        <v>1143</v>
      </c>
      <c r="T292" s="30" t="s">
        <v>1144</v>
      </c>
      <c r="U292" s="30" t="s">
        <v>144</v>
      </c>
      <c r="V292" s="30" t="s">
        <v>415</v>
      </c>
      <c r="W292" s="30" t="s">
        <v>1145</v>
      </c>
      <c r="X292" s="30" t="s">
        <v>147</v>
      </c>
      <c r="Y292" s="125" t="s">
        <v>576</v>
      </c>
      <c r="Z292" s="125" t="s">
        <v>576</v>
      </c>
      <c r="AA292" s="30" t="s">
        <v>148</v>
      </c>
      <c r="AB292" s="30" t="s">
        <v>1146</v>
      </c>
      <c r="AC292" s="30" t="s">
        <v>1146</v>
      </c>
      <c r="AD292" s="30"/>
      <c r="AE292" s="30"/>
      <c r="AF292" s="30" t="s">
        <v>593</v>
      </c>
      <c r="AG292" s="30" t="s">
        <v>440</v>
      </c>
      <c r="AH292" s="30" t="s">
        <v>1147</v>
      </c>
      <c r="AI292" s="30"/>
      <c r="AJ292" s="50">
        <v>38837</v>
      </c>
      <c r="AK292" s="50">
        <v>38837</v>
      </c>
      <c r="AL292" s="51">
        <f t="shared" si="180"/>
        <v>19.517808219178082</v>
      </c>
      <c r="AM292" s="30">
        <v>8</v>
      </c>
      <c r="AN292" s="30" t="s">
        <v>1065</v>
      </c>
      <c r="AO292" s="30" t="s">
        <v>1050</v>
      </c>
      <c r="AP292" s="30" t="s">
        <v>1051</v>
      </c>
      <c r="AQ292" s="30">
        <v>2.5</v>
      </c>
      <c r="AR292" s="30">
        <v>2700</v>
      </c>
      <c r="AS292" s="30">
        <v>1350</v>
      </c>
      <c r="AT292" s="30">
        <v>2000</v>
      </c>
      <c r="AU292" s="54">
        <v>256276301</v>
      </c>
      <c r="AV292" s="54"/>
      <c r="AW292" s="54"/>
      <c r="AX292" s="54"/>
      <c r="AY292" s="54">
        <v>256275301</v>
      </c>
      <c r="AZ292" s="54">
        <v>1482730</v>
      </c>
      <c r="BA292" s="54">
        <v>1000</v>
      </c>
      <c r="BB292" s="55">
        <f>VLOOKUP(M292,[1]Sheet1!$E$6:$F$556,2,FALSE)</f>
        <v>1000</v>
      </c>
      <c r="BC292" s="74"/>
      <c r="BD292" s="74"/>
      <c r="BE292" s="30"/>
      <c r="BF292" s="30" t="s">
        <v>1052</v>
      </c>
      <c r="BG292" s="30" t="s">
        <v>1074</v>
      </c>
      <c r="BH292" s="30" t="s">
        <v>1054</v>
      </c>
      <c r="BI292" s="30" t="str">
        <f t="shared" si="176"/>
        <v>COF(Assy_FT)</v>
      </c>
      <c r="BJ292" s="47" t="s">
        <v>137</v>
      </c>
      <c r="BK292" s="67">
        <f t="shared" si="181"/>
        <v>5125526.0200000005</v>
      </c>
      <c r="BL292" s="68">
        <f t="shared" si="190"/>
        <v>488609.82384764031</v>
      </c>
      <c r="BM292" s="68">
        <f t="shared" si="191"/>
        <v>162869.94128254676</v>
      </c>
      <c r="BP292" s="69">
        <f t="shared" si="154"/>
        <v>488609.82384764031</v>
      </c>
      <c r="BQ292" s="69">
        <f t="shared" si="155"/>
        <v>488609.82384764031</v>
      </c>
      <c r="BR292" s="69">
        <f t="shared" si="161"/>
        <v>977219.64769528061</v>
      </c>
      <c r="BS292" s="69">
        <f t="shared" si="156"/>
        <v>488609.82384764031</v>
      </c>
      <c r="BT292" s="69">
        <f t="shared" si="189"/>
        <v>488609.82384764031</v>
      </c>
      <c r="BU292" s="100">
        <f t="shared" si="189"/>
        <v>488609.82384764031</v>
      </c>
      <c r="BV292" s="100">
        <f t="shared" si="189"/>
        <v>488609.82384764031</v>
      </c>
      <c r="BW292" s="100">
        <f t="shared" si="162"/>
        <v>1954439.2953905612</v>
      </c>
      <c r="BX292" s="101">
        <f t="shared" si="157"/>
        <v>488609.82384764031</v>
      </c>
      <c r="BY292" s="101">
        <f t="shared" si="158"/>
        <v>488609.82384764031</v>
      </c>
      <c r="BZ292" s="18">
        <f t="shared" si="158"/>
        <v>488609.82384764031</v>
      </c>
      <c r="CA292" s="18">
        <f t="shared" si="158"/>
        <v>488609.82384764031</v>
      </c>
      <c r="CB292" s="70">
        <f t="shared" si="171"/>
        <v>1954439.2953905612</v>
      </c>
      <c r="CC292" s="18">
        <f t="shared" si="172"/>
        <v>488609.82384764031</v>
      </c>
      <c r="CD292" s="18">
        <f t="shared" si="193"/>
        <v>488609.82384764031</v>
      </c>
      <c r="CE292" s="18">
        <f t="shared" si="193"/>
        <v>488609.82384764031</v>
      </c>
      <c r="CF292" s="18">
        <f t="shared" si="193"/>
        <v>488609.82384764031</v>
      </c>
      <c r="CG292" s="70">
        <f t="shared" si="173"/>
        <v>1954439.2953905612</v>
      </c>
      <c r="CH292" s="18">
        <f t="shared" si="174"/>
        <v>488609.82384764031</v>
      </c>
      <c r="CI292" s="18">
        <f t="shared" si="192"/>
        <v>488609.82384764031</v>
      </c>
      <c r="CJ292" s="18">
        <f t="shared" si="192"/>
        <v>488609.82384764031</v>
      </c>
      <c r="CK292" s="18">
        <f t="shared" si="192"/>
        <v>488609.82384764031</v>
      </c>
      <c r="CL292" s="70">
        <f t="shared" si="175"/>
        <v>1954439.2953905612</v>
      </c>
      <c r="CM292" s="71"/>
      <c r="CN292" s="59">
        <f t="shared" si="187"/>
        <v>5.0047563538688049E-4</v>
      </c>
      <c r="CO292" s="64">
        <f t="shared" si="188"/>
        <v>10509988.34312449</v>
      </c>
      <c r="CP292" s="2">
        <f t="shared" si="177"/>
        <v>15635514.36312449</v>
      </c>
    </row>
    <row r="293" spans="1:94" ht="16.5" hidden="1" x14ac:dyDescent="0.3">
      <c r="A293" s="2">
        <v>288</v>
      </c>
      <c r="B293" s="47" t="s">
        <v>21</v>
      </c>
      <c r="C293" s="47"/>
      <c r="D293" s="30" t="s">
        <v>1041</v>
      </c>
      <c r="E293" s="30" t="s">
        <v>1042</v>
      </c>
      <c r="F293" s="30" t="s">
        <v>1043</v>
      </c>
      <c r="G293" s="30" t="s">
        <v>117</v>
      </c>
      <c r="H293" s="30" t="s">
        <v>1058</v>
      </c>
      <c r="I293" s="30" t="s">
        <v>119</v>
      </c>
      <c r="J293" s="30" t="s">
        <v>1044</v>
      </c>
      <c r="K293" s="30" t="s">
        <v>1044</v>
      </c>
      <c r="L293" s="30" t="s">
        <v>1148</v>
      </c>
      <c r="M293" s="30">
        <v>1000290</v>
      </c>
      <c r="N293" s="30" t="s">
        <v>138</v>
      </c>
      <c r="O293" s="30" t="s">
        <v>1149</v>
      </c>
      <c r="P293" s="30" t="s">
        <v>1150</v>
      </c>
      <c r="Q293" s="30" t="str">
        <f>P293</f>
        <v>SWLU-RWA-100</v>
      </c>
      <c r="R293" s="30"/>
      <c r="S293" s="30" t="s">
        <v>1151</v>
      </c>
      <c r="T293" s="30"/>
      <c r="U293" s="30" t="s">
        <v>144</v>
      </c>
      <c r="V293" s="30" t="s">
        <v>437</v>
      </c>
      <c r="W293" s="30" t="s">
        <v>1152</v>
      </c>
      <c r="X293" s="30" t="s">
        <v>127</v>
      </c>
      <c r="Y293" s="30" t="s">
        <v>576</v>
      </c>
      <c r="Z293" s="30" t="s">
        <v>576</v>
      </c>
      <c r="AA293" s="30" t="s">
        <v>129</v>
      </c>
      <c r="AB293" s="2" t="s">
        <v>1153</v>
      </c>
      <c r="AC293" s="2" t="s">
        <v>1154</v>
      </c>
      <c r="AD293" s="30"/>
      <c r="AE293" s="30"/>
      <c r="AF293" s="30" t="s">
        <v>131</v>
      </c>
      <c r="AG293" s="30" t="s">
        <v>1088</v>
      </c>
      <c r="AH293" s="30"/>
      <c r="AI293" s="30"/>
      <c r="AJ293" s="50">
        <v>38497</v>
      </c>
      <c r="AK293" s="50">
        <v>38497</v>
      </c>
      <c r="AL293" s="51">
        <f t="shared" si="180"/>
        <v>20.449315068493149</v>
      </c>
      <c r="AM293" s="30">
        <v>8</v>
      </c>
      <c r="AN293" s="30" t="s">
        <v>1065</v>
      </c>
      <c r="AO293" s="30" t="s">
        <v>1050</v>
      </c>
      <c r="AP293" s="30" t="s">
        <v>1051</v>
      </c>
      <c r="AQ293" s="30">
        <v>2.11</v>
      </c>
      <c r="AR293" s="30">
        <v>1500</v>
      </c>
      <c r="AS293" s="30">
        <v>700</v>
      </c>
      <c r="AT293" s="30">
        <v>1695</v>
      </c>
      <c r="AU293" s="54">
        <v>14350000</v>
      </c>
      <c r="AV293" s="54"/>
      <c r="AW293" s="54"/>
      <c r="AX293" s="54"/>
      <c r="AY293" s="54">
        <v>14349000</v>
      </c>
      <c r="AZ293" s="54">
        <v>0</v>
      </c>
      <c r="BA293" s="54">
        <v>1000</v>
      </c>
      <c r="BB293" s="55">
        <f>VLOOKUP(M293,[1]Sheet1!$E$6:$F$556,2,FALSE)</f>
        <v>1000</v>
      </c>
      <c r="BC293" s="74"/>
      <c r="BD293" s="74"/>
      <c r="BE293" s="30"/>
      <c r="BF293" s="30" t="s">
        <v>1052</v>
      </c>
      <c r="BG293" s="30" t="s">
        <v>1155</v>
      </c>
      <c r="BH293" s="30" t="s">
        <v>1054</v>
      </c>
      <c r="BI293" s="30" t="str">
        <f t="shared" si="176"/>
        <v>COF(Assy_FT)</v>
      </c>
      <c r="BJ293" s="47" t="s">
        <v>137</v>
      </c>
      <c r="BK293" s="56">
        <f t="shared" si="181"/>
        <v>287000</v>
      </c>
      <c r="BL293" s="57">
        <f t="shared" si="190"/>
        <v>27359.342025986392</v>
      </c>
      <c r="BM293" s="57">
        <f t="shared" si="191"/>
        <v>9119.7806753287969</v>
      </c>
      <c r="BU293" s="58">
        <f>BM293*3</f>
        <v>27359.342025986392</v>
      </c>
      <c r="BV293" s="58">
        <f t="shared" si="189"/>
        <v>27359.342025986392</v>
      </c>
      <c r="BW293" s="58">
        <f>SUM(BS293:BV293)</f>
        <v>54718.684051972785</v>
      </c>
      <c r="BX293" s="58">
        <f t="shared" si="157"/>
        <v>27359.342025986392</v>
      </c>
      <c r="BY293" s="58">
        <f t="shared" si="158"/>
        <v>27359.342025986392</v>
      </c>
      <c r="BZ293" s="58">
        <f>BM293*3</f>
        <v>27359.342025986392</v>
      </c>
      <c r="CA293" s="58">
        <f t="shared" si="158"/>
        <v>27359.342025986392</v>
      </c>
      <c r="CB293" s="58">
        <f t="shared" si="171"/>
        <v>109437.36810394557</v>
      </c>
      <c r="CC293" s="58">
        <f t="shared" si="172"/>
        <v>27359.342025986392</v>
      </c>
      <c r="CD293" s="58">
        <f t="shared" si="193"/>
        <v>27359.342025986392</v>
      </c>
      <c r="CE293" s="58">
        <f t="shared" si="193"/>
        <v>27359.342025986392</v>
      </c>
      <c r="CF293" s="58">
        <f t="shared" si="193"/>
        <v>27359.342025986392</v>
      </c>
      <c r="CG293" s="58">
        <f t="shared" si="173"/>
        <v>109437.36810394557</v>
      </c>
      <c r="CH293" s="58">
        <f t="shared" si="174"/>
        <v>27359.342025986392</v>
      </c>
      <c r="CI293" s="58">
        <f t="shared" si="192"/>
        <v>27359.342025986392</v>
      </c>
      <c r="CJ293" s="58">
        <f t="shared" si="192"/>
        <v>27359.342025986392</v>
      </c>
      <c r="CK293" s="58">
        <f t="shared" si="192"/>
        <v>27359.342025986392</v>
      </c>
      <c r="CL293" s="58">
        <f t="shared" si="175"/>
        <v>109437.36810394557</v>
      </c>
      <c r="CN293" s="59">
        <f t="shared" si="187"/>
        <v>2.802375927769355E-5</v>
      </c>
      <c r="CO293" s="64">
        <f t="shared" si="188"/>
        <v>588498.94483156456</v>
      </c>
      <c r="CP293" s="2">
        <f t="shared" si="177"/>
        <v>875498.94483156456</v>
      </c>
    </row>
    <row r="294" spans="1:94" ht="16.5" hidden="1" x14ac:dyDescent="0.3">
      <c r="A294" s="2">
        <v>289</v>
      </c>
      <c r="B294" s="47" t="s">
        <v>21</v>
      </c>
      <c r="C294" s="47"/>
      <c r="D294" s="30" t="s">
        <v>1041</v>
      </c>
      <c r="E294" s="30" t="s">
        <v>1042</v>
      </c>
      <c r="F294" s="30" t="s">
        <v>1043</v>
      </c>
      <c r="G294" s="30" t="s">
        <v>117</v>
      </c>
      <c r="H294" s="30" t="s">
        <v>1058</v>
      </c>
      <c r="I294" s="30" t="s">
        <v>119</v>
      </c>
      <c r="J294" s="30" t="s">
        <v>1044</v>
      </c>
      <c r="K294" s="30" t="s">
        <v>1044</v>
      </c>
      <c r="L294" s="30" t="s">
        <v>1148</v>
      </c>
      <c r="M294" s="30">
        <v>1000291</v>
      </c>
      <c r="N294" s="30" t="s">
        <v>138</v>
      </c>
      <c r="O294" s="30" t="s">
        <v>1156</v>
      </c>
      <c r="P294" s="30" t="s">
        <v>1150</v>
      </c>
      <c r="Q294" s="30" t="str">
        <f>P294</f>
        <v>SWLU-RWA-100</v>
      </c>
      <c r="R294" s="30"/>
      <c r="S294" s="30" t="s">
        <v>1157</v>
      </c>
      <c r="T294" s="30"/>
      <c r="U294" s="30" t="s">
        <v>144</v>
      </c>
      <c r="V294" s="30" t="s">
        <v>437</v>
      </c>
      <c r="W294" s="30" t="s">
        <v>1152</v>
      </c>
      <c r="X294" s="30" t="s">
        <v>127</v>
      </c>
      <c r="Y294" s="30" t="s">
        <v>576</v>
      </c>
      <c r="Z294" s="30" t="s">
        <v>576</v>
      </c>
      <c r="AA294" s="30" t="s">
        <v>129</v>
      </c>
      <c r="AB294" s="2" t="s">
        <v>1153</v>
      </c>
      <c r="AC294" s="2" t="s">
        <v>1154</v>
      </c>
      <c r="AD294" s="30"/>
      <c r="AE294" s="30"/>
      <c r="AF294" s="30" t="s">
        <v>131</v>
      </c>
      <c r="AG294" s="30" t="s">
        <v>1088</v>
      </c>
      <c r="AH294" s="30"/>
      <c r="AI294" s="30"/>
      <c r="AJ294" s="50">
        <v>38497</v>
      </c>
      <c r="AK294" s="50">
        <v>38497</v>
      </c>
      <c r="AL294" s="51">
        <f t="shared" si="180"/>
        <v>20.449315068493149</v>
      </c>
      <c r="AM294" s="30">
        <v>8</v>
      </c>
      <c r="AN294" s="30" t="s">
        <v>1065</v>
      </c>
      <c r="AO294" s="30" t="s">
        <v>1050</v>
      </c>
      <c r="AP294" s="30" t="s">
        <v>1051</v>
      </c>
      <c r="AQ294" s="30">
        <v>2.11</v>
      </c>
      <c r="AR294" s="30">
        <v>1500</v>
      </c>
      <c r="AS294" s="30">
        <v>700</v>
      </c>
      <c r="AT294" s="30">
        <v>1695</v>
      </c>
      <c r="AU294" s="54">
        <v>14350000</v>
      </c>
      <c r="AV294" s="54"/>
      <c r="AW294" s="54"/>
      <c r="AX294" s="54"/>
      <c r="AY294" s="54">
        <v>14349000</v>
      </c>
      <c r="AZ294" s="54">
        <v>0</v>
      </c>
      <c r="BA294" s="54">
        <v>1000</v>
      </c>
      <c r="BB294" s="55">
        <f>VLOOKUP(M294,[1]Sheet1!$E$6:$F$556,2,FALSE)</f>
        <v>1000</v>
      </c>
      <c r="BC294" s="74"/>
      <c r="BD294" s="74"/>
      <c r="BE294" s="30"/>
      <c r="BF294" s="30" t="s">
        <v>1052</v>
      </c>
      <c r="BG294" s="30" t="s">
        <v>1155</v>
      </c>
      <c r="BH294" s="30" t="s">
        <v>1054</v>
      </c>
      <c r="BI294" s="30" t="str">
        <f t="shared" si="176"/>
        <v>COF(Assy_FT)</v>
      </c>
      <c r="BJ294" s="47" t="s">
        <v>137</v>
      </c>
      <c r="BK294" s="56">
        <f t="shared" si="181"/>
        <v>287000</v>
      </c>
      <c r="BL294" s="57">
        <f t="shared" si="190"/>
        <v>27359.342025986392</v>
      </c>
      <c r="BM294" s="57">
        <f t="shared" si="191"/>
        <v>9119.7806753287969</v>
      </c>
      <c r="BU294" s="58">
        <f>BM294*3</f>
        <v>27359.342025986392</v>
      </c>
      <c r="BV294" s="58">
        <f t="shared" si="189"/>
        <v>27359.342025986392</v>
      </c>
      <c r="BW294" s="58">
        <f>SUM(BS294:BV294)</f>
        <v>54718.684051972785</v>
      </c>
      <c r="BX294" s="58">
        <f t="shared" si="157"/>
        <v>27359.342025986392</v>
      </c>
      <c r="BY294" s="58">
        <f t="shared" si="158"/>
        <v>27359.342025986392</v>
      </c>
      <c r="BZ294" s="58">
        <f>BM294*3</f>
        <v>27359.342025986392</v>
      </c>
      <c r="CA294" s="58">
        <f t="shared" si="158"/>
        <v>27359.342025986392</v>
      </c>
      <c r="CB294" s="58">
        <f t="shared" si="171"/>
        <v>109437.36810394557</v>
      </c>
      <c r="CC294" s="58">
        <f t="shared" si="172"/>
        <v>27359.342025986392</v>
      </c>
      <c r="CD294" s="58">
        <f t="shared" si="193"/>
        <v>27359.342025986392</v>
      </c>
      <c r="CE294" s="58">
        <f t="shared" si="193"/>
        <v>27359.342025986392</v>
      </c>
      <c r="CF294" s="58">
        <f t="shared" si="193"/>
        <v>27359.342025986392</v>
      </c>
      <c r="CG294" s="58">
        <f t="shared" si="173"/>
        <v>109437.36810394557</v>
      </c>
      <c r="CH294" s="58">
        <f t="shared" si="174"/>
        <v>27359.342025986392</v>
      </c>
      <c r="CI294" s="58">
        <f>CH294</f>
        <v>27359.342025986392</v>
      </c>
      <c r="CJ294" s="58">
        <f>CI294</f>
        <v>27359.342025986392</v>
      </c>
      <c r="CK294" s="58">
        <f>CJ294</f>
        <v>27359.342025986392</v>
      </c>
      <c r="CL294" s="58">
        <f t="shared" si="175"/>
        <v>109437.36810394557</v>
      </c>
      <c r="CN294" s="59">
        <f t="shared" si="187"/>
        <v>2.802375927769355E-5</v>
      </c>
      <c r="CO294" s="64">
        <f t="shared" si="188"/>
        <v>588498.94483156456</v>
      </c>
      <c r="CP294" s="2">
        <f t="shared" si="177"/>
        <v>875498.94483156456</v>
      </c>
    </row>
    <row r="295" spans="1:94" ht="16.5" hidden="1" x14ac:dyDescent="0.3">
      <c r="A295" s="2">
        <v>290</v>
      </c>
      <c r="B295" s="47" t="s">
        <v>21</v>
      </c>
      <c r="C295" s="47"/>
      <c r="D295" s="30" t="s">
        <v>1041</v>
      </c>
      <c r="E295" s="30" t="s">
        <v>1042</v>
      </c>
      <c r="F295" s="30" t="s">
        <v>1043</v>
      </c>
      <c r="G295" s="30" t="s">
        <v>117</v>
      </c>
      <c r="H295" s="30" t="s">
        <v>385</v>
      </c>
      <c r="I295" s="30" t="s">
        <v>119</v>
      </c>
      <c r="J295" s="30" t="s">
        <v>1044</v>
      </c>
      <c r="K295" s="30" t="s">
        <v>1044</v>
      </c>
      <c r="L295" s="30" t="s">
        <v>766</v>
      </c>
      <c r="M295" s="30">
        <v>1000301</v>
      </c>
      <c r="N295" s="30" t="s">
        <v>138</v>
      </c>
      <c r="O295" s="30" t="s">
        <v>1158</v>
      </c>
      <c r="P295" s="30" t="s">
        <v>768</v>
      </c>
      <c r="Q295" s="30" t="s">
        <v>769</v>
      </c>
      <c r="R295" s="30"/>
      <c r="S295" s="30" t="s">
        <v>1159</v>
      </c>
      <c r="T295" s="30"/>
      <c r="U295" s="30" t="s">
        <v>144</v>
      </c>
      <c r="V295" s="30" t="s">
        <v>415</v>
      </c>
      <c r="W295" s="30" t="s">
        <v>1048</v>
      </c>
      <c r="X295" s="30" t="s">
        <v>147</v>
      </c>
      <c r="Y295" s="125" t="s">
        <v>576</v>
      </c>
      <c r="Z295" s="125" t="s">
        <v>576</v>
      </c>
      <c r="AA295" s="48" t="s">
        <v>148</v>
      </c>
      <c r="AB295" s="30" t="s">
        <v>773</v>
      </c>
      <c r="AC295" s="30" t="s">
        <v>773</v>
      </c>
      <c r="AD295" s="30"/>
      <c r="AE295" s="30"/>
      <c r="AF295" s="48" t="s">
        <v>604</v>
      </c>
      <c r="AG295" s="30" t="s">
        <v>774</v>
      </c>
      <c r="AH295" s="48" t="s">
        <v>775</v>
      </c>
      <c r="AI295" s="30"/>
      <c r="AJ295" s="50">
        <v>38493</v>
      </c>
      <c r="AK295" s="50">
        <v>38498</v>
      </c>
      <c r="AL295" s="51">
        <f t="shared" si="180"/>
        <v>20.446575342465753</v>
      </c>
      <c r="AM295" s="30">
        <v>8</v>
      </c>
      <c r="AN295" s="30" t="s">
        <v>1057</v>
      </c>
      <c r="AO295" s="30" t="s">
        <v>1050</v>
      </c>
      <c r="AP295" s="30" t="s">
        <v>1051</v>
      </c>
      <c r="AQ295" s="30">
        <v>6.24</v>
      </c>
      <c r="AR295" s="30">
        <v>1150</v>
      </c>
      <c r="AS295" s="30">
        <v>1200</v>
      </c>
      <c r="AT295" s="30">
        <v>2100</v>
      </c>
      <c r="AU295" s="54">
        <v>211167086</v>
      </c>
      <c r="AV295" s="54"/>
      <c r="AW295" s="54"/>
      <c r="AX295" s="54"/>
      <c r="AY295" s="54">
        <v>211166086</v>
      </c>
      <c r="AZ295" s="54">
        <v>0</v>
      </c>
      <c r="BA295" s="54">
        <v>1000</v>
      </c>
      <c r="BB295" s="55">
        <f>VLOOKUP(M295,[1]Sheet1!$E$6:$F$556,2,FALSE)</f>
        <v>1000</v>
      </c>
      <c r="BC295" s="74"/>
      <c r="BD295" s="74"/>
      <c r="BE295" s="30"/>
      <c r="BF295" s="30" t="s">
        <v>1052</v>
      </c>
      <c r="BG295" s="30" t="s">
        <v>1053</v>
      </c>
      <c r="BH295" s="30" t="s">
        <v>1054</v>
      </c>
      <c r="BI295" s="30" t="str">
        <f t="shared" si="176"/>
        <v>COF(Assy_FT)</v>
      </c>
      <c r="BJ295" s="47" t="s">
        <v>137</v>
      </c>
      <c r="BK295" s="67">
        <f t="shared" si="181"/>
        <v>4223341.72</v>
      </c>
      <c r="BL295" s="68">
        <f t="shared" si="190"/>
        <v>402605.75125469558</v>
      </c>
      <c r="BM295" s="68">
        <f t="shared" si="191"/>
        <v>134201.91708489854</v>
      </c>
      <c r="BP295" s="69">
        <f t="shared" si="154"/>
        <v>402605.75125469558</v>
      </c>
      <c r="BQ295" s="69">
        <f t="shared" si="155"/>
        <v>402605.75125469558</v>
      </c>
      <c r="BR295" s="69">
        <f t="shared" si="161"/>
        <v>805211.50250939117</v>
      </c>
      <c r="BS295" s="69">
        <f t="shared" si="156"/>
        <v>402605.75125469558</v>
      </c>
      <c r="BT295" s="69">
        <f t="shared" si="189"/>
        <v>402605.75125469558</v>
      </c>
      <c r="BU295" s="100">
        <f t="shared" si="189"/>
        <v>402605.75125469558</v>
      </c>
      <c r="BV295" s="100">
        <f t="shared" si="189"/>
        <v>402605.75125469558</v>
      </c>
      <c r="BW295" s="100">
        <f t="shared" si="162"/>
        <v>1610423.0050187823</v>
      </c>
      <c r="BX295" s="101">
        <f t="shared" si="157"/>
        <v>402605.75125469558</v>
      </c>
      <c r="BY295" s="101">
        <f t="shared" si="158"/>
        <v>402605.75125469558</v>
      </c>
      <c r="BZ295" s="18">
        <f t="shared" si="158"/>
        <v>402605.75125469558</v>
      </c>
      <c r="CA295" s="18">
        <f t="shared" si="158"/>
        <v>402605.75125469558</v>
      </c>
      <c r="CB295" s="70">
        <f t="shared" si="171"/>
        <v>1610423.0050187823</v>
      </c>
      <c r="CC295" s="18">
        <f t="shared" si="172"/>
        <v>402605.75125469558</v>
      </c>
      <c r="CD295" s="18">
        <f t="shared" si="193"/>
        <v>402605.75125469558</v>
      </c>
      <c r="CE295" s="18">
        <f t="shared" si="193"/>
        <v>402605.75125469558</v>
      </c>
      <c r="CF295" s="18">
        <f t="shared" si="193"/>
        <v>402605.75125469558</v>
      </c>
      <c r="CG295" s="70">
        <f t="shared" si="173"/>
        <v>1610423.0050187823</v>
      </c>
      <c r="CH295" s="18">
        <f t="shared" si="174"/>
        <v>402605.75125469558</v>
      </c>
      <c r="CI295" s="18">
        <f t="shared" ref="CI295:CK310" si="194">CH295</f>
        <v>402605.75125469558</v>
      </c>
      <c r="CJ295" s="18">
        <f t="shared" si="194"/>
        <v>402605.75125469558</v>
      </c>
      <c r="CK295" s="18">
        <f t="shared" si="194"/>
        <v>402605.75125469558</v>
      </c>
      <c r="CL295" s="70">
        <f t="shared" si="175"/>
        <v>1610423.0050187823</v>
      </c>
      <c r="CM295" s="71"/>
      <c r="CN295" s="59">
        <f t="shared" si="187"/>
        <v>4.1238296762620289E-4</v>
      </c>
      <c r="CO295" s="64">
        <f t="shared" si="188"/>
        <v>8660042.3201502599</v>
      </c>
      <c r="CP295" s="2">
        <f t="shared" si="177"/>
        <v>12883384.040150259</v>
      </c>
    </row>
    <row r="296" spans="1:94" ht="16.5" hidden="1" x14ac:dyDescent="0.3">
      <c r="A296" s="2">
        <v>291</v>
      </c>
      <c r="B296" s="47" t="s">
        <v>21</v>
      </c>
      <c r="C296" s="47"/>
      <c r="D296" s="30" t="s">
        <v>1041</v>
      </c>
      <c r="E296" s="30" t="s">
        <v>1042</v>
      </c>
      <c r="F296" s="30" t="s">
        <v>1043</v>
      </c>
      <c r="G296" s="30" t="s">
        <v>117</v>
      </c>
      <c r="H296" s="30" t="s">
        <v>385</v>
      </c>
      <c r="I296" s="30" t="s">
        <v>119</v>
      </c>
      <c r="J296" s="30" t="s">
        <v>1044</v>
      </c>
      <c r="K296" s="30" t="s">
        <v>1044</v>
      </c>
      <c r="L296" s="30" t="s">
        <v>766</v>
      </c>
      <c r="M296" s="30">
        <v>1000302</v>
      </c>
      <c r="N296" s="30" t="s">
        <v>138</v>
      </c>
      <c r="O296" s="30" t="s">
        <v>1160</v>
      </c>
      <c r="P296" s="30" t="s">
        <v>768</v>
      </c>
      <c r="Q296" s="30" t="s">
        <v>769</v>
      </c>
      <c r="R296" s="30"/>
      <c r="S296" s="30" t="s">
        <v>1161</v>
      </c>
      <c r="T296" s="30"/>
      <c r="U296" s="30" t="s">
        <v>144</v>
      </c>
      <c r="V296" s="30" t="s">
        <v>415</v>
      </c>
      <c r="W296" s="30" t="s">
        <v>1048</v>
      </c>
      <c r="X296" s="30" t="s">
        <v>147</v>
      </c>
      <c r="Y296" s="125" t="s">
        <v>576</v>
      </c>
      <c r="Z296" s="125" t="s">
        <v>576</v>
      </c>
      <c r="AA296" s="48" t="s">
        <v>148</v>
      </c>
      <c r="AB296" s="30" t="s">
        <v>773</v>
      </c>
      <c r="AC296" s="30" t="s">
        <v>773</v>
      </c>
      <c r="AD296" s="30"/>
      <c r="AE296" s="30"/>
      <c r="AF296" s="48" t="s">
        <v>604</v>
      </c>
      <c r="AG296" s="30" t="s">
        <v>774</v>
      </c>
      <c r="AH296" s="48" t="s">
        <v>775</v>
      </c>
      <c r="AI296" s="30"/>
      <c r="AJ296" s="50">
        <v>38493</v>
      </c>
      <c r="AK296" s="50">
        <v>38498</v>
      </c>
      <c r="AL296" s="51">
        <f t="shared" si="180"/>
        <v>20.446575342465753</v>
      </c>
      <c r="AM296" s="30">
        <v>8</v>
      </c>
      <c r="AN296" s="30" t="s">
        <v>1057</v>
      </c>
      <c r="AO296" s="30" t="s">
        <v>1050</v>
      </c>
      <c r="AP296" s="30" t="s">
        <v>1051</v>
      </c>
      <c r="AQ296" s="30">
        <v>6.24</v>
      </c>
      <c r="AR296" s="30">
        <v>1150</v>
      </c>
      <c r="AS296" s="30">
        <v>1200</v>
      </c>
      <c r="AT296" s="30">
        <v>2100</v>
      </c>
      <c r="AU296" s="54">
        <v>221744366</v>
      </c>
      <c r="AV296" s="54"/>
      <c r="AW296" s="54"/>
      <c r="AX296" s="54"/>
      <c r="AY296" s="54">
        <v>221743366</v>
      </c>
      <c r="AZ296" s="54">
        <v>0</v>
      </c>
      <c r="BA296" s="54">
        <v>1000</v>
      </c>
      <c r="BB296" s="55">
        <f>VLOOKUP(M296,[1]Sheet1!$E$6:$F$556,2,FALSE)</f>
        <v>1000</v>
      </c>
      <c r="BC296" s="74"/>
      <c r="BD296" s="74"/>
      <c r="BE296" s="30"/>
      <c r="BF296" s="30" t="s">
        <v>1052</v>
      </c>
      <c r="BG296" s="30" t="s">
        <v>1053</v>
      </c>
      <c r="BH296" s="30" t="s">
        <v>1054</v>
      </c>
      <c r="BI296" s="30" t="str">
        <f t="shared" si="176"/>
        <v>COF(Assy_FT)</v>
      </c>
      <c r="BJ296" s="47" t="s">
        <v>137</v>
      </c>
      <c r="BK296" s="67">
        <f t="shared" si="181"/>
        <v>4434887.32</v>
      </c>
      <c r="BL296" s="68">
        <f t="shared" si="190"/>
        <v>422772.12207174278</v>
      </c>
      <c r="BM296" s="68">
        <f t="shared" si="191"/>
        <v>140924.04069058094</v>
      </c>
      <c r="BP296" s="69">
        <f t="shared" si="154"/>
        <v>422772.12207174278</v>
      </c>
      <c r="BQ296" s="69">
        <f t="shared" si="155"/>
        <v>422772.12207174278</v>
      </c>
      <c r="BR296" s="69">
        <f t="shared" si="161"/>
        <v>845544.24414348556</v>
      </c>
      <c r="BS296" s="69">
        <f t="shared" si="156"/>
        <v>422772.12207174278</v>
      </c>
      <c r="BT296" s="69">
        <f t="shared" si="189"/>
        <v>422772.12207174278</v>
      </c>
      <c r="BU296" s="100">
        <f t="shared" si="189"/>
        <v>422772.12207174278</v>
      </c>
      <c r="BV296" s="100">
        <f t="shared" si="189"/>
        <v>422772.12207174278</v>
      </c>
      <c r="BW296" s="100">
        <f t="shared" si="162"/>
        <v>1691088.4882869711</v>
      </c>
      <c r="BX296" s="101">
        <f t="shared" si="157"/>
        <v>422772.12207174278</v>
      </c>
      <c r="BY296" s="101">
        <f t="shared" si="158"/>
        <v>422772.12207174278</v>
      </c>
      <c r="BZ296" s="18">
        <f t="shared" si="158"/>
        <v>422772.12207174278</v>
      </c>
      <c r="CA296" s="18">
        <f t="shared" si="158"/>
        <v>422772.12207174278</v>
      </c>
      <c r="CB296" s="70">
        <f t="shared" si="171"/>
        <v>1691088.4882869711</v>
      </c>
      <c r="CC296" s="18">
        <f t="shared" si="172"/>
        <v>422772.12207174278</v>
      </c>
      <c r="CD296" s="18">
        <f t="shared" si="193"/>
        <v>422772.12207174278</v>
      </c>
      <c r="CE296" s="18">
        <f t="shared" si="193"/>
        <v>422772.12207174278</v>
      </c>
      <c r="CF296" s="18">
        <f t="shared" si="193"/>
        <v>422772.12207174278</v>
      </c>
      <c r="CG296" s="70">
        <f t="shared" si="173"/>
        <v>1691088.4882869711</v>
      </c>
      <c r="CH296" s="18">
        <f t="shared" si="174"/>
        <v>422772.12207174278</v>
      </c>
      <c r="CI296" s="18">
        <f t="shared" si="194"/>
        <v>422772.12207174278</v>
      </c>
      <c r="CJ296" s="18">
        <f t="shared" si="194"/>
        <v>422772.12207174278</v>
      </c>
      <c r="CK296" s="18">
        <f t="shared" si="194"/>
        <v>422772.12207174278</v>
      </c>
      <c r="CL296" s="70">
        <f t="shared" si="175"/>
        <v>1691088.4882869711</v>
      </c>
      <c r="CM296" s="71"/>
      <c r="CN296" s="59">
        <f t="shared" si="187"/>
        <v>4.3303907553789373E-4</v>
      </c>
      <c r="CO296" s="64">
        <f t="shared" si="188"/>
        <v>9093820.5862957686</v>
      </c>
      <c r="CP296" s="2">
        <f t="shared" si="177"/>
        <v>13528707.906295769</v>
      </c>
    </row>
    <row r="297" spans="1:94" ht="16.5" hidden="1" x14ac:dyDescent="0.3">
      <c r="A297" s="2">
        <v>292</v>
      </c>
      <c r="B297" s="47" t="s">
        <v>21</v>
      </c>
      <c r="C297" s="47"/>
      <c r="D297" s="30" t="s">
        <v>1041</v>
      </c>
      <c r="E297" s="30" t="s">
        <v>1042</v>
      </c>
      <c r="F297" s="30" t="s">
        <v>1043</v>
      </c>
      <c r="G297" s="30" t="s">
        <v>117</v>
      </c>
      <c r="H297" s="30" t="s">
        <v>1058</v>
      </c>
      <c r="I297" s="30" t="s">
        <v>119</v>
      </c>
      <c r="J297" s="30" t="s">
        <v>1044</v>
      </c>
      <c r="K297" s="30" t="s">
        <v>1044</v>
      </c>
      <c r="L297" s="30" t="s">
        <v>1120</v>
      </c>
      <c r="M297" s="30">
        <v>1000307</v>
      </c>
      <c r="N297" s="30" t="s">
        <v>138</v>
      </c>
      <c r="O297" s="30" t="s">
        <v>1162</v>
      </c>
      <c r="P297" s="30" t="s">
        <v>1163</v>
      </c>
      <c r="Q297" s="30" t="s">
        <v>1164</v>
      </c>
      <c r="R297" s="30"/>
      <c r="S297" s="30" t="s">
        <v>1165</v>
      </c>
      <c r="T297" s="30"/>
      <c r="U297" s="30" t="s">
        <v>144</v>
      </c>
      <c r="V297" s="30" t="s">
        <v>437</v>
      </c>
      <c r="W297" s="30" t="s">
        <v>1125</v>
      </c>
      <c r="X297" s="30" t="s">
        <v>147</v>
      </c>
      <c r="Y297" s="125" t="s">
        <v>576</v>
      </c>
      <c r="Z297" s="125" t="s">
        <v>576</v>
      </c>
      <c r="AA297" s="30" t="s">
        <v>129</v>
      </c>
      <c r="AB297" s="127" t="s">
        <v>1129</v>
      </c>
      <c r="AC297" s="30"/>
      <c r="AD297" s="30"/>
      <c r="AE297" s="30"/>
      <c r="AF297" s="30" t="s">
        <v>131</v>
      </c>
      <c r="AG297" s="30" t="s">
        <v>774</v>
      </c>
      <c r="AH297" s="30"/>
      <c r="AI297" s="30"/>
      <c r="AJ297" s="50">
        <v>38503</v>
      </c>
      <c r="AK297" s="50">
        <v>38503</v>
      </c>
      <c r="AL297" s="51">
        <f t="shared" si="180"/>
        <v>20.432876712328767</v>
      </c>
      <c r="AM297" s="30">
        <v>8</v>
      </c>
      <c r="AN297" s="30" t="s">
        <v>1065</v>
      </c>
      <c r="AO297" s="30" t="s">
        <v>1050</v>
      </c>
      <c r="AP297" s="30" t="s">
        <v>1051</v>
      </c>
      <c r="AQ297" s="30">
        <v>6.6</v>
      </c>
      <c r="AR297" s="30">
        <v>6625</v>
      </c>
      <c r="AS297" s="30">
        <v>820</v>
      </c>
      <c r="AT297" s="30">
        <v>1900</v>
      </c>
      <c r="AU297" s="54">
        <v>229000000</v>
      </c>
      <c r="AV297" s="54"/>
      <c r="AW297" s="54"/>
      <c r="AX297" s="54"/>
      <c r="AY297" s="54">
        <v>228999000</v>
      </c>
      <c r="AZ297" s="54">
        <v>0</v>
      </c>
      <c r="BA297" s="54">
        <v>1000</v>
      </c>
      <c r="BB297" s="55">
        <f>VLOOKUP(M297,[1]Sheet1!$E$6:$F$556,2,FALSE)</f>
        <v>1000</v>
      </c>
      <c r="BC297" s="74"/>
      <c r="BD297" s="74"/>
      <c r="BE297" s="30"/>
      <c r="BF297" s="30" t="s">
        <v>1052</v>
      </c>
      <c r="BG297" s="30" t="s">
        <v>1117</v>
      </c>
      <c r="BH297" s="30" t="s">
        <v>1054</v>
      </c>
      <c r="BI297" s="30" t="str">
        <f t="shared" si="176"/>
        <v>COF(Assy_FT)</v>
      </c>
      <c r="BJ297" s="47" t="s">
        <v>137</v>
      </c>
      <c r="BK297" s="67">
        <f t="shared" si="181"/>
        <v>4580000</v>
      </c>
      <c r="BL297" s="68">
        <f t="shared" si="190"/>
        <v>436605.52780145535</v>
      </c>
      <c r="BM297" s="68">
        <f t="shared" si="191"/>
        <v>145535.17593381845</v>
      </c>
      <c r="BP297" s="69">
        <f t="shared" si="154"/>
        <v>436605.52780145535</v>
      </c>
      <c r="BQ297" s="69">
        <f t="shared" si="155"/>
        <v>436605.52780145535</v>
      </c>
      <c r="BR297" s="69">
        <f t="shared" si="161"/>
        <v>873211.0556029107</v>
      </c>
      <c r="BS297" s="69">
        <f t="shared" si="156"/>
        <v>436605.52780145535</v>
      </c>
      <c r="BT297" s="69">
        <f t="shared" si="189"/>
        <v>436605.52780145535</v>
      </c>
      <c r="BU297" s="100">
        <f t="shared" si="189"/>
        <v>436605.52780145535</v>
      </c>
      <c r="BV297" s="100">
        <f t="shared" si="189"/>
        <v>436605.52780145535</v>
      </c>
      <c r="BW297" s="100">
        <f t="shared" si="162"/>
        <v>1746422.1112058214</v>
      </c>
      <c r="BX297" s="101">
        <f t="shared" si="157"/>
        <v>436605.52780145535</v>
      </c>
      <c r="BY297" s="101">
        <f t="shared" si="158"/>
        <v>436605.52780145535</v>
      </c>
      <c r="BZ297" s="18">
        <f t="shared" si="158"/>
        <v>436605.52780145535</v>
      </c>
      <c r="CA297" s="18">
        <f t="shared" si="158"/>
        <v>436605.52780145535</v>
      </c>
      <c r="CB297" s="70">
        <f t="shared" si="171"/>
        <v>1746422.1112058214</v>
      </c>
      <c r="CC297" s="18">
        <f t="shared" si="172"/>
        <v>436605.52780145535</v>
      </c>
      <c r="CD297" s="18">
        <f t="shared" si="193"/>
        <v>436605.52780145535</v>
      </c>
      <c r="CE297" s="18">
        <f t="shared" si="193"/>
        <v>436605.52780145535</v>
      </c>
      <c r="CF297" s="18">
        <f t="shared" si="193"/>
        <v>436605.52780145535</v>
      </c>
      <c r="CG297" s="70">
        <f t="shared" si="173"/>
        <v>1746422.1112058214</v>
      </c>
      <c r="CH297" s="18">
        <f t="shared" si="174"/>
        <v>436605.52780145535</v>
      </c>
      <c r="CI297" s="18">
        <f t="shared" si="194"/>
        <v>436605.52780145535</v>
      </c>
      <c r="CJ297" s="18">
        <f t="shared" si="194"/>
        <v>436605.52780145535</v>
      </c>
      <c r="CK297" s="18">
        <f t="shared" si="194"/>
        <v>436605.52780145535</v>
      </c>
      <c r="CL297" s="70">
        <f t="shared" si="175"/>
        <v>1746422.1112058214</v>
      </c>
      <c r="CM297" s="71"/>
      <c r="CN297" s="59">
        <f t="shared" si="187"/>
        <v>4.4720842331650337E-4</v>
      </c>
      <c r="CO297" s="64">
        <f t="shared" si="188"/>
        <v>9391376.8896465711</v>
      </c>
      <c r="CP297" s="2">
        <f t="shared" si="177"/>
        <v>13971376.889646571</v>
      </c>
    </row>
    <row r="298" spans="1:94" ht="16.5" hidden="1" x14ac:dyDescent="0.3">
      <c r="A298" s="2">
        <v>293</v>
      </c>
      <c r="B298" s="47" t="s">
        <v>21</v>
      </c>
      <c r="C298" s="47"/>
      <c r="D298" s="30" t="s">
        <v>1041</v>
      </c>
      <c r="E298" s="30" t="s">
        <v>1042</v>
      </c>
      <c r="F298" s="30" t="s">
        <v>1043</v>
      </c>
      <c r="G298" s="30" t="s">
        <v>117</v>
      </c>
      <c r="H298" s="30" t="s">
        <v>1058</v>
      </c>
      <c r="I298" s="30" t="s">
        <v>119</v>
      </c>
      <c r="J298" s="30" t="s">
        <v>1044</v>
      </c>
      <c r="K298" s="30" t="s">
        <v>1044</v>
      </c>
      <c r="L298" s="30" t="s">
        <v>1120</v>
      </c>
      <c r="M298" s="30">
        <v>1000308</v>
      </c>
      <c r="N298" s="30" t="s">
        <v>138</v>
      </c>
      <c r="O298" s="30" t="s">
        <v>1166</v>
      </c>
      <c r="P298" s="30" t="s">
        <v>1163</v>
      </c>
      <c r="Q298" s="30" t="s">
        <v>1164</v>
      </c>
      <c r="R298" s="30"/>
      <c r="S298" s="30" t="s">
        <v>1167</v>
      </c>
      <c r="T298" s="30"/>
      <c r="U298" s="30" t="s">
        <v>144</v>
      </c>
      <c r="V298" s="30" t="s">
        <v>437</v>
      </c>
      <c r="W298" s="30" t="s">
        <v>1125</v>
      </c>
      <c r="X298" s="30" t="s">
        <v>127</v>
      </c>
      <c r="Y298" s="30" t="s">
        <v>576</v>
      </c>
      <c r="Z298" s="30" t="s">
        <v>576</v>
      </c>
      <c r="AA298" s="30" t="s">
        <v>129</v>
      </c>
      <c r="AB298" s="127" t="s">
        <v>1129</v>
      </c>
      <c r="AC298" s="30"/>
      <c r="AD298" s="30"/>
      <c r="AE298" s="30"/>
      <c r="AF298" s="30" t="s">
        <v>131</v>
      </c>
      <c r="AG298" s="30" t="s">
        <v>774</v>
      </c>
      <c r="AH298" s="30"/>
      <c r="AI298" s="30"/>
      <c r="AJ298" s="50">
        <v>38503</v>
      </c>
      <c r="AK298" s="50">
        <v>38503</v>
      </c>
      <c r="AL298" s="51">
        <f t="shared" si="180"/>
        <v>20.432876712328767</v>
      </c>
      <c r="AM298" s="30">
        <v>8</v>
      </c>
      <c r="AN298" s="30" t="s">
        <v>1065</v>
      </c>
      <c r="AO298" s="30" t="s">
        <v>1050</v>
      </c>
      <c r="AP298" s="30" t="s">
        <v>1051</v>
      </c>
      <c r="AQ298" s="30">
        <v>6.6</v>
      </c>
      <c r="AR298" s="30">
        <v>6625</v>
      </c>
      <c r="AS298" s="30">
        <v>820</v>
      </c>
      <c r="AT298" s="30">
        <v>1900</v>
      </c>
      <c r="AU298" s="54">
        <v>229000000</v>
      </c>
      <c r="AV298" s="54"/>
      <c r="AW298" s="54"/>
      <c r="AX298" s="54"/>
      <c r="AY298" s="54">
        <v>228999000</v>
      </c>
      <c r="AZ298" s="54">
        <v>0</v>
      </c>
      <c r="BA298" s="54">
        <v>1000</v>
      </c>
      <c r="BB298" s="55">
        <f>VLOOKUP(M298,[1]Sheet1!$E$6:$F$556,2,FALSE)</f>
        <v>1000</v>
      </c>
      <c r="BC298" s="74"/>
      <c r="BD298" s="74"/>
      <c r="BE298" s="30"/>
      <c r="BF298" s="30" t="s">
        <v>1052</v>
      </c>
      <c r="BG298" s="30" t="s">
        <v>1117</v>
      </c>
      <c r="BH298" s="30" t="s">
        <v>1054</v>
      </c>
      <c r="BI298" s="30" t="str">
        <f t="shared" si="176"/>
        <v>COF(Assy_FT)</v>
      </c>
      <c r="BJ298" s="47" t="s">
        <v>137</v>
      </c>
      <c r="BK298" s="56">
        <f t="shared" si="181"/>
        <v>4580000</v>
      </c>
      <c r="BL298" s="57">
        <f t="shared" si="190"/>
        <v>436605.52780145535</v>
      </c>
      <c r="BM298" s="57">
        <f t="shared" si="191"/>
        <v>145535.17593381845</v>
      </c>
      <c r="BU298" s="58">
        <f>BM298*3</f>
        <v>436605.52780145535</v>
      </c>
      <c r="BV298" s="58">
        <f t="shared" si="189"/>
        <v>436605.52780145535</v>
      </c>
      <c r="BW298" s="58">
        <f>SUM(BS298:BV298)</f>
        <v>873211.0556029107</v>
      </c>
      <c r="BX298" s="58">
        <f t="shared" si="157"/>
        <v>436605.52780145535</v>
      </c>
      <c r="BY298" s="58">
        <f t="shared" si="158"/>
        <v>436605.52780145535</v>
      </c>
      <c r="BZ298" s="58">
        <f>BM298*3</f>
        <v>436605.52780145535</v>
      </c>
      <c r="CA298" s="58">
        <f t="shared" si="158"/>
        <v>436605.52780145535</v>
      </c>
      <c r="CB298" s="58">
        <f t="shared" si="171"/>
        <v>1746422.1112058214</v>
      </c>
      <c r="CC298" s="58">
        <f t="shared" si="172"/>
        <v>436605.52780145535</v>
      </c>
      <c r="CD298" s="58">
        <f t="shared" si="193"/>
        <v>436605.52780145535</v>
      </c>
      <c r="CE298" s="58">
        <f t="shared" si="193"/>
        <v>436605.52780145535</v>
      </c>
      <c r="CF298" s="58">
        <f t="shared" si="193"/>
        <v>436605.52780145535</v>
      </c>
      <c r="CG298" s="58">
        <f t="shared" si="173"/>
        <v>1746422.1112058214</v>
      </c>
      <c r="CH298" s="58">
        <f t="shared" si="174"/>
        <v>436605.52780145535</v>
      </c>
      <c r="CI298" s="58">
        <f t="shared" si="194"/>
        <v>436605.52780145535</v>
      </c>
      <c r="CJ298" s="58">
        <f t="shared" si="194"/>
        <v>436605.52780145535</v>
      </c>
      <c r="CK298" s="58">
        <f t="shared" si="194"/>
        <v>436605.52780145535</v>
      </c>
      <c r="CL298" s="58">
        <f t="shared" si="175"/>
        <v>1746422.1112058214</v>
      </c>
      <c r="CN298" s="59">
        <f t="shared" si="187"/>
        <v>4.4720842331650337E-4</v>
      </c>
      <c r="CO298" s="64">
        <f t="shared" si="188"/>
        <v>9391376.8896465711</v>
      </c>
      <c r="CP298" s="2">
        <f t="shared" si="177"/>
        <v>13971376.889646571</v>
      </c>
    </row>
    <row r="299" spans="1:94" ht="16.5" hidden="1" x14ac:dyDescent="0.3">
      <c r="A299" s="2">
        <v>294</v>
      </c>
      <c r="B299" s="47" t="s">
        <v>21</v>
      </c>
      <c r="C299" s="47"/>
      <c r="D299" s="30" t="s">
        <v>1041</v>
      </c>
      <c r="E299" s="30" t="s">
        <v>1042</v>
      </c>
      <c r="F299" s="30" t="s">
        <v>1043</v>
      </c>
      <c r="G299" s="30" t="s">
        <v>117</v>
      </c>
      <c r="H299" s="30" t="s">
        <v>1058</v>
      </c>
      <c r="I299" s="30" t="s">
        <v>119</v>
      </c>
      <c r="J299" s="30" t="s">
        <v>1044</v>
      </c>
      <c r="K299" s="30" t="s">
        <v>1044</v>
      </c>
      <c r="L299" s="30" t="s">
        <v>1120</v>
      </c>
      <c r="M299" s="30">
        <v>1000309</v>
      </c>
      <c r="N299" s="30" t="s">
        <v>138</v>
      </c>
      <c r="O299" s="30" t="s">
        <v>1168</v>
      </c>
      <c r="P299" s="30" t="s">
        <v>1163</v>
      </c>
      <c r="Q299" s="30" t="s">
        <v>1164</v>
      </c>
      <c r="R299" s="30"/>
      <c r="S299" s="30" t="s">
        <v>1169</v>
      </c>
      <c r="T299" s="30"/>
      <c r="U299" s="30" t="s">
        <v>144</v>
      </c>
      <c r="V299" s="30" t="s">
        <v>437</v>
      </c>
      <c r="W299" s="30" t="s">
        <v>1125</v>
      </c>
      <c r="X299" s="30" t="s">
        <v>147</v>
      </c>
      <c r="Y299" s="125" t="s">
        <v>576</v>
      </c>
      <c r="Z299" s="125" t="s">
        <v>576</v>
      </c>
      <c r="AA299" s="30" t="s">
        <v>129</v>
      </c>
      <c r="AB299" s="127" t="s">
        <v>1129</v>
      </c>
      <c r="AC299" s="30"/>
      <c r="AD299" s="30"/>
      <c r="AE299" s="30"/>
      <c r="AF299" s="30" t="s">
        <v>131</v>
      </c>
      <c r="AG299" s="30" t="s">
        <v>774</v>
      </c>
      <c r="AH299" s="30"/>
      <c r="AI299" s="30"/>
      <c r="AJ299" s="50">
        <v>38503</v>
      </c>
      <c r="AK299" s="50">
        <v>38503</v>
      </c>
      <c r="AL299" s="51">
        <f t="shared" si="180"/>
        <v>20.432876712328767</v>
      </c>
      <c r="AM299" s="30">
        <v>8</v>
      </c>
      <c r="AN299" s="30" t="s">
        <v>1065</v>
      </c>
      <c r="AO299" s="30" t="s">
        <v>1050</v>
      </c>
      <c r="AP299" s="30" t="s">
        <v>1051</v>
      </c>
      <c r="AQ299" s="30">
        <v>6.6</v>
      </c>
      <c r="AR299" s="30">
        <v>6625</v>
      </c>
      <c r="AS299" s="30">
        <v>820</v>
      </c>
      <c r="AT299" s="30">
        <v>1900</v>
      </c>
      <c r="AU299" s="54">
        <v>229000000</v>
      </c>
      <c r="AV299" s="54"/>
      <c r="AW299" s="54"/>
      <c r="AX299" s="54"/>
      <c r="AY299" s="54">
        <v>228999000</v>
      </c>
      <c r="AZ299" s="54">
        <v>0</v>
      </c>
      <c r="BA299" s="54">
        <v>1000</v>
      </c>
      <c r="BB299" s="55">
        <f>VLOOKUP(M299,[1]Sheet1!$E$6:$F$556,2,FALSE)</f>
        <v>1000</v>
      </c>
      <c r="BC299" s="74"/>
      <c r="BD299" s="74"/>
      <c r="BE299" s="30"/>
      <c r="BF299" s="30" t="s">
        <v>1052</v>
      </c>
      <c r="BG299" s="30" t="s">
        <v>1117</v>
      </c>
      <c r="BH299" s="30" t="s">
        <v>1054</v>
      </c>
      <c r="BI299" s="30" t="str">
        <f t="shared" si="176"/>
        <v>COF(Assy_FT)</v>
      </c>
      <c r="BJ299" s="47" t="s">
        <v>137</v>
      </c>
      <c r="BK299" s="67">
        <f t="shared" si="181"/>
        <v>4580000</v>
      </c>
      <c r="BL299" s="68">
        <f t="shared" si="190"/>
        <v>436605.52780145535</v>
      </c>
      <c r="BM299" s="68">
        <f t="shared" si="191"/>
        <v>145535.17593381845</v>
      </c>
      <c r="BP299" s="69">
        <f t="shared" ref="BP299:BP359" si="195">BM299*3</f>
        <v>436605.52780145535</v>
      </c>
      <c r="BQ299" s="69">
        <f t="shared" ref="BQ299:BQ359" si="196">BP299</f>
        <v>436605.52780145535</v>
      </c>
      <c r="BR299" s="69">
        <f t="shared" si="161"/>
        <v>873211.0556029107</v>
      </c>
      <c r="BS299" s="69">
        <f t="shared" ref="BS299:BS359" si="197">BQ299</f>
        <v>436605.52780145535</v>
      </c>
      <c r="BT299" s="69">
        <f t="shared" ref="BT299:BV314" si="198">BS299</f>
        <v>436605.52780145535</v>
      </c>
      <c r="BU299" s="100">
        <f t="shared" si="198"/>
        <v>436605.52780145535</v>
      </c>
      <c r="BV299" s="100">
        <f t="shared" si="198"/>
        <v>436605.52780145535</v>
      </c>
      <c r="BW299" s="100">
        <f t="shared" si="162"/>
        <v>1746422.1112058214</v>
      </c>
      <c r="BX299" s="101">
        <f t="shared" si="157"/>
        <v>436605.52780145535</v>
      </c>
      <c r="BY299" s="101">
        <f t="shared" ref="BY299:CA362" si="199">BX299</f>
        <v>436605.52780145535</v>
      </c>
      <c r="BZ299" s="18">
        <f t="shared" si="199"/>
        <v>436605.52780145535</v>
      </c>
      <c r="CA299" s="18">
        <f t="shared" si="199"/>
        <v>436605.52780145535</v>
      </c>
      <c r="CB299" s="70">
        <f t="shared" si="171"/>
        <v>1746422.1112058214</v>
      </c>
      <c r="CC299" s="18">
        <f t="shared" si="172"/>
        <v>436605.52780145535</v>
      </c>
      <c r="CD299" s="18">
        <f t="shared" si="193"/>
        <v>436605.52780145535</v>
      </c>
      <c r="CE299" s="18">
        <f t="shared" si="193"/>
        <v>436605.52780145535</v>
      </c>
      <c r="CF299" s="18">
        <f t="shared" si="193"/>
        <v>436605.52780145535</v>
      </c>
      <c r="CG299" s="70">
        <f t="shared" si="173"/>
        <v>1746422.1112058214</v>
      </c>
      <c r="CH299" s="18">
        <f t="shared" si="174"/>
        <v>436605.52780145535</v>
      </c>
      <c r="CI299" s="18">
        <f t="shared" si="194"/>
        <v>436605.52780145535</v>
      </c>
      <c r="CJ299" s="18">
        <f t="shared" si="194"/>
        <v>436605.52780145535</v>
      </c>
      <c r="CK299" s="18">
        <f t="shared" si="194"/>
        <v>436605.52780145535</v>
      </c>
      <c r="CL299" s="70">
        <f t="shared" si="175"/>
        <v>1746422.1112058214</v>
      </c>
      <c r="CM299" s="71"/>
      <c r="CN299" s="59">
        <f t="shared" si="187"/>
        <v>4.4720842331650337E-4</v>
      </c>
      <c r="CO299" s="64">
        <f t="shared" si="188"/>
        <v>9391376.8896465711</v>
      </c>
      <c r="CP299" s="2">
        <f t="shared" si="177"/>
        <v>13971376.889646571</v>
      </c>
    </row>
    <row r="300" spans="1:94" ht="16.5" hidden="1" x14ac:dyDescent="0.3">
      <c r="A300" s="2">
        <v>295</v>
      </c>
      <c r="B300" s="47" t="s">
        <v>21</v>
      </c>
      <c r="C300" s="47"/>
      <c r="D300" s="30" t="s">
        <v>1041</v>
      </c>
      <c r="E300" s="30" t="s">
        <v>1042</v>
      </c>
      <c r="F300" s="30" t="s">
        <v>1043</v>
      </c>
      <c r="G300" s="30" t="s">
        <v>117</v>
      </c>
      <c r="H300" s="30" t="s">
        <v>1058</v>
      </c>
      <c r="I300" s="30" t="s">
        <v>119</v>
      </c>
      <c r="J300" s="30" t="s">
        <v>1044</v>
      </c>
      <c r="K300" s="30" t="s">
        <v>1044</v>
      </c>
      <c r="L300" s="30" t="s">
        <v>1120</v>
      </c>
      <c r="M300" s="30">
        <v>1000319</v>
      </c>
      <c r="N300" s="30" t="s">
        <v>138</v>
      </c>
      <c r="O300" s="30" t="s">
        <v>1170</v>
      </c>
      <c r="P300" s="30" t="s">
        <v>1163</v>
      </c>
      <c r="Q300" s="30" t="s">
        <v>1164</v>
      </c>
      <c r="R300" s="30"/>
      <c r="S300" s="30" t="s">
        <v>1171</v>
      </c>
      <c r="T300" s="30"/>
      <c r="U300" s="30" t="s">
        <v>144</v>
      </c>
      <c r="V300" s="30" t="s">
        <v>437</v>
      </c>
      <c r="W300" s="30" t="s">
        <v>1125</v>
      </c>
      <c r="X300" s="30" t="s">
        <v>147</v>
      </c>
      <c r="Y300" s="125" t="s">
        <v>576</v>
      </c>
      <c r="Z300" s="125" t="s">
        <v>576</v>
      </c>
      <c r="AA300" s="30" t="s">
        <v>129</v>
      </c>
      <c r="AB300" s="127" t="s">
        <v>1129</v>
      </c>
      <c r="AC300" s="30"/>
      <c r="AD300" s="30"/>
      <c r="AE300" s="30"/>
      <c r="AF300" s="30" t="s">
        <v>131</v>
      </c>
      <c r="AG300" s="30" t="s">
        <v>774</v>
      </c>
      <c r="AH300" s="30"/>
      <c r="AI300" s="30"/>
      <c r="AJ300" s="50">
        <v>38518</v>
      </c>
      <c r="AK300" s="50">
        <v>38518</v>
      </c>
      <c r="AL300" s="51">
        <f t="shared" si="180"/>
        <v>20.391780821917809</v>
      </c>
      <c r="AM300" s="30">
        <v>8</v>
      </c>
      <c r="AN300" s="30" t="s">
        <v>1065</v>
      </c>
      <c r="AO300" s="30" t="s">
        <v>1050</v>
      </c>
      <c r="AP300" s="30" t="s">
        <v>1051</v>
      </c>
      <c r="AQ300" s="30">
        <v>6.6</v>
      </c>
      <c r="AR300" s="30">
        <v>6625</v>
      </c>
      <c r="AS300" s="30">
        <v>820</v>
      </c>
      <c r="AT300" s="30">
        <v>1900</v>
      </c>
      <c r="AU300" s="54">
        <v>229000000</v>
      </c>
      <c r="AV300" s="54"/>
      <c r="AW300" s="54"/>
      <c r="AX300" s="54"/>
      <c r="AY300" s="54">
        <v>228999000</v>
      </c>
      <c r="AZ300" s="54">
        <v>0</v>
      </c>
      <c r="BA300" s="54">
        <v>1000</v>
      </c>
      <c r="BB300" s="55">
        <f>VLOOKUP(M300,[1]Sheet1!$E$6:$F$556,2,FALSE)</f>
        <v>1000</v>
      </c>
      <c r="BC300" s="74"/>
      <c r="BD300" s="74"/>
      <c r="BE300" s="30"/>
      <c r="BF300" s="30" t="s">
        <v>1052</v>
      </c>
      <c r="BG300" s="30" t="s">
        <v>1117</v>
      </c>
      <c r="BH300" s="30" t="s">
        <v>1054</v>
      </c>
      <c r="BI300" s="30" t="str">
        <f t="shared" si="176"/>
        <v>COF(Assy_FT)</v>
      </c>
      <c r="BJ300" s="47" t="s">
        <v>137</v>
      </c>
      <c r="BK300" s="67">
        <f t="shared" si="181"/>
        <v>4580000</v>
      </c>
      <c r="BL300" s="68">
        <f t="shared" si="190"/>
        <v>436605.52780145535</v>
      </c>
      <c r="BM300" s="68">
        <f t="shared" si="191"/>
        <v>145535.17593381845</v>
      </c>
      <c r="BP300" s="69">
        <f t="shared" si="195"/>
        <v>436605.52780145535</v>
      </c>
      <c r="BQ300" s="69">
        <f t="shared" si="196"/>
        <v>436605.52780145535</v>
      </c>
      <c r="BR300" s="69">
        <f t="shared" si="161"/>
        <v>873211.0556029107</v>
      </c>
      <c r="BS300" s="69">
        <f t="shared" si="197"/>
        <v>436605.52780145535</v>
      </c>
      <c r="BT300" s="69">
        <f t="shared" si="198"/>
        <v>436605.52780145535</v>
      </c>
      <c r="BU300" s="100">
        <f t="shared" si="198"/>
        <v>436605.52780145535</v>
      </c>
      <c r="BV300" s="100">
        <f t="shared" si="198"/>
        <v>436605.52780145535</v>
      </c>
      <c r="BW300" s="100">
        <f t="shared" si="162"/>
        <v>1746422.1112058214</v>
      </c>
      <c r="BX300" s="101">
        <f t="shared" si="157"/>
        <v>436605.52780145535</v>
      </c>
      <c r="BY300" s="101">
        <f t="shared" si="199"/>
        <v>436605.52780145535</v>
      </c>
      <c r="BZ300" s="18">
        <f t="shared" si="199"/>
        <v>436605.52780145535</v>
      </c>
      <c r="CA300" s="18">
        <f t="shared" si="199"/>
        <v>436605.52780145535</v>
      </c>
      <c r="CB300" s="70">
        <f t="shared" si="171"/>
        <v>1746422.1112058214</v>
      </c>
      <c r="CC300" s="18">
        <f t="shared" si="172"/>
        <v>436605.52780145535</v>
      </c>
      <c r="CD300" s="18">
        <f t="shared" si="193"/>
        <v>436605.52780145535</v>
      </c>
      <c r="CE300" s="18">
        <f t="shared" si="193"/>
        <v>436605.52780145535</v>
      </c>
      <c r="CF300" s="18">
        <f t="shared" si="193"/>
        <v>436605.52780145535</v>
      </c>
      <c r="CG300" s="70">
        <f t="shared" si="173"/>
        <v>1746422.1112058214</v>
      </c>
      <c r="CH300" s="18">
        <f t="shared" si="174"/>
        <v>436605.52780145535</v>
      </c>
      <c r="CI300" s="18">
        <f t="shared" si="194"/>
        <v>436605.52780145535</v>
      </c>
      <c r="CJ300" s="18">
        <f t="shared" si="194"/>
        <v>436605.52780145535</v>
      </c>
      <c r="CK300" s="18">
        <f t="shared" si="194"/>
        <v>436605.52780145535</v>
      </c>
      <c r="CL300" s="70">
        <f t="shared" si="175"/>
        <v>1746422.1112058214</v>
      </c>
      <c r="CM300" s="71"/>
      <c r="CN300" s="59">
        <f t="shared" si="187"/>
        <v>4.4720842331650337E-4</v>
      </c>
      <c r="CO300" s="64">
        <f t="shared" si="188"/>
        <v>9391376.8896465711</v>
      </c>
      <c r="CP300" s="2">
        <f t="shared" si="177"/>
        <v>13971376.889646571</v>
      </c>
    </row>
    <row r="301" spans="1:94" ht="16.5" hidden="1" x14ac:dyDescent="0.3">
      <c r="A301" s="2">
        <v>296</v>
      </c>
      <c r="B301" s="47" t="s">
        <v>21</v>
      </c>
      <c r="C301" s="47"/>
      <c r="D301" s="30" t="s">
        <v>1041</v>
      </c>
      <c r="E301" s="30" t="s">
        <v>1042</v>
      </c>
      <c r="F301" s="30" t="s">
        <v>1043</v>
      </c>
      <c r="G301" s="30" t="s">
        <v>117</v>
      </c>
      <c r="H301" s="30" t="s">
        <v>1058</v>
      </c>
      <c r="I301" s="30" t="s">
        <v>119</v>
      </c>
      <c r="J301" s="30" t="s">
        <v>1044</v>
      </c>
      <c r="K301" s="30" t="s">
        <v>1044</v>
      </c>
      <c r="L301" s="30" t="s">
        <v>1120</v>
      </c>
      <c r="M301" s="30">
        <v>1000320</v>
      </c>
      <c r="N301" s="30" t="s">
        <v>138</v>
      </c>
      <c r="O301" s="30" t="s">
        <v>1172</v>
      </c>
      <c r="P301" s="30" t="s">
        <v>1163</v>
      </c>
      <c r="Q301" s="30" t="s">
        <v>1164</v>
      </c>
      <c r="R301" s="30"/>
      <c r="S301" s="30" t="s">
        <v>1173</v>
      </c>
      <c r="T301" s="30"/>
      <c r="U301" s="30" t="s">
        <v>144</v>
      </c>
      <c r="V301" s="30" t="s">
        <v>437</v>
      </c>
      <c r="W301" s="30" t="s">
        <v>1125</v>
      </c>
      <c r="X301" s="30" t="s">
        <v>127</v>
      </c>
      <c r="Y301" s="30" t="s">
        <v>576</v>
      </c>
      <c r="Z301" s="30" t="s">
        <v>576</v>
      </c>
      <c r="AA301" s="30" t="s">
        <v>129</v>
      </c>
      <c r="AB301" s="127" t="s">
        <v>1129</v>
      </c>
      <c r="AC301" s="30"/>
      <c r="AD301" s="30"/>
      <c r="AE301" s="30"/>
      <c r="AF301" s="30" t="s">
        <v>131</v>
      </c>
      <c r="AG301" s="30" t="s">
        <v>774</v>
      </c>
      <c r="AH301" s="30"/>
      <c r="AI301" s="30"/>
      <c r="AJ301" s="50">
        <v>38518</v>
      </c>
      <c r="AK301" s="50">
        <v>38518</v>
      </c>
      <c r="AL301" s="51">
        <f t="shared" si="180"/>
        <v>20.391780821917809</v>
      </c>
      <c r="AM301" s="30">
        <v>8</v>
      </c>
      <c r="AN301" s="30" t="s">
        <v>1065</v>
      </c>
      <c r="AO301" s="30" t="s">
        <v>1050</v>
      </c>
      <c r="AP301" s="30" t="s">
        <v>1051</v>
      </c>
      <c r="AQ301" s="30">
        <v>6.6</v>
      </c>
      <c r="AR301" s="30">
        <v>6625</v>
      </c>
      <c r="AS301" s="30">
        <v>820</v>
      </c>
      <c r="AT301" s="30">
        <v>1900</v>
      </c>
      <c r="AU301" s="54">
        <v>229000000</v>
      </c>
      <c r="AV301" s="54"/>
      <c r="AW301" s="54"/>
      <c r="AX301" s="54"/>
      <c r="AY301" s="54">
        <v>228999000</v>
      </c>
      <c r="AZ301" s="54">
        <v>0</v>
      </c>
      <c r="BA301" s="54">
        <v>1000</v>
      </c>
      <c r="BB301" s="55">
        <f>VLOOKUP(M301,[1]Sheet1!$E$6:$F$556,2,FALSE)</f>
        <v>1000</v>
      </c>
      <c r="BC301" s="74"/>
      <c r="BD301" s="74"/>
      <c r="BE301" s="30"/>
      <c r="BF301" s="30" t="s">
        <v>1052</v>
      </c>
      <c r="BG301" s="30" t="s">
        <v>1117</v>
      </c>
      <c r="BH301" s="30" t="s">
        <v>1054</v>
      </c>
      <c r="BI301" s="30" t="str">
        <f t="shared" si="176"/>
        <v>COF(Assy_FT)</v>
      </c>
      <c r="BJ301" s="47" t="s">
        <v>137</v>
      </c>
      <c r="BK301" s="56">
        <f t="shared" si="181"/>
        <v>4580000</v>
      </c>
      <c r="BL301" s="57">
        <f t="shared" si="190"/>
        <v>436605.52780145535</v>
      </c>
      <c r="BM301" s="57">
        <f t="shared" si="191"/>
        <v>145535.17593381845</v>
      </c>
      <c r="BU301" s="58">
        <f>BM301*3</f>
        <v>436605.52780145535</v>
      </c>
      <c r="BV301" s="58">
        <f t="shared" si="198"/>
        <v>436605.52780145535</v>
      </c>
      <c r="BW301" s="58">
        <f t="shared" ref="BW301:BW364" si="200">SUM(BS301:BV301)</f>
        <v>873211.0556029107</v>
      </c>
      <c r="BX301" s="58">
        <f t="shared" ref="BX301:BX362" si="201">BV301</f>
        <v>436605.52780145535</v>
      </c>
      <c r="BY301" s="58">
        <f t="shared" si="199"/>
        <v>436605.52780145535</v>
      </c>
      <c r="BZ301" s="58">
        <f>BM301*3</f>
        <v>436605.52780145535</v>
      </c>
      <c r="CA301" s="58">
        <f t="shared" si="199"/>
        <v>436605.52780145535</v>
      </c>
      <c r="CB301" s="58">
        <f t="shared" si="171"/>
        <v>1746422.1112058214</v>
      </c>
      <c r="CC301" s="58">
        <f t="shared" si="172"/>
        <v>436605.52780145535</v>
      </c>
      <c r="CD301" s="58">
        <f t="shared" si="193"/>
        <v>436605.52780145535</v>
      </c>
      <c r="CE301" s="58">
        <f t="shared" si="193"/>
        <v>436605.52780145535</v>
      </c>
      <c r="CF301" s="58">
        <f t="shared" si="193"/>
        <v>436605.52780145535</v>
      </c>
      <c r="CG301" s="58">
        <f t="shared" si="173"/>
        <v>1746422.1112058214</v>
      </c>
      <c r="CH301" s="58">
        <f t="shared" si="174"/>
        <v>436605.52780145535</v>
      </c>
      <c r="CI301" s="58">
        <f t="shared" si="194"/>
        <v>436605.52780145535</v>
      </c>
      <c r="CJ301" s="58">
        <f t="shared" si="194"/>
        <v>436605.52780145535</v>
      </c>
      <c r="CK301" s="58">
        <f t="shared" si="194"/>
        <v>436605.52780145535</v>
      </c>
      <c r="CL301" s="58">
        <f t="shared" si="175"/>
        <v>1746422.1112058214</v>
      </c>
      <c r="CN301" s="59">
        <f t="shared" si="187"/>
        <v>4.4720842331650337E-4</v>
      </c>
      <c r="CO301" s="64">
        <f t="shared" si="188"/>
        <v>9391376.8896465711</v>
      </c>
      <c r="CP301" s="2">
        <f t="shared" si="177"/>
        <v>13971376.889646571</v>
      </c>
    </row>
    <row r="302" spans="1:94" ht="16.5" hidden="1" x14ac:dyDescent="0.3">
      <c r="A302" s="2">
        <v>297</v>
      </c>
      <c r="B302" s="47" t="s">
        <v>21</v>
      </c>
      <c r="C302" s="47"/>
      <c r="D302" s="30" t="s">
        <v>1041</v>
      </c>
      <c r="E302" s="30" t="s">
        <v>1042</v>
      </c>
      <c r="F302" s="30" t="s">
        <v>1043</v>
      </c>
      <c r="G302" s="30" t="s">
        <v>117</v>
      </c>
      <c r="H302" s="30" t="s">
        <v>1058</v>
      </c>
      <c r="I302" s="30" t="s">
        <v>119</v>
      </c>
      <c r="J302" s="30" t="s">
        <v>1044</v>
      </c>
      <c r="K302" s="30" t="s">
        <v>1044</v>
      </c>
      <c r="L302" s="30" t="s">
        <v>1109</v>
      </c>
      <c r="M302" s="30">
        <v>1000323</v>
      </c>
      <c r="N302" s="30" t="s">
        <v>138</v>
      </c>
      <c r="O302" s="30" t="s">
        <v>1174</v>
      </c>
      <c r="P302" s="30" t="s">
        <v>1111</v>
      </c>
      <c r="Q302" s="30" t="s">
        <v>585</v>
      </c>
      <c r="R302" s="30"/>
      <c r="S302" s="30" t="s">
        <v>1175</v>
      </c>
      <c r="T302" s="30"/>
      <c r="U302" s="30" t="s">
        <v>144</v>
      </c>
      <c r="V302" s="30" t="s">
        <v>437</v>
      </c>
      <c r="W302" s="30" t="s">
        <v>1113</v>
      </c>
      <c r="X302" s="30" t="s">
        <v>147</v>
      </c>
      <c r="Y302" s="125" t="s">
        <v>576</v>
      </c>
      <c r="Z302" s="125" t="s">
        <v>576</v>
      </c>
      <c r="AA302" s="30" t="s">
        <v>129</v>
      </c>
      <c r="AB302" s="30" t="s">
        <v>1114</v>
      </c>
      <c r="AC302" s="30" t="s">
        <v>1114</v>
      </c>
      <c r="AD302" s="30" t="s">
        <v>1115</v>
      </c>
      <c r="AE302" s="30"/>
      <c r="AF302" s="30" t="s">
        <v>131</v>
      </c>
      <c r="AG302" s="30" t="s">
        <v>774</v>
      </c>
      <c r="AH302" s="30" t="s">
        <v>1116</v>
      </c>
      <c r="AI302" s="30"/>
      <c r="AJ302" s="50">
        <v>38519</v>
      </c>
      <c r="AK302" s="50">
        <v>38519</v>
      </c>
      <c r="AL302" s="51">
        <f t="shared" si="180"/>
        <v>20.389041095890413</v>
      </c>
      <c r="AM302" s="30">
        <v>8</v>
      </c>
      <c r="AN302" s="30" t="s">
        <v>1065</v>
      </c>
      <c r="AO302" s="30" t="s">
        <v>1050</v>
      </c>
      <c r="AP302" s="30" t="s">
        <v>1051</v>
      </c>
      <c r="AQ302" s="30">
        <v>5</v>
      </c>
      <c r="AR302" s="30">
        <v>1470</v>
      </c>
      <c r="AS302" s="30">
        <v>960</v>
      </c>
      <c r="AT302" s="30">
        <v>1675</v>
      </c>
      <c r="AU302" s="54">
        <v>9900000</v>
      </c>
      <c r="AV302" s="54"/>
      <c r="AW302" s="54"/>
      <c r="AX302" s="54"/>
      <c r="AY302" s="54">
        <v>9899000</v>
      </c>
      <c r="AZ302" s="54">
        <v>0</v>
      </c>
      <c r="BA302" s="54">
        <v>1000</v>
      </c>
      <c r="BB302" s="55">
        <f>VLOOKUP(M302,[1]Sheet1!$E$6:$F$556,2,FALSE)</f>
        <v>1000</v>
      </c>
      <c r="BC302" s="74"/>
      <c r="BD302" s="74"/>
      <c r="BE302" s="30"/>
      <c r="BF302" s="30" t="s">
        <v>1052</v>
      </c>
      <c r="BG302" s="30" t="s">
        <v>1117</v>
      </c>
      <c r="BH302" s="30" t="s">
        <v>1054</v>
      </c>
      <c r="BI302" s="30" t="str">
        <f t="shared" si="176"/>
        <v>COF(Assy_FT)</v>
      </c>
      <c r="BJ302" s="47" t="s">
        <v>137</v>
      </c>
      <c r="BK302" s="67">
        <f t="shared" si="181"/>
        <v>198000</v>
      </c>
      <c r="BL302" s="68">
        <f t="shared" si="190"/>
        <v>18875.086136394792</v>
      </c>
      <c r="BM302" s="68">
        <f t="shared" si="191"/>
        <v>6291.6953787982638</v>
      </c>
      <c r="BP302" s="69">
        <f t="shared" si="195"/>
        <v>18875.086136394792</v>
      </c>
      <c r="BQ302" s="69">
        <f t="shared" si="196"/>
        <v>18875.086136394792</v>
      </c>
      <c r="BR302" s="69">
        <f>SUM(BN302:BQ302)</f>
        <v>37750.172272789583</v>
      </c>
      <c r="BS302" s="69">
        <f t="shared" si="197"/>
        <v>18875.086136394792</v>
      </c>
      <c r="BT302" s="69">
        <f t="shared" si="198"/>
        <v>18875.086136394792</v>
      </c>
      <c r="BU302" s="100">
        <f t="shared" si="198"/>
        <v>18875.086136394792</v>
      </c>
      <c r="BV302" s="100">
        <f t="shared" si="198"/>
        <v>18875.086136394792</v>
      </c>
      <c r="BW302" s="100">
        <f t="shared" si="200"/>
        <v>75500.344545579166</v>
      </c>
      <c r="BX302" s="101">
        <f t="shared" si="201"/>
        <v>18875.086136394792</v>
      </c>
      <c r="BY302" s="101">
        <f t="shared" si="199"/>
        <v>18875.086136394792</v>
      </c>
      <c r="BZ302" s="18">
        <f t="shared" si="199"/>
        <v>18875.086136394792</v>
      </c>
      <c r="CA302" s="18">
        <f t="shared" si="199"/>
        <v>18875.086136394792</v>
      </c>
      <c r="CB302" s="70">
        <f t="shared" si="171"/>
        <v>75500.344545579166</v>
      </c>
      <c r="CC302" s="18">
        <f t="shared" si="172"/>
        <v>18875.086136394792</v>
      </c>
      <c r="CD302" s="18">
        <f t="shared" si="193"/>
        <v>18875.086136394792</v>
      </c>
      <c r="CE302" s="18">
        <f t="shared" si="193"/>
        <v>18875.086136394792</v>
      </c>
      <c r="CF302" s="18">
        <f t="shared" si="193"/>
        <v>18875.086136394792</v>
      </c>
      <c r="CG302" s="70">
        <f t="shared" si="173"/>
        <v>75500.344545579166</v>
      </c>
      <c r="CH302" s="18">
        <f t="shared" si="174"/>
        <v>18875.086136394792</v>
      </c>
      <c r="CI302" s="18">
        <f t="shared" si="194"/>
        <v>18875.086136394792</v>
      </c>
      <c r="CJ302" s="18">
        <f t="shared" si="194"/>
        <v>18875.086136394792</v>
      </c>
      <c r="CK302" s="18">
        <f t="shared" si="194"/>
        <v>18875.086136394792</v>
      </c>
      <c r="CL302" s="70">
        <f t="shared" si="175"/>
        <v>75500.344545579166</v>
      </c>
      <c r="CM302" s="71"/>
      <c r="CN302" s="59">
        <f t="shared" si="187"/>
        <v>1.9333464588792065E-5</v>
      </c>
      <c r="CO302" s="64">
        <f t="shared" si="188"/>
        <v>406002.75636463339</v>
      </c>
      <c r="CP302" s="2">
        <f t="shared" si="177"/>
        <v>604002.75636463333</v>
      </c>
    </row>
    <row r="303" spans="1:94" ht="16.5" hidden="1" x14ac:dyDescent="0.3">
      <c r="A303" s="2">
        <v>298</v>
      </c>
      <c r="B303" s="47" t="s">
        <v>21</v>
      </c>
      <c r="C303" s="47"/>
      <c r="D303" s="30" t="s">
        <v>1041</v>
      </c>
      <c r="E303" s="30" t="s">
        <v>1042</v>
      </c>
      <c r="F303" s="30" t="s">
        <v>1043</v>
      </c>
      <c r="G303" s="30" t="s">
        <v>117</v>
      </c>
      <c r="H303" s="30" t="s">
        <v>1058</v>
      </c>
      <c r="I303" s="30" t="s">
        <v>119</v>
      </c>
      <c r="J303" s="30" t="s">
        <v>1044</v>
      </c>
      <c r="K303" s="30" t="s">
        <v>1044</v>
      </c>
      <c r="L303" s="30" t="s">
        <v>1109</v>
      </c>
      <c r="M303" s="30">
        <v>1000324</v>
      </c>
      <c r="N303" s="30" t="s">
        <v>138</v>
      </c>
      <c r="O303" s="30" t="s">
        <v>1176</v>
      </c>
      <c r="P303" s="30" t="s">
        <v>1111</v>
      </c>
      <c r="Q303" s="30" t="s">
        <v>585</v>
      </c>
      <c r="R303" s="30"/>
      <c r="S303" s="30" t="s">
        <v>1177</v>
      </c>
      <c r="T303" s="30"/>
      <c r="U303" s="30" t="s">
        <v>144</v>
      </c>
      <c r="V303" s="30" t="s">
        <v>437</v>
      </c>
      <c r="W303" s="30" t="s">
        <v>1113</v>
      </c>
      <c r="X303" s="30" t="s">
        <v>147</v>
      </c>
      <c r="Y303" s="125" t="s">
        <v>576</v>
      </c>
      <c r="Z303" s="125" t="s">
        <v>576</v>
      </c>
      <c r="AA303" s="30" t="s">
        <v>129</v>
      </c>
      <c r="AB303" s="30" t="s">
        <v>1114</v>
      </c>
      <c r="AC303" s="30" t="s">
        <v>1114</v>
      </c>
      <c r="AD303" s="30" t="s">
        <v>1115</v>
      </c>
      <c r="AE303" s="30"/>
      <c r="AF303" s="30" t="s">
        <v>131</v>
      </c>
      <c r="AG303" s="30" t="s">
        <v>774</v>
      </c>
      <c r="AH303" s="30" t="s">
        <v>1116</v>
      </c>
      <c r="AI303" s="30"/>
      <c r="AJ303" s="50">
        <v>38519</v>
      </c>
      <c r="AK303" s="50">
        <v>38519</v>
      </c>
      <c r="AL303" s="51">
        <f t="shared" si="180"/>
        <v>20.389041095890413</v>
      </c>
      <c r="AM303" s="30">
        <v>8</v>
      </c>
      <c r="AN303" s="30" t="s">
        <v>1065</v>
      </c>
      <c r="AO303" s="30" t="s">
        <v>1050</v>
      </c>
      <c r="AP303" s="30" t="s">
        <v>1051</v>
      </c>
      <c r="AQ303" s="30">
        <v>5</v>
      </c>
      <c r="AR303" s="30">
        <v>1470</v>
      </c>
      <c r="AS303" s="30">
        <v>960</v>
      </c>
      <c r="AT303" s="30">
        <v>1675</v>
      </c>
      <c r="AU303" s="54">
        <v>9900000</v>
      </c>
      <c r="AV303" s="54"/>
      <c r="AW303" s="54"/>
      <c r="AX303" s="54"/>
      <c r="AY303" s="54">
        <v>9899000</v>
      </c>
      <c r="AZ303" s="54">
        <v>0</v>
      </c>
      <c r="BA303" s="54">
        <v>1000</v>
      </c>
      <c r="BB303" s="55">
        <f>VLOOKUP(M303,[1]Sheet1!$E$6:$F$556,2,FALSE)</f>
        <v>1000</v>
      </c>
      <c r="BC303" s="74"/>
      <c r="BD303" s="74"/>
      <c r="BE303" s="30"/>
      <c r="BF303" s="30" t="s">
        <v>1052</v>
      </c>
      <c r="BG303" s="30" t="s">
        <v>1117</v>
      </c>
      <c r="BH303" s="30" t="s">
        <v>1054</v>
      </c>
      <c r="BI303" s="30" t="str">
        <f t="shared" si="176"/>
        <v>COF(Assy_FT)</v>
      </c>
      <c r="BJ303" s="47" t="s">
        <v>137</v>
      </c>
      <c r="BK303" s="67">
        <f t="shared" si="181"/>
        <v>198000</v>
      </c>
      <c r="BL303" s="68">
        <f t="shared" si="190"/>
        <v>18875.086136394792</v>
      </c>
      <c r="BM303" s="68">
        <f t="shared" si="191"/>
        <v>6291.6953787982638</v>
      </c>
      <c r="BP303" s="69">
        <f t="shared" si="195"/>
        <v>18875.086136394792</v>
      </c>
      <c r="BQ303" s="69">
        <f t="shared" si="196"/>
        <v>18875.086136394792</v>
      </c>
      <c r="BR303" s="69">
        <f>SUM(BN303:BQ303)</f>
        <v>37750.172272789583</v>
      </c>
      <c r="BS303" s="69">
        <f t="shared" si="197"/>
        <v>18875.086136394792</v>
      </c>
      <c r="BT303" s="69">
        <f t="shared" si="198"/>
        <v>18875.086136394792</v>
      </c>
      <c r="BU303" s="100">
        <f t="shared" si="198"/>
        <v>18875.086136394792</v>
      </c>
      <c r="BV303" s="100">
        <f t="shared" si="198"/>
        <v>18875.086136394792</v>
      </c>
      <c r="BW303" s="100">
        <f t="shared" si="200"/>
        <v>75500.344545579166</v>
      </c>
      <c r="BX303" s="101">
        <f t="shared" si="201"/>
        <v>18875.086136394792</v>
      </c>
      <c r="BY303" s="101">
        <f t="shared" si="199"/>
        <v>18875.086136394792</v>
      </c>
      <c r="BZ303" s="18">
        <f t="shared" si="199"/>
        <v>18875.086136394792</v>
      </c>
      <c r="CA303" s="18">
        <f t="shared" si="199"/>
        <v>18875.086136394792</v>
      </c>
      <c r="CB303" s="70">
        <f t="shared" si="171"/>
        <v>75500.344545579166</v>
      </c>
      <c r="CC303" s="18">
        <f t="shared" si="172"/>
        <v>18875.086136394792</v>
      </c>
      <c r="CD303" s="18">
        <f t="shared" si="193"/>
        <v>18875.086136394792</v>
      </c>
      <c r="CE303" s="18">
        <f t="shared" si="193"/>
        <v>18875.086136394792</v>
      </c>
      <c r="CF303" s="18">
        <f t="shared" si="193"/>
        <v>18875.086136394792</v>
      </c>
      <c r="CG303" s="70">
        <f t="shared" si="173"/>
        <v>75500.344545579166</v>
      </c>
      <c r="CH303" s="18">
        <f t="shared" si="174"/>
        <v>18875.086136394792</v>
      </c>
      <c r="CI303" s="18">
        <f t="shared" si="194"/>
        <v>18875.086136394792</v>
      </c>
      <c r="CJ303" s="18">
        <f t="shared" si="194"/>
        <v>18875.086136394792</v>
      </c>
      <c r="CK303" s="18">
        <f t="shared" si="194"/>
        <v>18875.086136394792</v>
      </c>
      <c r="CL303" s="70">
        <f t="shared" si="175"/>
        <v>75500.344545579166</v>
      </c>
      <c r="CM303" s="71"/>
      <c r="CN303" s="59">
        <f t="shared" si="187"/>
        <v>1.9333464588792065E-5</v>
      </c>
      <c r="CO303" s="64">
        <f t="shared" si="188"/>
        <v>406002.75636463339</v>
      </c>
      <c r="CP303" s="2">
        <f t="shared" si="177"/>
        <v>604002.75636463333</v>
      </c>
    </row>
    <row r="304" spans="1:94" ht="16.5" hidden="1" x14ac:dyDescent="0.3">
      <c r="A304" s="2">
        <v>299</v>
      </c>
      <c r="B304" s="47" t="s">
        <v>21</v>
      </c>
      <c r="C304" s="47"/>
      <c r="D304" s="30" t="s">
        <v>1041</v>
      </c>
      <c r="E304" s="30" t="s">
        <v>1042</v>
      </c>
      <c r="F304" s="30" t="s">
        <v>1043</v>
      </c>
      <c r="G304" s="30" t="s">
        <v>117</v>
      </c>
      <c r="H304" s="30" t="s">
        <v>1058</v>
      </c>
      <c r="I304" s="30" t="s">
        <v>119</v>
      </c>
      <c r="J304" s="30" t="s">
        <v>1044</v>
      </c>
      <c r="K304" s="30" t="s">
        <v>1044</v>
      </c>
      <c r="L304" s="30" t="s">
        <v>1130</v>
      </c>
      <c r="M304" s="30">
        <v>1006731</v>
      </c>
      <c r="N304" s="30" t="s">
        <v>138</v>
      </c>
      <c r="O304" s="30" t="s">
        <v>1178</v>
      </c>
      <c r="P304" s="30" t="s">
        <v>1179</v>
      </c>
      <c r="Q304" s="30" t="s">
        <v>1180</v>
      </c>
      <c r="R304" s="30" t="s">
        <v>1181</v>
      </c>
      <c r="S304" s="30" t="s">
        <v>1182</v>
      </c>
      <c r="T304" s="30" t="s">
        <v>1183</v>
      </c>
      <c r="U304" s="30" t="s">
        <v>144</v>
      </c>
      <c r="V304" s="30" t="s">
        <v>415</v>
      </c>
      <c r="W304" s="30" t="s">
        <v>1184</v>
      </c>
      <c r="X304" s="30" t="s">
        <v>127</v>
      </c>
      <c r="Y304" s="30" t="s">
        <v>576</v>
      </c>
      <c r="Z304" s="30" t="s">
        <v>576</v>
      </c>
      <c r="AA304" s="30" t="s">
        <v>148</v>
      </c>
      <c r="AB304" s="30" t="s">
        <v>1185</v>
      </c>
      <c r="AC304" s="30" t="s">
        <v>1185</v>
      </c>
      <c r="AD304" s="30"/>
      <c r="AE304" s="30"/>
      <c r="AF304" s="30" t="s">
        <v>593</v>
      </c>
      <c r="AG304" s="30" t="s">
        <v>774</v>
      </c>
      <c r="AH304" s="30" t="s">
        <v>1186</v>
      </c>
      <c r="AI304" s="30"/>
      <c r="AJ304" s="50">
        <v>44406</v>
      </c>
      <c r="AK304" s="50">
        <v>44406</v>
      </c>
      <c r="AL304" s="51">
        <f t="shared" si="180"/>
        <v>4.2602739726027394</v>
      </c>
      <c r="AM304" s="30">
        <v>8</v>
      </c>
      <c r="AN304" s="30" t="s">
        <v>1065</v>
      </c>
      <c r="AO304" s="30" t="s">
        <v>1050</v>
      </c>
      <c r="AP304" s="30" t="s">
        <v>1187</v>
      </c>
      <c r="AQ304" s="30">
        <v>3.6</v>
      </c>
      <c r="AR304" s="30">
        <v>2820</v>
      </c>
      <c r="AS304" s="30">
        <v>1154</v>
      </c>
      <c r="AT304" s="30">
        <v>2020</v>
      </c>
      <c r="AU304" s="54">
        <v>445710898</v>
      </c>
      <c r="AV304" s="54"/>
      <c r="AW304" s="54"/>
      <c r="AX304" s="54"/>
      <c r="AY304" s="54">
        <v>223904526</v>
      </c>
      <c r="AZ304" s="54">
        <v>4642822</v>
      </c>
      <c r="BA304" s="54">
        <v>207877906</v>
      </c>
      <c r="BB304" s="55">
        <f>VLOOKUP(M304,[1]Sheet1!$E$6:$F$556,2,FALSE)</f>
        <v>19440594</v>
      </c>
      <c r="BC304" s="74"/>
      <c r="BD304" s="74"/>
      <c r="BE304" s="128">
        <v>47.774041735823602</v>
      </c>
      <c r="BF304" s="30" t="s">
        <v>1134</v>
      </c>
      <c r="BG304" s="30" t="s">
        <v>1074</v>
      </c>
      <c r="BH304" s="30" t="s">
        <v>1054</v>
      </c>
      <c r="BI304" s="30" t="str">
        <f t="shared" si="176"/>
        <v>COF(Assy_FT)</v>
      </c>
      <c r="BJ304" s="47" t="s">
        <v>137</v>
      </c>
      <c r="BK304" s="56">
        <f t="shared" si="181"/>
        <v>218271801.30000001</v>
      </c>
      <c r="BL304" s="57">
        <f t="shared" si="190"/>
        <v>20807570.963048227</v>
      </c>
      <c r="BM304" s="57">
        <f t="shared" si="191"/>
        <v>6935856.9876827421</v>
      </c>
      <c r="BU304" s="58">
        <f>BM304*3</f>
        <v>20807570.963048227</v>
      </c>
      <c r="BV304" s="58">
        <f t="shared" si="198"/>
        <v>20807570.963048227</v>
      </c>
      <c r="BW304" s="58">
        <f t="shared" si="200"/>
        <v>41615141.926096454</v>
      </c>
      <c r="BX304" s="58">
        <f t="shared" si="201"/>
        <v>20807570.963048227</v>
      </c>
      <c r="BY304" s="58">
        <f t="shared" si="199"/>
        <v>20807570.963048227</v>
      </c>
      <c r="BZ304" s="58">
        <f>BM304*3</f>
        <v>20807570.963048227</v>
      </c>
      <c r="CA304" s="58">
        <f t="shared" si="199"/>
        <v>20807570.963048227</v>
      </c>
      <c r="CB304" s="58">
        <f t="shared" si="171"/>
        <v>83230283.852192909</v>
      </c>
      <c r="CC304" s="58">
        <f t="shared" si="172"/>
        <v>20807570.963048227</v>
      </c>
      <c r="CD304" s="58">
        <f t="shared" si="193"/>
        <v>20807570.963048227</v>
      </c>
      <c r="CE304" s="58">
        <f t="shared" si="193"/>
        <v>20807570.963048227</v>
      </c>
      <c r="CF304" s="58">
        <f t="shared" si="193"/>
        <v>20807570.963048227</v>
      </c>
      <c r="CG304" s="58">
        <f t="shared" si="173"/>
        <v>83230283.852192909</v>
      </c>
      <c r="CH304" s="58">
        <f t="shared" si="174"/>
        <v>20807570.963048227</v>
      </c>
      <c r="CI304" s="58">
        <f t="shared" si="194"/>
        <v>20807570.963048227</v>
      </c>
      <c r="CJ304" s="58">
        <f t="shared" si="194"/>
        <v>20807570.963048227</v>
      </c>
      <c r="CK304" s="58">
        <f t="shared" si="194"/>
        <v>20807570.963048227</v>
      </c>
      <c r="CL304" s="58">
        <f t="shared" si="175"/>
        <v>83230283.852192909</v>
      </c>
      <c r="CN304" s="59">
        <f t="shared" si="187"/>
        <v>2.1312879500835397E-2</v>
      </c>
      <c r="CO304" s="64">
        <f t="shared" si="188"/>
        <v>447570469.51754332</v>
      </c>
      <c r="CP304" s="2">
        <f t="shared" si="177"/>
        <v>665842270.81754327</v>
      </c>
    </row>
    <row r="305" spans="1:94" ht="16.5" hidden="1" x14ac:dyDescent="0.3">
      <c r="A305" s="2">
        <v>300</v>
      </c>
      <c r="B305" s="47" t="s">
        <v>21</v>
      </c>
      <c r="C305" s="47"/>
      <c r="D305" s="30" t="s">
        <v>1041</v>
      </c>
      <c r="E305" s="30" t="s">
        <v>1042</v>
      </c>
      <c r="F305" s="30" t="s">
        <v>1043</v>
      </c>
      <c r="G305" s="30" t="s">
        <v>117</v>
      </c>
      <c r="H305" s="30" t="s">
        <v>1058</v>
      </c>
      <c r="I305" s="30" t="s">
        <v>119</v>
      </c>
      <c r="J305" s="30" t="s">
        <v>1044</v>
      </c>
      <c r="K305" s="30" t="s">
        <v>1044</v>
      </c>
      <c r="L305" s="30" t="s">
        <v>1120</v>
      </c>
      <c r="M305" s="30">
        <v>1000361</v>
      </c>
      <c r="N305" s="30" t="s">
        <v>138</v>
      </c>
      <c r="O305" s="30" t="s">
        <v>1188</v>
      </c>
      <c r="P305" s="30" t="s">
        <v>1189</v>
      </c>
      <c r="Q305" s="30" t="s">
        <v>1164</v>
      </c>
      <c r="R305" s="30"/>
      <c r="S305" s="30" t="s">
        <v>1190</v>
      </c>
      <c r="T305" s="30"/>
      <c r="U305" s="30" t="s">
        <v>144</v>
      </c>
      <c r="V305" s="30" t="s">
        <v>437</v>
      </c>
      <c r="W305" s="30" t="s">
        <v>1125</v>
      </c>
      <c r="X305" s="30" t="s">
        <v>127</v>
      </c>
      <c r="Y305" s="30" t="s">
        <v>128</v>
      </c>
      <c r="Z305" s="30" t="s">
        <v>128</v>
      </c>
      <c r="AA305" s="30" t="s">
        <v>129</v>
      </c>
      <c r="AB305" s="127" t="s">
        <v>1129</v>
      </c>
      <c r="AC305" s="30"/>
      <c r="AD305" s="30"/>
      <c r="AE305" s="30"/>
      <c r="AF305" s="30" t="s">
        <v>131</v>
      </c>
      <c r="AG305" s="30" t="s">
        <v>774</v>
      </c>
      <c r="AH305" s="30"/>
      <c r="AI305" s="30"/>
      <c r="AJ305" s="50">
        <v>38532</v>
      </c>
      <c r="AK305" s="50">
        <v>38532</v>
      </c>
      <c r="AL305" s="51">
        <f t="shared" si="180"/>
        <v>20.353424657534248</v>
      </c>
      <c r="AM305" s="30">
        <v>8</v>
      </c>
      <c r="AN305" s="30" t="s">
        <v>1065</v>
      </c>
      <c r="AO305" s="30" t="s">
        <v>1050</v>
      </c>
      <c r="AP305" s="30" t="s">
        <v>1051</v>
      </c>
      <c r="AQ305" s="30">
        <v>6.6</v>
      </c>
      <c r="AR305" s="30">
        <v>6625</v>
      </c>
      <c r="AS305" s="30">
        <v>820</v>
      </c>
      <c r="AT305" s="30">
        <v>1900</v>
      </c>
      <c r="AU305" s="54">
        <v>229000000</v>
      </c>
      <c r="AV305" s="54"/>
      <c r="AW305" s="54"/>
      <c r="AX305" s="54"/>
      <c r="AY305" s="54">
        <v>228999000</v>
      </c>
      <c r="AZ305" s="54">
        <v>0</v>
      </c>
      <c r="BA305" s="54">
        <v>1000</v>
      </c>
      <c r="BB305" s="55">
        <f>VLOOKUP(M305,[1]Sheet1!$E$6:$F$556,2,FALSE)</f>
        <v>1000</v>
      </c>
      <c r="BC305" s="74"/>
      <c r="BD305" s="74"/>
      <c r="BE305" s="30"/>
      <c r="BF305" s="30" t="s">
        <v>1052</v>
      </c>
      <c r="BG305" s="30" t="s">
        <v>1117</v>
      </c>
      <c r="BH305" s="30" t="s">
        <v>1054</v>
      </c>
      <c r="BI305" s="30" t="str">
        <f t="shared" si="176"/>
        <v>COF(Assy_FT)</v>
      </c>
      <c r="BJ305" s="47" t="s">
        <v>137</v>
      </c>
      <c r="BK305" s="56">
        <f t="shared" si="181"/>
        <v>4580000</v>
      </c>
      <c r="BL305" s="57">
        <f t="shared" si="190"/>
        <v>436605.52780145535</v>
      </c>
      <c r="BM305" s="57">
        <f t="shared" si="191"/>
        <v>145535.17593381845</v>
      </c>
      <c r="BU305" s="58">
        <f>BM305*3</f>
        <v>436605.52780145535</v>
      </c>
      <c r="BV305" s="58">
        <f t="shared" si="198"/>
        <v>436605.52780145535</v>
      </c>
      <c r="BW305" s="58">
        <f t="shared" si="200"/>
        <v>873211.0556029107</v>
      </c>
      <c r="BX305" s="58">
        <f t="shared" si="201"/>
        <v>436605.52780145535</v>
      </c>
      <c r="BY305" s="58">
        <f t="shared" si="199"/>
        <v>436605.52780145535</v>
      </c>
      <c r="BZ305" s="58">
        <f>BM305*3</f>
        <v>436605.52780145535</v>
      </c>
      <c r="CA305" s="58">
        <f t="shared" si="199"/>
        <v>436605.52780145535</v>
      </c>
      <c r="CB305" s="58">
        <f t="shared" si="171"/>
        <v>1746422.1112058214</v>
      </c>
      <c r="CC305" s="58">
        <f t="shared" si="172"/>
        <v>436605.52780145535</v>
      </c>
      <c r="CD305" s="58">
        <f t="shared" si="193"/>
        <v>436605.52780145535</v>
      </c>
      <c r="CE305" s="58">
        <f t="shared" si="193"/>
        <v>436605.52780145535</v>
      </c>
      <c r="CF305" s="58">
        <f t="shared" si="193"/>
        <v>436605.52780145535</v>
      </c>
      <c r="CG305" s="58">
        <f t="shared" si="173"/>
        <v>1746422.1112058214</v>
      </c>
      <c r="CH305" s="58">
        <f t="shared" si="174"/>
        <v>436605.52780145535</v>
      </c>
      <c r="CI305" s="58">
        <f t="shared" si="194"/>
        <v>436605.52780145535</v>
      </c>
      <c r="CJ305" s="58">
        <f t="shared" si="194"/>
        <v>436605.52780145535</v>
      </c>
      <c r="CK305" s="58">
        <f t="shared" si="194"/>
        <v>436605.52780145535</v>
      </c>
      <c r="CL305" s="58">
        <f t="shared" si="175"/>
        <v>1746422.1112058214</v>
      </c>
      <c r="CN305" s="59">
        <f t="shared" si="187"/>
        <v>4.4720842331650337E-4</v>
      </c>
      <c r="CO305" s="64">
        <f t="shared" si="188"/>
        <v>9391376.8896465711</v>
      </c>
      <c r="CP305" s="2">
        <f t="shared" si="177"/>
        <v>13971376.889646571</v>
      </c>
    </row>
    <row r="306" spans="1:94" ht="16.5" hidden="1" x14ac:dyDescent="0.3">
      <c r="A306" s="2">
        <v>301</v>
      </c>
      <c r="B306" s="47" t="s">
        <v>21</v>
      </c>
      <c r="C306" s="47"/>
      <c r="D306" s="30" t="s">
        <v>1041</v>
      </c>
      <c r="E306" s="30" t="s">
        <v>1042</v>
      </c>
      <c r="F306" s="30" t="s">
        <v>1043</v>
      </c>
      <c r="G306" s="30" t="s">
        <v>117</v>
      </c>
      <c r="H306" s="30" t="s">
        <v>1058</v>
      </c>
      <c r="I306" s="30" t="s">
        <v>119</v>
      </c>
      <c r="J306" s="30" t="s">
        <v>1044</v>
      </c>
      <c r="K306" s="30" t="s">
        <v>1044</v>
      </c>
      <c r="L306" s="30" t="s">
        <v>1120</v>
      </c>
      <c r="M306" s="30">
        <v>1000362</v>
      </c>
      <c r="N306" s="30" t="s">
        <v>138</v>
      </c>
      <c r="O306" s="30" t="s">
        <v>1191</v>
      </c>
      <c r="P306" s="30" t="s">
        <v>1189</v>
      </c>
      <c r="Q306" s="30" t="s">
        <v>1164</v>
      </c>
      <c r="R306" s="30"/>
      <c r="S306" s="30" t="s">
        <v>1192</v>
      </c>
      <c r="T306" s="30"/>
      <c r="U306" s="30" t="s">
        <v>144</v>
      </c>
      <c r="V306" s="30" t="s">
        <v>437</v>
      </c>
      <c r="W306" s="30" t="s">
        <v>1125</v>
      </c>
      <c r="X306" s="30" t="s">
        <v>127</v>
      </c>
      <c r="Y306" s="30" t="s">
        <v>128</v>
      </c>
      <c r="Z306" s="30" t="s">
        <v>128</v>
      </c>
      <c r="AA306" s="30" t="s">
        <v>129</v>
      </c>
      <c r="AB306" s="127" t="s">
        <v>1129</v>
      </c>
      <c r="AC306" s="30"/>
      <c r="AD306" s="30"/>
      <c r="AE306" s="30"/>
      <c r="AF306" s="30" t="s">
        <v>131</v>
      </c>
      <c r="AG306" s="30" t="s">
        <v>774</v>
      </c>
      <c r="AH306" s="30"/>
      <c r="AI306" s="30"/>
      <c r="AJ306" s="50">
        <v>38532</v>
      </c>
      <c r="AK306" s="50">
        <v>38532</v>
      </c>
      <c r="AL306" s="51">
        <f t="shared" si="180"/>
        <v>20.353424657534248</v>
      </c>
      <c r="AM306" s="30">
        <v>8</v>
      </c>
      <c r="AN306" s="30" t="s">
        <v>1065</v>
      </c>
      <c r="AO306" s="30" t="s">
        <v>1050</v>
      </c>
      <c r="AP306" s="30" t="s">
        <v>1051</v>
      </c>
      <c r="AQ306" s="30">
        <v>6.6</v>
      </c>
      <c r="AR306" s="30">
        <v>6625</v>
      </c>
      <c r="AS306" s="30">
        <v>820</v>
      </c>
      <c r="AT306" s="30">
        <v>1900</v>
      </c>
      <c r="AU306" s="54">
        <v>229000000</v>
      </c>
      <c r="AV306" s="54"/>
      <c r="AW306" s="54"/>
      <c r="AX306" s="54"/>
      <c r="AY306" s="54">
        <v>228999000</v>
      </c>
      <c r="AZ306" s="54">
        <v>0</v>
      </c>
      <c r="BA306" s="54">
        <v>1000</v>
      </c>
      <c r="BB306" s="55">
        <f>VLOOKUP(M306,[1]Sheet1!$E$6:$F$556,2,FALSE)</f>
        <v>1000</v>
      </c>
      <c r="BC306" s="74"/>
      <c r="BD306" s="74"/>
      <c r="BE306" s="30"/>
      <c r="BF306" s="30" t="s">
        <v>1052</v>
      </c>
      <c r="BG306" s="30" t="s">
        <v>1117</v>
      </c>
      <c r="BH306" s="30" t="s">
        <v>1054</v>
      </c>
      <c r="BI306" s="30" t="str">
        <f t="shared" si="176"/>
        <v>COF(Assy_FT)</v>
      </c>
      <c r="BJ306" s="47" t="s">
        <v>137</v>
      </c>
      <c r="BK306" s="56">
        <f t="shared" si="181"/>
        <v>4580000</v>
      </c>
      <c r="BL306" s="57">
        <f t="shared" si="190"/>
        <v>436605.52780145535</v>
      </c>
      <c r="BM306" s="57">
        <f t="shared" si="191"/>
        <v>145535.17593381845</v>
      </c>
      <c r="BU306" s="58">
        <f>BM306*3</f>
        <v>436605.52780145535</v>
      </c>
      <c r="BV306" s="58">
        <f t="shared" si="198"/>
        <v>436605.52780145535</v>
      </c>
      <c r="BW306" s="58">
        <f t="shared" si="200"/>
        <v>873211.0556029107</v>
      </c>
      <c r="BX306" s="58">
        <f t="shared" si="201"/>
        <v>436605.52780145535</v>
      </c>
      <c r="BY306" s="58">
        <f t="shared" si="199"/>
        <v>436605.52780145535</v>
      </c>
      <c r="BZ306" s="58">
        <f>BM306*3</f>
        <v>436605.52780145535</v>
      </c>
      <c r="CA306" s="58">
        <f t="shared" si="199"/>
        <v>436605.52780145535</v>
      </c>
      <c r="CB306" s="58">
        <f t="shared" si="171"/>
        <v>1746422.1112058214</v>
      </c>
      <c r="CC306" s="58">
        <f t="shared" si="172"/>
        <v>436605.52780145535</v>
      </c>
      <c r="CD306" s="58">
        <f t="shared" si="193"/>
        <v>436605.52780145535</v>
      </c>
      <c r="CE306" s="58">
        <f t="shared" si="193"/>
        <v>436605.52780145535</v>
      </c>
      <c r="CF306" s="58">
        <f t="shared" si="193"/>
        <v>436605.52780145535</v>
      </c>
      <c r="CG306" s="58">
        <f t="shared" si="173"/>
        <v>1746422.1112058214</v>
      </c>
      <c r="CH306" s="58">
        <f t="shared" si="174"/>
        <v>436605.52780145535</v>
      </c>
      <c r="CI306" s="58">
        <f t="shared" si="194"/>
        <v>436605.52780145535</v>
      </c>
      <c r="CJ306" s="58">
        <f t="shared" si="194"/>
        <v>436605.52780145535</v>
      </c>
      <c r="CK306" s="58">
        <f t="shared" si="194"/>
        <v>436605.52780145535</v>
      </c>
      <c r="CL306" s="58">
        <f t="shared" si="175"/>
        <v>1746422.1112058214</v>
      </c>
      <c r="CN306" s="59">
        <f t="shared" si="187"/>
        <v>4.4720842331650337E-4</v>
      </c>
      <c r="CO306" s="64">
        <f t="shared" si="188"/>
        <v>9391376.8896465711</v>
      </c>
      <c r="CP306" s="2">
        <f t="shared" si="177"/>
        <v>13971376.889646571</v>
      </c>
    </row>
    <row r="307" spans="1:94" ht="16.5" hidden="1" x14ac:dyDescent="0.3">
      <c r="A307" s="2">
        <v>302</v>
      </c>
      <c r="B307" s="47" t="s">
        <v>21</v>
      </c>
      <c r="C307" s="47"/>
      <c r="D307" s="30" t="s">
        <v>1041</v>
      </c>
      <c r="E307" s="30" t="s">
        <v>1042</v>
      </c>
      <c r="F307" s="30" t="s">
        <v>1043</v>
      </c>
      <c r="G307" s="30" t="s">
        <v>117</v>
      </c>
      <c r="H307" s="30" t="s">
        <v>1058</v>
      </c>
      <c r="I307" s="30" t="s">
        <v>119</v>
      </c>
      <c r="J307" s="30" t="s">
        <v>1044</v>
      </c>
      <c r="K307" s="30" t="s">
        <v>1044</v>
      </c>
      <c r="L307" s="30" t="s">
        <v>1109</v>
      </c>
      <c r="M307" s="30">
        <v>1000363</v>
      </c>
      <c r="N307" s="30" t="s">
        <v>138</v>
      </c>
      <c r="O307" s="30" t="s">
        <v>1193</v>
      </c>
      <c r="P307" s="30" t="s">
        <v>1111</v>
      </c>
      <c r="Q307" s="30" t="s">
        <v>585</v>
      </c>
      <c r="R307" s="30"/>
      <c r="S307" s="30" t="s">
        <v>1194</v>
      </c>
      <c r="T307" s="30"/>
      <c r="U307" s="30" t="s">
        <v>144</v>
      </c>
      <c r="V307" s="30" t="s">
        <v>437</v>
      </c>
      <c r="W307" s="30" t="s">
        <v>1113</v>
      </c>
      <c r="X307" s="30" t="s">
        <v>147</v>
      </c>
      <c r="Y307" s="125" t="s">
        <v>576</v>
      </c>
      <c r="Z307" s="125" t="s">
        <v>576</v>
      </c>
      <c r="AA307" s="30" t="s">
        <v>129</v>
      </c>
      <c r="AB307" s="30" t="s">
        <v>1114</v>
      </c>
      <c r="AC307" s="30" t="s">
        <v>1114</v>
      </c>
      <c r="AD307" s="30" t="s">
        <v>1115</v>
      </c>
      <c r="AE307" s="30"/>
      <c r="AF307" s="30" t="s">
        <v>131</v>
      </c>
      <c r="AG307" s="30" t="s">
        <v>774</v>
      </c>
      <c r="AH307" s="30" t="s">
        <v>1116</v>
      </c>
      <c r="AI307" s="30"/>
      <c r="AJ307" s="50">
        <v>38533</v>
      </c>
      <c r="AK307" s="50">
        <v>38533</v>
      </c>
      <c r="AL307" s="51">
        <f t="shared" si="180"/>
        <v>20.350684931506848</v>
      </c>
      <c r="AM307" s="30">
        <v>8</v>
      </c>
      <c r="AN307" s="30" t="s">
        <v>1065</v>
      </c>
      <c r="AO307" s="30" t="s">
        <v>1050</v>
      </c>
      <c r="AP307" s="30" t="s">
        <v>1051</v>
      </c>
      <c r="AQ307" s="30">
        <v>5</v>
      </c>
      <c r="AR307" s="30">
        <v>1470</v>
      </c>
      <c r="AS307" s="30">
        <v>960</v>
      </c>
      <c r="AT307" s="30">
        <v>1675</v>
      </c>
      <c r="AU307" s="54">
        <v>9900000</v>
      </c>
      <c r="AV307" s="54"/>
      <c r="AW307" s="54"/>
      <c r="AX307" s="54"/>
      <c r="AY307" s="54">
        <v>9899000</v>
      </c>
      <c r="AZ307" s="54">
        <v>0</v>
      </c>
      <c r="BA307" s="54">
        <v>1000</v>
      </c>
      <c r="BB307" s="55">
        <f>VLOOKUP(M307,[1]Sheet1!$E$6:$F$556,2,FALSE)</f>
        <v>1000</v>
      </c>
      <c r="BC307" s="74"/>
      <c r="BD307" s="74"/>
      <c r="BE307" s="30"/>
      <c r="BF307" s="30" t="s">
        <v>1052</v>
      </c>
      <c r="BG307" s="30" t="s">
        <v>1117</v>
      </c>
      <c r="BH307" s="30" t="s">
        <v>1054</v>
      </c>
      <c r="BI307" s="30" t="str">
        <f t="shared" si="176"/>
        <v>COF(Assy_FT)</v>
      </c>
      <c r="BJ307" s="47" t="s">
        <v>137</v>
      </c>
      <c r="BK307" s="67">
        <f t="shared" si="181"/>
        <v>198000</v>
      </c>
      <c r="BL307" s="68">
        <f t="shared" si="190"/>
        <v>18875.086136394792</v>
      </c>
      <c r="BM307" s="68">
        <f t="shared" si="191"/>
        <v>6291.6953787982638</v>
      </c>
      <c r="BP307" s="69">
        <f t="shared" si="195"/>
        <v>18875.086136394792</v>
      </c>
      <c r="BQ307" s="69">
        <f t="shared" si="196"/>
        <v>18875.086136394792</v>
      </c>
      <c r="BR307" s="69">
        <f>SUM(BN307:BQ307)</f>
        <v>37750.172272789583</v>
      </c>
      <c r="BS307" s="69">
        <f t="shared" si="197"/>
        <v>18875.086136394792</v>
      </c>
      <c r="BT307" s="69">
        <f t="shared" si="198"/>
        <v>18875.086136394792</v>
      </c>
      <c r="BU307" s="100">
        <f t="shared" si="198"/>
        <v>18875.086136394792</v>
      </c>
      <c r="BV307" s="100">
        <f t="shared" si="198"/>
        <v>18875.086136394792</v>
      </c>
      <c r="BW307" s="100">
        <f t="shared" si="200"/>
        <v>75500.344545579166</v>
      </c>
      <c r="BX307" s="101">
        <f t="shared" si="201"/>
        <v>18875.086136394792</v>
      </c>
      <c r="BY307" s="101">
        <f t="shared" si="199"/>
        <v>18875.086136394792</v>
      </c>
      <c r="BZ307" s="18">
        <f t="shared" si="199"/>
        <v>18875.086136394792</v>
      </c>
      <c r="CA307" s="18">
        <f t="shared" si="199"/>
        <v>18875.086136394792</v>
      </c>
      <c r="CB307" s="70">
        <f t="shared" si="171"/>
        <v>75500.344545579166</v>
      </c>
      <c r="CC307" s="18">
        <f t="shared" si="172"/>
        <v>18875.086136394792</v>
      </c>
      <c r="CD307" s="18">
        <f t="shared" si="193"/>
        <v>18875.086136394792</v>
      </c>
      <c r="CE307" s="18">
        <f t="shared" si="193"/>
        <v>18875.086136394792</v>
      </c>
      <c r="CF307" s="18">
        <f t="shared" si="193"/>
        <v>18875.086136394792</v>
      </c>
      <c r="CG307" s="70">
        <f t="shared" si="173"/>
        <v>75500.344545579166</v>
      </c>
      <c r="CH307" s="18">
        <f t="shared" si="174"/>
        <v>18875.086136394792</v>
      </c>
      <c r="CI307" s="18">
        <f t="shared" si="194"/>
        <v>18875.086136394792</v>
      </c>
      <c r="CJ307" s="18">
        <f t="shared" si="194"/>
        <v>18875.086136394792</v>
      </c>
      <c r="CK307" s="18">
        <f t="shared" si="194"/>
        <v>18875.086136394792</v>
      </c>
      <c r="CL307" s="70">
        <f t="shared" si="175"/>
        <v>75500.344545579166</v>
      </c>
      <c r="CM307" s="71"/>
      <c r="CN307" s="59">
        <f t="shared" si="187"/>
        <v>1.9333464588792065E-5</v>
      </c>
      <c r="CO307" s="64">
        <f t="shared" si="188"/>
        <v>406002.75636463339</v>
      </c>
      <c r="CP307" s="2">
        <f t="shared" si="177"/>
        <v>604002.75636463333</v>
      </c>
    </row>
    <row r="308" spans="1:94" ht="16.5" hidden="1" x14ac:dyDescent="0.3">
      <c r="A308" s="2">
        <v>303</v>
      </c>
      <c r="B308" s="47" t="s">
        <v>21</v>
      </c>
      <c r="C308" s="47"/>
      <c r="D308" s="30" t="s">
        <v>1041</v>
      </c>
      <c r="E308" s="30" t="s">
        <v>1042</v>
      </c>
      <c r="F308" s="30" t="s">
        <v>1043</v>
      </c>
      <c r="G308" s="30" t="s">
        <v>117</v>
      </c>
      <c r="H308" s="30" t="s">
        <v>1058</v>
      </c>
      <c r="I308" s="30" t="s">
        <v>119</v>
      </c>
      <c r="J308" s="30" t="s">
        <v>1044</v>
      </c>
      <c r="K308" s="30" t="s">
        <v>1044</v>
      </c>
      <c r="L308" s="30" t="s">
        <v>1109</v>
      </c>
      <c r="M308" s="30">
        <v>1000364</v>
      </c>
      <c r="N308" s="30" t="s">
        <v>138</v>
      </c>
      <c r="O308" s="30" t="s">
        <v>1195</v>
      </c>
      <c r="P308" s="30" t="s">
        <v>1111</v>
      </c>
      <c r="Q308" s="30" t="s">
        <v>585</v>
      </c>
      <c r="R308" s="30"/>
      <c r="S308" s="30" t="s">
        <v>1196</v>
      </c>
      <c r="T308" s="30"/>
      <c r="U308" s="30" t="s">
        <v>144</v>
      </c>
      <c r="V308" s="30" t="s">
        <v>437</v>
      </c>
      <c r="W308" s="30" t="s">
        <v>1113</v>
      </c>
      <c r="X308" s="30" t="s">
        <v>147</v>
      </c>
      <c r="Y308" s="125" t="s">
        <v>576</v>
      </c>
      <c r="Z308" s="125" t="s">
        <v>576</v>
      </c>
      <c r="AA308" s="30" t="s">
        <v>129</v>
      </c>
      <c r="AB308" s="30" t="s">
        <v>1114</v>
      </c>
      <c r="AC308" s="30" t="s">
        <v>1114</v>
      </c>
      <c r="AD308" s="30" t="s">
        <v>1115</v>
      </c>
      <c r="AE308" s="30"/>
      <c r="AF308" s="30" t="s">
        <v>131</v>
      </c>
      <c r="AG308" s="30" t="s">
        <v>774</v>
      </c>
      <c r="AH308" s="30" t="s">
        <v>1116</v>
      </c>
      <c r="AI308" s="30"/>
      <c r="AJ308" s="50">
        <v>38533</v>
      </c>
      <c r="AK308" s="50">
        <v>38533</v>
      </c>
      <c r="AL308" s="51">
        <f t="shared" si="180"/>
        <v>20.350684931506848</v>
      </c>
      <c r="AM308" s="30">
        <v>8</v>
      </c>
      <c r="AN308" s="30" t="s">
        <v>1065</v>
      </c>
      <c r="AO308" s="30" t="s">
        <v>1050</v>
      </c>
      <c r="AP308" s="30" t="s">
        <v>1051</v>
      </c>
      <c r="AQ308" s="30">
        <v>5</v>
      </c>
      <c r="AR308" s="30">
        <v>1470</v>
      </c>
      <c r="AS308" s="30">
        <v>960</v>
      </c>
      <c r="AT308" s="30">
        <v>1675</v>
      </c>
      <c r="AU308" s="54">
        <v>9900000</v>
      </c>
      <c r="AV308" s="54"/>
      <c r="AW308" s="54"/>
      <c r="AX308" s="54"/>
      <c r="AY308" s="54">
        <v>9899000</v>
      </c>
      <c r="AZ308" s="54">
        <v>0</v>
      </c>
      <c r="BA308" s="54">
        <v>1000</v>
      </c>
      <c r="BB308" s="55">
        <f>VLOOKUP(M308,[1]Sheet1!$E$6:$F$556,2,FALSE)</f>
        <v>1000</v>
      </c>
      <c r="BC308" s="74"/>
      <c r="BD308" s="74"/>
      <c r="BE308" s="30"/>
      <c r="BF308" s="30" t="s">
        <v>1052</v>
      </c>
      <c r="BG308" s="30" t="s">
        <v>1117</v>
      </c>
      <c r="BH308" s="30" t="s">
        <v>1054</v>
      </c>
      <c r="BI308" s="30" t="str">
        <f t="shared" si="176"/>
        <v>COF(Assy_FT)</v>
      </c>
      <c r="BJ308" s="47" t="s">
        <v>137</v>
      </c>
      <c r="BK308" s="67">
        <f t="shared" si="181"/>
        <v>198000</v>
      </c>
      <c r="BL308" s="68">
        <f t="shared" si="190"/>
        <v>18875.086136394792</v>
      </c>
      <c r="BM308" s="68">
        <f t="shared" si="191"/>
        <v>6291.6953787982638</v>
      </c>
      <c r="BP308" s="69">
        <f t="shared" si="195"/>
        <v>18875.086136394792</v>
      </c>
      <c r="BQ308" s="69">
        <f t="shared" si="196"/>
        <v>18875.086136394792</v>
      </c>
      <c r="BR308" s="69">
        <f>SUM(BN308:BQ308)</f>
        <v>37750.172272789583</v>
      </c>
      <c r="BS308" s="69">
        <f t="shared" si="197"/>
        <v>18875.086136394792</v>
      </c>
      <c r="BT308" s="69">
        <f t="shared" si="198"/>
        <v>18875.086136394792</v>
      </c>
      <c r="BU308" s="100">
        <f t="shared" si="198"/>
        <v>18875.086136394792</v>
      </c>
      <c r="BV308" s="100">
        <f t="shared" si="198"/>
        <v>18875.086136394792</v>
      </c>
      <c r="BW308" s="100">
        <f t="shared" si="200"/>
        <v>75500.344545579166</v>
      </c>
      <c r="BX308" s="101">
        <f t="shared" si="201"/>
        <v>18875.086136394792</v>
      </c>
      <c r="BY308" s="101">
        <f t="shared" si="199"/>
        <v>18875.086136394792</v>
      </c>
      <c r="BZ308" s="18">
        <f t="shared" si="199"/>
        <v>18875.086136394792</v>
      </c>
      <c r="CA308" s="18">
        <f t="shared" si="199"/>
        <v>18875.086136394792</v>
      </c>
      <c r="CB308" s="70">
        <f t="shared" si="171"/>
        <v>75500.344545579166</v>
      </c>
      <c r="CC308" s="18">
        <f t="shared" si="172"/>
        <v>18875.086136394792</v>
      </c>
      <c r="CD308" s="18">
        <f t="shared" si="193"/>
        <v>18875.086136394792</v>
      </c>
      <c r="CE308" s="18">
        <f t="shared" si="193"/>
        <v>18875.086136394792</v>
      </c>
      <c r="CF308" s="18">
        <f t="shared" si="193"/>
        <v>18875.086136394792</v>
      </c>
      <c r="CG308" s="70">
        <f t="shared" si="173"/>
        <v>75500.344545579166</v>
      </c>
      <c r="CH308" s="18">
        <f t="shared" si="174"/>
        <v>18875.086136394792</v>
      </c>
      <c r="CI308" s="18">
        <f t="shared" si="194"/>
        <v>18875.086136394792</v>
      </c>
      <c r="CJ308" s="18">
        <f t="shared" si="194"/>
        <v>18875.086136394792</v>
      </c>
      <c r="CK308" s="18">
        <f t="shared" si="194"/>
        <v>18875.086136394792</v>
      </c>
      <c r="CL308" s="70">
        <f t="shared" si="175"/>
        <v>75500.344545579166</v>
      </c>
      <c r="CM308" s="71"/>
      <c r="CN308" s="59">
        <f t="shared" si="187"/>
        <v>1.9333464588792065E-5</v>
      </c>
      <c r="CO308" s="64">
        <f t="shared" si="188"/>
        <v>406002.75636463339</v>
      </c>
      <c r="CP308" s="2">
        <f t="shared" si="177"/>
        <v>604002.75636463333</v>
      </c>
    </row>
    <row r="309" spans="1:94" ht="16.5" hidden="1" x14ac:dyDescent="0.3">
      <c r="A309" s="2">
        <v>304</v>
      </c>
      <c r="B309" s="47" t="s">
        <v>21</v>
      </c>
      <c r="C309" s="47"/>
      <c r="D309" s="30" t="s">
        <v>1041</v>
      </c>
      <c r="E309" s="30" t="s">
        <v>1042</v>
      </c>
      <c r="F309" s="30" t="s">
        <v>1043</v>
      </c>
      <c r="G309" s="30" t="s">
        <v>117</v>
      </c>
      <c r="H309" s="30" t="s">
        <v>1058</v>
      </c>
      <c r="I309" s="30" t="s">
        <v>119</v>
      </c>
      <c r="J309" s="30" t="s">
        <v>1044</v>
      </c>
      <c r="K309" s="30" t="s">
        <v>1044</v>
      </c>
      <c r="L309" s="30" t="s">
        <v>1120</v>
      </c>
      <c r="M309" s="30">
        <v>1000375</v>
      </c>
      <c r="N309" s="30" t="s">
        <v>138</v>
      </c>
      <c r="O309" s="30" t="s">
        <v>1197</v>
      </c>
      <c r="P309" s="30" t="s">
        <v>1189</v>
      </c>
      <c r="Q309" s="30" t="s">
        <v>1164</v>
      </c>
      <c r="R309" s="30"/>
      <c r="S309" s="30" t="s">
        <v>1198</v>
      </c>
      <c r="T309" s="30"/>
      <c r="U309" s="30" t="s">
        <v>144</v>
      </c>
      <c r="V309" s="30" t="s">
        <v>437</v>
      </c>
      <c r="W309" s="30" t="s">
        <v>1125</v>
      </c>
      <c r="X309" s="30" t="s">
        <v>127</v>
      </c>
      <c r="Y309" s="30" t="s">
        <v>128</v>
      </c>
      <c r="Z309" s="30" t="s">
        <v>128</v>
      </c>
      <c r="AA309" s="30" t="s">
        <v>129</v>
      </c>
      <c r="AB309" s="127" t="s">
        <v>1129</v>
      </c>
      <c r="AC309" s="30"/>
      <c r="AD309" s="30"/>
      <c r="AE309" s="30"/>
      <c r="AF309" s="30" t="s">
        <v>131</v>
      </c>
      <c r="AG309" s="30" t="s">
        <v>774</v>
      </c>
      <c r="AH309" s="30"/>
      <c r="AI309" s="30"/>
      <c r="AJ309" s="50">
        <v>38558</v>
      </c>
      <c r="AK309" s="50">
        <v>38558</v>
      </c>
      <c r="AL309" s="51">
        <f t="shared" si="180"/>
        <v>20.282191780821918</v>
      </c>
      <c r="AM309" s="30">
        <v>8</v>
      </c>
      <c r="AN309" s="30" t="s">
        <v>1065</v>
      </c>
      <c r="AO309" s="30" t="s">
        <v>1050</v>
      </c>
      <c r="AP309" s="30" t="s">
        <v>1051</v>
      </c>
      <c r="AQ309" s="30">
        <v>6.6</v>
      </c>
      <c r="AR309" s="30">
        <v>6625</v>
      </c>
      <c r="AS309" s="30">
        <v>820</v>
      </c>
      <c r="AT309" s="30">
        <v>1900</v>
      </c>
      <c r="AU309" s="54">
        <v>229000000</v>
      </c>
      <c r="AV309" s="54"/>
      <c r="AW309" s="54"/>
      <c r="AX309" s="54"/>
      <c r="AY309" s="54">
        <v>228999000</v>
      </c>
      <c r="AZ309" s="54">
        <v>0</v>
      </c>
      <c r="BA309" s="54">
        <v>1000</v>
      </c>
      <c r="BB309" s="55">
        <f>VLOOKUP(M309,[1]Sheet1!$E$6:$F$556,2,FALSE)</f>
        <v>1000</v>
      </c>
      <c r="BC309" s="74"/>
      <c r="BD309" s="74"/>
      <c r="BE309" s="30"/>
      <c r="BF309" s="30" t="s">
        <v>1052</v>
      </c>
      <c r="BG309" s="30" t="s">
        <v>1117</v>
      </c>
      <c r="BH309" s="30" t="s">
        <v>1054</v>
      </c>
      <c r="BI309" s="30" t="str">
        <f t="shared" si="176"/>
        <v>COF(Assy_FT)</v>
      </c>
      <c r="BJ309" s="47" t="s">
        <v>137</v>
      </c>
      <c r="BK309" s="56">
        <f t="shared" si="181"/>
        <v>4580000</v>
      </c>
      <c r="BL309" s="57">
        <f t="shared" si="190"/>
        <v>436605.52780145535</v>
      </c>
      <c r="BM309" s="57">
        <f t="shared" si="191"/>
        <v>145535.17593381845</v>
      </c>
      <c r="BU309" s="58">
        <f>BM309*3</f>
        <v>436605.52780145535</v>
      </c>
      <c r="BV309" s="58">
        <f t="shared" si="198"/>
        <v>436605.52780145535</v>
      </c>
      <c r="BW309" s="58">
        <f t="shared" si="200"/>
        <v>873211.0556029107</v>
      </c>
      <c r="BX309" s="58">
        <f t="shared" si="201"/>
        <v>436605.52780145535</v>
      </c>
      <c r="BY309" s="58">
        <f t="shared" si="199"/>
        <v>436605.52780145535</v>
      </c>
      <c r="BZ309" s="58">
        <f>BM309*3</f>
        <v>436605.52780145535</v>
      </c>
      <c r="CA309" s="58">
        <f t="shared" si="199"/>
        <v>436605.52780145535</v>
      </c>
      <c r="CB309" s="58">
        <f t="shared" si="171"/>
        <v>1746422.1112058214</v>
      </c>
      <c r="CC309" s="58">
        <f t="shared" si="172"/>
        <v>436605.52780145535</v>
      </c>
      <c r="CD309" s="58">
        <f t="shared" ref="CD309:CF328" si="202">CC309</f>
        <v>436605.52780145535</v>
      </c>
      <c r="CE309" s="58">
        <f t="shared" si="202"/>
        <v>436605.52780145535</v>
      </c>
      <c r="CF309" s="58">
        <f t="shared" si="202"/>
        <v>436605.52780145535</v>
      </c>
      <c r="CG309" s="58">
        <f t="shared" si="173"/>
        <v>1746422.1112058214</v>
      </c>
      <c r="CH309" s="58">
        <f t="shared" si="174"/>
        <v>436605.52780145535</v>
      </c>
      <c r="CI309" s="58">
        <f t="shared" si="194"/>
        <v>436605.52780145535</v>
      </c>
      <c r="CJ309" s="58">
        <f t="shared" si="194"/>
        <v>436605.52780145535</v>
      </c>
      <c r="CK309" s="58">
        <f t="shared" si="194"/>
        <v>436605.52780145535</v>
      </c>
      <c r="CL309" s="58">
        <f t="shared" si="175"/>
        <v>1746422.1112058214</v>
      </c>
      <c r="CN309" s="59">
        <f t="shared" si="187"/>
        <v>4.4720842331650337E-4</v>
      </c>
      <c r="CO309" s="64">
        <f t="shared" si="188"/>
        <v>9391376.8896465711</v>
      </c>
      <c r="CP309" s="2">
        <f t="shared" si="177"/>
        <v>13971376.889646571</v>
      </c>
    </row>
    <row r="310" spans="1:94" ht="16.5" hidden="1" x14ac:dyDescent="0.3">
      <c r="A310" s="2">
        <v>305</v>
      </c>
      <c r="B310" s="47" t="s">
        <v>21</v>
      </c>
      <c r="C310" s="47"/>
      <c r="D310" s="30" t="s">
        <v>1041</v>
      </c>
      <c r="E310" s="30" t="s">
        <v>1042</v>
      </c>
      <c r="F310" s="30" t="s">
        <v>1043</v>
      </c>
      <c r="G310" s="30" t="s">
        <v>117</v>
      </c>
      <c r="H310" s="30" t="s">
        <v>1058</v>
      </c>
      <c r="I310" s="30" t="s">
        <v>119</v>
      </c>
      <c r="J310" s="30" t="s">
        <v>1044</v>
      </c>
      <c r="K310" s="30" t="s">
        <v>1044</v>
      </c>
      <c r="L310" s="30" t="s">
        <v>1120</v>
      </c>
      <c r="M310" s="30">
        <v>1000376</v>
      </c>
      <c r="N310" s="30" t="s">
        <v>138</v>
      </c>
      <c r="O310" s="30" t="s">
        <v>1199</v>
      </c>
      <c r="P310" s="30" t="s">
        <v>1189</v>
      </c>
      <c r="Q310" s="30" t="s">
        <v>1164</v>
      </c>
      <c r="R310" s="30"/>
      <c r="S310" s="30" t="s">
        <v>1200</v>
      </c>
      <c r="T310" s="30"/>
      <c r="U310" s="30" t="s">
        <v>144</v>
      </c>
      <c r="V310" s="30" t="s">
        <v>437</v>
      </c>
      <c r="W310" s="30" t="s">
        <v>1125</v>
      </c>
      <c r="X310" s="30" t="s">
        <v>127</v>
      </c>
      <c r="Y310" s="30" t="s">
        <v>128</v>
      </c>
      <c r="Z310" s="30" t="s">
        <v>128</v>
      </c>
      <c r="AA310" s="30" t="s">
        <v>129</v>
      </c>
      <c r="AB310" s="127" t="s">
        <v>1129</v>
      </c>
      <c r="AC310" s="30"/>
      <c r="AD310" s="30"/>
      <c r="AE310" s="30"/>
      <c r="AF310" s="30" t="s">
        <v>131</v>
      </c>
      <c r="AG310" s="30" t="s">
        <v>774</v>
      </c>
      <c r="AH310" s="30"/>
      <c r="AI310" s="30"/>
      <c r="AJ310" s="50">
        <v>38558</v>
      </c>
      <c r="AK310" s="50">
        <v>38558</v>
      </c>
      <c r="AL310" s="51">
        <f t="shared" si="180"/>
        <v>20.282191780821918</v>
      </c>
      <c r="AM310" s="30">
        <v>8</v>
      </c>
      <c r="AN310" s="30" t="s">
        <v>1065</v>
      </c>
      <c r="AO310" s="30" t="s">
        <v>1050</v>
      </c>
      <c r="AP310" s="30" t="s">
        <v>1051</v>
      </c>
      <c r="AQ310" s="30">
        <v>6.6</v>
      </c>
      <c r="AR310" s="30">
        <v>6625</v>
      </c>
      <c r="AS310" s="30">
        <v>820</v>
      </c>
      <c r="AT310" s="30">
        <v>1900</v>
      </c>
      <c r="AU310" s="54">
        <v>229000000</v>
      </c>
      <c r="AV310" s="54"/>
      <c r="AW310" s="54"/>
      <c r="AX310" s="54"/>
      <c r="AY310" s="54">
        <v>228999000</v>
      </c>
      <c r="AZ310" s="54">
        <v>0</v>
      </c>
      <c r="BA310" s="54">
        <v>1000</v>
      </c>
      <c r="BB310" s="55">
        <f>VLOOKUP(M310,[1]Sheet1!$E$6:$F$556,2,FALSE)</f>
        <v>1000</v>
      </c>
      <c r="BC310" s="74"/>
      <c r="BD310" s="74"/>
      <c r="BE310" s="30"/>
      <c r="BF310" s="30" t="s">
        <v>1052</v>
      </c>
      <c r="BG310" s="30" t="s">
        <v>1117</v>
      </c>
      <c r="BH310" s="30" t="s">
        <v>1054</v>
      </c>
      <c r="BI310" s="30" t="str">
        <f t="shared" si="176"/>
        <v>COF(Assy_FT)</v>
      </c>
      <c r="BJ310" s="47" t="s">
        <v>137</v>
      </c>
      <c r="BK310" s="56">
        <f t="shared" si="181"/>
        <v>4580000</v>
      </c>
      <c r="BL310" s="57">
        <f t="shared" si="190"/>
        <v>436605.52780145535</v>
      </c>
      <c r="BM310" s="57">
        <f t="shared" si="191"/>
        <v>145535.17593381845</v>
      </c>
      <c r="BU310" s="58">
        <f>BM310*3</f>
        <v>436605.52780145535</v>
      </c>
      <c r="BV310" s="58">
        <f t="shared" si="198"/>
        <v>436605.52780145535</v>
      </c>
      <c r="BW310" s="58">
        <f t="shared" si="200"/>
        <v>873211.0556029107</v>
      </c>
      <c r="BX310" s="58">
        <f t="shared" si="201"/>
        <v>436605.52780145535</v>
      </c>
      <c r="BY310" s="58">
        <f t="shared" si="199"/>
        <v>436605.52780145535</v>
      </c>
      <c r="BZ310" s="58">
        <f>BM310*3</f>
        <v>436605.52780145535</v>
      </c>
      <c r="CA310" s="58">
        <f t="shared" si="199"/>
        <v>436605.52780145535</v>
      </c>
      <c r="CB310" s="58">
        <f t="shared" si="171"/>
        <v>1746422.1112058214</v>
      </c>
      <c r="CC310" s="58">
        <f t="shared" si="172"/>
        <v>436605.52780145535</v>
      </c>
      <c r="CD310" s="58">
        <f t="shared" si="202"/>
        <v>436605.52780145535</v>
      </c>
      <c r="CE310" s="58">
        <f t="shared" si="202"/>
        <v>436605.52780145535</v>
      </c>
      <c r="CF310" s="58">
        <f t="shared" si="202"/>
        <v>436605.52780145535</v>
      </c>
      <c r="CG310" s="58">
        <f t="shared" si="173"/>
        <v>1746422.1112058214</v>
      </c>
      <c r="CH310" s="58">
        <f t="shared" si="174"/>
        <v>436605.52780145535</v>
      </c>
      <c r="CI310" s="58">
        <f t="shared" si="194"/>
        <v>436605.52780145535</v>
      </c>
      <c r="CJ310" s="58">
        <f t="shared" si="194"/>
        <v>436605.52780145535</v>
      </c>
      <c r="CK310" s="58">
        <f t="shared" si="194"/>
        <v>436605.52780145535</v>
      </c>
      <c r="CL310" s="58">
        <f t="shared" si="175"/>
        <v>1746422.1112058214</v>
      </c>
      <c r="CN310" s="59">
        <f t="shared" si="187"/>
        <v>4.4720842331650337E-4</v>
      </c>
      <c r="CO310" s="64">
        <f t="shared" si="188"/>
        <v>9391376.8896465711</v>
      </c>
      <c r="CP310" s="2">
        <f t="shared" si="177"/>
        <v>13971376.889646571</v>
      </c>
    </row>
    <row r="311" spans="1:94" ht="15" hidden="1" x14ac:dyDescent="0.3">
      <c r="A311" s="29">
        <v>306</v>
      </c>
      <c r="B311" s="30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30"/>
      <c r="Y311" s="30"/>
      <c r="Z311" s="30"/>
      <c r="AA311" s="131" t="s">
        <v>1201</v>
      </c>
      <c r="AB311" s="132" t="s">
        <v>1202</v>
      </c>
      <c r="AC311" s="132" t="s">
        <v>773</v>
      </c>
      <c r="AD311" s="92" t="s">
        <v>1203</v>
      </c>
      <c r="AE311" s="30"/>
      <c r="AF311" s="30" t="s">
        <v>131</v>
      </c>
      <c r="AG311" s="30" t="s">
        <v>1204</v>
      </c>
      <c r="AH311" s="30"/>
      <c r="AI311" s="30"/>
      <c r="AJ311" s="133"/>
      <c r="AK311" s="133"/>
      <c r="AL311" s="134"/>
      <c r="AM311" s="129"/>
      <c r="AN311" s="129"/>
      <c r="AO311" s="129"/>
      <c r="AP311" s="129"/>
      <c r="AQ311" s="30"/>
      <c r="AR311" s="30"/>
      <c r="AS311" s="30"/>
      <c r="AT311" s="30"/>
      <c r="AU311" s="135"/>
      <c r="AV311" s="54"/>
      <c r="AW311" s="54"/>
      <c r="AX311" s="54"/>
      <c r="AY311" s="54">
        <v>222378520</v>
      </c>
      <c r="AZ311" s="54">
        <v>0</v>
      </c>
      <c r="BA311" s="135"/>
      <c r="BB311" s="55"/>
      <c r="BC311" s="74"/>
      <c r="BD311" s="74"/>
      <c r="BE311" s="30"/>
      <c r="BF311" s="30"/>
      <c r="BG311" s="129"/>
      <c r="BH311" s="30"/>
      <c r="BI311" s="30"/>
      <c r="BJ311" s="30"/>
      <c r="BK311" s="56"/>
      <c r="BL311" s="57"/>
      <c r="BM311" s="57"/>
      <c r="BN311" s="113"/>
      <c r="BO311" s="113"/>
      <c r="BU311" s="58">
        <f>BM311*3</f>
        <v>0</v>
      </c>
      <c r="BV311" s="58">
        <f t="shared" si="198"/>
        <v>0</v>
      </c>
      <c r="BW311" s="58">
        <f t="shared" si="200"/>
        <v>0</v>
      </c>
      <c r="BX311" s="58">
        <f t="shared" si="201"/>
        <v>0</v>
      </c>
      <c r="BY311" s="58">
        <f t="shared" si="199"/>
        <v>0</v>
      </c>
      <c r="BZ311" s="58">
        <f>BM311*3</f>
        <v>0</v>
      </c>
      <c r="CA311" s="58">
        <f t="shared" si="199"/>
        <v>0</v>
      </c>
      <c r="CB311" s="58">
        <f t="shared" si="171"/>
        <v>0</v>
      </c>
      <c r="CC311" s="58">
        <f t="shared" si="172"/>
        <v>0</v>
      </c>
      <c r="CD311" s="58">
        <f t="shared" si="202"/>
        <v>0</v>
      </c>
      <c r="CE311" s="58">
        <f t="shared" si="202"/>
        <v>0</v>
      </c>
      <c r="CF311" s="58">
        <f t="shared" si="202"/>
        <v>0</v>
      </c>
      <c r="CG311" s="58">
        <f t="shared" si="173"/>
        <v>0</v>
      </c>
      <c r="CH311" s="58">
        <f t="shared" si="174"/>
        <v>0</v>
      </c>
      <c r="CI311" s="58">
        <f t="shared" ref="CI311:CK326" si="203">CH311</f>
        <v>0</v>
      </c>
      <c r="CJ311" s="58">
        <f t="shared" si="203"/>
        <v>0</v>
      </c>
      <c r="CK311" s="58">
        <f t="shared" si="203"/>
        <v>0</v>
      </c>
      <c r="CL311" s="58">
        <f t="shared" si="175"/>
        <v>0</v>
      </c>
      <c r="CP311" s="2">
        <f t="shared" si="177"/>
        <v>0</v>
      </c>
    </row>
    <row r="312" spans="1:94" ht="16.5" hidden="1" x14ac:dyDescent="0.3">
      <c r="A312" s="2">
        <v>307</v>
      </c>
      <c r="B312" s="47" t="s">
        <v>21</v>
      </c>
      <c r="C312" s="47"/>
      <c r="D312" s="30" t="s">
        <v>1041</v>
      </c>
      <c r="E312" s="30" t="s">
        <v>1042</v>
      </c>
      <c r="F312" s="30" t="s">
        <v>1043</v>
      </c>
      <c r="G312" s="30" t="s">
        <v>117</v>
      </c>
      <c r="H312" s="30" t="s">
        <v>1058</v>
      </c>
      <c r="I312" s="30" t="s">
        <v>119</v>
      </c>
      <c r="J312" s="30" t="s">
        <v>1044</v>
      </c>
      <c r="K312" s="30" t="s">
        <v>1044</v>
      </c>
      <c r="L312" s="30" t="s">
        <v>1120</v>
      </c>
      <c r="M312" s="30">
        <v>1000473</v>
      </c>
      <c r="N312" s="30" t="s">
        <v>138</v>
      </c>
      <c r="O312" s="30" t="s">
        <v>1205</v>
      </c>
      <c r="P312" s="30" t="s">
        <v>1122</v>
      </c>
      <c r="Q312" s="30" t="s">
        <v>1123</v>
      </c>
      <c r="R312" s="30"/>
      <c r="S312" s="30" t="s">
        <v>1206</v>
      </c>
      <c r="T312" s="30"/>
      <c r="U312" s="30" t="s">
        <v>144</v>
      </c>
      <c r="V312" s="30" t="s">
        <v>437</v>
      </c>
      <c r="W312" s="30" t="s">
        <v>1125</v>
      </c>
      <c r="X312" s="30" t="s">
        <v>147</v>
      </c>
      <c r="Y312" s="125" t="s">
        <v>128</v>
      </c>
      <c r="Z312" s="125" t="s">
        <v>128</v>
      </c>
      <c r="AA312" s="30" t="s">
        <v>129</v>
      </c>
      <c r="AB312" s="127" t="s">
        <v>1129</v>
      </c>
      <c r="AC312" s="30"/>
      <c r="AD312" s="30"/>
      <c r="AE312" s="30"/>
      <c r="AF312" s="30" t="s">
        <v>131</v>
      </c>
      <c r="AG312" s="30" t="s">
        <v>774</v>
      </c>
      <c r="AH312" s="30"/>
      <c r="AI312" s="30"/>
      <c r="AJ312" s="50">
        <v>38712</v>
      </c>
      <c r="AK312" s="50">
        <v>38712</v>
      </c>
      <c r="AL312" s="51">
        <f t="shared" si="180"/>
        <v>19.860273972602741</v>
      </c>
      <c r="AM312" s="30">
        <v>8</v>
      </c>
      <c r="AN312" s="30" t="s">
        <v>1065</v>
      </c>
      <c r="AO312" s="30" t="s">
        <v>1050</v>
      </c>
      <c r="AP312" s="30" t="s">
        <v>1051</v>
      </c>
      <c r="AQ312" s="30">
        <v>6.6</v>
      </c>
      <c r="AR312" s="30">
        <v>6625</v>
      </c>
      <c r="AS312" s="30">
        <v>820</v>
      </c>
      <c r="AT312" s="30">
        <v>1900</v>
      </c>
      <c r="AU312" s="54">
        <v>229000000</v>
      </c>
      <c r="AV312" s="54"/>
      <c r="AW312" s="54"/>
      <c r="AX312" s="54"/>
      <c r="AY312" s="54">
        <v>228999000</v>
      </c>
      <c r="AZ312" s="54">
        <v>0</v>
      </c>
      <c r="BA312" s="54">
        <v>1000</v>
      </c>
      <c r="BB312" s="55">
        <f>VLOOKUP(M312,[1]Sheet1!$E$6:$F$556,2,FALSE)</f>
        <v>1000</v>
      </c>
      <c r="BC312" s="74"/>
      <c r="BD312" s="74"/>
      <c r="BE312" s="30"/>
      <c r="BF312" s="30" t="s">
        <v>1052</v>
      </c>
      <c r="BG312" s="30" t="s">
        <v>1117</v>
      </c>
      <c r="BH312" s="30" t="s">
        <v>1054</v>
      </c>
      <c r="BI312" s="30" t="str">
        <f t="shared" si="176"/>
        <v>COF(Assy_FT)</v>
      </c>
      <c r="BJ312" s="47" t="s">
        <v>137</v>
      </c>
      <c r="BK312" s="67">
        <f t="shared" si="181"/>
        <v>4580000</v>
      </c>
      <c r="BL312" s="68">
        <f t="shared" ref="BL312:BL344" si="204">CP312/$BL$1/4</f>
        <v>436605.52780145535</v>
      </c>
      <c r="BM312" s="68">
        <f t="shared" ref="BM312:BM344" si="205">CP312/$BL$1/12</f>
        <v>145535.17593381845</v>
      </c>
      <c r="BP312" s="69">
        <f t="shared" si="195"/>
        <v>436605.52780145535</v>
      </c>
      <c r="BQ312" s="69">
        <f t="shared" si="196"/>
        <v>436605.52780145535</v>
      </c>
      <c r="BR312" s="69">
        <f>SUM(BN312:BQ312)</f>
        <v>873211.0556029107</v>
      </c>
      <c r="BS312" s="69">
        <f t="shared" si="197"/>
        <v>436605.52780145535</v>
      </c>
      <c r="BT312" s="69">
        <f t="shared" si="198"/>
        <v>436605.52780145535</v>
      </c>
      <c r="BU312" s="100">
        <f t="shared" si="198"/>
        <v>436605.52780145535</v>
      </c>
      <c r="BV312" s="100">
        <f t="shared" si="198"/>
        <v>436605.52780145535</v>
      </c>
      <c r="BW312" s="100">
        <f t="shared" si="200"/>
        <v>1746422.1112058214</v>
      </c>
      <c r="BX312" s="101">
        <f t="shared" si="201"/>
        <v>436605.52780145535</v>
      </c>
      <c r="BY312" s="101">
        <f t="shared" si="199"/>
        <v>436605.52780145535</v>
      </c>
      <c r="BZ312" s="18">
        <f t="shared" si="199"/>
        <v>436605.52780145535</v>
      </c>
      <c r="CA312" s="18">
        <f t="shared" si="199"/>
        <v>436605.52780145535</v>
      </c>
      <c r="CB312" s="70">
        <f t="shared" si="171"/>
        <v>1746422.1112058214</v>
      </c>
      <c r="CC312" s="18">
        <f t="shared" si="172"/>
        <v>436605.52780145535</v>
      </c>
      <c r="CD312" s="18">
        <f t="shared" si="202"/>
        <v>436605.52780145535</v>
      </c>
      <c r="CE312" s="18">
        <f t="shared" si="202"/>
        <v>436605.52780145535</v>
      </c>
      <c r="CF312" s="18">
        <f t="shared" si="202"/>
        <v>436605.52780145535</v>
      </c>
      <c r="CG312" s="70">
        <f t="shared" si="173"/>
        <v>1746422.1112058214</v>
      </c>
      <c r="CH312" s="18">
        <f t="shared" si="174"/>
        <v>436605.52780145535</v>
      </c>
      <c r="CI312" s="18">
        <f t="shared" si="203"/>
        <v>436605.52780145535</v>
      </c>
      <c r="CJ312" s="18">
        <f t="shared" si="203"/>
        <v>436605.52780145535</v>
      </c>
      <c r="CK312" s="18">
        <f t="shared" si="203"/>
        <v>436605.52780145535</v>
      </c>
      <c r="CL312" s="70">
        <f t="shared" si="175"/>
        <v>1746422.1112058214</v>
      </c>
      <c r="CM312" s="71"/>
      <c r="CN312" s="59">
        <f t="shared" ref="CN312:CN334" si="206">BK312/$CN$3</f>
        <v>4.4720842331650337E-4</v>
      </c>
      <c r="CO312" s="64">
        <f t="shared" ref="CO312:CO334" si="207">CN312*$CO$4</f>
        <v>9391376.8896465711</v>
      </c>
      <c r="CP312" s="2">
        <f t="shared" si="177"/>
        <v>13971376.889646571</v>
      </c>
    </row>
    <row r="313" spans="1:94" ht="16.5" hidden="1" x14ac:dyDescent="0.3">
      <c r="A313" s="2">
        <v>308</v>
      </c>
      <c r="B313" s="47" t="s">
        <v>21</v>
      </c>
      <c r="C313" s="47"/>
      <c r="D313" s="30" t="s">
        <v>1041</v>
      </c>
      <c r="E313" s="30" t="s">
        <v>1042</v>
      </c>
      <c r="F313" s="30" t="s">
        <v>1043</v>
      </c>
      <c r="G313" s="30" t="s">
        <v>117</v>
      </c>
      <c r="H313" s="30" t="s">
        <v>1058</v>
      </c>
      <c r="I313" s="30" t="s">
        <v>119</v>
      </c>
      <c r="J313" s="30" t="s">
        <v>1044</v>
      </c>
      <c r="K313" s="30" t="s">
        <v>1044</v>
      </c>
      <c r="L313" s="30" t="s">
        <v>1120</v>
      </c>
      <c r="M313" s="30">
        <v>1000474</v>
      </c>
      <c r="N313" s="30" t="s">
        <v>138</v>
      </c>
      <c r="O313" s="30" t="s">
        <v>1207</v>
      </c>
      <c r="P313" s="30" t="s">
        <v>1122</v>
      </c>
      <c r="Q313" s="30" t="s">
        <v>1123</v>
      </c>
      <c r="R313" s="30"/>
      <c r="S313" s="30" t="s">
        <v>1208</v>
      </c>
      <c r="T313" s="30"/>
      <c r="U313" s="30" t="s">
        <v>144</v>
      </c>
      <c r="V313" s="30" t="s">
        <v>437</v>
      </c>
      <c r="W313" s="30" t="s">
        <v>1125</v>
      </c>
      <c r="X313" s="30" t="s">
        <v>147</v>
      </c>
      <c r="Y313" s="125" t="s">
        <v>128</v>
      </c>
      <c r="Z313" s="125" t="s">
        <v>128</v>
      </c>
      <c r="AA313" s="30" t="s">
        <v>129</v>
      </c>
      <c r="AB313" s="127" t="s">
        <v>1129</v>
      </c>
      <c r="AC313" s="30"/>
      <c r="AD313" s="30"/>
      <c r="AE313" s="30"/>
      <c r="AF313" s="30" t="s">
        <v>131</v>
      </c>
      <c r="AG313" s="30" t="s">
        <v>774</v>
      </c>
      <c r="AH313" s="30"/>
      <c r="AI313" s="30"/>
      <c r="AJ313" s="50">
        <v>38712</v>
      </c>
      <c r="AK313" s="50">
        <v>38712</v>
      </c>
      <c r="AL313" s="51">
        <f t="shared" si="180"/>
        <v>19.860273972602741</v>
      </c>
      <c r="AM313" s="30">
        <v>8</v>
      </c>
      <c r="AN313" s="30" t="s">
        <v>1065</v>
      </c>
      <c r="AO313" s="30" t="s">
        <v>1050</v>
      </c>
      <c r="AP313" s="30" t="s">
        <v>1051</v>
      </c>
      <c r="AQ313" s="30">
        <v>6.6</v>
      </c>
      <c r="AR313" s="30">
        <v>6625</v>
      </c>
      <c r="AS313" s="30">
        <v>820</v>
      </c>
      <c r="AT313" s="30">
        <v>1900</v>
      </c>
      <c r="AU313" s="54">
        <v>229000000</v>
      </c>
      <c r="AV313" s="54"/>
      <c r="AW313" s="54"/>
      <c r="AX313" s="54"/>
      <c r="AY313" s="54">
        <v>228999000</v>
      </c>
      <c r="AZ313" s="54">
        <v>0</v>
      </c>
      <c r="BA313" s="54">
        <v>1000</v>
      </c>
      <c r="BB313" s="55">
        <f>VLOOKUP(M313,[1]Sheet1!$E$6:$F$556,2,FALSE)</f>
        <v>1000</v>
      </c>
      <c r="BC313" s="74"/>
      <c r="BD313" s="74"/>
      <c r="BE313" s="30"/>
      <c r="BF313" s="30" t="s">
        <v>1052</v>
      </c>
      <c r="BG313" s="30" t="s">
        <v>1117</v>
      </c>
      <c r="BH313" s="30" t="s">
        <v>1054</v>
      </c>
      <c r="BI313" s="30" t="str">
        <f t="shared" si="176"/>
        <v>COF(Assy_FT)</v>
      </c>
      <c r="BJ313" s="47" t="s">
        <v>137</v>
      </c>
      <c r="BK313" s="67">
        <f t="shared" si="181"/>
        <v>4580000</v>
      </c>
      <c r="BL313" s="68">
        <f t="shared" si="204"/>
        <v>436605.52780145535</v>
      </c>
      <c r="BM313" s="68">
        <f t="shared" si="205"/>
        <v>145535.17593381845</v>
      </c>
      <c r="BP313" s="69">
        <f t="shared" si="195"/>
        <v>436605.52780145535</v>
      </c>
      <c r="BQ313" s="69">
        <f t="shared" si="196"/>
        <v>436605.52780145535</v>
      </c>
      <c r="BR313" s="69">
        <f>SUM(BN313:BQ313)</f>
        <v>873211.0556029107</v>
      </c>
      <c r="BS313" s="69">
        <f t="shared" si="197"/>
        <v>436605.52780145535</v>
      </c>
      <c r="BT313" s="69">
        <f t="shared" si="198"/>
        <v>436605.52780145535</v>
      </c>
      <c r="BU313" s="100">
        <f t="shared" si="198"/>
        <v>436605.52780145535</v>
      </c>
      <c r="BV313" s="100">
        <f t="shared" si="198"/>
        <v>436605.52780145535</v>
      </c>
      <c r="BW313" s="100">
        <f t="shared" si="200"/>
        <v>1746422.1112058214</v>
      </c>
      <c r="BX313" s="101">
        <f t="shared" si="201"/>
        <v>436605.52780145535</v>
      </c>
      <c r="BY313" s="101">
        <f t="shared" si="199"/>
        <v>436605.52780145535</v>
      </c>
      <c r="BZ313" s="18">
        <f t="shared" si="199"/>
        <v>436605.52780145535</v>
      </c>
      <c r="CA313" s="18">
        <f t="shared" si="199"/>
        <v>436605.52780145535</v>
      </c>
      <c r="CB313" s="70">
        <f t="shared" si="171"/>
        <v>1746422.1112058214</v>
      </c>
      <c r="CC313" s="18">
        <f t="shared" si="172"/>
        <v>436605.52780145535</v>
      </c>
      <c r="CD313" s="18">
        <f t="shared" si="202"/>
        <v>436605.52780145535</v>
      </c>
      <c r="CE313" s="18">
        <f t="shared" si="202"/>
        <v>436605.52780145535</v>
      </c>
      <c r="CF313" s="18">
        <f t="shared" si="202"/>
        <v>436605.52780145535</v>
      </c>
      <c r="CG313" s="70">
        <f t="shared" si="173"/>
        <v>1746422.1112058214</v>
      </c>
      <c r="CH313" s="18">
        <f t="shared" si="174"/>
        <v>436605.52780145535</v>
      </c>
      <c r="CI313" s="18">
        <f t="shared" si="203"/>
        <v>436605.52780145535</v>
      </c>
      <c r="CJ313" s="18">
        <f t="shared" si="203"/>
        <v>436605.52780145535</v>
      </c>
      <c r="CK313" s="18">
        <f t="shared" si="203"/>
        <v>436605.52780145535</v>
      </c>
      <c r="CL313" s="70">
        <f t="shared" si="175"/>
        <v>1746422.1112058214</v>
      </c>
      <c r="CM313" s="71"/>
      <c r="CN313" s="59">
        <f t="shared" si="206"/>
        <v>4.4720842331650337E-4</v>
      </c>
      <c r="CO313" s="64">
        <f t="shared" si="207"/>
        <v>9391376.8896465711</v>
      </c>
      <c r="CP313" s="2">
        <f t="shared" si="177"/>
        <v>13971376.889646571</v>
      </c>
    </row>
    <row r="314" spans="1:94" ht="16.5" hidden="1" x14ac:dyDescent="0.3">
      <c r="A314" s="2">
        <v>309</v>
      </c>
      <c r="B314" s="47" t="s">
        <v>21</v>
      </c>
      <c r="C314" s="47"/>
      <c r="D314" s="30" t="s">
        <v>1041</v>
      </c>
      <c r="E314" s="30" t="s">
        <v>1042</v>
      </c>
      <c r="F314" s="30" t="s">
        <v>1043</v>
      </c>
      <c r="G314" s="30" t="s">
        <v>117</v>
      </c>
      <c r="H314" s="30" t="s">
        <v>1058</v>
      </c>
      <c r="I314" s="30" t="s">
        <v>119</v>
      </c>
      <c r="J314" s="30" t="s">
        <v>1044</v>
      </c>
      <c r="K314" s="30" t="s">
        <v>1044</v>
      </c>
      <c r="L314" s="30" t="s">
        <v>1109</v>
      </c>
      <c r="M314" s="30">
        <v>1000523</v>
      </c>
      <c r="N314" s="30" t="s">
        <v>138</v>
      </c>
      <c r="O314" s="30" t="s">
        <v>1209</v>
      </c>
      <c r="P314" s="30" t="s">
        <v>1210</v>
      </c>
      <c r="Q314" s="30" t="s">
        <v>585</v>
      </c>
      <c r="R314" s="30"/>
      <c r="S314" s="30" t="s">
        <v>1211</v>
      </c>
      <c r="T314" s="30"/>
      <c r="U314" s="30" t="s">
        <v>144</v>
      </c>
      <c r="V314" s="30" t="s">
        <v>437</v>
      </c>
      <c r="W314" s="30" t="s">
        <v>1212</v>
      </c>
      <c r="X314" s="30" t="s">
        <v>147</v>
      </c>
      <c r="Y314" s="125" t="s">
        <v>576</v>
      </c>
      <c r="Z314" s="125" t="s">
        <v>576</v>
      </c>
      <c r="AA314" s="30" t="s">
        <v>129</v>
      </c>
      <c r="AB314" s="30" t="s">
        <v>1114</v>
      </c>
      <c r="AC314" s="30" t="s">
        <v>1114</v>
      </c>
      <c r="AD314" s="30" t="s">
        <v>1115</v>
      </c>
      <c r="AE314" s="30"/>
      <c r="AF314" s="30" t="s">
        <v>131</v>
      </c>
      <c r="AG314" s="30" t="s">
        <v>774</v>
      </c>
      <c r="AH314" s="30" t="s">
        <v>1116</v>
      </c>
      <c r="AI314" s="30"/>
      <c r="AJ314" s="50">
        <v>38807</v>
      </c>
      <c r="AK314" s="50">
        <v>38807</v>
      </c>
      <c r="AL314" s="51">
        <f t="shared" si="180"/>
        <v>19.600000000000001</v>
      </c>
      <c r="AM314" s="30">
        <v>8</v>
      </c>
      <c r="AN314" s="30" t="s">
        <v>1065</v>
      </c>
      <c r="AO314" s="30" t="s">
        <v>1050</v>
      </c>
      <c r="AP314" s="30" t="s">
        <v>1051</v>
      </c>
      <c r="AQ314" s="30">
        <v>5.3</v>
      </c>
      <c r="AR314" s="30">
        <v>1470</v>
      </c>
      <c r="AS314" s="30">
        <v>960</v>
      </c>
      <c r="AT314" s="30">
        <v>1675</v>
      </c>
      <c r="AU314" s="54">
        <v>7500000</v>
      </c>
      <c r="AV314" s="54"/>
      <c r="AW314" s="54"/>
      <c r="AX314" s="54"/>
      <c r="AY314" s="54">
        <v>7499000</v>
      </c>
      <c r="AZ314" s="54">
        <v>0</v>
      </c>
      <c r="BA314" s="54">
        <v>1000</v>
      </c>
      <c r="BB314" s="55">
        <f>VLOOKUP(M314,[1]Sheet1!$E$6:$F$556,2,FALSE)</f>
        <v>1000</v>
      </c>
      <c r="BC314" s="74"/>
      <c r="BD314" s="74"/>
      <c r="BE314" s="30"/>
      <c r="BF314" s="30" t="s">
        <v>1052</v>
      </c>
      <c r="BG314" s="30" t="s">
        <v>1117</v>
      </c>
      <c r="BH314" s="30" t="s">
        <v>1054</v>
      </c>
      <c r="BI314" s="30" t="str">
        <f t="shared" si="176"/>
        <v>COF(Assy_FT)</v>
      </c>
      <c r="BJ314" s="47" t="s">
        <v>137</v>
      </c>
      <c r="BK314" s="67">
        <f t="shared" si="181"/>
        <v>150000</v>
      </c>
      <c r="BL314" s="68">
        <f t="shared" si="204"/>
        <v>14299.307679086964</v>
      </c>
      <c r="BM314" s="68">
        <f t="shared" si="205"/>
        <v>4766.4358930289882</v>
      </c>
      <c r="BP314" s="69">
        <f t="shared" si="195"/>
        <v>14299.307679086964</v>
      </c>
      <c r="BQ314" s="69">
        <f t="shared" si="196"/>
        <v>14299.307679086964</v>
      </c>
      <c r="BR314" s="69">
        <f>SUM(BN314:BQ314)</f>
        <v>28598.615358173927</v>
      </c>
      <c r="BS314" s="69">
        <f t="shared" si="197"/>
        <v>14299.307679086964</v>
      </c>
      <c r="BT314" s="69">
        <f t="shared" si="198"/>
        <v>14299.307679086964</v>
      </c>
      <c r="BU314" s="100">
        <f t="shared" si="198"/>
        <v>14299.307679086964</v>
      </c>
      <c r="BV314" s="100">
        <f t="shared" si="198"/>
        <v>14299.307679086964</v>
      </c>
      <c r="BW314" s="100">
        <f t="shared" si="200"/>
        <v>57197.230716347854</v>
      </c>
      <c r="BX314" s="101">
        <f t="shared" si="201"/>
        <v>14299.307679086964</v>
      </c>
      <c r="BY314" s="101">
        <f t="shared" si="199"/>
        <v>14299.307679086964</v>
      </c>
      <c r="BZ314" s="18">
        <f t="shared" si="199"/>
        <v>14299.307679086964</v>
      </c>
      <c r="CA314" s="18">
        <f t="shared" si="199"/>
        <v>14299.307679086964</v>
      </c>
      <c r="CB314" s="70">
        <f t="shared" si="171"/>
        <v>57197.230716347854</v>
      </c>
      <c r="CC314" s="18">
        <f t="shared" si="172"/>
        <v>14299.307679086964</v>
      </c>
      <c r="CD314" s="18">
        <f t="shared" si="202"/>
        <v>14299.307679086964</v>
      </c>
      <c r="CE314" s="18">
        <f t="shared" si="202"/>
        <v>14299.307679086964</v>
      </c>
      <c r="CF314" s="18">
        <f t="shared" si="202"/>
        <v>14299.307679086964</v>
      </c>
      <c r="CG314" s="70">
        <f t="shared" si="173"/>
        <v>57197.230716347854</v>
      </c>
      <c r="CH314" s="18">
        <f t="shared" si="174"/>
        <v>14299.307679086964</v>
      </c>
      <c r="CI314" s="18">
        <f t="shared" si="203"/>
        <v>14299.307679086964</v>
      </c>
      <c r="CJ314" s="18">
        <f t="shared" si="203"/>
        <v>14299.307679086964</v>
      </c>
      <c r="CK314" s="18">
        <f t="shared" si="203"/>
        <v>14299.307679086964</v>
      </c>
      <c r="CL314" s="70">
        <f t="shared" si="175"/>
        <v>57197.230716347854</v>
      </c>
      <c r="CM314" s="71"/>
      <c r="CN314" s="59">
        <f t="shared" si="206"/>
        <v>1.4646564082418231E-5</v>
      </c>
      <c r="CO314" s="64">
        <f t="shared" si="207"/>
        <v>307577.84573078284</v>
      </c>
      <c r="CP314" s="2">
        <f t="shared" si="177"/>
        <v>457577.84573078284</v>
      </c>
    </row>
    <row r="315" spans="1:94" ht="16.5" hidden="1" x14ac:dyDescent="0.3">
      <c r="A315" s="2">
        <v>310</v>
      </c>
      <c r="B315" s="47" t="s">
        <v>21</v>
      </c>
      <c r="C315" s="47"/>
      <c r="D315" s="30" t="s">
        <v>1041</v>
      </c>
      <c r="E315" s="30" t="s">
        <v>1042</v>
      </c>
      <c r="F315" s="30" t="s">
        <v>1043</v>
      </c>
      <c r="G315" s="30" t="s">
        <v>117</v>
      </c>
      <c r="H315" s="30" t="s">
        <v>1058</v>
      </c>
      <c r="I315" s="30" t="s">
        <v>119</v>
      </c>
      <c r="J315" s="30" t="s">
        <v>1044</v>
      </c>
      <c r="K315" s="30" t="s">
        <v>1044</v>
      </c>
      <c r="L315" s="30" t="s">
        <v>1109</v>
      </c>
      <c r="M315" s="30">
        <v>1000553</v>
      </c>
      <c r="N315" s="30" t="s">
        <v>138</v>
      </c>
      <c r="O315" s="30" t="s">
        <v>1213</v>
      </c>
      <c r="P315" s="30" t="s">
        <v>1210</v>
      </c>
      <c r="Q315" s="30" t="s">
        <v>585</v>
      </c>
      <c r="R315" s="30"/>
      <c r="S315" s="30" t="s">
        <v>1214</v>
      </c>
      <c r="T315" s="30"/>
      <c r="U315" s="30" t="s">
        <v>144</v>
      </c>
      <c r="V315" s="30" t="s">
        <v>437</v>
      </c>
      <c r="W315" s="30" t="s">
        <v>1212</v>
      </c>
      <c r="X315" s="30" t="s">
        <v>147</v>
      </c>
      <c r="Y315" s="125" t="s">
        <v>576</v>
      </c>
      <c r="Z315" s="125" t="s">
        <v>576</v>
      </c>
      <c r="AA315" s="30" t="s">
        <v>129</v>
      </c>
      <c r="AB315" s="30" t="s">
        <v>1114</v>
      </c>
      <c r="AC315" s="30" t="s">
        <v>1114</v>
      </c>
      <c r="AD315" s="30" t="s">
        <v>1115</v>
      </c>
      <c r="AE315" s="30"/>
      <c r="AF315" s="30" t="s">
        <v>131</v>
      </c>
      <c r="AG315" s="30" t="s">
        <v>774</v>
      </c>
      <c r="AH315" s="30" t="s">
        <v>1116</v>
      </c>
      <c r="AI315" s="30"/>
      <c r="AJ315" s="50">
        <v>38837</v>
      </c>
      <c r="AK315" s="50">
        <v>38837</v>
      </c>
      <c r="AL315" s="51">
        <f t="shared" si="180"/>
        <v>19.517808219178082</v>
      </c>
      <c r="AM315" s="30">
        <v>8</v>
      </c>
      <c r="AN315" s="30" t="s">
        <v>1065</v>
      </c>
      <c r="AO315" s="30" t="s">
        <v>1050</v>
      </c>
      <c r="AP315" s="30" t="s">
        <v>1051</v>
      </c>
      <c r="AQ315" s="30">
        <v>5.3</v>
      </c>
      <c r="AR315" s="30">
        <v>1470</v>
      </c>
      <c r="AS315" s="30">
        <v>960</v>
      </c>
      <c r="AT315" s="30">
        <v>1675</v>
      </c>
      <c r="AU315" s="54">
        <v>7500000</v>
      </c>
      <c r="AV315" s="54"/>
      <c r="AW315" s="54"/>
      <c r="AX315" s="54"/>
      <c r="AY315" s="54">
        <v>7499000</v>
      </c>
      <c r="AZ315" s="54">
        <v>0</v>
      </c>
      <c r="BA315" s="54">
        <v>1000</v>
      </c>
      <c r="BB315" s="55">
        <f>VLOOKUP(M315,[1]Sheet1!$E$6:$F$556,2,FALSE)</f>
        <v>1000</v>
      </c>
      <c r="BC315" s="74"/>
      <c r="BD315" s="74"/>
      <c r="BE315" s="30"/>
      <c r="BF315" s="30" t="s">
        <v>1052</v>
      </c>
      <c r="BG315" s="30" t="s">
        <v>1117</v>
      </c>
      <c r="BH315" s="30" t="s">
        <v>1054</v>
      </c>
      <c r="BI315" s="30" t="str">
        <f t="shared" si="176"/>
        <v>COF(Assy_FT)</v>
      </c>
      <c r="BJ315" s="47" t="s">
        <v>137</v>
      </c>
      <c r="BK315" s="67">
        <f t="shared" si="181"/>
        <v>150000</v>
      </c>
      <c r="BL315" s="68">
        <f t="shared" si="204"/>
        <v>14299.307679086964</v>
      </c>
      <c r="BM315" s="68">
        <f t="shared" si="205"/>
        <v>4766.4358930289882</v>
      </c>
      <c r="BP315" s="69">
        <f t="shared" si="195"/>
        <v>14299.307679086964</v>
      </c>
      <c r="BQ315" s="69">
        <f t="shared" si="196"/>
        <v>14299.307679086964</v>
      </c>
      <c r="BR315" s="69">
        <f>SUM(BN315:BQ315)</f>
        <v>28598.615358173927</v>
      </c>
      <c r="BS315" s="69">
        <f t="shared" si="197"/>
        <v>14299.307679086964</v>
      </c>
      <c r="BT315" s="69">
        <f t="shared" ref="BT315:BV330" si="208">BS315</f>
        <v>14299.307679086964</v>
      </c>
      <c r="BU315" s="100">
        <f t="shared" si="208"/>
        <v>14299.307679086964</v>
      </c>
      <c r="BV315" s="100">
        <f t="shared" si="208"/>
        <v>14299.307679086964</v>
      </c>
      <c r="BW315" s="100">
        <f t="shared" si="200"/>
        <v>57197.230716347854</v>
      </c>
      <c r="BX315" s="101">
        <f t="shared" si="201"/>
        <v>14299.307679086964</v>
      </c>
      <c r="BY315" s="101">
        <f t="shared" si="199"/>
        <v>14299.307679086964</v>
      </c>
      <c r="BZ315" s="18">
        <f t="shared" si="199"/>
        <v>14299.307679086964</v>
      </c>
      <c r="CA315" s="18">
        <f t="shared" si="199"/>
        <v>14299.307679086964</v>
      </c>
      <c r="CB315" s="70">
        <f t="shared" si="171"/>
        <v>57197.230716347854</v>
      </c>
      <c r="CC315" s="18">
        <f t="shared" si="172"/>
        <v>14299.307679086964</v>
      </c>
      <c r="CD315" s="18">
        <f t="shared" si="202"/>
        <v>14299.307679086964</v>
      </c>
      <c r="CE315" s="18">
        <f t="shared" si="202"/>
        <v>14299.307679086964</v>
      </c>
      <c r="CF315" s="18">
        <f t="shared" si="202"/>
        <v>14299.307679086964</v>
      </c>
      <c r="CG315" s="70">
        <f t="shared" si="173"/>
        <v>57197.230716347854</v>
      </c>
      <c r="CH315" s="18">
        <f t="shared" si="174"/>
        <v>14299.307679086964</v>
      </c>
      <c r="CI315" s="18">
        <f t="shared" si="203"/>
        <v>14299.307679086964</v>
      </c>
      <c r="CJ315" s="18">
        <f t="shared" si="203"/>
        <v>14299.307679086964</v>
      </c>
      <c r="CK315" s="18">
        <f t="shared" si="203"/>
        <v>14299.307679086964</v>
      </c>
      <c r="CL315" s="70">
        <f t="shared" si="175"/>
        <v>57197.230716347854</v>
      </c>
      <c r="CM315" s="71"/>
      <c r="CN315" s="59">
        <f t="shared" si="206"/>
        <v>1.4646564082418231E-5</v>
      </c>
      <c r="CO315" s="64">
        <f t="shared" si="207"/>
        <v>307577.84573078284</v>
      </c>
      <c r="CP315" s="2">
        <f t="shared" si="177"/>
        <v>457577.84573078284</v>
      </c>
    </row>
    <row r="316" spans="1:94" ht="16.5" x14ac:dyDescent="0.3">
      <c r="A316" s="2">
        <v>311</v>
      </c>
      <c r="B316" s="47" t="s">
        <v>21</v>
      </c>
      <c r="C316" s="47"/>
      <c r="D316" s="30" t="s">
        <v>1041</v>
      </c>
      <c r="E316" s="30" t="s">
        <v>1042</v>
      </c>
      <c r="F316" s="30" t="s">
        <v>1043</v>
      </c>
      <c r="G316" s="30" t="s">
        <v>117</v>
      </c>
      <c r="H316" s="30" t="s">
        <v>385</v>
      </c>
      <c r="I316" s="30" t="s">
        <v>119</v>
      </c>
      <c r="J316" s="30" t="s">
        <v>1044</v>
      </c>
      <c r="K316" s="30" t="s">
        <v>1044</v>
      </c>
      <c r="L316" s="30" t="s">
        <v>1089</v>
      </c>
      <c r="M316" s="30">
        <v>1000556</v>
      </c>
      <c r="N316" s="30" t="s">
        <v>138</v>
      </c>
      <c r="O316" s="30" t="s">
        <v>1215</v>
      </c>
      <c r="P316" s="30" t="s">
        <v>1216</v>
      </c>
      <c r="Q316" s="30" t="s">
        <v>1092</v>
      </c>
      <c r="R316" s="30"/>
      <c r="S316" s="30" t="s">
        <v>1217</v>
      </c>
      <c r="T316" s="30" t="s">
        <v>1094</v>
      </c>
      <c r="U316" s="30" t="s">
        <v>144</v>
      </c>
      <c r="V316" s="30" t="s">
        <v>437</v>
      </c>
      <c r="W316" s="30" t="s">
        <v>1095</v>
      </c>
      <c r="X316" s="30" t="s">
        <v>127</v>
      </c>
      <c r="Y316" s="30" t="s">
        <v>576</v>
      </c>
      <c r="Z316" s="30" t="s">
        <v>576</v>
      </c>
      <c r="AA316" s="30" t="s">
        <v>129</v>
      </c>
      <c r="AB316" s="30" t="s">
        <v>1096</v>
      </c>
      <c r="AC316" s="30" t="s">
        <v>1096</v>
      </c>
      <c r="AD316" s="30" t="s">
        <v>566</v>
      </c>
      <c r="AE316" s="30"/>
      <c r="AF316" s="30" t="s">
        <v>131</v>
      </c>
      <c r="AG316" s="30" t="s">
        <v>1097</v>
      </c>
      <c r="AH316" s="30"/>
      <c r="AI316" s="30"/>
      <c r="AJ316" s="50">
        <v>38791</v>
      </c>
      <c r="AK316" s="50">
        <v>38837</v>
      </c>
      <c r="AL316" s="51">
        <f t="shared" si="180"/>
        <v>19.517808219178082</v>
      </c>
      <c r="AM316" s="30">
        <v>8</v>
      </c>
      <c r="AN316" s="30" t="s">
        <v>1057</v>
      </c>
      <c r="AO316" s="30" t="s">
        <v>1050</v>
      </c>
      <c r="AP316" s="30" t="s">
        <v>1051</v>
      </c>
      <c r="AQ316" s="30">
        <v>2.4</v>
      </c>
      <c r="AR316" s="30">
        <v>700</v>
      </c>
      <c r="AS316" s="30">
        <v>600</v>
      </c>
      <c r="AT316" s="30">
        <v>1200</v>
      </c>
      <c r="AU316" s="54">
        <v>19000000</v>
      </c>
      <c r="AV316" s="54"/>
      <c r="AW316" s="54"/>
      <c r="AX316" s="54"/>
      <c r="AY316" s="54">
        <v>18999000</v>
      </c>
      <c r="AZ316" s="54">
        <v>0</v>
      </c>
      <c r="BA316" s="54">
        <v>1000</v>
      </c>
      <c r="BB316" s="55">
        <f>VLOOKUP(M316,[1]Sheet1!$E$6:$F$556,2,FALSE)</f>
        <v>1000</v>
      </c>
      <c r="BC316" s="74"/>
      <c r="BD316" s="74"/>
      <c r="BE316" s="30"/>
      <c r="BF316" s="30" t="s">
        <v>1052</v>
      </c>
      <c r="BG316" s="30" t="s">
        <v>1053</v>
      </c>
      <c r="BH316" s="30" t="s">
        <v>1054</v>
      </c>
      <c r="BI316" s="30" t="str">
        <f t="shared" si="176"/>
        <v>COF(Assy_FT)</v>
      </c>
      <c r="BJ316" s="47" t="s">
        <v>137</v>
      </c>
      <c r="BK316" s="56">
        <f t="shared" si="181"/>
        <v>380000</v>
      </c>
      <c r="BL316" s="57">
        <f t="shared" si="204"/>
        <v>36224.912787020308</v>
      </c>
      <c r="BM316" s="57">
        <f t="shared" si="205"/>
        <v>12074.970929006769</v>
      </c>
      <c r="BU316" s="58">
        <f>BM316*3</f>
        <v>36224.912787020308</v>
      </c>
      <c r="BV316" s="58">
        <f t="shared" si="208"/>
        <v>36224.912787020308</v>
      </c>
      <c r="BW316" s="58">
        <f t="shared" si="200"/>
        <v>72449.825574040617</v>
      </c>
      <c r="BX316" s="58">
        <f t="shared" si="201"/>
        <v>36224.912787020308</v>
      </c>
      <c r="BY316" s="58">
        <f t="shared" si="199"/>
        <v>36224.912787020308</v>
      </c>
      <c r="BZ316" s="58">
        <f>BM316*3</f>
        <v>36224.912787020308</v>
      </c>
      <c r="CA316" s="58">
        <f t="shared" si="199"/>
        <v>36224.912787020308</v>
      </c>
      <c r="CB316" s="58">
        <f t="shared" si="171"/>
        <v>144899.65114808123</v>
      </c>
      <c r="CC316" s="58">
        <f t="shared" si="172"/>
        <v>36224.912787020308</v>
      </c>
      <c r="CD316" s="58">
        <f t="shared" si="202"/>
        <v>36224.912787020308</v>
      </c>
      <c r="CE316" s="58">
        <f t="shared" si="202"/>
        <v>36224.912787020308</v>
      </c>
      <c r="CF316" s="58">
        <f t="shared" si="202"/>
        <v>36224.912787020308</v>
      </c>
      <c r="CG316" s="58">
        <f t="shared" si="173"/>
        <v>144899.65114808123</v>
      </c>
      <c r="CH316" s="58">
        <f t="shared" si="174"/>
        <v>36224.912787020308</v>
      </c>
      <c r="CI316" s="58">
        <f t="shared" si="203"/>
        <v>36224.912787020308</v>
      </c>
      <c r="CJ316" s="58">
        <f t="shared" si="203"/>
        <v>36224.912787020308</v>
      </c>
      <c r="CK316" s="58">
        <f t="shared" si="203"/>
        <v>36224.912787020308</v>
      </c>
      <c r="CL316" s="58">
        <f>SUM(CH316:CK316)</f>
        <v>144899.65114808123</v>
      </c>
      <c r="CN316" s="59">
        <f t="shared" si="206"/>
        <v>3.7104629008792856E-5</v>
      </c>
      <c r="CO316" s="64">
        <f t="shared" si="207"/>
        <v>779197.20918464998</v>
      </c>
      <c r="CP316" s="2">
        <f t="shared" si="177"/>
        <v>1159197.2091846499</v>
      </c>
    </row>
    <row r="317" spans="1:94" ht="16.5" hidden="1" x14ac:dyDescent="0.3">
      <c r="A317" s="2">
        <v>312</v>
      </c>
      <c r="B317" s="47" t="s">
        <v>21</v>
      </c>
      <c r="C317" s="47"/>
      <c r="D317" s="30" t="s">
        <v>1041</v>
      </c>
      <c r="E317" s="30" t="s">
        <v>1042</v>
      </c>
      <c r="F317" s="30" t="s">
        <v>1043</v>
      </c>
      <c r="G317" s="30" t="s">
        <v>117</v>
      </c>
      <c r="H317" s="30" t="s">
        <v>1058</v>
      </c>
      <c r="I317" s="30" t="s">
        <v>119</v>
      </c>
      <c r="J317" s="30" t="s">
        <v>1044</v>
      </c>
      <c r="K317" s="30" t="s">
        <v>1044</v>
      </c>
      <c r="L317" s="30" t="s">
        <v>766</v>
      </c>
      <c r="M317" s="30">
        <v>1000558</v>
      </c>
      <c r="N317" s="30" t="s">
        <v>138</v>
      </c>
      <c r="O317" s="30" t="s">
        <v>1218</v>
      </c>
      <c r="P317" s="30" t="s">
        <v>1099</v>
      </c>
      <c r="Q317" s="30" t="s">
        <v>1100</v>
      </c>
      <c r="R317" s="30"/>
      <c r="S317" s="30">
        <v>138</v>
      </c>
      <c r="T317" s="30"/>
      <c r="U317" s="30" t="s">
        <v>144</v>
      </c>
      <c r="V317" s="30" t="s">
        <v>415</v>
      </c>
      <c r="W317" s="30" t="s">
        <v>1102</v>
      </c>
      <c r="X317" s="30" t="s">
        <v>127</v>
      </c>
      <c r="Y317" s="30" t="s">
        <v>576</v>
      </c>
      <c r="Z317" s="30" t="s">
        <v>576</v>
      </c>
      <c r="AA317" s="48" t="s">
        <v>148</v>
      </c>
      <c r="AB317" s="30" t="s">
        <v>773</v>
      </c>
      <c r="AC317" s="30"/>
      <c r="AD317" s="30"/>
      <c r="AE317" s="30"/>
      <c r="AF317" s="48" t="s">
        <v>604</v>
      </c>
      <c r="AG317" s="30" t="s">
        <v>440</v>
      </c>
      <c r="AH317" s="30"/>
      <c r="AI317" s="30"/>
      <c r="AJ317" s="50">
        <v>38803</v>
      </c>
      <c r="AK317" s="50">
        <v>38837</v>
      </c>
      <c r="AL317" s="51">
        <f t="shared" si="180"/>
        <v>19.517808219178082</v>
      </c>
      <c r="AM317" s="30">
        <v>8</v>
      </c>
      <c r="AN317" s="30" t="s">
        <v>1057</v>
      </c>
      <c r="AO317" s="30" t="s">
        <v>1050</v>
      </c>
      <c r="AP317" s="30" t="s">
        <v>1051</v>
      </c>
      <c r="AQ317" s="30">
        <v>1</v>
      </c>
      <c r="AR317" s="30">
        <v>430</v>
      </c>
      <c r="AS317" s="30">
        <v>500</v>
      </c>
      <c r="AT317" s="30">
        <v>1350</v>
      </c>
      <c r="AU317" s="54">
        <v>28200000</v>
      </c>
      <c r="AV317" s="54"/>
      <c r="AW317" s="54"/>
      <c r="AX317" s="54"/>
      <c r="AY317" s="54">
        <v>28199000</v>
      </c>
      <c r="AZ317" s="54" t="s">
        <v>1219</v>
      </c>
      <c r="BA317" s="54">
        <v>1000</v>
      </c>
      <c r="BB317" s="55">
        <f>VLOOKUP(M317,[1]Sheet1!$E$6:$F$556,2,FALSE)</f>
        <v>1000</v>
      </c>
      <c r="BC317" s="74"/>
      <c r="BD317" s="74"/>
      <c r="BE317" s="30"/>
      <c r="BF317" s="30" t="s">
        <v>1052</v>
      </c>
      <c r="BG317" s="30" t="s">
        <v>1053</v>
      </c>
      <c r="BH317" s="30" t="s">
        <v>1054</v>
      </c>
      <c r="BI317" s="30" t="str">
        <f t="shared" si="176"/>
        <v>COF(Assy_FT)</v>
      </c>
      <c r="BJ317" s="47" t="s">
        <v>137</v>
      </c>
      <c r="BK317" s="56">
        <f t="shared" si="181"/>
        <v>564000</v>
      </c>
      <c r="BL317" s="57">
        <f t="shared" si="204"/>
        <v>53765.39687336699</v>
      </c>
      <c r="BM317" s="57">
        <f t="shared" si="205"/>
        <v>17921.798957788997</v>
      </c>
      <c r="BU317" s="58">
        <f>BM317*3</f>
        <v>53765.39687336699</v>
      </c>
      <c r="BV317" s="58">
        <f t="shared" si="208"/>
        <v>53765.39687336699</v>
      </c>
      <c r="BW317" s="58">
        <f t="shared" si="200"/>
        <v>107530.79374673398</v>
      </c>
      <c r="BX317" s="58">
        <f t="shared" si="201"/>
        <v>53765.39687336699</v>
      </c>
      <c r="BY317" s="58">
        <f t="shared" si="199"/>
        <v>53765.39687336699</v>
      </c>
      <c r="BZ317" s="58">
        <f>BM317*3</f>
        <v>53765.39687336699</v>
      </c>
      <c r="CA317" s="58">
        <f t="shared" si="199"/>
        <v>53765.39687336699</v>
      </c>
      <c r="CB317" s="58">
        <f t="shared" si="171"/>
        <v>215061.58749346796</v>
      </c>
      <c r="CC317" s="58">
        <f t="shared" si="172"/>
        <v>53765.39687336699</v>
      </c>
      <c r="CD317" s="58">
        <f t="shared" si="202"/>
        <v>53765.39687336699</v>
      </c>
      <c r="CE317" s="58">
        <f t="shared" si="202"/>
        <v>53765.39687336699</v>
      </c>
      <c r="CF317" s="58">
        <f t="shared" si="202"/>
        <v>53765.39687336699</v>
      </c>
      <c r="CG317" s="58">
        <f t="shared" si="173"/>
        <v>215061.58749346796</v>
      </c>
      <c r="CH317" s="58">
        <f t="shared" si="174"/>
        <v>53765.39687336699</v>
      </c>
      <c r="CI317" s="58">
        <f t="shared" si="203"/>
        <v>53765.39687336699</v>
      </c>
      <c r="CJ317" s="58">
        <f t="shared" si="203"/>
        <v>53765.39687336699</v>
      </c>
      <c r="CK317" s="58">
        <f t="shared" si="203"/>
        <v>53765.39687336699</v>
      </c>
      <c r="CL317" s="58">
        <f>SUM(CH317:CK317)</f>
        <v>215061.58749346796</v>
      </c>
      <c r="CN317" s="59">
        <f t="shared" si="206"/>
        <v>5.5071080949892556E-5</v>
      </c>
      <c r="CO317" s="64">
        <f t="shared" si="207"/>
        <v>1156492.6999477437</v>
      </c>
      <c r="CP317" s="2">
        <f t="shared" si="177"/>
        <v>1720492.6999477437</v>
      </c>
    </row>
    <row r="318" spans="1:94" ht="16.5" hidden="1" x14ac:dyDescent="0.3">
      <c r="A318" s="2">
        <v>313</v>
      </c>
      <c r="B318" s="47" t="s">
        <v>21</v>
      </c>
      <c r="C318" s="47"/>
      <c r="D318" s="30" t="s">
        <v>1041</v>
      </c>
      <c r="E318" s="30" t="s">
        <v>1042</v>
      </c>
      <c r="F318" s="30" t="s">
        <v>1043</v>
      </c>
      <c r="G318" s="30" t="s">
        <v>117</v>
      </c>
      <c r="H318" s="30" t="s">
        <v>1058</v>
      </c>
      <c r="I318" s="30" t="s">
        <v>119</v>
      </c>
      <c r="J318" s="30" t="s">
        <v>1044</v>
      </c>
      <c r="K318" s="30" t="s">
        <v>1044</v>
      </c>
      <c r="L318" s="30" t="s">
        <v>766</v>
      </c>
      <c r="M318" s="30">
        <v>1000559</v>
      </c>
      <c r="N318" s="30" t="s">
        <v>138</v>
      </c>
      <c r="O318" s="30" t="s">
        <v>1220</v>
      </c>
      <c r="P318" s="30" t="s">
        <v>1099</v>
      </c>
      <c r="Q318" s="30" t="s">
        <v>1100</v>
      </c>
      <c r="R318" s="30"/>
      <c r="S318" s="30">
        <v>137</v>
      </c>
      <c r="T318" s="30"/>
      <c r="U318" s="30" t="s">
        <v>144</v>
      </c>
      <c r="V318" s="30" t="s">
        <v>415</v>
      </c>
      <c r="W318" s="30" t="s">
        <v>1102</v>
      </c>
      <c r="X318" s="30" t="s">
        <v>127</v>
      </c>
      <c r="Y318" s="30" t="s">
        <v>128</v>
      </c>
      <c r="Z318" s="30" t="s">
        <v>128</v>
      </c>
      <c r="AA318" s="48" t="s">
        <v>148</v>
      </c>
      <c r="AB318" s="30" t="s">
        <v>773</v>
      </c>
      <c r="AC318" s="30"/>
      <c r="AD318" s="30"/>
      <c r="AE318" s="30"/>
      <c r="AF318" s="48" t="s">
        <v>604</v>
      </c>
      <c r="AG318" s="30" t="s">
        <v>440</v>
      </c>
      <c r="AH318" s="30"/>
      <c r="AI318" s="30"/>
      <c r="AJ318" s="50">
        <v>38803</v>
      </c>
      <c r="AK318" s="50">
        <v>38837</v>
      </c>
      <c r="AL318" s="51">
        <f t="shared" si="180"/>
        <v>19.517808219178082</v>
      </c>
      <c r="AM318" s="30">
        <v>8</v>
      </c>
      <c r="AN318" s="30" t="s">
        <v>1057</v>
      </c>
      <c r="AO318" s="30" t="s">
        <v>1050</v>
      </c>
      <c r="AP318" s="30" t="s">
        <v>1051</v>
      </c>
      <c r="AQ318" s="30">
        <v>1</v>
      </c>
      <c r="AR318" s="30">
        <v>430</v>
      </c>
      <c r="AS318" s="30">
        <v>500</v>
      </c>
      <c r="AT318" s="30">
        <v>1350</v>
      </c>
      <c r="AU318" s="54">
        <v>28200000</v>
      </c>
      <c r="AV318" s="54"/>
      <c r="AW318" s="54"/>
      <c r="AX318" s="54"/>
      <c r="AY318" s="54">
        <v>28199000</v>
      </c>
      <c r="AZ318" s="54" t="s">
        <v>1219</v>
      </c>
      <c r="BA318" s="54">
        <v>1000</v>
      </c>
      <c r="BB318" s="55">
        <f>VLOOKUP(M318,[1]Sheet1!$E$6:$F$556,2,FALSE)</f>
        <v>1000</v>
      </c>
      <c r="BC318" s="74"/>
      <c r="BD318" s="74"/>
      <c r="BE318" s="30"/>
      <c r="BF318" s="30" t="s">
        <v>1052</v>
      </c>
      <c r="BG318" s="30" t="s">
        <v>1053</v>
      </c>
      <c r="BH318" s="30" t="s">
        <v>1054</v>
      </c>
      <c r="BI318" s="30" t="str">
        <f t="shared" si="176"/>
        <v>COF(Assy_FT)</v>
      </c>
      <c r="BJ318" s="47" t="s">
        <v>137</v>
      </c>
      <c r="BK318" s="56">
        <f t="shared" si="181"/>
        <v>564000</v>
      </c>
      <c r="BL318" s="57">
        <f t="shared" si="204"/>
        <v>53765.39687336699</v>
      </c>
      <c r="BM318" s="57">
        <f t="shared" si="205"/>
        <v>17921.798957788997</v>
      </c>
      <c r="BU318" s="58">
        <f>BM318*3</f>
        <v>53765.39687336699</v>
      </c>
      <c r="BV318" s="58">
        <f t="shared" si="208"/>
        <v>53765.39687336699</v>
      </c>
      <c r="BW318" s="58">
        <f t="shared" si="200"/>
        <v>107530.79374673398</v>
      </c>
      <c r="BX318" s="58">
        <f t="shared" si="201"/>
        <v>53765.39687336699</v>
      </c>
      <c r="BY318" s="58">
        <f t="shared" si="199"/>
        <v>53765.39687336699</v>
      </c>
      <c r="BZ318" s="58">
        <f>BM318*3</f>
        <v>53765.39687336699</v>
      </c>
      <c r="CA318" s="58">
        <f t="shared" si="199"/>
        <v>53765.39687336699</v>
      </c>
      <c r="CB318" s="58">
        <f t="shared" si="171"/>
        <v>215061.58749346796</v>
      </c>
      <c r="CC318" s="58">
        <f t="shared" si="172"/>
        <v>53765.39687336699</v>
      </c>
      <c r="CD318" s="58">
        <f t="shared" si="202"/>
        <v>53765.39687336699</v>
      </c>
      <c r="CE318" s="58">
        <f t="shared" si="202"/>
        <v>53765.39687336699</v>
      </c>
      <c r="CF318" s="58">
        <f t="shared" si="202"/>
        <v>53765.39687336699</v>
      </c>
      <c r="CG318" s="58">
        <f t="shared" si="173"/>
        <v>215061.58749346796</v>
      </c>
      <c r="CH318" s="58">
        <f t="shared" si="174"/>
        <v>53765.39687336699</v>
      </c>
      <c r="CI318" s="58">
        <f t="shared" si="203"/>
        <v>53765.39687336699</v>
      </c>
      <c r="CJ318" s="58">
        <f t="shared" si="203"/>
        <v>53765.39687336699</v>
      </c>
      <c r="CK318" s="58">
        <f t="shared" si="203"/>
        <v>53765.39687336699</v>
      </c>
      <c r="CL318" s="58">
        <f>SUM(CH318:CK318)</f>
        <v>215061.58749346796</v>
      </c>
      <c r="CN318" s="59">
        <f t="shared" si="206"/>
        <v>5.5071080949892556E-5</v>
      </c>
      <c r="CO318" s="64">
        <f t="shared" si="207"/>
        <v>1156492.6999477437</v>
      </c>
      <c r="CP318" s="2">
        <f t="shared" si="177"/>
        <v>1720492.6999477437</v>
      </c>
    </row>
    <row r="319" spans="1:94" s="113" customFormat="1" ht="16.5" hidden="1" x14ac:dyDescent="0.3">
      <c r="A319" s="2">
        <v>314</v>
      </c>
      <c r="B319" s="47" t="s">
        <v>21</v>
      </c>
      <c r="C319" s="47"/>
      <c r="D319" s="30" t="s">
        <v>1041</v>
      </c>
      <c r="E319" s="30" t="s">
        <v>1042</v>
      </c>
      <c r="F319" s="30" t="s">
        <v>1043</v>
      </c>
      <c r="G319" s="30" t="s">
        <v>117</v>
      </c>
      <c r="H319" s="30" t="s">
        <v>385</v>
      </c>
      <c r="I319" s="30" t="s">
        <v>119</v>
      </c>
      <c r="J319" s="30" t="s">
        <v>1044</v>
      </c>
      <c r="K319" s="30" t="s">
        <v>1044</v>
      </c>
      <c r="L319" s="30" t="s">
        <v>766</v>
      </c>
      <c r="M319" s="30">
        <v>1000570</v>
      </c>
      <c r="N319" s="30" t="s">
        <v>138</v>
      </c>
      <c r="O319" s="30" t="s">
        <v>1221</v>
      </c>
      <c r="P319" s="30" t="s">
        <v>768</v>
      </c>
      <c r="Q319" s="30" t="s">
        <v>769</v>
      </c>
      <c r="R319" s="30"/>
      <c r="S319" s="30" t="s">
        <v>1222</v>
      </c>
      <c r="T319" s="30"/>
      <c r="U319" s="30" t="s">
        <v>144</v>
      </c>
      <c r="V319" s="30" t="s">
        <v>415</v>
      </c>
      <c r="W319" s="30" t="s">
        <v>1048</v>
      </c>
      <c r="X319" s="30" t="s">
        <v>147</v>
      </c>
      <c r="Y319" s="125" t="s">
        <v>576</v>
      </c>
      <c r="Z319" s="125" t="s">
        <v>576</v>
      </c>
      <c r="AA319" s="48" t="s">
        <v>148</v>
      </c>
      <c r="AB319" s="30" t="s">
        <v>773</v>
      </c>
      <c r="AC319" s="30" t="s">
        <v>773</v>
      </c>
      <c r="AD319" s="30"/>
      <c r="AE319" s="30"/>
      <c r="AF319" s="48" t="s">
        <v>604</v>
      </c>
      <c r="AG319" s="30" t="s">
        <v>774</v>
      </c>
      <c r="AH319" s="48" t="s">
        <v>775</v>
      </c>
      <c r="AI319" s="30"/>
      <c r="AJ319" s="50">
        <v>38803</v>
      </c>
      <c r="AK319" s="50">
        <v>38837</v>
      </c>
      <c r="AL319" s="51">
        <f t="shared" si="180"/>
        <v>19.517808219178082</v>
      </c>
      <c r="AM319" s="30">
        <v>8</v>
      </c>
      <c r="AN319" s="30" t="s">
        <v>1057</v>
      </c>
      <c r="AO319" s="30" t="s">
        <v>1050</v>
      </c>
      <c r="AP319" s="30" t="s">
        <v>1051</v>
      </c>
      <c r="AQ319" s="30">
        <v>6.24</v>
      </c>
      <c r="AR319" s="30">
        <v>1150</v>
      </c>
      <c r="AS319" s="30">
        <v>1200</v>
      </c>
      <c r="AT319" s="30">
        <v>2100</v>
      </c>
      <c r="AU319" s="54">
        <v>193841831</v>
      </c>
      <c r="AV319" s="54"/>
      <c r="AW319" s="54"/>
      <c r="AX319" s="54"/>
      <c r="AY319" s="54">
        <v>193840831</v>
      </c>
      <c r="AZ319" s="54">
        <v>1662496</v>
      </c>
      <c r="BA319" s="54">
        <v>1000</v>
      </c>
      <c r="BB319" s="55">
        <f>VLOOKUP(M319,[1]Sheet1!$E$6:$F$556,2,FALSE)</f>
        <v>1000</v>
      </c>
      <c r="BC319" s="74"/>
      <c r="BD319" s="74"/>
      <c r="BE319" s="30"/>
      <c r="BF319" s="30" t="s">
        <v>1052</v>
      </c>
      <c r="BG319" s="30" t="s">
        <v>1053</v>
      </c>
      <c r="BH319" s="30" t="s">
        <v>1054</v>
      </c>
      <c r="BI319" s="30" t="str">
        <f t="shared" si="176"/>
        <v>COF(Assy_FT)</v>
      </c>
      <c r="BJ319" s="47" t="s">
        <v>137</v>
      </c>
      <c r="BK319" s="67">
        <f t="shared" si="181"/>
        <v>3876836.62</v>
      </c>
      <c r="BL319" s="68">
        <f t="shared" si="204"/>
        <v>369573.86433954374</v>
      </c>
      <c r="BM319" s="68">
        <f t="shared" si="205"/>
        <v>123191.28811318125</v>
      </c>
      <c r="BN319" s="2"/>
      <c r="BO319" s="2"/>
      <c r="BP319" s="69">
        <f t="shared" si="195"/>
        <v>369573.86433954374</v>
      </c>
      <c r="BQ319" s="69">
        <f t="shared" si="196"/>
        <v>369573.86433954374</v>
      </c>
      <c r="BR319" s="69">
        <f t="shared" ref="BR319:BR324" si="209">SUM(BN319:BQ319)</f>
        <v>739147.72867908748</v>
      </c>
      <c r="BS319" s="69">
        <f t="shared" si="197"/>
        <v>369573.86433954374</v>
      </c>
      <c r="BT319" s="69">
        <f t="shared" si="208"/>
        <v>369573.86433954374</v>
      </c>
      <c r="BU319" s="100">
        <f t="shared" si="208"/>
        <v>369573.86433954374</v>
      </c>
      <c r="BV319" s="100">
        <f t="shared" si="208"/>
        <v>369573.86433954374</v>
      </c>
      <c r="BW319" s="100">
        <f t="shared" si="200"/>
        <v>1478295.457358175</v>
      </c>
      <c r="BX319" s="101">
        <f t="shared" si="201"/>
        <v>369573.86433954374</v>
      </c>
      <c r="BY319" s="101">
        <f t="shared" si="199"/>
        <v>369573.86433954374</v>
      </c>
      <c r="BZ319" s="18">
        <f t="shared" si="199"/>
        <v>369573.86433954374</v>
      </c>
      <c r="CA319" s="18">
        <f t="shared" si="199"/>
        <v>369573.86433954374</v>
      </c>
      <c r="CB319" s="70">
        <f t="shared" si="171"/>
        <v>1478295.457358175</v>
      </c>
      <c r="CC319" s="18">
        <f t="shared" si="172"/>
        <v>369573.86433954374</v>
      </c>
      <c r="CD319" s="18">
        <f t="shared" si="202"/>
        <v>369573.86433954374</v>
      </c>
      <c r="CE319" s="18">
        <f t="shared" si="202"/>
        <v>369573.86433954374</v>
      </c>
      <c r="CF319" s="18">
        <f t="shared" si="202"/>
        <v>369573.86433954374</v>
      </c>
      <c r="CG319" s="70">
        <f t="shared" si="173"/>
        <v>1478295.457358175</v>
      </c>
      <c r="CH319" s="18">
        <f t="shared" si="174"/>
        <v>369573.86433954374</v>
      </c>
      <c r="CI319" s="18">
        <f t="shared" si="203"/>
        <v>369573.86433954374</v>
      </c>
      <c r="CJ319" s="18">
        <f t="shared" si="203"/>
        <v>369573.86433954374</v>
      </c>
      <c r="CK319" s="18">
        <f t="shared" si="203"/>
        <v>369573.86433954374</v>
      </c>
      <c r="CL319" s="70">
        <f t="shared" si="175"/>
        <v>1478295.457358175</v>
      </c>
      <c r="CM319" s="136"/>
      <c r="CN319" s="114">
        <f t="shared" si="206"/>
        <v>3.7854890661263803E-4</v>
      </c>
      <c r="CO319" s="115">
        <f t="shared" si="207"/>
        <v>7949527.0388653986</v>
      </c>
      <c r="CP319" s="113">
        <f t="shared" si="177"/>
        <v>11826363.6588654</v>
      </c>
    </row>
    <row r="320" spans="1:94" ht="16.5" hidden="1" x14ac:dyDescent="0.3">
      <c r="A320" s="2">
        <v>315</v>
      </c>
      <c r="B320" s="47" t="s">
        <v>21</v>
      </c>
      <c r="C320" s="47"/>
      <c r="D320" s="30" t="s">
        <v>1041</v>
      </c>
      <c r="E320" s="30" t="s">
        <v>1042</v>
      </c>
      <c r="F320" s="30" t="s">
        <v>1043</v>
      </c>
      <c r="G320" s="30" t="s">
        <v>117</v>
      </c>
      <c r="H320" s="30" t="s">
        <v>385</v>
      </c>
      <c r="I320" s="30" t="s">
        <v>119</v>
      </c>
      <c r="J320" s="30" t="s">
        <v>1044</v>
      </c>
      <c r="K320" s="30" t="s">
        <v>1044</v>
      </c>
      <c r="L320" s="30" t="s">
        <v>766</v>
      </c>
      <c r="M320" s="30">
        <v>1000571</v>
      </c>
      <c r="N320" s="30" t="s">
        <v>138</v>
      </c>
      <c r="O320" s="30" t="s">
        <v>1223</v>
      </c>
      <c r="P320" s="30" t="s">
        <v>768</v>
      </c>
      <c r="Q320" s="30" t="s">
        <v>769</v>
      </c>
      <c r="R320" s="30"/>
      <c r="S320" s="30" t="s">
        <v>1224</v>
      </c>
      <c r="T320" s="30"/>
      <c r="U320" s="30" t="s">
        <v>144</v>
      </c>
      <c r="V320" s="30" t="s">
        <v>415</v>
      </c>
      <c r="W320" s="30" t="s">
        <v>1048</v>
      </c>
      <c r="X320" s="30" t="s">
        <v>147</v>
      </c>
      <c r="Y320" s="125" t="s">
        <v>576</v>
      </c>
      <c r="Z320" s="125" t="s">
        <v>576</v>
      </c>
      <c r="AA320" s="48" t="s">
        <v>148</v>
      </c>
      <c r="AB320" s="30" t="s">
        <v>773</v>
      </c>
      <c r="AC320" s="30" t="s">
        <v>773</v>
      </c>
      <c r="AD320" s="30"/>
      <c r="AE320" s="30"/>
      <c r="AF320" s="48" t="s">
        <v>604</v>
      </c>
      <c r="AG320" s="30" t="s">
        <v>774</v>
      </c>
      <c r="AH320" s="48" t="s">
        <v>775</v>
      </c>
      <c r="AI320" s="30"/>
      <c r="AJ320" s="50">
        <v>38803</v>
      </c>
      <c r="AK320" s="50">
        <v>38837</v>
      </c>
      <c r="AL320" s="51">
        <f t="shared" si="180"/>
        <v>19.517808219178082</v>
      </c>
      <c r="AM320" s="30">
        <v>8</v>
      </c>
      <c r="AN320" s="30" t="s">
        <v>1057</v>
      </c>
      <c r="AO320" s="30" t="s">
        <v>1050</v>
      </c>
      <c r="AP320" s="30" t="s">
        <v>1051</v>
      </c>
      <c r="AQ320" s="30">
        <v>6.24</v>
      </c>
      <c r="AR320" s="30">
        <v>1150</v>
      </c>
      <c r="AS320" s="30">
        <v>1200</v>
      </c>
      <c r="AT320" s="30">
        <v>2100</v>
      </c>
      <c r="AU320" s="54">
        <v>172468830</v>
      </c>
      <c r="AV320" s="54"/>
      <c r="AW320" s="54"/>
      <c r="AX320" s="54"/>
      <c r="AY320" s="54">
        <v>172467830</v>
      </c>
      <c r="AZ320" s="54">
        <v>0</v>
      </c>
      <c r="BA320" s="54">
        <v>1000</v>
      </c>
      <c r="BB320" s="55">
        <f>VLOOKUP(M320,[1]Sheet1!$E$6:$F$556,2,FALSE)</f>
        <v>1000</v>
      </c>
      <c r="BC320" s="74"/>
      <c r="BD320" s="74"/>
      <c r="BE320" s="30"/>
      <c r="BF320" s="30" t="s">
        <v>1052</v>
      </c>
      <c r="BG320" s="30" t="s">
        <v>1053</v>
      </c>
      <c r="BH320" s="30" t="s">
        <v>1054</v>
      </c>
      <c r="BI320" s="30" t="str">
        <f t="shared" si="176"/>
        <v>COF(Assy_FT)</v>
      </c>
      <c r="BJ320" s="47" t="s">
        <v>137</v>
      </c>
      <c r="BK320" s="67">
        <f t="shared" si="181"/>
        <v>3449376.6</v>
      </c>
      <c r="BL320" s="68">
        <f t="shared" si="204"/>
        <v>328824.64869628591</v>
      </c>
      <c r="BM320" s="68">
        <f t="shared" si="205"/>
        <v>109608.21623209531</v>
      </c>
      <c r="BP320" s="69">
        <f t="shared" si="195"/>
        <v>328824.64869628591</v>
      </c>
      <c r="BQ320" s="69">
        <f t="shared" si="196"/>
        <v>328824.64869628591</v>
      </c>
      <c r="BR320" s="69">
        <f t="shared" si="209"/>
        <v>657649.29739257181</v>
      </c>
      <c r="BS320" s="69">
        <f t="shared" si="197"/>
        <v>328824.64869628591</v>
      </c>
      <c r="BT320" s="69">
        <f t="shared" si="208"/>
        <v>328824.64869628591</v>
      </c>
      <c r="BU320" s="100">
        <f t="shared" si="208"/>
        <v>328824.64869628591</v>
      </c>
      <c r="BV320" s="100">
        <f t="shared" si="208"/>
        <v>328824.64869628591</v>
      </c>
      <c r="BW320" s="100">
        <f t="shared" si="200"/>
        <v>1315298.5947851436</v>
      </c>
      <c r="BX320" s="101">
        <f t="shared" si="201"/>
        <v>328824.64869628591</v>
      </c>
      <c r="BY320" s="101">
        <f t="shared" si="199"/>
        <v>328824.64869628591</v>
      </c>
      <c r="BZ320" s="18">
        <f t="shared" si="199"/>
        <v>328824.64869628591</v>
      </c>
      <c r="CA320" s="18">
        <f t="shared" si="199"/>
        <v>328824.64869628591</v>
      </c>
      <c r="CB320" s="70">
        <f t="shared" si="171"/>
        <v>1315298.5947851436</v>
      </c>
      <c r="CC320" s="18">
        <f t="shared" si="172"/>
        <v>328824.64869628591</v>
      </c>
      <c r="CD320" s="18">
        <f t="shared" si="202"/>
        <v>328824.64869628591</v>
      </c>
      <c r="CE320" s="18">
        <f t="shared" si="202"/>
        <v>328824.64869628591</v>
      </c>
      <c r="CF320" s="18">
        <f t="shared" si="202"/>
        <v>328824.64869628591</v>
      </c>
      <c r="CG320" s="70">
        <f t="shared" si="173"/>
        <v>1315298.5947851436</v>
      </c>
      <c r="CH320" s="18">
        <f t="shared" si="174"/>
        <v>328824.64869628591</v>
      </c>
      <c r="CI320" s="18">
        <f t="shared" si="203"/>
        <v>328824.64869628591</v>
      </c>
      <c r="CJ320" s="18">
        <f t="shared" si="203"/>
        <v>328824.64869628591</v>
      </c>
      <c r="CK320" s="18">
        <f t="shared" si="203"/>
        <v>328824.64869628591</v>
      </c>
      <c r="CL320" s="70">
        <f t="shared" si="175"/>
        <v>1315298.5947851436</v>
      </c>
      <c r="CM320" s="71"/>
      <c r="CN320" s="59">
        <f t="shared" si="206"/>
        <v>3.3681010277529283E-4</v>
      </c>
      <c r="CO320" s="64">
        <f t="shared" si="207"/>
        <v>7073012.1582811493</v>
      </c>
      <c r="CP320" s="2">
        <f t="shared" si="177"/>
        <v>10522388.758281149</v>
      </c>
    </row>
    <row r="321" spans="1:94" ht="16.5" hidden="1" x14ac:dyDescent="0.3">
      <c r="A321" s="2">
        <v>316</v>
      </c>
      <c r="B321" s="47" t="s">
        <v>21</v>
      </c>
      <c r="C321" s="47"/>
      <c r="D321" s="30" t="s">
        <v>1041</v>
      </c>
      <c r="E321" s="30" t="s">
        <v>1042</v>
      </c>
      <c r="F321" s="30" t="s">
        <v>1043</v>
      </c>
      <c r="G321" s="30" t="s">
        <v>117</v>
      </c>
      <c r="H321" s="30" t="s">
        <v>1058</v>
      </c>
      <c r="I321" s="30" t="s">
        <v>119</v>
      </c>
      <c r="J321" s="30" t="s">
        <v>1044</v>
      </c>
      <c r="K321" s="30" t="s">
        <v>1044</v>
      </c>
      <c r="L321" s="30" t="s">
        <v>1120</v>
      </c>
      <c r="M321" s="30">
        <v>1000572</v>
      </c>
      <c r="N321" s="30" t="s">
        <v>138</v>
      </c>
      <c r="O321" s="30" t="s">
        <v>1225</v>
      </c>
      <c r="P321" s="30" t="s">
        <v>1226</v>
      </c>
      <c r="Q321" s="30" t="s">
        <v>1227</v>
      </c>
      <c r="R321" s="30"/>
      <c r="S321" s="30">
        <v>6043001</v>
      </c>
      <c r="T321" s="30"/>
      <c r="U321" s="30" t="s">
        <v>144</v>
      </c>
      <c r="V321" s="30" t="s">
        <v>437</v>
      </c>
      <c r="W321" s="30" t="s">
        <v>1228</v>
      </c>
      <c r="X321" s="30" t="s">
        <v>147</v>
      </c>
      <c r="Y321" s="125" t="s">
        <v>128</v>
      </c>
      <c r="Z321" s="125" t="s">
        <v>128</v>
      </c>
      <c r="AA321" s="30" t="s">
        <v>129</v>
      </c>
      <c r="AB321" s="127" t="s">
        <v>1129</v>
      </c>
      <c r="AC321" s="30"/>
      <c r="AD321" s="30"/>
      <c r="AE321" s="30"/>
      <c r="AF321" s="30" t="s">
        <v>131</v>
      </c>
      <c r="AG321" s="30" t="s">
        <v>774</v>
      </c>
      <c r="AH321" s="30"/>
      <c r="AI321" s="30"/>
      <c r="AJ321" s="50">
        <v>38837</v>
      </c>
      <c r="AK321" s="50">
        <v>38837</v>
      </c>
      <c r="AL321" s="51">
        <f t="shared" si="180"/>
        <v>19.517808219178082</v>
      </c>
      <c r="AM321" s="30">
        <v>8</v>
      </c>
      <c r="AN321" s="30" t="s">
        <v>1065</v>
      </c>
      <c r="AO321" s="30" t="s">
        <v>1050</v>
      </c>
      <c r="AP321" s="30" t="s">
        <v>1051</v>
      </c>
      <c r="AQ321" s="30">
        <v>6.6</v>
      </c>
      <c r="AR321" s="30">
        <v>7120</v>
      </c>
      <c r="AS321" s="30">
        <v>840</v>
      </c>
      <c r="AT321" s="30">
        <v>1957</v>
      </c>
      <c r="AU321" s="54">
        <v>181428572</v>
      </c>
      <c r="AV321" s="54"/>
      <c r="AW321" s="54"/>
      <c r="AX321" s="54"/>
      <c r="AY321" s="54">
        <v>181427572</v>
      </c>
      <c r="AZ321" s="54">
        <v>0</v>
      </c>
      <c r="BA321" s="54">
        <v>1000</v>
      </c>
      <c r="BB321" s="55">
        <f>VLOOKUP(M321,[1]Sheet1!$E$6:$F$556,2,FALSE)</f>
        <v>1000</v>
      </c>
      <c r="BC321" s="74"/>
      <c r="BD321" s="74"/>
      <c r="BE321" s="30"/>
      <c r="BF321" s="30" t="s">
        <v>1052</v>
      </c>
      <c r="BG321" s="30" t="s">
        <v>1117</v>
      </c>
      <c r="BH321" s="30" t="s">
        <v>1054</v>
      </c>
      <c r="BI321" s="30" t="str">
        <f t="shared" si="176"/>
        <v>COF(Assy_FT)</v>
      </c>
      <c r="BJ321" s="47" t="s">
        <v>137</v>
      </c>
      <c r="BK321" s="67">
        <f t="shared" si="181"/>
        <v>3628571.44</v>
      </c>
      <c r="BL321" s="68">
        <f t="shared" si="204"/>
        <v>345907.06304071762</v>
      </c>
      <c r="BM321" s="68">
        <f t="shared" si="205"/>
        <v>115302.35434690588</v>
      </c>
      <c r="BP321" s="69">
        <f t="shared" si="195"/>
        <v>345907.06304071762</v>
      </c>
      <c r="BQ321" s="69">
        <f t="shared" si="196"/>
        <v>345907.06304071762</v>
      </c>
      <c r="BR321" s="69">
        <f t="shared" si="209"/>
        <v>691814.12608143524</v>
      </c>
      <c r="BS321" s="69">
        <f t="shared" si="197"/>
        <v>345907.06304071762</v>
      </c>
      <c r="BT321" s="69">
        <f t="shared" si="208"/>
        <v>345907.06304071762</v>
      </c>
      <c r="BU321" s="100">
        <f t="shared" si="208"/>
        <v>345907.06304071762</v>
      </c>
      <c r="BV321" s="100">
        <f t="shared" si="208"/>
        <v>345907.06304071762</v>
      </c>
      <c r="BW321" s="100">
        <f t="shared" si="200"/>
        <v>1383628.2521628705</v>
      </c>
      <c r="BX321" s="101">
        <f t="shared" si="201"/>
        <v>345907.06304071762</v>
      </c>
      <c r="BY321" s="101">
        <f t="shared" si="199"/>
        <v>345907.06304071762</v>
      </c>
      <c r="BZ321" s="18">
        <f t="shared" si="199"/>
        <v>345907.06304071762</v>
      </c>
      <c r="CA321" s="18">
        <f t="shared" si="199"/>
        <v>345907.06304071762</v>
      </c>
      <c r="CB321" s="70">
        <f t="shared" si="171"/>
        <v>1383628.2521628705</v>
      </c>
      <c r="CC321" s="18">
        <f t="shared" si="172"/>
        <v>345907.06304071762</v>
      </c>
      <c r="CD321" s="18">
        <f t="shared" si="202"/>
        <v>345907.06304071762</v>
      </c>
      <c r="CE321" s="18">
        <f t="shared" si="202"/>
        <v>345907.06304071762</v>
      </c>
      <c r="CF321" s="18">
        <f t="shared" si="202"/>
        <v>345907.06304071762</v>
      </c>
      <c r="CG321" s="70">
        <f t="shared" si="173"/>
        <v>1383628.2521628705</v>
      </c>
      <c r="CH321" s="18">
        <f t="shared" si="174"/>
        <v>345907.06304071762</v>
      </c>
      <c r="CI321" s="18">
        <f t="shared" si="203"/>
        <v>345907.06304071762</v>
      </c>
      <c r="CJ321" s="18">
        <f t="shared" si="203"/>
        <v>345907.06304071762</v>
      </c>
      <c r="CK321" s="18">
        <f t="shared" si="203"/>
        <v>345907.06304071762</v>
      </c>
      <c r="CL321" s="70">
        <f t="shared" si="175"/>
        <v>1383628.2521628705</v>
      </c>
      <c r="CM321" s="71"/>
      <c r="CN321" s="59">
        <f t="shared" si="206"/>
        <v>3.5430736082395068E-4</v>
      </c>
      <c r="CO321" s="64">
        <f t="shared" si="207"/>
        <v>7440454.5773029644</v>
      </c>
      <c r="CP321" s="2">
        <f t="shared" si="177"/>
        <v>11069026.017302964</v>
      </c>
    </row>
    <row r="322" spans="1:94" ht="16.5" hidden="1" x14ac:dyDescent="0.3">
      <c r="A322" s="2">
        <v>317</v>
      </c>
      <c r="B322" s="47" t="s">
        <v>21</v>
      </c>
      <c r="C322" s="47"/>
      <c r="D322" s="30" t="s">
        <v>1041</v>
      </c>
      <c r="E322" s="30" t="s">
        <v>1042</v>
      </c>
      <c r="F322" s="30" t="s">
        <v>1043</v>
      </c>
      <c r="G322" s="30" t="s">
        <v>117</v>
      </c>
      <c r="H322" s="30" t="s">
        <v>1058</v>
      </c>
      <c r="I322" s="30" t="s">
        <v>119</v>
      </c>
      <c r="J322" s="30" t="s">
        <v>1044</v>
      </c>
      <c r="K322" s="30" t="s">
        <v>1044</v>
      </c>
      <c r="L322" s="30" t="s">
        <v>1120</v>
      </c>
      <c r="M322" s="30">
        <v>1000573</v>
      </c>
      <c r="N322" s="30" t="s">
        <v>138</v>
      </c>
      <c r="O322" s="30" t="s">
        <v>1229</v>
      </c>
      <c r="P322" s="30" t="s">
        <v>1226</v>
      </c>
      <c r="Q322" s="30" t="s">
        <v>1227</v>
      </c>
      <c r="R322" s="30"/>
      <c r="S322" s="30">
        <v>6043002</v>
      </c>
      <c r="T322" s="30"/>
      <c r="U322" s="30" t="s">
        <v>144</v>
      </c>
      <c r="V322" s="30" t="s">
        <v>437</v>
      </c>
      <c r="W322" s="30" t="s">
        <v>1230</v>
      </c>
      <c r="X322" s="30" t="s">
        <v>147</v>
      </c>
      <c r="Y322" s="125" t="s">
        <v>128</v>
      </c>
      <c r="Z322" s="125" t="s">
        <v>128</v>
      </c>
      <c r="AA322" s="30" t="s">
        <v>129</v>
      </c>
      <c r="AB322" s="127" t="s">
        <v>1129</v>
      </c>
      <c r="AC322" s="30"/>
      <c r="AD322" s="30"/>
      <c r="AE322" s="30"/>
      <c r="AF322" s="30" t="s">
        <v>131</v>
      </c>
      <c r="AG322" s="30" t="s">
        <v>774</v>
      </c>
      <c r="AH322" s="30"/>
      <c r="AI322" s="30"/>
      <c r="AJ322" s="50">
        <v>38837</v>
      </c>
      <c r="AK322" s="50">
        <v>38837</v>
      </c>
      <c r="AL322" s="51">
        <f t="shared" si="180"/>
        <v>19.517808219178082</v>
      </c>
      <c r="AM322" s="30">
        <v>8</v>
      </c>
      <c r="AN322" s="30" t="s">
        <v>1065</v>
      </c>
      <c r="AO322" s="30" t="s">
        <v>1050</v>
      </c>
      <c r="AP322" s="30" t="s">
        <v>1051</v>
      </c>
      <c r="AQ322" s="30">
        <v>6.6</v>
      </c>
      <c r="AR322" s="30">
        <v>7120</v>
      </c>
      <c r="AS322" s="30">
        <v>840</v>
      </c>
      <c r="AT322" s="30">
        <v>1957</v>
      </c>
      <c r="AU322" s="54">
        <v>181428572</v>
      </c>
      <c r="AV322" s="54"/>
      <c r="AW322" s="54"/>
      <c r="AX322" s="54"/>
      <c r="AY322" s="54">
        <v>181427572</v>
      </c>
      <c r="AZ322" s="54">
        <v>0</v>
      </c>
      <c r="BA322" s="54">
        <v>1000</v>
      </c>
      <c r="BB322" s="55">
        <f>VLOOKUP(M322,[1]Sheet1!$E$6:$F$556,2,FALSE)</f>
        <v>1000</v>
      </c>
      <c r="BC322" s="74"/>
      <c r="BD322" s="74"/>
      <c r="BE322" s="30"/>
      <c r="BF322" s="30" t="s">
        <v>1052</v>
      </c>
      <c r="BG322" s="30" t="s">
        <v>1117</v>
      </c>
      <c r="BH322" s="30" t="s">
        <v>1054</v>
      </c>
      <c r="BI322" s="30" t="str">
        <f t="shared" si="176"/>
        <v>COF(Assy_FT)</v>
      </c>
      <c r="BJ322" s="47" t="s">
        <v>137</v>
      </c>
      <c r="BK322" s="67">
        <f t="shared" si="181"/>
        <v>3628571.44</v>
      </c>
      <c r="BL322" s="68">
        <f t="shared" si="204"/>
        <v>345907.06304071762</v>
      </c>
      <c r="BM322" s="68">
        <f t="shared" si="205"/>
        <v>115302.35434690588</v>
      </c>
      <c r="BP322" s="69">
        <f t="shared" si="195"/>
        <v>345907.06304071762</v>
      </c>
      <c r="BQ322" s="69">
        <f t="shared" si="196"/>
        <v>345907.06304071762</v>
      </c>
      <c r="BR322" s="69">
        <f t="shared" si="209"/>
        <v>691814.12608143524</v>
      </c>
      <c r="BS322" s="69">
        <f t="shared" si="197"/>
        <v>345907.06304071762</v>
      </c>
      <c r="BT322" s="69">
        <f t="shared" si="208"/>
        <v>345907.06304071762</v>
      </c>
      <c r="BU322" s="100">
        <f t="shared" si="208"/>
        <v>345907.06304071762</v>
      </c>
      <c r="BV322" s="100">
        <f t="shared" si="208"/>
        <v>345907.06304071762</v>
      </c>
      <c r="BW322" s="100">
        <f t="shared" si="200"/>
        <v>1383628.2521628705</v>
      </c>
      <c r="BX322" s="101">
        <f t="shared" si="201"/>
        <v>345907.06304071762</v>
      </c>
      <c r="BY322" s="101">
        <f t="shared" si="199"/>
        <v>345907.06304071762</v>
      </c>
      <c r="BZ322" s="18">
        <f t="shared" si="199"/>
        <v>345907.06304071762</v>
      </c>
      <c r="CA322" s="18">
        <f t="shared" si="199"/>
        <v>345907.06304071762</v>
      </c>
      <c r="CB322" s="70">
        <f t="shared" si="171"/>
        <v>1383628.2521628705</v>
      </c>
      <c r="CC322" s="18">
        <f t="shared" si="172"/>
        <v>345907.06304071762</v>
      </c>
      <c r="CD322" s="18">
        <f t="shared" si="202"/>
        <v>345907.06304071762</v>
      </c>
      <c r="CE322" s="18">
        <f t="shared" si="202"/>
        <v>345907.06304071762</v>
      </c>
      <c r="CF322" s="18">
        <f t="shared" si="202"/>
        <v>345907.06304071762</v>
      </c>
      <c r="CG322" s="70">
        <f t="shared" si="173"/>
        <v>1383628.2521628705</v>
      </c>
      <c r="CH322" s="18">
        <f t="shared" si="174"/>
        <v>345907.06304071762</v>
      </c>
      <c r="CI322" s="18">
        <f t="shared" si="203"/>
        <v>345907.06304071762</v>
      </c>
      <c r="CJ322" s="18">
        <f t="shared" si="203"/>
        <v>345907.06304071762</v>
      </c>
      <c r="CK322" s="18">
        <f t="shared" si="203"/>
        <v>345907.06304071762</v>
      </c>
      <c r="CL322" s="70">
        <f t="shared" si="175"/>
        <v>1383628.2521628705</v>
      </c>
      <c r="CM322" s="71"/>
      <c r="CN322" s="59">
        <f t="shared" si="206"/>
        <v>3.5430736082395068E-4</v>
      </c>
      <c r="CO322" s="64">
        <f t="shared" si="207"/>
        <v>7440454.5773029644</v>
      </c>
      <c r="CP322" s="2">
        <f t="shared" si="177"/>
        <v>11069026.017302964</v>
      </c>
    </row>
    <row r="323" spans="1:94" ht="16.5" hidden="1" x14ac:dyDescent="0.3">
      <c r="A323" s="2">
        <v>318</v>
      </c>
      <c r="B323" s="47" t="s">
        <v>21</v>
      </c>
      <c r="C323" s="47"/>
      <c r="D323" s="30" t="s">
        <v>1041</v>
      </c>
      <c r="E323" s="30" t="s">
        <v>1042</v>
      </c>
      <c r="F323" s="30" t="s">
        <v>1043</v>
      </c>
      <c r="G323" s="30" t="s">
        <v>117</v>
      </c>
      <c r="H323" s="30" t="s">
        <v>1058</v>
      </c>
      <c r="I323" s="30" t="s">
        <v>119</v>
      </c>
      <c r="J323" s="30" t="s">
        <v>1044</v>
      </c>
      <c r="K323" s="30" t="s">
        <v>1044</v>
      </c>
      <c r="L323" s="30" t="s">
        <v>1120</v>
      </c>
      <c r="M323" s="30">
        <v>1000575</v>
      </c>
      <c r="N323" s="30" t="s">
        <v>138</v>
      </c>
      <c r="O323" s="30" t="s">
        <v>1231</v>
      </c>
      <c r="P323" s="30" t="s">
        <v>1226</v>
      </c>
      <c r="Q323" s="30" t="s">
        <v>1227</v>
      </c>
      <c r="R323" s="30"/>
      <c r="S323" s="30">
        <v>6043004</v>
      </c>
      <c r="T323" s="30"/>
      <c r="U323" s="30" t="s">
        <v>144</v>
      </c>
      <c r="V323" s="30" t="s">
        <v>589</v>
      </c>
      <c r="W323" s="30" t="s">
        <v>1228</v>
      </c>
      <c r="X323" s="30" t="s">
        <v>147</v>
      </c>
      <c r="Y323" s="125" t="s">
        <v>457</v>
      </c>
      <c r="Z323" s="125" t="s">
        <v>457</v>
      </c>
      <c r="AA323" s="30" t="s">
        <v>129</v>
      </c>
      <c r="AB323" s="127" t="s">
        <v>1129</v>
      </c>
      <c r="AC323" s="30"/>
      <c r="AD323" s="30"/>
      <c r="AE323" s="30"/>
      <c r="AF323" s="30" t="s">
        <v>131</v>
      </c>
      <c r="AG323" s="30" t="s">
        <v>774</v>
      </c>
      <c r="AH323" s="30"/>
      <c r="AI323" s="30"/>
      <c r="AJ323" s="50">
        <v>38837</v>
      </c>
      <c r="AK323" s="50">
        <v>38837</v>
      </c>
      <c r="AL323" s="51">
        <f t="shared" si="180"/>
        <v>19.517808219178082</v>
      </c>
      <c r="AM323" s="30">
        <v>8</v>
      </c>
      <c r="AN323" s="30" t="s">
        <v>1065</v>
      </c>
      <c r="AO323" s="30" t="s">
        <v>1050</v>
      </c>
      <c r="AP323" s="30" t="s">
        <v>1051</v>
      </c>
      <c r="AQ323" s="30">
        <v>6.6</v>
      </c>
      <c r="AR323" s="30">
        <v>7120</v>
      </c>
      <c r="AS323" s="30">
        <v>840</v>
      </c>
      <c r="AT323" s="30">
        <v>1957</v>
      </c>
      <c r="AU323" s="54">
        <v>181428572</v>
      </c>
      <c r="AV323" s="54"/>
      <c r="AW323" s="54"/>
      <c r="AX323" s="54"/>
      <c r="AY323" s="54">
        <v>181427572</v>
      </c>
      <c r="AZ323" s="54">
        <v>0</v>
      </c>
      <c r="BA323" s="54">
        <v>1000</v>
      </c>
      <c r="BB323" s="55">
        <f>VLOOKUP(M323,[1]Sheet1!$E$6:$F$556,2,FALSE)</f>
        <v>1000</v>
      </c>
      <c r="BC323" s="74"/>
      <c r="BD323" s="74"/>
      <c r="BE323" s="30"/>
      <c r="BF323" s="30" t="s">
        <v>1052</v>
      </c>
      <c r="BG323" s="30" t="s">
        <v>1117</v>
      </c>
      <c r="BH323" s="30" t="s">
        <v>1054</v>
      </c>
      <c r="BI323" s="30" t="str">
        <f t="shared" si="176"/>
        <v>COF(Assy_FT)</v>
      </c>
      <c r="BJ323" s="47" t="s">
        <v>137</v>
      </c>
      <c r="BK323" s="67">
        <f t="shared" si="181"/>
        <v>3628571.44</v>
      </c>
      <c r="BL323" s="68">
        <f t="shared" si="204"/>
        <v>345907.06304071762</v>
      </c>
      <c r="BM323" s="68">
        <f t="shared" si="205"/>
        <v>115302.35434690588</v>
      </c>
      <c r="BP323" s="69">
        <f t="shared" si="195"/>
        <v>345907.06304071762</v>
      </c>
      <c r="BQ323" s="69">
        <f t="shared" si="196"/>
        <v>345907.06304071762</v>
      </c>
      <c r="BR323" s="69">
        <f t="shared" si="209"/>
        <v>691814.12608143524</v>
      </c>
      <c r="BS323" s="69">
        <f t="shared" si="197"/>
        <v>345907.06304071762</v>
      </c>
      <c r="BT323" s="69">
        <f t="shared" si="208"/>
        <v>345907.06304071762</v>
      </c>
      <c r="BU323" s="100">
        <f t="shared" si="208"/>
        <v>345907.06304071762</v>
      </c>
      <c r="BV323" s="100">
        <f t="shared" si="208"/>
        <v>345907.06304071762</v>
      </c>
      <c r="BW323" s="100">
        <f t="shared" si="200"/>
        <v>1383628.2521628705</v>
      </c>
      <c r="BX323" s="101">
        <f t="shared" si="201"/>
        <v>345907.06304071762</v>
      </c>
      <c r="BY323" s="101">
        <f t="shared" si="199"/>
        <v>345907.06304071762</v>
      </c>
      <c r="BZ323" s="18">
        <f t="shared" ref="BZ323:BZ328" si="210">BM323*3</f>
        <v>345907.06304071762</v>
      </c>
      <c r="CA323" s="18">
        <f t="shared" si="199"/>
        <v>345907.06304071762</v>
      </c>
      <c r="CB323" s="70">
        <f t="shared" si="171"/>
        <v>1383628.2521628705</v>
      </c>
      <c r="CC323" s="18">
        <f t="shared" si="172"/>
        <v>345907.06304071762</v>
      </c>
      <c r="CD323" s="18">
        <f t="shared" si="202"/>
        <v>345907.06304071762</v>
      </c>
      <c r="CE323" s="18">
        <f t="shared" si="202"/>
        <v>345907.06304071762</v>
      </c>
      <c r="CF323" s="18">
        <f t="shared" si="202"/>
        <v>345907.06304071762</v>
      </c>
      <c r="CG323" s="70">
        <f t="shared" si="173"/>
        <v>1383628.2521628705</v>
      </c>
      <c r="CH323" s="18">
        <f t="shared" si="174"/>
        <v>345907.06304071762</v>
      </c>
      <c r="CI323" s="18">
        <f t="shared" si="203"/>
        <v>345907.06304071762</v>
      </c>
      <c r="CJ323" s="18">
        <f t="shared" si="203"/>
        <v>345907.06304071762</v>
      </c>
      <c r="CK323" s="18">
        <f t="shared" si="203"/>
        <v>345907.06304071762</v>
      </c>
      <c r="CL323" s="70">
        <f t="shared" si="175"/>
        <v>1383628.2521628705</v>
      </c>
      <c r="CM323" s="71"/>
      <c r="CN323" s="59">
        <f t="shared" si="206"/>
        <v>3.5430736082395068E-4</v>
      </c>
      <c r="CO323" s="64">
        <f t="shared" si="207"/>
        <v>7440454.5773029644</v>
      </c>
      <c r="CP323" s="2">
        <f t="shared" si="177"/>
        <v>11069026.017302964</v>
      </c>
    </row>
    <row r="324" spans="1:94" ht="16.5" hidden="1" x14ac:dyDescent="0.3">
      <c r="A324" s="2">
        <v>319</v>
      </c>
      <c r="B324" s="47" t="s">
        <v>21</v>
      </c>
      <c r="C324" s="47"/>
      <c r="D324" s="30" t="s">
        <v>1041</v>
      </c>
      <c r="E324" s="30" t="s">
        <v>1042</v>
      </c>
      <c r="F324" s="30" t="s">
        <v>1043</v>
      </c>
      <c r="G324" s="30" t="s">
        <v>117</v>
      </c>
      <c r="H324" s="30" t="s">
        <v>1058</v>
      </c>
      <c r="I324" s="30" t="s">
        <v>119</v>
      </c>
      <c r="J324" s="30" t="s">
        <v>1044</v>
      </c>
      <c r="K324" s="30" t="s">
        <v>1044</v>
      </c>
      <c r="L324" s="30" t="s">
        <v>1120</v>
      </c>
      <c r="M324" s="30">
        <v>1000576</v>
      </c>
      <c r="N324" s="30" t="s">
        <v>138</v>
      </c>
      <c r="O324" s="30" t="s">
        <v>1232</v>
      </c>
      <c r="P324" s="30" t="s">
        <v>1226</v>
      </c>
      <c r="Q324" s="30" t="s">
        <v>1227</v>
      </c>
      <c r="R324" s="30"/>
      <c r="S324" s="30">
        <v>6043005</v>
      </c>
      <c r="T324" s="30"/>
      <c r="U324" s="30" t="s">
        <v>144</v>
      </c>
      <c r="V324" s="30" t="s">
        <v>437</v>
      </c>
      <c r="W324" s="30" t="s">
        <v>1228</v>
      </c>
      <c r="X324" s="30" t="s">
        <v>147</v>
      </c>
      <c r="Y324" s="125" t="s">
        <v>457</v>
      </c>
      <c r="Z324" s="125" t="s">
        <v>457</v>
      </c>
      <c r="AA324" s="30" t="s">
        <v>129</v>
      </c>
      <c r="AB324" s="127" t="s">
        <v>1129</v>
      </c>
      <c r="AC324" s="30"/>
      <c r="AD324" s="30"/>
      <c r="AE324" s="30"/>
      <c r="AF324" s="30" t="s">
        <v>131</v>
      </c>
      <c r="AG324" s="30" t="s">
        <v>774</v>
      </c>
      <c r="AH324" s="30"/>
      <c r="AI324" s="30"/>
      <c r="AJ324" s="50">
        <v>38837</v>
      </c>
      <c r="AK324" s="50">
        <v>38837</v>
      </c>
      <c r="AL324" s="51">
        <f t="shared" si="180"/>
        <v>19.517808219178082</v>
      </c>
      <c r="AM324" s="30">
        <v>8</v>
      </c>
      <c r="AN324" s="30" t="s">
        <v>1065</v>
      </c>
      <c r="AO324" s="30" t="s">
        <v>1050</v>
      </c>
      <c r="AP324" s="30" t="s">
        <v>1051</v>
      </c>
      <c r="AQ324" s="30">
        <v>6.6</v>
      </c>
      <c r="AR324" s="30">
        <v>7120</v>
      </c>
      <c r="AS324" s="30">
        <v>840</v>
      </c>
      <c r="AT324" s="30">
        <v>1957</v>
      </c>
      <c r="AU324" s="54">
        <v>181428572</v>
      </c>
      <c r="AV324" s="54"/>
      <c r="AW324" s="54"/>
      <c r="AX324" s="54"/>
      <c r="AY324" s="54">
        <v>181427572</v>
      </c>
      <c r="AZ324" s="54">
        <v>0</v>
      </c>
      <c r="BA324" s="54">
        <v>1000</v>
      </c>
      <c r="BB324" s="55">
        <f>VLOOKUP(M324,[1]Sheet1!$E$6:$F$556,2,FALSE)</f>
        <v>1000</v>
      </c>
      <c r="BC324" s="74"/>
      <c r="BD324" s="74"/>
      <c r="BE324" s="30"/>
      <c r="BF324" s="30" t="s">
        <v>1052</v>
      </c>
      <c r="BG324" s="30" t="s">
        <v>1117</v>
      </c>
      <c r="BH324" s="30" t="s">
        <v>1054</v>
      </c>
      <c r="BI324" s="30" t="str">
        <f t="shared" si="176"/>
        <v>COF(Assy_FT)</v>
      </c>
      <c r="BJ324" s="47" t="s">
        <v>137</v>
      </c>
      <c r="BK324" s="67">
        <f t="shared" si="181"/>
        <v>3628571.44</v>
      </c>
      <c r="BL324" s="68">
        <f t="shared" si="204"/>
        <v>345907.06304071762</v>
      </c>
      <c r="BM324" s="68">
        <f t="shared" si="205"/>
        <v>115302.35434690588</v>
      </c>
      <c r="BP324" s="69">
        <f t="shared" si="195"/>
        <v>345907.06304071762</v>
      </c>
      <c r="BQ324" s="69">
        <f t="shared" si="196"/>
        <v>345907.06304071762</v>
      </c>
      <c r="BR324" s="69">
        <f t="shared" si="209"/>
        <v>691814.12608143524</v>
      </c>
      <c r="BS324" s="69">
        <f t="shared" si="197"/>
        <v>345907.06304071762</v>
      </c>
      <c r="BT324" s="69">
        <f t="shared" si="208"/>
        <v>345907.06304071762</v>
      </c>
      <c r="BU324" s="100">
        <f t="shared" si="208"/>
        <v>345907.06304071762</v>
      </c>
      <c r="BV324" s="100">
        <f t="shared" si="208"/>
        <v>345907.06304071762</v>
      </c>
      <c r="BW324" s="100">
        <f t="shared" si="200"/>
        <v>1383628.2521628705</v>
      </c>
      <c r="BX324" s="101">
        <f t="shared" si="201"/>
        <v>345907.06304071762</v>
      </c>
      <c r="BY324" s="101">
        <f t="shared" si="199"/>
        <v>345907.06304071762</v>
      </c>
      <c r="BZ324" s="18">
        <f t="shared" si="210"/>
        <v>345907.06304071762</v>
      </c>
      <c r="CA324" s="18">
        <f t="shared" si="199"/>
        <v>345907.06304071762</v>
      </c>
      <c r="CB324" s="70">
        <f t="shared" si="171"/>
        <v>1383628.2521628705</v>
      </c>
      <c r="CC324" s="18">
        <f t="shared" si="172"/>
        <v>345907.06304071762</v>
      </c>
      <c r="CD324" s="18">
        <f t="shared" si="202"/>
        <v>345907.06304071762</v>
      </c>
      <c r="CE324" s="18">
        <f t="shared" si="202"/>
        <v>345907.06304071762</v>
      </c>
      <c r="CF324" s="18">
        <f t="shared" si="202"/>
        <v>345907.06304071762</v>
      </c>
      <c r="CG324" s="70">
        <f t="shared" si="173"/>
        <v>1383628.2521628705</v>
      </c>
      <c r="CH324" s="18">
        <f t="shared" si="174"/>
        <v>345907.06304071762</v>
      </c>
      <c r="CI324" s="18">
        <f t="shared" si="203"/>
        <v>345907.06304071762</v>
      </c>
      <c r="CJ324" s="18">
        <f t="shared" si="203"/>
        <v>345907.06304071762</v>
      </c>
      <c r="CK324" s="18">
        <f t="shared" si="203"/>
        <v>345907.06304071762</v>
      </c>
      <c r="CL324" s="70">
        <f t="shared" si="175"/>
        <v>1383628.2521628705</v>
      </c>
      <c r="CM324" s="71"/>
      <c r="CN324" s="59">
        <f t="shared" si="206"/>
        <v>3.5430736082395068E-4</v>
      </c>
      <c r="CO324" s="64">
        <f t="shared" si="207"/>
        <v>7440454.5773029644</v>
      </c>
      <c r="CP324" s="2">
        <f t="shared" si="177"/>
        <v>11069026.017302964</v>
      </c>
    </row>
    <row r="325" spans="1:94" ht="16.5" hidden="1" x14ac:dyDescent="0.3">
      <c r="A325" s="2">
        <v>320</v>
      </c>
      <c r="B325" s="47" t="s">
        <v>21</v>
      </c>
      <c r="C325" s="47"/>
      <c r="D325" s="30" t="s">
        <v>1041</v>
      </c>
      <c r="E325" s="30" t="s">
        <v>1042</v>
      </c>
      <c r="F325" s="30" t="s">
        <v>1043</v>
      </c>
      <c r="G325" s="30" t="s">
        <v>117</v>
      </c>
      <c r="H325" s="30" t="s">
        <v>1058</v>
      </c>
      <c r="I325" s="30" t="s">
        <v>119</v>
      </c>
      <c r="J325" s="30" t="s">
        <v>1044</v>
      </c>
      <c r="K325" s="30" t="s">
        <v>1044</v>
      </c>
      <c r="L325" s="30" t="s">
        <v>1130</v>
      </c>
      <c r="M325" s="30">
        <v>1006730</v>
      </c>
      <c r="N325" s="30" t="s">
        <v>138</v>
      </c>
      <c r="O325" s="30" t="s">
        <v>1233</v>
      </c>
      <c r="P325" s="30" t="s">
        <v>1179</v>
      </c>
      <c r="Q325" s="30" t="s">
        <v>1180</v>
      </c>
      <c r="R325" s="30" t="s">
        <v>1181</v>
      </c>
      <c r="S325" s="30" t="s">
        <v>1234</v>
      </c>
      <c r="T325" s="30" t="s">
        <v>1183</v>
      </c>
      <c r="U325" s="30" t="s">
        <v>144</v>
      </c>
      <c r="V325" s="30" t="s">
        <v>600</v>
      </c>
      <c r="W325" s="30" t="s">
        <v>1184</v>
      </c>
      <c r="X325" s="30" t="s">
        <v>127</v>
      </c>
      <c r="Y325" s="30" t="s">
        <v>576</v>
      </c>
      <c r="Z325" s="30" t="s">
        <v>576</v>
      </c>
      <c r="AA325" s="30" t="s">
        <v>148</v>
      </c>
      <c r="AB325" s="30" t="s">
        <v>1185</v>
      </c>
      <c r="AC325" s="30" t="s">
        <v>1185</v>
      </c>
      <c r="AD325" s="30"/>
      <c r="AE325" s="30"/>
      <c r="AF325" s="30" t="s">
        <v>593</v>
      </c>
      <c r="AG325" s="30" t="s">
        <v>774</v>
      </c>
      <c r="AH325" s="30" t="s">
        <v>1186</v>
      </c>
      <c r="AI325" s="30"/>
      <c r="AJ325" s="50">
        <v>44392</v>
      </c>
      <c r="AK325" s="50">
        <v>44392</v>
      </c>
      <c r="AL325" s="51">
        <f t="shared" si="180"/>
        <v>4.2986301369863016</v>
      </c>
      <c r="AM325" s="30">
        <v>8</v>
      </c>
      <c r="AN325" s="30" t="s">
        <v>1065</v>
      </c>
      <c r="AO325" s="30" t="s">
        <v>1050</v>
      </c>
      <c r="AP325" s="30" t="s">
        <v>1187</v>
      </c>
      <c r="AQ325" s="30">
        <v>3.6</v>
      </c>
      <c r="AR325" s="30">
        <v>2820</v>
      </c>
      <c r="AS325" s="30">
        <v>1154</v>
      </c>
      <c r="AT325" s="30">
        <v>2020</v>
      </c>
      <c r="AU325" s="54">
        <v>444348614</v>
      </c>
      <c r="AV325" s="54"/>
      <c r="AW325" s="54"/>
      <c r="AX325" s="54"/>
      <c r="AY325" s="54">
        <v>223209182</v>
      </c>
      <c r="AZ325" s="54">
        <v>4628631</v>
      </c>
      <c r="BA325" s="54">
        <v>207253539</v>
      </c>
      <c r="BB325" s="55">
        <f>VLOOKUP(M325,[1]Sheet1!$E$6:$F$556,2,FALSE)</f>
        <v>19382251</v>
      </c>
      <c r="BC325" s="74"/>
      <c r="BD325" s="74"/>
      <c r="BE325" s="128">
        <v>47.776422877520375</v>
      </c>
      <c r="BF325" s="30" t="s">
        <v>1134</v>
      </c>
      <c r="BG325" s="30" t="s">
        <v>1074</v>
      </c>
      <c r="BH325" s="30" t="s">
        <v>1054</v>
      </c>
      <c r="BI325" s="30" t="str">
        <f t="shared" si="176"/>
        <v>COF(Assy_FT)</v>
      </c>
      <c r="BJ325" s="47" t="s">
        <v>137</v>
      </c>
      <c r="BK325" s="56">
        <f t="shared" si="181"/>
        <v>217616215.95000002</v>
      </c>
      <c r="BL325" s="57">
        <f t="shared" si="204"/>
        <v>20745074.852184553</v>
      </c>
      <c r="BM325" s="57">
        <f t="shared" si="205"/>
        <v>6915024.9507281845</v>
      </c>
      <c r="BU325" s="58">
        <f>BM325*3</f>
        <v>20745074.852184553</v>
      </c>
      <c r="BV325" s="58">
        <f t="shared" si="208"/>
        <v>20745074.852184553</v>
      </c>
      <c r="BW325" s="58">
        <f t="shared" si="200"/>
        <v>41490149.704369105</v>
      </c>
      <c r="BX325" s="58">
        <f t="shared" si="201"/>
        <v>20745074.852184553</v>
      </c>
      <c r="BY325" s="58">
        <f t="shared" si="199"/>
        <v>20745074.852184553</v>
      </c>
      <c r="BZ325" s="58">
        <f t="shared" si="210"/>
        <v>20745074.852184553</v>
      </c>
      <c r="CA325" s="58">
        <f t="shared" si="199"/>
        <v>20745074.852184553</v>
      </c>
      <c r="CB325" s="58">
        <f t="shared" si="171"/>
        <v>82980299.408738211</v>
      </c>
      <c r="CC325" s="58">
        <f t="shared" si="172"/>
        <v>20745074.852184553</v>
      </c>
      <c r="CD325" s="58">
        <f t="shared" si="202"/>
        <v>20745074.852184553</v>
      </c>
      <c r="CE325" s="58">
        <f t="shared" si="202"/>
        <v>20745074.852184553</v>
      </c>
      <c r="CF325" s="58">
        <f t="shared" si="202"/>
        <v>20745074.852184553</v>
      </c>
      <c r="CG325" s="58">
        <f t="shared" si="173"/>
        <v>82980299.408738211</v>
      </c>
      <c r="CH325" s="58">
        <f t="shared" si="174"/>
        <v>20745074.852184553</v>
      </c>
      <c r="CI325" s="58">
        <f t="shared" si="203"/>
        <v>20745074.852184553</v>
      </c>
      <c r="CJ325" s="58">
        <f t="shared" si="203"/>
        <v>20745074.852184553</v>
      </c>
      <c r="CK325" s="58">
        <f t="shared" si="203"/>
        <v>20745074.852184553</v>
      </c>
      <c r="CL325" s="58">
        <f>SUM(CH325:CK325)</f>
        <v>82980299.408738211</v>
      </c>
      <c r="CN325" s="59">
        <f t="shared" si="206"/>
        <v>2.1248865681900268E-2</v>
      </c>
      <c r="CO325" s="64">
        <f t="shared" si="207"/>
        <v>446226179.31990564</v>
      </c>
      <c r="CP325" s="2">
        <f t="shared" si="177"/>
        <v>663842395.26990569</v>
      </c>
    </row>
    <row r="326" spans="1:94" ht="16.5" hidden="1" x14ac:dyDescent="0.3">
      <c r="A326" s="2">
        <v>321</v>
      </c>
      <c r="B326" s="47" t="s">
        <v>21</v>
      </c>
      <c r="C326" s="47"/>
      <c r="D326" s="30" t="s">
        <v>1041</v>
      </c>
      <c r="E326" s="30" t="s">
        <v>1042</v>
      </c>
      <c r="F326" s="30" t="s">
        <v>1043</v>
      </c>
      <c r="G326" s="30" t="s">
        <v>117</v>
      </c>
      <c r="H326" s="30" t="s">
        <v>1058</v>
      </c>
      <c r="I326" s="30" t="s">
        <v>119</v>
      </c>
      <c r="J326" s="30" t="s">
        <v>1044</v>
      </c>
      <c r="K326" s="30" t="s">
        <v>1044</v>
      </c>
      <c r="L326" s="30" t="s">
        <v>1130</v>
      </c>
      <c r="M326" s="30">
        <v>1005981</v>
      </c>
      <c r="N326" s="30" t="s">
        <v>138</v>
      </c>
      <c r="O326" s="30" t="s">
        <v>1235</v>
      </c>
      <c r="P326" s="30" t="s">
        <v>1179</v>
      </c>
      <c r="Q326" s="30" t="s">
        <v>1180</v>
      </c>
      <c r="R326" s="30" t="s">
        <v>1181</v>
      </c>
      <c r="S326" s="30" t="s">
        <v>1236</v>
      </c>
      <c r="T326" s="30" t="s">
        <v>1183</v>
      </c>
      <c r="U326" s="30" t="s">
        <v>144</v>
      </c>
      <c r="V326" s="30" t="s">
        <v>415</v>
      </c>
      <c r="W326" s="30" t="s">
        <v>1184</v>
      </c>
      <c r="X326" s="30" t="s">
        <v>127</v>
      </c>
      <c r="Y326" s="30" t="s">
        <v>576</v>
      </c>
      <c r="Z326" s="30" t="s">
        <v>576</v>
      </c>
      <c r="AA326" s="30" t="s">
        <v>148</v>
      </c>
      <c r="AB326" s="30" t="s">
        <v>1185</v>
      </c>
      <c r="AC326" s="30" t="s">
        <v>1185</v>
      </c>
      <c r="AD326" s="30"/>
      <c r="AE326" s="30"/>
      <c r="AF326" s="30" t="s">
        <v>593</v>
      </c>
      <c r="AG326" s="30" t="s">
        <v>774</v>
      </c>
      <c r="AH326" s="30" t="s">
        <v>1186</v>
      </c>
      <c r="AI326" s="30"/>
      <c r="AJ326" s="50">
        <v>43636</v>
      </c>
      <c r="AK326" s="50">
        <v>43636</v>
      </c>
      <c r="AL326" s="51">
        <f t="shared" si="180"/>
        <v>6.3698630136986303</v>
      </c>
      <c r="AM326" s="30">
        <v>8</v>
      </c>
      <c r="AN326" s="30" t="s">
        <v>1065</v>
      </c>
      <c r="AO326" s="30" t="s">
        <v>1050</v>
      </c>
      <c r="AP326" s="30" t="s">
        <v>1187</v>
      </c>
      <c r="AQ326" s="30">
        <v>3.6</v>
      </c>
      <c r="AR326" s="30">
        <v>2820</v>
      </c>
      <c r="AS326" s="30">
        <v>1154</v>
      </c>
      <c r="AT326" s="30">
        <v>2020</v>
      </c>
      <c r="AU326" s="54">
        <v>437316252</v>
      </c>
      <c r="AV326" s="54"/>
      <c r="AW326" s="54"/>
      <c r="AX326" s="54"/>
      <c r="AY326" s="54">
        <v>337097944</v>
      </c>
      <c r="AZ326" s="54">
        <v>4555378</v>
      </c>
      <c r="BA326" s="54">
        <v>86552174</v>
      </c>
      <c r="BB326" s="55">
        <f>VLOOKUP(M326,[1]Sheet1!$E$6:$F$556,2,FALSE)</f>
        <v>6723328</v>
      </c>
      <c r="BC326" s="74"/>
      <c r="BD326" s="74"/>
      <c r="BE326" s="128">
        <v>21.999998243833993</v>
      </c>
      <c r="BF326" s="30" t="s">
        <v>1134</v>
      </c>
      <c r="BG326" s="30" t="s">
        <v>1074</v>
      </c>
      <c r="BH326" s="30" t="s">
        <v>1054</v>
      </c>
      <c r="BI326" s="30" t="str">
        <f t="shared" si="176"/>
        <v>COF(Assy_FT)</v>
      </c>
      <c r="BJ326" s="47" t="s">
        <v>137</v>
      </c>
      <c r="BK326" s="56">
        <f t="shared" si="181"/>
        <v>90879782.700000003</v>
      </c>
      <c r="BL326" s="57">
        <f t="shared" si="204"/>
        <v>8663453.1642390992</v>
      </c>
      <c r="BM326" s="57">
        <f t="shared" si="205"/>
        <v>2887817.7214130331</v>
      </c>
      <c r="BU326" s="58">
        <f>BM326*3</f>
        <v>8663453.1642390992</v>
      </c>
      <c r="BV326" s="58">
        <f t="shared" si="208"/>
        <v>8663453.1642390992</v>
      </c>
      <c r="BW326" s="58">
        <f t="shared" si="200"/>
        <v>17326906.328478198</v>
      </c>
      <c r="BX326" s="58">
        <f t="shared" si="201"/>
        <v>8663453.1642390992</v>
      </c>
      <c r="BY326" s="58">
        <f t="shared" si="199"/>
        <v>8663453.1642390992</v>
      </c>
      <c r="BZ326" s="58">
        <f t="shared" si="210"/>
        <v>8663453.1642390992</v>
      </c>
      <c r="CA326" s="58">
        <f t="shared" si="199"/>
        <v>8663453.1642390992</v>
      </c>
      <c r="CB326" s="58">
        <f>SUM(BX326:CA326)</f>
        <v>34653812.656956397</v>
      </c>
      <c r="CC326" s="58">
        <f>CA326</f>
        <v>8663453.1642390992</v>
      </c>
      <c r="CD326" s="58">
        <f t="shared" si="202"/>
        <v>8663453.1642390992</v>
      </c>
      <c r="CE326" s="58">
        <f t="shared" si="202"/>
        <v>8663453.1642390992</v>
      </c>
      <c r="CF326" s="58">
        <f t="shared" si="202"/>
        <v>8663453.1642390992</v>
      </c>
      <c r="CG326" s="58">
        <f>SUM(CC326:CF326)</f>
        <v>34653812.656956397</v>
      </c>
      <c r="CH326" s="58">
        <f t="shared" ref="CH326:CH389" si="211">CF326</f>
        <v>8663453.1642390992</v>
      </c>
      <c r="CI326" s="58">
        <f t="shared" si="203"/>
        <v>8663453.1642390992</v>
      </c>
      <c r="CJ326" s="58">
        <f t="shared" si="203"/>
        <v>8663453.1642390992</v>
      </c>
      <c r="CK326" s="58">
        <f t="shared" si="203"/>
        <v>8663453.1642390992</v>
      </c>
      <c r="CL326" s="58">
        <f>SUM(CH326:CK326)</f>
        <v>34653812.656956397</v>
      </c>
      <c r="CN326" s="59">
        <f t="shared" si="206"/>
        <v>8.8738437407452925E-3</v>
      </c>
      <c r="CO326" s="64">
        <f t="shared" si="207"/>
        <v>186350718.55565116</v>
      </c>
      <c r="CP326" s="2">
        <f t="shared" si="177"/>
        <v>277230501.25565118</v>
      </c>
    </row>
    <row r="327" spans="1:94" ht="16.5" hidden="1" x14ac:dyDescent="0.3">
      <c r="A327" s="2">
        <v>322</v>
      </c>
      <c r="B327" s="47" t="s">
        <v>21</v>
      </c>
      <c r="C327" s="47"/>
      <c r="D327" s="30" t="s">
        <v>1041</v>
      </c>
      <c r="E327" s="30" t="s">
        <v>1042</v>
      </c>
      <c r="F327" s="30" t="s">
        <v>1043</v>
      </c>
      <c r="G327" s="30" t="s">
        <v>117</v>
      </c>
      <c r="H327" s="30" t="s">
        <v>1058</v>
      </c>
      <c r="I327" s="30" t="s">
        <v>119</v>
      </c>
      <c r="J327" s="30" t="s">
        <v>1044</v>
      </c>
      <c r="K327" s="30" t="s">
        <v>1044</v>
      </c>
      <c r="L327" s="30" t="s">
        <v>1130</v>
      </c>
      <c r="M327" s="30">
        <v>1005969</v>
      </c>
      <c r="N327" s="30" t="s">
        <v>138</v>
      </c>
      <c r="O327" s="30" t="s">
        <v>1237</v>
      </c>
      <c r="P327" s="30" t="s">
        <v>1179</v>
      </c>
      <c r="Q327" s="30" t="s">
        <v>1180</v>
      </c>
      <c r="R327" s="30" t="s">
        <v>1181</v>
      </c>
      <c r="S327" s="30" t="s">
        <v>1238</v>
      </c>
      <c r="T327" s="30" t="s">
        <v>1183</v>
      </c>
      <c r="U327" s="30" t="s">
        <v>144</v>
      </c>
      <c r="V327" s="30" t="s">
        <v>415</v>
      </c>
      <c r="W327" s="30" t="s">
        <v>1184</v>
      </c>
      <c r="X327" s="30" t="s">
        <v>127</v>
      </c>
      <c r="Y327" s="30" t="s">
        <v>576</v>
      </c>
      <c r="Z327" s="30" t="s">
        <v>576</v>
      </c>
      <c r="AA327" s="30" t="s">
        <v>148</v>
      </c>
      <c r="AB327" s="30" t="s">
        <v>1185</v>
      </c>
      <c r="AC327" s="30" t="s">
        <v>1185</v>
      </c>
      <c r="AD327" s="30"/>
      <c r="AE327" s="30"/>
      <c r="AF327" s="30" t="s">
        <v>593</v>
      </c>
      <c r="AG327" s="30" t="s">
        <v>774</v>
      </c>
      <c r="AH327" s="30" t="s">
        <v>1186</v>
      </c>
      <c r="AI327" s="30"/>
      <c r="AJ327" s="50">
        <v>43636</v>
      </c>
      <c r="AK327" s="50">
        <v>43636</v>
      </c>
      <c r="AL327" s="51">
        <f t="shared" si="180"/>
        <v>6.3698630136986303</v>
      </c>
      <c r="AM327" s="30">
        <v>8</v>
      </c>
      <c r="AN327" s="30" t="s">
        <v>1065</v>
      </c>
      <c r="AO327" s="30" t="s">
        <v>1050</v>
      </c>
      <c r="AP327" s="30" t="s">
        <v>1187</v>
      </c>
      <c r="AQ327" s="30">
        <v>3.6</v>
      </c>
      <c r="AR327" s="30">
        <v>2820</v>
      </c>
      <c r="AS327" s="30">
        <v>1154</v>
      </c>
      <c r="AT327" s="30">
        <v>2020</v>
      </c>
      <c r="AU327" s="54">
        <v>437316251</v>
      </c>
      <c r="AV327" s="54"/>
      <c r="AW327" s="54"/>
      <c r="AX327" s="54"/>
      <c r="AY327" s="54">
        <v>337097944</v>
      </c>
      <c r="AZ327" s="54">
        <v>4555378</v>
      </c>
      <c r="BA327" s="54">
        <v>86552173</v>
      </c>
      <c r="BB327" s="55">
        <f>VLOOKUP(M327,[1]Sheet1!$E$6:$F$556,2,FALSE)</f>
        <v>6723328</v>
      </c>
      <c r="BC327" s="74"/>
      <c r="BD327" s="74"/>
      <c r="BE327" s="128">
        <v>21.999998024313239</v>
      </c>
      <c r="BF327" s="30" t="s">
        <v>1134</v>
      </c>
      <c r="BG327" s="30" t="s">
        <v>1074</v>
      </c>
      <c r="BH327" s="30" t="s">
        <v>1054</v>
      </c>
      <c r="BI327" s="30" t="str">
        <f t="shared" ref="BI327:BI390" si="212">BH327</f>
        <v>COF(Assy_FT)</v>
      </c>
      <c r="BJ327" s="47" t="s">
        <v>137</v>
      </c>
      <c r="BK327" s="56">
        <f t="shared" si="181"/>
        <v>90879781.650000006</v>
      </c>
      <c r="BL327" s="57">
        <f t="shared" si="204"/>
        <v>8663453.0641439445</v>
      </c>
      <c r="BM327" s="57">
        <f t="shared" si="205"/>
        <v>2887817.6880479814</v>
      </c>
      <c r="BU327" s="58">
        <f>BM327*3</f>
        <v>8663453.0641439445</v>
      </c>
      <c r="BV327" s="58">
        <f t="shared" si="208"/>
        <v>8663453.0641439445</v>
      </c>
      <c r="BW327" s="58">
        <f t="shared" si="200"/>
        <v>17326906.128287889</v>
      </c>
      <c r="BX327" s="58">
        <f t="shared" si="201"/>
        <v>8663453.0641439445</v>
      </c>
      <c r="BY327" s="58">
        <f t="shared" si="199"/>
        <v>8663453.0641439445</v>
      </c>
      <c r="BZ327" s="58">
        <f t="shared" si="210"/>
        <v>8663453.0641439445</v>
      </c>
      <c r="CA327" s="58">
        <f t="shared" si="199"/>
        <v>8663453.0641439445</v>
      </c>
      <c r="CB327" s="58">
        <f>SUM(BX327:CA327)</f>
        <v>34653812.256575778</v>
      </c>
      <c r="CC327" s="58">
        <f>CA327</f>
        <v>8663453.0641439445</v>
      </c>
      <c r="CD327" s="58">
        <f t="shared" si="202"/>
        <v>8663453.0641439445</v>
      </c>
      <c r="CE327" s="58">
        <f t="shared" si="202"/>
        <v>8663453.0641439445</v>
      </c>
      <c r="CF327" s="58">
        <f t="shared" si="202"/>
        <v>8663453.0641439445</v>
      </c>
      <c r="CG327" s="58">
        <f>SUM(CC327:CF327)</f>
        <v>34653812.256575778</v>
      </c>
      <c r="CH327" s="58">
        <f t="shared" si="211"/>
        <v>8663453.0641439445</v>
      </c>
      <c r="CI327" s="58">
        <f t="shared" ref="CI327:CK327" si="213">CH327</f>
        <v>8663453.0641439445</v>
      </c>
      <c r="CJ327" s="58">
        <f t="shared" si="213"/>
        <v>8663453.0641439445</v>
      </c>
      <c r="CK327" s="58">
        <f t="shared" si="213"/>
        <v>8663453.0641439445</v>
      </c>
      <c r="CL327" s="58">
        <f>SUM(CH327:CK327)</f>
        <v>34653812.256575778</v>
      </c>
      <c r="CN327" s="59">
        <f t="shared" si="206"/>
        <v>8.8738436382193447E-3</v>
      </c>
      <c r="CO327" s="64">
        <f t="shared" si="207"/>
        <v>186350716.40260625</v>
      </c>
      <c r="CP327" s="2">
        <f t="shared" ref="CP327:CP390" si="214">CO327+BK327</f>
        <v>277230498.05260623</v>
      </c>
    </row>
    <row r="328" spans="1:94" ht="16.5" hidden="1" x14ac:dyDescent="0.3">
      <c r="A328" s="2">
        <v>323</v>
      </c>
      <c r="B328" s="47" t="s">
        <v>21</v>
      </c>
      <c r="C328" s="47"/>
      <c r="D328" s="30" t="s">
        <v>1041</v>
      </c>
      <c r="E328" s="30" t="s">
        <v>1042</v>
      </c>
      <c r="F328" s="30" t="s">
        <v>1043</v>
      </c>
      <c r="G328" s="30" t="s">
        <v>117</v>
      </c>
      <c r="H328" s="30" t="s">
        <v>1058</v>
      </c>
      <c r="I328" s="30" t="s">
        <v>119</v>
      </c>
      <c r="J328" s="30" t="s">
        <v>1044</v>
      </c>
      <c r="K328" s="30" t="s">
        <v>1044</v>
      </c>
      <c r="L328" s="30" t="s">
        <v>1130</v>
      </c>
      <c r="M328" s="30">
        <v>1005980</v>
      </c>
      <c r="N328" s="30" t="s">
        <v>138</v>
      </c>
      <c r="O328" s="30" t="s">
        <v>1239</v>
      </c>
      <c r="P328" s="30" t="s">
        <v>1179</v>
      </c>
      <c r="Q328" s="30" t="s">
        <v>1180</v>
      </c>
      <c r="R328" s="30" t="s">
        <v>1181</v>
      </c>
      <c r="S328" s="30" t="s">
        <v>1240</v>
      </c>
      <c r="T328" s="30" t="s">
        <v>1183</v>
      </c>
      <c r="U328" s="30" t="s">
        <v>144</v>
      </c>
      <c r="V328" s="30" t="s">
        <v>600</v>
      </c>
      <c r="W328" s="30" t="s">
        <v>1184</v>
      </c>
      <c r="X328" s="30" t="s">
        <v>127</v>
      </c>
      <c r="Y328" s="30" t="s">
        <v>576</v>
      </c>
      <c r="Z328" s="30" t="s">
        <v>576</v>
      </c>
      <c r="AA328" s="30" t="s">
        <v>148</v>
      </c>
      <c r="AB328" s="30" t="s">
        <v>1185</v>
      </c>
      <c r="AC328" s="30" t="s">
        <v>1185</v>
      </c>
      <c r="AD328" s="30"/>
      <c r="AE328" s="30"/>
      <c r="AF328" s="30" t="s">
        <v>593</v>
      </c>
      <c r="AG328" s="30" t="s">
        <v>774</v>
      </c>
      <c r="AH328" s="30" t="s">
        <v>1186</v>
      </c>
      <c r="AI328" s="30"/>
      <c r="AJ328" s="50">
        <v>43636</v>
      </c>
      <c r="AK328" s="50">
        <v>43636</v>
      </c>
      <c r="AL328" s="51">
        <f t="shared" si="180"/>
        <v>6.3698630136986303</v>
      </c>
      <c r="AM328" s="30">
        <v>8</v>
      </c>
      <c r="AN328" s="30" t="s">
        <v>1065</v>
      </c>
      <c r="AO328" s="30" t="s">
        <v>1050</v>
      </c>
      <c r="AP328" s="30" t="s">
        <v>1187</v>
      </c>
      <c r="AQ328" s="30">
        <v>3.6</v>
      </c>
      <c r="AR328" s="30">
        <v>2820</v>
      </c>
      <c r="AS328" s="30">
        <v>1154</v>
      </c>
      <c r="AT328" s="30">
        <v>2020</v>
      </c>
      <c r="AU328" s="54">
        <v>460316251</v>
      </c>
      <c r="AV328" s="54"/>
      <c r="AW328" s="54"/>
      <c r="AX328" s="54"/>
      <c r="AY328" s="54">
        <v>345243779</v>
      </c>
      <c r="AZ328" s="54">
        <v>4794961</v>
      </c>
      <c r="BA328" s="54">
        <v>100687589</v>
      </c>
      <c r="BB328" s="55">
        <f>VLOOKUP(M328,[1]Sheet1!$E$6:$F$556,2,FALSE)</f>
        <v>7908941</v>
      </c>
      <c r="BC328" s="74"/>
      <c r="BD328" s="74"/>
      <c r="BE328" s="128">
        <v>23.998625223437688</v>
      </c>
      <c r="BF328" s="30" t="s">
        <v>1134</v>
      </c>
      <c r="BG328" s="30" t="s">
        <v>1074</v>
      </c>
      <c r="BH328" s="30" t="s">
        <v>1054</v>
      </c>
      <c r="BI328" s="30" t="str">
        <f t="shared" si="212"/>
        <v>COF(Assy_FT)</v>
      </c>
      <c r="BJ328" s="47" t="s">
        <v>137</v>
      </c>
      <c r="BK328" s="56">
        <f t="shared" si="181"/>
        <v>105721968.45</v>
      </c>
      <c r="BL328" s="57">
        <f t="shared" si="204"/>
        <v>10078339.702035164</v>
      </c>
      <c r="BM328" s="57">
        <f t="shared" si="205"/>
        <v>3359446.5673450548</v>
      </c>
      <c r="BU328" s="58">
        <f>BM328*3</f>
        <v>10078339.702035164</v>
      </c>
      <c r="BV328" s="58">
        <f t="shared" si="208"/>
        <v>10078339.702035164</v>
      </c>
      <c r="BW328" s="58">
        <f t="shared" si="200"/>
        <v>20156679.404070329</v>
      </c>
      <c r="BX328" s="58">
        <f t="shared" si="201"/>
        <v>10078339.702035164</v>
      </c>
      <c r="BY328" s="58">
        <f t="shared" si="199"/>
        <v>10078339.702035164</v>
      </c>
      <c r="BZ328" s="58">
        <f t="shared" si="210"/>
        <v>10078339.702035164</v>
      </c>
      <c r="CA328" s="58">
        <f t="shared" si="199"/>
        <v>10078339.702035164</v>
      </c>
      <c r="CB328" s="58">
        <f>SUM(BX328:CA328)</f>
        <v>40313358.808140658</v>
      </c>
      <c r="CC328" s="58">
        <f>CA328</f>
        <v>10078339.702035164</v>
      </c>
      <c r="CD328" s="58">
        <f t="shared" si="202"/>
        <v>10078339.702035164</v>
      </c>
      <c r="CE328" s="58">
        <f t="shared" si="202"/>
        <v>10078339.702035164</v>
      </c>
      <c r="CF328" s="58">
        <f t="shared" si="202"/>
        <v>10078339.702035164</v>
      </c>
      <c r="CG328" s="58">
        <f>SUM(CC328:CF328)</f>
        <v>40313358.808140658</v>
      </c>
      <c r="CH328" s="58">
        <f t="shared" si="211"/>
        <v>10078339.702035164</v>
      </c>
      <c r="CI328" s="58">
        <f>CH328</f>
        <v>10078339.702035164</v>
      </c>
      <c r="CJ328" s="58">
        <f>CI328</f>
        <v>10078339.702035164</v>
      </c>
      <c r="CK328" s="58">
        <f>CJ328</f>
        <v>10078339.702035164</v>
      </c>
      <c r="CL328" s="58">
        <f>SUM(CH328:CK328)</f>
        <v>40313358.808140658</v>
      </c>
      <c r="CN328" s="59">
        <f t="shared" si="206"/>
        <v>1.0323090572148823E-2</v>
      </c>
      <c r="CO328" s="64">
        <f t="shared" si="207"/>
        <v>216784902.01512527</v>
      </c>
      <c r="CP328" s="2">
        <f t="shared" si="214"/>
        <v>322506870.46512526</v>
      </c>
    </row>
    <row r="329" spans="1:94" ht="16.5" hidden="1" x14ac:dyDescent="0.3">
      <c r="A329" s="2">
        <v>324</v>
      </c>
      <c r="B329" s="47" t="s">
        <v>21</v>
      </c>
      <c r="C329" s="47"/>
      <c r="D329" s="30" t="s">
        <v>1041</v>
      </c>
      <c r="E329" s="30" t="s">
        <v>1042</v>
      </c>
      <c r="F329" s="30" t="s">
        <v>1043</v>
      </c>
      <c r="G329" s="30" t="s">
        <v>117</v>
      </c>
      <c r="H329" s="30" t="s">
        <v>1058</v>
      </c>
      <c r="I329" s="30" t="s">
        <v>119</v>
      </c>
      <c r="J329" s="30" t="s">
        <v>1044</v>
      </c>
      <c r="K329" s="30" t="s">
        <v>1044</v>
      </c>
      <c r="L329" s="30" t="s">
        <v>1109</v>
      </c>
      <c r="M329" s="30">
        <v>1000723</v>
      </c>
      <c r="N329" s="30" t="s">
        <v>138</v>
      </c>
      <c r="O329" s="30" t="s">
        <v>1241</v>
      </c>
      <c r="P329" s="30" t="s">
        <v>1210</v>
      </c>
      <c r="Q329" s="30" t="s">
        <v>585</v>
      </c>
      <c r="R329" s="30"/>
      <c r="S329" s="30" t="s">
        <v>1242</v>
      </c>
      <c r="T329" s="30"/>
      <c r="U329" s="30" t="s">
        <v>144</v>
      </c>
      <c r="V329" s="30" t="s">
        <v>437</v>
      </c>
      <c r="W329" s="30" t="s">
        <v>1212</v>
      </c>
      <c r="X329" s="30" t="s">
        <v>147</v>
      </c>
      <c r="Y329" s="125" t="s">
        <v>576</v>
      </c>
      <c r="Z329" s="125" t="s">
        <v>576</v>
      </c>
      <c r="AA329" s="30" t="s">
        <v>129</v>
      </c>
      <c r="AB329" s="30" t="s">
        <v>1114</v>
      </c>
      <c r="AC329" s="30" t="s">
        <v>1114</v>
      </c>
      <c r="AD329" s="30" t="s">
        <v>1115</v>
      </c>
      <c r="AE329" s="30"/>
      <c r="AF329" s="30" t="s">
        <v>131</v>
      </c>
      <c r="AG329" s="30" t="s">
        <v>774</v>
      </c>
      <c r="AH329" s="30" t="s">
        <v>1116</v>
      </c>
      <c r="AI329" s="30"/>
      <c r="AJ329" s="50">
        <v>38898</v>
      </c>
      <c r="AK329" s="50">
        <v>38898</v>
      </c>
      <c r="AL329" s="51">
        <f t="shared" si="180"/>
        <v>19.350684931506848</v>
      </c>
      <c r="AM329" s="30">
        <v>8</v>
      </c>
      <c r="AN329" s="30" t="s">
        <v>1065</v>
      </c>
      <c r="AO329" s="30" t="s">
        <v>1050</v>
      </c>
      <c r="AP329" s="30" t="s">
        <v>1051</v>
      </c>
      <c r="AQ329" s="30">
        <v>5.3</v>
      </c>
      <c r="AR329" s="30">
        <v>1470</v>
      </c>
      <c r="AS329" s="30">
        <v>950</v>
      </c>
      <c r="AT329" s="30">
        <v>1550</v>
      </c>
      <c r="AU329" s="54">
        <v>7200000</v>
      </c>
      <c r="AV329" s="54"/>
      <c r="AW329" s="54"/>
      <c r="AX329" s="54"/>
      <c r="AY329" s="54">
        <v>7199000</v>
      </c>
      <c r="AZ329" s="54">
        <v>0</v>
      </c>
      <c r="BA329" s="54">
        <v>1000</v>
      </c>
      <c r="BB329" s="55">
        <f>VLOOKUP(M329,[1]Sheet1!$E$6:$F$556,2,FALSE)</f>
        <v>1000</v>
      </c>
      <c r="BC329" s="74"/>
      <c r="BD329" s="74"/>
      <c r="BE329" s="30"/>
      <c r="BF329" s="30" t="s">
        <v>1052</v>
      </c>
      <c r="BG329" s="30" t="s">
        <v>1117</v>
      </c>
      <c r="BH329" s="30" t="s">
        <v>1054</v>
      </c>
      <c r="BI329" s="30" t="str">
        <f t="shared" si="212"/>
        <v>COF(Assy_FT)</v>
      </c>
      <c r="BJ329" s="47" t="s">
        <v>137</v>
      </c>
      <c r="BK329" s="67">
        <f t="shared" si="181"/>
        <v>144000</v>
      </c>
      <c r="BL329" s="68">
        <f t="shared" si="204"/>
        <v>13727.335371923486</v>
      </c>
      <c r="BM329" s="68">
        <f t="shared" si="205"/>
        <v>4575.7784573078288</v>
      </c>
      <c r="BP329" s="69">
        <f t="shared" si="195"/>
        <v>13727.335371923487</v>
      </c>
      <c r="BQ329" s="69">
        <f t="shared" si="196"/>
        <v>13727.335371923487</v>
      </c>
      <c r="BR329" s="69">
        <f t="shared" ref="BR329:BR334" si="215">SUM(BN329:BQ329)</f>
        <v>27454.670743846975</v>
      </c>
      <c r="BS329" s="69">
        <f t="shared" si="197"/>
        <v>13727.335371923487</v>
      </c>
      <c r="BT329" s="69">
        <f t="shared" si="208"/>
        <v>13727.335371923487</v>
      </c>
      <c r="BU329" s="100">
        <f t="shared" si="208"/>
        <v>13727.335371923487</v>
      </c>
      <c r="BV329" s="100">
        <f t="shared" si="208"/>
        <v>13727.335371923487</v>
      </c>
      <c r="BW329" s="100">
        <f t="shared" si="200"/>
        <v>54909.34148769395</v>
      </c>
      <c r="BX329" s="101">
        <f t="shared" si="201"/>
        <v>13727.335371923487</v>
      </c>
      <c r="BY329" s="101">
        <f t="shared" si="199"/>
        <v>13727.335371923487</v>
      </c>
      <c r="BZ329" s="18">
        <f t="shared" si="199"/>
        <v>13727.335371923487</v>
      </c>
      <c r="CA329" s="18">
        <f t="shared" si="199"/>
        <v>13727.335371923487</v>
      </c>
      <c r="CB329" s="70">
        <f t="shared" ref="CB329:CB389" si="216">SUM(BX329:CA329)</f>
        <v>54909.34148769395</v>
      </c>
      <c r="CC329" s="18">
        <f t="shared" ref="CC329:CC389" si="217">CA329</f>
        <v>13727.335371923487</v>
      </c>
      <c r="CD329" s="18">
        <f t="shared" ref="CD329:CF348" si="218">CC329</f>
        <v>13727.335371923487</v>
      </c>
      <c r="CE329" s="18">
        <f t="shared" si="218"/>
        <v>13727.335371923487</v>
      </c>
      <c r="CF329" s="18">
        <f t="shared" si="218"/>
        <v>13727.335371923487</v>
      </c>
      <c r="CG329" s="70">
        <f t="shared" ref="CG329:CG389" si="219">SUM(CC329:CF329)</f>
        <v>54909.34148769395</v>
      </c>
      <c r="CH329" s="18">
        <f t="shared" si="211"/>
        <v>13727.335371923487</v>
      </c>
      <c r="CI329" s="18">
        <f t="shared" ref="CI329:CK344" si="220">CH329</f>
        <v>13727.335371923487</v>
      </c>
      <c r="CJ329" s="18">
        <f t="shared" si="220"/>
        <v>13727.335371923487</v>
      </c>
      <c r="CK329" s="18">
        <f t="shared" si="220"/>
        <v>13727.335371923487</v>
      </c>
      <c r="CL329" s="70">
        <f t="shared" ref="CL329:CL392" si="221">SUM(CH329:CK329)</f>
        <v>54909.34148769395</v>
      </c>
      <c r="CM329" s="71"/>
      <c r="CN329" s="59">
        <f t="shared" si="206"/>
        <v>1.4060701519121503E-5</v>
      </c>
      <c r="CO329" s="64">
        <f t="shared" si="207"/>
        <v>295274.73190155154</v>
      </c>
      <c r="CP329" s="2">
        <f t="shared" si="214"/>
        <v>439274.73190155154</v>
      </c>
    </row>
    <row r="330" spans="1:94" ht="16.5" hidden="1" x14ac:dyDescent="0.3">
      <c r="A330" s="2">
        <v>325</v>
      </c>
      <c r="B330" s="47" t="s">
        <v>21</v>
      </c>
      <c r="C330" s="47"/>
      <c r="D330" s="30" t="s">
        <v>1041</v>
      </c>
      <c r="E330" s="30" t="s">
        <v>1042</v>
      </c>
      <c r="F330" s="30" t="s">
        <v>1043</v>
      </c>
      <c r="G330" s="30" t="s">
        <v>117</v>
      </c>
      <c r="H330" s="30" t="s">
        <v>1058</v>
      </c>
      <c r="I330" s="30" t="s">
        <v>119</v>
      </c>
      <c r="J330" s="30" t="s">
        <v>1044</v>
      </c>
      <c r="K330" s="30" t="s">
        <v>1044</v>
      </c>
      <c r="L330" s="30" t="s">
        <v>1109</v>
      </c>
      <c r="M330" s="30">
        <v>1000724</v>
      </c>
      <c r="N330" s="30" t="s">
        <v>138</v>
      </c>
      <c r="O330" s="30" t="s">
        <v>1243</v>
      </c>
      <c r="P330" s="30" t="s">
        <v>1210</v>
      </c>
      <c r="Q330" s="30" t="s">
        <v>585</v>
      </c>
      <c r="R330" s="30"/>
      <c r="S330" s="30" t="s">
        <v>1244</v>
      </c>
      <c r="T330" s="30"/>
      <c r="U330" s="30" t="s">
        <v>144</v>
      </c>
      <c r="V330" s="30" t="s">
        <v>437</v>
      </c>
      <c r="W330" s="30" t="s">
        <v>1212</v>
      </c>
      <c r="X330" s="30" t="s">
        <v>147</v>
      </c>
      <c r="Y330" s="125" t="s">
        <v>576</v>
      </c>
      <c r="Z330" s="125" t="s">
        <v>576</v>
      </c>
      <c r="AA330" s="30" t="s">
        <v>129</v>
      </c>
      <c r="AB330" s="30" t="s">
        <v>1114</v>
      </c>
      <c r="AC330" s="30" t="s">
        <v>1114</v>
      </c>
      <c r="AD330" s="30" t="s">
        <v>1115</v>
      </c>
      <c r="AE330" s="30"/>
      <c r="AF330" s="30" t="s">
        <v>131</v>
      </c>
      <c r="AG330" s="30" t="s">
        <v>774</v>
      </c>
      <c r="AH330" s="30" t="s">
        <v>1116</v>
      </c>
      <c r="AI330" s="30"/>
      <c r="AJ330" s="50">
        <v>38898</v>
      </c>
      <c r="AK330" s="50">
        <v>38898</v>
      </c>
      <c r="AL330" s="51">
        <f t="shared" si="180"/>
        <v>19.350684931506848</v>
      </c>
      <c r="AM330" s="30">
        <v>8</v>
      </c>
      <c r="AN330" s="30" t="s">
        <v>1065</v>
      </c>
      <c r="AO330" s="30" t="s">
        <v>1050</v>
      </c>
      <c r="AP330" s="30" t="s">
        <v>1051</v>
      </c>
      <c r="AQ330" s="30">
        <v>5.3</v>
      </c>
      <c r="AR330" s="30">
        <v>1470</v>
      </c>
      <c r="AS330" s="30">
        <v>950</v>
      </c>
      <c r="AT330" s="30">
        <v>1550</v>
      </c>
      <c r="AU330" s="54">
        <v>7200000</v>
      </c>
      <c r="AV330" s="54"/>
      <c r="AW330" s="54"/>
      <c r="AX330" s="54"/>
      <c r="AY330" s="54">
        <v>7199000</v>
      </c>
      <c r="AZ330" s="54">
        <v>0</v>
      </c>
      <c r="BA330" s="54">
        <v>1000</v>
      </c>
      <c r="BB330" s="55">
        <f>VLOOKUP(M330,[1]Sheet1!$E$6:$F$556,2,FALSE)</f>
        <v>1000</v>
      </c>
      <c r="BC330" s="74"/>
      <c r="BD330" s="74"/>
      <c r="BE330" s="30"/>
      <c r="BF330" s="30" t="s">
        <v>1052</v>
      </c>
      <c r="BG330" s="30" t="s">
        <v>1117</v>
      </c>
      <c r="BH330" s="30" t="s">
        <v>1054</v>
      </c>
      <c r="BI330" s="30" t="str">
        <f t="shared" si="212"/>
        <v>COF(Assy_FT)</v>
      </c>
      <c r="BJ330" s="47" t="s">
        <v>137</v>
      </c>
      <c r="BK330" s="67">
        <f t="shared" si="181"/>
        <v>144000</v>
      </c>
      <c r="BL330" s="68">
        <f t="shared" si="204"/>
        <v>13727.335371923486</v>
      </c>
      <c r="BM330" s="68">
        <f t="shared" si="205"/>
        <v>4575.7784573078288</v>
      </c>
      <c r="BP330" s="69">
        <f t="shared" si="195"/>
        <v>13727.335371923487</v>
      </c>
      <c r="BQ330" s="69">
        <f t="shared" si="196"/>
        <v>13727.335371923487</v>
      </c>
      <c r="BR330" s="69">
        <f t="shared" si="215"/>
        <v>27454.670743846975</v>
      </c>
      <c r="BS330" s="69">
        <f t="shared" si="197"/>
        <v>13727.335371923487</v>
      </c>
      <c r="BT330" s="69">
        <f t="shared" si="208"/>
        <v>13727.335371923487</v>
      </c>
      <c r="BU330" s="100">
        <f t="shared" si="208"/>
        <v>13727.335371923487</v>
      </c>
      <c r="BV330" s="100">
        <f t="shared" si="208"/>
        <v>13727.335371923487</v>
      </c>
      <c r="BW330" s="100">
        <f t="shared" si="200"/>
        <v>54909.34148769395</v>
      </c>
      <c r="BX330" s="101">
        <f t="shared" si="201"/>
        <v>13727.335371923487</v>
      </c>
      <c r="BY330" s="101">
        <f t="shared" si="199"/>
        <v>13727.335371923487</v>
      </c>
      <c r="BZ330" s="18">
        <f t="shared" si="199"/>
        <v>13727.335371923487</v>
      </c>
      <c r="CA330" s="18">
        <f t="shared" si="199"/>
        <v>13727.335371923487</v>
      </c>
      <c r="CB330" s="70">
        <f t="shared" si="216"/>
        <v>54909.34148769395</v>
      </c>
      <c r="CC330" s="18">
        <f t="shared" si="217"/>
        <v>13727.335371923487</v>
      </c>
      <c r="CD330" s="18">
        <f t="shared" si="218"/>
        <v>13727.335371923487</v>
      </c>
      <c r="CE330" s="18">
        <f t="shared" si="218"/>
        <v>13727.335371923487</v>
      </c>
      <c r="CF330" s="18">
        <f t="shared" si="218"/>
        <v>13727.335371923487</v>
      </c>
      <c r="CG330" s="70">
        <f t="shared" si="219"/>
        <v>54909.34148769395</v>
      </c>
      <c r="CH330" s="18">
        <f t="shared" si="211"/>
        <v>13727.335371923487</v>
      </c>
      <c r="CI330" s="18">
        <f t="shared" si="220"/>
        <v>13727.335371923487</v>
      </c>
      <c r="CJ330" s="18">
        <f t="shared" si="220"/>
        <v>13727.335371923487</v>
      </c>
      <c r="CK330" s="18">
        <f t="shared" si="220"/>
        <v>13727.335371923487</v>
      </c>
      <c r="CL330" s="70">
        <f t="shared" si="221"/>
        <v>54909.34148769395</v>
      </c>
      <c r="CM330" s="71"/>
      <c r="CN330" s="59">
        <f t="shared" si="206"/>
        <v>1.4060701519121503E-5</v>
      </c>
      <c r="CO330" s="64">
        <f t="shared" si="207"/>
        <v>295274.73190155154</v>
      </c>
      <c r="CP330" s="2">
        <f t="shared" si="214"/>
        <v>439274.73190155154</v>
      </c>
    </row>
    <row r="331" spans="1:94" ht="16.5" hidden="1" x14ac:dyDescent="0.3">
      <c r="A331" s="2">
        <v>326</v>
      </c>
      <c r="B331" s="47" t="s">
        <v>21</v>
      </c>
      <c r="C331" s="47"/>
      <c r="D331" s="30" t="s">
        <v>1041</v>
      </c>
      <c r="E331" s="30" t="s">
        <v>1042</v>
      </c>
      <c r="F331" s="30" t="s">
        <v>1043</v>
      </c>
      <c r="G331" s="30" t="s">
        <v>117</v>
      </c>
      <c r="H331" s="30" t="s">
        <v>1058</v>
      </c>
      <c r="I331" s="30" t="s">
        <v>119</v>
      </c>
      <c r="J331" s="30" t="s">
        <v>1044</v>
      </c>
      <c r="K331" s="30" t="s">
        <v>1044</v>
      </c>
      <c r="L331" s="30" t="s">
        <v>1245</v>
      </c>
      <c r="M331" s="30">
        <v>1000725</v>
      </c>
      <c r="N331" s="30" t="s">
        <v>138</v>
      </c>
      <c r="O331" s="30" t="s">
        <v>1246</v>
      </c>
      <c r="P331" s="30" t="s">
        <v>1247</v>
      </c>
      <c r="Q331" s="30" t="str">
        <f>P331</f>
        <v>FM-100</v>
      </c>
      <c r="R331" s="30"/>
      <c r="S331" s="30" t="s">
        <v>1248</v>
      </c>
      <c r="T331" s="30"/>
      <c r="U331" s="30" t="s">
        <v>144</v>
      </c>
      <c r="V331" s="30" t="s">
        <v>437</v>
      </c>
      <c r="W331" s="30" t="s">
        <v>1249</v>
      </c>
      <c r="X331" s="30" t="s">
        <v>147</v>
      </c>
      <c r="Y331" s="125" t="s">
        <v>576</v>
      </c>
      <c r="Z331" s="125" t="s">
        <v>576</v>
      </c>
      <c r="AA331" s="30" t="s">
        <v>129</v>
      </c>
      <c r="AB331" s="30" t="s">
        <v>1132</v>
      </c>
      <c r="AC331" s="30" t="s">
        <v>416</v>
      </c>
      <c r="AD331" s="30"/>
      <c r="AE331" s="30"/>
      <c r="AF331" s="30" t="s">
        <v>131</v>
      </c>
      <c r="AG331" s="30" t="s">
        <v>1250</v>
      </c>
      <c r="AH331" s="30"/>
      <c r="AI331" s="30"/>
      <c r="AJ331" s="50">
        <v>38898</v>
      </c>
      <c r="AK331" s="50">
        <v>38898</v>
      </c>
      <c r="AL331" s="51">
        <f t="shared" si="180"/>
        <v>19.350684931506848</v>
      </c>
      <c r="AM331" s="30">
        <v>8</v>
      </c>
      <c r="AN331" s="30" t="s">
        <v>1065</v>
      </c>
      <c r="AO331" s="30" t="s">
        <v>1050</v>
      </c>
      <c r="AP331" s="30" t="s">
        <v>1051</v>
      </c>
      <c r="AQ331" s="30">
        <v>2.11</v>
      </c>
      <c r="AR331" s="30">
        <v>2682</v>
      </c>
      <c r="AS331" s="30">
        <v>1000</v>
      </c>
      <c r="AT331" s="30">
        <v>1910</v>
      </c>
      <c r="AU331" s="54">
        <v>165000000</v>
      </c>
      <c r="AV331" s="54"/>
      <c r="AW331" s="54"/>
      <c r="AX331" s="54"/>
      <c r="AY331" s="54">
        <v>164999000</v>
      </c>
      <c r="AZ331" s="54">
        <v>0</v>
      </c>
      <c r="BA331" s="54">
        <v>1000</v>
      </c>
      <c r="BB331" s="55">
        <f>VLOOKUP(M331,[1]Sheet1!$E$6:$F$556,2,FALSE)</f>
        <v>1000</v>
      </c>
      <c r="BC331" s="74"/>
      <c r="BD331" s="74"/>
      <c r="BE331" s="30"/>
      <c r="BF331" s="30" t="s">
        <v>1052</v>
      </c>
      <c r="BG331" s="30" t="s">
        <v>1251</v>
      </c>
      <c r="BH331" s="30" t="s">
        <v>1054</v>
      </c>
      <c r="BI331" s="30" t="str">
        <f t="shared" si="212"/>
        <v>COF(Assy_FT)</v>
      </c>
      <c r="BJ331" s="47" t="s">
        <v>137</v>
      </c>
      <c r="BK331" s="67">
        <f t="shared" si="181"/>
        <v>3300000</v>
      </c>
      <c r="BL331" s="68">
        <f t="shared" si="204"/>
        <v>314584.76893991325</v>
      </c>
      <c r="BM331" s="68">
        <f t="shared" si="205"/>
        <v>104861.58964663775</v>
      </c>
      <c r="BP331" s="69">
        <f t="shared" si="195"/>
        <v>314584.76893991325</v>
      </c>
      <c r="BQ331" s="69">
        <f t="shared" si="196"/>
        <v>314584.76893991325</v>
      </c>
      <c r="BR331" s="69">
        <f t="shared" si="215"/>
        <v>629169.5378798265</v>
      </c>
      <c r="BS331" s="69">
        <f t="shared" si="197"/>
        <v>314584.76893991325</v>
      </c>
      <c r="BT331" s="69">
        <f t="shared" ref="BT331:BV346" si="222">BS331</f>
        <v>314584.76893991325</v>
      </c>
      <c r="BU331" s="100">
        <f t="shared" si="222"/>
        <v>314584.76893991325</v>
      </c>
      <c r="BV331" s="100">
        <f t="shared" si="222"/>
        <v>314584.76893991325</v>
      </c>
      <c r="BW331" s="100">
        <f t="shared" si="200"/>
        <v>1258339.075759653</v>
      </c>
      <c r="BX331" s="101">
        <f t="shared" si="201"/>
        <v>314584.76893991325</v>
      </c>
      <c r="BY331" s="101">
        <f t="shared" si="199"/>
        <v>314584.76893991325</v>
      </c>
      <c r="BZ331" s="18">
        <f t="shared" si="199"/>
        <v>314584.76893991325</v>
      </c>
      <c r="CA331" s="18">
        <f t="shared" si="199"/>
        <v>314584.76893991325</v>
      </c>
      <c r="CB331" s="70">
        <f t="shared" si="216"/>
        <v>1258339.075759653</v>
      </c>
      <c r="CC331" s="18">
        <f t="shared" si="217"/>
        <v>314584.76893991325</v>
      </c>
      <c r="CD331" s="18">
        <f t="shared" si="218"/>
        <v>314584.76893991325</v>
      </c>
      <c r="CE331" s="18">
        <f t="shared" si="218"/>
        <v>314584.76893991325</v>
      </c>
      <c r="CF331" s="18">
        <f t="shared" si="218"/>
        <v>314584.76893991325</v>
      </c>
      <c r="CG331" s="70">
        <f t="shared" si="219"/>
        <v>1258339.075759653</v>
      </c>
      <c r="CH331" s="18">
        <f t="shared" si="211"/>
        <v>314584.76893991325</v>
      </c>
      <c r="CI331" s="18">
        <f t="shared" si="220"/>
        <v>314584.76893991325</v>
      </c>
      <c r="CJ331" s="18">
        <f t="shared" si="220"/>
        <v>314584.76893991325</v>
      </c>
      <c r="CK331" s="18">
        <f t="shared" si="220"/>
        <v>314584.76893991325</v>
      </c>
      <c r="CL331" s="70">
        <f t="shared" si="221"/>
        <v>1258339.075759653</v>
      </c>
      <c r="CM331" s="71"/>
      <c r="CN331" s="59">
        <f t="shared" si="206"/>
        <v>3.2222440981320108E-4</v>
      </c>
      <c r="CO331" s="64">
        <f t="shared" si="207"/>
        <v>6766712.6060772231</v>
      </c>
      <c r="CP331" s="2">
        <f t="shared" si="214"/>
        <v>10066712.606077224</v>
      </c>
    </row>
    <row r="332" spans="1:94" ht="16.5" hidden="1" x14ac:dyDescent="0.3">
      <c r="A332" s="2">
        <v>327</v>
      </c>
      <c r="B332" s="47" t="s">
        <v>21</v>
      </c>
      <c r="C332" s="47"/>
      <c r="D332" s="30" t="s">
        <v>1041</v>
      </c>
      <c r="E332" s="30" t="s">
        <v>1042</v>
      </c>
      <c r="F332" s="30" t="s">
        <v>1043</v>
      </c>
      <c r="G332" s="30" t="s">
        <v>117</v>
      </c>
      <c r="H332" s="30" t="s">
        <v>1058</v>
      </c>
      <c r="I332" s="30" t="s">
        <v>119</v>
      </c>
      <c r="J332" s="30" t="s">
        <v>1044</v>
      </c>
      <c r="K332" s="30" t="s">
        <v>1044</v>
      </c>
      <c r="L332" s="30" t="s">
        <v>1120</v>
      </c>
      <c r="M332" s="30">
        <v>1000726</v>
      </c>
      <c r="N332" s="30" t="s">
        <v>138</v>
      </c>
      <c r="O332" s="30" t="s">
        <v>1252</v>
      </c>
      <c r="P332" s="30" t="s">
        <v>1226</v>
      </c>
      <c r="Q332" s="30" t="s">
        <v>1227</v>
      </c>
      <c r="R332" s="30"/>
      <c r="S332" s="30">
        <v>6053006</v>
      </c>
      <c r="T332" s="30"/>
      <c r="U332" s="30" t="s">
        <v>144</v>
      </c>
      <c r="V332" s="30" t="s">
        <v>437</v>
      </c>
      <c r="W332" s="30" t="s">
        <v>1228</v>
      </c>
      <c r="X332" s="30" t="s">
        <v>147</v>
      </c>
      <c r="Y332" s="125" t="s">
        <v>576</v>
      </c>
      <c r="Z332" s="125" t="s">
        <v>576</v>
      </c>
      <c r="AA332" s="30" t="s">
        <v>129</v>
      </c>
      <c r="AB332" s="127" t="s">
        <v>1129</v>
      </c>
      <c r="AC332" s="30"/>
      <c r="AD332" s="30"/>
      <c r="AE332" s="30"/>
      <c r="AF332" s="30" t="s">
        <v>131</v>
      </c>
      <c r="AG332" s="30" t="s">
        <v>774</v>
      </c>
      <c r="AH332" s="30"/>
      <c r="AI332" s="30"/>
      <c r="AJ332" s="50">
        <v>38898</v>
      </c>
      <c r="AK332" s="50">
        <v>38898</v>
      </c>
      <c r="AL332" s="51">
        <f t="shared" si="180"/>
        <v>19.350684931506848</v>
      </c>
      <c r="AM332" s="30">
        <v>8</v>
      </c>
      <c r="AN332" s="30" t="s">
        <v>1065</v>
      </c>
      <c r="AO332" s="30" t="s">
        <v>1050</v>
      </c>
      <c r="AP332" s="30" t="s">
        <v>1051</v>
      </c>
      <c r="AQ332" s="30">
        <v>6.6</v>
      </c>
      <c r="AR332" s="30">
        <v>7120</v>
      </c>
      <c r="AS332" s="30">
        <v>840</v>
      </c>
      <c r="AT332" s="30">
        <v>1957</v>
      </c>
      <c r="AU332" s="54">
        <v>181428571</v>
      </c>
      <c r="AV332" s="54"/>
      <c r="AW332" s="54"/>
      <c r="AX332" s="54"/>
      <c r="AY332" s="54">
        <v>181427571</v>
      </c>
      <c r="AZ332" s="54">
        <v>0</v>
      </c>
      <c r="BA332" s="54">
        <v>1000</v>
      </c>
      <c r="BB332" s="55">
        <f>VLOOKUP(M332,[1]Sheet1!$E$6:$F$556,2,FALSE)</f>
        <v>1000</v>
      </c>
      <c r="BC332" s="74"/>
      <c r="BD332" s="74"/>
      <c r="BE332" s="30"/>
      <c r="BF332" s="30" t="s">
        <v>1052</v>
      </c>
      <c r="BG332" s="30" t="s">
        <v>1117</v>
      </c>
      <c r="BH332" s="30" t="s">
        <v>1054</v>
      </c>
      <c r="BI332" s="30" t="str">
        <f t="shared" si="212"/>
        <v>COF(Assy_FT)</v>
      </c>
      <c r="BJ332" s="47" t="s">
        <v>137</v>
      </c>
      <c r="BK332" s="67">
        <f t="shared" si="181"/>
        <v>3628571.42</v>
      </c>
      <c r="BL332" s="68">
        <f t="shared" si="204"/>
        <v>345907.06113414327</v>
      </c>
      <c r="BM332" s="68">
        <f t="shared" si="205"/>
        <v>115302.35371138109</v>
      </c>
      <c r="BP332" s="69">
        <f t="shared" si="195"/>
        <v>345907.06113414327</v>
      </c>
      <c r="BQ332" s="69">
        <f t="shared" si="196"/>
        <v>345907.06113414327</v>
      </c>
      <c r="BR332" s="69">
        <f t="shared" si="215"/>
        <v>691814.12226828653</v>
      </c>
      <c r="BS332" s="69">
        <f t="shared" si="197"/>
        <v>345907.06113414327</v>
      </c>
      <c r="BT332" s="69">
        <f t="shared" si="222"/>
        <v>345907.06113414327</v>
      </c>
      <c r="BU332" s="100">
        <f t="shared" si="222"/>
        <v>345907.06113414327</v>
      </c>
      <c r="BV332" s="100">
        <f t="shared" si="222"/>
        <v>345907.06113414327</v>
      </c>
      <c r="BW332" s="100">
        <f t="shared" si="200"/>
        <v>1383628.2445365731</v>
      </c>
      <c r="BX332" s="101">
        <f t="shared" si="201"/>
        <v>345907.06113414327</v>
      </c>
      <c r="BY332" s="101">
        <f t="shared" si="199"/>
        <v>345907.06113414327</v>
      </c>
      <c r="BZ332" s="18">
        <f t="shared" si="199"/>
        <v>345907.06113414327</v>
      </c>
      <c r="CA332" s="18">
        <f t="shared" si="199"/>
        <v>345907.06113414327</v>
      </c>
      <c r="CB332" s="70">
        <f t="shared" si="216"/>
        <v>1383628.2445365731</v>
      </c>
      <c r="CC332" s="18">
        <f t="shared" si="217"/>
        <v>345907.06113414327</v>
      </c>
      <c r="CD332" s="18">
        <f t="shared" si="218"/>
        <v>345907.06113414327</v>
      </c>
      <c r="CE332" s="18">
        <f t="shared" si="218"/>
        <v>345907.06113414327</v>
      </c>
      <c r="CF332" s="18">
        <f t="shared" si="218"/>
        <v>345907.06113414327</v>
      </c>
      <c r="CG332" s="70">
        <f t="shared" si="219"/>
        <v>1383628.2445365731</v>
      </c>
      <c r="CH332" s="18">
        <f t="shared" si="211"/>
        <v>345907.06113414327</v>
      </c>
      <c r="CI332" s="18">
        <f t="shared" si="220"/>
        <v>345907.06113414327</v>
      </c>
      <c r="CJ332" s="18">
        <f t="shared" si="220"/>
        <v>345907.06113414327</v>
      </c>
      <c r="CK332" s="18">
        <f t="shared" si="220"/>
        <v>345907.06113414327</v>
      </c>
      <c r="CL332" s="70">
        <f t="shared" si="221"/>
        <v>1383628.2445365731</v>
      </c>
      <c r="CM332" s="71"/>
      <c r="CN332" s="59">
        <f t="shared" si="206"/>
        <v>3.5430735887107548E-4</v>
      </c>
      <c r="CO332" s="64">
        <f t="shared" si="207"/>
        <v>7440454.5362925855</v>
      </c>
      <c r="CP332" s="2">
        <f t="shared" si="214"/>
        <v>11069025.956292585</v>
      </c>
    </row>
    <row r="333" spans="1:94" ht="16.5" hidden="1" x14ac:dyDescent="0.3">
      <c r="A333" s="2">
        <v>328</v>
      </c>
      <c r="B333" s="47" t="s">
        <v>21</v>
      </c>
      <c r="C333" s="47"/>
      <c r="D333" s="30" t="s">
        <v>1041</v>
      </c>
      <c r="E333" s="30" t="s">
        <v>1042</v>
      </c>
      <c r="F333" s="30" t="s">
        <v>1043</v>
      </c>
      <c r="G333" s="30" t="s">
        <v>117</v>
      </c>
      <c r="H333" s="30" t="s">
        <v>1058</v>
      </c>
      <c r="I333" s="30" t="s">
        <v>119</v>
      </c>
      <c r="J333" s="30" t="s">
        <v>1044</v>
      </c>
      <c r="K333" s="30" t="s">
        <v>1044</v>
      </c>
      <c r="L333" s="30" t="s">
        <v>1120</v>
      </c>
      <c r="M333" s="30">
        <v>1000727</v>
      </c>
      <c r="N333" s="30" t="s">
        <v>138</v>
      </c>
      <c r="O333" s="30" t="s">
        <v>1253</v>
      </c>
      <c r="P333" s="30" t="s">
        <v>1226</v>
      </c>
      <c r="Q333" s="30" t="s">
        <v>1227</v>
      </c>
      <c r="R333" s="30"/>
      <c r="S333" s="30">
        <v>6053007</v>
      </c>
      <c r="T333" s="30"/>
      <c r="U333" s="30" t="s">
        <v>144</v>
      </c>
      <c r="V333" s="30" t="s">
        <v>437</v>
      </c>
      <c r="W333" s="30" t="s">
        <v>1228</v>
      </c>
      <c r="X333" s="30" t="s">
        <v>147</v>
      </c>
      <c r="Y333" s="125" t="s">
        <v>576</v>
      </c>
      <c r="Z333" s="125" t="s">
        <v>576</v>
      </c>
      <c r="AA333" s="30" t="s">
        <v>129</v>
      </c>
      <c r="AB333" s="127" t="s">
        <v>1129</v>
      </c>
      <c r="AC333" s="30"/>
      <c r="AD333" s="30"/>
      <c r="AE333" s="30"/>
      <c r="AF333" s="30" t="s">
        <v>131</v>
      </c>
      <c r="AG333" s="30" t="s">
        <v>774</v>
      </c>
      <c r="AH333" s="30"/>
      <c r="AI333" s="30"/>
      <c r="AJ333" s="50">
        <v>38898</v>
      </c>
      <c r="AK333" s="50">
        <v>38898</v>
      </c>
      <c r="AL333" s="51">
        <f t="shared" si="180"/>
        <v>19.350684931506848</v>
      </c>
      <c r="AM333" s="30">
        <v>8</v>
      </c>
      <c r="AN333" s="30" t="s">
        <v>1065</v>
      </c>
      <c r="AO333" s="30" t="s">
        <v>1050</v>
      </c>
      <c r="AP333" s="30" t="s">
        <v>1051</v>
      </c>
      <c r="AQ333" s="30">
        <v>6.6</v>
      </c>
      <c r="AR333" s="30">
        <v>7120</v>
      </c>
      <c r="AS333" s="30">
        <v>840</v>
      </c>
      <c r="AT333" s="30">
        <v>1957</v>
      </c>
      <c r="AU333" s="54">
        <v>181428571</v>
      </c>
      <c r="AV333" s="54"/>
      <c r="AW333" s="54"/>
      <c r="AX333" s="54"/>
      <c r="AY333" s="54">
        <v>181427571</v>
      </c>
      <c r="AZ333" s="54">
        <v>0</v>
      </c>
      <c r="BA333" s="54">
        <v>1000</v>
      </c>
      <c r="BB333" s="55">
        <f>VLOOKUP(M333,[1]Sheet1!$E$6:$F$556,2,FALSE)</f>
        <v>1000</v>
      </c>
      <c r="BC333" s="74"/>
      <c r="BD333" s="74"/>
      <c r="BE333" s="30"/>
      <c r="BF333" s="30" t="s">
        <v>1052</v>
      </c>
      <c r="BG333" s="30" t="s">
        <v>1117</v>
      </c>
      <c r="BH333" s="30" t="s">
        <v>1054</v>
      </c>
      <c r="BI333" s="30" t="str">
        <f t="shared" si="212"/>
        <v>COF(Assy_FT)</v>
      </c>
      <c r="BJ333" s="47" t="s">
        <v>137</v>
      </c>
      <c r="BK333" s="67">
        <f t="shared" si="181"/>
        <v>3628571.42</v>
      </c>
      <c r="BL333" s="68">
        <f t="shared" si="204"/>
        <v>345907.06113414327</v>
      </c>
      <c r="BM333" s="68">
        <f t="shared" si="205"/>
        <v>115302.35371138109</v>
      </c>
      <c r="BP333" s="69">
        <f t="shared" si="195"/>
        <v>345907.06113414327</v>
      </c>
      <c r="BQ333" s="69">
        <f t="shared" si="196"/>
        <v>345907.06113414327</v>
      </c>
      <c r="BR333" s="69">
        <f t="shared" si="215"/>
        <v>691814.12226828653</v>
      </c>
      <c r="BS333" s="69">
        <f t="shared" si="197"/>
        <v>345907.06113414327</v>
      </c>
      <c r="BT333" s="69">
        <f t="shared" si="222"/>
        <v>345907.06113414327</v>
      </c>
      <c r="BU333" s="100">
        <f t="shared" si="222"/>
        <v>345907.06113414327</v>
      </c>
      <c r="BV333" s="100">
        <f t="shared" si="222"/>
        <v>345907.06113414327</v>
      </c>
      <c r="BW333" s="100">
        <f t="shared" si="200"/>
        <v>1383628.2445365731</v>
      </c>
      <c r="BX333" s="101">
        <f t="shared" si="201"/>
        <v>345907.06113414327</v>
      </c>
      <c r="BY333" s="101">
        <f t="shared" si="199"/>
        <v>345907.06113414327</v>
      </c>
      <c r="BZ333" s="18">
        <f t="shared" si="199"/>
        <v>345907.06113414327</v>
      </c>
      <c r="CA333" s="18">
        <f t="shared" si="199"/>
        <v>345907.06113414327</v>
      </c>
      <c r="CB333" s="70">
        <f t="shared" si="216"/>
        <v>1383628.2445365731</v>
      </c>
      <c r="CC333" s="18">
        <f t="shared" si="217"/>
        <v>345907.06113414327</v>
      </c>
      <c r="CD333" s="18">
        <f t="shared" si="218"/>
        <v>345907.06113414327</v>
      </c>
      <c r="CE333" s="18">
        <f t="shared" si="218"/>
        <v>345907.06113414327</v>
      </c>
      <c r="CF333" s="18">
        <f t="shared" si="218"/>
        <v>345907.06113414327</v>
      </c>
      <c r="CG333" s="70">
        <f t="shared" si="219"/>
        <v>1383628.2445365731</v>
      </c>
      <c r="CH333" s="18">
        <f t="shared" si="211"/>
        <v>345907.06113414327</v>
      </c>
      <c r="CI333" s="18">
        <f t="shared" si="220"/>
        <v>345907.06113414327</v>
      </c>
      <c r="CJ333" s="18">
        <f t="shared" si="220"/>
        <v>345907.06113414327</v>
      </c>
      <c r="CK333" s="18">
        <f t="shared" si="220"/>
        <v>345907.06113414327</v>
      </c>
      <c r="CL333" s="70">
        <f t="shared" si="221"/>
        <v>1383628.2445365731</v>
      </c>
      <c r="CM333" s="71"/>
      <c r="CN333" s="59">
        <f t="shared" si="206"/>
        <v>3.5430735887107548E-4</v>
      </c>
      <c r="CO333" s="64">
        <f t="shared" si="207"/>
        <v>7440454.5362925855</v>
      </c>
      <c r="CP333" s="2">
        <f t="shared" si="214"/>
        <v>11069025.956292585</v>
      </c>
    </row>
    <row r="334" spans="1:94" ht="16.5" hidden="1" x14ac:dyDescent="0.3">
      <c r="A334" s="2">
        <v>329</v>
      </c>
      <c r="B334" s="47" t="s">
        <v>21</v>
      </c>
      <c r="C334" s="47"/>
      <c r="D334" s="30" t="s">
        <v>1041</v>
      </c>
      <c r="E334" s="30" t="s">
        <v>1042</v>
      </c>
      <c r="F334" s="30" t="s">
        <v>1043</v>
      </c>
      <c r="G334" s="30" t="s">
        <v>117</v>
      </c>
      <c r="H334" s="30" t="s">
        <v>1058</v>
      </c>
      <c r="I334" s="30" t="s">
        <v>119</v>
      </c>
      <c r="J334" s="30" t="s">
        <v>1044</v>
      </c>
      <c r="K334" s="30" t="s">
        <v>1044</v>
      </c>
      <c r="L334" s="30" t="s">
        <v>1120</v>
      </c>
      <c r="M334" s="30">
        <v>1000728</v>
      </c>
      <c r="N334" s="30" t="s">
        <v>138</v>
      </c>
      <c r="O334" s="30" t="s">
        <v>1254</v>
      </c>
      <c r="P334" s="30" t="s">
        <v>1226</v>
      </c>
      <c r="Q334" s="30" t="s">
        <v>1227</v>
      </c>
      <c r="R334" s="30"/>
      <c r="S334" s="30">
        <v>6053008</v>
      </c>
      <c r="T334" s="30"/>
      <c r="U334" s="30" t="s">
        <v>144</v>
      </c>
      <c r="V334" s="30" t="s">
        <v>437</v>
      </c>
      <c r="W334" s="30" t="s">
        <v>1228</v>
      </c>
      <c r="X334" s="30" t="s">
        <v>147</v>
      </c>
      <c r="Y334" s="125" t="s">
        <v>576</v>
      </c>
      <c r="Z334" s="125" t="s">
        <v>576</v>
      </c>
      <c r="AA334" s="30" t="s">
        <v>129</v>
      </c>
      <c r="AB334" s="127" t="s">
        <v>1129</v>
      </c>
      <c r="AC334" s="30"/>
      <c r="AD334" s="30"/>
      <c r="AE334" s="30"/>
      <c r="AF334" s="30" t="s">
        <v>131</v>
      </c>
      <c r="AG334" s="30" t="s">
        <v>774</v>
      </c>
      <c r="AH334" s="30"/>
      <c r="AI334" s="30"/>
      <c r="AJ334" s="50">
        <v>38898</v>
      </c>
      <c r="AK334" s="50">
        <v>38898</v>
      </c>
      <c r="AL334" s="51">
        <f t="shared" si="180"/>
        <v>19.350684931506848</v>
      </c>
      <c r="AM334" s="30">
        <v>8</v>
      </c>
      <c r="AN334" s="30" t="s">
        <v>1065</v>
      </c>
      <c r="AO334" s="30" t="s">
        <v>1050</v>
      </c>
      <c r="AP334" s="30" t="s">
        <v>1051</v>
      </c>
      <c r="AQ334" s="30">
        <v>6.6</v>
      </c>
      <c r="AR334" s="30">
        <v>7120</v>
      </c>
      <c r="AS334" s="30">
        <v>840</v>
      </c>
      <c r="AT334" s="30">
        <v>1957</v>
      </c>
      <c r="AU334" s="54">
        <v>181428571</v>
      </c>
      <c r="AV334" s="54"/>
      <c r="AW334" s="54"/>
      <c r="AX334" s="54"/>
      <c r="AY334" s="54">
        <v>181427571</v>
      </c>
      <c r="AZ334" s="54">
        <v>0</v>
      </c>
      <c r="BA334" s="54">
        <v>1000</v>
      </c>
      <c r="BB334" s="55">
        <f>VLOOKUP(M334,[1]Sheet1!$E$6:$F$556,2,FALSE)</f>
        <v>1000</v>
      </c>
      <c r="BC334" s="74"/>
      <c r="BD334" s="74"/>
      <c r="BE334" s="30"/>
      <c r="BF334" s="30" t="s">
        <v>1052</v>
      </c>
      <c r="BG334" s="30" t="s">
        <v>1117</v>
      </c>
      <c r="BH334" s="30" t="s">
        <v>1054</v>
      </c>
      <c r="BI334" s="30" t="str">
        <f t="shared" si="212"/>
        <v>COF(Assy_FT)</v>
      </c>
      <c r="BJ334" s="47" t="s">
        <v>137</v>
      </c>
      <c r="BK334" s="67">
        <f t="shared" si="181"/>
        <v>3628571.42</v>
      </c>
      <c r="BL334" s="68">
        <f t="shared" si="204"/>
        <v>345907.06113414327</v>
      </c>
      <c r="BM334" s="68">
        <f t="shared" si="205"/>
        <v>115302.35371138109</v>
      </c>
      <c r="BP334" s="69">
        <f t="shared" si="195"/>
        <v>345907.06113414327</v>
      </c>
      <c r="BQ334" s="69">
        <f t="shared" si="196"/>
        <v>345907.06113414327</v>
      </c>
      <c r="BR334" s="69">
        <f t="shared" si="215"/>
        <v>691814.12226828653</v>
      </c>
      <c r="BS334" s="69">
        <f t="shared" si="197"/>
        <v>345907.06113414327</v>
      </c>
      <c r="BT334" s="69">
        <f t="shared" si="222"/>
        <v>345907.06113414327</v>
      </c>
      <c r="BU334" s="100">
        <f t="shared" si="222"/>
        <v>345907.06113414327</v>
      </c>
      <c r="BV334" s="100">
        <f t="shared" si="222"/>
        <v>345907.06113414327</v>
      </c>
      <c r="BW334" s="100">
        <f t="shared" si="200"/>
        <v>1383628.2445365731</v>
      </c>
      <c r="BX334" s="101">
        <f t="shared" si="201"/>
        <v>345907.06113414327</v>
      </c>
      <c r="BY334" s="101">
        <f t="shared" si="199"/>
        <v>345907.06113414327</v>
      </c>
      <c r="BZ334" s="18">
        <f t="shared" si="199"/>
        <v>345907.06113414327</v>
      </c>
      <c r="CA334" s="18">
        <f t="shared" si="199"/>
        <v>345907.06113414327</v>
      </c>
      <c r="CB334" s="70">
        <f t="shared" si="216"/>
        <v>1383628.2445365731</v>
      </c>
      <c r="CC334" s="18">
        <f t="shared" si="217"/>
        <v>345907.06113414327</v>
      </c>
      <c r="CD334" s="18">
        <f t="shared" si="218"/>
        <v>345907.06113414327</v>
      </c>
      <c r="CE334" s="18">
        <f t="shared" si="218"/>
        <v>345907.06113414327</v>
      </c>
      <c r="CF334" s="18">
        <f t="shared" si="218"/>
        <v>345907.06113414327</v>
      </c>
      <c r="CG334" s="70">
        <f t="shared" si="219"/>
        <v>1383628.2445365731</v>
      </c>
      <c r="CH334" s="18">
        <f t="shared" si="211"/>
        <v>345907.06113414327</v>
      </c>
      <c r="CI334" s="18">
        <f t="shared" si="220"/>
        <v>345907.06113414327</v>
      </c>
      <c r="CJ334" s="18">
        <f t="shared" si="220"/>
        <v>345907.06113414327</v>
      </c>
      <c r="CK334" s="18">
        <f t="shared" si="220"/>
        <v>345907.06113414327</v>
      </c>
      <c r="CL334" s="70">
        <f t="shared" si="221"/>
        <v>1383628.2445365731</v>
      </c>
      <c r="CM334" s="71"/>
      <c r="CN334" s="59">
        <f t="shared" si="206"/>
        <v>3.5430735887107548E-4</v>
      </c>
      <c r="CO334" s="64">
        <f t="shared" si="207"/>
        <v>7440454.5362925855</v>
      </c>
      <c r="CP334" s="2">
        <f t="shared" si="214"/>
        <v>11069025.956292585</v>
      </c>
    </row>
    <row r="335" spans="1:94" hidden="1" x14ac:dyDescent="0.3">
      <c r="A335" s="29">
        <v>330</v>
      </c>
      <c r="B335" s="30" t="s">
        <v>21</v>
      </c>
      <c r="C335" s="30"/>
      <c r="D335" s="30" t="s">
        <v>1041</v>
      </c>
      <c r="E335" s="30" t="s">
        <v>1042</v>
      </c>
      <c r="F335" s="30" t="s">
        <v>1043</v>
      </c>
      <c r="G335" s="30" t="s">
        <v>117</v>
      </c>
      <c r="H335" s="30" t="s">
        <v>118</v>
      </c>
      <c r="I335" s="30" t="s">
        <v>119</v>
      </c>
      <c r="J335" s="30" t="s">
        <v>1044</v>
      </c>
      <c r="K335" s="30" t="s">
        <v>1044</v>
      </c>
      <c r="L335" s="30" t="s">
        <v>1255</v>
      </c>
      <c r="M335" s="30">
        <v>1000736</v>
      </c>
      <c r="N335" s="30" t="s">
        <v>138</v>
      </c>
      <c r="O335" s="30" t="s">
        <v>1256</v>
      </c>
      <c r="P335" s="30" t="s">
        <v>768</v>
      </c>
      <c r="Q335" s="30" t="s">
        <v>769</v>
      </c>
      <c r="R335" s="30"/>
      <c r="S335" s="30" t="s">
        <v>1257</v>
      </c>
      <c r="T335" s="30"/>
      <c r="U335" s="30" t="s">
        <v>588</v>
      </c>
      <c r="V335" s="30" t="s">
        <v>415</v>
      </c>
      <c r="W335" s="30" t="s">
        <v>1048</v>
      </c>
      <c r="X335" s="30"/>
      <c r="Y335" s="30" t="s">
        <v>576</v>
      </c>
      <c r="Z335" s="30" t="s">
        <v>576</v>
      </c>
      <c r="AA335" s="48" t="s">
        <v>148</v>
      </c>
      <c r="AB335" s="30" t="s">
        <v>773</v>
      </c>
      <c r="AC335" s="30" t="s">
        <v>773</v>
      </c>
      <c r="AD335" s="30"/>
      <c r="AE335" s="30"/>
      <c r="AF335" s="48" t="s">
        <v>604</v>
      </c>
      <c r="AG335" s="30" t="s">
        <v>774</v>
      </c>
      <c r="AH335" s="48" t="s">
        <v>775</v>
      </c>
      <c r="AI335" s="30"/>
      <c r="AJ335" s="50">
        <v>38803</v>
      </c>
      <c r="AK335" s="50">
        <v>38929</v>
      </c>
      <c r="AL335" s="51">
        <f t="shared" si="180"/>
        <v>19.265753424657536</v>
      </c>
      <c r="AM335" s="30">
        <v>8</v>
      </c>
      <c r="AN335" s="30" t="s">
        <v>1057</v>
      </c>
      <c r="AO335" s="30" t="s">
        <v>1050</v>
      </c>
      <c r="AP335" s="30" t="s">
        <v>1051</v>
      </c>
      <c r="AQ335" s="30">
        <v>6.24</v>
      </c>
      <c r="AR335" s="30">
        <v>1150</v>
      </c>
      <c r="AS335" s="30">
        <v>1200</v>
      </c>
      <c r="AT335" s="30">
        <v>2100</v>
      </c>
      <c r="AU335" s="74">
        <v>159707767</v>
      </c>
      <c r="AV335" s="54"/>
      <c r="AW335" s="54"/>
      <c r="AX335" s="54"/>
      <c r="AY335" s="54">
        <v>159706767</v>
      </c>
      <c r="AZ335" s="54" t="s">
        <v>1219</v>
      </c>
      <c r="BA335" s="74">
        <v>1000</v>
      </c>
      <c r="BB335" s="55">
        <f>VLOOKUP(M335,[1]Sheet1!$E$6:$F$556,2,FALSE)</f>
        <v>1000</v>
      </c>
      <c r="BC335" s="74"/>
      <c r="BD335" s="74"/>
      <c r="BE335" s="30"/>
      <c r="BF335" s="30" t="s">
        <v>1052</v>
      </c>
      <c r="BG335" s="30" t="s">
        <v>1053</v>
      </c>
      <c r="BH335" s="30" t="s">
        <v>1054</v>
      </c>
      <c r="BI335" s="30" t="str">
        <f t="shared" si="212"/>
        <v>COF(Assy_FT)</v>
      </c>
      <c r="BJ335" s="30" t="s">
        <v>250</v>
      </c>
      <c r="BK335" s="56">
        <f t="shared" si="181"/>
        <v>3194155.34</v>
      </c>
      <c r="BL335" s="57">
        <f t="shared" si="204"/>
        <v>99817.354374999995</v>
      </c>
      <c r="BM335" s="57">
        <f t="shared" si="205"/>
        <v>33272.451458333329</v>
      </c>
      <c r="BU335" s="58">
        <f>BM335*3</f>
        <v>99817.354374999995</v>
      </c>
      <c r="BV335" s="58">
        <f t="shared" si="222"/>
        <v>99817.354374999995</v>
      </c>
      <c r="BW335" s="58">
        <f t="shared" si="200"/>
        <v>199634.70874999999</v>
      </c>
      <c r="BX335" s="58">
        <f t="shared" si="201"/>
        <v>99817.354374999995</v>
      </c>
      <c r="BY335" s="58">
        <f t="shared" si="199"/>
        <v>99817.354374999995</v>
      </c>
      <c r="BZ335" s="58">
        <f>BM335*3</f>
        <v>99817.354374999995</v>
      </c>
      <c r="CA335" s="58">
        <f t="shared" si="199"/>
        <v>99817.354374999995</v>
      </c>
      <c r="CB335" s="58">
        <f t="shared" si="216"/>
        <v>399269.41749999998</v>
      </c>
      <c r="CC335" s="58">
        <f t="shared" si="217"/>
        <v>99817.354374999995</v>
      </c>
      <c r="CD335" s="58">
        <f t="shared" si="218"/>
        <v>99817.354374999995</v>
      </c>
      <c r="CE335" s="58">
        <f t="shared" si="218"/>
        <v>99817.354374999995</v>
      </c>
      <c r="CF335" s="58">
        <f t="shared" si="218"/>
        <v>99817.354374999995</v>
      </c>
      <c r="CG335" s="58">
        <f t="shared" si="219"/>
        <v>399269.41749999998</v>
      </c>
      <c r="CH335" s="58">
        <f t="shared" si="211"/>
        <v>99817.354374999995</v>
      </c>
      <c r="CI335" s="58">
        <f t="shared" si="220"/>
        <v>99817.354374999995</v>
      </c>
      <c r="CJ335" s="58">
        <f t="shared" si="220"/>
        <v>99817.354374999995</v>
      </c>
      <c r="CK335" s="58">
        <f t="shared" si="220"/>
        <v>99817.354374999995</v>
      </c>
      <c r="CL335" s="58">
        <f>SUM(CH335:CK335)</f>
        <v>399269.41749999998</v>
      </c>
      <c r="CP335" s="2">
        <f t="shared" si="214"/>
        <v>3194155.34</v>
      </c>
    </row>
    <row r="336" spans="1:94" hidden="1" x14ac:dyDescent="0.3">
      <c r="A336" s="29">
        <v>331</v>
      </c>
      <c r="B336" s="30" t="s">
        <v>21</v>
      </c>
      <c r="C336" s="30"/>
      <c r="D336" s="30" t="s">
        <v>1041</v>
      </c>
      <c r="E336" s="30" t="s">
        <v>1042</v>
      </c>
      <c r="F336" s="30" t="s">
        <v>1043</v>
      </c>
      <c r="G336" s="30" t="s">
        <v>117</v>
      </c>
      <c r="H336" s="30" t="s">
        <v>385</v>
      </c>
      <c r="I336" s="30" t="s">
        <v>119</v>
      </c>
      <c r="J336" s="30" t="s">
        <v>1044</v>
      </c>
      <c r="K336" s="30" t="s">
        <v>1044</v>
      </c>
      <c r="L336" s="30" t="s">
        <v>766</v>
      </c>
      <c r="M336" s="30">
        <v>1000737</v>
      </c>
      <c r="N336" s="30" t="s">
        <v>138</v>
      </c>
      <c r="O336" s="30" t="s">
        <v>1258</v>
      </c>
      <c r="P336" s="30" t="s">
        <v>768</v>
      </c>
      <c r="Q336" s="30" t="s">
        <v>769</v>
      </c>
      <c r="R336" s="30"/>
      <c r="S336" s="30" t="s">
        <v>1259</v>
      </c>
      <c r="T336" s="30"/>
      <c r="U336" s="30" t="s">
        <v>144</v>
      </c>
      <c r="V336" s="30" t="s">
        <v>415</v>
      </c>
      <c r="W336" s="30" t="s">
        <v>1048</v>
      </c>
      <c r="X336" s="30"/>
      <c r="Y336" s="30" t="s">
        <v>576</v>
      </c>
      <c r="Z336" s="30" t="s">
        <v>576</v>
      </c>
      <c r="AA336" s="48" t="s">
        <v>148</v>
      </c>
      <c r="AB336" s="30" t="s">
        <v>773</v>
      </c>
      <c r="AC336" s="30" t="s">
        <v>773</v>
      </c>
      <c r="AD336" s="30"/>
      <c r="AE336" s="30"/>
      <c r="AF336" s="48" t="s">
        <v>604</v>
      </c>
      <c r="AG336" s="30" t="s">
        <v>774</v>
      </c>
      <c r="AH336" s="48" t="s">
        <v>775</v>
      </c>
      <c r="AI336" s="30"/>
      <c r="AJ336" s="50">
        <v>38803</v>
      </c>
      <c r="AK336" s="50">
        <v>38929</v>
      </c>
      <c r="AL336" s="51">
        <f t="shared" si="180"/>
        <v>19.265753424657536</v>
      </c>
      <c r="AM336" s="30">
        <v>8</v>
      </c>
      <c r="AN336" s="30" t="s">
        <v>1057</v>
      </c>
      <c r="AO336" s="30" t="s">
        <v>1050</v>
      </c>
      <c r="AP336" s="30" t="s">
        <v>1051</v>
      </c>
      <c r="AQ336" s="30">
        <v>6.24</v>
      </c>
      <c r="AR336" s="30">
        <v>1150</v>
      </c>
      <c r="AS336" s="30">
        <v>1200</v>
      </c>
      <c r="AT336" s="30">
        <v>2100</v>
      </c>
      <c r="AU336" s="74">
        <v>159707767</v>
      </c>
      <c r="AV336" s="54"/>
      <c r="AW336" s="54"/>
      <c r="AX336" s="54"/>
      <c r="AY336" s="54">
        <v>159706767</v>
      </c>
      <c r="AZ336" s="54">
        <v>0</v>
      </c>
      <c r="BA336" s="74">
        <v>1000</v>
      </c>
      <c r="BB336" s="55">
        <f>VLOOKUP(M336,[1]Sheet1!$E$6:$F$556,2,FALSE)</f>
        <v>1000</v>
      </c>
      <c r="BC336" s="74"/>
      <c r="BD336" s="74"/>
      <c r="BE336" s="30"/>
      <c r="BF336" s="30" t="s">
        <v>1052</v>
      </c>
      <c r="BG336" s="30" t="s">
        <v>1053</v>
      </c>
      <c r="BH336" s="30" t="s">
        <v>1054</v>
      </c>
      <c r="BI336" s="30" t="str">
        <f t="shared" si="212"/>
        <v>COF(Assy_FT)</v>
      </c>
      <c r="BJ336" s="30" t="s">
        <v>250</v>
      </c>
      <c r="BK336" s="56">
        <f t="shared" si="181"/>
        <v>3194155.34</v>
      </c>
      <c r="BL336" s="57">
        <f t="shared" si="204"/>
        <v>99817.354374999995</v>
      </c>
      <c r="BM336" s="57">
        <f t="shared" si="205"/>
        <v>33272.451458333329</v>
      </c>
      <c r="BU336" s="58">
        <f>BM336*3</f>
        <v>99817.354374999995</v>
      </c>
      <c r="BV336" s="58">
        <f t="shared" si="222"/>
        <v>99817.354374999995</v>
      </c>
      <c r="BW336" s="58">
        <f t="shared" si="200"/>
        <v>199634.70874999999</v>
      </c>
      <c r="BX336" s="58">
        <f t="shared" si="201"/>
        <v>99817.354374999995</v>
      </c>
      <c r="BY336" s="58">
        <f t="shared" si="199"/>
        <v>99817.354374999995</v>
      </c>
      <c r="BZ336" s="58">
        <f>BM336*3</f>
        <v>99817.354374999995</v>
      </c>
      <c r="CA336" s="58">
        <f t="shared" si="199"/>
        <v>99817.354374999995</v>
      </c>
      <c r="CB336" s="58">
        <f t="shared" si="216"/>
        <v>399269.41749999998</v>
      </c>
      <c r="CC336" s="58">
        <f t="shared" si="217"/>
        <v>99817.354374999995</v>
      </c>
      <c r="CD336" s="58">
        <f t="shared" si="218"/>
        <v>99817.354374999995</v>
      </c>
      <c r="CE336" s="58">
        <f t="shared" si="218"/>
        <v>99817.354374999995</v>
      </c>
      <c r="CF336" s="58">
        <f t="shared" si="218"/>
        <v>99817.354374999995</v>
      </c>
      <c r="CG336" s="58">
        <f t="shared" si="219"/>
        <v>399269.41749999998</v>
      </c>
      <c r="CH336" s="58">
        <f t="shared" si="211"/>
        <v>99817.354374999995</v>
      </c>
      <c r="CI336" s="58">
        <f t="shared" si="220"/>
        <v>99817.354374999995</v>
      </c>
      <c r="CJ336" s="58">
        <f t="shared" si="220"/>
        <v>99817.354374999995</v>
      </c>
      <c r="CK336" s="58">
        <f t="shared" si="220"/>
        <v>99817.354374999995</v>
      </c>
      <c r="CL336" s="58">
        <f>SUM(CH336:CK336)</f>
        <v>399269.41749999998</v>
      </c>
      <c r="CP336" s="2">
        <f t="shared" si="214"/>
        <v>3194155.34</v>
      </c>
    </row>
    <row r="337" spans="1:94" ht="16.5" hidden="1" x14ac:dyDescent="0.3">
      <c r="A337" s="2">
        <v>332</v>
      </c>
      <c r="B337" s="47" t="s">
        <v>21</v>
      </c>
      <c r="C337" s="47"/>
      <c r="D337" s="30" t="s">
        <v>1041</v>
      </c>
      <c r="E337" s="30" t="s">
        <v>1042</v>
      </c>
      <c r="F337" s="30" t="s">
        <v>1043</v>
      </c>
      <c r="G337" s="30" t="s">
        <v>117</v>
      </c>
      <c r="H337" s="30" t="s">
        <v>1058</v>
      </c>
      <c r="I337" s="30" t="s">
        <v>119</v>
      </c>
      <c r="J337" s="30" t="s">
        <v>1044</v>
      </c>
      <c r="K337" s="30" t="s">
        <v>1044</v>
      </c>
      <c r="L337" s="30" t="s">
        <v>1130</v>
      </c>
      <c r="M337" s="30">
        <v>1005963</v>
      </c>
      <c r="N337" s="30" t="s">
        <v>138</v>
      </c>
      <c r="O337" s="30" t="s">
        <v>1260</v>
      </c>
      <c r="P337" s="30" t="s">
        <v>1179</v>
      </c>
      <c r="Q337" s="30" t="s">
        <v>1180</v>
      </c>
      <c r="R337" s="30" t="s">
        <v>1181</v>
      </c>
      <c r="S337" s="30" t="s">
        <v>1261</v>
      </c>
      <c r="T337" s="30" t="s">
        <v>1183</v>
      </c>
      <c r="U337" s="30" t="s">
        <v>144</v>
      </c>
      <c r="V337" s="30" t="s">
        <v>415</v>
      </c>
      <c r="W337" s="30" t="s">
        <v>1184</v>
      </c>
      <c r="X337" s="30" t="s">
        <v>127</v>
      </c>
      <c r="Y337" s="30" t="s">
        <v>576</v>
      </c>
      <c r="Z337" s="30" t="s">
        <v>576</v>
      </c>
      <c r="AA337" s="30" t="s">
        <v>148</v>
      </c>
      <c r="AB337" s="30" t="s">
        <v>1185</v>
      </c>
      <c r="AC337" s="30" t="s">
        <v>1185</v>
      </c>
      <c r="AD337" s="30"/>
      <c r="AE337" s="30"/>
      <c r="AF337" s="30" t="s">
        <v>593</v>
      </c>
      <c r="AG337" s="30" t="s">
        <v>774</v>
      </c>
      <c r="AH337" s="30" t="s">
        <v>1186</v>
      </c>
      <c r="AI337" s="30"/>
      <c r="AJ337" s="50">
        <v>43619</v>
      </c>
      <c r="AK337" s="50">
        <v>43619</v>
      </c>
      <c r="AL337" s="51">
        <f t="shared" ref="AL337:AL400" si="223">($AL$1-AK337)/365</f>
        <v>6.4164383561643836</v>
      </c>
      <c r="AM337" s="30">
        <v>8</v>
      </c>
      <c r="AN337" s="30" t="s">
        <v>1065</v>
      </c>
      <c r="AO337" s="30" t="s">
        <v>1050</v>
      </c>
      <c r="AP337" s="30" t="s">
        <v>1051</v>
      </c>
      <c r="AQ337" s="30">
        <v>3.6</v>
      </c>
      <c r="AR337" s="30">
        <v>2820</v>
      </c>
      <c r="AS337" s="30">
        <v>1154</v>
      </c>
      <c r="AT337" s="30">
        <v>2020</v>
      </c>
      <c r="AU337" s="54">
        <v>457929945</v>
      </c>
      <c r="AV337" s="54"/>
      <c r="AW337" s="54"/>
      <c r="AX337" s="54"/>
      <c r="AY337" s="54">
        <v>343404332</v>
      </c>
      <c r="AZ337" s="54">
        <v>4770104</v>
      </c>
      <c r="BA337" s="54">
        <v>100215301</v>
      </c>
      <c r="BB337" s="55">
        <f>VLOOKUP(M337,[1]Sheet1!$E$6:$F$556,2,FALSE)</f>
        <v>7872252</v>
      </c>
      <c r="BC337" s="74"/>
      <c r="BD337" s="74"/>
      <c r="BE337" s="128">
        <v>24.00903900627743</v>
      </c>
      <c r="BF337" s="30" t="s">
        <v>1134</v>
      </c>
      <c r="BG337" s="30" t="s">
        <v>1074</v>
      </c>
      <c r="BH337" s="30" t="s">
        <v>1054</v>
      </c>
      <c r="BI337" s="30" t="str">
        <f t="shared" si="212"/>
        <v>COF(Assy_FT)</v>
      </c>
      <c r="BJ337" s="47" t="s">
        <v>137</v>
      </c>
      <c r="BK337" s="56">
        <f t="shared" ref="BK337:BK400" si="224">IF(OR(BA337=1000, BA337=0), AU337*$BQ$1, BA337*(1+$BL$2))</f>
        <v>105226066.05</v>
      </c>
      <c r="BL337" s="57">
        <f t="shared" si="204"/>
        <v>10031065.962059181</v>
      </c>
      <c r="BM337" s="57">
        <f t="shared" si="205"/>
        <v>3343688.6540197269</v>
      </c>
      <c r="BU337" s="58">
        <f>BM337*3</f>
        <v>10031065.962059181</v>
      </c>
      <c r="BV337" s="58">
        <f t="shared" si="222"/>
        <v>10031065.962059181</v>
      </c>
      <c r="BW337" s="58">
        <f t="shared" si="200"/>
        <v>20062131.924118362</v>
      </c>
      <c r="BX337" s="58">
        <f t="shared" si="201"/>
        <v>10031065.962059181</v>
      </c>
      <c r="BY337" s="58">
        <f t="shared" si="199"/>
        <v>10031065.962059181</v>
      </c>
      <c r="BZ337" s="58">
        <f>BM337*3</f>
        <v>10031065.962059181</v>
      </c>
      <c r="CA337" s="58">
        <f t="shared" si="199"/>
        <v>10031065.962059181</v>
      </c>
      <c r="CB337" s="58">
        <f t="shared" si="216"/>
        <v>40124263.848236725</v>
      </c>
      <c r="CC337" s="58">
        <f t="shared" si="217"/>
        <v>10031065.962059181</v>
      </c>
      <c r="CD337" s="58">
        <f t="shared" si="218"/>
        <v>10031065.962059181</v>
      </c>
      <c r="CE337" s="58">
        <f t="shared" si="218"/>
        <v>10031065.962059181</v>
      </c>
      <c r="CF337" s="58">
        <f t="shared" si="218"/>
        <v>10031065.962059181</v>
      </c>
      <c r="CG337" s="58">
        <f t="shared" si="219"/>
        <v>40124263.848236725</v>
      </c>
      <c r="CH337" s="58">
        <f t="shared" si="211"/>
        <v>10031065.962059181</v>
      </c>
      <c r="CI337" s="58">
        <f t="shared" si="220"/>
        <v>10031065.962059181</v>
      </c>
      <c r="CJ337" s="58">
        <f t="shared" si="220"/>
        <v>10031065.962059181</v>
      </c>
      <c r="CK337" s="58">
        <f t="shared" si="220"/>
        <v>10031065.962059181</v>
      </c>
      <c r="CL337" s="58">
        <f>SUM(CH337:CK337)</f>
        <v>40124263.848236725</v>
      </c>
      <c r="CN337" s="59">
        <f t="shared" ref="CN337:CN344" si="225">BK337/$CN$3</f>
        <v>1.0274668796947323E-2</v>
      </c>
      <c r="CO337" s="64">
        <f t="shared" ref="CO337:CO344" si="226">CN337*$CO$4</f>
        <v>215768044.73589379</v>
      </c>
      <c r="CP337" s="2">
        <f t="shared" si="214"/>
        <v>320994110.7858938</v>
      </c>
    </row>
    <row r="338" spans="1:94" ht="16.5" hidden="1" x14ac:dyDescent="0.3">
      <c r="A338" s="2">
        <v>333</v>
      </c>
      <c r="B338" s="47" t="s">
        <v>21</v>
      </c>
      <c r="C338" s="47"/>
      <c r="D338" s="30" t="s">
        <v>1041</v>
      </c>
      <c r="E338" s="30" t="s">
        <v>1042</v>
      </c>
      <c r="F338" s="30" t="s">
        <v>1043</v>
      </c>
      <c r="G338" s="30" t="s">
        <v>117</v>
      </c>
      <c r="H338" s="30" t="s">
        <v>1058</v>
      </c>
      <c r="I338" s="30" t="s">
        <v>119</v>
      </c>
      <c r="J338" s="30" t="s">
        <v>1044</v>
      </c>
      <c r="K338" s="30" t="s">
        <v>1044</v>
      </c>
      <c r="L338" s="30" t="s">
        <v>1130</v>
      </c>
      <c r="M338" s="30">
        <v>1005962</v>
      </c>
      <c r="N338" s="30" t="s">
        <v>138</v>
      </c>
      <c r="O338" s="30" t="s">
        <v>1262</v>
      </c>
      <c r="P338" s="30" t="s">
        <v>1179</v>
      </c>
      <c r="Q338" s="30" t="s">
        <v>1180</v>
      </c>
      <c r="R338" s="30" t="s">
        <v>1181</v>
      </c>
      <c r="S338" s="30" t="s">
        <v>1263</v>
      </c>
      <c r="T338" s="30" t="s">
        <v>1183</v>
      </c>
      <c r="U338" s="30" t="s">
        <v>144</v>
      </c>
      <c r="V338" s="30" t="s">
        <v>415</v>
      </c>
      <c r="W338" s="30" t="s">
        <v>1184</v>
      </c>
      <c r="X338" s="30" t="s">
        <v>127</v>
      </c>
      <c r="Y338" s="30" t="s">
        <v>576</v>
      </c>
      <c r="Z338" s="30" t="s">
        <v>576</v>
      </c>
      <c r="AA338" s="30" t="s">
        <v>148</v>
      </c>
      <c r="AB338" s="30" t="s">
        <v>1185</v>
      </c>
      <c r="AC338" s="30" t="s">
        <v>1185</v>
      </c>
      <c r="AD338" s="30"/>
      <c r="AE338" s="30"/>
      <c r="AF338" s="30" t="s">
        <v>593</v>
      </c>
      <c r="AG338" s="30" t="s">
        <v>774</v>
      </c>
      <c r="AH338" s="30" t="s">
        <v>1186</v>
      </c>
      <c r="AI338" s="30"/>
      <c r="AJ338" s="50">
        <v>43619</v>
      </c>
      <c r="AK338" s="50">
        <v>43619</v>
      </c>
      <c r="AL338" s="51">
        <f t="shared" si="223"/>
        <v>6.4164383561643836</v>
      </c>
      <c r="AM338" s="30">
        <v>8</v>
      </c>
      <c r="AN338" s="30" t="s">
        <v>1065</v>
      </c>
      <c r="AO338" s="30" t="s">
        <v>1050</v>
      </c>
      <c r="AP338" s="30" t="s">
        <v>1051</v>
      </c>
      <c r="AQ338" s="30">
        <v>3.6</v>
      </c>
      <c r="AR338" s="30">
        <v>2820</v>
      </c>
      <c r="AS338" s="30">
        <v>1154</v>
      </c>
      <c r="AT338" s="30">
        <v>2020</v>
      </c>
      <c r="AU338" s="54">
        <v>468429944</v>
      </c>
      <c r="AV338" s="54"/>
      <c r="AW338" s="54"/>
      <c r="AX338" s="54"/>
      <c r="AY338" s="54">
        <v>348544954</v>
      </c>
      <c r="AZ338" s="54">
        <v>4879479</v>
      </c>
      <c r="BA338" s="54">
        <v>105246553</v>
      </c>
      <c r="BB338" s="55">
        <f>VLOOKUP(M338,[1]Sheet1!$E$6:$F$556,2,FALSE)</f>
        <v>8290065</v>
      </c>
      <c r="BC338" s="74"/>
      <c r="BD338" s="74"/>
      <c r="BE338" s="128">
        <v>24.569219377724547</v>
      </c>
      <c r="BF338" s="30" t="s">
        <v>1134</v>
      </c>
      <c r="BG338" s="30" t="s">
        <v>1074</v>
      </c>
      <c r="BH338" s="30" t="s">
        <v>1054</v>
      </c>
      <c r="BI338" s="30" t="str">
        <f t="shared" si="212"/>
        <v>COF(Assy_FT)</v>
      </c>
      <c r="BJ338" s="47" t="s">
        <v>137</v>
      </c>
      <c r="BK338" s="56">
        <f t="shared" si="224"/>
        <v>110508880.65000001</v>
      </c>
      <c r="BL338" s="57">
        <f t="shared" si="204"/>
        <v>10534669.904572334</v>
      </c>
      <c r="BM338" s="57">
        <f t="shared" si="205"/>
        <v>3511556.6348574446</v>
      </c>
      <c r="BU338" s="58">
        <f>BM338*3</f>
        <v>10534669.904572334</v>
      </c>
      <c r="BV338" s="58">
        <f t="shared" si="222"/>
        <v>10534669.904572334</v>
      </c>
      <c r="BW338" s="58">
        <f t="shared" si="200"/>
        <v>21069339.809144668</v>
      </c>
      <c r="BX338" s="58">
        <f t="shared" si="201"/>
        <v>10534669.904572334</v>
      </c>
      <c r="BY338" s="58">
        <f t="shared" si="199"/>
        <v>10534669.904572334</v>
      </c>
      <c r="BZ338" s="58">
        <f>BM338*3</f>
        <v>10534669.904572334</v>
      </c>
      <c r="CA338" s="58">
        <f t="shared" si="199"/>
        <v>10534669.904572334</v>
      </c>
      <c r="CB338" s="58">
        <f t="shared" si="216"/>
        <v>42138679.618289337</v>
      </c>
      <c r="CC338" s="58">
        <f t="shared" si="217"/>
        <v>10534669.904572334</v>
      </c>
      <c r="CD338" s="58">
        <f t="shared" si="218"/>
        <v>10534669.904572334</v>
      </c>
      <c r="CE338" s="58">
        <f t="shared" si="218"/>
        <v>10534669.904572334</v>
      </c>
      <c r="CF338" s="58">
        <f t="shared" si="218"/>
        <v>10534669.904572334</v>
      </c>
      <c r="CG338" s="58">
        <f t="shared" si="219"/>
        <v>42138679.618289337</v>
      </c>
      <c r="CH338" s="58">
        <f t="shared" si="211"/>
        <v>10534669.904572334</v>
      </c>
      <c r="CI338" s="58">
        <f t="shared" si="220"/>
        <v>10534669.904572334</v>
      </c>
      <c r="CJ338" s="58">
        <f t="shared" si="220"/>
        <v>10534669.904572334</v>
      </c>
      <c r="CK338" s="58">
        <f t="shared" si="220"/>
        <v>10534669.904572334</v>
      </c>
      <c r="CL338" s="58">
        <f>SUM(CH338:CK338)</f>
        <v>42138679.618289337</v>
      </c>
      <c r="CN338" s="59">
        <f t="shared" si="225"/>
        <v>1.0790502680776888E-2</v>
      </c>
      <c r="CO338" s="64">
        <f t="shared" si="226"/>
        <v>226600556.29631466</v>
      </c>
      <c r="CP338" s="2">
        <f t="shared" si="214"/>
        <v>337109436.94631469</v>
      </c>
    </row>
    <row r="339" spans="1:94" ht="16.5" hidden="1" x14ac:dyDescent="0.3">
      <c r="A339" s="2">
        <v>334</v>
      </c>
      <c r="B339" s="47" t="s">
        <v>21</v>
      </c>
      <c r="C339" s="47"/>
      <c r="D339" s="30" t="s">
        <v>1041</v>
      </c>
      <c r="E339" s="30" t="s">
        <v>1042</v>
      </c>
      <c r="F339" s="30" t="s">
        <v>1043</v>
      </c>
      <c r="G339" s="30" t="s">
        <v>117</v>
      </c>
      <c r="H339" s="30" t="s">
        <v>1058</v>
      </c>
      <c r="I339" s="30" t="s">
        <v>119</v>
      </c>
      <c r="J339" s="30" t="s">
        <v>1044</v>
      </c>
      <c r="K339" s="30" t="s">
        <v>1044</v>
      </c>
      <c r="L339" s="30" t="s">
        <v>1109</v>
      </c>
      <c r="M339" s="30">
        <v>1001445</v>
      </c>
      <c r="N339" s="30" t="s">
        <v>138</v>
      </c>
      <c r="O339" s="30" t="s">
        <v>1264</v>
      </c>
      <c r="P339" s="30" t="s">
        <v>1210</v>
      </c>
      <c r="Q339" s="30" t="s">
        <v>585</v>
      </c>
      <c r="R339" s="30"/>
      <c r="S339" s="30" t="s">
        <v>1265</v>
      </c>
      <c r="T339" s="30"/>
      <c r="U339" s="30" t="s">
        <v>144</v>
      </c>
      <c r="V339" s="30" t="s">
        <v>437</v>
      </c>
      <c r="W339" s="30" t="s">
        <v>1212</v>
      </c>
      <c r="X339" s="30" t="s">
        <v>147</v>
      </c>
      <c r="Y339" s="125" t="s">
        <v>576</v>
      </c>
      <c r="Z339" s="125" t="s">
        <v>576</v>
      </c>
      <c r="AA339" s="30" t="s">
        <v>129</v>
      </c>
      <c r="AB339" s="30" t="s">
        <v>1114</v>
      </c>
      <c r="AC339" s="30" t="s">
        <v>1114</v>
      </c>
      <c r="AD339" s="30" t="s">
        <v>1115</v>
      </c>
      <c r="AE339" s="30"/>
      <c r="AF339" s="30" t="s">
        <v>131</v>
      </c>
      <c r="AG339" s="30" t="s">
        <v>774</v>
      </c>
      <c r="AH339" s="30" t="s">
        <v>1116</v>
      </c>
      <c r="AI339" s="30"/>
      <c r="AJ339" s="50">
        <v>39975</v>
      </c>
      <c r="AK339" s="50">
        <v>39975</v>
      </c>
      <c r="AL339" s="51">
        <f t="shared" si="223"/>
        <v>16.399999999999999</v>
      </c>
      <c r="AM339" s="30">
        <v>8</v>
      </c>
      <c r="AN339" s="30" t="s">
        <v>1065</v>
      </c>
      <c r="AO339" s="30" t="s">
        <v>1050</v>
      </c>
      <c r="AP339" s="30" t="s">
        <v>1051</v>
      </c>
      <c r="AQ339" s="30">
        <v>5.3</v>
      </c>
      <c r="AR339" s="30">
        <v>1470</v>
      </c>
      <c r="AS339" s="30">
        <v>950</v>
      </c>
      <c r="AT339" s="30">
        <v>1550</v>
      </c>
      <c r="AU339" s="54">
        <v>7215000</v>
      </c>
      <c r="AV339" s="54"/>
      <c r="AW339" s="54"/>
      <c r="AX339" s="54"/>
      <c r="AY339" s="54">
        <v>7214000</v>
      </c>
      <c r="AZ339" s="54">
        <v>0</v>
      </c>
      <c r="BA339" s="54">
        <v>1000</v>
      </c>
      <c r="BB339" s="55">
        <f>VLOOKUP(M339,[1]Sheet1!$E$6:$F$556,2,FALSE)</f>
        <v>1000</v>
      </c>
      <c r="BC339" s="74"/>
      <c r="BD339" s="74"/>
      <c r="BE339" s="30"/>
      <c r="BF339" s="30" t="s">
        <v>1052</v>
      </c>
      <c r="BG339" s="30" t="s">
        <v>1117</v>
      </c>
      <c r="BH339" s="30" t="s">
        <v>1054</v>
      </c>
      <c r="BI339" s="30" t="str">
        <f t="shared" si="212"/>
        <v>COF(Assy_FT)</v>
      </c>
      <c r="BJ339" s="47" t="s">
        <v>137</v>
      </c>
      <c r="BK339" s="67">
        <f t="shared" si="224"/>
        <v>144300</v>
      </c>
      <c r="BL339" s="68">
        <f t="shared" si="204"/>
        <v>13755.93398728166</v>
      </c>
      <c r="BM339" s="68">
        <f t="shared" si="205"/>
        <v>4585.3113290938863</v>
      </c>
      <c r="BP339" s="69">
        <f t="shared" si="195"/>
        <v>13755.93398728166</v>
      </c>
      <c r="BQ339" s="69">
        <f t="shared" si="196"/>
        <v>13755.93398728166</v>
      </c>
      <c r="BR339" s="69">
        <f>SUM(BN339:BQ339)</f>
        <v>27511.86797456332</v>
      </c>
      <c r="BS339" s="69">
        <f t="shared" si="197"/>
        <v>13755.93398728166</v>
      </c>
      <c r="BT339" s="69">
        <f t="shared" si="222"/>
        <v>13755.93398728166</v>
      </c>
      <c r="BU339" s="100">
        <f t="shared" si="222"/>
        <v>13755.93398728166</v>
      </c>
      <c r="BV339" s="100">
        <f t="shared" si="222"/>
        <v>13755.93398728166</v>
      </c>
      <c r="BW339" s="100">
        <f t="shared" si="200"/>
        <v>55023.73594912664</v>
      </c>
      <c r="BX339" s="101">
        <f t="shared" si="201"/>
        <v>13755.93398728166</v>
      </c>
      <c r="BY339" s="101">
        <f t="shared" si="199"/>
        <v>13755.93398728166</v>
      </c>
      <c r="BZ339" s="18">
        <f t="shared" si="199"/>
        <v>13755.93398728166</v>
      </c>
      <c r="CA339" s="18">
        <f t="shared" si="199"/>
        <v>13755.93398728166</v>
      </c>
      <c r="CB339" s="70">
        <f t="shared" si="216"/>
        <v>55023.73594912664</v>
      </c>
      <c r="CC339" s="18">
        <f t="shared" si="217"/>
        <v>13755.93398728166</v>
      </c>
      <c r="CD339" s="18">
        <f t="shared" si="218"/>
        <v>13755.93398728166</v>
      </c>
      <c r="CE339" s="18">
        <f t="shared" si="218"/>
        <v>13755.93398728166</v>
      </c>
      <c r="CF339" s="18">
        <f t="shared" si="218"/>
        <v>13755.93398728166</v>
      </c>
      <c r="CG339" s="70">
        <f t="shared" si="219"/>
        <v>55023.73594912664</v>
      </c>
      <c r="CH339" s="18">
        <f t="shared" si="211"/>
        <v>13755.93398728166</v>
      </c>
      <c r="CI339" s="18">
        <f t="shared" si="220"/>
        <v>13755.93398728166</v>
      </c>
      <c r="CJ339" s="18">
        <f t="shared" si="220"/>
        <v>13755.93398728166</v>
      </c>
      <c r="CK339" s="18">
        <f t="shared" si="220"/>
        <v>13755.93398728166</v>
      </c>
      <c r="CL339" s="70">
        <f t="shared" si="221"/>
        <v>55023.73594912664</v>
      </c>
      <c r="CM339" s="71"/>
      <c r="CN339" s="59">
        <f t="shared" si="225"/>
        <v>1.408999464728634E-5</v>
      </c>
      <c r="CO339" s="64">
        <f t="shared" si="226"/>
        <v>295889.88759301312</v>
      </c>
      <c r="CP339" s="2">
        <f t="shared" si="214"/>
        <v>440189.88759301312</v>
      </c>
    </row>
    <row r="340" spans="1:94" ht="16.5" hidden="1" x14ac:dyDescent="0.3">
      <c r="A340" s="2">
        <v>335</v>
      </c>
      <c r="B340" s="47" t="s">
        <v>21</v>
      </c>
      <c r="C340" s="47"/>
      <c r="D340" s="30" t="s">
        <v>1041</v>
      </c>
      <c r="E340" s="30" t="s">
        <v>1042</v>
      </c>
      <c r="F340" s="30" t="s">
        <v>1043</v>
      </c>
      <c r="G340" s="30" t="s">
        <v>117</v>
      </c>
      <c r="H340" s="30" t="s">
        <v>1058</v>
      </c>
      <c r="I340" s="30" t="s">
        <v>119</v>
      </c>
      <c r="J340" s="30" t="s">
        <v>1044</v>
      </c>
      <c r="K340" s="30" t="s">
        <v>1044</v>
      </c>
      <c r="L340" s="30" t="s">
        <v>1109</v>
      </c>
      <c r="M340" s="30">
        <v>1001443</v>
      </c>
      <c r="N340" s="30" t="s">
        <v>138</v>
      </c>
      <c r="O340" s="30" t="s">
        <v>1266</v>
      </c>
      <c r="P340" s="30" t="s">
        <v>1210</v>
      </c>
      <c r="Q340" s="30" t="s">
        <v>585</v>
      </c>
      <c r="R340" s="30"/>
      <c r="S340" s="30" t="s">
        <v>1267</v>
      </c>
      <c r="T340" s="30"/>
      <c r="U340" s="30" t="s">
        <v>144</v>
      </c>
      <c r="V340" s="30" t="s">
        <v>437</v>
      </c>
      <c r="W340" s="30" t="s">
        <v>1212</v>
      </c>
      <c r="X340" s="30" t="s">
        <v>147</v>
      </c>
      <c r="Y340" s="125" t="s">
        <v>128</v>
      </c>
      <c r="Z340" s="125" t="s">
        <v>128</v>
      </c>
      <c r="AA340" s="30" t="s">
        <v>129</v>
      </c>
      <c r="AB340" s="30" t="s">
        <v>1114</v>
      </c>
      <c r="AC340" s="30" t="s">
        <v>1114</v>
      </c>
      <c r="AD340" s="30" t="s">
        <v>1115</v>
      </c>
      <c r="AE340" s="30"/>
      <c r="AF340" s="30" t="s">
        <v>131</v>
      </c>
      <c r="AG340" s="30" t="s">
        <v>774</v>
      </c>
      <c r="AH340" s="30" t="s">
        <v>1116</v>
      </c>
      <c r="AI340" s="30"/>
      <c r="AJ340" s="50">
        <v>39975</v>
      </c>
      <c r="AK340" s="50">
        <v>39975</v>
      </c>
      <c r="AL340" s="51">
        <f t="shared" si="223"/>
        <v>16.399999999999999</v>
      </c>
      <c r="AM340" s="30">
        <v>8</v>
      </c>
      <c r="AN340" s="30" t="s">
        <v>1065</v>
      </c>
      <c r="AO340" s="30" t="s">
        <v>1050</v>
      </c>
      <c r="AP340" s="30" t="s">
        <v>1051</v>
      </c>
      <c r="AQ340" s="30">
        <v>5.3</v>
      </c>
      <c r="AR340" s="30">
        <v>1470</v>
      </c>
      <c r="AS340" s="30">
        <v>950</v>
      </c>
      <c r="AT340" s="30">
        <v>1550</v>
      </c>
      <c r="AU340" s="54">
        <v>7215000</v>
      </c>
      <c r="AV340" s="54"/>
      <c r="AW340" s="54"/>
      <c r="AX340" s="54"/>
      <c r="AY340" s="54">
        <v>7214000</v>
      </c>
      <c r="AZ340" s="54">
        <v>0</v>
      </c>
      <c r="BA340" s="54">
        <v>1000</v>
      </c>
      <c r="BB340" s="55">
        <f>VLOOKUP(M340,[1]Sheet1!$E$6:$F$556,2,FALSE)</f>
        <v>1000</v>
      </c>
      <c r="BC340" s="74"/>
      <c r="BD340" s="74"/>
      <c r="BE340" s="30"/>
      <c r="BF340" s="30" t="s">
        <v>1052</v>
      </c>
      <c r="BG340" s="30" t="s">
        <v>1117</v>
      </c>
      <c r="BH340" s="30" t="s">
        <v>1054</v>
      </c>
      <c r="BI340" s="30" t="str">
        <f t="shared" si="212"/>
        <v>COF(Assy_FT)</v>
      </c>
      <c r="BJ340" s="47" t="s">
        <v>137</v>
      </c>
      <c r="BK340" s="67">
        <f t="shared" si="224"/>
        <v>144300</v>
      </c>
      <c r="BL340" s="68">
        <f t="shared" si="204"/>
        <v>13755.93398728166</v>
      </c>
      <c r="BM340" s="68">
        <f t="shared" si="205"/>
        <v>4585.3113290938863</v>
      </c>
      <c r="BP340" s="69">
        <f t="shared" si="195"/>
        <v>13755.93398728166</v>
      </c>
      <c r="BQ340" s="69">
        <f t="shared" si="196"/>
        <v>13755.93398728166</v>
      </c>
      <c r="BR340" s="69">
        <f>SUM(BN340:BQ340)</f>
        <v>27511.86797456332</v>
      </c>
      <c r="BS340" s="69">
        <f t="shared" si="197"/>
        <v>13755.93398728166</v>
      </c>
      <c r="BT340" s="69">
        <f t="shared" si="222"/>
        <v>13755.93398728166</v>
      </c>
      <c r="BU340" s="100">
        <f t="shared" si="222"/>
        <v>13755.93398728166</v>
      </c>
      <c r="BV340" s="100">
        <f t="shared" si="222"/>
        <v>13755.93398728166</v>
      </c>
      <c r="BW340" s="100">
        <f t="shared" si="200"/>
        <v>55023.73594912664</v>
      </c>
      <c r="BX340" s="101">
        <f t="shared" si="201"/>
        <v>13755.93398728166</v>
      </c>
      <c r="BY340" s="101">
        <f t="shared" si="199"/>
        <v>13755.93398728166</v>
      </c>
      <c r="BZ340" s="18">
        <f t="shared" si="199"/>
        <v>13755.93398728166</v>
      </c>
      <c r="CA340" s="18">
        <f t="shared" si="199"/>
        <v>13755.93398728166</v>
      </c>
      <c r="CB340" s="70">
        <f t="shared" si="216"/>
        <v>55023.73594912664</v>
      </c>
      <c r="CC340" s="18">
        <f t="shared" si="217"/>
        <v>13755.93398728166</v>
      </c>
      <c r="CD340" s="18">
        <f t="shared" si="218"/>
        <v>13755.93398728166</v>
      </c>
      <c r="CE340" s="18">
        <f t="shared" si="218"/>
        <v>13755.93398728166</v>
      </c>
      <c r="CF340" s="18">
        <f t="shared" si="218"/>
        <v>13755.93398728166</v>
      </c>
      <c r="CG340" s="70">
        <f t="shared" si="219"/>
        <v>55023.73594912664</v>
      </c>
      <c r="CH340" s="18">
        <f t="shared" si="211"/>
        <v>13755.93398728166</v>
      </c>
      <c r="CI340" s="18">
        <f t="shared" si="220"/>
        <v>13755.93398728166</v>
      </c>
      <c r="CJ340" s="18">
        <f t="shared" si="220"/>
        <v>13755.93398728166</v>
      </c>
      <c r="CK340" s="18">
        <f t="shared" si="220"/>
        <v>13755.93398728166</v>
      </c>
      <c r="CL340" s="70">
        <f t="shared" si="221"/>
        <v>55023.73594912664</v>
      </c>
      <c r="CM340" s="71"/>
      <c r="CN340" s="59">
        <f t="shared" si="225"/>
        <v>1.408999464728634E-5</v>
      </c>
      <c r="CO340" s="64">
        <f t="shared" si="226"/>
        <v>295889.88759301312</v>
      </c>
      <c r="CP340" s="2">
        <f t="shared" si="214"/>
        <v>440189.88759301312</v>
      </c>
    </row>
    <row r="341" spans="1:94" ht="16.5" hidden="1" x14ac:dyDescent="0.3">
      <c r="A341" s="2">
        <v>336</v>
      </c>
      <c r="B341" s="47" t="s">
        <v>21</v>
      </c>
      <c r="C341" s="47"/>
      <c r="D341" s="30" t="s">
        <v>1041</v>
      </c>
      <c r="E341" s="30" t="s">
        <v>1042</v>
      </c>
      <c r="F341" s="30" t="s">
        <v>1043</v>
      </c>
      <c r="G341" s="30" t="s">
        <v>117</v>
      </c>
      <c r="H341" s="30" t="s">
        <v>1058</v>
      </c>
      <c r="I341" s="30" t="s">
        <v>119</v>
      </c>
      <c r="J341" s="30" t="s">
        <v>1044</v>
      </c>
      <c r="K341" s="30" t="s">
        <v>1044</v>
      </c>
      <c r="L341" s="30" t="s">
        <v>1130</v>
      </c>
      <c r="M341" s="30">
        <v>1005920</v>
      </c>
      <c r="N341" s="30" t="s">
        <v>138</v>
      </c>
      <c r="O341" s="30" t="s">
        <v>1268</v>
      </c>
      <c r="P341" s="30" t="s">
        <v>1179</v>
      </c>
      <c r="Q341" s="30" t="s">
        <v>1180</v>
      </c>
      <c r="R341" s="30" t="s">
        <v>1181</v>
      </c>
      <c r="S341" s="30" t="s">
        <v>1269</v>
      </c>
      <c r="T341" s="30" t="s">
        <v>1183</v>
      </c>
      <c r="U341" s="30" t="s">
        <v>144</v>
      </c>
      <c r="V341" s="30" t="s">
        <v>415</v>
      </c>
      <c r="W341" s="30" t="s">
        <v>1184</v>
      </c>
      <c r="X341" s="30" t="s">
        <v>127</v>
      </c>
      <c r="Y341" s="30" t="s">
        <v>576</v>
      </c>
      <c r="Z341" s="30" t="s">
        <v>576</v>
      </c>
      <c r="AA341" s="30" t="s">
        <v>148</v>
      </c>
      <c r="AB341" s="30" t="s">
        <v>1185</v>
      </c>
      <c r="AC341" s="30" t="s">
        <v>1185</v>
      </c>
      <c r="AD341" s="30"/>
      <c r="AE341" s="30"/>
      <c r="AF341" s="30" t="s">
        <v>593</v>
      </c>
      <c r="AG341" s="30" t="s">
        <v>774</v>
      </c>
      <c r="AH341" s="30" t="s">
        <v>1186</v>
      </c>
      <c r="AI341" s="30"/>
      <c r="AJ341" s="50">
        <v>43587</v>
      </c>
      <c r="AK341" s="50">
        <v>43587</v>
      </c>
      <c r="AL341" s="51">
        <f t="shared" si="223"/>
        <v>6.5041095890410956</v>
      </c>
      <c r="AM341" s="30">
        <v>8</v>
      </c>
      <c r="AN341" s="30" t="s">
        <v>1065</v>
      </c>
      <c r="AO341" s="30" t="s">
        <v>1050</v>
      </c>
      <c r="AP341" s="30" t="s">
        <v>1051</v>
      </c>
      <c r="AQ341" s="30">
        <v>3.6</v>
      </c>
      <c r="AR341" s="30">
        <v>2820</v>
      </c>
      <c r="AS341" s="30">
        <v>1154</v>
      </c>
      <c r="AT341" s="30">
        <v>2020</v>
      </c>
      <c r="AU341" s="54">
        <v>434640597</v>
      </c>
      <c r="AV341" s="54"/>
      <c r="AW341" s="54"/>
      <c r="AX341" s="54"/>
      <c r="AY341" s="54">
        <v>329715047</v>
      </c>
      <c r="AZ341" s="54">
        <v>4527506</v>
      </c>
      <c r="BA341" s="54">
        <v>91343032</v>
      </c>
      <c r="BB341" s="55">
        <f>VLOOKUP(M341,[1]Sheet1!$E$6:$F$556,2,FALSE)</f>
        <v>7048422</v>
      </c>
      <c r="BC341" s="74"/>
      <c r="BD341" s="74"/>
      <c r="BE341" s="128">
        <v>23.175132180940235</v>
      </c>
      <c r="BF341" s="30" t="s">
        <v>1134</v>
      </c>
      <c r="BG341" s="30" t="s">
        <v>1074</v>
      </c>
      <c r="BH341" s="30" t="s">
        <v>1054</v>
      </c>
      <c r="BI341" s="30" t="str">
        <f t="shared" si="212"/>
        <v>COF(Assy_FT)</v>
      </c>
      <c r="BJ341" s="47" t="s">
        <v>137</v>
      </c>
      <c r="BK341" s="56">
        <f t="shared" si="224"/>
        <v>95910183.600000009</v>
      </c>
      <c r="BL341" s="57">
        <f t="shared" si="204"/>
        <v>9142994.8323608059</v>
      </c>
      <c r="BM341" s="57">
        <f t="shared" si="205"/>
        <v>3047664.9441202688</v>
      </c>
      <c r="BU341" s="58">
        <f>BM341*3</f>
        <v>9142994.8323608059</v>
      </c>
      <c r="BV341" s="58">
        <f t="shared" si="222"/>
        <v>9142994.8323608059</v>
      </c>
      <c r="BW341" s="58">
        <f t="shared" si="200"/>
        <v>18285989.664721612</v>
      </c>
      <c r="BX341" s="58">
        <f t="shared" si="201"/>
        <v>9142994.8323608059</v>
      </c>
      <c r="BY341" s="58">
        <f t="shared" si="199"/>
        <v>9142994.8323608059</v>
      </c>
      <c r="BZ341" s="58">
        <f>BM341*3</f>
        <v>9142994.8323608059</v>
      </c>
      <c r="CA341" s="58">
        <f t="shared" si="199"/>
        <v>9142994.8323608059</v>
      </c>
      <c r="CB341" s="58">
        <f t="shared" si="216"/>
        <v>36571979.329443224</v>
      </c>
      <c r="CC341" s="58">
        <f t="shared" si="217"/>
        <v>9142994.8323608059</v>
      </c>
      <c r="CD341" s="58">
        <f t="shared" si="218"/>
        <v>9142994.8323608059</v>
      </c>
      <c r="CE341" s="58">
        <f t="shared" si="218"/>
        <v>9142994.8323608059</v>
      </c>
      <c r="CF341" s="58">
        <f t="shared" si="218"/>
        <v>9142994.8323608059</v>
      </c>
      <c r="CG341" s="58">
        <f t="shared" si="219"/>
        <v>36571979.329443224</v>
      </c>
      <c r="CH341" s="58">
        <f t="shared" si="211"/>
        <v>9142994.8323608059</v>
      </c>
      <c r="CI341" s="58">
        <f t="shared" si="220"/>
        <v>9142994.8323608059</v>
      </c>
      <c r="CJ341" s="58">
        <f t="shared" si="220"/>
        <v>9142994.8323608059</v>
      </c>
      <c r="CK341" s="58">
        <f t="shared" si="220"/>
        <v>9142994.8323608059</v>
      </c>
      <c r="CL341" s="58">
        <f>SUM(CH341:CK341)</f>
        <v>36571979.329443224</v>
      </c>
      <c r="CN341" s="59">
        <f t="shared" si="225"/>
        <v>9.3650310016926558E-3</v>
      </c>
      <c r="CO341" s="64">
        <f t="shared" si="226"/>
        <v>196665651.03554577</v>
      </c>
      <c r="CP341" s="2">
        <f t="shared" si="214"/>
        <v>292575834.63554579</v>
      </c>
    </row>
    <row r="342" spans="1:94" ht="16.5" hidden="1" x14ac:dyDescent="0.3">
      <c r="A342" s="2">
        <v>337</v>
      </c>
      <c r="B342" s="47" t="s">
        <v>21</v>
      </c>
      <c r="C342" s="47"/>
      <c r="D342" s="30" t="s">
        <v>1041</v>
      </c>
      <c r="E342" s="30" t="s">
        <v>1042</v>
      </c>
      <c r="F342" s="30" t="s">
        <v>1043</v>
      </c>
      <c r="G342" s="30" t="s">
        <v>117</v>
      </c>
      <c r="H342" s="30" t="s">
        <v>1058</v>
      </c>
      <c r="I342" s="30" t="s">
        <v>119</v>
      </c>
      <c r="J342" s="30" t="s">
        <v>1044</v>
      </c>
      <c r="K342" s="30" t="s">
        <v>1044</v>
      </c>
      <c r="L342" s="30" t="s">
        <v>1148</v>
      </c>
      <c r="M342" s="30">
        <v>1001447</v>
      </c>
      <c r="N342" s="30" t="s">
        <v>138</v>
      </c>
      <c r="O342" s="30" t="s">
        <v>1270</v>
      </c>
      <c r="P342" s="30" t="s">
        <v>1271</v>
      </c>
      <c r="Q342" s="30" t="s">
        <v>1272</v>
      </c>
      <c r="R342" s="30"/>
      <c r="S342" s="30" t="s">
        <v>1273</v>
      </c>
      <c r="T342" s="30"/>
      <c r="U342" s="30" t="s">
        <v>144</v>
      </c>
      <c r="V342" s="30" t="s">
        <v>437</v>
      </c>
      <c r="W342" s="30" t="s">
        <v>1274</v>
      </c>
      <c r="X342" s="30" t="s">
        <v>147</v>
      </c>
      <c r="Y342" s="125" t="s">
        <v>128</v>
      </c>
      <c r="Z342" s="125" t="s">
        <v>128</v>
      </c>
      <c r="AA342" s="30" t="s">
        <v>129</v>
      </c>
      <c r="AB342" s="20" t="s">
        <v>1275</v>
      </c>
      <c r="AC342" s="20" t="s">
        <v>1276</v>
      </c>
      <c r="AD342" s="30"/>
      <c r="AE342" s="30"/>
      <c r="AF342" s="30" t="s">
        <v>131</v>
      </c>
      <c r="AG342" s="30" t="s">
        <v>1088</v>
      </c>
      <c r="AH342" s="30"/>
      <c r="AI342" s="30"/>
      <c r="AJ342" s="50">
        <v>39983</v>
      </c>
      <c r="AK342" s="50">
        <v>39983</v>
      </c>
      <c r="AL342" s="51">
        <f t="shared" si="223"/>
        <v>16.378082191780823</v>
      </c>
      <c r="AM342" s="30">
        <v>8</v>
      </c>
      <c r="AN342" s="30" t="s">
        <v>1065</v>
      </c>
      <c r="AO342" s="30" t="s">
        <v>1050</v>
      </c>
      <c r="AP342" s="30" t="s">
        <v>1051</v>
      </c>
      <c r="AQ342" s="30">
        <v>2.11</v>
      </c>
      <c r="AR342" s="30">
        <v>1500</v>
      </c>
      <c r="AS342" s="30">
        <v>700</v>
      </c>
      <c r="AT342" s="30">
        <v>1695</v>
      </c>
      <c r="AU342" s="54">
        <v>15130000</v>
      </c>
      <c r="AV342" s="54"/>
      <c r="AW342" s="54"/>
      <c r="AX342" s="54"/>
      <c r="AY342" s="54">
        <v>15129000</v>
      </c>
      <c r="AZ342" s="54">
        <v>0</v>
      </c>
      <c r="BA342" s="54">
        <v>1000</v>
      </c>
      <c r="BB342" s="55">
        <f>VLOOKUP(M342,[1]Sheet1!$E$6:$F$556,2,FALSE)</f>
        <v>1000</v>
      </c>
      <c r="BC342" s="74"/>
      <c r="BD342" s="74"/>
      <c r="BE342" s="30"/>
      <c r="BF342" s="30" t="s">
        <v>1052</v>
      </c>
      <c r="BG342" s="30" t="s">
        <v>1155</v>
      </c>
      <c r="BH342" s="30" t="s">
        <v>1054</v>
      </c>
      <c r="BI342" s="30" t="str">
        <f t="shared" si="212"/>
        <v>COF(Assy_FT)</v>
      </c>
      <c r="BJ342" s="47" t="s">
        <v>137</v>
      </c>
      <c r="BK342" s="67">
        <f t="shared" si="224"/>
        <v>302600</v>
      </c>
      <c r="BL342" s="68">
        <f t="shared" si="204"/>
        <v>28846.470024611437</v>
      </c>
      <c r="BM342" s="68">
        <f t="shared" si="205"/>
        <v>9615.490008203813</v>
      </c>
      <c r="BP342" s="69">
        <f t="shared" si="195"/>
        <v>28846.470024611437</v>
      </c>
      <c r="BQ342" s="69">
        <f t="shared" si="196"/>
        <v>28846.470024611437</v>
      </c>
      <c r="BR342" s="69">
        <f>SUM(BN342:BQ342)</f>
        <v>57692.940049222874</v>
      </c>
      <c r="BS342" s="69">
        <f t="shared" si="197"/>
        <v>28846.470024611437</v>
      </c>
      <c r="BT342" s="69">
        <f t="shared" si="222"/>
        <v>28846.470024611437</v>
      </c>
      <c r="BU342" s="100">
        <f t="shared" si="222"/>
        <v>28846.470024611437</v>
      </c>
      <c r="BV342" s="100">
        <f t="shared" si="222"/>
        <v>28846.470024611437</v>
      </c>
      <c r="BW342" s="100">
        <f t="shared" si="200"/>
        <v>115385.88009844575</v>
      </c>
      <c r="BX342" s="101">
        <f t="shared" si="201"/>
        <v>28846.470024611437</v>
      </c>
      <c r="BY342" s="101">
        <f t="shared" si="199"/>
        <v>28846.470024611437</v>
      </c>
      <c r="BZ342" s="18">
        <f t="shared" si="199"/>
        <v>28846.470024611437</v>
      </c>
      <c r="CA342" s="18">
        <f t="shared" si="199"/>
        <v>28846.470024611437</v>
      </c>
      <c r="CB342" s="70">
        <f t="shared" si="216"/>
        <v>115385.88009844575</v>
      </c>
      <c r="CC342" s="18">
        <f t="shared" si="217"/>
        <v>28846.470024611437</v>
      </c>
      <c r="CD342" s="18">
        <f t="shared" si="218"/>
        <v>28846.470024611437</v>
      </c>
      <c r="CE342" s="18">
        <f t="shared" si="218"/>
        <v>28846.470024611437</v>
      </c>
      <c r="CF342" s="18">
        <f t="shared" si="218"/>
        <v>28846.470024611437</v>
      </c>
      <c r="CG342" s="70">
        <f t="shared" si="219"/>
        <v>115385.88009844575</v>
      </c>
      <c r="CH342" s="18">
        <f t="shared" si="211"/>
        <v>28846.470024611437</v>
      </c>
      <c r="CI342" s="18">
        <f t="shared" si="220"/>
        <v>28846.470024611437</v>
      </c>
      <c r="CJ342" s="18">
        <f t="shared" si="220"/>
        <v>28846.470024611437</v>
      </c>
      <c r="CK342" s="18">
        <f t="shared" si="220"/>
        <v>28846.470024611437</v>
      </c>
      <c r="CL342" s="70">
        <f t="shared" si="221"/>
        <v>115385.88009844575</v>
      </c>
      <c r="CM342" s="71"/>
      <c r="CN342" s="59">
        <f t="shared" si="225"/>
        <v>2.9547001942265047E-5</v>
      </c>
      <c r="CO342" s="64">
        <f t="shared" si="226"/>
        <v>620487.04078756599</v>
      </c>
      <c r="CP342" s="2">
        <f t="shared" si="214"/>
        <v>923087.04078756599</v>
      </c>
    </row>
    <row r="343" spans="1:94" ht="16.5" hidden="1" x14ac:dyDescent="0.3">
      <c r="A343" s="2">
        <v>338</v>
      </c>
      <c r="B343" s="47" t="s">
        <v>21</v>
      </c>
      <c r="C343" s="47"/>
      <c r="D343" s="30" t="s">
        <v>1041</v>
      </c>
      <c r="E343" s="30" t="s">
        <v>1042</v>
      </c>
      <c r="F343" s="30" t="s">
        <v>1043</v>
      </c>
      <c r="G343" s="30" t="s">
        <v>117</v>
      </c>
      <c r="H343" s="30" t="s">
        <v>1058</v>
      </c>
      <c r="I343" s="30" t="s">
        <v>119</v>
      </c>
      <c r="J343" s="30" t="s">
        <v>1044</v>
      </c>
      <c r="K343" s="30" t="s">
        <v>1044</v>
      </c>
      <c r="L343" s="30" t="s">
        <v>1130</v>
      </c>
      <c r="M343" s="30">
        <v>1005919</v>
      </c>
      <c r="N343" s="30" t="s">
        <v>138</v>
      </c>
      <c r="O343" s="30" t="s">
        <v>1277</v>
      </c>
      <c r="P343" s="30" t="s">
        <v>1179</v>
      </c>
      <c r="Q343" s="30" t="s">
        <v>1180</v>
      </c>
      <c r="R343" s="30" t="s">
        <v>1181</v>
      </c>
      <c r="S343" s="30" t="s">
        <v>1278</v>
      </c>
      <c r="T343" s="30" t="s">
        <v>1183</v>
      </c>
      <c r="U343" s="30" t="s">
        <v>144</v>
      </c>
      <c r="V343" s="30" t="s">
        <v>415</v>
      </c>
      <c r="W343" s="30" t="s">
        <v>1184</v>
      </c>
      <c r="X343" s="30" t="s">
        <v>127</v>
      </c>
      <c r="Y343" s="30" t="s">
        <v>576</v>
      </c>
      <c r="Z343" s="30" t="s">
        <v>576</v>
      </c>
      <c r="AA343" s="30" t="s">
        <v>148</v>
      </c>
      <c r="AB343" s="30" t="s">
        <v>1185</v>
      </c>
      <c r="AC343" s="30" t="s">
        <v>1185</v>
      </c>
      <c r="AD343" s="30"/>
      <c r="AE343" s="30"/>
      <c r="AF343" s="30" t="s">
        <v>593</v>
      </c>
      <c r="AG343" s="30" t="s">
        <v>774</v>
      </c>
      <c r="AH343" s="30" t="s">
        <v>1186</v>
      </c>
      <c r="AI343" s="30"/>
      <c r="AJ343" s="50">
        <v>43587</v>
      </c>
      <c r="AK343" s="50">
        <v>43587</v>
      </c>
      <c r="AL343" s="51">
        <f t="shared" si="223"/>
        <v>6.5041095890410956</v>
      </c>
      <c r="AM343" s="30">
        <v>8</v>
      </c>
      <c r="AN343" s="30" t="s">
        <v>1065</v>
      </c>
      <c r="AO343" s="30" t="s">
        <v>1050</v>
      </c>
      <c r="AP343" s="30" t="s">
        <v>1051</v>
      </c>
      <c r="AQ343" s="30">
        <v>3.6</v>
      </c>
      <c r="AR343" s="30">
        <v>2820</v>
      </c>
      <c r="AS343" s="30">
        <v>1154</v>
      </c>
      <c r="AT343" s="30">
        <v>2020</v>
      </c>
      <c r="AU343" s="54">
        <v>445140594</v>
      </c>
      <c r="AV343" s="54"/>
      <c r="AW343" s="54"/>
      <c r="AX343" s="54"/>
      <c r="AY343" s="54">
        <v>334855674</v>
      </c>
      <c r="AZ343" s="54">
        <v>4636881</v>
      </c>
      <c r="BA343" s="54">
        <v>96374277</v>
      </c>
      <c r="BB343" s="55">
        <f>VLOOKUP(M343,[1]Sheet1!$E$6:$F$556,2,FALSE)</f>
        <v>7460639</v>
      </c>
      <c r="BC343" s="74"/>
      <c r="BD343" s="74"/>
      <c r="BE343" s="128">
        <v>23.784289482520684</v>
      </c>
      <c r="BF343" s="30" t="s">
        <v>1134</v>
      </c>
      <c r="BG343" s="30" t="s">
        <v>1074</v>
      </c>
      <c r="BH343" s="30" t="s">
        <v>1054</v>
      </c>
      <c r="BI343" s="30" t="str">
        <f t="shared" si="212"/>
        <v>COF(Assy_FT)</v>
      </c>
      <c r="BJ343" s="47" t="s">
        <v>137</v>
      </c>
      <c r="BK343" s="56">
        <f t="shared" si="224"/>
        <v>101192990.85000001</v>
      </c>
      <c r="BL343" s="57">
        <f t="shared" si="204"/>
        <v>9646598.0742078815</v>
      </c>
      <c r="BM343" s="57">
        <f t="shared" si="205"/>
        <v>3215532.6914026272</v>
      </c>
      <c r="BU343" s="58">
        <f>BM343*3</f>
        <v>9646598.0742078815</v>
      </c>
      <c r="BV343" s="58">
        <f t="shared" si="222"/>
        <v>9646598.0742078815</v>
      </c>
      <c r="BW343" s="58">
        <f t="shared" si="200"/>
        <v>19293196.148415763</v>
      </c>
      <c r="BX343" s="58">
        <f t="shared" si="201"/>
        <v>9646598.0742078815</v>
      </c>
      <c r="BY343" s="58">
        <f t="shared" si="199"/>
        <v>9646598.0742078815</v>
      </c>
      <c r="BZ343" s="58">
        <f>BM343*3</f>
        <v>9646598.0742078815</v>
      </c>
      <c r="CA343" s="58">
        <f t="shared" si="199"/>
        <v>9646598.0742078815</v>
      </c>
      <c r="CB343" s="58">
        <f t="shared" si="216"/>
        <v>38586392.296831526</v>
      </c>
      <c r="CC343" s="58">
        <f t="shared" si="217"/>
        <v>9646598.0742078815</v>
      </c>
      <c r="CD343" s="58">
        <f t="shared" si="218"/>
        <v>9646598.0742078815</v>
      </c>
      <c r="CE343" s="58">
        <f t="shared" si="218"/>
        <v>9646598.0742078815</v>
      </c>
      <c r="CF343" s="58">
        <f t="shared" si="218"/>
        <v>9646598.0742078815</v>
      </c>
      <c r="CG343" s="58">
        <f t="shared" si="219"/>
        <v>38586392.296831526</v>
      </c>
      <c r="CH343" s="58">
        <f t="shared" si="211"/>
        <v>9646598.0742078815</v>
      </c>
      <c r="CI343" s="58">
        <f t="shared" si="220"/>
        <v>9646598.0742078815</v>
      </c>
      <c r="CJ343" s="58">
        <f t="shared" si="220"/>
        <v>9646598.0742078815</v>
      </c>
      <c r="CK343" s="58">
        <f t="shared" si="220"/>
        <v>9646598.0742078815</v>
      </c>
      <c r="CL343" s="58">
        <f t="shared" si="221"/>
        <v>38586392.296831526</v>
      </c>
      <c r="CN343" s="59">
        <f t="shared" si="225"/>
        <v>9.8808641678405796E-3</v>
      </c>
      <c r="CO343" s="64">
        <f t="shared" si="226"/>
        <v>207498147.52465218</v>
      </c>
      <c r="CP343" s="2">
        <f t="shared" si="214"/>
        <v>308691138.37465221</v>
      </c>
    </row>
    <row r="344" spans="1:94" ht="16.5" hidden="1" x14ac:dyDescent="0.3">
      <c r="A344" s="2">
        <v>339</v>
      </c>
      <c r="B344" s="47" t="s">
        <v>21</v>
      </c>
      <c r="C344" s="47"/>
      <c r="D344" s="30" t="s">
        <v>1041</v>
      </c>
      <c r="E344" s="30" t="s">
        <v>1042</v>
      </c>
      <c r="F344" s="30" t="s">
        <v>1043</v>
      </c>
      <c r="G344" s="30" t="s">
        <v>117</v>
      </c>
      <c r="H344" s="30" t="s">
        <v>1058</v>
      </c>
      <c r="I344" s="30" t="s">
        <v>119</v>
      </c>
      <c r="J344" s="30" t="s">
        <v>1044</v>
      </c>
      <c r="K344" s="30" t="s">
        <v>1044</v>
      </c>
      <c r="L344" s="30" t="s">
        <v>1130</v>
      </c>
      <c r="M344" s="30">
        <v>1005918</v>
      </c>
      <c r="N344" s="30" t="s">
        <v>138</v>
      </c>
      <c r="O344" s="30" t="s">
        <v>1279</v>
      </c>
      <c r="P344" s="30" t="s">
        <v>1179</v>
      </c>
      <c r="Q344" s="30" t="s">
        <v>1180</v>
      </c>
      <c r="R344" s="30" t="s">
        <v>1181</v>
      </c>
      <c r="S344" s="30" t="s">
        <v>1280</v>
      </c>
      <c r="T344" s="30" t="s">
        <v>1183</v>
      </c>
      <c r="U344" s="30" t="s">
        <v>144</v>
      </c>
      <c r="V344" s="30" t="s">
        <v>415</v>
      </c>
      <c r="W344" s="30" t="s">
        <v>1184</v>
      </c>
      <c r="X344" s="30" t="s">
        <v>127</v>
      </c>
      <c r="Y344" s="30" t="s">
        <v>128</v>
      </c>
      <c r="Z344" s="30" t="s">
        <v>128</v>
      </c>
      <c r="AA344" s="30" t="s">
        <v>148</v>
      </c>
      <c r="AB344" s="30" t="s">
        <v>1185</v>
      </c>
      <c r="AC344" s="30" t="s">
        <v>1185</v>
      </c>
      <c r="AD344" s="30"/>
      <c r="AE344" s="30"/>
      <c r="AF344" s="30" t="s">
        <v>593</v>
      </c>
      <c r="AG344" s="30" t="s">
        <v>774</v>
      </c>
      <c r="AH344" s="30" t="s">
        <v>1186</v>
      </c>
      <c r="AI344" s="30"/>
      <c r="AJ344" s="50">
        <v>43587</v>
      </c>
      <c r="AK344" s="50">
        <v>43587</v>
      </c>
      <c r="AL344" s="51">
        <f t="shared" si="223"/>
        <v>6.5041095890410956</v>
      </c>
      <c r="AM344" s="30">
        <v>8</v>
      </c>
      <c r="AN344" s="30" t="s">
        <v>1065</v>
      </c>
      <c r="AO344" s="30" t="s">
        <v>1050</v>
      </c>
      <c r="AP344" s="30" t="s">
        <v>1051</v>
      </c>
      <c r="AQ344" s="30">
        <v>3.6</v>
      </c>
      <c r="AR344" s="30">
        <v>2820</v>
      </c>
      <c r="AS344" s="30">
        <v>1154</v>
      </c>
      <c r="AT344" s="30">
        <v>2020</v>
      </c>
      <c r="AU344" s="54">
        <v>442740594</v>
      </c>
      <c r="AV344" s="54"/>
      <c r="AW344" s="54"/>
      <c r="AX344" s="54"/>
      <c r="AY344" s="54">
        <v>333005672</v>
      </c>
      <c r="AZ344" s="54">
        <v>4611881</v>
      </c>
      <c r="BA344" s="54">
        <v>95899279</v>
      </c>
      <c r="BB344" s="55">
        <f>VLOOKUP(M344,[1]Sheet1!$E$6:$F$556,2,FALSE)</f>
        <v>7424235</v>
      </c>
      <c r="BC344" s="74"/>
      <c r="BD344" s="74"/>
      <c r="BE344" s="128">
        <v>23.79396215990829</v>
      </c>
      <c r="BF344" s="30" t="s">
        <v>1134</v>
      </c>
      <c r="BG344" s="30" t="s">
        <v>1074</v>
      </c>
      <c r="BH344" s="30" t="s">
        <v>1054</v>
      </c>
      <c r="BI344" s="30" t="str">
        <f t="shared" si="212"/>
        <v>COF(Assy_FT)</v>
      </c>
      <c r="BJ344" s="47" t="s">
        <v>137</v>
      </c>
      <c r="BK344" s="56">
        <f t="shared" si="224"/>
        <v>100694242.95</v>
      </c>
      <c r="BL344" s="57">
        <f t="shared" si="204"/>
        <v>9599053.0763652232</v>
      </c>
      <c r="BM344" s="57">
        <f t="shared" si="205"/>
        <v>3199684.3587884079</v>
      </c>
      <c r="BU344" s="58">
        <f>BM344*3</f>
        <v>9599053.0763652232</v>
      </c>
      <c r="BV344" s="58">
        <f t="shared" si="222"/>
        <v>9599053.0763652232</v>
      </c>
      <c r="BW344" s="58">
        <f t="shared" si="200"/>
        <v>19198106.152730446</v>
      </c>
      <c r="BX344" s="58">
        <f t="shared" si="201"/>
        <v>9599053.0763652232</v>
      </c>
      <c r="BY344" s="58">
        <f t="shared" si="199"/>
        <v>9599053.0763652232</v>
      </c>
      <c r="BZ344" s="58">
        <f>BM344*3</f>
        <v>9599053.0763652232</v>
      </c>
      <c r="CA344" s="58">
        <f t="shared" si="199"/>
        <v>9599053.0763652232</v>
      </c>
      <c r="CB344" s="58">
        <f t="shared" si="216"/>
        <v>38396212.305460893</v>
      </c>
      <c r="CC344" s="58">
        <f t="shared" si="217"/>
        <v>9599053.0763652232</v>
      </c>
      <c r="CD344" s="58">
        <f t="shared" si="218"/>
        <v>9599053.0763652232</v>
      </c>
      <c r="CE344" s="58">
        <f t="shared" si="218"/>
        <v>9599053.0763652232</v>
      </c>
      <c r="CF344" s="58">
        <f t="shared" si="218"/>
        <v>9599053.0763652232</v>
      </c>
      <c r="CG344" s="58">
        <f t="shared" si="219"/>
        <v>38396212.305460893</v>
      </c>
      <c r="CH344" s="58">
        <f t="shared" si="211"/>
        <v>9599053.0763652232</v>
      </c>
      <c r="CI344" s="58">
        <f t="shared" si="220"/>
        <v>9599053.0763652232</v>
      </c>
      <c r="CJ344" s="58">
        <f t="shared" si="220"/>
        <v>9599053.0763652232</v>
      </c>
      <c r="CK344" s="58">
        <f t="shared" si="220"/>
        <v>9599053.0763652232</v>
      </c>
      <c r="CL344" s="58">
        <f t="shared" si="221"/>
        <v>38396212.305460893</v>
      </c>
      <c r="CN344" s="59">
        <f t="shared" si="225"/>
        <v>9.8321645473184362E-3</v>
      </c>
      <c r="CO344" s="64">
        <f t="shared" si="226"/>
        <v>206475455.49368715</v>
      </c>
      <c r="CP344" s="2">
        <f t="shared" si="214"/>
        <v>307169698.44368714</v>
      </c>
    </row>
    <row r="345" spans="1:94" hidden="1" x14ac:dyDescent="0.3">
      <c r="A345" s="29">
        <v>340</v>
      </c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130"/>
      <c r="Y345" s="30"/>
      <c r="Z345" s="30"/>
      <c r="AA345" s="131" t="s">
        <v>1201</v>
      </c>
      <c r="AB345" s="132" t="s">
        <v>1202</v>
      </c>
      <c r="AC345" s="132"/>
      <c r="AD345" s="30"/>
      <c r="AE345" s="30"/>
      <c r="AF345" s="30"/>
      <c r="AG345" s="30"/>
      <c r="AH345" s="30"/>
      <c r="AI345" s="30"/>
      <c r="AJ345" s="50"/>
      <c r="AK345" s="50"/>
      <c r="AL345" s="51"/>
      <c r="AM345" s="30"/>
      <c r="AN345" s="30"/>
      <c r="AO345" s="30"/>
      <c r="AP345" s="30"/>
      <c r="AQ345" s="30"/>
      <c r="AR345" s="30"/>
      <c r="AS345" s="30"/>
      <c r="AT345" s="30"/>
      <c r="AU345" s="74"/>
      <c r="AV345" s="54"/>
      <c r="AW345" s="54"/>
      <c r="AX345" s="54"/>
      <c r="AY345" s="54">
        <v>348287992</v>
      </c>
      <c r="AZ345" s="54">
        <v>3487960</v>
      </c>
      <c r="BA345" s="74"/>
      <c r="BB345" s="55"/>
      <c r="BC345" s="74"/>
      <c r="BD345" s="74"/>
      <c r="BE345" s="30"/>
      <c r="BF345" s="30"/>
      <c r="BG345" s="30"/>
      <c r="BH345" s="30"/>
      <c r="BI345" s="30"/>
      <c r="BJ345" s="30"/>
      <c r="BK345" s="56"/>
      <c r="BL345" s="57"/>
      <c r="BM345" s="57"/>
      <c r="BU345" s="58">
        <f>BM345*3</f>
        <v>0</v>
      </c>
      <c r="BV345" s="58">
        <f t="shared" si="222"/>
        <v>0</v>
      </c>
      <c r="BW345" s="58">
        <f t="shared" si="200"/>
        <v>0</v>
      </c>
      <c r="BX345" s="58">
        <f t="shared" si="201"/>
        <v>0</v>
      </c>
      <c r="BY345" s="58">
        <f t="shared" si="199"/>
        <v>0</v>
      </c>
      <c r="BZ345" s="58">
        <f>BM345*3</f>
        <v>0</v>
      </c>
      <c r="CA345" s="58">
        <f t="shared" si="199"/>
        <v>0</v>
      </c>
      <c r="CB345" s="58">
        <f t="shared" si="216"/>
        <v>0</v>
      </c>
      <c r="CC345" s="58">
        <f t="shared" si="217"/>
        <v>0</v>
      </c>
      <c r="CD345" s="58">
        <f t="shared" si="218"/>
        <v>0</v>
      </c>
      <c r="CE345" s="58">
        <f t="shared" si="218"/>
        <v>0</v>
      </c>
      <c r="CF345" s="58">
        <f t="shared" si="218"/>
        <v>0</v>
      </c>
      <c r="CG345" s="58">
        <f t="shared" si="219"/>
        <v>0</v>
      </c>
      <c r="CH345" s="58">
        <f t="shared" si="211"/>
        <v>0</v>
      </c>
      <c r="CI345" s="58">
        <f t="shared" ref="CI345:CK360" si="227">CH345</f>
        <v>0</v>
      </c>
      <c r="CJ345" s="58">
        <f t="shared" si="227"/>
        <v>0</v>
      </c>
      <c r="CK345" s="58">
        <f t="shared" si="227"/>
        <v>0</v>
      </c>
      <c r="CL345" s="58">
        <f t="shared" si="221"/>
        <v>0</v>
      </c>
      <c r="CP345" s="2">
        <f t="shared" si="214"/>
        <v>0</v>
      </c>
    </row>
    <row r="346" spans="1:94" ht="16.5" hidden="1" x14ac:dyDescent="0.3">
      <c r="A346" s="2">
        <v>341</v>
      </c>
      <c r="B346" s="47" t="s">
        <v>21</v>
      </c>
      <c r="C346" s="47"/>
      <c r="D346" s="30" t="s">
        <v>1041</v>
      </c>
      <c r="E346" s="30" t="s">
        <v>1042</v>
      </c>
      <c r="F346" s="30" t="s">
        <v>1043</v>
      </c>
      <c r="G346" s="30" t="s">
        <v>117</v>
      </c>
      <c r="H346" s="30" t="s">
        <v>1058</v>
      </c>
      <c r="I346" s="30" t="s">
        <v>119</v>
      </c>
      <c r="J346" s="30" t="s">
        <v>1044</v>
      </c>
      <c r="K346" s="30" t="s">
        <v>1044</v>
      </c>
      <c r="L346" s="30" t="s">
        <v>1130</v>
      </c>
      <c r="M346" s="30">
        <v>1000284</v>
      </c>
      <c r="N346" s="30" t="s">
        <v>138</v>
      </c>
      <c r="O346" s="30" t="s">
        <v>1281</v>
      </c>
      <c r="P346" s="30" t="s">
        <v>1282</v>
      </c>
      <c r="Q346" s="30" t="s">
        <v>1283</v>
      </c>
      <c r="R346" s="30" t="s">
        <v>1284</v>
      </c>
      <c r="S346" s="30" t="s">
        <v>1285</v>
      </c>
      <c r="T346" s="30" t="s">
        <v>1144</v>
      </c>
      <c r="U346" s="30" t="s">
        <v>144</v>
      </c>
      <c r="V346" s="30" t="s">
        <v>415</v>
      </c>
      <c r="W346" s="30" t="s">
        <v>1184</v>
      </c>
      <c r="X346" s="30" t="s">
        <v>147</v>
      </c>
      <c r="Y346" s="125" t="s">
        <v>576</v>
      </c>
      <c r="Z346" s="125" t="s">
        <v>576</v>
      </c>
      <c r="AA346" s="30" t="s">
        <v>148</v>
      </c>
      <c r="AB346" s="30" t="s">
        <v>1185</v>
      </c>
      <c r="AC346" s="30" t="s">
        <v>1185</v>
      </c>
      <c r="AD346" s="30"/>
      <c r="AE346" s="30"/>
      <c r="AF346" s="30" t="s">
        <v>593</v>
      </c>
      <c r="AG346" s="30" t="s">
        <v>774</v>
      </c>
      <c r="AH346" s="30" t="s">
        <v>1186</v>
      </c>
      <c r="AI346" s="30"/>
      <c r="AJ346" s="50">
        <v>38490</v>
      </c>
      <c r="AK346" s="50">
        <v>38490</v>
      </c>
      <c r="AL346" s="51">
        <f t="shared" si="223"/>
        <v>20.468493150684932</v>
      </c>
      <c r="AM346" s="30">
        <v>8</v>
      </c>
      <c r="AN346" s="30" t="s">
        <v>1065</v>
      </c>
      <c r="AO346" s="30" t="s">
        <v>1050</v>
      </c>
      <c r="AP346" s="30" t="s">
        <v>1051</v>
      </c>
      <c r="AQ346" s="30">
        <v>3.6</v>
      </c>
      <c r="AR346" s="30">
        <v>2900</v>
      </c>
      <c r="AS346" s="30">
        <v>1350</v>
      </c>
      <c r="AT346" s="30">
        <v>1900</v>
      </c>
      <c r="AU346" s="54">
        <v>308680120</v>
      </c>
      <c r="AV346" s="54"/>
      <c r="AW346" s="54"/>
      <c r="AX346" s="54"/>
      <c r="AY346" s="54">
        <v>308679120</v>
      </c>
      <c r="AZ346" s="54">
        <v>207492</v>
      </c>
      <c r="BA346" s="54">
        <v>1000</v>
      </c>
      <c r="BB346" s="55">
        <f>VLOOKUP(M346,[1]Sheet1!$E$6:$F$556,2,FALSE)</f>
        <v>1000</v>
      </c>
      <c r="BC346" s="74"/>
      <c r="BD346" s="74"/>
      <c r="BE346" s="30"/>
      <c r="BF346" s="30" t="s">
        <v>1052</v>
      </c>
      <c r="BG346" s="30" t="s">
        <v>1074</v>
      </c>
      <c r="BH346" s="30" t="s">
        <v>1054</v>
      </c>
      <c r="BI346" s="30" t="str">
        <f t="shared" si="212"/>
        <v>COF(Assy_FT)</v>
      </c>
      <c r="BJ346" s="47" t="s">
        <v>137</v>
      </c>
      <c r="BK346" s="67">
        <f t="shared" si="224"/>
        <v>6173602.4000000004</v>
      </c>
      <c r="BL346" s="68">
        <f>CP346/$BL$1/4</f>
        <v>588521.60137299821</v>
      </c>
      <c r="BM346" s="68">
        <f>CP346/$BL$1/12</f>
        <v>196173.86712433273</v>
      </c>
      <c r="BP346" s="69">
        <f t="shared" si="195"/>
        <v>588521.60137299821</v>
      </c>
      <c r="BQ346" s="69">
        <f t="shared" si="196"/>
        <v>588521.60137299821</v>
      </c>
      <c r="BR346" s="69">
        <f>SUM(BN346:BQ346)</f>
        <v>1177043.2027459964</v>
      </c>
      <c r="BS346" s="69">
        <f t="shared" si="197"/>
        <v>588521.60137299821</v>
      </c>
      <c r="BT346" s="69">
        <f t="shared" si="222"/>
        <v>588521.60137299821</v>
      </c>
      <c r="BU346" s="100">
        <f t="shared" si="222"/>
        <v>588521.60137299821</v>
      </c>
      <c r="BV346" s="100">
        <f t="shared" si="222"/>
        <v>588521.60137299821</v>
      </c>
      <c r="BW346" s="100">
        <f t="shared" si="200"/>
        <v>2354086.4054919928</v>
      </c>
      <c r="BX346" s="101">
        <f t="shared" si="201"/>
        <v>588521.60137299821</v>
      </c>
      <c r="BY346" s="101">
        <f t="shared" si="199"/>
        <v>588521.60137299821</v>
      </c>
      <c r="BZ346" s="18">
        <f t="shared" si="199"/>
        <v>588521.60137299821</v>
      </c>
      <c r="CA346" s="18">
        <f t="shared" si="199"/>
        <v>588521.60137299821</v>
      </c>
      <c r="CB346" s="70">
        <f t="shared" si="216"/>
        <v>2354086.4054919928</v>
      </c>
      <c r="CC346" s="18">
        <f t="shared" si="217"/>
        <v>588521.60137299821</v>
      </c>
      <c r="CD346" s="18">
        <f t="shared" si="218"/>
        <v>588521.60137299821</v>
      </c>
      <c r="CE346" s="18">
        <f t="shared" si="218"/>
        <v>588521.60137299821</v>
      </c>
      <c r="CF346" s="18">
        <f t="shared" si="218"/>
        <v>588521.60137299821</v>
      </c>
      <c r="CG346" s="70">
        <f t="shared" si="219"/>
        <v>2354086.4054919928</v>
      </c>
      <c r="CH346" s="18">
        <f t="shared" si="211"/>
        <v>588521.60137299821</v>
      </c>
      <c r="CI346" s="18">
        <f t="shared" si="227"/>
        <v>588521.60137299821</v>
      </c>
      <c r="CJ346" s="18">
        <f t="shared" si="227"/>
        <v>588521.60137299821</v>
      </c>
      <c r="CK346" s="18">
        <f t="shared" si="227"/>
        <v>588521.60137299821</v>
      </c>
      <c r="CL346" s="70">
        <f t="shared" si="221"/>
        <v>2354086.4054919928</v>
      </c>
      <c r="CM346" s="71"/>
      <c r="CN346" s="59">
        <f t="shared" ref="CN346:CN347" si="228">BK346/$CN$3</f>
        <v>6.0281375447314E-4</v>
      </c>
      <c r="CO346" s="64">
        <f t="shared" ref="CO346:CO347" si="229">CN346*$CO$4</f>
        <v>12659088.84393594</v>
      </c>
      <c r="CP346" s="2">
        <f t="shared" si="214"/>
        <v>18832691.243935943</v>
      </c>
    </row>
    <row r="347" spans="1:94" ht="16.5" hidden="1" x14ac:dyDescent="0.3">
      <c r="A347" s="2">
        <v>342</v>
      </c>
      <c r="B347" s="47" t="s">
        <v>21</v>
      </c>
      <c r="C347" s="47"/>
      <c r="D347" s="30" t="s">
        <v>1041</v>
      </c>
      <c r="E347" s="30" t="s">
        <v>1042</v>
      </c>
      <c r="F347" s="30" t="s">
        <v>1043</v>
      </c>
      <c r="G347" s="30" t="s">
        <v>117</v>
      </c>
      <c r="H347" s="30" t="s">
        <v>1058</v>
      </c>
      <c r="I347" s="30" t="s">
        <v>119</v>
      </c>
      <c r="J347" s="30" t="s">
        <v>1044</v>
      </c>
      <c r="K347" s="30" t="s">
        <v>1044</v>
      </c>
      <c r="L347" s="30" t="s">
        <v>1130</v>
      </c>
      <c r="M347" s="30">
        <v>1000285</v>
      </c>
      <c r="N347" s="30" t="s">
        <v>138</v>
      </c>
      <c r="O347" s="30" t="s">
        <v>1286</v>
      </c>
      <c r="P347" s="30" t="s">
        <v>1282</v>
      </c>
      <c r="Q347" s="30" t="s">
        <v>1283</v>
      </c>
      <c r="R347" s="30" t="s">
        <v>1284</v>
      </c>
      <c r="S347" s="30" t="s">
        <v>1287</v>
      </c>
      <c r="T347" s="30" t="s">
        <v>1144</v>
      </c>
      <c r="U347" s="30" t="s">
        <v>144</v>
      </c>
      <c r="V347" s="30" t="s">
        <v>415</v>
      </c>
      <c r="W347" s="30" t="s">
        <v>1184</v>
      </c>
      <c r="X347" s="30" t="s">
        <v>147</v>
      </c>
      <c r="Y347" s="125" t="s">
        <v>576</v>
      </c>
      <c r="Z347" s="125" t="s">
        <v>576</v>
      </c>
      <c r="AA347" s="30" t="s">
        <v>148</v>
      </c>
      <c r="AB347" s="30" t="s">
        <v>1185</v>
      </c>
      <c r="AC347" s="30" t="s">
        <v>1185</v>
      </c>
      <c r="AD347" s="30"/>
      <c r="AE347" s="30"/>
      <c r="AF347" s="30" t="s">
        <v>593</v>
      </c>
      <c r="AG347" s="30" t="s">
        <v>774</v>
      </c>
      <c r="AH347" s="30" t="s">
        <v>1186</v>
      </c>
      <c r="AI347" s="30"/>
      <c r="AJ347" s="50">
        <v>38490</v>
      </c>
      <c r="AK347" s="50">
        <v>38490</v>
      </c>
      <c r="AL347" s="51">
        <f t="shared" si="223"/>
        <v>20.468493150684932</v>
      </c>
      <c r="AM347" s="30">
        <v>8</v>
      </c>
      <c r="AN347" s="30" t="s">
        <v>1065</v>
      </c>
      <c r="AO347" s="30" t="s">
        <v>1050</v>
      </c>
      <c r="AP347" s="30" t="s">
        <v>1051</v>
      </c>
      <c r="AQ347" s="30">
        <v>3.6</v>
      </c>
      <c r="AR347" s="30">
        <v>2900</v>
      </c>
      <c r="AS347" s="30">
        <v>1350</v>
      </c>
      <c r="AT347" s="30">
        <v>1900</v>
      </c>
      <c r="AU347" s="54">
        <v>321346788</v>
      </c>
      <c r="AV347" s="54"/>
      <c r="AW347" s="54"/>
      <c r="AX347" s="54"/>
      <c r="AY347" s="54">
        <v>321345788</v>
      </c>
      <c r="AZ347" s="54">
        <v>0</v>
      </c>
      <c r="BA347" s="54">
        <v>1000</v>
      </c>
      <c r="BB347" s="55">
        <f>VLOOKUP(M347,[1]Sheet1!$E$6:$F$556,2,FALSE)</f>
        <v>1000</v>
      </c>
      <c r="BC347" s="74"/>
      <c r="BD347" s="74"/>
      <c r="BE347" s="30"/>
      <c r="BF347" s="30" t="s">
        <v>1052</v>
      </c>
      <c r="BG347" s="30" t="s">
        <v>1074</v>
      </c>
      <c r="BH347" s="30" t="s">
        <v>1054</v>
      </c>
      <c r="BI347" s="30" t="str">
        <f t="shared" si="212"/>
        <v>COF(Assy_FT)</v>
      </c>
      <c r="BJ347" s="47" t="s">
        <v>137</v>
      </c>
      <c r="BK347" s="67">
        <f t="shared" si="224"/>
        <v>6426935.7599999998</v>
      </c>
      <c r="BL347" s="68">
        <f>CP347/$BL$1/4</f>
        <v>612671.54577311082</v>
      </c>
      <c r="BM347" s="68">
        <f>CP347/$BL$1/12</f>
        <v>204223.84859103695</v>
      </c>
      <c r="BP347" s="69">
        <f t="shared" si="195"/>
        <v>612671.54577311082</v>
      </c>
      <c r="BQ347" s="69">
        <f t="shared" si="196"/>
        <v>612671.54577311082</v>
      </c>
      <c r="BR347" s="69">
        <f>SUM(BN347:BQ347)</f>
        <v>1225343.0915462216</v>
      </c>
      <c r="BS347" s="69">
        <f t="shared" si="197"/>
        <v>612671.54577311082</v>
      </c>
      <c r="BT347" s="69">
        <f t="shared" ref="BT347:BV362" si="230">BS347</f>
        <v>612671.54577311082</v>
      </c>
      <c r="BU347" s="100">
        <f t="shared" si="230"/>
        <v>612671.54577311082</v>
      </c>
      <c r="BV347" s="100">
        <f t="shared" si="230"/>
        <v>612671.54577311082</v>
      </c>
      <c r="BW347" s="100">
        <f t="shared" si="200"/>
        <v>2450686.1830924433</v>
      </c>
      <c r="BX347" s="101">
        <f t="shared" si="201"/>
        <v>612671.54577311082</v>
      </c>
      <c r="BY347" s="101">
        <f t="shared" si="199"/>
        <v>612671.54577311082</v>
      </c>
      <c r="BZ347" s="18">
        <f t="shared" si="199"/>
        <v>612671.54577311082</v>
      </c>
      <c r="CA347" s="18">
        <f t="shared" si="199"/>
        <v>612671.54577311082</v>
      </c>
      <c r="CB347" s="70">
        <f t="shared" si="216"/>
        <v>2450686.1830924433</v>
      </c>
      <c r="CC347" s="18">
        <f t="shared" si="217"/>
        <v>612671.54577311082</v>
      </c>
      <c r="CD347" s="18">
        <f t="shared" si="218"/>
        <v>612671.54577311082</v>
      </c>
      <c r="CE347" s="18">
        <f t="shared" si="218"/>
        <v>612671.54577311082</v>
      </c>
      <c r="CF347" s="18">
        <f t="shared" si="218"/>
        <v>612671.54577311082</v>
      </c>
      <c r="CG347" s="70">
        <f t="shared" si="219"/>
        <v>2450686.1830924433</v>
      </c>
      <c r="CH347" s="18">
        <f t="shared" si="211"/>
        <v>612671.54577311082</v>
      </c>
      <c r="CI347" s="18">
        <f t="shared" si="227"/>
        <v>612671.54577311082</v>
      </c>
      <c r="CJ347" s="18">
        <f t="shared" si="227"/>
        <v>612671.54577311082</v>
      </c>
      <c r="CK347" s="18">
        <f t="shared" si="227"/>
        <v>612671.54577311082</v>
      </c>
      <c r="CL347" s="70">
        <f t="shared" si="221"/>
        <v>2450686.1830924433</v>
      </c>
      <c r="CM347" s="71"/>
      <c r="CN347" s="59">
        <f t="shared" si="228"/>
        <v>6.2755017641616883E-4</v>
      </c>
      <c r="CO347" s="64">
        <f t="shared" si="229"/>
        <v>13178553.704739545</v>
      </c>
      <c r="CP347" s="2">
        <f t="shared" si="214"/>
        <v>19605489.464739546</v>
      </c>
    </row>
    <row r="348" spans="1:94" hidden="1" x14ac:dyDescent="0.3">
      <c r="A348" s="29">
        <v>343</v>
      </c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130"/>
      <c r="Y348" s="30"/>
      <c r="Z348" s="30"/>
      <c r="AA348" s="131" t="s">
        <v>1201</v>
      </c>
      <c r="AB348" s="132" t="s">
        <v>1202</v>
      </c>
      <c r="AC348" s="132"/>
      <c r="AD348" s="30"/>
      <c r="AE348" s="30"/>
      <c r="AF348" s="30"/>
      <c r="AG348" s="30"/>
      <c r="AH348" s="30"/>
      <c r="AI348" s="30"/>
      <c r="AJ348" s="50"/>
      <c r="AK348" s="50"/>
      <c r="AL348" s="51"/>
      <c r="AM348" s="30"/>
      <c r="AN348" s="30"/>
      <c r="AO348" s="30"/>
      <c r="AP348" s="30"/>
      <c r="AQ348" s="30"/>
      <c r="AR348" s="30"/>
      <c r="AS348" s="30"/>
      <c r="AT348" s="30"/>
      <c r="AU348" s="74"/>
      <c r="AV348" s="54"/>
      <c r="AW348" s="54"/>
      <c r="AX348" s="54"/>
      <c r="AY348" s="54">
        <v>263795681</v>
      </c>
      <c r="AZ348" s="54">
        <v>1512708</v>
      </c>
      <c r="BA348" s="74"/>
      <c r="BB348" s="55"/>
      <c r="BC348" s="74"/>
      <c r="BD348" s="74"/>
      <c r="BE348" s="30"/>
      <c r="BF348" s="30"/>
      <c r="BG348" s="30"/>
      <c r="BH348" s="30"/>
      <c r="BI348" s="30"/>
      <c r="BJ348" s="30"/>
      <c r="BK348" s="56"/>
      <c r="BL348" s="57"/>
      <c r="BM348" s="57"/>
      <c r="BU348" s="58">
        <f>BM348*3</f>
        <v>0</v>
      </c>
      <c r="BV348" s="58">
        <f t="shared" si="230"/>
        <v>0</v>
      </c>
      <c r="BW348" s="58">
        <f t="shared" si="200"/>
        <v>0</v>
      </c>
      <c r="BX348" s="58">
        <f t="shared" si="201"/>
        <v>0</v>
      </c>
      <c r="BY348" s="58">
        <f t="shared" si="199"/>
        <v>0</v>
      </c>
      <c r="BZ348" s="58">
        <f>BM348*3</f>
        <v>0</v>
      </c>
      <c r="CA348" s="58">
        <f t="shared" si="199"/>
        <v>0</v>
      </c>
      <c r="CB348" s="58">
        <f t="shared" si="216"/>
        <v>0</v>
      </c>
      <c r="CC348" s="58">
        <f t="shared" si="217"/>
        <v>0</v>
      </c>
      <c r="CD348" s="58">
        <f t="shared" si="218"/>
        <v>0</v>
      </c>
      <c r="CE348" s="58">
        <f t="shared" si="218"/>
        <v>0</v>
      </c>
      <c r="CF348" s="58">
        <f t="shared" si="218"/>
        <v>0</v>
      </c>
      <c r="CG348" s="58">
        <f t="shared" si="219"/>
        <v>0</v>
      </c>
      <c r="CH348" s="58">
        <f t="shared" si="211"/>
        <v>0</v>
      </c>
      <c r="CI348" s="58">
        <f t="shared" si="227"/>
        <v>0</v>
      </c>
      <c r="CJ348" s="58">
        <f t="shared" si="227"/>
        <v>0</v>
      </c>
      <c r="CK348" s="58">
        <f t="shared" si="227"/>
        <v>0</v>
      </c>
      <c r="CL348" s="58">
        <f t="shared" si="221"/>
        <v>0</v>
      </c>
      <c r="CP348" s="2">
        <f t="shared" si="214"/>
        <v>0</v>
      </c>
    </row>
    <row r="349" spans="1:94" hidden="1" x14ac:dyDescent="0.3">
      <c r="A349" s="29">
        <v>344</v>
      </c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130"/>
      <c r="Y349" s="30"/>
      <c r="Z349" s="30"/>
      <c r="AA349" s="131" t="s">
        <v>1201</v>
      </c>
      <c r="AB349" s="132" t="s">
        <v>1202</v>
      </c>
      <c r="AC349" s="132"/>
      <c r="AD349" s="30"/>
      <c r="AE349" s="30"/>
      <c r="AF349" s="30"/>
      <c r="AG349" s="30"/>
      <c r="AH349" s="30"/>
      <c r="AI349" s="30"/>
      <c r="AJ349" s="50"/>
      <c r="AK349" s="50"/>
      <c r="AL349" s="51"/>
      <c r="AM349" s="30"/>
      <c r="AN349" s="30"/>
      <c r="AO349" s="30"/>
      <c r="AP349" s="30"/>
      <c r="AQ349" s="30"/>
      <c r="AR349" s="30"/>
      <c r="AS349" s="30"/>
      <c r="AT349" s="30"/>
      <c r="AU349" s="74"/>
      <c r="AV349" s="54"/>
      <c r="AW349" s="54"/>
      <c r="AX349" s="54"/>
      <c r="AY349" s="54">
        <v>245795681</v>
      </c>
      <c r="AZ349" s="54">
        <v>0</v>
      </c>
      <c r="BA349" s="74"/>
      <c r="BB349" s="55"/>
      <c r="BC349" s="74"/>
      <c r="BD349" s="74"/>
      <c r="BE349" s="30"/>
      <c r="BF349" s="30"/>
      <c r="BG349" s="30"/>
      <c r="BH349" s="30"/>
      <c r="BI349" s="30"/>
      <c r="BJ349" s="30"/>
      <c r="BK349" s="56"/>
      <c r="BL349" s="57"/>
      <c r="BM349" s="57"/>
      <c r="BU349" s="58">
        <f>BM349*3</f>
        <v>0</v>
      </c>
      <c r="BV349" s="58">
        <f t="shared" si="230"/>
        <v>0</v>
      </c>
      <c r="BW349" s="58">
        <f t="shared" si="200"/>
        <v>0</v>
      </c>
      <c r="BX349" s="58">
        <f t="shared" si="201"/>
        <v>0</v>
      </c>
      <c r="BY349" s="58">
        <f t="shared" si="199"/>
        <v>0</v>
      </c>
      <c r="BZ349" s="58">
        <f>BM349*3</f>
        <v>0</v>
      </c>
      <c r="CA349" s="58">
        <f t="shared" si="199"/>
        <v>0</v>
      </c>
      <c r="CB349" s="58">
        <f t="shared" si="216"/>
        <v>0</v>
      </c>
      <c r="CC349" s="58">
        <f t="shared" si="217"/>
        <v>0</v>
      </c>
      <c r="CD349" s="58">
        <f t="shared" ref="CD349:CF364" si="231">CC349</f>
        <v>0</v>
      </c>
      <c r="CE349" s="58">
        <f t="shared" si="231"/>
        <v>0</v>
      </c>
      <c r="CF349" s="58">
        <f t="shared" si="231"/>
        <v>0</v>
      </c>
      <c r="CG349" s="58">
        <f t="shared" si="219"/>
        <v>0</v>
      </c>
      <c r="CH349" s="58">
        <f t="shared" si="211"/>
        <v>0</v>
      </c>
      <c r="CI349" s="58">
        <f t="shared" si="227"/>
        <v>0</v>
      </c>
      <c r="CJ349" s="58">
        <f t="shared" si="227"/>
        <v>0</v>
      </c>
      <c r="CK349" s="58">
        <f t="shared" si="227"/>
        <v>0</v>
      </c>
      <c r="CL349" s="58">
        <f t="shared" si="221"/>
        <v>0</v>
      </c>
      <c r="CP349" s="2">
        <f t="shared" si="214"/>
        <v>0</v>
      </c>
    </row>
    <row r="350" spans="1:94" ht="16.5" hidden="1" x14ac:dyDescent="0.3">
      <c r="A350" s="2">
        <v>345</v>
      </c>
      <c r="B350" s="47" t="s">
        <v>21</v>
      </c>
      <c r="C350" s="47"/>
      <c r="D350" s="30" t="s">
        <v>1041</v>
      </c>
      <c r="E350" s="30" t="s">
        <v>1042</v>
      </c>
      <c r="F350" s="30" t="s">
        <v>1043</v>
      </c>
      <c r="G350" s="30" t="s">
        <v>117</v>
      </c>
      <c r="H350" s="30" t="s">
        <v>1058</v>
      </c>
      <c r="I350" s="30" t="s">
        <v>119</v>
      </c>
      <c r="J350" s="30" t="s">
        <v>1044</v>
      </c>
      <c r="K350" s="30" t="s">
        <v>1044</v>
      </c>
      <c r="L350" s="30" t="s">
        <v>766</v>
      </c>
      <c r="M350" s="30">
        <v>1001545</v>
      </c>
      <c r="N350" s="30" t="s">
        <v>138</v>
      </c>
      <c r="O350" s="30" t="s">
        <v>1288</v>
      </c>
      <c r="P350" s="30" t="s">
        <v>768</v>
      </c>
      <c r="Q350" s="30" t="s">
        <v>769</v>
      </c>
      <c r="R350" s="30"/>
      <c r="S350" s="30" t="s">
        <v>1289</v>
      </c>
      <c r="T350" s="30"/>
      <c r="U350" s="30" t="s">
        <v>144</v>
      </c>
      <c r="V350" s="30" t="s">
        <v>415</v>
      </c>
      <c r="W350" s="30" t="s">
        <v>1048</v>
      </c>
      <c r="X350" s="30" t="s">
        <v>127</v>
      </c>
      <c r="Y350" s="30" t="s">
        <v>128</v>
      </c>
      <c r="Z350" s="30" t="s">
        <v>128</v>
      </c>
      <c r="AA350" s="48" t="s">
        <v>148</v>
      </c>
      <c r="AB350" s="30" t="s">
        <v>773</v>
      </c>
      <c r="AC350" s="30" t="s">
        <v>773</v>
      </c>
      <c r="AD350" s="30"/>
      <c r="AE350" s="30"/>
      <c r="AF350" s="48" t="s">
        <v>604</v>
      </c>
      <c r="AG350" s="30" t="s">
        <v>774</v>
      </c>
      <c r="AH350" s="48" t="s">
        <v>775</v>
      </c>
      <c r="AI350" s="30"/>
      <c r="AJ350" s="50">
        <v>40259</v>
      </c>
      <c r="AK350" s="50">
        <v>40072</v>
      </c>
      <c r="AL350" s="51">
        <f t="shared" si="223"/>
        <v>16.134246575342466</v>
      </c>
      <c r="AM350" s="30">
        <v>8</v>
      </c>
      <c r="AN350" s="30" t="s">
        <v>1057</v>
      </c>
      <c r="AO350" s="30" t="s">
        <v>1050</v>
      </c>
      <c r="AP350" s="30" t="s">
        <v>1051</v>
      </c>
      <c r="AQ350" s="30">
        <v>6.24</v>
      </c>
      <c r="AR350" s="30">
        <v>1150</v>
      </c>
      <c r="AS350" s="30">
        <v>1200</v>
      </c>
      <c r="AT350" s="30">
        <v>2100</v>
      </c>
      <c r="AU350" s="54">
        <v>232744053</v>
      </c>
      <c r="AV350" s="54"/>
      <c r="AW350" s="54"/>
      <c r="AX350" s="54"/>
      <c r="AY350" s="54">
        <v>232743053</v>
      </c>
      <c r="AZ350" s="54">
        <v>0</v>
      </c>
      <c r="BA350" s="54">
        <v>1000</v>
      </c>
      <c r="BB350" s="55">
        <f>VLOOKUP(M350,[1]Sheet1!$E$6:$F$556,2,FALSE)</f>
        <v>1000</v>
      </c>
      <c r="BC350" s="74"/>
      <c r="BD350" s="74"/>
      <c r="BE350" s="30"/>
      <c r="BF350" s="30" t="s">
        <v>1052</v>
      </c>
      <c r="BG350" s="30" t="s">
        <v>1053</v>
      </c>
      <c r="BH350" s="30" t="s">
        <v>1054</v>
      </c>
      <c r="BI350" s="30" t="str">
        <f t="shared" si="212"/>
        <v>COF(Assy_FT)</v>
      </c>
      <c r="BJ350" s="47" t="s">
        <v>137</v>
      </c>
      <c r="BK350" s="56">
        <f t="shared" si="224"/>
        <v>4654881.0600000005</v>
      </c>
      <c r="BL350" s="57">
        <f>CP350/$BL$1/4</f>
        <v>443743.84324329649</v>
      </c>
      <c r="BM350" s="57">
        <f>CP350/$BL$1/12</f>
        <v>147914.61441443217</v>
      </c>
      <c r="BU350" s="58">
        <f>BM350*3</f>
        <v>443743.84324329649</v>
      </c>
      <c r="BV350" s="58">
        <f t="shared" si="230"/>
        <v>443743.84324329649</v>
      </c>
      <c r="BW350" s="58">
        <f t="shared" si="200"/>
        <v>887487.68648659298</v>
      </c>
      <c r="BX350" s="58">
        <f t="shared" si="201"/>
        <v>443743.84324329649</v>
      </c>
      <c r="BY350" s="58">
        <f t="shared" si="199"/>
        <v>443743.84324329649</v>
      </c>
      <c r="BZ350" s="58">
        <f>BM350*3</f>
        <v>443743.84324329649</v>
      </c>
      <c r="CA350" s="58">
        <f>BZ350</f>
        <v>443743.84324329649</v>
      </c>
      <c r="CB350" s="58">
        <f>SUM(BX350:CA350)</f>
        <v>1774975.372973186</v>
      </c>
      <c r="CC350" s="58">
        <f>CA350</f>
        <v>443743.84324329649</v>
      </c>
      <c r="CD350" s="58">
        <f t="shared" si="231"/>
        <v>443743.84324329649</v>
      </c>
      <c r="CE350" s="58">
        <f t="shared" si="231"/>
        <v>443743.84324329649</v>
      </c>
      <c r="CF350" s="58">
        <f t="shared" si="231"/>
        <v>443743.84324329649</v>
      </c>
      <c r="CG350" s="58">
        <f>SUM(CC350:CF350)</f>
        <v>1774975.372973186</v>
      </c>
      <c r="CH350" s="58">
        <f t="shared" si="211"/>
        <v>443743.84324329649</v>
      </c>
      <c r="CI350" s="58">
        <f t="shared" si="227"/>
        <v>443743.84324329649</v>
      </c>
      <c r="CJ350" s="58">
        <f t="shared" si="227"/>
        <v>443743.84324329649</v>
      </c>
      <c r="CK350" s="58">
        <f t="shared" si="227"/>
        <v>443743.84324329649</v>
      </c>
      <c r="CL350" s="58">
        <f t="shared" si="221"/>
        <v>1774975.372973186</v>
      </c>
      <c r="CN350" s="59">
        <f t="shared" ref="CN350:CN351" si="232">BK350/$CN$3</f>
        <v>4.5452009160883275E-4</v>
      </c>
      <c r="CO350" s="64">
        <f t="shared" ref="CO350:CO351" si="233">CN350*$CO$4</f>
        <v>9544921.9237854872</v>
      </c>
      <c r="CP350" s="2">
        <f t="shared" si="214"/>
        <v>14199802.983785488</v>
      </c>
    </row>
    <row r="351" spans="1:94" ht="16.5" hidden="1" x14ac:dyDescent="0.3">
      <c r="A351" s="2">
        <v>346</v>
      </c>
      <c r="B351" s="47" t="s">
        <v>21</v>
      </c>
      <c r="C351" s="47"/>
      <c r="D351" s="30" t="s">
        <v>1041</v>
      </c>
      <c r="E351" s="30" t="s">
        <v>1042</v>
      </c>
      <c r="F351" s="30" t="s">
        <v>1043</v>
      </c>
      <c r="G351" s="30" t="s">
        <v>117</v>
      </c>
      <c r="H351" s="30" t="s">
        <v>1058</v>
      </c>
      <c r="I351" s="30" t="s">
        <v>119</v>
      </c>
      <c r="J351" s="30" t="s">
        <v>1044</v>
      </c>
      <c r="K351" s="30" t="s">
        <v>1044</v>
      </c>
      <c r="L351" s="30" t="s">
        <v>1245</v>
      </c>
      <c r="M351" s="30">
        <v>1001547</v>
      </c>
      <c r="N351" s="30" t="s">
        <v>138</v>
      </c>
      <c r="O351" s="30" t="s">
        <v>1290</v>
      </c>
      <c r="P351" s="30" t="s">
        <v>1291</v>
      </c>
      <c r="Q351" s="30" t="s">
        <v>1292</v>
      </c>
      <c r="R351" s="30"/>
      <c r="S351" s="137">
        <v>0.9</v>
      </c>
      <c r="T351" s="30"/>
      <c r="U351" s="30" t="s">
        <v>144</v>
      </c>
      <c r="V351" s="30" t="s">
        <v>437</v>
      </c>
      <c r="W351" s="30" t="s">
        <v>1293</v>
      </c>
      <c r="X351" s="30" t="s">
        <v>127</v>
      </c>
      <c r="Y351" s="30" t="s">
        <v>576</v>
      </c>
      <c r="Z351" s="30" t="s">
        <v>576</v>
      </c>
      <c r="AA351" s="30" t="s">
        <v>129</v>
      </c>
      <c r="AB351" s="30" t="s">
        <v>416</v>
      </c>
      <c r="AC351" s="30" t="s">
        <v>416</v>
      </c>
      <c r="AD351" s="30"/>
      <c r="AE351" s="30"/>
      <c r="AF351" s="30" t="s">
        <v>131</v>
      </c>
      <c r="AG351" s="30" t="s">
        <v>1250</v>
      </c>
      <c r="AH351" s="30"/>
      <c r="AI351" s="30"/>
      <c r="AJ351" s="50">
        <v>40103</v>
      </c>
      <c r="AK351" s="50">
        <v>40103</v>
      </c>
      <c r="AL351" s="51">
        <f t="shared" si="223"/>
        <v>16.049315068493151</v>
      </c>
      <c r="AM351" s="30">
        <v>8</v>
      </c>
      <c r="AN351" s="30" t="s">
        <v>1065</v>
      </c>
      <c r="AO351" s="30" t="s">
        <v>1050</v>
      </c>
      <c r="AP351" s="30" t="s">
        <v>1051</v>
      </c>
      <c r="AQ351" s="30">
        <v>2.11</v>
      </c>
      <c r="AR351" s="30">
        <v>3100</v>
      </c>
      <c r="AS351" s="30">
        <v>1050</v>
      </c>
      <c r="AT351" s="30">
        <v>1950</v>
      </c>
      <c r="AU351" s="54">
        <v>172040000</v>
      </c>
      <c r="AV351" s="54"/>
      <c r="AW351" s="54"/>
      <c r="AX351" s="54"/>
      <c r="AY351" s="54">
        <v>172039000</v>
      </c>
      <c r="AZ351" s="54">
        <v>0</v>
      </c>
      <c r="BA351" s="54">
        <v>1000</v>
      </c>
      <c r="BB351" s="55">
        <f>VLOOKUP(M351,[1]Sheet1!$E$6:$F$556,2,FALSE)</f>
        <v>1000</v>
      </c>
      <c r="BC351" s="74"/>
      <c r="BD351" s="74"/>
      <c r="BE351" s="30"/>
      <c r="BF351" s="30" t="s">
        <v>1052</v>
      </c>
      <c r="BG351" s="30" t="s">
        <v>1251</v>
      </c>
      <c r="BH351" s="30" t="s">
        <v>1054</v>
      </c>
      <c r="BI351" s="30" t="str">
        <f t="shared" si="212"/>
        <v>COF(Assy_FT)</v>
      </c>
      <c r="BJ351" s="47" t="s">
        <v>137</v>
      </c>
      <c r="BK351" s="56">
        <f t="shared" si="224"/>
        <v>3440800</v>
      </c>
      <c r="BL351" s="57">
        <f>CP351/$BL$1/4</f>
        <v>328007.05241468287</v>
      </c>
      <c r="BM351" s="57">
        <f>CP351/$BL$1/12</f>
        <v>109335.68413822762</v>
      </c>
      <c r="BU351" s="58">
        <f>BM351*3</f>
        <v>328007.05241468287</v>
      </c>
      <c r="BV351" s="58">
        <f t="shared" si="230"/>
        <v>328007.05241468287</v>
      </c>
      <c r="BW351" s="58">
        <f t="shared" si="200"/>
        <v>656014.10482936574</v>
      </c>
      <c r="BX351" s="58">
        <f t="shared" si="201"/>
        <v>328007.05241468287</v>
      </c>
      <c r="BY351" s="58">
        <f t="shared" si="199"/>
        <v>328007.05241468287</v>
      </c>
      <c r="BZ351" s="58">
        <f>BM351*3</f>
        <v>328007.05241468287</v>
      </c>
      <c r="CA351" s="58">
        <f>BZ351</f>
        <v>328007.05241468287</v>
      </c>
      <c r="CB351" s="58">
        <f>SUM(BX351:CA351)</f>
        <v>1312028.2096587315</v>
      </c>
      <c r="CC351" s="58">
        <f>CA351</f>
        <v>328007.05241468287</v>
      </c>
      <c r="CD351" s="58">
        <f t="shared" si="231"/>
        <v>328007.05241468287</v>
      </c>
      <c r="CE351" s="58">
        <f t="shared" si="231"/>
        <v>328007.05241468287</v>
      </c>
      <c r="CF351" s="58">
        <f t="shared" si="231"/>
        <v>328007.05241468287</v>
      </c>
      <c r="CG351" s="58">
        <f>SUM(CC351:CF351)</f>
        <v>1312028.2096587315</v>
      </c>
      <c r="CH351" s="58">
        <f t="shared" si="211"/>
        <v>328007.05241468287</v>
      </c>
      <c r="CI351" s="58">
        <f t="shared" si="227"/>
        <v>328007.05241468287</v>
      </c>
      <c r="CJ351" s="58">
        <f t="shared" si="227"/>
        <v>328007.05241468287</v>
      </c>
      <c r="CK351" s="58">
        <f t="shared" si="227"/>
        <v>328007.05241468287</v>
      </c>
      <c r="CL351" s="58">
        <f t="shared" si="221"/>
        <v>1312028.2096587315</v>
      </c>
      <c r="CN351" s="59">
        <f t="shared" si="232"/>
        <v>3.3597265129856437E-4</v>
      </c>
      <c r="CO351" s="64">
        <f t="shared" si="233"/>
        <v>7055425.6772698518</v>
      </c>
      <c r="CP351" s="2">
        <f t="shared" si="214"/>
        <v>10496225.677269852</v>
      </c>
    </row>
    <row r="352" spans="1:94" hidden="1" x14ac:dyDescent="0.3">
      <c r="A352" s="29">
        <v>347</v>
      </c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130"/>
      <c r="Y352" s="30"/>
      <c r="Z352" s="30"/>
      <c r="AA352" s="131" t="s">
        <v>1201</v>
      </c>
      <c r="AB352" s="132" t="s">
        <v>1202</v>
      </c>
      <c r="AC352" s="132"/>
      <c r="AD352" s="30"/>
      <c r="AE352" s="30"/>
      <c r="AF352" s="30"/>
      <c r="AG352" s="30"/>
      <c r="AH352" s="30"/>
      <c r="AI352" s="30"/>
      <c r="AJ352" s="50"/>
      <c r="AK352" s="50"/>
      <c r="AL352" s="51"/>
      <c r="AM352" s="30"/>
      <c r="AN352" s="30"/>
      <c r="AO352" s="30"/>
      <c r="AP352" s="30"/>
      <c r="AQ352" s="30"/>
      <c r="AR352" s="30"/>
      <c r="AS352" s="30"/>
      <c r="AT352" s="30"/>
      <c r="AU352" s="74"/>
      <c r="AV352" s="54"/>
      <c r="AW352" s="54"/>
      <c r="AX352" s="54"/>
      <c r="AY352" s="54">
        <v>245795681</v>
      </c>
      <c r="AZ352" s="54">
        <v>0</v>
      </c>
      <c r="BA352" s="74"/>
      <c r="BB352" s="55"/>
      <c r="BC352" s="74"/>
      <c r="BD352" s="74"/>
      <c r="BE352" s="30"/>
      <c r="BF352" s="30"/>
      <c r="BG352" s="30"/>
      <c r="BH352" s="30"/>
      <c r="BI352" s="30"/>
      <c r="BJ352" s="30"/>
      <c r="BK352" s="56"/>
      <c r="BL352" s="57"/>
      <c r="BM352" s="57"/>
      <c r="BU352" s="58">
        <f>BM352*3</f>
        <v>0</v>
      </c>
      <c r="BV352" s="58">
        <f t="shared" si="230"/>
        <v>0</v>
      </c>
      <c r="BW352" s="58">
        <f t="shared" si="200"/>
        <v>0</v>
      </c>
      <c r="BX352" s="58">
        <f t="shared" si="201"/>
        <v>0</v>
      </c>
      <c r="BY352" s="58">
        <f t="shared" si="199"/>
        <v>0</v>
      </c>
      <c r="BZ352" s="58">
        <f>BM352*3</f>
        <v>0</v>
      </c>
      <c r="CA352" s="58">
        <f>BZ352</f>
        <v>0</v>
      </c>
      <c r="CB352" s="58">
        <f>SUM(BX352:CA352)</f>
        <v>0</v>
      </c>
      <c r="CC352" s="58">
        <f>CA352</f>
        <v>0</v>
      </c>
      <c r="CD352" s="58">
        <f t="shared" si="231"/>
        <v>0</v>
      </c>
      <c r="CE352" s="58">
        <f t="shared" si="231"/>
        <v>0</v>
      </c>
      <c r="CF352" s="58">
        <f t="shared" si="231"/>
        <v>0</v>
      </c>
      <c r="CG352" s="58">
        <f>SUM(CC352:CF352)</f>
        <v>0</v>
      </c>
      <c r="CH352" s="58">
        <f t="shared" si="211"/>
        <v>0</v>
      </c>
      <c r="CI352" s="58">
        <f t="shared" si="227"/>
        <v>0</v>
      </c>
      <c r="CJ352" s="58">
        <f t="shared" si="227"/>
        <v>0</v>
      </c>
      <c r="CK352" s="58">
        <f t="shared" si="227"/>
        <v>0</v>
      </c>
      <c r="CL352" s="58">
        <f t="shared" si="221"/>
        <v>0</v>
      </c>
      <c r="CP352" s="2">
        <f t="shared" si="214"/>
        <v>0</v>
      </c>
    </row>
    <row r="353" spans="1:94" ht="16.5" hidden="1" x14ac:dyDescent="0.3">
      <c r="A353" s="2">
        <v>348</v>
      </c>
      <c r="B353" s="47" t="s">
        <v>21</v>
      </c>
      <c r="C353" s="47"/>
      <c r="D353" s="30" t="s">
        <v>1041</v>
      </c>
      <c r="E353" s="30" t="s">
        <v>1042</v>
      </c>
      <c r="F353" s="30" t="s">
        <v>1043</v>
      </c>
      <c r="G353" s="30" t="s">
        <v>117</v>
      </c>
      <c r="H353" s="30" t="s">
        <v>1058</v>
      </c>
      <c r="I353" s="30" t="s">
        <v>119</v>
      </c>
      <c r="J353" s="30" t="s">
        <v>1044</v>
      </c>
      <c r="K353" s="30" t="s">
        <v>1044</v>
      </c>
      <c r="L353" s="30" t="s">
        <v>1130</v>
      </c>
      <c r="M353" s="30">
        <v>1000334</v>
      </c>
      <c r="N353" s="30" t="s">
        <v>138</v>
      </c>
      <c r="O353" s="30" t="s">
        <v>1294</v>
      </c>
      <c r="P353" s="30" t="s">
        <v>1140</v>
      </c>
      <c r="Q353" s="30" t="s">
        <v>1141</v>
      </c>
      <c r="R353" s="30" t="s">
        <v>1284</v>
      </c>
      <c r="S353" s="30" t="s">
        <v>1295</v>
      </c>
      <c r="T353" s="30" t="s">
        <v>1144</v>
      </c>
      <c r="U353" s="30" t="s">
        <v>144</v>
      </c>
      <c r="V353" s="30" t="s">
        <v>415</v>
      </c>
      <c r="W353" s="30" t="s">
        <v>1145</v>
      </c>
      <c r="X353" s="30" t="s">
        <v>147</v>
      </c>
      <c r="Y353" s="125" t="s">
        <v>576</v>
      </c>
      <c r="Z353" s="125" t="s">
        <v>576</v>
      </c>
      <c r="AA353" s="30" t="s">
        <v>148</v>
      </c>
      <c r="AB353" s="30" t="s">
        <v>1146</v>
      </c>
      <c r="AC353" s="30" t="s">
        <v>1146</v>
      </c>
      <c r="AD353" s="30"/>
      <c r="AE353" s="30"/>
      <c r="AF353" s="30" t="s">
        <v>593</v>
      </c>
      <c r="AG353" s="30" t="s">
        <v>440</v>
      </c>
      <c r="AH353" s="30" t="s">
        <v>1147</v>
      </c>
      <c r="AI353" s="30"/>
      <c r="AJ353" s="50">
        <v>38523</v>
      </c>
      <c r="AK353" s="50">
        <v>38523</v>
      </c>
      <c r="AL353" s="51">
        <f t="shared" si="223"/>
        <v>20.378082191780823</v>
      </c>
      <c r="AM353" s="30">
        <v>8</v>
      </c>
      <c r="AN353" s="30" t="s">
        <v>1065</v>
      </c>
      <c r="AO353" s="30" t="s">
        <v>1050</v>
      </c>
      <c r="AP353" s="30" t="s">
        <v>1051</v>
      </c>
      <c r="AQ353" s="30">
        <v>2.5</v>
      </c>
      <c r="AR353" s="30">
        <v>2700</v>
      </c>
      <c r="AS353" s="30">
        <v>1350</v>
      </c>
      <c r="AT353" s="30">
        <v>2000</v>
      </c>
      <c r="AU353" s="54">
        <v>317003213</v>
      </c>
      <c r="AV353" s="54"/>
      <c r="AW353" s="54"/>
      <c r="AX353" s="54"/>
      <c r="AY353" s="54">
        <v>317002213</v>
      </c>
      <c r="AZ353" s="54">
        <v>989415</v>
      </c>
      <c r="BA353" s="54">
        <v>1000</v>
      </c>
      <c r="BB353" s="55">
        <f>VLOOKUP(M353,[1]Sheet1!$E$6:$F$556,2,FALSE)</f>
        <v>1000</v>
      </c>
      <c r="BC353" s="74"/>
      <c r="BD353" s="74"/>
      <c r="BE353" s="30"/>
      <c r="BF353" s="30" t="s">
        <v>1052</v>
      </c>
      <c r="BG353" s="30" t="s">
        <v>1074</v>
      </c>
      <c r="BH353" s="30" t="s">
        <v>1054</v>
      </c>
      <c r="BI353" s="30" t="str">
        <f t="shared" si="212"/>
        <v>COF(Assy_FT)</v>
      </c>
      <c r="BJ353" s="47" t="s">
        <v>137</v>
      </c>
      <c r="BK353" s="67">
        <f t="shared" si="224"/>
        <v>6340064.2599999998</v>
      </c>
      <c r="BL353" s="68">
        <f t="shared" ref="BL353:BL360" si="234">CP353/$BL$1/4</f>
        <v>604390.19705948536</v>
      </c>
      <c r="BM353" s="68">
        <f t="shared" ref="BM353:BM360" si="235">CP353/$BL$1/12</f>
        <v>201463.39901982844</v>
      </c>
      <c r="BP353" s="69">
        <f t="shared" si="195"/>
        <v>604390.19705948536</v>
      </c>
      <c r="BQ353" s="69">
        <f t="shared" si="196"/>
        <v>604390.19705948536</v>
      </c>
      <c r="BR353" s="69">
        <f>SUM(BN353:BQ353)</f>
        <v>1208780.3941189707</v>
      </c>
      <c r="BS353" s="69">
        <f t="shared" si="197"/>
        <v>604390.19705948536</v>
      </c>
      <c r="BT353" s="69">
        <f t="shared" si="230"/>
        <v>604390.19705948536</v>
      </c>
      <c r="BU353" s="100">
        <f t="shared" si="230"/>
        <v>604390.19705948536</v>
      </c>
      <c r="BV353" s="100">
        <f t="shared" si="230"/>
        <v>604390.19705948536</v>
      </c>
      <c r="BW353" s="100">
        <f t="shared" si="200"/>
        <v>2417560.7882379415</v>
      </c>
      <c r="BX353" s="101">
        <f t="shared" si="201"/>
        <v>604390.19705948536</v>
      </c>
      <c r="BY353" s="101">
        <f t="shared" si="199"/>
        <v>604390.19705948536</v>
      </c>
      <c r="BZ353" s="18">
        <f t="shared" si="199"/>
        <v>604390.19705948536</v>
      </c>
      <c r="CA353" s="18">
        <f t="shared" si="199"/>
        <v>604390.19705948536</v>
      </c>
      <c r="CB353" s="70">
        <f t="shared" si="216"/>
        <v>2417560.7882379415</v>
      </c>
      <c r="CC353" s="18">
        <f t="shared" si="217"/>
        <v>604390.19705948536</v>
      </c>
      <c r="CD353" s="18">
        <f t="shared" si="231"/>
        <v>604390.19705948536</v>
      </c>
      <c r="CE353" s="18">
        <f t="shared" si="231"/>
        <v>604390.19705948536</v>
      </c>
      <c r="CF353" s="18">
        <f t="shared" si="231"/>
        <v>604390.19705948536</v>
      </c>
      <c r="CG353" s="70">
        <f t="shared" si="219"/>
        <v>2417560.7882379415</v>
      </c>
      <c r="CH353" s="18">
        <f t="shared" si="211"/>
        <v>604390.19705948536</v>
      </c>
      <c r="CI353" s="18">
        <f t="shared" si="227"/>
        <v>604390.19705948536</v>
      </c>
      <c r="CJ353" s="18">
        <f t="shared" si="227"/>
        <v>604390.19705948536</v>
      </c>
      <c r="CK353" s="18">
        <f t="shared" si="227"/>
        <v>604390.19705948536</v>
      </c>
      <c r="CL353" s="70">
        <f t="shared" si="221"/>
        <v>2417560.7882379415</v>
      </c>
      <c r="CM353" s="71"/>
      <c r="CN353" s="59">
        <f t="shared" ref="CN353:CN355" si="236">BK353/$CN$3</f>
        <v>6.1906771647159684E-4</v>
      </c>
      <c r="CO353" s="64">
        <f t="shared" ref="CO353:CO355" si="237">CN353*$CO$4</f>
        <v>13000422.045903534</v>
      </c>
      <c r="CP353" s="2">
        <f t="shared" si="214"/>
        <v>19340486.305903532</v>
      </c>
    </row>
    <row r="354" spans="1:94" ht="16.5" hidden="1" x14ac:dyDescent="0.3">
      <c r="A354" s="2">
        <v>349</v>
      </c>
      <c r="B354" s="47" t="s">
        <v>21</v>
      </c>
      <c r="C354" s="47"/>
      <c r="D354" s="30" t="s">
        <v>1041</v>
      </c>
      <c r="E354" s="30" t="s">
        <v>1042</v>
      </c>
      <c r="F354" s="30" t="s">
        <v>1043</v>
      </c>
      <c r="G354" s="30" t="s">
        <v>117</v>
      </c>
      <c r="H354" s="30" t="s">
        <v>1058</v>
      </c>
      <c r="I354" s="30" t="s">
        <v>119</v>
      </c>
      <c r="J354" s="30" t="s">
        <v>1044</v>
      </c>
      <c r="K354" s="30" t="s">
        <v>1044</v>
      </c>
      <c r="L354" s="30" t="s">
        <v>1120</v>
      </c>
      <c r="M354" s="30">
        <v>1001905</v>
      </c>
      <c r="N354" s="30" t="s">
        <v>138</v>
      </c>
      <c r="O354" s="30" t="s">
        <v>1296</v>
      </c>
      <c r="P354" s="30" t="s">
        <v>1297</v>
      </c>
      <c r="Q354" s="30" t="s">
        <v>1227</v>
      </c>
      <c r="R354" s="30"/>
      <c r="S354" s="30">
        <v>10022605</v>
      </c>
      <c r="T354" s="30"/>
      <c r="U354" s="30" t="s">
        <v>144</v>
      </c>
      <c r="V354" s="30" t="s">
        <v>437</v>
      </c>
      <c r="W354" s="30" t="s">
        <v>1228</v>
      </c>
      <c r="X354" s="30" t="s">
        <v>147</v>
      </c>
      <c r="Y354" s="125" t="s">
        <v>576</v>
      </c>
      <c r="Z354" s="125" t="s">
        <v>576</v>
      </c>
      <c r="AA354" s="30" t="s">
        <v>129</v>
      </c>
      <c r="AB354" s="127" t="s">
        <v>1129</v>
      </c>
      <c r="AC354" s="30"/>
      <c r="AD354" s="30"/>
      <c r="AE354" s="30"/>
      <c r="AF354" s="30" t="s">
        <v>131</v>
      </c>
      <c r="AG354" s="30" t="s">
        <v>774</v>
      </c>
      <c r="AH354" s="30"/>
      <c r="AI354" s="30"/>
      <c r="AJ354" s="50">
        <v>40235</v>
      </c>
      <c r="AK354" s="50">
        <v>40235</v>
      </c>
      <c r="AL354" s="51">
        <f t="shared" si="223"/>
        <v>15.687671232876712</v>
      </c>
      <c r="AM354" s="30">
        <v>8</v>
      </c>
      <c r="AN354" s="30" t="s">
        <v>1065</v>
      </c>
      <c r="AO354" s="30" t="s">
        <v>1050</v>
      </c>
      <c r="AP354" s="30" t="s">
        <v>1051</v>
      </c>
      <c r="AQ354" s="30">
        <v>6.6</v>
      </c>
      <c r="AR354" s="30">
        <v>7160</v>
      </c>
      <c r="AS354" s="30">
        <v>840</v>
      </c>
      <c r="AT354" s="30">
        <v>1960</v>
      </c>
      <c r="AU354" s="54">
        <v>211468571</v>
      </c>
      <c r="AV354" s="54"/>
      <c r="AW354" s="54"/>
      <c r="AX354" s="54"/>
      <c r="AY354" s="54">
        <v>211467571</v>
      </c>
      <c r="AZ354" s="54">
        <v>0</v>
      </c>
      <c r="BA354" s="54">
        <v>1000</v>
      </c>
      <c r="BB354" s="55">
        <f>VLOOKUP(M354,[1]Sheet1!$E$6:$F$556,2,FALSE)</f>
        <v>1000</v>
      </c>
      <c r="BC354" s="74"/>
      <c r="BD354" s="74"/>
      <c r="BE354" s="30"/>
      <c r="BF354" s="30" t="s">
        <v>1052</v>
      </c>
      <c r="BG354" s="30" t="s">
        <v>1117</v>
      </c>
      <c r="BH354" s="30" t="s">
        <v>1054</v>
      </c>
      <c r="BI354" s="30" t="str">
        <f t="shared" si="212"/>
        <v>COF(Assy_FT)</v>
      </c>
      <c r="BJ354" s="47" t="s">
        <v>137</v>
      </c>
      <c r="BK354" s="67">
        <f t="shared" si="224"/>
        <v>4229371.42</v>
      </c>
      <c r="BL354" s="68">
        <f t="shared" si="234"/>
        <v>403180.55482477963</v>
      </c>
      <c r="BM354" s="68">
        <f t="shared" si="235"/>
        <v>134393.51827492655</v>
      </c>
      <c r="BP354" s="69">
        <f t="shared" si="195"/>
        <v>403180.55482477963</v>
      </c>
      <c r="BQ354" s="69">
        <f t="shared" si="196"/>
        <v>403180.55482477963</v>
      </c>
      <c r="BR354" s="69">
        <f>SUM(BN354:BQ354)</f>
        <v>806361.10964955925</v>
      </c>
      <c r="BS354" s="69">
        <f t="shared" si="197"/>
        <v>403180.55482477963</v>
      </c>
      <c r="BT354" s="69">
        <f t="shared" si="230"/>
        <v>403180.55482477963</v>
      </c>
      <c r="BU354" s="100">
        <f t="shared" si="230"/>
        <v>403180.55482477963</v>
      </c>
      <c r="BV354" s="100">
        <f t="shared" si="230"/>
        <v>403180.55482477963</v>
      </c>
      <c r="BW354" s="100">
        <f t="shared" si="200"/>
        <v>1612722.2192991185</v>
      </c>
      <c r="BX354" s="101">
        <f t="shared" si="201"/>
        <v>403180.55482477963</v>
      </c>
      <c r="BY354" s="101">
        <f t="shared" si="199"/>
        <v>403180.55482477963</v>
      </c>
      <c r="BZ354" s="18">
        <f t="shared" si="199"/>
        <v>403180.55482477963</v>
      </c>
      <c r="CA354" s="18">
        <f t="shared" si="199"/>
        <v>403180.55482477963</v>
      </c>
      <c r="CB354" s="70">
        <f t="shared" si="216"/>
        <v>1612722.2192991185</v>
      </c>
      <c r="CC354" s="18">
        <f t="shared" si="217"/>
        <v>403180.55482477963</v>
      </c>
      <c r="CD354" s="18">
        <f t="shared" si="231"/>
        <v>403180.55482477963</v>
      </c>
      <c r="CE354" s="18">
        <f t="shared" si="231"/>
        <v>403180.55482477963</v>
      </c>
      <c r="CF354" s="18">
        <f t="shared" si="231"/>
        <v>403180.55482477963</v>
      </c>
      <c r="CG354" s="70">
        <f t="shared" si="219"/>
        <v>1612722.2192991185</v>
      </c>
      <c r="CH354" s="18">
        <f t="shared" si="211"/>
        <v>403180.55482477963</v>
      </c>
      <c r="CI354" s="18">
        <f t="shared" si="227"/>
        <v>403180.55482477963</v>
      </c>
      <c r="CJ354" s="18">
        <f t="shared" si="227"/>
        <v>403180.55482477963</v>
      </c>
      <c r="CK354" s="18">
        <f t="shared" si="227"/>
        <v>403180.55482477963</v>
      </c>
      <c r="CL354" s="70">
        <f t="shared" si="221"/>
        <v>1612722.2192991185</v>
      </c>
      <c r="CM354" s="71"/>
      <c r="CN354" s="59">
        <f t="shared" si="236"/>
        <v>4.1297173020918797E-4</v>
      </c>
      <c r="CO354" s="64">
        <f t="shared" si="237"/>
        <v>8672406.3343929481</v>
      </c>
      <c r="CP354" s="2">
        <f t="shared" si="214"/>
        <v>12901777.754392948</v>
      </c>
    </row>
    <row r="355" spans="1:94" ht="16.5" hidden="1" x14ac:dyDescent="0.3">
      <c r="A355" s="2">
        <v>350</v>
      </c>
      <c r="B355" s="47" t="s">
        <v>21</v>
      </c>
      <c r="C355" s="47"/>
      <c r="D355" s="30" t="s">
        <v>1041</v>
      </c>
      <c r="E355" s="30" t="s">
        <v>1042</v>
      </c>
      <c r="F355" s="30" t="s">
        <v>1043</v>
      </c>
      <c r="G355" s="30" t="s">
        <v>117</v>
      </c>
      <c r="H355" s="30" t="s">
        <v>1058</v>
      </c>
      <c r="I355" s="30" t="s">
        <v>119</v>
      </c>
      <c r="J355" s="30" t="s">
        <v>1044</v>
      </c>
      <c r="K355" s="30" t="s">
        <v>1044</v>
      </c>
      <c r="L355" s="30" t="s">
        <v>766</v>
      </c>
      <c r="M355" s="30">
        <v>1001987</v>
      </c>
      <c r="N355" s="30" t="s">
        <v>138</v>
      </c>
      <c r="O355" s="30" t="s">
        <v>1298</v>
      </c>
      <c r="P355" s="30" t="s">
        <v>768</v>
      </c>
      <c r="Q355" s="30" t="s">
        <v>769</v>
      </c>
      <c r="R355" s="30"/>
      <c r="S355" s="30" t="s">
        <v>1299</v>
      </c>
      <c r="T355" s="30"/>
      <c r="U355" s="30" t="s">
        <v>144</v>
      </c>
      <c r="V355" s="30" t="s">
        <v>415</v>
      </c>
      <c r="W355" s="30" t="s">
        <v>1048</v>
      </c>
      <c r="X355" s="30" t="s">
        <v>127</v>
      </c>
      <c r="Y355" s="30" t="s">
        <v>128</v>
      </c>
      <c r="Z355" s="30" t="s">
        <v>128</v>
      </c>
      <c r="AA355" s="48" t="s">
        <v>148</v>
      </c>
      <c r="AB355" s="30" t="s">
        <v>773</v>
      </c>
      <c r="AC355" s="30" t="s">
        <v>773</v>
      </c>
      <c r="AD355" s="30"/>
      <c r="AE355" s="30"/>
      <c r="AF355" s="48" t="s">
        <v>604</v>
      </c>
      <c r="AG355" s="30" t="s">
        <v>774</v>
      </c>
      <c r="AH355" s="48" t="s">
        <v>775</v>
      </c>
      <c r="AI355" s="30"/>
      <c r="AJ355" s="50">
        <v>40072</v>
      </c>
      <c r="AK355" s="50">
        <v>40259</v>
      </c>
      <c r="AL355" s="51">
        <f t="shared" si="223"/>
        <v>15.621917808219179</v>
      </c>
      <c r="AM355" s="30">
        <v>8</v>
      </c>
      <c r="AN355" s="30" t="s">
        <v>1057</v>
      </c>
      <c r="AO355" s="30" t="s">
        <v>1050</v>
      </c>
      <c r="AP355" s="30" t="s">
        <v>1051</v>
      </c>
      <c r="AQ355" s="30">
        <v>6.24</v>
      </c>
      <c r="AR355" s="30">
        <v>1150</v>
      </c>
      <c r="AS355" s="30">
        <v>1200</v>
      </c>
      <c r="AT355" s="30">
        <v>2100</v>
      </c>
      <c r="AU355" s="54">
        <v>217851238</v>
      </c>
      <c r="AV355" s="54"/>
      <c r="AW355" s="54"/>
      <c r="AX355" s="54"/>
      <c r="AY355" s="54">
        <v>217850238</v>
      </c>
      <c r="AZ355" s="54">
        <v>0</v>
      </c>
      <c r="BA355" s="54">
        <v>1000</v>
      </c>
      <c r="BB355" s="55">
        <f>VLOOKUP(M355,[1]Sheet1!$E$6:$F$556,2,FALSE)</f>
        <v>1000</v>
      </c>
      <c r="BC355" s="74"/>
      <c r="BD355" s="74"/>
      <c r="BE355" s="30"/>
      <c r="BF355" s="30" t="s">
        <v>1052</v>
      </c>
      <c r="BG355" s="30" t="s">
        <v>1053</v>
      </c>
      <c r="BH355" s="30" t="s">
        <v>1054</v>
      </c>
      <c r="BI355" s="30" t="str">
        <f t="shared" si="212"/>
        <v>COF(Assy_FT)</v>
      </c>
      <c r="BJ355" s="47" t="s">
        <v>137</v>
      </c>
      <c r="BK355" s="56">
        <f t="shared" si="224"/>
        <v>4357024.76</v>
      </c>
      <c r="BL355" s="57">
        <f t="shared" si="234"/>
        <v>415349.58405760024</v>
      </c>
      <c r="BM355" s="57">
        <f t="shared" si="235"/>
        <v>138449.86135253342</v>
      </c>
      <c r="BU355" s="58">
        <f>BM355*3</f>
        <v>415349.58405760024</v>
      </c>
      <c r="BV355" s="58">
        <f t="shared" si="230"/>
        <v>415349.58405760024</v>
      </c>
      <c r="BW355" s="58">
        <f t="shared" si="200"/>
        <v>830699.16811520047</v>
      </c>
      <c r="BX355" s="58">
        <f t="shared" si="201"/>
        <v>415349.58405760024</v>
      </c>
      <c r="BY355" s="58">
        <f t="shared" si="199"/>
        <v>415349.58405760024</v>
      </c>
      <c r="BZ355" s="58">
        <f>BM355*3</f>
        <v>415349.58405760024</v>
      </c>
      <c r="CA355" s="58">
        <f t="shared" si="199"/>
        <v>415349.58405760024</v>
      </c>
      <c r="CB355" s="58">
        <f t="shared" si="216"/>
        <v>1661398.3362304009</v>
      </c>
      <c r="CC355" s="58">
        <f t="shared" si="217"/>
        <v>415349.58405760024</v>
      </c>
      <c r="CD355" s="58">
        <f t="shared" si="231"/>
        <v>415349.58405760024</v>
      </c>
      <c r="CE355" s="58">
        <f t="shared" si="231"/>
        <v>415349.58405760024</v>
      </c>
      <c r="CF355" s="58">
        <f t="shared" si="231"/>
        <v>415349.58405760024</v>
      </c>
      <c r="CG355" s="58">
        <f t="shared" si="219"/>
        <v>1661398.3362304009</v>
      </c>
      <c r="CH355" s="58">
        <f t="shared" si="211"/>
        <v>415349.58405760024</v>
      </c>
      <c r="CI355" s="58">
        <f t="shared" si="227"/>
        <v>415349.58405760024</v>
      </c>
      <c r="CJ355" s="58">
        <f t="shared" si="227"/>
        <v>415349.58405760024</v>
      </c>
      <c r="CK355" s="58">
        <f t="shared" si="227"/>
        <v>415349.58405760024</v>
      </c>
      <c r="CL355" s="58">
        <f t="shared" si="221"/>
        <v>1661398.3362304009</v>
      </c>
      <c r="CN355" s="59">
        <f t="shared" si="236"/>
        <v>4.254362823734861E-4</v>
      </c>
      <c r="CO355" s="64">
        <f t="shared" si="237"/>
        <v>8934161.9298432078</v>
      </c>
      <c r="CP355" s="2">
        <f t="shared" si="214"/>
        <v>13291186.689843208</v>
      </c>
    </row>
    <row r="356" spans="1:94" hidden="1" x14ac:dyDescent="0.3">
      <c r="A356" s="29">
        <v>351</v>
      </c>
      <c r="B356" s="30" t="s">
        <v>21</v>
      </c>
      <c r="C356" s="30"/>
      <c r="D356" s="30" t="s">
        <v>1041</v>
      </c>
      <c r="E356" s="30" t="s">
        <v>1042</v>
      </c>
      <c r="F356" s="30" t="s">
        <v>1043</v>
      </c>
      <c r="G356" s="30" t="s">
        <v>117</v>
      </c>
      <c r="H356" s="30" t="s">
        <v>1058</v>
      </c>
      <c r="I356" s="30" t="s">
        <v>119</v>
      </c>
      <c r="J356" s="30" t="s">
        <v>1044</v>
      </c>
      <c r="K356" s="30" t="s">
        <v>1044</v>
      </c>
      <c r="L356" s="30" t="s">
        <v>1075</v>
      </c>
      <c r="M356" s="30">
        <v>1002348</v>
      </c>
      <c r="N356" s="30" t="s">
        <v>138</v>
      </c>
      <c r="O356" s="30" t="s">
        <v>1300</v>
      </c>
      <c r="P356" s="30" t="s">
        <v>1301</v>
      </c>
      <c r="Q356" s="30" t="s">
        <v>1083</v>
      </c>
      <c r="R356" s="30"/>
      <c r="S356" s="30" t="s">
        <v>1302</v>
      </c>
      <c r="T356" s="30"/>
      <c r="U356" s="30" t="s">
        <v>144</v>
      </c>
      <c r="V356" s="30" t="s">
        <v>437</v>
      </c>
      <c r="W356" s="30" t="s">
        <v>1086</v>
      </c>
      <c r="X356" s="30"/>
      <c r="Y356" s="30" t="s">
        <v>457</v>
      </c>
      <c r="Z356" s="30" t="s">
        <v>457</v>
      </c>
      <c r="AA356" s="30" t="s">
        <v>129</v>
      </c>
      <c r="AB356" s="30" t="s">
        <v>1087</v>
      </c>
      <c r="AC356" s="30" t="s">
        <v>1087</v>
      </c>
      <c r="AD356" s="30"/>
      <c r="AE356" s="30"/>
      <c r="AF356" s="30" t="s">
        <v>131</v>
      </c>
      <c r="AG356" s="30" t="s">
        <v>1088</v>
      </c>
      <c r="AH356" s="30"/>
      <c r="AI356" s="30"/>
      <c r="AJ356" s="50">
        <v>40470</v>
      </c>
      <c r="AK356" s="50">
        <v>40390</v>
      </c>
      <c r="AL356" s="51">
        <f t="shared" si="223"/>
        <v>15.263013698630138</v>
      </c>
      <c r="AM356" s="30">
        <v>8</v>
      </c>
      <c r="AN356" s="30" t="s">
        <v>1057</v>
      </c>
      <c r="AO356" s="30" t="s">
        <v>1050</v>
      </c>
      <c r="AP356" s="30" t="s">
        <v>1051</v>
      </c>
      <c r="AQ356" s="30">
        <v>2.4</v>
      </c>
      <c r="AR356" s="30">
        <v>2269</v>
      </c>
      <c r="AS356" s="30">
        <v>1124</v>
      </c>
      <c r="AT356" s="30">
        <v>1986</v>
      </c>
      <c r="AU356" s="74">
        <v>150040000</v>
      </c>
      <c r="AV356" s="54"/>
      <c r="AW356" s="54"/>
      <c r="AX356" s="54"/>
      <c r="AY356" s="54">
        <v>150039000</v>
      </c>
      <c r="AZ356" s="54">
        <v>0</v>
      </c>
      <c r="BA356" s="74">
        <v>1000</v>
      </c>
      <c r="BB356" s="55">
        <f>VLOOKUP(M356,[1]Sheet1!$E$6:$F$556,2,FALSE)</f>
        <v>1000</v>
      </c>
      <c r="BC356" s="74"/>
      <c r="BD356" s="74"/>
      <c r="BE356" s="30"/>
      <c r="BF356" s="30" t="s">
        <v>1052</v>
      </c>
      <c r="BG356" s="30" t="s">
        <v>1053</v>
      </c>
      <c r="BH356" s="30" t="s">
        <v>1054</v>
      </c>
      <c r="BI356" s="30" t="str">
        <f t="shared" si="212"/>
        <v>COF(Assy_FT)</v>
      </c>
      <c r="BJ356" s="30" t="s">
        <v>250</v>
      </c>
      <c r="BK356" s="56">
        <f t="shared" si="224"/>
        <v>3000800</v>
      </c>
      <c r="BL356" s="57">
        <f t="shared" si="234"/>
        <v>93775</v>
      </c>
      <c r="BM356" s="57">
        <f t="shared" si="235"/>
        <v>31258.333333333332</v>
      </c>
      <c r="BU356" s="58">
        <f>BM356*3</f>
        <v>93775</v>
      </c>
      <c r="BV356" s="58">
        <f t="shared" si="230"/>
        <v>93775</v>
      </c>
      <c r="BW356" s="58">
        <f t="shared" si="200"/>
        <v>187550</v>
      </c>
      <c r="BX356" s="58">
        <f t="shared" si="201"/>
        <v>93775</v>
      </c>
      <c r="BY356" s="58">
        <f t="shared" si="199"/>
        <v>93775</v>
      </c>
      <c r="BZ356" s="58">
        <f>BM356*3</f>
        <v>93775</v>
      </c>
      <c r="CA356" s="58">
        <f t="shared" si="199"/>
        <v>93775</v>
      </c>
      <c r="CB356" s="58">
        <f t="shared" si="216"/>
        <v>375100</v>
      </c>
      <c r="CC356" s="58">
        <f t="shared" si="217"/>
        <v>93775</v>
      </c>
      <c r="CD356" s="58">
        <f t="shared" si="231"/>
        <v>93775</v>
      </c>
      <c r="CE356" s="58">
        <f t="shared" si="231"/>
        <v>93775</v>
      </c>
      <c r="CF356" s="58">
        <f t="shared" si="231"/>
        <v>93775</v>
      </c>
      <c r="CG356" s="58">
        <f t="shared" si="219"/>
        <v>375100</v>
      </c>
      <c r="CH356" s="58">
        <f t="shared" si="211"/>
        <v>93775</v>
      </c>
      <c r="CI356" s="58">
        <f t="shared" si="227"/>
        <v>93775</v>
      </c>
      <c r="CJ356" s="58">
        <f t="shared" si="227"/>
        <v>93775</v>
      </c>
      <c r="CK356" s="58">
        <f t="shared" si="227"/>
        <v>93775</v>
      </c>
      <c r="CL356" s="58">
        <f t="shared" si="221"/>
        <v>375100</v>
      </c>
      <c r="CP356" s="2">
        <f t="shared" si="214"/>
        <v>3000800</v>
      </c>
    </row>
    <row r="357" spans="1:94" ht="16.5" hidden="1" x14ac:dyDescent="0.3">
      <c r="A357" s="2">
        <v>352</v>
      </c>
      <c r="B357" s="47" t="s">
        <v>21</v>
      </c>
      <c r="C357" s="47"/>
      <c r="D357" s="30" t="s">
        <v>1041</v>
      </c>
      <c r="E357" s="30" t="s">
        <v>1042</v>
      </c>
      <c r="F357" s="30" t="s">
        <v>1043</v>
      </c>
      <c r="G357" s="30" t="s">
        <v>117</v>
      </c>
      <c r="H357" s="30" t="s">
        <v>1058</v>
      </c>
      <c r="I357" s="30" t="s">
        <v>119</v>
      </c>
      <c r="J357" s="30" t="s">
        <v>1044</v>
      </c>
      <c r="K357" s="30" t="s">
        <v>1044</v>
      </c>
      <c r="L357" s="30" t="s">
        <v>1109</v>
      </c>
      <c r="M357" s="30">
        <v>1002349</v>
      </c>
      <c r="N357" s="30" t="s">
        <v>138</v>
      </c>
      <c r="O357" s="30" t="s">
        <v>1303</v>
      </c>
      <c r="P357" s="30" t="s">
        <v>1210</v>
      </c>
      <c r="Q357" s="30" t="s">
        <v>585</v>
      </c>
      <c r="R357" s="30"/>
      <c r="S357" s="30" t="s">
        <v>1304</v>
      </c>
      <c r="T357" s="30"/>
      <c r="U357" s="30" t="s">
        <v>144</v>
      </c>
      <c r="V357" s="30" t="s">
        <v>437</v>
      </c>
      <c r="W357" s="30" t="s">
        <v>1212</v>
      </c>
      <c r="X357" s="30" t="s">
        <v>147</v>
      </c>
      <c r="Y357" s="125" t="s">
        <v>128</v>
      </c>
      <c r="Z357" s="125" t="s">
        <v>128</v>
      </c>
      <c r="AA357" s="30" t="s">
        <v>129</v>
      </c>
      <c r="AB357" s="30" t="s">
        <v>1114</v>
      </c>
      <c r="AC357" s="30" t="s">
        <v>1114</v>
      </c>
      <c r="AD357" s="30" t="s">
        <v>1115</v>
      </c>
      <c r="AE357" s="30"/>
      <c r="AF357" s="30" t="s">
        <v>131</v>
      </c>
      <c r="AG357" s="30" t="s">
        <v>774</v>
      </c>
      <c r="AH357" s="30" t="s">
        <v>1116</v>
      </c>
      <c r="AI357" s="30"/>
      <c r="AJ357" s="50">
        <v>40386</v>
      </c>
      <c r="AK357" s="50">
        <v>40386</v>
      </c>
      <c r="AL357" s="51">
        <f t="shared" si="223"/>
        <v>15.273972602739725</v>
      </c>
      <c r="AM357" s="30">
        <v>8</v>
      </c>
      <c r="AN357" s="30" t="s">
        <v>1065</v>
      </c>
      <c r="AO357" s="30" t="s">
        <v>1050</v>
      </c>
      <c r="AP357" s="30" t="s">
        <v>1051</v>
      </c>
      <c r="AQ357" s="30">
        <v>5.28</v>
      </c>
      <c r="AR357" s="30">
        <v>1470</v>
      </c>
      <c r="AS357" s="30">
        <v>950</v>
      </c>
      <c r="AT357" s="30">
        <v>1550</v>
      </c>
      <c r="AU357" s="54">
        <v>7240000</v>
      </c>
      <c r="AV357" s="54"/>
      <c r="AW357" s="54"/>
      <c r="AX357" s="54"/>
      <c r="AY357" s="54">
        <v>7239000</v>
      </c>
      <c r="AZ357" s="54">
        <v>0</v>
      </c>
      <c r="BA357" s="54">
        <v>1000</v>
      </c>
      <c r="BB357" s="55">
        <f>VLOOKUP(M357,[1]Sheet1!$E$6:$F$556,2,FALSE)</f>
        <v>1000</v>
      </c>
      <c r="BC357" s="74"/>
      <c r="BD357" s="74"/>
      <c r="BE357" s="30"/>
      <c r="BF357" s="30" t="s">
        <v>1052</v>
      </c>
      <c r="BG357" s="30" t="s">
        <v>1117</v>
      </c>
      <c r="BH357" s="30" t="s">
        <v>1054</v>
      </c>
      <c r="BI357" s="30" t="str">
        <f t="shared" si="212"/>
        <v>COF(Assy_FT)</v>
      </c>
      <c r="BJ357" s="47" t="s">
        <v>137</v>
      </c>
      <c r="BK357" s="67">
        <f t="shared" si="224"/>
        <v>144800</v>
      </c>
      <c r="BL357" s="68">
        <f t="shared" si="234"/>
        <v>13803.598346211951</v>
      </c>
      <c r="BM357" s="68">
        <f t="shared" si="235"/>
        <v>4601.1994487373167</v>
      </c>
      <c r="BP357" s="69">
        <f t="shared" si="195"/>
        <v>13803.598346211951</v>
      </c>
      <c r="BQ357" s="69">
        <f t="shared" si="196"/>
        <v>13803.598346211951</v>
      </c>
      <c r="BR357" s="69">
        <f>SUM(BN357:BQ357)</f>
        <v>27607.196692423902</v>
      </c>
      <c r="BS357" s="69">
        <f t="shared" si="197"/>
        <v>13803.598346211951</v>
      </c>
      <c r="BT357" s="69">
        <f t="shared" si="230"/>
        <v>13803.598346211951</v>
      </c>
      <c r="BU357" s="100">
        <f t="shared" si="230"/>
        <v>13803.598346211951</v>
      </c>
      <c r="BV357" s="100">
        <f t="shared" si="230"/>
        <v>13803.598346211951</v>
      </c>
      <c r="BW357" s="100">
        <f t="shared" si="200"/>
        <v>55214.393384847805</v>
      </c>
      <c r="BX357" s="101">
        <f t="shared" si="201"/>
        <v>13803.598346211951</v>
      </c>
      <c r="BY357" s="101">
        <f t="shared" si="199"/>
        <v>13803.598346211951</v>
      </c>
      <c r="BZ357" s="18">
        <f t="shared" si="199"/>
        <v>13803.598346211951</v>
      </c>
      <c r="CA357" s="18">
        <f t="shared" si="199"/>
        <v>13803.598346211951</v>
      </c>
      <c r="CB357" s="70">
        <f t="shared" si="216"/>
        <v>55214.393384847805</v>
      </c>
      <c r="CC357" s="18">
        <f t="shared" si="217"/>
        <v>13803.598346211951</v>
      </c>
      <c r="CD357" s="18">
        <f t="shared" si="231"/>
        <v>13803.598346211951</v>
      </c>
      <c r="CE357" s="18">
        <f t="shared" si="231"/>
        <v>13803.598346211951</v>
      </c>
      <c r="CF357" s="18">
        <f t="shared" si="231"/>
        <v>13803.598346211951</v>
      </c>
      <c r="CG357" s="70">
        <f t="shared" si="219"/>
        <v>55214.393384847805</v>
      </c>
      <c r="CH357" s="18">
        <f t="shared" si="211"/>
        <v>13803.598346211951</v>
      </c>
      <c r="CI357" s="18">
        <f t="shared" si="227"/>
        <v>13803.598346211951</v>
      </c>
      <c r="CJ357" s="18">
        <f t="shared" si="227"/>
        <v>13803.598346211951</v>
      </c>
      <c r="CK357" s="18">
        <f t="shared" si="227"/>
        <v>13803.598346211951</v>
      </c>
      <c r="CL357" s="70">
        <f t="shared" si="221"/>
        <v>55214.393384847805</v>
      </c>
      <c r="CM357" s="71"/>
      <c r="CN357" s="59">
        <f t="shared" ref="CN357:CN360" si="238">BK357/$CN$3</f>
        <v>1.4138816527561067E-5</v>
      </c>
      <c r="CO357" s="64">
        <f t="shared" ref="CO357:CO360" si="239">CN357*$CO$4</f>
        <v>296915.14707878244</v>
      </c>
      <c r="CP357" s="2">
        <f t="shared" si="214"/>
        <v>441715.14707878244</v>
      </c>
    </row>
    <row r="358" spans="1:94" ht="16.5" hidden="1" x14ac:dyDescent="0.3">
      <c r="A358" s="2">
        <v>353</v>
      </c>
      <c r="B358" s="47" t="s">
        <v>21</v>
      </c>
      <c r="C358" s="47"/>
      <c r="D358" s="30" t="s">
        <v>1041</v>
      </c>
      <c r="E358" s="30" t="s">
        <v>1042</v>
      </c>
      <c r="F358" s="30" t="s">
        <v>1043</v>
      </c>
      <c r="G358" s="30" t="s">
        <v>117</v>
      </c>
      <c r="H358" s="30" t="s">
        <v>1058</v>
      </c>
      <c r="I358" s="30" t="s">
        <v>119</v>
      </c>
      <c r="J358" s="30" t="s">
        <v>1044</v>
      </c>
      <c r="K358" s="30" t="s">
        <v>1044</v>
      </c>
      <c r="L358" s="30" t="s">
        <v>766</v>
      </c>
      <c r="M358" s="30">
        <v>1002381</v>
      </c>
      <c r="N358" s="30" t="s">
        <v>138</v>
      </c>
      <c r="O358" s="30" t="s">
        <v>1305</v>
      </c>
      <c r="P358" s="30" t="s">
        <v>1306</v>
      </c>
      <c r="Q358" s="30" t="s">
        <v>1307</v>
      </c>
      <c r="R358" s="30"/>
      <c r="S358" s="30" t="s">
        <v>1308</v>
      </c>
      <c r="T358" s="30" t="s">
        <v>1309</v>
      </c>
      <c r="U358" s="30" t="s">
        <v>144</v>
      </c>
      <c r="V358" s="30" t="s">
        <v>437</v>
      </c>
      <c r="W358" s="30" t="s">
        <v>1086</v>
      </c>
      <c r="X358" s="30" t="s">
        <v>127</v>
      </c>
      <c r="Y358" s="30" t="s">
        <v>576</v>
      </c>
      <c r="Z358" s="30" t="s">
        <v>576</v>
      </c>
      <c r="AA358" s="138" t="s">
        <v>1310</v>
      </c>
      <c r="AB358" s="30" t="s">
        <v>1311</v>
      </c>
      <c r="AC358" s="30" t="s">
        <v>1312</v>
      </c>
      <c r="AD358" s="30"/>
      <c r="AE358" s="30"/>
      <c r="AF358" s="30" t="s">
        <v>131</v>
      </c>
      <c r="AG358" s="30" t="s">
        <v>440</v>
      </c>
      <c r="AH358" s="30"/>
      <c r="AI358" s="30"/>
      <c r="AJ358" s="50">
        <v>40378</v>
      </c>
      <c r="AK358" s="50">
        <v>40390</v>
      </c>
      <c r="AL358" s="51">
        <f t="shared" si="223"/>
        <v>15.263013698630138</v>
      </c>
      <c r="AM358" s="30">
        <v>8</v>
      </c>
      <c r="AN358" s="30" t="s">
        <v>1057</v>
      </c>
      <c r="AO358" s="30" t="s">
        <v>1050</v>
      </c>
      <c r="AP358" s="30" t="s">
        <v>1051</v>
      </c>
      <c r="AQ358" s="30">
        <v>2.4</v>
      </c>
      <c r="AR358" s="30">
        <v>1540</v>
      </c>
      <c r="AS358" s="30">
        <v>1210</v>
      </c>
      <c r="AT358" s="30">
        <v>1560</v>
      </c>
      <c r="AU358" s="54">
        <v>76840000</v>
      </c>
      <c r="AV358" s="54"/>
      <c r="AW358" s="54"/>
      <c r="AX358" s="54"/>
      <c r="AY358" s="54">
        <v>76839000</v>
      </c>
      <c r="AZ358" s="54">
        <v>0</v>
      </c>
      <c r="BA358" s="54">
        <v>1000</v>
      </c>
      <c r="BB358" s="55">
        <f>VLOOKUP(M358,[1]Sheet1!$E$6:$F$556,2,FALSE)</f>
        <v>1000</v>
      </c>
      <c r="BC358" s="74"/>
      <c r="BD358" s="74"/>
      <c r="BE358" s="30"/>
      <c r="BF358" s="30" t="s">
        <v>1052</v>
      </c>
      <c r="BG358" s="30" t="s">
        <v>1053</v>
      </c>
      <c r="BH358" s="30" t="s">
        <v>1054</v>
      </c>
      <c r="BI358" s="30" t="str">
        <f t="shared" si="212"/>
        <v>COF(Assy_FT)</v>
      </c>
      <c r="BJ358" s="47" t="s">
        <v>137</v>
      </c>
      <c r="BK358" s="56">
        <f t="shared" si="224"/>
        <v>1536800</v>
      </c>
      <c r="BL358" s="57">
        <f t="shared" si="234"/>
        <v>146501.17360813898</v>
      </c>
      <c r="BM358" s="57">
        <f t="shared" si="235"/>
        <v>48833.724536046328</v>
      </c>
      <c r="BU358" s="58">
        <f>BM358*3</f>
        <v>146501.17360813898</v>
      </c>
      <c r="BV358" s="58">
        <f t="shared" si="230"/>
        <v>146501.17360813898</v>
      </c>
      <c r="BW358" s="58">
        <f t="shared" si="200"/>
        <v>293002.34721627797</v>
      </c>
      <c r="BX358" s="58">
        <f t="shared" si="201"/>
        <v>146501.17360813898</v>
      </c>
      <c r="BY358" s="58">
        <f t="shared" si="199"/>
        <v>146501.17360813898</v>
      </c>
      <c r="BZ358" s="58">
        <f>BM358*3</f>
        <v>146501.17360813898</v>
      </c>
      <c r="CA358" s="58">
        <f t="shared" si="199"/>
        <v>146501.17360813898</v>
      </c>
      <c r="CB358" s="58">
        <f t="shared" si="216"/>
        <v>586004.69443255593</v>
      </c>
      <c r="CC358" s="58">
        <f t="shared" si="217"/>
        <v>146501.17360813898</v>
      </c>
      <c r="CD358" s="58">
        <f t="shared" si="231"/>
        <v>146501.17360813898</v>
      </c>
      <c r="CE358" s="58">
        <f t="shared" si="231"/>
        <v>146501.17360813898</v>
      </c>
      <c r="CF358" s="58">
        <f t="shared" si="231"/>
        <v>146501.17360813898</v>
      </c>
      <c r="CG358" s="58">
        <f t="shared" si="219"/>
        <v>586004.69443255593</v>
      </c>
      <c r="CH358" s="58">
        <f t="shared" si="211"/>
        <v>146501.17360813898</v>
      </c>
      <c r="CI358" s="58">
        <f t="shared" si="227"/>
        <v>146501.17360813898</v>
      </c>
      <c r="CJ358" s="58">
        <f t="shared" si="227"/>
        <v>146501.17360813898</v>
      </c>
      <c r="CK358" s="58">
        <f t="shared" si="227"/>
        <v>146501.17360813898</v>
      </c>
      <c r="CL358" s="58">
        <f t="shared" si="221"/>
        <v>586004.69443255593</v>
      </c>
      <c r="CN358" s="59">
        <f t="shared" si="238"/>
        <v>1.5005893121240225E-4</v>
      </c>
      <c r="CO358" s="64">
        <f t="shared" si="239"/>
        <v>3151237.5554604474</v>
      </c>
      <c r="CP358" s="2">
        <f t="shared" si="214"/>
        <v>4688037.5554604474</v>
      </c>
    </row>
    <row r="359" spans="1:94" ht="16.5" hidden="1" x14ac:dyDescent="0.3">
      <c r="A359" s="2">
        <v>354</v>
      </c>
      <c r="B359" s="47" t="s">
        <v>21</v>
      </c>
      <c r="C359" s="47"/>
      <c r="D359" s="30" t="s">
        <v>1041</v>
      </c>
      <c r="E359" s="30" t="s">
        <v>1042</v>
      </c>
      <c r="F359" s="30" t="s">
        <v>1043</v>
      </c>
      <c r="G359" s="30" t="s">
        <v>117</v>
      </c>
      <c r="H359" s="30" t="s">
        <v>1058</v>
      </c>
      <c r="I359" s="30" t="s">
        <v>119</v>
      </c>
      <c r="J359" s="30" t="s">
        <v>1044</v>
      </c>
      <c r="K359" s="30" t="s">
        <v>1044</v>
      </c>
      <c r="L359" s="30" t="s">
        <v>1109</v>
      </c>
      <c r="M359" s="30">
        <v>1002382</v>
      </c>
      <c r="N359" s="30" t="s">
        <v>138</v>
      </c>
      <c r="O359" s="30" t="s">
        <v>1313</v>
      </c>
      <c r="P359" s="30" t="s">
        <v>1210</v>
      </c>
      <c r="Q359" s="30" t="s">
        <v>585</v>
      </c>
      <c r="R359" s="30"/>
      <c r="S359" s="30" t="s">
        <v>1314</v>
      </c>
      <c r="T359" s="30"/>
      <c r="U359" s="30" t="s">
        <v>144</v>
      </c>
      <c r="V359" s="30" t="s">
        <v>437</v>
      </c>
      <c r="W359" s="30" t="s">
        <v>1212</v>
      </c>
      <c r="X359" s="30" t="s">
        <v>147</v>
      </c>
      <c r="Y359" s="125" t="s">
        <v>128</v>
      </c>
      <c r="Z359" s="125" t="s">
        <v>128</v>
      </c>
      <c r="AA359" s="30" t="s">
        <v>129</v>
      </c>
      <c r="AB359" s="30" t="s">
        <v>1114</v>
      </c>
      <c r="AC359" s="30" t="s">
        <v>1114</v>
      </c>
      <c r="AD359" s="30" t="s">
        <v>1115</v>
      </c>
      <c r="AE359" s="30"/>
      <c r="AF359" s="30" t="s">
        <v>131</v>
      </c>
      <c r="AG359" s="30" t="s">
        <v>774</v>
      </c>
      <c r="AH359" s="30" t="s">
        <v>1116</v>
      </c>
      <c r="AI359" s="30"/>
      <c r="AJ359" s="50">
        <v>40386</v>
      </c>
      <c r="AK359" s="50">
        <v>40386</v>
      </c>
      <c r="AL359" s="51">
        <f t="shared" si="223"/>
        <v>15.273972602739725</v>
      </c>
      <c r="AM359" s="30">
        <v>8</v>
      </c>
      <c r="AN359" s="30" t="s">
        <v>1065</v>
      </c>
      <c r="AO359" s="30" t="s">
        <v>1050</v>
      </c>
      <c r="AP359" s="30" t="s">
        <v>1051</v>
      </c>
      <c r="AQ359" s="30">
        <v>5.28</v>
      </c>
      <c r="AR359" s="30">
        <v>1470</v>
      </c>
      <c r="AS359" s="30">
        <v>950</v>
      </c>
      <c r="AT359" s="30">
        <v>1550</v>
      </c>
      <c r="AU359" s="54">
        <v>7240000</v>
      </c>
      <c r="AV359" s="54"/>
      <c r="AW359" s="54"/>
      <c r="AX359" s="54"/>
      <c r="AY359" s="54">
        <v>7239000</v>
      </c>
      <c r="AZ359" s="54">
        <v>0</v>
      </c>
      <c r="BA359" s="54">
        <v>1000</v>
      </c>
      <c r="BB359" s="55">
        <f>VLOOKUP(M359,[1]Sheet1!$E$6:$F$556,2,FALSE)</f>
        <v>1000</v>
      </c>
      <c r="BC359" s="74"/>
      <c r="BD359" s="74"/>
      <c r="BE359" s="30"/>
      <c r="BF359" s="30" t="s">
        <v>1052</v>
      </c>
      <c r="BG359" s="30" t="s">
        <v>1117</v>
      </c>
      <c r="BH359" s="30" t="s">
        <v>1054</v>
      </c>
      <c r="BI359" s="30" t="str">
        <f t="shared" si="212"/>
        <v>COF(Assy_FT)</v>
      </c>
      <c r="BJ359" s="47" t="s">
        <v>137</v>
      </c>
      <c r="BK359" s="67">
        <f t="shared" si="224"/>
        <v>144800</v>
      </c>
      <c r="BL359" s="68">
        <f t="shared" si="234"/>
        <v>13803.598346211951</v>
      </c>
      <c r="BM359" s="68">
        <f t="shared" si="235"/>
        <v>4601.1994487373167</v>
      </c>
      <c r="BP359" s="69">
        <f t="shared" si="195"/>
        <v>13803.598346211951</v>
      </c>
      <c r="BQ359" s="69">
        <f t="shared" si="196"/>
        <v>13803.598346211951</v>
      </c>
      <c r="BR359" s="69">
        <f>SUM(BN359:BQ359)</f>
        <v>27607.196692423902</v>
      </c>
      <c r="BS359" s="69">
        <f t="shared" si="197"/>
        <v>13803.598346211951</v>
      </c>
      <c r="BT359" s="69">
        <f t="shared" si="230"/>
        <v>13803.598346211951</v>
      </c>
      <c r="BU359" s="100">
        <f t="shared" si="230"/>
        <v>13803.598346211951</v>
      </c>
      <c r="BV359" s="100">
        <f t="shared" si="230"/>
        <v>13803.598346211951</v>
      </c>
      <c r="BW359" s="100">
        <f t="shared" si="200"/>
        <v>55214.393384847805</v>
      </c>
      <c r="BX359" s="101">
        <f t="shared" si="201"/>
        <v>13803.598346211951</v>
      </c>
      <c r="BY359" s="101">
        <f t="shared" si="199"/>
        <v>13803.598346211951</v>
      </c>
      <c r="BZ359" s="18">
        <f t="shared" si="199"/>
        <v>13803.598346211951</v>
      </c>
      <c r="CA359" s="18">
        <f t="shared" si="199"/>
        <v>13803.598346211951</v>
      </c>
      <c r="CB359" s="70">
        <f t="shared" si="216"/>
        <v>55214.393384847805</v>
      </c>
      <c r="CC359" s="18">
        <f t="shared" si="217"/>
        <v>13803.598346211951</v>
      </c>
      <c r="CD359" s="18">
        <f t="shared" si="231"/>
        <v>13803.598346211951</v>
      </c>
      <c r="CE359" s="18">
        <f t="shared" si="231"/>
        <v>13803.598346211951</v>
      </c>
      <c r="CF359" s="18">
        <f t="shared" si="231"/>
        <v>13803.598346211951</v>
      </c>
      <c r="CG359" s="70">
        <f t="shared" si="219"/>
        <v>55214.393384847805</v>
      </c>
      <c r="CH359" s="18">
        <f t="shared" si="211"/>
        <v>13803.598346211951</v>
      </c>
      <c r="CI359" s="18">
        <f t="shared" si="227"/>
        <v>13803.598346211951</v>
      </c>
      <c r="CJ359" s="18">
        <f t="shared" si="227"/>
        <v>13803.598346211951</v>
      </c>
      <c r="CK359" s="18">
        <f t="shared" si="227"/>
        <v>13803.598346211951</v>
      </c>
      <c r="CL359" s="70">
        <f t="shared" si="221"/>
        <v>55214.393384847805</v>
      </c>
      <c r="CM359" s="71"/>
      <c r="CN359" s="59">
        <f t="shared" si="238"/>
        <v>1.4138816527561067E-5</v>
      </c>
      <c r="CO359" s="64">
        <f t="shared" si="239"/>
        <v>296915.14707878244</v>
      </c>
      <c r="CP359" s="2">
        <f t="shared" si="214"/>
        <v>441715.14707878244</v>
      </c>
    </row>
    <row r="360" spans="1:94" ht="16.5" hidden="1" x14ac:dyDescent="0.3">
      <c r="A360" s="2">
        <v>355</v>
      </c>
      <c r="B360" s="47" t="s">
        <v>21</v>
      </c>
      <c r="C360" s="47"/>
      <c r="D360" s="30" t="s">
        <v>1041</v>
      </c>
      <c r="E360" s="30" t="s">
        <v>1042</v>
      </c>
      <c r="F360" s="30" t="s">
        <v>1043</v>
      </c>
      <c r="G360" s="30" t="s">
        <v>117</v>
      </c>
      <c r="H360" s="30" t="s">
        <v>385</v>
      </c>
      <c r="I360" s="30" t="s">
        <v>119</v>
      </c>
      <c r="J360" s="30" t="s">
        <v>1044</v>
      </c>
      <c r="K360" s="30" t="s">
        <v>1044</v>
      </c>
      <c r="L360" s="30" t="s">
        <v>766</v>
      </c>
      <c r="M360" s="30">
        <v>1002393</v>
      </c>
      <c r="N360" s="30" t="s">
        <v>138</v>
      </c>
      <c r="O360" s="30" t="s">
        <v>1315</v>
      </c>
      <c r="P360" s="30" t="s">
        <v>768</v>
      </c>
      <c r="Q360" s="30" t="s">
        <v>769</v>
      </c>
      <c r="R360" s="30"/>
      <c r="S360" s="30" t="s">
        <v>1316</v>
      </c>
      <c r="T360" s="30"/>
      <c r="U360" s="30" t="s">
        <v>144</v>
      </c>
      <c r="V360" s="30" t="s">
        <v>415</v>
      </c>
      <c r="W360" s="30" t="s">
        <v>1048</v>
      </c>
      <c r="X360" s="30" t="s">
        <v>127</v>
      </c>
      <c r="Y360" s="30" t="s">
        <v>128</v>
      </c>
      <c r="Z360" s="30" t="s">
        <v>128</v>
      </c>
      <c r="AA360" s="48" t="s">
        <v>148</v>
      </c>
      <c r="AB360" s="30" t="s">
        <v>773</v>
      </c>
      <c r="AC360" s="30" t="s">
        <v>773</v>
      </c>
      <c r="AD360" s="30"/>
      <c r="AE360" s="30"/>
      <c r="AF360" s="48" t="s">
        <v>604</v>
      </c>
      <c r="AG360" s="30" t="s">
        <v>774</v>
      </c>
      <c r="AH360" s="48" t="s">
        <v>775</v>
      </c>
      <c r="AI360" s="30"/>
      <c r="AJ360" s="50">
        <v>40379</v>
      </c>
      <c r="AK360" s="50">
        <v>40379</v>
      </c>
      <c r="AL360" s="51">
        <f t="shared" si="223"/>
        <v>15.293150684931506</v>
      </c>
      <c r="AM360" s="30">
        <v>8</v>
      </c>
      <c r="AN360" s="30" t="s">
        <v>1057</v>
      </c>
      <c r="AO360" s="30" t="s">
        <v>1050</v>
      </c>
      <c r="AP360" s="30" t="s">
        <v>1051</v>
      </c>
      <c r="AQ360" s="30">
        <v>6.24</v>
      </c>
      <c r="AR360" s="30">
        <v>1150</v>
      </c>
      <c r="AS360" s="30">
        <v>1200</v>
      </c>
      <c r="AT360" s="30">
        <v>2100</v>
      </c>
      <c r="AU360" s="54">
        <v>243208046</v>
      </c>
      <c r="AV360" s="54"/>
      <c r="AW360" s="54"/>
      <c r="AX360" s="54"/>
      <c r="AY360" s="54">
        <v>243207046</v>
      </c>
      <c r="AZ360" s="54">
        <v>0</v>
      </c>
      <c r="BA360" s="54">
        <v>1000</v>
      </c>
      <c r="BB360" s="55">
        <f>VLOOKUP(M360,[1]Sheet1!$E$6:$F$556,2,FALSE)</f>
        <v>1000</v>
      </c>
      <c r="BC360" s="74"/>
      <c r="BD360" s="74"/>
      <c r="BE360" s="30"/>
      <c r="BF360" s="30" t="s">
        <v>1052</v>
      </c>
      <c r="BG360" s="30" t="s">
        <v>1053</v>
      </c>
      <c r="BH360" s="30" t="s">
        <v>1054</v>
      </c>
      <c r="BI360" s="30" t="str">
        <f t="shared" si="212"/>
        <v>COF(Assy_FT)</v>
      </c>
      <c r="BJ360" s="47" t="s">
        <v>137</v>
      </c>
      <c r="BK360" s="56">
        <f t="shared" si="224"/>
        <v>4864160.92</v>
      </c>
      <c r="BL360" s="57">
        <f t="shared" si="234"/>
        <v>463694.22397113813</v>
      </c>
      <c r="BM360" s="57">
        <f t="shared" si="235"/>
        <v>154564.74132371272</v>
      </c>
      <c r="BU360" s="58">
        <f>BM360*3</f>
        <v>463694.22397113813</v>
      </c>
      <c r="BV360" s="58">
        <f t="shared" si="230"/>
        <v>463694.22397113813</v>
      </c>
      <c r="BW360" s="58">
        <f t="shared" si="200"/>
        <v>927388.44794227625</v>
      </c>
      <c r="BX360" s="58">
        <f t="shared" si="201"/>
        <v>463694.22397113813</v>
      </c>
      <c r="BY360" s="58">
        <f t="shared" si="199"/>
        <v>463694.22397113813</v>
      </c>
      <c r="BZ360" s="58">
        <f>BM360*3</f>
        <v>463694.22397113813</v>
      </c>
      <c r="CA360" s="58">
        <f t="shared" si="199"/>
        <v>463694.22397113813</v>
      </c>
      <c r="CB360" s="58">
        <f t="shared" si="216"/>
        <v>1854776.8958845525</v>
      </c>
      <c r="CC360" s="58">
        <f t="shared" si="217"/>
        <v>463694.22397113813</v>
      </c>
      <c r="CD360" s="58">
        <f t="shared" si="231"/>
        <v>463694.22397113813</v>
      </c>
      <c r="CE360" s="58">
        <f t="shared" si="231"/>
        <v>463694.22397113813</v>
      </c>
      <c r="CF360" s="58">
        <f t="shared" si="231"/>
        <v>463694.22397113813</v>
      </c>
      <c r="CG360" s="58">
        <f t="shared" si="219"/>
        <v>1854776.8958845525</v>
      </c>
      <c r="CH360" s="58">
        <f t="shared" si="211"/>
        <v>463694.22397113813</v>
      </c>
      <c r="CI360" s="58">
        <f t="shared" si="227"/>
        <v>463694.22397113813</v>
      </c>
      <c r="CJ360" s="58">
        <f t="shared" si="227"/>
        <v>463694.22397113813</v>
      </c>
      <c r="CK360" s="58">
        <f t="shared" si="227"/>
        <v>463694.22397113813</v>
      </c>
      <c r="CL360" s="58">
        <f t="shared" si="221"/>
        <v>1854776.8958845525</v>
      </c>
      <c r="CN360" s="59">
        <f t="shared" si="238"/>
        <v>4.7495496414649618E-4</v>
      </c>
      <c r="CO360" s="64">
        <f t="shared" si="239"/>
        <v>9974054.2470764201</v>
      </c>
      <c r="CP360" s="2">
        <f t="shared" si="214"/>
        <v>14838215.16707642</v>
      </c>
    </row>
    <row r="361" spans="1:94" hidden="1" x14ac:dyDescent="0.3">
      <c r="A361" s="29">
        <v>356</v>
      </c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130"/>
      <c r="Y361" s="30"/>
      <c r="Z361" s="30"/>
      <c r="AA361" s="131" t="s">
        <v>1201</v>
      </c>
      <c r="AB361" s="132" t="s">
        <v>1202</v>
      </c>
      <c r="AC361" s="132"/>
      <c r="AD361" s="30"/>
      <c r="AE361" s="30"/>
      <c r="AF361" s="30"/>
      <c r="AG361" s="30"/>
      <c r="AH361" s="30"/>
      <c r="AI361" s="30"/>
      <c r="AJ361" s="50"/>
      <c r="AK361" s="50"/>
      <c r="AL361" s="51"/>
      <c r="AM361" s="30"/>
      <c r="AN361" s="30"/>
      <c r="AO361" s="30"/>
      <c r="AP361" s="30"/>
      <c r="AQ361" s="30"/>
      <c r="AR361" s="30"/>
      <c r="AS361" s="30"/>
      <c r="AT361" s="30"/>
      <c r="AU361" s="74"/>
      <c r="AV361" s="54"/>
      <c r="AW361" s="54"/>
      <c r="AX361" s="54"/>
      <c r="AY361" s="54">
        <v>238775300</v>
      </c>
      <c r="AZ361" s="54">
        <v>0</v>
      </c>
      <c r="BA361" s="74"/>
      <c r="BB361" s="55"/>
      <c r="BC361" s="74"/>
      <c r="BD361" s="74"/>
      <c r="BE361" s="30"/>
      <c r="BF361" s="30"/>
      <c r="BG361" s="30"/>
      <c r="BH361" s="30"/>
      <c r="BI361" s="30"/>
      <c r="BJ361" s="30"/>
      <c r="BK361" s="56"/>
      <c r="BL361" s="57"/>
      <c r="BM361" s="57"/>
      <c r="BU361" s="58">
        <f>BM361*3</f>
        <v>0</v>
      </c>
      <c r="BV361" s="58">
        <f t="shared" si="230"/>
        <v>0</v>
      </c>
      <c r="BW361" s="58">
        <f t="shared" si="200"/>
        <v>0</v>
      </c>
      <c r="BX361" s="58">
        <f t="shared" si="201"/>
        <v>0</v>
      </c>
      <c r="BY361" s="58">
        <f t="shared" si="199"/>
        <v>0</v>
      </c>
      <c r="BZ361" s="58">
        <f>BM361*3</f>
        <v>0</v>
      </c>
      <c r="CA361" s="58">
        <f t="shared" si="199"/>
        <v>0</v>
      </c>
      <c r="CB361" s="58">
        <f t="shared" si="216"/>
        <v>0</v>
      </c>
      <c r="CC361" s="58">
        <f t="shared" si="217"/>
        <v>0</v>
      </c>
      <c r="CD361" s="58">
        <f t="shared" si="231"/>
        <v>0</v>
      </c>
      <c r="CE361" s="58">
        <f t="shared" si="231"/>
        <v>0</v>
      </c>
      <c r="CF361" s="58">
        <f t="shared" si="231"/>
        <v>0</v>
      </c>
      <c r="CG361" s="58">
        <f t="shared" si="219"/>
        <v>0</v>
      </c>
      <c r="CH361" s="58">
        <f t="shared" si="211"/>
        <v>0</v>
      </c>
      <c r="CI361" s="58">
        <f t="shared" ref="CI361:CK376" si="240">CH361</f>
        <v>0</v>
      </c>
      <c r="CJ361" s="58">
        <f t="shared" si="240"/>
        <v>0</v>
      </c>
      <c r="CK361" s="58">
        <f t="shared" si="240"/>
        <v>0</v>
      </c>
      <c r="CL361" s="58">
        <f t="shared" si="221"/>
        <v>0</v>
      </c>
      <c r="CP361" s="2">
        <f t="shared" si="214"/>
        <v>0</v>
      </c>
    </row>
    <row r="362" spans="1:94" hidden="1" x14ac:dyDescent="0.3">
      <c r="A362" s="29">
        <v>357</v>
      </c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130"/>
      <c r="Y362" s="30"/>
      <c r="Z362" s="30"/>
      <c r="AA362" s="131" t="s">
        <v>1201</v>
      </c>
      <c r="AB362" s="132" t="s">
        <v>1202</v>
      </c>
      <c r="AC362" s="132"/>
      <c r="AD362" s="30"/>
      <c r="AE362" s="30"/>
      <c r="AF362" s="30"/>
      <c r="AG362" s="30"/>
      <c r="AH362" s="30"/>
      <c r="AI362" s="30"/>
      <c r="AJ362" s="50"/>
      <c r="AK362" s="50"/>
      <c r="AL362" s="51"/>
      <c r="AM362" s="30"/>
      <c r="AN362" s="30"/>
      <c r="AO362" s="30"/>
      <c r="AP362" s="30"/>
      <c r="AQ362" s="30"/>
      <c r="AR362" s="30"/>
      <c r="AS362" s="30"/>
      <c r="AT362" s="30"/>
      <c r="AU362" s="74"/>
      <c r="AV362" s="54"/>
      <c r="AW362" s="54"/>
      <c r="AX362" s="54"/>
      <c r="AY362" s="54">
        <v>270729000</v>
      </c>
      <c r="AZ362" s="54">
        <v>439168</v>
      </c>
      <c r="BA362" s="74"/>
      <c r="BB362" s="55"/>
      <c r="BC362" s="74"/>
      <c r="BD362" s="74"/>
      <c r="BE362" s="30"/>
      <c r="BF362" s="30"/>
      <c r="BG362" s="30"/>
      <c r="BH362" s="30"/>
      <c r="BI362" s="30"/>
      <c r="BJ362" s="30"/>
      <c r="BK362" s="56"/>
      <c r="BL362" s="57"/>
      <c r="BM362" s="57"/>
      <c r="BU362" s="58">
        <f>BM362*3</f>
        <v>0</v>
      </c>
      <c r="BV362" s="58">
        <f t="shared" si="230"/>
        <v>0</v>
      </c>
      <c r="BW362" s="58">
        <f t="shared" si="200"/>
        <v>0</v>
      </c>
      <c r="BX362" s="58">
        <f t="shared" si="201"/>
        <v>0</v>
      </c>
      <c r="BY362" s="58">
        <f t="shared" si="199"/>
        <v>0</v>
      </c>
      <c r="BZ362" s="58">
        <f>BM362*3</f>
        <v>0</v>
      </c>
      <c r="CA362" s="58">
        <f t="shared" si="199"/>
        <v>0</v>
      </c>
      <c r="CB362" s="58">
        <f t="shared" si="216"/>
        <v>0</v>
      </c>
      <c r="CC362" s="58">
        <f t="shared" si="217"/>
        <v>0</v>
      </c>
      <c r="CD362" s="58">
        <f t="shared" si="231"/>
        <v>0</v>
      </c>
      <c r="CE362" s="58">
        <f t="shared" si="231"/>
        <v>0</v>
      </c>
      <c r="CF362" s="58">
        <f t="shared" si="231"/>
        <v>0</v>
      </c>
      <c r="CG362" s="58">
        <f t="shared" si="219"/>
        <v>0</v>
      </c>
      <c r="CH362" s="58">
        <f t="shared" si="211"/>
        <v>0</v>
      </c>
      <c r="CI362" s="58">
        <f t="shared" si="240"/>
        <v>0</v>
      </c>
      <c r="CJ362" s="58">
        <f t="shared" si="240"/>
        <v>0</v>
      </c>
      <c r="CK362" s="58">
        <f t="shared" si="240"/>
        <v>0</v>
      </c>
      <c r="CL362" s="58">
        <f t="shared" si="221"/>
        <v>0</v>
      </c>
      <c r="CP362" s="2">
        <f t="shared" si="214"/>
        <v>0</v>
      </c>
    </row>
    <row r="363" spans="1:94" hidden="1" x14ac:dyDescent="0.3">
      <c r="A363" s="29">
        <v>358</v>
      </c>
      <c r="B363" s="30" t="s">
        <v>21</v>
      </c>
      <c r="C363" s="30"/>
      <c r="D363" s="30" t="s">
        <v>1041</v>
      </c>
      <c r="E363" s="30" t="s">
        <v>1042</v>
      </c>
      <c r="F363" s="30" t="s">
        <v>1043</v>
      </c>
      <c r="G363" s="30" t="s">
        <v>117</v>
      </c>
      <c r="H363" s="30" t="s">
        <v>1058</v>
      </c>
      <c r="I363" s="30" t="s">
        <v>119</v>
      </c>
      <c r="J363" s="30" t="s">
        <v>1044</v>
      </c>
      <c r="K363" s="30" t="s">
        <v>1044</v>
      </c>
      <c r="L363" s="30" t="s">
        <v>1245</v>
      </c>
      <c r="M363" s="30">
        <v>1002440</v>
      </c>
      <c r="N363" s="30" t="s">
        <v>138</v>
      </c>
      <c r="O363" s="30" t="s">
        <v>1317</v>
      </c>
      <c r="P363" s="30" t="s">
        <v>1318</v>
      </c>
      <c r="Q363" s="30" t="s">
        <v>1319</v>
      </c>
      <c r="R363" s="30"/>
      <c r="S363" s="30" t="s">
        <v>1320</v>
      </c>
      <c r="T363" s="30"/>
      <c r="U363" s="30" t="s">
        <v>144</v>
      </c>
      <c r="V363" s="30" t="s">
        <v>437</v>
      </c>
      <c r="W363" s="30" t="s">
        <v>1321</v>
      </c>
      <c r="X363" s="30"/>
      <c r="Y363" s="30" t="s">
        <v>128</v>
      </c>
      <c r="Z363" s="30" t="s">
        <v>128</v>
      </c>
      <c r="AA363" s="30" t="s">
        <v>129</v>
      </c>
      <c r="AB363" s="30" t="s">
        <v>416</v>
      </c>
      <c r="AC363" s="30" t="s">
        <v>416</v>
      </c>
      <c r="AD363" s="30"/>
      <c r="AE363" s="30"/>
      <c r="AF363" s="30" t="s">
        <v>131</v>
      </c>
      <c r="AG363" s="30" t="s">
        <v>1250</v>
      </c>
      <c r="AH363" s="30"/>
      <c r="AI363" s="30"/>
      <c r="AJ363" s="50">
        <v>40421</v>
      </c>
      <c r="AK363" s="50">
        <v>40421</v>
      </c>
      <c r="AL363" s="51">
        <f t="shared" si="223"/>
        <v>15.178082191780822</v>
      </c>
      <c r="AM363" s="30">
        <v>8</v>
      </c>
      <c r="AN363" s="30" t="s">
        <v>1065</v>
      </c>
      <c r="AO363" s="30" t="s">
        <v>1050</v>
      </c>
      <c r="AP363" s="30" t="s">
        <v>1051</v>
      </c>
      <c r="AQ363" s="30">
        <v>2.11</v>
      </c>
      <c r="AR363" s="30">
        <v>3100</v>
      </c>
      <c r="AS363" s="30">
        <v>1050</v>
      </c>
      <c r="AT363" s="30">
        <v>1950</v>
      </c>
      <c r="AU363" s="74">
        <v>235040000</v>
      </c>
      <c r="AV363" s="54"/>
      <c r="AW363" s="54"/>
      <c r="AX363" s="54"/>
      <c r="AY363" s="54">
        <v>235039000</v>
      </c>
      <c r="AZ363" s="54">
        <v>0</v>
      </c>
      <c r="BA363" s="74">
        <v>1000</v>
      </c>
      <c r="BB363" s="55">
        <f>VLOOKUP(M363,[1]Sheet1!$E$6:$F$556,2,FALSE)</f>
        <v>1000</v>
      </c>
      <c r="BC363" s="74"/>
      <c r="BD363" s="74"/>
      <c r="BE363" s="30"/>
      <c r="BF363" s="30" t="s">
        <v>1052</v>
      </c>
      <c r="BG363" s="30" t="s">
        <v>1251</v>
      </c>
      <c r="BH363" s="30" t="s">
        <v>1054</v>
      </c>
      <c r="BI363" s="30" t="str">
        <f t="shared" si="212"/>
        <v>COF(Assy_FT)</v>
      </c>
      <c r="BJ363" s="30" t="s">
        <v>250</v>
      </c>
      <c r="BK363" s="56">
        <f t="shared" si="224"/>
        <v>4700800</v>
      </c>
      <c r="BL363" s="57">
        <f t="shared" ref="BL363:BL426" si="241">CP363/$BL$1/4</f>
        <v>146900</v>
      </c>
      <c r="BM363" s="57">
        <f t="shared" ref="BM363:BM426" si="242">CP363/$BL$1/12</f>
        <v>48966.666666666664</v>
      </c>
      <c r="BU363" s="58">
        <f>BM363*3</f>
        <v>146900</v>
      </c>
      <c r="BV363" s="58">
        <f>BU363</f>
        <v>146900</v>
      </c>
      <c r="BW363" s="58">
        <f t="shared" si="200"/>
        <v>293800</v>
      </c>
      <c r="BX363" s="58">
        <f>BV363</f>
        <v>146900</v>
      </c>
      <c r="BY363" s="58">
        <f>BX363</f>
        <v>146900</v>
      </c>
      <c r="BZ363" s="58">
        <f>BM363*3</f>
        <v>146900</v>
      </c>
      <c r="CA363" s="58">
        <f>BZ363</f>
        <v>146900</v>
      </c>
      <c r="CB363" s="58">
        <f t="shared" si="216"/>
        <v>587600</v>
      </c>
      <c r="CC363" s="58">
        <f t="shared" si="217"/>
        <v>146900</v>
      </c>
      <c r="CD363" s="58">
        <f t="shared" si="231"/>
        <v>146900</v>
      </c>
      <c r="CE363" s="58">
        <f t="shared" si="231"/>
        <v>146900</v>
      </c>
      <c r="CF363" s="58">
        <f t="shared" si="231"/>
        <v>146900</v>
      </c>
      <c r="CG363" s="58">
        <f t="shared" si="219"/>
        <v>587600</v>
      </c>
      <c r="CH363" s="58">
        <f t="shared" si="211"/>
        <v>146900</v>
      </c>
      <c r="CI363" s="58">
        <f t="shared" si="240"/>
        <v>146900</v>
      </c>
      <c r="CJ363" s="58">
        <f t="shared" si="240"/>
        <v>146900</v>
      </c>
      <c r="CK363" s="58">
        <f t="shared" si="240"/>
        <v>146900</v>
      </c>
      <c r="CL363" s="58">
        <f t="shared" si="221"/>
        <v>587600</v>
      </c>
      <c r="CP363" s="2">
        <f t="shared" si="214"/>
        <v>4700800</v>
      </c>
    </row>
    <row r="364" spans="1:94" ht="16.5" hidden="1" x14ac:dyDescent="0.3">
      <c r="A364" s="2">
        <v>359</v>
      </c>
      <c r="B364" s="47" t="s">
        <v>21</v>
      </c>
      <c r="C364" s="47"/>
      <c r="D364" s="30" t="s">
        <v>1041</v>
      </c>
      <c r="E364" s="30" t="s">
        <v>1042</v>
      </c>
      <c r="F364" s="30" t="s">
        <v>1043</v>
      </c>
      <c r="G364" s="30" t="s">
        <v>117</v>
      </c>
      <c r="H364" s="30" t="s">
        <v>385</v>
      </c>
      <c r="I364" s="30" t="s">
        <v>119</v>
      </c>
      <c r="J364" s="30" t="s">
        <v>1044</v>
      </c>
      <c r="K364" s="30" t="s">
        <v>1044</v>
      </c>
      <c r="L364" s="30" t="s">
        <v>1130</v>
      </c>
      <c r="M364" s="30">
        <v>1001406</v>
      </c>
      <c r="N364" s="30" t="s">
        <v>138</v>
      </c>
      <c r="O364" s="30" t="s">
        <v>1322</v>
      </c>
      <c r="P364" s="30" t="s">
        <v>1323</v>
      </c>
      <c r="Q364" s="30" t="s">
        <v>1324</v>
      </c>
      <c r="R364" s="30" t="s">
        <v>1325</v>
      </c>
      <c r="S364" s="30"/>
      <c r="T364" s="30" t="s">
        <v>1326</v>
      </c>
      <c r="U364" s="30" t="s">
        <v>144</v>
      </c>
      <c r="V364" s="30" t="s">
        <v>415</v>
      </c>
      <c r="W364" s="30" t="s">
        <v>1145</v>
      </c>
      <c r="X364" s="30" t="s">
        <v>147</v>
      </c>
      <c r="Y364" s="125" t="s">
        <v>576</v>
      </c>
      <c r="Z364" s="125" t="s">
        <v>576</v>
      </c>
      <c r="AA364" s="30" t="s">
        <v>148</v>
      </c>
      <c r="AB364" s="30" t="s">
        <v>1146</v>
      </c>
      <c r="AC364" s="30" t="s">
        <v>1146</v>
      </c>
      <c r="AD364" s="30"/>
      <c r="AE364" s="30"/>
      <c r="AF364" s="30" t="s">
        <v>593</v>
      </c>
      <c r="AG364" s="30" t="s">
        <v>440</v>
      </c>
      <c r="AH364" s="30" t="s">
        <v>1147</v>
      </c>
      <c r="AI364" s="30"/>
      <c r="AJ364" s="50">
        <v>39930</v>
      </c>
      <c r="AK364" s="50">
        <v>39930</v>
      </c>
      <c r="AL364" s="51">
        <f t="shared" si="223"/>
        <v>16.523287671232875</v>
      </c>
      <c r="AM364" s="30">
        <v>8</v>
      </c>
      <c r="AN364" s="30" t="s">
        <v>1065</v>
      </c>
      <c r="AO364" s="30" t="s">
        <v>1050</v>
      </c>
      <c r="AP364" s="30" t="s">
        <v>1051</v>
      </c>
      <c r="AQ364" s="30">
        <v>3</v>
      </c>
      <c r="AR364" s="30">
        <v>2500</v>
      </c>
      <c r="AS364" s="30">
        <v>1400</v>
      </c>
      <c r="AT364" s="30">
        <v>1980</v>
      </c>
      <c r="AU364" s="54">
        <v>430006492</v>
      </c>
      <c r="AV364" s="54"/>
      <c r="AW364" s="54"/>
      <c r="AX364" s="54"/>
      <c r="AY364" s="54">
        <v>430005492</v>
      </c>
      <c r="AZ364" s="54">
        <v>603830</v>
      </c>
      <c r="BA364" s="54">
        <v>1000</v>
      </c>
      <c r="BB364" s="55">
        <f>VLOOKUP(M364,[1]Sheet1!$E$6:$F$556,2,FALSE)</f>
        <v>1000</v>
      </c>
      <c r="BC364" s="74"/>
      <c r="BD364" s="74"/>
      <c r="BE364" s="30"/>
      <c r="BF364" s="30" t="s">
        <v>1052</v>
      </c>
      <c r="BG364" s="30" t="s">
        <v>1074</v>
      </c>
      <c r="BH364" s="30" t="s">
        <v>1054</v>
      </c>
      <c r="BI364" s="30" t="str">
        <f t="shared" si="212"/>
        <v>COF(Assy_FT)</v>
      </c>
      <c r="BJ364" s="47" t="s">
        <v>137</v>
      </c>
      <c r="BK364" s="67">
        <f t="shared" si="224"/>
        <v>8600129.8399999999</v>
      </c>
      <c r="BL364" s="68">
        <f t="shared" si="241"/>
        <v>819839.35108171299</v>
      </c>
      <c r="BM364" s="68">
        <f t="shared" si="242"/>
        <v>273279.78369390435</v>
      </c>
      <c r="BP364" s="69">
        <f>BM364*3</f>
        <v>819839.3510817131</v>
      </c>
      <c r="BQ364" s="69">
        <f>BP364</f>
        <v>819839.3510817131</v>
      </c>
      <c r="BR364" s="69">
        <f>SUM(BN364:BQ364)</f>
        <v>1639678.7021634262</v>
      </c>
      <c r="BS364" s="69">
        <f>BQ364</f>
        <v>819839.3510817131</v>
      </c>
      <c r="BT364" s="69">
        <f t="shared" ref="BT364:BV378" si="243">BS364</f>
        <v>819839.3510817131</v>
      </c>
      <c r="BU364" s="100">
        <f t="shared" si="243"/>
        <v>819839.3510817131</v>
      </c>
      <c r="BV364" s="100">
        <f t="shared" si="243"/>
        <v>819839.3510817131</v>
      </c>
      <c r="BW364" s="100">
        <f t="shared" si="200"/>
        <v>3279357.4043268524</v>
      </c>
      <c r="BX364" s="101">
        <f t="shared" ref="BX364:BX426" si="244">BV364</f>
        <v>819839.3510817131</v>
      </c>
      <c r="BY364" s="101">
        <f t="shared" ref="BY364:CA422" si="245">BX364</f>
        <v>819839.3510817131</v>
      </c>
      <c r="BZ364" s="18">
        <f t="shared" si="245"/>
        <v>819839.3510817131</v>
      </c>
      <c r="CA364" s="18">
        <f t="shared" si="245"/>
        <v>819839.3510817131</v>
      </c>
      <c r="CB364" s="70">
        <f t="shared" si="216"/>
        <v>3279357.4043268524</v>
      </c>
      <c r="CC364" s="18">
        <f t="shared" si="217"/>
        <v>819839.3510817131</v>
      </c>
      <c r="CD364" s="18">
        <f t="shared" si="231"/>
        <v>819839.3510817131</v>
      </c>
      <c r="CE364" s="18">
        <f t="shared" si="231"/>
        <v>819839.3510817131</v>
      </c>
      <c r="CF364" s="18">
        <f t="shared" si="231"/>
        <v>819839.3510817131</v>
      </c>
      <c r="CG364" s="70">
        <f t="shared" si="219"/>
        <v>3279357.4043268524</v>
      </c>
      <c r="CH364" s="18">
        <f t="shared" si="211"/>
        <v>819839.3510817131</v>
      </c>
      <c r="CI364" s="18">
        <f t="shared" si="240"/>
        <v>819839.3510817131</v>
      </c>
      <c r="CJ364" s="18">
        <f t="shared" si="240"/>
        <v>819839.3510817131</v>
      </c>
      <c r="CK364" s="18">
        <f t="shared" si="240"/>
        <v>819839.3510817131</v>
      </c>
      <c r="CL364" s="70">
        <f t="shared" si="221"/>
        <v>3279357.4043268524</v>
      </c>
      <c r="CM364" s="71"/>
      <c r="CN364" s="59">
        <f t="shared" ref="CN364:CN368" si="246">BK364/$CN$3</f>
        <v>8.397490187911817E-4</v>
      </c>
      <c r="CO364" s="64">
        <f t="shared" ref="CO364:CO368" si="247">CN364*$CO$4</f>
        <v>17634729.394614816</v>
      </c>
      <c r="CP364" s="2">
        <f t="shared" si="214"/>
        <v>26234859.234614816</v>
      </c>
    </row>
    <row r="365" spans="1:94" ht="16.5" hidden="1" x14ac:dyDescent="0.3">
      <c r="A365" s="2">
        <v>360</v>
      </c>
      <c r="B365" s="47" t="s">
        <v>21</v>
      </c>
      <c r="C365" s="139" t="s">
        <v>1327</v>
      </c>
      <c r="D365" s="129" t="s">
        <v>1328</v>
      </c>
      <c r="E365" s="129" t="s">
        <v>1329</v>
      </c>
      <c r="F365" s="129" t="s">
        <v>1043</v>
      </c>
      <c r="G365" s="129" t="s">
        <v>117</v>
      </c>
      <c r="H365" s="129" t="s">
        <v>385</v>
      </c>
      <c r="I365" s="129" t="s">
        <v>119</v>
      </c>
      <c r="J365" s="129" t="s">
        <v>1044</v>
      </c>
      <c r="K365" s="129" t="s">
        <v>1044</v>
      </c>
      <c r="L365" s="129" t="s">
        <v>766</v>
      </c>
      <c r="M365" s="129">
        <v>1002884</v>
      </c>
      <c r="N365" s="129" t="s">
        <v>138</v>
      </c>
      <c r="O365" s="129" t="s">
        <v>1330</v>
      </c>
      <c r="P365" s="129" t="s">
        <v>768</v>
      </c>
      <c r="Q365" s="129" t="s">
        <v>769</v>
      </c>
      <c r="R365" s="129"/>
      <c r="S365" s="129" t="s">
        <v>1331</v>
      </c>
      <c r="T365" s="129"/>
      <c r="U365" s="129" t="s">
        <v>1332</v>
      </c>
      <c r="V365" s="129" t="s">
        <v>1333</v>
      </c>
      <c r="W365" s="129" t="s">
        <v>1048</v>
      </c>
      <c r="X365" s="30" t="s">
        <v>127</v>
      </c>
      <c r="Y365" s="30" t="s">
        <v>128</v>
      </c>
      <c r="Z365" s="30" t="s">
        <v>128</v>
      </c>
      <c r="AA365" s="48" t="s">
        <v>148</v>
      </c>
      <c r="AB365" s="30" t="s">
        <v>773</v>
      </c>
      <c r="AC365" s="30" t="s">
        <v>773</v>
      </c>
      <c r="AD365" s="30"/>
      <c r="AE365" s="30"/>
      <c r="AF365" s="48" t="s">
        <v>604</v>
      </c>
      <c r="AG365" s="30" t="s">
        <v>774</v>
      </c>
      <c r="AH365" s="48" t="s">
        <v>775</v>
      </c>
      <c r="AI365" s="30"/>
      <c r="AJ365" s="133">
        <v>40679</v>
      </c>
      <c r="AK365" s="133">
        <v>40975</v>
      </c>
      <c r="AL365" s="134">
        <f t="shared" si="223"/>
        <v>13.66027397260274</v>
      </c>
      <c r="AM365" s="129">
        <v>8</v>
      </c>
      <c r="AN365" s="129" t="s">
        <v>1334</v>
      </c>
      <c r="AO365" s="129" t="s">
        <v>1335</v>
      </c>
      <c r="AP365" s="129" t="s">
        <v>1336</v>
      </c>
      <c r="AQ365" s="30">
        <v>6.24</v>
      </c>
      <c r="AR365" s="30">
        <v>1150</v>
      </c>
      <c r="AS365" s="30">
        <v>1200</v>
      </c>
      <c r="AT365" s="30">
        <v>2100</v>
      </c>
      <c r="AU365" s="140">
        <v>232633170</v>
      </c>
      <c r="AV365" s="54"/>
      <c r="AW365" s="54"/>
      <c r="AX365" s="54"/>
      <c r="AY365" s="54">
        <v>232632170</v>
      </c>
      <c r="AZ365" s="54">
        <v>0</v>
      </c>
      <c r="BA365" s="140">
        <v>1000</v>
      </c>
      <c r="BB365" s="55">
        <f>VLOOKUP(M365,[1]Sheet1!$E$6:$F$556,2,FALSE)</f>
        <v>1000</v>
      </c>
      <c r="BC365" s="74"/>
      <c r="BD365" s="74"/>
      <c r="BE365" s="30"/>
      <c r="BF365" s="30" t="s">
        <v>1052</v>
      </c>
      <c r="BG365" s="129" t="s">
        <v>1053</v>
      </c>
      <c r="BH365" s="30" t="s">
        <v>1054</v>
      </c>
      <c r="BI365" s="30" t="str">
        <f t="shared" si="212"/>
        <v>COF(Assy_FT)</v>
      </c>
      <c r="BJ365" s="47" t="s">
        <v>137</v>
      </c>
      <c r="BK365" s="56">
        <f t="shared" si="224"/>
        <v>4652663.4000000004</v>
      </c>
      <c r="BL365" s="57">
        <f t="shared" si="241"/>
        <v>443532.4365588458</v>
      </c>
      <c r="BM365" s="57">
        <f t="shared" si="242"/>
        <v>147844.14551961527</v>
      </c>
      <c r="BN365" s="113"/>
      <c r="BU365" s="58">
        <f>BM365*3</f>
        <v>443532.4365588458</v>
      </c>
      <c r="BV365" s="58">
        <f t="shared" si="243"/>
        <v>443532.4365588458</v>
      </c>
      <c r="BW365" s="58">
        <f t="shared" ref="BW365:BW428" si="248">SUM(BS365:BV365)</f>
        <v>887064.8731176916</v>
      </c>
      <c r="BX365" s="58">
        <f t="shared" si="244"/>
        <v>443532.4365588458</v>
      </c>
      <c r="BY365" s="58">
        <f t="shared" si="245"/>
        <v>443532.4365588458</v>
      </c>
      <c r="BZ365" s="58">
        <f>BM365*3</f>
        <v>443532.4365588458</v>
      </c>
      <c r="CA365" s="58">
        <f t="shared" si="245"/>
        <v>443532.4365588458</v>
      </c>
      <c r="CB365" s="58">
        <f t="shared" si="216"/>
        <v>1774129.7462353832</v>
      </c>
      <c r="CC365" s="58">
        <f t="shared" si="217"/>
        <v>443532.4365588458</v>
      </c>
      <c r="CD365" s="58">
        <f t="shared" ref="CD365:CF384" si="249">CC365</f>
        <v>443532.4365588458</v>
      </c>
      <c r="CE365" s="58">
        <f t="shared" si="249"/>
        <v>443532.4365588458</v>
      </c>
      <c r="CF365" s="58">
        <f t="shared" si="249"/>
        <v>443532.4365588458</v>
      </c>
      <c r="CG365" s="58">
        <f t="shared" si="219"/>
        <v>1774129.7462353832</v>
      </c>
      <c r="CH365" s="58">
        <f t="shared" si="211"/>
        <v>443532.4365588458</v>
      </c>
      <c r="CI365" s="58">
        <f t="shared" si="240"/>
        <v>443532.4365588458</v>
      </c>
      <c r="CJ365" s="58">
        <f t="shared" si="240"/>
        <v>443532.4365588458</v>
      </c>
      <c r="CK365" s="58">
        <f t="shared" si="240"/>
        <v>443532.4365588458</v>
      </c>
      <c r="CL365" s="58">
        <f t="shared" si="221"/>
        <v>1774129.7462353832</v>
      </c>
      <c r="CN365" s="59">
        <f t="shared" si="246"/>
        <v>4.5430355094681267E-4</v>
      </c>
      <c r="CO365" s="64">
        <f t="shared" si="247"/>
        <v>9540374.5698830653</v>
      </c>
      <c r="CP365" s="2">
        <f t="shared" si="214"/>
        <v>14193037.969883066</v>
      </c>
    </row>
    <row r="366" spans="1:94" ht="16.5" hidden="1" x14ac:dyDescent="0.3">
      <c r="A366" s="2">
        <v>361</v>
      </c>
      <c r="B366" s="47" t="s">
        <v>21</v>
      </c>
      <c r="C366" s="47"/>
      <c r="D366" s="30" t="s">
        <v>1041</v>
      </c>
      <c r="E366" s="30" t="s">
        <v>1042</v>
      </c>
      <c r="F366" s="30" t="s">
        <v>1043</v>
      </c>
      <c r="G366" s="30" t="s">
        <v>117</v>
      </c>
      <c r="H366" s="30" t="s">
        <v>385</v>
      </c>
      <c r="I366" s="30" t="s">
        <v>119</v>
      </c>
      <c r="J366" s="30" t="s">
        <v>1044</v>
      </c>
      <c r="K366" s="30" t="s">
        <v>1044</v>
      </c>
      <c r="L366" s="30" t="s">
        <v>1337</v>
      </c>
      <c r="M366" s="30">
        <v>1002888</v>
      </c>
      <c r="N366" s="30" t="s">
        <v>138</v>
      </c>
      <c r="O366" s="30" t="s">
        <v>1338</v>
      </c>
      <c r="P366" s="30" t="s">
        <v>1339</v>
      </c>
      <c r="Q366" s="30" t="s">
        <v>903</v>
      </c>
      <c r="R366" s="30"/>
      <c r="S366" s="30" t="s">
        <v>1340</v>
      </c>
      <c r="T366" s="30"/>
      <c r="U366" s="30" t="s">
        <v>144</v>
      </c>
      <c r="V366" s="30" t="s">
        <v>437</v>
      </c>
      <c r="W366" s="30" t="s">
        <v>1341</v>
      </c>
      <c r="X366" s="30" t="s">
        <v>147</v>
      </c>
      <c r="Y366" s="125" t="s">
        <v>576</v>
      </c>
      <c r="Z366" s="125" t="s">
        <v>576</v>
      </c>
      <c r="AA366" s="30" t="s">
        <v>129</v>
      </c>
      <c r="AB366" s="30" t="s">
        <v>907</v>
      </c>
      <c r="AC366" s="30" t="s">
        <v>907</v>
      </c>
      <c r="AD366" s="30"/>
      <c r="AE366" s="30"/>
      <c r="AF366" s="48" t="s">
        <v>131</v>
      </c>
      <c r="AG366" s="48" t="s">
        <v>908</v>
      </c>
      <c r="AH366" s="30"/>
      <c r="AI366" s="30"/>
      <c r="AJ366" s="50">
        <v>40975</v>
      </c>
      <c r="AK366" s="50">
        <v>40975</v>
      </c>
      <c r="AL366" s="51">
        <f t="shared" si="223"/>
        <v>13.66027397260274</v>
      </c>
      <c r="AM366" s="30">
        <v>8</v>
      </c>
      <c r="AN366" s="30" t="s">
        <v>1065</v>
      </c>
      <c r="AO366" s="30" t="s">
        <v>1050</v>
      </c>
      <c r="AP366" s="30" t="s">
        <v>1051</v>
      </c>
      <c r="AQ366" s="30">
        <v>2.4</v>
      </c>
      <c r="AR366" s="30">
        <v>1460</v>
      </c>
      <c r="AS366" s="30">
        <v>1570</v>
      </c>
      <c r="AT366" s="30">
        <v>2170</v>
      </c>
      <c r="AU366" s="54">
        <v>375040000</v>
      </c>
      <c r="AV366" s="54"/>
      <c r="AW366" s="54"/>
      <c r="AX366" s="54"/>
      <c r="AY366" s="54">
        <v>375039000</v>
      </c>
      <c r="AZ366" s="54">
        <v>0</v>
      </c>
      <c r="BA366" s="54">
        <v>1000</v>
      </c>
      <c r="BB366" s="55">
        <f>VLOOKUP(M366,[1]Sheet1!$E$6:$F$556,2,FALSE)</f>
        <v>1000</v>
      </c>
      <c r="BC366" s="74"/>
      <c r="BD366" s="74"/>
      <c r="BE366" s="30"/>
      <c r="BF366" s="30" t="s">
        <v>1052</v>
      </c>
      <c r="BG366" s="30" t="s">
        <v>1342</v>
      </c>
      <c r="BH366" s="30" t="s">
        <v>1054</v>
      </c>
      <c r="BI366" s="30" t="str">
        <f t="shared" si="212"/>
        <v>COF(Assy_FT)</v>
      </c>
      <c r="BJ366" s="47" t="s">
        <v>137</v>
      </c>
      <c r="BK366" s="67">
        <f t="shared" si="224"/>
        <v>7500800</v>
      </c>
      <c r="BL366" s="68">
        <f t="shared" si="241"/>
        <v>715041.64692863671</v>
      </c>
      <c r="BM366" s="68">
        <f t="shared" si="242"/>
        <v>238347.2156428789</v>
      </c>
      <c r="BP366" s="69">
        <f>BM366*3</f>
        <v>715041.64692863671</v>
      </c>
      <c r="BQ366" s="69">
        <f>BP366</f>
        <v>715041.64692863671</v>
      </c>
      <c r="BR366" s="69">
        <f>SUM(BN366:BQ366)</f>
        <v>1430083.2938572734</v>
      </c>
      <c r="BS366" s="69">
        <f>BQ366</f>
        <v>715041.64692863671</v>
      </c>
      <c r="BT366" s="69">
        <f t="shared" si="243"/>
        <v>715041.64692863671</v>
      </c>
      <c r="BU366" s="100">
        <f t="shared" si="243"/>
        <v>715041.64692863671</v>
      </c>
      <c r="BV366" s="100">
        <f t="shared" si="243"/>
        <v>715041.64692863671</v>
      </c>
      <c r="BW366" s="100">
        <f t="shared" si="248"/>
        <v>2860166.5877145468</v>
      </c>
      <c r="BX366" s="101">
        <f t="shared" si="244"/>
        <v>715041.64692863671</v>
      </c>
      <c r="BY366" s="101">
        <f t="shared" si="245"/>
        <v>715041.64692863671</v>
      </c>
      <c r="BZ366" s="18">
        <f t="shared" si="245"/>
        <v>715041.64692863671</v>
      </c>
      <c r="CA366" s="18">
        <f t="shared" si="245"/>
        <v>715041.64692863671</v>
      </c>
      <c r="CB366" s="70">
        <f t="shared" si="216"/>
        <v>2860166.5877145468</v>
      </c>
      <c r="CC366" s="18">
        <f t="shared" si="217"/>
        <v>715041.64692863671</v>
      </c>
      <c r="CD366" s="18">
        <f t="shared" si="249"/>
        <v>715041.64692863671</v>
      </c>
      <c r="CE366" s="18">
        <f t="shared" si="249"/>
        <v>715041.64692863671</v>
      </c>
      <c r="CF366" s="18">
        <f t="shared" si="249"/>
        <v>715041.64692863671</v>
      </c>
      <c r="CG366" s="70">
        <f t="shared" si="219"/>
        <v>2860166.5877145468</v>
      </c>
      <c r="CH366" s="18">
        <f t="shared" si="211"/>
        <v>715041.64692863671</v>
      </c>
      <c r="CI366" s="18">
        <f t="shared" si="240"/>
        <v>715041.64692863671</v>
      </c>
      <c r="CJ366" s="18">
        <f t="shared" si="240"/>
        <v>715041.64692863671</v>
      </c>
      <c r="CK366" s="18">
        <f t="shared" si="240"/>
        <v>715041.64692863671</v>
      </c>
      <c r="CL366" s="70">
        <f t="shared" si="221"/>
        <v>2860166.5877145468</v>
      </c>
      <c r="CM366" s="71"/>
      <c r="CN366" s="59">
        <f t="shared" si="246"/>
        <v>7.3240631912935121E-4</v>
      </c>
      <c r="CO366" s="64">
        <f t="shared" si="247"/>
        <v>15380532.701716375</v>
      </c>
      <c r="CP366" s="2">
        <f t="shared" si="214"/>
        <v>22881332.701716375</v>
      </c>
    </row>
    <row r="367" spans="1:94" ht="16.5" hidden="1" x14ac:dyDescent="0.3">
      <c r="A367" s="2">
        <v>362</v>
      </c>
      <c r="B367" s="47" t="s">
        <v>21</v>
      </c>
      <c r="C367" s="139" t="s">
        <v>1327</v>
      </c>
      <c r="D367" s="129" t="s">
        <v>1328</v>
      </c>
      <c r="E367" s="129" t="s">
        <v>1329</v>
      </c>
      <c r="F367" s="129" t="s">
        <v>1043</v>
      </c>
      <c r="G367" s="129" t="s">
        <v>117</v>
      </c>
      <c r="H367" s="129" t="s">
        <v>1058</v>
      </c>
      <c r="I367" s="129" t="s">
        <v>119</v>
      </c>
      <c r="J367" s="129" t="s">
        <v>1044</v>
      </c>
      <c r="K367" s="129" t="s">
        <v>1044</v>
      </c>
      <c r="L367" s="129" t="s">
        <v>766</v>
      </c>
      <c r="M367" s="129">
        <v>1002886</v>
      </c>
      <c r="N367" s="129" t="s">
        <v>138</v>
      </c>
      <c r="O367" s="129" t="s">
        <v>1343</v>
      </c>
      <c r="P367" s="129" t="s">
        <v>1344</v>
      </c>
      <c r="Q367" s="129" t="str">
        <f>P367</f>
        <v>PRCⅡ-2000ACD</v>
      </c>
      <c r="R367" s="129"/>
      <c r="S367" s="129"/>
      <c r="T367" s="129"/>
      <c r="U367" s="129" t="s">
        <v>1332</v>
      </c>
      <c r="V367" s="129" t="s">
        <v>1333</v>
      </c>
      <c r="W367" s="129" t="s">
        <v>1345</v>
      </c>
      <c r="X367" s="30" t="s">
        <v>127</v>
      </c>
      <c r="Y367" s="30" t="s">
        <v>128</v>
      </c>
      <c r="Z367" s="30" t="s">
        <v>128</v>
      </c>
      <c r="AA367" s="138" t="s">
        <v>1310</v>
      </c>
      <c r="AB367" s="30" t="s">
        <v>1346</v>
      </c>
      <c r="AC367" s="30"/>
      <c r="AD367" s="30"/>
      <c r="AE367" s="30"/>
      <c r="AF367" s="30" t="s">
        <v>131</v>
      </c>
      <c r="AG367" s="30" t="s">
        <v>1347</v>
      </c>
      <c r="AH367" s="30"/>
      <c r="AI367" s="30"/>
      <c r="AJ367" s="133">
        <v>40639</v>
      </c>
      <c r="AK367" s="133">
        <v>40975</v>
      </c>
      <c r="AL367" s="134">
        <f t="shared" si="223"/>
        <v>13.66027397260274</v>
      </c>
      <c r="AM367" s="129">
        <v>8</v>
      </c>
      <c r="AN367" s="129" t="s">
        <v>1348</v>
      </c>
      <c r="AO367" s="129" t="s">
        <v>1335</v>
      </c>
      <c r="AP367" s="129" t="s">
        <v>1336</v>
      </c>
      <c r="AQ367" s="30">
        <v>1</v>
      </c>
      <c r="AR367" s="30">
        <v>520</v>
      </c>
      <c r="AS367" s="30">
        <v>400</v>
      </c>
      <c r="AT367" s="30">
        <v>1150</v>
      </c>
      <c r="AU367" s="140">
        <v>28937230</v>
      </c>
      <c r="AV367" s="54"/>
      <c r="AW367" s="54"/>
      <c r="AX367" s="54"/>
      <c r="AY367" s="54">
        <v>28936230</v>
      </c>
      <c r="AZ367" s="54" t="s">
        <v>1219</v>
      </c>
      <c r="BA367" s="140">
        <v>1000</v>
      </c>
      <c r="BB367" s="55">
        <f>VLOOKUP(M367,[1]Sheet1!$E$6:$F$556,2,FALSE)</f>
        <v>1000</v>
      </c>
      <c r="BC367" s="74"/>
      <c r="BD367" s="74"/>
      <c r="BE367" s="30"/>
      <c r="BF367" s="30" t="s">
        <v>1052</v>
      </c>
      <c r="BG367" s="129" t="s">
        <v>1053</v>
      </c>
      <c r="BH367" s="30" t="s">
        <v>1054</v>
      </c>
      <c r="BI367" s="30" t="str">
        <f t="shared" si="212"/>
        <v>COF(Assy_FT)</v>
      </c>
      <c r="BJ367" s="47" t="s">
        <v>137</v>
      </c>
      <c r="BK367" s="56">
        <f t="shared" si="224"/>
        <v>578744.6</v>
      </c>
      <c r="BL367" s="57">
        <f t="shared" si="241"/>
        <v>55170.980686734096</v>
      </c>
      <c r="BM367" s="57">
        <f t="shared" si="242"/>
        <v>18390.326895578033</v>
      </c>
      <c r="BN367" s="113"/>
      <c r="BU367" s="58">
        <f>BM367*3</f>
        <v>55170.980686734096</v>
      </c>
      <c r="BV367" s="58">
        <f t="shared" si="243"/>
        <v>55170.980686734096</v>
      </c>
      <c r="BW367" s="58">
        <f t="shared" si="248"/>
        <v>110341.96137346819</v>
      </c>
      <c r="BX367" s="58">
        <f t="shared" si="244"/>
        <v>55170.980686734096</v>
      </c>
      <c r="BY367" s="58">
        <f t="shared" si="245"/>
        <v>55170.980686734096</v>
      </c>
      <c r="BZ367" s="58">
        <f>BM367*3</f>
        <v>55170.980686734096</v>
      </c>
      <c r="CA367" s="58">
        <f t="shared" si="245"/>
        <v>55170.980686734096</v>
      </c>
      <c r="CB367" s="58">
        <f t="shared" si="216"/>
        <v>220683.92274693638</v>
      </c>
      <c r="CC367" s="58">
        <f t="shared" si="217"/>
        <v>55170.980686734096</v>
      </c>
      <c r="CD367" s="58">
        <f t="shared" si="249"/>
        <v>55170.980686734096</v>
      </c>
      <c r="CE367" s="58">
        <f t="shared" si="249"/>
        <v>55170.980686734096</v>
      </c>
      <c r="CF367" s="58">
        <f t="shared" si="249"/>
        <v>55170.980686734096</v>
      </c>
      <c r="CG367" s="58">
        <f t="shared" si="219"/>
        <v>220683.92274693638</v>
      </c>
      <c r="CH367" s="58">
        <f t="shared" si="211"/>
        <v>55170.980686734096</v>
      </c>
      <c r="CI367" s="58">
        <f t="shared" si="240"/>
        <v>55170.980686734096</v>
      </c>
      <c r="CJ367" s="58">
        <f t="shared" si="240"/>
        <v>55170.980686734096</v>
      </c>
      <c r="CK367" s="58">
        <f t="shared" si="240"/>
        <v>55170.980686734096</v>
      </c>
      <c r="CL367" s="58">
        <f t="shared" si="221"/>
        <v>220683.92274693638</v>
      </c>
      <c r="CN367" s="59">
        <f t="shared" si="246"/>
        <v>5.6510799141690043E-5</v>
      </c>
      <c r="CO367" s="64">
        <f t="shared" si="247"/>
        <v>1186726.781975491</v>
      </c>
      <c r="CP367" s="2">
        <f t="shared" si="214"/>
        <v>1765471.3819754911</v>
      </c>
    </row>
    <row r="368" spans="1:94" ht="16.5" hidden="1" x14ac:dyDescent="0.3">
      <c r="A368" s="2">
        <v>363</v>
      </c>
      <c r="B368" s="47" t="s">
        <v>21</v>
      </c>
      <c r="C368" s="47"/>
      <c r="D368" s="30" t="s">
        <v>1041</v>
      </c>
      <c r="E368" s="30" t="s">
        <v>1042</v>
      </c>
      <c r="F368" s="30" t="s">
        <v>1043</v>
      </c>
      <c r="G368" s="30" t="s">
        <v>117</v>
      </c>
      <c r="H368" s="30" t="s">
        <v>385</v>
      </c>
      <c r="I368" s="30" t="s">
        <v>119</v>
      </c>
      <c r="J368" s="30" t="s">
        <v>1044</v>
      </c>
      <c r="K368" s="30" t="s">
        <v>1044</v>
      </c>
      <c r="L368" s="30" t="s">
        <v>1337</v>
      </c>
      <c r="M368" s="30">
        <v>1005268</v>
      </c>
      <c r="N368" s="30" t="s">
        <v>123</v>
      </c>
      <c r="O368" s="30" t="s">
        <v>1349</v>
      </c>
      <c r="P368" s="30" t="s">
        <v>1350</v>
      </c>
      <c r="Q368" s="30" t="s">
        <v>1350</v>
      </c>
      <c r="R368" s="30"/>
      <c r="S368" s="30"/>
      <c r="T368" s="30"/>
      <c r="U368" s="30" t="s">
        <v>144</v>
      </c>
      <c r="V368" s="30" t="s">
        <v>437</v>
      </c>
      <c r="W368" s="30"/>
      <c r="X368" s="30" t="s">
        <v>147</v>
      </c>
      <c r="Y368" s="125" t="s">
        <v>457</v>
      </c>
      <c r="Z368" s="125" t="s">
        <v>457</v>
      </c>
      <c r="AA368" s="30" t="s">
        <v>129</v>
      </c>
      <c r="AB368" s="30" t="s">
        <v>907</v>
      </c>
      <c r="AC368" s="30" t="s">
        <v>907</v>
      </c>
      <c r="AD368" s="30"/>
      <c r="AE368" s="30"/>
      <c r="AF368" s="48" t="s">
        <v>131</v>
      </c>
      <c r="AG368" s="48" t="s">
        <v>908</v>
      </c>
      <c r="AH368" s="30"/>
      <c r="AI368" s="30"/>
      <c r="AJ368" s="50">
        <v>43069</v>
      </c>
      <c r="AK368" s="50">
        <v>43069</v>
      </c>
      <c r="AL368" s="51">
        <f t="shared" si="223"/>
        <v>7.9232876712328766</v>
      </c>
      <c r="AM368" s="30">
        <v>8</v>
      </c>
      <c r="AN368" s="30" t="s">
        <v>1065</v>
      </c>
      <c r="AO368" s="30" t="s">
        <v>1050</v>
      </c>
      <c r="AP368" s="30" t="s">
        <v>1051</v>
      </c>
      <c r="AQ368" s="30">
        <v>0</v>
      </c>
      <c r="AR368" s="30"/>
      <c r="AS368" s="30"/>
      <c r="AT368" s="30"/>
      <c r="AU368" s="54">
        <v>150000000</v>
      </c>
      <c r="AV368" s="54"/>
      <c r="AW368" s="54"/>
      <c r="AX368" s="54"/>
      <c r="AY368" s="54">
        <v>145516287</v>
      </c>
      <c r="AZ368" s="54">
        <v>1494565</v>
      </c>
      <c r="BA368" s="54">
        <v>1000</v>
      </c>
      <c r="BB368" s="55">
        <f>VLOOKUP(M368,[1]Sheet1!$E$6:$F$556,2,FALSE)</f>
        <v>1000</v>
      </c>
      <c r="BC368" s="74"/>
      <c r="BD368" s="74"/>
      <c r="BE368" s="128">
        <v>3.0000120436381152</v>
      </c>
      <c r="BF368" s="30" t="s">
        <v>1134</v>
      </c>
      <c r="BG368" s="30" t="s">
        <v>1342</v>
      </c>
      <c r="BH368" s="30" t="s">
        <v>1054</v>
      </c>
      <c r="BI368" s="30" t="str">
        <f t="shared" si="212"/>
        <v>COF(Assy_FT)</v>
      </c>
      <c r="BJ368" s="47" t="s">
        <v>137</v>
      </c>
      <c r="BK368" s="67">
        <f t="shared" si="224"/>
        <v>3000000</v>
      </c>
      <c r="BL368" s="68">
        <f t="shared" si="241"/>
        <v>285986.15358173929</v>
      </c>
      <c r="BM368" s="68">
        <f t="shared" si="242"/>
        <v>95328.717860579767</v>
      </c>
      <c r="BP368" s="69">
        <f>BM368*3</f>
        <v>285986.15358173929</v>
      </c>
      <c r="BQ368" s="69">
        <f>BP368</f>
        <v>285986.15358173929</v>
      </c>
      <c r="BR368" s="69">
        <f>SUM(BN368:BQ368)</f>
        <v>571972.30716347857</v>
      </c>
      <c r="BS368" s="69">
        <f>BQ368</f>
        <v>285986.15358173929</v>
      </c>
      <c r="BT368" s="69">
        <f t="shared" si="243"/>
        <v>285986.15358173929</v>
      </c>
      <c r="BU368" s="100">
        <f t="shared" si="243"/>
        <v>285986.15358173929</v>
      </c>
      <c r="BV368" s="100">
        <f t="shared" si="243"/>
        <v>285986.15358173929</v>
      </c>
      <c r="BW368" s="100">
        <f t="shared" si="248"/>
        <v>1143944.6143269571</v>
      </c>
      <c r="BX368" s="101">
        <f t="shared" si="244"/>
        <v>285986.15358173929</v>
      </c>
      <c r="BY368" s="101">
        <f t="shared" si="245"/>
        <v>285986.15358173929</v>
      </c>
      <c r="BZ368" s="18">
        <f>BM368*3</f>
        <v>285986.15358173929</v>
      </c>
      <c r="CA368" s="18">
        <f t="shared" si="245"/>
        <v>285986.15358173929</v>
      </c>
      <c r="CB368" s="70">
        <f t="shared" si="216"/>
        <v>1143944.6143269571</v>
      </c>
      <c r="CC368" s="18">
        <f t="shared" si="217"/>
        <v>285986.15358173929</v>
      </c>
      <c r="CD368" s="18">
        <f t="shared" si="249"/>
        <v>285986.15358173929</v>
      </c>
      <c r="CE368" s="18">
        <f t="shared" si="249"/>
        <v>285986.15358173929</v>
      </c>
      <c r="CF368" s="18">
        <f t="shared" si="249"/>
        <v>285986.15358173929</v>
      </c>
      <c r="CG368" s="70">
        <f t="shared" si="219"/>
        <v>1143944.6143269571</v>
      </c>
      <c r="CH368" s="18">
        <f t="shared" si="211"/>
        <v>285986.15358173929</v>
      </c>
      <c r="CI368" s="18">
        <f t="shared" si="240"/>
        <v>285986.15358173929</v>
      </c>
      <c r="CJ368" s="18">
        <f t="shared" si="240"/>
        <v>285986.15358173929</v>
      </c>
      <c r="CK368" s="18">
        <f t="shared" si="240"/>
        <v>285986.15358173929</v>
      </c>
      <c r="CL368" s="70">
        <f t="shared" si="221"/>
        <v>1143944.6143269571</v>
      </c>
      <c r="CM368" s="71"/>
      <c r="CN368" s="59">
        <f t="shared" si="246"/>
        <v>2.9293128164836464E-4</v>
      </c>
      <c r="CO368" s="64">
        <f t="shared" si="247"/>
        <v>6151556.9146156572</v>
      </c>
      <c r="CP368" s="2">
        <f t="shared" si="214"/>
        <v>9151556.9146156572</v>
      </c>
    </row>
    <row r="369" spans="1:94" ht="15" hidden="1" x14ac:dyDescent="0.3">
      <c r="A369" s="29">
        <v>364</v>
      </c>
      <c r="B369" s="30" t="s">
        <v>21</v>
      </c>
      <c r="C369" s="30"/>
      <c r="D369" s="30" t="s">
        <v>1041</v>
      </c>
      <c r="E369" s="30" t="s">
        <v>1042</v>
      </c>
      <c r="F369" s="30" t="s">
        <v>1043</v>
      </c>
      <c r="G369" s="30" t="s">
        <v>117</v>
      </c>
      <c r="H369" s="30" t="s">
        <v>1058</v>
      </c>
      <c r="I369" s="30" t="s">
        <v>119</v>
      </c>
      <c r="J369" s="30" t="s">
        <v>1044</v>
      </c>
      <c r="K369" s="30" t="s">
        <v>1044</v>
      </c>
      <c r="L369" s="30" t="s">
        <v>766</v>
      </c>
      <c r="M369" s="30">
        <v>1002889</v>
      </c>
      <c r="N369" s="30" t="s">
        <v>138</v>
      </c>
      <c r="O369" s="30" t="s">
        <v>1351</v>
      </c>
      <c r="P369" s="30" t="s">
        <v>1352</v>
      </c>
      <c r="Q369" s="30" t="s">
        <v>1353</v>
      </c>
      <c r="R369" s="30"/>
      <c r="S369" s="30" t="s">
        <v>1354</v>
      </c>
      <c r="T369" s="30"/>
      <c r="U369" s="30" t="s">
        <v>144</v>
      </c>
      <c r="V369" s="30" t="s">
        <v>437</v>
      </c>
      <c r="W369" s="30" t="s">
        <v>1086</v>
      </c>
      <c r="X369" s="30"/>
      <c r="Y369" s="30" t="s">
        <v>128</v>
      </c>
      <c r="Z369" s="30" t="s">
        <v>128</v>
      </c>
      <c r="AA369" s="108" t="s">
        <v>1355</v>
      </c>
      <c r="AB369" s="30" t="s">
        <v>1356</v>
      </c>
      <c r="AC369" s="30"/>
      <c r="AD369" s="30"/>
      <c r="AE369" s="30"/>
      <c r="AF369" s="30" t="s">
        <v>131</v>
      </c>
      <c r="AG369" s="30" t="s">
        <v>1088</v>
      </c>
      <c r="AH369" s="30"/>
      <c r="AI369" s="30"/>
      <c r="AJ369" s="50">
        <v>40679</v>
      </c>
      <c r="AK369" s="50">
        <v>40975</v>
      </c>
      <c r="AL369" s="51">
        <f t="shared" si="223"/>
        <v>13.66027397260274</v>
      </c>
      <c r="AM369" s="30">
        <v>8</v>
      </c>
      <c r="AN369" s="30" t="s">
        <v>1057</v>
      </c>
      <c r="AO369" s="30" t="s">
        <v>1050</v>
      </c>
      <c r="AP369" s="30" t="s">
        <v>1051</v>
      </c>
      <c r="AQ369" s="30">
        <v>2.4</v>
      </c>
      <c r="AR369" s="30">
        <v>1500</v>
      </c>
      <c r="AS369" s="30">
        <v>1320</v>
      </c>
      <c r="AT369" s="30">
        <v>1750</v>
      </c>
      <c r="AU369" s="74">
        <v>190040000</v>
      </c>
      <c r="AV369" s="54"/>
      <c r="AW369" s="54"/>
      <c r="AX369" s="54"/>
      <c r="AY369" s="54">
        <v>190039000</v>
      </c>
      <c r="AZ369" s="54">
        <v>0</v>
      </c>
      <c r="BA369" s="74">
        <v>1000</v>
      </c>
      <c r="BB369" s="55">
        <f>VLOOKUP(M369,[1]Sheet1!$E$6:$F$556,2,FALSE)</f>
        <v>1000</v>
      </c>
      <c r="BC369" s="74"/>
      <c r="BD369" s="74"/>
      <c r="BE369" s="30"/>
      <c r="BF369" s="30" t="s">
        <v>1052</v>
      </c>
      <c r="BG369" s="30" t="s">
        <v>1053</v>
      </c>
      <c r="BH369" s="30" t="s">
        <v>1054</v>
      </c>
      <c r="BI369" s="30" t="str">
        <f t="shared" si="212"/>
        <v>COF(Assy_FT)</v>
      </c>
      <c r="BJ369" s="30" t="s">
        <v>250</v>
      </c>
      <c r="BK369" s="56">
        <f t="shared" si="224"/>
        <v>3800800</v>
      </c>
      <c r="BL369" s="57">
        <f t="shared" si="241"/>
        <v>118775</v>
      </c>
      <c r="BM369" s="57">
        <f t="shared" si="242"/>
        <v>39591.666666666664</v>
      </c>
      <c r="BU369" s="58">
        <f>BM369*3</f>
        <v>118775</v>
      </c>
      <c r="BV369" s="58">
        <f t="shared" si="243"/>
        <v>118775</v>
      </c>
      <c r="BW369" s="58">
        <f t="shared" si="248"/>
        <v>237550</v>
      </c>
      <c r="BX369" s="58">
        <f t="shared" si="244"/>
        <v>118775</v>
      </c>
      <c r="BY369" s="58">
        <f t="shared" si="245"/>
        <v>118775</v>
      </c>
      <c r="BZ369" s="58">
        <f>BM369*3</f>
        <v>118775</v>
      </c>
      <c r="CA369" s="58">
        <f t="shared" si="245"/>
        <v>118775</v>
      </c>
      <c r="CB369" s="58">
        <f t="shared" si="216"/>
        <v>475100</v>
      </c>
      <c r="CC369" s="58">
        <f t="shared" si="217"/>
        <v>118775</v>
      </c>
      <c r="CD369" s="58">
        <f t="shared" si="249"/>
        <v>118775</v>
      </c>
      <c r="CE369" s="58">
        <f t="shared" si="249"/>
        <v>118775</v>
      </c>
      <c r="CF369" s="58">
        <f t="shared" si="249"/>
        <v>118775</v>
      </c>
      <c r="CG369" s="58">
        <f t="shared" si="219"/>
        <v>475100</v>
      </c>
      <c r="CH369" s="58">
        <f t="shared" si="211"/>
        <v>118775</v>
      </c>
      <c r="CI369" s="58">
        <f t="shared" si="240"/>
        <v>118775</v>
      </c>
      <c r="CJ369" s="58">
        <f t="shared" si="240"/>
        <v>118775</v>
      </c>
      <c r="CK369" s="58">
        <f t="shared" si="240"/>
        <v>118775</v>
      </c>
      <c r="CL369" s="58">
        <f t="shared" si="221"/>
        <v>475100</v>
      </c>
      <c r="CP369" s="2">
        <f t="shared" si="214"/>
        <v>3800800</v>
      </c>
    </row>
    <row r="370" spans="1:94" ht="16.5" hidden="1" x14ac:dyDescent="0.3">
      <c r="A370" s="2">
        <v>365</v>
      </c>
      <c r="B370" s="47" t="s">
        <v>21</v>
      </c>
      <c r="C370" s="47"/>
      <c r="D370" s="30" t="s">
        <v>1041</v>
      </c>
      <c r="E370" s="30" t="s">
        <v>1042</v>
      </c>
      <c r="F370" s="30" t="s">
        <v>1043</v>
      </c>
      <c r="G370" s="30" t="s">
        <v>117</v>
      </c>
      <c r="H370" s="30" t="s">
        <v>385</v>
      </c>
      <c r="I370" s="30" t="s">
        <v>119</v>
      </c>
      <c r="J370" s="30" t="s">
        <v>1044</v>
      </c>
      <c r="K370" s="30" t="s">
        <v>1044</v>
      </c>
      <c r="L370" s="30" t="s">
        <v>1130</v>
      </c>
      <c r="M370" s="30">
        <v>1001903</v>
      </c>
      <c r="N370" s="30" t="s">
        <v>138</v>
      </c>
      <c r="O370" s="30" t="s">
        <v>1357</v>
      </c>
      <c r="P370" s="30" t="s">
        <v>1358</v>
      </c>
      <c r="Q370" s="30" t="s">
        <v>1359</v>
      </c>
      <c r="R370" s="30" t="s">
        <v>1325</v>
      </c>
      <c r="S370" s="30">
        <v>10021603</v>
      </c>
      <c r="T370" s="30" t="s">
        <v>1326</v>
      </c>
      <c r="U370" s="30" t="s">
        <v>144</v>
      </c>
      <c r="V370" s="30" t="s">
        <v>437</v>
      </c>
      <c r="W370" s="30" t="s">
        <v>1228</v>
      </c>
      <c r="X370" s="30" t="s">
        <v>147</v>
      </c>
      <c r="Y370" s="125" t="s">
        <v>576</v>
      </c>
      <c r="Z370" s="125" t="s">
        <v>576</v>
      </c>
      <c r="AA370" s="30" t="s">
        <v>148</v>
      </c>
      <c r="AB370" s="30" t="s">
        <v>1146</v>
      </c>
      <c r="AC370" s="30" t="s">
        <v>1146</v>
      </c>
      <c r="AD370" s="30"/>
      <c r="AE370" s="30"/>
      <c r="AF370" s="30" t="s">
        <v>593</v>
      </c>
      <c r="AG370" s="30" t="s">
        <v>440</v>
      </c>
      <c r="AH370" s="30" t="s">
        <v>1147</v>
      </c>
      <c r="AI370" s="30"/>
      <c r="AJ370" s="50">
        <v>40225</v>
      </c>
      <c r="AK370" s="50">
        <v>40225</v>
      </c>
      <c r="AL370" s="51">
        <f t="shared" si="223"/>
        <v>15.715068493150685</v>
      </c>
      <c r="AM370" s="30">
        <v>8</v>
      </c>
      <c r="AN370" s="30" t="s">
        <v>1065</v>
      </c>
      <c r="AO370" s="30" t="s">
        <v>1050</v>
      </c>
      <c r="AP370" s="30" t="s">
        <v>1051</v>
      </c>
      <c r="AQ370" s="30">
        <v>3</v>
      </c>
      <c r="AR370" s="30">
        <v>3000</v>
      </c>
      <c r="AS370" s="30">
        <v>1400</v>
      </c>
      <c r="AT370" s="30">
        <v>2050</v>
      </c>
      <c r="AU370" s="54">
        <v>247373335</v>
      </c>
      <c r="AV370" s="54"/>
      <c r="AW370" s="54"/>
      <c r="AX370" s="54"/>
      <c r="AY370" s="54">
        <v>247372335</v>
      </c>
      <c r="AZ370" s="54">
        <v>1872499</v>
      </c>
      <c r="BA370" s="54">
        <v>1000</v>
      </c>
      <c r="BB370" s="55">
        <f>VLOOKUP(M370,[1]Sheet1!$E$6:$F$556,2,FALSE)</f>
        <v>1000</v>
      </c>
      <c r="BC370" s="74"/>
      <c r="BD370" s="74"/>
      <c r="BE370" s="30"/>
      <c r="BF370" s="30" t="s">
        <v>1052</v>
      </c>
      <c r="BG370" s="30" t="s">
        <v>1074</v>
      </c>
      <c r="BH370" s="30" t="s">
        <v>1054</v>
      </c>
      <c r="BI370" s="30" t="str">
        <f t="shared" si="212"/>
        <v>COF(Assy_FT)</v>
      </c>
      <c r="BJ370" s="47" t="s">
        <v>137</v>
      </c>
      <c r="BK370" s="67">
        <f t="shared" si="224"/>
        <v>4947466.7</v>
      </c>
      <c r="BL370" s="68">
        <f t="shared" si="241"/>
        <v>471635.65716891363</v>
      </c>
      <c r="BM370" s="68">
        <f t="shared" si="242"/>
        <v>157211.8857229712</v>
      </c>
      <c r="BP370" s="69">
        <f>BM370*3</f>
        <v>471635.65716891363</v>
      </c>
      <c r="BQ370" s="69">
        <f>BP370</f>
        <v>471635.65716891363</v>
      </c>
      <c r="BR370" s="69">
        <f>SUM(BN370:BQ370)</f>
        <v>943271.31433782727</v>
      </c>
      <c r="BS370" s="69">
        <f>BQ370</f>
        <v>471635.65716891363</v>
      </c>
      <c r="BT370" s="69">
        <f t="shared" si="243"/>
        <v>471635.65716891363</v>
      </c>
      <c r="BU370" s="100">
        <f t="shared" si="243"/>
        <v>471635.65716891363</v>
      </c>
      <c r="BV370" s="100">
        <f t="shared" si="243"/>
        <v>471635.65716891363</v>
      </c>
      <c r="BW370" s="100">
        <f t="shared" si="248"/>
        <v>1886542.6286756545</v>
      </c>
      <c r="BX370" s="101">
        <f t="shared" si="244"/>
        <v>471635.65716891363</v>
      </c>
      <c r="BY370" s="101">
        <f t="shared" si="245"/>
        <v>471635.65716891363</v>
      </c>
      <c r="BZ370" s="18">
        <f t="shared" si="245"/>
        <v>471635.65716891363</v>
      </c>
      <c r="CA370" s="18">
        <f t="shared" si="245"/>
        <v>471635.65716891363</v>
      </c>
      <c r="CB370" s="70">
        <f t="shared" si="216"/>
        <v>1886542.6286756545</v>
      </c>
      <c r="CC370" s="18">
        <f t="shared" si="217"/>
        <v>471635.65716891363</v>
      </c>
      <c r="CD370" s="18">
        <f t="shared" si="249"/>
        <v>471635.65716891363</v>
      </c>
      <c r="CE370" s="18">
        <f t="shared" si="249"/>
        <v>471635.65716891363</v>
      </c>
      <c r="CF370" s="18">
        <f t="shared" si="249"/>
        <v>471635.65716891363</v>
      </c>
      <c r="CG370" s="70">
        <f t="shared" si="219"/>
        <v>1886542.6286756545</v>
      </c>
      <c r="CH370" s="18">
        <f t="shared" si="211"/>
        <v>471635.65716891363</v>
      </c>
      <c r="CI370" s="18">
        <f t="shared" si="240"/>
        <v>471635.65716891363</v>
      </c>
      <c r="CJ370" s="18">
        <f t="shared" si="240"/>
        <v>471635.65716891363</v>
      </c>
      <c r="CK370" s="18">
        <f t="shared" si="240"/>
        <v>471635.65716891363</v>
      </c>
      <c r="CL370" s="70">
        <f t="shared" si="221"/>
        <v>1886542.6286756545</v>
      </c>
      <c r="CM370" s="71"/>
      <c r="CN370" s="59">
        <f t="shared" ref="CN370:CN374" si="250">BK370/$CN$3</f>
        <v>4.8308925378120175E-4</v>
      </c>
      <c r="CO370" s="64">
        <f t="shared" ref="CO370:CO374" si="251">CN370*$CO$4</f>
        <v>10144874.329405237</v>
      </c>
      <c r="CP370" s="2">
        <f t="shared" si="214"/>
        <v>15092341.029405236</v>
      </c>
    </row>
    <row r="371" spans="1:94" ht="16.5" hidden="1" x14ac:dyDescent="0.3">
      <c r="A371" s="2">
        <v>366</v>
      </c>
      <c r="B371" s="47" t="s">
        <v>21</v>
      </c>
      <c r="C371" s="47"/>
      <c r="D371" s="30" t="s">
        <v>1041</v>
      </c>
      <c r="E371" s="30" t="s">
        <v>1042</v>
      </c>
      <c r="F371" s="30" t="s">
        <v>1043</v>
      </c>
      <c r="G371" s="30" t="s">
        <v>117</v>
      </c>
      <c r="H371" s="30" t="s">
        <v>385</v>
      </c>
      <c r="I371" s="30" t="s">
        <v>119</v>
      </c>
      <c r="J371" s="30" t="s">
        <v>1044</v>
      </c>
      <c r="K371" s="30" t="s">
        <v>1044</v>
      </c>
      <c r="L371" s="30" t="s">
        <v>1130</v>
      </c>
      <c r="M371" s="30">
        <v>1001459</v>
      </c>
      <c r="N371" s="30" t="s">
        <v>138</v>
      </c>
      <c r="O371" s="30" t="s">
        <v>1360</v>
      </c>
      <c r="P371" s="30" t="s">
        <v>1358</v>
      </c>
      <c r="Q371" s="30" t="s">
        <v>1359</v>
      </c>
      <c r="R371" s="30" t="s">
        <v>1325</v>
      </c>
      <c r="S371" s="30">
        <v>9060201</v>
      </c>
      <c r="T371" s="30" t="s">
        <v>1326</v>
      </c>
      <c r="U371" s="30" t="s">
        <v>144</v>
      </c>
      <c r="V371" s="30" t="s">
        <v>437</v>
      </c>
      <c r="W371" s="30" t="s">
        <v>1228</v>
      </c>
      <c r="X371" s="30" t="s">
        <v>147</v>
      </c>
      <c r="Y371" s="125" t="s">
        <v>576</v>
      </c>
      <c r="Z371" s="125" t="s">
        <v>576</v>
      </c>
      <c r="AA371" s="30" t="s">
        <v>148</v>
      </c>
      <c r="AB371" s="30" t="s">
        <v>1146</v>
      </c>
      <c r="AC371" s="30" t="s">
        <v>1146</v>
      </c>
      <c r="AD371" s="30"/>
      <c r="AE371" s="30"/>
      <c r="AF371" s="30" t="s">
        <v>593</v>
      </c>
      <c r="AG371" s="30" t="s">
        <v>440</v>
      </c>
      <c r="AH371" s="30" t="s">
        <v>1147</v>
      </c>
      <c r="AI371" s="30"/>
      <c r="AJ371" s="50">
        <v>39969</v>
      </c>
      <c r="AK371" s="50">
        <v>39969</v>
      </c>
      <c r="AL371" s="51">
        <f t="shared" si="223"/>
        <v>16.416438356164385</v>
      </c>
      <c r="AM371" s="30">
        <v>8</v>
      </c>
      <c r="AN371" s="30" t="s">
        <v>1065</v>
      </c>
      <c r="AO371" s="30" t="s">
        <v>1050</v>
      </c>
      <c r="AP371" s="30" t="s">
        <v>1051</v>
      </c>
      <c r="AQ371" s="30">
        <v>3</v>
      </c>
      <c r="AR371" s="30">
        <v>3000</v>
      </c>
      <c r="AS371" s="30">
        <v>1400</v>
      </c>
      <c r="AT371" s="30">
        <v>2050</v>
      </c>
      <c r="AU371" s="54">
        <v>270730000</v>
      </c>
      <c r="AV371" s="54"/>
      <c r="AW371" s="54"/>
      <c r="AX371" s="54"/>
      <c r="AY371" s="54">
        <v>270729000</v>
      </c>
      <c r="AZ371" s="54">
        <v>439168</v>
      </c>
      <c r="BA371" s="54">
        <v>1000</v>
      </c>
      <c r="BB371" s="55">
        <f>VLOOKUP(M371,[1]Sheet1!$E$6:$F$556,2,FALSE)</f>
        <v>1000</v>
      </c>
      <c r="BC371" s="74"/>
      <c r="BD371" s="74"/>
      <c r="BE371" s="30"/>
      <c r="BF371" s="30" t="s">
        <v>1052</v>
      </c>
      <c r="BG371" s="30" t="s">
        <v>1074</v>
      </c>
      <c r="BH371" s="30" t="s">
        <v>1054</v>
      </c>
      <c r="BI371" s="30" t="str">
        <f t="shared" si="212"/>
        <v>COF(Assy_FT)</v>
      </c>
      <c r="BJ371" s="47" t="s">
        <v>137</v>
      </c>
      <c r="BK371" s="67">
        <f t="shared" si="224"/>
        <v>5414600</v>
      </c>
      <c r="BL371" s="68">
        <f t="shared" si="241"/>
        <v>516166.87572789518</v>
      </c>
      <c r="BM371" s="68">
        <f t="shared" si="242"/>
        <v>172055.62524263174</v>
      </c>
      <c r="BP371" s="69">
        <f>BM371*3</f>
        <v>516166.87572789518</v>
      </c>
      <c r="BQ371" s="69">
        <f>BP371</f>
        <v>516166.87572789518</v>
      </c>
      <c r="BR371" s="69">
        <f>SUM(BN371:BQ371)</f>
        <v>1032333.7514557904</v>
      </c>
      <c r="BS371" s="69">
        <f>BQ371</f>
        <v>516166.87572789518</v>
      </c>
      <c r="BT371" s="69">
        <f t="shared" si="243"/>
        <v>516166.87572789518</v>
      </c>
      <c r="BU371" s="100">
        <f t="shared" si="243"/>
        <v>516166.87572789518</v>
      </c>
      <c r="BV371" s="100">
        <f t="shared" si="243"/>
        <v>516166.87572789518</v>
      </c>
      <c r="BW371" s="100">
        <f t="shared" si="248"/>
        <v>2064667.5029115807</v>
      </c>
      <c r="BX371" s="101">
        <f t="shared" si="244"/>
        <v>516166.87572789518</v>
      </c>
      <c r="BY371" s="101">
        <f t="shared" si="245"/>
        <v>516166.87572789518</v>
      </c>
      <c r="BZ371" s="18">
        <f t="shared" si="245"/>
        <v>516166.87572789518</v>
      </c>
      <c r="CA371" s="18">
        <f t="shared" si="245"/>
        <v>516166.87572789518</v>
      </c>
      <c r="CB371" s="70">
        <f t="shared" si="216"/>
        <v>2064667.5029115807</v>
      </c>
      <c r="CC371" s="18">
        <f t="shared" si="217"/>
        <v>516166.87572789518</v>
      </c>
      <c r="CD371" s="18">
        <f t="shared" si="249"/>
        <v>516166.87572789518</v>
      </c>
      <c r="CE371" s="18">
        <f t="shared" si="249"/>
        <v>516166.87572789518</v>
      </c>
      <c r="CF371" s="18">
        <f t="shared" si="249"/>
        <v>516166.87572789518</v>
      </c>
      <c r="CG371" s="70">
        <f t="shared" si="219"/>
        <v>2064667.5029115807</v>
      </c>
      <c r="CH371" s="18">
        <f t="shared" si="211"/>
        <v>516166.87572789518</v>
      </c>
      <c r="CI371" s="18">
        <f t="shared" si="240"/>
        <v>516166.87572789518</v>
      </c>
      <c r="CJ371" s="18">
        <f t="shared" si="240"/>
        <v>516166.87572789518</v>
      </c>
      <c r="CK371" s="18">
        <f t="shared" si="240"/>
        <v>516166.87572789518</v>
      </c>
      <c r="CL371" s="70">
        <f t="shared" si="221"/>
        <v>2064667.5029115807</v>
      </c>
      <c r="CM371" s="71"/>
      <c r="CN371" s="59">
        <f t="shared" si="250"/>
        <v>5.2870190587107836E-4</v>
      </c>
      <c r="CO371" s="64">
        <f t="shared" si="251"/>
        <v>11102740.023292646</v>
      </c>
      <c r="CP371" s="2">
        <f t="shared" si="214"/>
        <v>16517340.023292646</v>
      </c>
    </row>
    <row r="372" spans="1:94" ht="16.5" hidden="1" x14ac:dyDescent="0.3">
      <c r="A372" s="2">
        <v>367</v>
      </c>
      <c r="B372" s="47" t="s">
        <v>21</v>
      </c>
      <c r="C372" s="47"/>
      <c r="D372" s="30" t="s">
        <v>1041</v>
      </c>
      <c r="E372" s="30" t="s">
        <v>1042</v>
      </c>
      <c r="F372" s="30" t="s">
        <v>1043</v>
      </c>
      <c r="G372" s="30" t="s">
        <v>117</v>
      </c>
      <c r="H372" s="30" t="s">
        <v>385</v>
      </c>
      <c r="I372" s="30" t="s">
        <v>119</v>
      </c>
      <c r="J372" s="30" t="s">
        <v>1044</v>
      </c>
      <c r="K372" s="30" t="s">
        <v>1044</v>
      </c>
      <c r="L372" s="30" t="s">
        <v>1130</v>
      </c>
      <c r="M372" s="30">
        <v>1001446</v>
      </c>
      <c r="N372" s="30" t="s">
        <v>138</v>
      </c>
      <c r="O372" s="30" t="s">
        <v>1361</v>
      </c>
      <c r="P372" s="30" t="s">
        <v>1323</v>
      </c>
      <c r="Q372" s="30" t="s">
        <v>1324</v>
      </c>
      <c r="R372" s="30" t="s">
        <v>1325</v>
      </c>
      <c r="S372" s="30"/>
      <c r="T372" s="30" t="s">
        <v>1326</v>
      </c>
      <c r="U372" s="30" t="s">
        <v>144</v>
      </c>
      <c r="V372" s="30" t="s">
        <v>415</v>
      </c>
      <c r="W372" s="30" t="s">
        <v>1145</v>
      </c>
      <c r="X372" s="30" t="s">
        <v>147</v>
      </c>
      <c r="Y372" s="125" t="s">
        <v>576</v>
      </c>
      <c r="Z372" s="125" t="s">
        <v>576</v>
      </c>
      <c r="AA372" s="30" t="s">
        <v>148</v>
      </c>
      <c r="AB372" s="30" t="s">
        <v>1146</v>
      </c>
      <c r="AC372" s="30" t="s">
        <v>1146</v>
      </c>
      <c r="AD372" s="30"/>
      <c r="AE372" s="30"/>
      <c r="AF372" s="30" t="s">
        <v>593</v>
      </c>
      <c r="AG372" s="30" t="s">
        <v>440</v>
      </c>
      <c r="AH372" s="30" t="s">
        <v>1147</v>
      </c>
      <c r="AI372" s="30"/>
      <c r="AJ372" s="50">
        <v>39975</v>
      </c>
      <c r="AK372" s="50">
        <v>39975</v>
      </c>
      <c r="AL372" s="51">
        <f t="shared" si="223"/>
        <v>16.399999999999999</v>
      </c>
      <c r="AM372" s="30">
        <v>8</v>
      </c>
      <c r="AN372" s="30" t="s">
        <v>1065</v>
      </c>
      <c r="AO372" s="30" t="s">
        <v>1050</v>
      </c>
      <c r="AP372" s="30" t="s">
        <v>1051</v>
      </c>
      <c r="AQ372" s="30">
        <v>3</v>
      </c>
      <c r="AR372" s="30">
        <v>2500</v>
      </c>
      <c r="AS372" s="30">
        <v>1400</v>
      </c>
      <c r="AT372" s="30">
        <v>1980</v>
      </c>
      <c r="AU372" s="54">
        <v>400248925</v>
      </c>
      <c r="AV372" s="54"/>
      <c r="AW372" s="54"/>
      <c r="AX372" s="54"/>
      <c r="AY372" s="54">
        <v>400247925</v>
      </c>
      <c r="AZ372" s="54">
        <v>2153700</v>
      </c>
      <c r="BA372" s="54">
        <v>1000</v>
      </c>
      <c r="BB372" s="55">
        <f>VLOOKUP(M372,[1]Sheet1!$E$6:$F$556,2,FALSE)</f>
        <v>1000</v>
      </c>
      <c r="BC372" s="74"/>
      <c r="BD372" s="74"/>
      <c r="BE372" s="30"/>
      <c r="BF372" s="30" t="s">
        <v>1052</v>
      </c>
      <c r="BG372" s="30" t="s">
        <v>1074</v>
      </c>
      <c r="BH372" s="30" t="s">
        <v>1054</v>
      </c>
      <c r="BI372" s="30" t="str">
        <f t="shared" si="212"/>
        <v>COF(Assy_FT)</v>
      </c>
      <c r="BJ372" s="47" t="s">
        <v>137</v>
      </c>
      <c r="BK372" s="67">
        <f t="shared" si="224"/>
        <v>8004978.5</v>
      </c>
      <c r="BL372" s="68">
        <f t="shared" si="241"/>
        <v>763104.33690650703</v>
      </c>
      <c r="BM372" s="68">
        <f t="shared" si="242"/>
        <v>254368.112302169</v>
      </c>
      <c r="BP372" s="69">
        <f>BM372*3</f>
        <v>763104.33690650703</v>
      </c>
      <c r="BQ372" s="69">
        <f>BP372</f>
        <v>763104.33690650703</v>
      </c>
      <c r="BR372" s="69">
        <f>SUM(BN372:BQ372)</f>
        <v>1526208.6738130141</v>
      </c>
      <c r="BS372" s="69">
        <f>BQ372</f>
        <v>763104.33690650703</v>
      </c>
      <c r="BT372" s="69">
        <f t="shared" si="243"/>
        <v>763104.33690650703</v>
      </c>
      <c r="BU372" s="100">
        <f t="shared" si="243"/>
        <v>763104.33690650703</v>
      </c>
      <c r="BV372" s="100">
        <f t="shared" si="243"/>
        <v>763104.33690650703</v>
      </c>
      <c r="BW372" s="100">
        <f t="shared" si="248"/>
        <v>3052417.3476260281</v>
      </c>
      <c r="BX372" s="101">
        <f t="shared" si="244"/>
        <v>763104.33690650703</v>
      </c>
      <c r="BY372" s="101">
        <f t="shared" si="245"/>
        <v>763104.33690650703</v>
      </c>
      <c r="BZ372" s="18">
        <f t="shared" si="245"/>
        <v>763104.33690650703</v>
      </c>
      <c r="CA372" s="18">
        <f t="shared" si="245"/>
        <v>763104.33690650703</v>
      </c>
      <c r="CB372" s="70">
        <f t="shared" si="216"/>
        <v>3052417.3476260281</v>
      </c>
      <c r="CC372" s="18">
        <f t="shared" si="217"/>
        <v>763104.33690650703</v>
      </c>
      <c r="CD372" s="18">
        <f t="shared" si="249"/>
        <v>763104.33690650703</v>
      </c>
      <c r="CE372" s="18">
        <f t="shared" si="249"/>
        <v>763104.33690650703</v>
      </c>
      <c r="CF372" s="18">
        <f t="shared" si="249"/>
        <v>763104.33690650703</v>
      </c>
      <c r="CG372" s="70">
        <f t="shared" si="219"/>
        <v>3052417.3476260281</v>
      </c>
      <c r="CH372" s="18">
        <f t="shared" si="211"/>
        <v>763104.33690650703</v>
      </c>
      <c r="CI372" s="18">
        <f t="shared" si="240"/>
        <v>763104.33690650703</v>
      </c>
      <c r="CJ372" s="18">
        <f t="shared" si="240"/>
        <v>763104.33690650703</v>
      </c>
      <c r="CK372" s="18">
        <f t="shared" si="240"/>
        <v>763104.33690650703</v>
      </c>
      <c r="CL372" s="70">
        <f t="shared" si="221"/>
        <v>3052417.3476260281</v>
      </c>
      <c r="CM372" s="71"/>
      <c r="CN372" s="59">
        <f t="shared" si="250"/>
        <v>7.8163620385753453E-4</v>
      </c>
      <c r="CO372" s="64">
        <f t="shared" si="251"/>
        <v>16414360.281008225</v>
      </c>
      <c r="CP372" s="2">
        <f t="shared" si="214"/>
        <v>24419338.781008225</v>
      </c>
    </row>
    <row r="373" spans="1:94" ht="16.5" hidden="1" x14ac:dyDescent="0.3">
      <c r="A373" s="2">
        <v>368</v>
      </c>
      <c r="B373" s="47" t="s">
        <v>21</v>
      </c>
      <c r="C373" s="47"/>
      <c r="D373" s="30" t="s">
        <v>1041</v>
      </c>
      <c r="E373" s="30" t="s">
        <v>1042</v>
      </c>
      <c r="F373" s="30" t="s">
        <v>1043</v>
      </c>
      <c r="G373" s="30" t="s">
        <v>117</v>
      </c>
      <c r="H373" s="30" t="s">
        <v>385</v>
      </c>
      <c r="I373" s="30" t="s">
        <v>119</v>
      </c>
      <c r="J373" s="30" t="s">
        <v>1044</v>
      </c>
      <c r="K373" s="30" t="s">
        <v>1044</v>
      </c>
      <c r="L373" s="30" t="s">
        <v>1130</v>
      </c>
      <c r="M373" s="30">
        <v>1001451</v>
      </c>
      <c r="N373" s="30" t="s">
        <v>138</v>
      </c>
      <c r="O373" s="30" t="s">
        <v>1362</v>
      </c>
      <c r="P373" s="30" t="s">
        <v>1363</v>
      </c>
      <c r="Q373" s="30" t="s">
        <v>1364</v>
      </c>
      <c r="R373" s="30" t="s">
        <v>1325</v>
      </c>
      <c r="S373" s="30" t="s">
        <v>1365</v>
      </c>
      <c r="T373" s="30" t="s">
        <v>1326</v>
      </c>
      <c r="U373" s="30" t="s">
        <v>144</v>
      </c>
      <c r="V373" s="30" t="s">
        <v>415</v>
      </c>
      <c r="W373" s="30" t="s">
        <v>1184</v>
      </c>
      <c r="X373" s="30" t="s">
        <v>147</v>
      </c>
      <c r="Y373" s="125" t="s">
        <v>576</v>
      </c>
      <c r="Z373" s="125" t="s">
        <v>576</v>
      </c>
      <c r="AA373" s="30" t="s">
        <v>148</v>
      </c>
      <c r="AB373" s="30" t="s">
        <v>1185</v>
      </c>
      <c r="AC373" s="30" t="s">
        <v>1185</v>
      </c>
      <c r="AD373" s="30"/>
      <c r="AE373" s="30"/>
      <c r="AF373" s="30" t="s">
        <v>593</v>
      </c>
      <c r="AG373" s="30" t="s">
        <v>774</v>
      </c>
      <c r="AH373" s="30" t="s">
        <v>1186</v>
      </c>
      <c r="AI373" s="30"/>
      <c r="AJ373" s="50">
        <v>39973</v>
      </c>
      <c r="AK373" s="50">
        <v>39973</v>
      </c>
      <c r="AL373" s="51">
        <f t="shared" si="223"/>
        <v>16.405479452054795</v>
      </c>
      <c r="AM373" s="30">
        <v>8</v>
      </c>
      <c r="AN373" s="30" t="s">
        <v>1065</v>
      </c>
      <c r="AO373" s="30" t="s">
        <v>1050</v>
      </c>
      <c r="AP373" s="30" t="s">
        <v>1051</v>
      </c>
      <c r="AQ373" s="30">
        <v>3</v>
      </c>
      <c r="AR373" s="30">
        <v>2700</v>
      </c>
      <c r="AS373" s="30">
        <v>1500</v>
      </c>
      <c r="AT373" s="30">
        <v>2030</v>
      </c>
      <c r="AU373" s="54">
        <v>399102262</v>
      </c>
      <c r="AV373" s="54"/>
      <c r="AW373" s="54"/>
      <c r="AX373" s="54"/>
      <c r="AY373" s="54">
        <v>399101262</v>
      </c>
      <c r="AZ373" s="54">
        <v>2213425</v>
      </c>
      <c r="BA373" s="54">
        <v>1000</v>
      </c>
      <c r="BB373" s="55">
        <f>VLOOKUP(M373,[1]Sheet1!$E$6:$F$556,2,FALSE)</f>
        <v>1000</v>
      </c>
      <c r="BC373" s="74"/>
      <c r="BD373" s="74"/>
      <c r="BE373" s="30"/>
      <c r="BF373" s="30" t="s">
        <v>1052</v>
      </c>
      <c r="BG373" s="30" t="s">
        <v>1074</v>
      </c>
      <c r="BH373" s="30" t="s">
        <v>1054</v>
      </c>
      <c r="BI373" s="30" t="str">
        <f t="shared" si="212"/>
        <v>COF(Assy_FT)</v>
      </c>
      <c r="BJ373" s="47" t="s">
        <v>137</v>
      </c>
      <c r="BK373" s="67">
        <f t="shared" si="224"/>
        <v>7982045.2400000002</v>
      </c>
      <c r="BL373" s="68">
        <f t="shared" si="241"/>
        <v>760918.13863434375</v>
      </c>
      <c r="BM373" s="68">
        <f t="shared" si="242"/>
        <v>253639.37954478126</v>
      </c>
      <c r="BP373" s="69">
        <f>BM373*3</f>
        <v>760918.13863434375</v>
      </c>
      <c r="BQ373" s="69">
        <f>BP373</f>
        <v>760918.13863434375</v>
      </c>
      <c r="BR373" s="69">
        <f>SUM(BN373:BQ373)</f>
        <v>1521836.2772686875</v>
      </c>
      <c r="BS373" s="69">
        <f>BQ373</f>
        <v>760918.13863434375</v>
      </c>
      <c r="BT373" s="69">
        <f t="shared" si="243"/>
        <v>760918.13863434375</v>
      </c>
      <c r="BU373" s="100">
        <f t="shared" si="243"/>
        <v>760918.13863434375</v>
      </c>
      <c r="BV373" s="100">
        <f t="shared" si="243"/>
        <v>760918.13863434375</v>
      </c>
      <c r="BW373" s="100">
        <f t="shared" si="248"/>
        <v>3043672.554537375</v>
      </c>
      <c r="BX373" s="101">
        <f t="shared" si="244"/>
        <v>760918.13863434375</v>
      </c>
      <c r="BY373" s="101">
        <f t="shared" si="245"/>
        <v>760918.13863434375</v>
      </c>
      <c r="BZ373" s="18">
        <f t="shared" si="245"/>
        <v>760918.13863434375</v>
      </c>
      <c r="CA373" s="18">
        <f t="shared" si="245"/>
        <v>760918.13863434375</v>
      </c>
      <c r="CB373" s="70">
        <f t="shared" si="216"/>
        <v>3043672.554537375</v>
      </c>
      <c r="CC373" s="18">
        <f t="shared" si="217"/>
        <v>760918.13863434375</v>
      </c>
      <c r="CD373" s="18">
        <f t="shared" si="249"/>
        <v>760918.13863434375</v>
      </c>
      <c r="CE373" s="18">
        <f t="shared" si="249"/>
        <v>760918.13863434375</v>
      </c>
      <c r="CF373" s="18">
        <f t="shared" si="249"/>
        <v>760918.13863434375</v>
      </c>
      <c r="CG373" s="70">
        <f t="shared" si="219"/>
        <v>3043672.554537375</v>
      </c>
      <c r="CH373" s="18">
        <f t="shared" si="211"/>
        <v>760918.13863434375</v>
      </c>
      <c r="CI373" s="18">
        <f t="shared" si="240"/>
        <v>760918.13863434375</v>
      </c>
      <c r="CJ373" s="18">
        <f t="shared" si="240"/>
        <v>760918.13863434375</v>
      </c>
      <c r="CK373" s="18">
        <f t="shared" si="240"/>
        <v>760918.13863434375</v>
      </c>
      <c r="CL373" s="70">
        <f t="shared" si="221"/>
        <v>3043672.554537375</v>
      </c>
      <c r="CM373" s="71"/>
      <c r="CN373" s="59">
        <f t="shared" si="250"/>
        <v>7.7939691410947617E-4</v>
      </c>
      <c r="CO373" s="64">
        <f t="shared" si="251"/>
        <v>16367335.196299</v>
      </c>
      <c r="CP373" s="2">
        <f t="shared" si="214"/>
        <v>24349380.436299</v>
      </c>
    </row>
    <row r="374" spans="1:94" ht="16.5" hidden="1" x14ac:dyDescent="0.3">
      <c r="A374" s="2">
        <v>369</v>
      </c>
      <c r="B374" s="47" t="s">
        <v>21</v>
      </c>
      <c r="C374" s="47" t="s">
        <v>1366</v>
      </c>
      <c r="D374" s="30" t="s">
        <v>1041</v>
      </c>
      <c r="E374" s="30" t="s">
        <v>1042</v>
      </c>
      <c r="F374" s="30" t="s">
        <v>1043</v>
      </c>
      <c r="G374" s="30" t="s">
        <v>117</v>
      </c>
      <c r="H374" s="30" t="s">
        <v>1058</v>
      </c>
      <c r="I374" s="30" t="s">
        <v>119</v>
      </c>
      <c r="J374" s="30" t="s">
        <v>1044</v>
      </c>
      <c r="K374" s="30" t="s">
        <v>1044</v>
      </c>
      <c r="L374" s="30" t="s">
        <v>766</v>
      </c>
      <c r="M374" s="30">
        <v>1003485</v>
      </c>
      <c r="N374" s="30" t="s">
        <v>138</v>
      </c>
      <c r="O374" s="30" t="s">
        <v>1367</v>
      </c>
      <c r="P374" s="30" t="s">
        <v>1368</v>
      </c>
      <c r="Q374" s="30" t="s">
        <v>769</v>
      </c>
      <c r="R374" s="30"/>
      <c r="S374" s="30" t="s">
        <v>1369</v>
      </c>
      <c r="T374" s="30"/>
      <c r="U374" s="30" t="s">
        <v>1047</v>
      </c>
      <c r="V374" s="30" t="s">
        <v>415</v>
      </c>
      <c r="W374" s="30" t="s">
        <v>1048</v>
      </c>
      <c r="X374" s="30" t="s">
        <v>147</v>
      </c>
      <c r="Y374" s="125" t="s">
        <v>128</v>
      </c>
      <c r="Z374" s="125" t="s">
        <v>128</v>
      </c>
      <c r="AA374" s="48" t="s">
        <v>148</v>
      </c>
      <c r="AB374" s="30" t="s">
        <v>773</v>
      </c>
      <c r="AC374" s="30" t="s">
        <v>773</v>
      </c>
      <c r="AD374" s="30"/>
      <c r="AE374" s="30"/>
      <c r="AF374" s="48" t="s">
        <v>604</v>
      </c>
      <c r="AG374" s="30" t="s">
        <v>774</v>
      </c>
      <c r="AH374" s="48" t="s">
        <v>775</v>
      </c>
      <c r="AI374" s="30"/>
      <c r="AJ374" s="50">
        <v>41123</v>
      </c>
      <c r="AK374" s="50">
        <v>41123</v>
      </c>
      <c r="AL374" s="51">
        <f t="shared" si="223"/>
        <v>13.254794520547945</v>
      </c>
      <c r="AM374" s="30">
        <v>8</v>
      </c>
      <c r="AN374" s="30" t="s">
        <v>1049</v>
      </c>
      <c r="AO374" s="30" t="s">
        <v>1050</v>
      </c>
      <c r="AP374" s="30" t="s">
        <v>1051</v>
      </c>
      <c r="AQ374" s="30">
        <v>3</v>
      </c>
      <c r="AR374" s="30">
        <v>1240</v>
      </c>
      <c r="AS374" s="30">
        <v>1550</v>
      </c>
      <c r="AT374" s="30">
        <v>1960</v>
      </c>
      <c r="AU374" s="54">
        <v>281894711</v>
      </c>
      <c r="AV374" s="54"/>
      <c r="AW374" s="54"/>
      <c r="AX374" s="54"/>
      <c r="AY374" s="54">
        <v>281893711</v>
      </c>
      <c r="AZ374" s="54">
        <v>0</v>
      </c>
      <c r="BA374" s="54">
        <v>1000</v>
      </c>
      <c r="BB374" s="55">
        <f>VLOOKUP(M374,[1]Sheet1!$E$6:$F$556,2,FALSE)</f>
        <v>1000</v>
      </c>
      <c r="BC374" s="74"/>
      <c r="BD374" s="74"/>
      <c r="BE374" s="30"/>
      <c r="BF374" s="30" t="s">
        <v>1052</v>
      </c>
      <c r="BG374" s="30" t="s">
        <v>1053</v>
      </c>
      <c r="BH374" s="30" t="s">
        <v>1054</v>
      </c>
      <c r="BI374" s="30" t="str">
        <f t="shared" si="212"/>
        <v>COF(Assy_FT)</v>
      </c>
      <c r="BJ374" s="47" t="s">
        <v>137</v>
      </c>
      <c r="BK374" s="67">
        <f t="shared" si="224"/>
        <v>5637894.2199999997</v>
      </c>
      <c r="BL374" s="68">
        <f t="shared" si="241"/>
        <v>537453.2274261734</v>
      </c>
      <c r="BM374" s="68">
        <f t="shared" si="242"/>
        <v>179151.07580872448</v>
      </c>
      <c r="BP374" s="69">
        <f>BM374*3</f>
        <v>537453.2274261734</v>
      </c>
      <c r="BQ374" s="69">
        <f>BP374</f>
        <v>537453.2274261734</v>
      </c>
      <c r="BR374" s="69">
        <f>SUM(BN374:BQ374)</f>
        <v>1074906.4548523468</v>
      </c>
      <c r="BS374" s="69">
        <f>BQ374</f>
        <v>537453.2274261734</v>
      </c>
      <c r="BT374" s="69">
        <f t="shared" si="243"/>
        <v>537453.2274261734</v>
      </c>
      <c r="BU374" s="100">
        <f t="shared" si="243"/>
        <v>537453.2274261734</v>
      </c>
      <c r="BV374" s="100">
        <f t="shared" si="243"/>
        <v>537453.2274261734</v>
      </c>
      <c r="BW374" s="100">
        <f t="shared" si="248"/>
        <v>2149812.9097046936</v>
      </c>
      <c r="BX374" s="101">
        <f t="shared" si="244"/>
        <v>537453.2274261734</v>
      </c>
      <c r="BY374" s="101">
        <f t="shared" si="245"/>
        <v>537453.2274261734</v>
      </c>
      <c r="BZ374" s="18">
        <f t="shared" si="245"/>
        <v>537453.2274261734</v>
      </c>
      <c r="CA374" s="18">
        <f t="shared" si="245"/>
        <v>537453.2274261734</v>
      </c>
      <c r="CB374" s="70">
        <f t="shared" si="216"/>
        <v>2149812.9097046936</v>
      </c>
      <c r="CC374" s="18">
        <f t="shared" si="217"/>
        <v>537453.2274261734</v>
      </c>
      <c r="CD374" s="18">
        <f t="shared" si="249"/>
        <v>537453.2274261734</v>
      </c>
      <c r="CE374" s="18">
        <f t="shared" si="249"/>
        <v>537453.2274261734</v>
      </c>
      <c r="CF374" s="18">
        <f t="shared" si="249"/>
        <v>537453.2274261734</v>
      </c>
      <c r="CG374" s="70">
        <f t="shared" si="219"/>
        <v>2149812.9097046936</v>
      </c>
      <c r="CH374" s="18">
        <f t="shared" si="211"/>
        <v>537453.2274261734</v>
      </c>
      <c r="CI374" s="18">
        <f t="shared" si="240"/>
        <v>537453.2274261734</v>
      </c>
      <c r="CJ374" s="18">
        <f t="shared" si="240"/>
        <v>537453.2274261734</v>
      </c>
      <c r="CK374" s="18">
        <f t="shared" si="240"/>
        <v>537453.2274261734</v>
      </c>
      <c r="CL374" s="70">
        <f t="shared" si="221"/>
        <v>2149812.9097046936</v>
      </c>
      <c r="CM374" s="71"/>
      <c r="CN374" s="59">
        <f t="shared" si="250"/>
        <v>5.5050519322083567E-4</v>
      </c>
      <c r="CO374" s="64">
        <f t="shared" si="251"/>
        <v>11560609.05763755</v>
      </c>
      <c r="CP374" s="2">
        <f t="shared" si="214"/>
        <v>17198503.277637549</v>
      </c>
    </row>
    <row r="375" spans="1:94" hidden="1" x14ac:dyDescent="0.3">
      <c r="A375" s="29">
        <v>370</v>
      </c>
      <c r="B375" s="30" t="s">
        <v>21</v>
      </c>
      <c r="C375" s="129" t="s">
        <v>1327</v>
      </c>
      <c r="D375" s="129" t="s">
        <v>1328</v>
      </c>
      <c r="E375" s="129" t="s">
        <v>1329</v>
      </c>
      <c r="F375" s="129" t="s">
        <v>1043</v>
      </c>
      <c r="G375" s="129" t="s">
        <v>117</v>
      </c>
      <c r="H375" s="129" t="s">
        <v>118</v>
      </c>
      <c r="I375" s="129" t="s">
        <v>119</v>
      </c>
      <c r="J375" s="129" t="s">
        <v>1044</v>
      </c>
      <c r="K375" s="129" t="s">
        <v>1044</v>
      </c>
      <c r="L375" s="129" t="s">
        <v>1255</v>
      </c>
      <c r="M375" s="129">
        <v>1003562</v>
      </c>
      <c r="N375" s="129" t="s">
        <v>138</v>
      </c>
      <c r="O375" s="129" t="s">
        <v>1370</v>
      </c>
      <c r="P375" s="129" t="s">
        <v>768</v>
      </c>
      <c r="Q375" s="129" t="s">
        <v>769</v>
      </c>
      <c r="R375" s="129"/>
      <c r="S375" s="129" t="s">
        <v>1371</v>
      </c>
      <c r="T375" s="129"/>
      <c r="U375" s="129" t="s">
        <v>1332</v>
      </c>
      <c r="V375" s="129" t="s">
        <v>1333</v>
      </c>
      <c r="W375" s="129" t="s">
        <v>1048</v>
      </c>
      <c r="X375" s="30"/>
      <c r="Y375" s="30" t="s">
        <v>128</v>
      </c>
      <c r="Z375" s="30" t="s">
        <v>128</v>
      </c>
      <c r="AA375" s="48" t="s">
        <v>148</v>
      </c>
      <c r="AB375" s="30" t="s">
        <v>773</v>
      </c>
      <c r="AC375" s="30" t="s">
        <v>773</v>
      </c>
      <c r="AD375" s="30"/>
      <c r="AE375" s="30"/>
      <c r="AF375" s="48" t="s">
        <v>604</v>
      </c>
      <c r="AG375" s="30" t="s">
        <v>774</v>
      </c>
      <c r="AH375" s="48" t="s">
        <v>775</v>
      </c>
      <c r="AI375" s="30"/>
      <c r="AJ375" s="133">
        <v>41156</v>
      </c>
      <c r="AK375" s="133">
        <v>41156</v>
      </c>
      <c r="AL375" s="134">
        <f t="shared" si="223"/>
        <v>13.164383561643836</v>
      </c>
      <c r="AM375" s="129">
        <v>8</v>
      </c>
      <c r="AN375" s="129" t="s">
        <v>1334</v>
      </c>
      <c r="AO375" s="129" t="s">
        <v>1335</v>
      </c>
      <c r="AP375" s="129" t="s">
        <v>1336</v>
      </c>
      <c r="AQ375" s="30">
        <v>3</v>
      </c>
      <c r="AR375" s="30">
        <v>1150</v>
      </c>
      <c r="AS375" s="30">
        <v>1200</v>
      </c>
      <c r="AT375" s="30">
        <v>2100</v>
      </c>
      <c r="AU375" s="135">
        <v>244269261</v>
      </c>
      <c r="AV375" s="54"/>
      <c r="AW375" s="54"/>
      <c r="AX375" s="54"/>
      <c r="AY375" s="54">
        <v>244268261</v>
      </c>
      <c r="AZ375" s="54" t="s">
        <v>1219</v>
      </c>
      <c r="BA375" s="135">
        <v>1000</v>
      </c>
      <c r="BB375" s="55">
        <f>VLOOKUP(M375,[1]Sheet1!$E$6:$F$556,2,FALSE)</f>
        <v>1000</v>
      </c>
      <c r="BC375" s="74"/>
      <c r="BD375" s="74"/>
      <c r="BE375" s="30"/>
      <c r="BF375" s="30" t="s">
        <v>1052</v>
      </c>
      <c r="BG375" s="129" t="s">
        <v>1053</v>
      </c>
      <c r="BH375" s="30" t="s">
        <v>1054</v>
      </c>
      <c r="BI375" s="30" t="str">
        <f t="shared" si="212"/>
        <v>COF(Assy_FT)</v>
      </c>
      <c r="BJ375" s="30" t="s">
        <v>250</v>
      </c>
      <c r="BK375" s="56">
        <f t="shared" si="224"/>
        <v>4885385.22</v>
      </c>
      <c r="BL375" s="57">
        <f t="shared" si="241"/>
        <v>152668.28812499999</v>
      </c>
      <c r="BM375" s="57">
        <f t="shared" si="242"/>
        <v>50889.429375</v>
      </c>
      <c r="BN375" s="113"/>
      <c r="BO375" s="113"/>
      <c r="BU375" s="58">
        <f>BM375*3</f>
        <v>152668.28812499999</v>
      </c>
      <c r="BV375" s="58">
        <f t="shared" si="243"/>
        <v>152668.28812499999</v>
      </c>
      <c r="BW375" s="58">
        <f t="shared" si="248"/>
        <v>305336.57624999998</v>
      </c>
      <c r="BX375" s="58">
        <f t="shared" si="244"/>
        <v>152668.28812499999</v>
      </c>
      <c r="BY375" s="58">
        <f t="shared" si="245"/>
        <v>152668.28812499999</v>
      </c>
      <c r="BZ375" s="58">
        <f t="shared" ref="BZ375:BZ383" si="252">BM375*3</f>
        <v>152668.28812499999</v>
      </c>
      <c r="CA375" s="58">
        <f t="shared" si="245"/>
        <v>152668.28812499999</v>
      </c>
      <c r="CB375" s="58">
        <f t="shared" si="216"/>
        <v>610673.15249999997</v>
      </c>
      <c r="CC375" s="58">
        <f t="shared" si="217"/>
        <v>152668.28812499999</v>
      </c>
      <c r="CD375" s="58">
        <f t="shared" si="249"/>
        <v>152668.28812499999</v>
      </c>
      <c r="CE375" s="58">
        <f t="shared" si="249"/>
        <v>152668.28812499999</v>
      </c>
      <c r="CF375" s="58">
        <f t="shared" si="249"/>
        <v>152668.28812499999</v>
      </c>
      <c r="CG375" s="58">
        <f t="shared" si="219"/>
        <v>610673.15249999997</v>
      </c>
      <c r="CH375" s="58">
        <f t="shared" si="211"/>
        <v>152668.28812499999</v>
      </c>
      <c r="CI375" s="58">
        <f t="shared" si="240"/>
        <v>152668.28812499999</v>
      </c>
      <c r="CJ375" s="58">
        <f t="shared" si="240"/>
        <v>152668.28812499999</v>
      </c>
      <c r="CK375" s="58">
        <f t="shared" si="240"/>
        <v>152668.28812499999</v>
      </c>
      <c r="CL375" s="58">
        <f t="shared" si="221"/>
        <v>610673.15249999997</v>
      </c>
      <c r="CP375" s="2">
        <f t="shared" si="214"/>
        <v>4885385.22</v>
      </c>
    </row>
    <row r="376" spans="1:94" hidden="1" x14ac:dyDescent="0.3">
      <c r="A376" s="29">
        <v>371</v>
      </c>
      <c r="B376" s="30" t="s">
        <v>21</v>
      </c>
      <c r="C376" s="30"/>
      <c r="D376" s="30" t="s">
        <v>1041</v>
      </c>
      <c r="E376" s="30" t="s">
        <v>1042</v>
      </c>
      <c r="F376" s="30" t="s">
        <v>1043</v>
      </c>
      <c r="G376" s="30" t="s">
        <v>117</v>
      </c>
      <c r="H376" s="30" t="s">
        <v>118</v>
      </c>
      <c r="I376" s="30" t="s">
        <v>119</v>
      </c>
      <c r="J376" s="30" t="s">
        <v>1044</v>
      </c>
      <c r="K376" s="30" t="s">
        <v>1044</v>
      </c>
      <c r="L376" s="30" t="s">
        <v>1255</v>
      </c>
      <c r="M376" s="30">
        <v>1003563</v>
      </c>
      <c r="N376" s="30" t="s">
        <v>138</v>
      </c>
      <c r="O376" s="30" t="s">
        <v>1372</v>
      </c>
      <c r="P376" s="30" t="s">
        <v>768</v>
      </c>
      <c r="Q376" s="30" t="s">
        <v>769</v>
      </c>
      <c r="R376" s="30"/>
      <c r="S376" s="30" t="s">
        <v>1373</v>
      </c>
      <c r="T376" s="30"/>
      <c r="U376" s="30" t="s">
        <v>588</v>
      </c>
      <c r="V376" s="30" t="s">
        <v>415</v>
      </c>
      <c r="W376" s="30" t="s">
        <v>1048</v>
      </c>
      <c r="X376" s="30"/>
      <c r="Y376" s="30" t="s">
        <v>128</v>
      </c>
      <c r="Z376" s="30" t="s">
        <v>128</v>
      </c>
      <c r="AA376" s="48" t="s">
        <v>148</v>
      </c>
      <c r="AB376" s="30" t="s">
        <v>773</v>
      </c>
      <c r="AC376" s="30" t="s">
        <v>773</v>
      </c>
      <c r="AD376" s="30"/>
      <c r="AE376" s="30"/>
      <c r="AF376" s="48" t="s">
        <v>604</v>
      </c>
      <c r="AG376" s="30" t="s">
        <v>774</v>
      </c>
      <c r="AH376" s="48" t="s">
        <v>775</v>
      </c>
      <c r="AI376" s="30"/>
      <c r="AJ376" s="50">
        <v>41156</v>
      </c>
      <c r="AK376" s="50">
        <v>41156</v>
      </c>
      <c r="AL376" s="51">
        <f t="shared" si="223"/>
        <v>13.164383561643836</v>
      </c>
      <c r="AM376" s="30">
        <v>8</v>
      </c>
      <c r="AN376" s="30" t="s">
        <v>1057</v>
      </c>
      <c r="AO376" s="30" t="s">
        <v>1050</v>
      </c>
      <c r="AP376" s="30" t="s">
        <v>1051</v>
      </c>
      <c r="AQ376" s="30">
        <v>3</v>
      </c>
      <c r="AR376" s="30">
        <v>1150</v>
      </c>
      <c r="AS376" s="30">
        <v>1200</v>
      </c>
      <c r="AT376" s="30">
        <v>2100</v>
      </c>
      <c r="AU376" s="74">
        <v>244269263</v>
      </c>
      <c r="AV376" s="54"/>
      <c r="AW376" s="54"/>
      <c r="AX376" s="54"/>
      <c r="AY376" s="54">
        <v>244268263</v>
      </c>
      <c r="AZ376" s="54" t="s">
        <v>1219</v>
      </c>
      <c r="BA376" s="74">
        <v>1000</v>
      </c>
      <c r="BB376" s="55">
        <f>VLOOKUP(M376,[1]Sheet1!$E$6:$F$556,2,FALSE)</f>
        <v>1000</v>
      </c>
      <c r="BC376" s="74"/>
      <c r="BD376" s="74"/>
      <c r="BE376" s="30"/>
      <c r="BF376" s="30" t="s">
        <v>1052</v>
      </c>
      <c r="BG376" s="30" t="s">
        <v>1053</v>
      </c>
      <c r="BH376" s="30" t="s">
        <v>1054</v>
      </c>
      <c r="BI376" s="30" t="str">
        <f t="shared" si="212"/>
        <v>COF(Assy_FT)</v>
      </c>
      <c r="BJ376" s="30" t="s">
        <v>250</v>
      </c>
      <c r="BK376" s="56">
        <f t="shared" si="224"/>
        <v>4885385.26</v>
      </c>
      <c r="BL376" s="57">
        <f t="shared" si="241"/>
        <v>152668.28937499999</v>
      </c>
      <c r="BM376" s="57">
        <f t="shared" si="242"/>
        <v>50889.429791666662</v>
      </c>
      <c r="BU376" s="58">
        <f>BM376*3</f>
        <v>152668.28937499999</v>
      </c>
      <c r="BV376" s="58">
        <f t="shared" si="243"/>
        <v>152668.28937499999</v>
      </c>
      <c r="BW376" s="58">
        <f t="shared" si="248"/>
        <v>305336.57874999999</v>
      </c>
      <c r="BX376" s="58">
        <f t="shared" si="244"/>
        <v>152668.28937499999</v>
      </c>
      <c r="BY376" s="58">
        <f t="shared" si="245"/>
        <v>152668.28937499999</v>
      </c>
      <c r="BZ376" s="58">
        <f t="shared" si="252"/>
        <v>152668.28937499999</v>
      </c>
      <c r="CA376" s="58">
        <f t="shared" si="245"/>
        <v>152668.28937499999</v>
      </c>
      <c r="CB376" s="58">
        <f t="shared" si="216"/>
        <v>610673.15749999997</v>
      </c>
      <c r="CC376" s="58">
        <f t="shared" si="217"/>
        <v>152668.28937499999</v>
      </c>
      <c r="CD376" s="58">
        <f t="shared" si="249"/>
        <v>152668.28937499999</v>
      </c>
      <c r="CE376" s="58">
        <f t="shared" si="249"/>
        <v>152668.28937499999</v>
      </c>
      <c r="CF376" s="58">
        <f t="shared" si="249"/>
        <v>152668.28937499999</v>
      </c>
      <c r="CG376" s="58">
        <f t="shared" si="219"/>
        <v>610673.15749999997</v>
      </c>
      <c r="CH376" s="58">
        <f t="shared" si="211"/>
        <v>152668.28937499999</v>
      </c>
      <c r="CI376" s="58">
        <f t="shared" si="240"/>
        <v>152668.28937499999</v>
      </c>
      <c r="CJ376" s="58">
        <f t="shared" si="240"/>
        <v>152668.28937499999</v>
      </c>
      <c r="CK376" s="58">
        <f t="shared" si="240"/>
        <v>152668.28937499999</v>
      </c>
      <c r="CL376" s="58">
        <f t="shared" si="221"/>
        <v>610673.15749999997</v>
      </c>
      <c r="CP376" s="2">
        <f t="shared" si="214"/>
        <v>4885385.26</v>
      </c>
    </row>
    <row r="377" spans="1:94" hidden="1" x14ac:dyDescent="0.3">
      <c r="A377" s="29">
        <v>372</v>
      </c>
      <c r="B377" s="30" t="s">
        <v>21</v>
      </c>
      <c r="C377" s="30"/>
      <c r="D377" s="30" t="s">
        <v>1041</v>
      </c>
      <c r="E377" s="30" t="s">
        <v>1042</v>
      </c>
      <c r="F377" s="30" t="s">
        <v>1043</v>
      </c>
      <c r="G377" s="30" t="s">
        <v>117</v>
      </c>
      <c r="H377" s="30" t="s">
        <v>118</v>
      </c>
      <c r="I377" s="30" t="s">
        <v>119</v>
      </c>
      <c r="J377" s="30" t="s">
        <v>1044</v>
      </c>
      <c r="K377" s="30" t="s">
        <v>1044</v>
      </c>
      <c r="L377" s="30" t="s">
        <v>1255</v>
      </c>
      <c r="M377" s="30">
        <v>1003564</v>
      </c>
      <c r="N377" s="30" t="s">
        <v>138</v>
      </c>
      <c r="O377" s="30" t="s">
        <v>1374</v>
      </c>
      <c r="P377" s="30" t="s">
        <v>768</v>
      </c>
      <c r="Q377" s="30" t="s">
        <v>769</v>
      </c>
      <c r="R377" s="30"/>
      <c r="S377" s="30" t="s">
        <v>1375</v>
      </c>
      <c r="T377" s="30"/>
      <c r="U377" s="30" t="s">
        <v>588</v>
      </c>
      <c r="V377" s="30" t="s">
        <v>415</v>
      </c>
      <c r="W377" s="30" t="s">
        <v>1048</v>
      </c>
      <c r="X377" s="30"/>
      <c r="Y377" s="30" t="s">
        <v>128</v>
      </c>
      <c r="Z377" s="30" t="s">
        <v>128</v>
      </c>
      <c r="AA377" s="48" t="s">
        <v>148</v>
      </c>
      <c r="AB377" s="30" t="s">
        <v>773</v>
      </c>
      <c r="AC377" s="30" t="s">
        <v>773</v>
      </c>
      <c r="AD377" s="30"/>
      <c r="AE377" s="30"/>
      <c r="AF377" s="48" t="s">
        <v>604</v>
      </c>
      <c r="AG377" s="30" t="s">
        <v>774</v>
      </c>
      <c r="AH377" s="48" t="s">
        <v>775</v>
      </c>
      <c r="AI377" s="30"/>
      <c r="AJ377" s="50">
        <v>41156</v>
      </c>
      <c r="AK377" s="50">
        <v>41156</v>
      </c>
      <c r="AL377" s="51">
        <f t="shared" si="223"/>
        <v>13.164383561643836</v>
      </c>
      <c r="AM377" s="30">
        <v>8</v>
      </c>
      <c r="AN377" s="30" t="s">
        <v>1057</v>
      </c>
      <c r="AO377" s="30" t="s">
        <v>1050</v>
      </c>
      <c r="AP377" s="30" t="s">
        <v>1051</v>
      </c>
      <c r="AQ377" s="30">
        <v>3</v>
      </c>
      <c r="AR377" s="30">
        <v>1150</v>
      </c>
      <c r="AS377" s="30">
        <v>1200</v>
      </c>
      <c r="AT377" s="30">
        <v>2100</v>
      </c>
      <c r="AU377" s="74">
        <v>244269267</v>
      </c>
      <c r="AV377" s="54"/>
      <c r="AW377" s="54"/>
      <c r="AX377" s="54"/>
      <c r="AY377" s="54">
        <v>244268267</v>
      </c>
      <c r="AZ377" s="54">
        <v>0</v>
      </c>
      <c r="BA377" s="74">
        <v>1000</v>
      </c>
      <c r="BB377" s="55">
        <f>VLOOKUP(M377,[1]Sheet1!$E$6:$F$556,2,FALSE)</f>
        <v>1000</v>
      </c>
      <c r="BC377" s="74"/>
      <c r="BD377" s="74"/>
      <c r="BE377" s="30"/>
      <c r="BF377" s="30" t="s">
        <v>1052</v>
      </c>
      <c r="BG377" s="30" t="s">
        <v>1053</v>
      </c>
      <c r="BH377" s="30" t="s">
        <v>1054</v>
      </c>
      <c r="BI377" s="30" t="str">
        <f t="shared" si="212"/>
        <v>COF(Assy_FT)</v>
      </c>
      <c r="BJ377" s="30" t="s">
        <v>250</v>
      </c>
      <c r="BK377" s="56">
        <f t="shared" si="224"/>
        <v>4885385.34</v>
      </c>
      <c r="BL377" s="57">
        <f t="shared" si="241"/>
        <v>152668.291875</v>
      </c>
      <c r="BM377" s="57">
        <f t="shared" si="242"/>
        <v>50889.430625000001</v>
      </c>
      <c r="BU377" s="58">
        <f>BM377*3</f>
        <v>152668.291875</v>
      </c>
      <c r="BV377" s="58">
        <f t="shared" si="243"/>
        <v>152668.291875</v>
      </c>
      <c r="BW377" s="58">
        <f t="shared" si="248"/>
        <v>305336.58374999999</v>
      </c>
      <c r="BX377" s="58">
        <f t="shared" si="244"/>
        <v>152668.291875</v>
      </c>
      <c r="BY377" s="58">
        <f t="shared" si="245"/>
        <v>152668.291875</v>
      </c>
      <c r="BZ377" s="58">
        <f t="shared" si="252"/>
        <v>152668.291875</v>
      </c>
      <c r="CA377" s="58">
        <f t="shared" si="245"/>
        <v>152668.291875</v>
      </c>
      <c r="CB377" s="58">
        <f t="shared" si="216"/>
        <v>610673.16749999998</v>
      </c>
      <c r="CC377" s="58">
        <f t="shared" si="217"/>
        <v>152668.291875</v>
      </c>
      <c r="CD377" s="58">
        <f t="shared" si="249"/>
        <v>152668.291875</v>
      </c>
      <c r="CE377" s="58">
        <f t="shared" si="249"/>
        <v>152668.291875</v>
      </c>
      <c r="CF377" s="58">
        <f t="shared" si="249"/>
        <v>152668.291875</v>
      </c>
      <c r="CG377" s="58">
        <f t="shared" si="219"/>
        <v>610673.16749999998</v>
      </c>
      <c r="CH377" s="58">
        <f t="shared" si="211"/>
        <v>152668.291875</v>
      </c>
      <c r="CI377" s="58">
        <f t="shared" ref="CI377:CK378" si="253">CH377</f>
        <v>152668.291875</v>
      </c>
      <c r="CJ377" s="58">
        <f t="shared" si="253"/>
        <v>152668.291875</v>
      </c>
      <c r="CK377" s="58">
        <f t="shared" si="253"/>
        <v>152668.291875</v>
      </c>
      <c r="CL377" s="58">
        <f t="shared" si="221"/>
        <v>610673.16749999998</v>
      </c>
      <c r="CP377" s="2">
        <f t="shared" si="214"/>
        <v>4885385.34</v>
      </c>
    </row>
    <row r="378" spans="1:94" s="113" customFormat="1" ht="15" hidden="1" x14ac:dyDescent="0.3">
      <c r="A378" s="29">
        <v>373</v>
      </c>
      <c r="B378" s="30" t="s">
        <v>21</v>
      </c>
      <c r="C378" s="30"/>
      <c r="D378" s="30" t="s">
        <v>1041</v>
      </c>
      <c r="E378" s="30" t="s">
        <v>1042</v>
      </c>
      <c r="F378" s="30" t="s">
        <v>1043</v>
      </c>
      <c r="G378" s="30" t="s">
        <v>117</v>
      </c>
      <c r="H378" s="30" t="s">
        <v>926</v>
      </c>
      <c r="I378" s="30" t="s">
        <v>119</v>
      </c>
      <c r="J378" s="30" t="s">
        <v>1044</v>
      </c>
      <c r="K378" s="30" t="s">
        <v>1044</v>
      </c>
      <c r="L378" s="30" t="s">
        <v>1255</v>
      </c>
      <c r="M378" s="30">
        <v>1003565</v>
      </c>
      <c r="N378" s="30" t="s">
        <v>138</v>
      </c>
      <c r="O378" s="30" t="s">
        <v>1376</v>
      </c>
      <c r="P378" s="30" t="s">
        <v>1377</v>
      </c>
      <c r="Q378" s="30" t="str">
        <f>P378</f>
        <v>PRCⅡ-2000ACD</v>
      </c>
      <c r="R378" s="30"/>
      <c r="S378" s="30"/>
      <c r="T378" s="30"/>
      <c r="U378" s="30" t="s">
        <v>588</v>
      </c>
      <c r="V378" s="30" t="s">
        <v>415</v>
      </c>
      <c r="W378" s="30" t="s">
        <v>1378</v>
      </c>
      <c r="X378" s="30"/>
      <c r="Y378" s="30" t="s">
        <v>128</v>
      </c>
      <c r="Z378" s="30" t="s">
        <v>128</v>
      </c>
      <c r="AA378" s="138" t="s">
        <v>1310</v>
      </c>
      <c r="AB378" s="30" t="s">
        <v>1379</v>
      </c>
      <c r="AC378" s="30"/>
      <c r="AD378" s="30"/>
      <c r="AE378" s="30"/>
      <c r="AF378" s="30" t="s">
        <v>131</v>
      </c>
      <c r="AG378" s="30" t="s">
        <v>1347</v>
      </c>
      <c r="AH378" s="30"/>
      <c r="AI378" s="30"/>
      <c r="AJ378" s="50">
        <v>41155</v>
      </c>
      <c r="AK378" s="50">
        <v>41155</v>
      </c>
      <c r="AL378" s="51">
        <f t="shared" si="223"/>
        <v>13.167123287671233</v>
      </c>
      <c r="AM378" s="30">
        <v>8</v>
      </c>
      <c r="AN378" s="30" t="s">
        <v>1057</v>
      </c>
      <c r="AO378" s="30" t="s">
        <v>1050</v>
      </c>
      <c r="AP378" s="30" t="s">
        <v>1051</v>
      </c>
      <c r="AQ378" s="30">
        <v>3</v>
      </c>
      <c r="AR378" s="30">
        <v>520</v>
      </c>
      <c r="AS378" s="30">
        <v>400</v>
      </c>
      <c r="AT378" s="30">
        <v>1150</v>
      </c>
      <c r="AU378" s="74">
        <v>30559022</v>
      </c>
      <c r="AV378" s="54"/>
      <c r="AW378" s="54"/>
      <c r="AX378" s="54"/>
      <c r="AY378" s="54">
        <v>30558022</v>
      </c>
      <c r="AZ378" s="54">
        <v>0</v>
      </c>
      <c r="BA378" s="74">
        <v>1000</v>
      </c>
      <c r="BB378" s="55">
        <f>VLOOKUP(M378,[1]Sheet1!$E$6:$F$556,2,FALSE)</f>
        <v>1000</v>
      </c>
      <c r="BC378" s="74"/>
      <c r="BD378" s="74"/>
      <c r="BE378" s="30"/>
      <c r="BF378" s="30" t="s">
        <v>1052</v>
      </c>
      <c r="BG378" s="30" t="s">
        <v>1053</v>
      </c>
      <c r="BH378" s="30" t="s">
        <v>1054</v>
      </c>
      <c r="BI378" s="30" t="str">
        <f t="shared" si="212"/>
        <v>COF(Assy_FT)</v>
      </c>
      <c r="BJ378" s="30" t="s">
        <v>250</v>
      </c>
      <c r="BK378" s="56">
        <f t="shared" si="224"/>
        <v>611180.44000000006</v>
      </c>
      <c r="BL378" s="57">
        <f t="shared" si="241"/>
        <v>19099.388750000002</v>
      </c>
      <c r="BM378" s="57">
        <f t="shared" si="242"/>
        <v>6366.4629166666673</v>
      </c>
      <c r="BN378" s="2"/>
      <c r="BO378" s="2"/>
      <c r="BP378" s="15"/>
      <c r="BQ378" s="15"/>
      <c r="BR378" s="15"/>
      <c r="BS378" s="15"/>
      <c r="BT378" s="15"/>
      <c r="BU378" s="58">
        <f>BM378*3</f>
        <v>19099.388750000002</v>
      </c>
      <c r="BV378" s="58">
        <f t="shared" si="243"/>
        <v>19099.388750000002</v>
      </c>
      <c r="BW378" s="58">
        <f t="shared" si="248"/>
        <v>38198.777500000004</v>
      </c>
      <c r="BX378" s="58">
        <f t="shared" si="244"/>
        <v>19099.388750000002</v>
      </c>
      <c r="BY378" s="58">
        <f t="shared" si="245"/>
        <v>19099.388750000002</v>
      </c>
      <c r="BZ378" s="58">
        <f t="shared" si="252"/>
        <v>19099.388750000002</v>
      </c>
      <c r="CA378" s="58">
        <f t="shared" si="245"/>
        <v>19099.388750000002</v>
      </c>
      <c r="CB378" s="58">
        <f t="shared" si="216"/>
        <v>76397.555000000008</v>
      </c>
      <c r="CC378" s="58">
        <f t="shared" si="217"/>
        <v>19099.388750000002</v>
      </c>
      <c r="CD378" s="58">
        <f t="shared" si="249"/>
        <v>19099.388750000002</v>
      </c>
      <c r="CE378" s="58">
        <f t="shared" si="249"/>
        <v>19099.388750000002</v>
      </c>
      <c r="CF378" s="58">
        <f t="shared" si="249"/>
        <v>19099.388750000002</v>
      </c>
      <c r="CG378" s="58">
        <f t="shared" si="219"/>
        <v>76397.555000000008</v>
      </c>
      <c r="CH378" s="58">
        <f t="shared" si="211"/>
        <v>19099.388750000002</v>
      </c>
      <c r="CI378" s="58">
        <f t="shared" si="253"/>
        <v>19099.388750000002</v>
      </c>
      <c r="CJ378" s="58">
        <f t="shared" si="253"/>
        <v>19099.388750000002</v>
      </c>
      <c r="CK378" s="58">
        <f t="shared" si="253"/>
        <v>19099.388750000002</v>
      </c>
      <c r="CL378" s="58">
        <f t="shared" si="221"/>
        <v>76397.555000000008</v>
      </c>
      <c r="CO378" s="141"/>
      <c r="CP378" s="113">
        <f t="shared" si="214"/>
        <v>611180.44000000006</v>
      </c>
    </row>
    <row r="379" spans="1:94" ht="16.5" hidden="1" x14ac:dyDescent="0.3">
      <c r="A379" s="2">
        <v>374</v>
      </c>
      <c r="B379" s="47" t="s">
        <v>21</v>
      </c>
      <c r="C379" s="47"/>
      <c r="D379" s="30" t="s">
        <v>1041</v>
      </c>
      <c r="E379" s="30" t="s">
        <v>1042</v>
      </c>
      <c r="F379" s="30" t="s">
        <v>1043</v>
      </c>
      <c r="G379" s="30" t="s">
        <v>117</v>
      </c>
      <c r="H379" s="30" t="s">
        <v>385</v>
      </c>
      <c r="I379" s="30" t="s">
        <v>119</v>
      </c>
      <c r="J379" s="30" t="s">
        <v>556</v>
      </c>
      <c r="K379" s="30" t="s">
        <v>913</v>
      </c>
      <c r="L379" s="48" t="s">
        <v>595</v>
      </c>
      <c r="M379" s="30">
        <v>1003719</v>
      </c>
      <c r="N379" s="30" t="s">
        <v>138</v>
      </c>
      <c r="O379" s="30" t="s">
        <v>1380</v>
      </c>
      <c r="P379" s="30" t="s">
        <v>1381</v>
      </c>
      <c r="Q379" s="30" t="s">
        <v>1382</v>
      </c>
      <c r="R379" s="30"/>
      <c r="S379" s="30" t="s">
        <v>1383</v>
      </c>
      <c r="T379" s="30"/>
      <c r="U379" s="30" t="s">
        <v>144</v>
      </c>
      <c r="V379" s="30" t="s">
        <v>415</v>
      </c>
      <c r="W379" s="30" t="s">
        <v>1384</v>
      </c>
      <c r="X379" s="30" t="s">
        <v>127</v>
      </c>
      <c r="Y379" s="30" t="s">
        <v>147</v>
      </c>
      <c r="Z379" s="30" t="s">
        <v>147</v>
      </c>
      <c r="AA379" s="48" t="s">
        <v>148</v>
      </c>
      <c r="AB379" s="48" t="s">
        <v>603</v>
      </c>
      <c r="AC379" s="48" t="s">
        <v>603</v>
      </c>
      <c r="AD379" s="48" t="s">
        <v>566</v>
      </c>
      <c r="AE379" s="30"/>
      <c r="AF379" s="48" t="s">
        <v>604</v>
      </c>
      <c r="AG379" s="48" t="s">
        <v>440</v>
      </c>
      <c r="AH379" s="48" t="s">
        <v>732</v>
      </c>
      <c r="AI379" s="30"/>
      <c r="AJ379" s="50">
        <v>41425</v>
      </c>
      <c r="AK379" s="50">
        <v>41425</v>
      </c>
      <c r="AL379" s="51">
        <f t="shared" si="223"/>
        <v>12.427397260273972</v>
      </c>
      <c r="AM379" s="30">
        <v>8</v>
      </c>
      <c r="AN379" s="30" t="s">
        <v>1057</v>
      </c>
      <c r="AO379" s="30" t="s">
        <v>1050</v>
      </c>
      <c r="AP379" s="30" t="s">
        <v>1051</v>
      </c>
      <c r="AQ379" s="30">
        <v>3</v>
      </c>
      <c r="AR379" s="30">
        <v>480</v>
      </c>
      <c r="AS379" s="30">
        <v>780</v>
      </c>
      <c r="AT379" s="30">
        <v>1510</v>
      </c>
      <c r="AU379" s="54">
        <v>517939697</v>
      </c>
      <c r="AV379" s="54"/>
      <c r="AW379" s="54"/>
      <c r="AX379" s="54"/>
      <c r="AY379" s="54">
        <v>517938697</v>
      </c>
      <c r="AZ379" s="54">
        <v>3764385</v>
      </c>
      <c r="BA379" s="54">
        <v>1000</v>
      </c>
      <c r="BB379" s="55">
        <f>VLOOKUP(M379,[1]Sheet1!$E$6:$F$556,2,FALSE)</f>
        <v>1000</v>
      </c>
      <c r="BC379" s="74"/>
      <c r="BD379" s="74"/>
      <c r="BE379" s="30" t="s">
        <v>1385</v>
      </c>
      <c r="BF379" s="30" t="s">
        <v>1386</v>
      </c>
      <c r="BG379" s="30" t="s">
        <v>1387</v>
      </c>
      <c r="BH379" s="30" t="s">
        <v>569</v>
      </c>
      <c r="BI379" s="30" t="str">
        <f t="shared" si="212"/>
        <v>Bump</v>
      </c>
      <c r="BJ379" s="47" t="s">
        <v>137</v>
      </c>
      <c r="BK379" s="56">
        <f t="shared" si="224"/>
        <v>10358793.939999999</v>
      </c>
      <c r="BL379" s="57">
        <f t="shared" si="241"/>
        <v>987490.54488214338</v>
      </c>
      <c r="BM379" s="57">
        <f t="shared" si="242"/>
        <v>329163.51496071444</v>
      </c>
      <c r="BU379" s="58">
        <f>BM379*3</f>
        <v>987490.54488214338</v>
      </c>
      <c r="BV379" s="58">
        <f>BU379</f>
        <v>987490.54488214338</v>
      </c>
      <c r="BW379" s="58">
        <f t="shared" si="248"/>
        <v>1974981.0897642868</v>
      </c>
      <c r="BX379" s="58">
        <f t="shared" si="244"/>
        <v>987490.54488214338</v>
      </c>
      <c r="BY379" s="58">
        <f t="shared" si="245"/>
        <v>987490.54488214338</v>
      </c>
      <c r="BZ379" s="58">
        <f t="shared" si="252"/>
        <v>987490.54488214338</v>
      </c>
      <c r="CA379" s="58">
        <f t="shared" si="245"/>
        <v>987490.54488214338</v>
      </c>
      <c r="CB379" s="58">
        <f t="shared" si="216"/>
        <v>3949962.1795285735</v>
      </c>
      <c r="CC379" s="58">
        <f t="shared" si="217"/>
        <v>987490.54488214338</v>
      </c>
      <c r="CD379" s="58">
        <f t="shared" si="249"/>
        <v>987490.54488214338</v>
      </c>
      <c r="CE379" s="58">
        <f t="shared" si="249"/>
        <v>987490.54488214338</v>
      </c>
      <c r="CF379" s="58">
        <f t="shared" si="249"/>
        <v>987490.54488214338</v>
      </c>
      <c r="CG379" s="58">
        <f t="shared" si="219"/>
        <v>3949962.1795285735</v>
      </c>
      <c r="CH379" s="58">
        <f t="shared" si="211"/>
        <v>987490.54488214338</v>
      </c>
      <c r="CI379" s="58">
        <f>CH379</f>
        <v>987490.54488214338</v>
      </c>
      <c r="CJ379" s="58">
        <f>CI379</f>
        <v>987490.54488214338</v>
      </c>
      <c r="CK379" s="58">
        <f>CJ379</f>
        <v>987490.54488214338</v>
      </c>
      <c r="CL379" s="58">
        <f t="shared" si="221"/>
        <v>3949962.1795285735</v>
      </c>
      <c r="CN379" s="59">
        <f t="shared" ref="CN379:CN380" si="254">BK379/$CN$3</f>
        <v>1.0114715950585043E-3</v>
      </c>
      <c r="CO379" s="64">
        <f t="shared" ref="CO379:CO380" si="255">CN379*$CO$4</f>
        <v>21240903.496228591</v>
      </c>
      <c r="CP379" s="2">
        <f t="shared" si="214"/>
        <v>31599697.436228588</v>
      </c>
    </row>
    <row r="380" spans="1:94" s="113" customFormat="1" ht="16.5" hidden="1" x14ac:dyDescent="0.3">
      <c r="A380" s="2">
        <v>375</v>
      </c>
      <c r="B380" s="47" t="s">
        <v>21</v>
      </c>
      <c r="C380" s="139" t="s">
        <v>1327</v>
      </c>
      <c r="D380" s="129" t="s">
        <v>1328</v>
      </c>
      <c r="E380" s="129" t="s">
        <v>1329</v>
      </c>
      <c r="F380" s="129" t="s">
        <v>1043</v>
      </c>
      <c r="G380" s="129" t="s">
        <v>117</v>
      </c>
      <c r="H380" s="129" t="s">
        <v>926</v>
      </c>
      <c r="I380" s="129" t="s">
        <v>119</v>
      </c>
      <c r="J380" s="129" t="s">
        <v>1044</v>
      </c>
      <c r="K380" s="129" t="s">
        <v>1044</v>
      </c>
      <c r="L380" s="129" t="s">
        <v>1255</v>
      </c>
      <c r="M380" s="129">
        <v>1003843</v>
      </c>
      <c r="N380" s="129" t="s">
        <v>138</v>
      </c>
      <c r="O380" s="129" t="s">
        <v>1388</v>
      </c>
      <c r="P380" s="129" t="s">
        <v>1368</v>
      </c>
      <c r="Q380" s="129" t="s">
        <v>769</v>
      </c>
      <c r="R380" s="129"/>
      <c r="S380" s="129" t="s">
        <v>1389</v>
      </c>
      <c r="T380" s="129"/>
      <c r="U380" s="129" t="s">
        <v>1332</v>
      </c>
      <c r="V380" s="129" t="s">
        <v>1333</v>
      </c>
      <c r="W380" s="129" t="s">
        <v>1048</v>
      </c>
      <c r="X380" s="30" t="s">
        <v>147</v>
      </c>
      <c r="Y380" s="125" t="s">
        <v>457</v>
      </c>
      <c r="Z380" s="125" t="s">
        <v>457</v>
      </c>
      <c r="AA380" s="48" t="s">
        <v>148</v>
      </c>
      <c r="AB380" s="30" t="s">
        <v>773</v>
      </c>
      <c r="AC380" s="30" t="s">
        <v>773</v>
      </c>
      <c r="AD380" s="30"/>
      <c r="AE380" s="30"/>
      <c r="AF380" s="48" t="s">
        <v>604</v>
      </c>
      <c r="AG380" s="30" t="s">
        <v>774</v>
      </c>
      <c r="AH380" s="48" t="s">
        <v>775</v>
      </c>
      <c r="AI380" s="30"/>
      <c r="AJ380" s="133">
        <v>41425</v>
      </c>
      <c r="AK380" s="133">
        <v>41425</v>
      </c>
      <c r="AL380" s="134">
        <f t="shared" si="223"/>
        <v>12.427397260273972</v>
      </c>
      <c r="AM380" s="129">
        <v>8</v>
      </c>
      <c r="AN380" s="129" t="s">
        <v>1334</v>
      </c>
      <c r="AO380" s="129" t="s">
        <v>1335</v>
      </c>
      <c r="AP380" s="129" t="s">
        <v>1336</v>
      </c>
      <c r="AQ380" s="30">
        <v>3</v>
      </c>
      <c r="AR380" s="30">
        <v>1240</v>
      </c>
      <c r="AS380" s="30">
        <v>1550</v>
      </c>
      <c r="AT380" s="30">
        <v>1960</v>
      </c>
      <c r="AU380" s="140">
        <v>219067752</v>
      </c>
      <c r="AV380" s="54"/>
      <c r="AW380" s="54"/>
      <c r="AX380" s="54"/>
      <c r="AY380" s="54">
        <v>219066752</v>
      </c>
      <c r="AZ380" s="54">
        <v>0</v>
      </c>
      <c r="BA380" s="140">
        <v>1000</v>
      </c>
      <c r="BB380" s="55">
        <f>VLOOKUP(M380,[1]Sheet1!$E$6:$F$556,2,FALSE)</f>
        <v>1000</v>
      </c>
      <c r="BC380" s="74"/>
      <c r="BD380" s="74"/>
      <c r="BE380" s="30"/>
      <c r="BF380" s="30" t="s">
        <v>1052</v>
      </c>
      <c r="BG380" s="129" t="s">
        <v>1053</v>
      </c>
      <c r="BH380" s="30" t="s">
        <v>1054</v>
      </c>
      <c r="BI380" s="30" t="str">
        <f t="shared" si="212"/>
        <v>COF(Assy_FT)</v>
      </c>
      <c r="BJ380" s="47" t="s">
        <v>137</v>
      </c>
      <c r="BK380" s="67">
        <f t="shared" si="224"/>
        <v>4381355.04</v>
      </c>
      <c r="BL380" s="68">
        <f t="shared" si="241"/>
        <v>417668.95845518913</v>
      </c>
      <c r="BM380" s="68">
        <f t="shared" si="242"/>
        <v>139222.98615172971</v>
      </c>
      <c r="BP380" s="69">
        <f>BM380*3</f>
        <v>417668.95845518913</v>
      </c>
      <c r="BQ380" s="69">
        <f>BP380</f>
        <v>417668.95845518913</v>
      </c>
      <c r="BR380" s="69">
        <f>SUM(BN380:BQ380)</f>
        <v>835337.91691037826</v>
      </c>
      <c r="BS380" s="69">
        <f>BQ380</f>
        <v>417668.95845518913</v>
      </c>
      <c r="BT380" s="69">
        <f t="shared" ref="BT380:BV394" si="256">BS380</f>
        <v>417668.95845518913</v>
      </c>
      <c r="BU380" s="100">
        <f t="shared" si="256"/>
        <v>417668.95845518913</v>
      </c>
      <c r="BV380" s="100">
        <f t="shared" si="256"/>
        <v>417668.95845518913</v>
      </c>
      <c r="BW380" s="100">
        <f t="shared" si="248"/>
        <v>1670675.8338207565</v>
      </c>
      <c r="BX380" s="101">
        <f t="shared" si="244"/>
        <v>417668.95845518913</v>
      </c>
      <c r="BY380" s="101">
        <f t="shared" si="245"/>
        <v>417668.95845518913</v>
      </c>
      <c r="BZ380" s="18">
        <f t="shared" si="252"/>
        <v>417668.95845518913</v>
      </c>
      <c r="CA380" s="18">
        <f t="shared" si="245"/>
        <v>417668.95845518913</v>
      </c>
      <c r="CB380" s="70">
        <f t="shared" si="216"/>
        <v>1670675.8338207565</v>
      </c>
      <c r="CC380" s="18">
        <f t="shared" si="217"/>
        <v>417668.95845518913</v>
      </c>
      <c r="CD380" s="18">
        <f t="shared" si="249"/>
        <v>417668.95845518913</v>
      </c>
      <c r="CE380" s="18">
        <f t="shared" si="249"/>
        <v>417668.95845518913</v>
      </c>
      <c r="CF380" s="18">
        <f t="shared" si="249"/>
        <v>417668.95845518913</v>
      </c>
      <c r="CG380" s="70">
        <f t="shared" si="219"/>
        <v>1670675.8338207565</v>
      </c>
      <c r="CH380" s="18">
        <f t="shared" si="211"/>
        <v>417668.95845518913</v>
      </c>
      <c r="CI380" s="18">
        <f t="shared" ref="CI380:CK394" si="257">CH380</f>
        <v>417668.95845518913</v>
      </c>
      <c r="CJ380" s="18">
        <f t="shared" si="257"/>
        <v>417668.95845518913</v>
      </c>
      <c r="CK380" s="18">
        <f t="shared" si="257"/>
        <v>417668.95845518913</v>
      </c>
      <c r="CL380" s="70">
        <f t="shared" si="221"/>
        <v>1670675.8338207565</v>
      </c>
      <c r="CM380" s="136"/>
      <c r="CN380" s="114">
        <f t="shared" si="254"/>
        <v>4.278119824079073E-4</v>
      </c>
      <c r="CO380" s="115">
        <f t="shared" si="255"/>
        <v>8984051.6305660531</v>
      </c>
      <c r="CP380" s="113">
        <f t="shared" si="214"/>
        <v>13365406.670566052</v>
      </c>
    </row>
    <row r="381" spans="1:94" hidden="1" x14ac:dyDescent="0.3">
      <c r="A381" s="29">
        <v>376</v>
      </c>
      <c r="B381" s="30" t="s">
        <v>21</v>
      </c>
      <c r="C381" s="30"/>
      <c r="D381" s="30" t="s">
        <v>1041</v>
      </c>
      <c r="E381" s="30" t="s">
        <v>1042</v>
      </c>
      <c r="F381" s="30" t="s">
        <v>1043</v>
      </c>
      <c r="G381" s="30" t="s">
        <v>117</v>
      </c>
      <c r="H381" s="30" t="s">
        <v>385</v>
      </c>
      <c r="I381" s="30" t="s">
        <v>119</v>
      </c>
      <c r="J381" s="30" t="s">
        <v>556</v>
      </c>
      <c r="K381" s="30" t="s">
        <v>913</v>
      </c>
      <c r="L381" s="48" t="s">
        <v>595</v>
      </c>
      <c r="M381" s="30">
        <v>1003902</v>
      </c>
      <c r="N381" s="30" t="s">
        <v>138</v>
      </c>
      <c r="O381" s="30" t="s">
        <v>1390</v>
      </c>
      <c r="P381" s="30" t="s">
        <v>1381</v>
      </c>
      <c r="Q381" s="30" t="s">
        <v>1382</v>
      </c>
      <c r="R381" s="30"/>
      <c r="S381" s="30" t="s">
        <v>1391</v>
      </c>
      <c r="T381" s="30"/>
      <c r="U381" s="30" t="s">
        <v>144</v>
      </c>
      <c r="V381" s="30" t="s">
        <v>415</v>
      </c>
      <c r="W381" s="30" t="s">
        <v>1384</v>
      </c>
      <c r="X381" s="30"/>
      <c r="Y381" s="30" t="s">
        <v>147</v>
      </c>
      <c r="Z381" s="30" t="s">
        <v>147</v>
      </c>
      <c r="AA381" s="48" t="s">
        <v>148</v>
      </c>
      <c r="AB381" s="48" t="s">
        <v>603</v>
      </c>
      <c r="AC381" s="48" t="s">
        <v>603</v>
      </c>
      <c r="AD381" s="48" t="s">
        <v>566</v>
      </c>
      <c r="AE381" s="30"/>
      <c r="AF381" s="48" t="s">
        <v>604</v>
      </c>
      <c r="AG381" s="48" t="s">
        <v>440</v>
      </c>
      <c r="AH381" s="48" t="s">
        <v>732</v>
      </c>
      <c r="AI381" s="30"/>
      <c r="AJ381" s="50">
        <v>41432</v>
      </c>
      <c r="AK381" s="50">
        <v>41432</v>
      </c>
      <c r="AL381" s="51">
        <f t="shared" si="223"/>
        <v>12.408219178082192</v>
      </c>
      <c r="AM381" s="30">
        <v>8</v>
      </c>
      <c r="AN381" s="30" t="s">
        <v>1057</v>
      </c>
      <c r="AO381" s="30" t="s">
        <v>1050</v>
      </c>
      <c r="AP381" s="30" t="s">
        <v>1051</v>
      </c>
      <c r="AQ381" s="30">
        <v>3</v>
      </c>
      <c r="AR381" s="30">
        <v>480</v>
      </c>
      <c r="AS381" s="30">
        <v>780</v>
      </c>
      <c r="AT381" s="30">
        <v>1510</v>
      </c>
      <c r="AU381" s="74">
        <v>483656970</v>
      </c>
      <c r="AV381" s="54"/>
      <c r="AW381" s="54"/>
      <c r="AX381" s="54"/>
      <c r="AY381" s="54">
        <v>483655970</v>
      </c>
      <c r="AZ381" s="54">
        <v>4835721</v>
      </c>
      <c r="BA381" s="74">
        <v>1000</v>
      </c>
      <c r="BB381" s="55">
        <f>VLOOKUP(M381,[1]Sheet1!$E$6:$F$556,2,FALSE)</f>
        <v>1000</v>
      </c>
      <c r="BC381" s="74"/>
      <c r="BD381" s="74"/>
      <c r="BE381" s="30" t="s">
        <v>1385</v>
      </c>
      <c r="BF381" s="30" t="s">
        <v>1386</v>
      </c>
      <c r="BG381" s="30" t="s">
        <v>1387</v>
      </c>
      <c r="BH381" s="30" t="s">
        <v>569</v>
      </c>
      <c r="BI381" s="30" t="str">
        <f t="shared" si="212"/>
        <v>Bump</v>
      </c>
      <c r="BJ381" s="30" t="s">
        <v>250</v>
      </c>
      <c r="BK381" s="56">
        <f t="shared" si="224"/>
        <v>9673139.4000000004</v>
      </c>
      <c r="BL381" s="57">
        <f t="shared" si="241"/>
        <v>302285.60625000001</v>
      </c>
      <c r="BM381" s="57">
        <f t="shared" si="242"/>
        <v>100761.86875000001</v>
      </c>
      <c r="BU381" s="58">
        <f>BM381*3</f>
        <v>302285.60625000001</v>
      </c>
      <c r="BV381" s="58">
        <f t="shared" si="256"/>
        <v>302285.60625000001</v>
      </c>
      <c r="BW381" s="58">
        <f t="shared" si="248"/>
        <v>604571.21250000002</v>
      </c>
      <c r="BX381" s="58">
        <f t="shared" si="244"/>
        <v>302285.60625000001</v>
      </c>
      <c r="BY381" s="58">
        <f t="shared" si="245"/>
        <v>302285.60625000001</v>
      </c>
      <c r="BZ381" s="58">
        <f t="shared" si="252"/>
        <v>302285.60625000001</v>
      </c>
      <c r="CA381" s="58">
        <f t="shared" si="245"/>
        <v>302285.60625000001</v>
      </c>
      <c r="CB381" s="58">
        <f t="shared" si="216"/>
        <v>1209142.425</v>
      </c>
      <c r="CC381" s="58">
        <f t="shared" si="217"/>
        <v>302285.60625000001</v>
      </c>
      <c r="CD381" s="58">
        <f t="shared" si="249"/>
        <v>302285.60625000001</v>
      </c>
      <c r="CE381" s="58">
        <f t="shared" si="249"/>
        <v>302285.60625000001</v>
      </c>
      <c r="CF381" s="58">
        <f t="shared" si="249"/>
        <v>302285.60625000001</v>
      </c>
      <c r="CG381" s="58">
        <f t="shared" si="219"/>
        <v>1209142.425</v>
      </c>
      <c r="CH381" s="58">
        <f t="shared" si="211"/>
        <v>302285.60625000001</v>
      </c>
      <c r="CI381" s="58">
        <f t="shared" si="257"/>
        <v>302285.60625000001</v>
      </c>
      <c r="CJ381" s="58">
        <f t="shared" si="257"/>
        <v>302285.60625000001</v>
      </c>
      <c r="CK381" s="58">
        <f t="shared" si="257"/>
        <v>302285.60625000001</v>
      </c>
      <c r="CL381" s="58">
        <f t="shared" si="221"/>
        <v>1209142.425</v>
      </c>
      <c r="CP381" s="2">
        <f t="shared" si="214"/>
        <v>9673139.4000000004</v>
      </c>
    </row>
    <row r="382" spans="1:94" ht="15" x14ac:dyDescent="0.3">
      <c r="A382" s="29">
        <v>377</v>
      </c>
      <c r="B382" s="30" t="s">
        <v>21</v>
      </c>
      <c r="C382" s="30"/>
      <c r="D382" s="30" t="s">
        <v>1041</v>
      </c>
      <c r="E382" s="30" t="s">
        <v>1042</v>
      </c>
      <c r="F382" s="30" t="s">
        <v>1043</v>
      </c>
      <c r="G382" s="30" t="s">
        <v>117</v>
      </c>
      <c r="H382" s="30" t="s">
        <v>926</v>
      </c>
      <c r="I382" s="30" t="s">
        <v>119</v>
      </c>
      <c r="J382" s="30" t="s">
        <v>1044</v>
      </c>
      <c r="K382" s="30" t="s">
        <v>1044</v>
      </c>
      <c r="L382" s="30" t="s">
        <v>1392</v>
      </c>
      <c r="M382" s="30">
        <v>1003908</v>
      </c>
      <c r="N382" s="30" t="s">
        <v>138</v>
      </c>
      <c r="O382" s="30" t="s">
        <v>1393</v>
      </c>
      <c r="P382" s="30" t="s">
        <v>1394</v>
      </c>
      <c r="Q382" s="30" t="s">
        <v>1395</v>
      </c>
      <c r="R382" s="30"/>
      <c r="S382" s="30" t="s">
        <v>1396</v>
      </c>
      <c r="T382" s="30" t="s">
        <v>1309</v>
      </c>
      <c r="U382" s="30" t="s">
        <v>144</v>
      </c>
      <c r="V382" s="30" t="s">
        <v>589</v>
      </c>
      <c r="W382" s="30" t="s">
        <v>1397</v>
      </c>
      <c r="X382" s="30"/>
      <c r="Y382" s="30" t="s">
        <v>576</v>
      </c>
      <c r="Z382" s="30" t="s">
        <v>576</v>
      </c>
      <c r="AA382" s="138" t="s">
        <v>1310</v>
      </c>
      <c r="AB382" s="130" t="s">
        <v>1398</v>
      </c>
      <c r="AC382" s="130" t="s">
        <v>1398</v>
      </c>
      <c r="AD382" s="30"/>
      <c r="AE382" s="30"/>
      <c r="AF382" s="30" t="s">
        <v>131</v>
      </c>
      <c r="AG382" s="30" t="s">
        <v>1399</v>
      </c>
      <c r="AH382" s="30"/>
      <c r="AI382" s="30"/>
      <c r="AJ382" s="50">
        <v>41429</v>
      </c>
      <c r="AK382" s="50">
        <v>41429</v>
      </c>
      <c r="AL382" s="51">
        <f t="shared" si="223"/>
        <v>12.416438356164383</v>
      </c>
      <c r="AM382" s="30">
        <v>8</v>
      </c>
      <c r="AN382" s="30" t="s">
        <v>1057</v>
      </c>
      <c r="AO382" s="30" t="s">
        <v>1050</v>
      </c>
      <c r="AP382" s="30" t="s">
        <v>1051</v>
      </c>
      <c r="AQ382" s="30">
        <v>3</v>
      </c>
      <c r="AR382" s="30">
        <v>1650</v>
      </c>
      <c r="AS382" s="30">
        <v>1580</v>
      </c>
      <c r="AT382" s="30">
        <v>1440</v>
      </c>
      <c r="AU382" s="74">
        <v>73000000</v>
      </c>
      <c r="AV382" s="54"/>
      <c r="AW382" s="54"/>
      <c r="AX382" s="54"/>
      <c r="AY382" s="54">
        <v>72999000</v>
      </c>
      <c r="AZ382" s="54">
        <v>0</v>
      </c>
      <c r="BA382" s="74">
        <v>1000</v>
      </c>
      <c r="BB382" s="55">
        <f>VLOOKUP(M382,[1]Sheet1!$E$6:$F$556,2,FALSE)</f>
        <v>1000</v>
      </c>
      <c r="BC382" s="74"/>
      <c r="BD382" s="74"/>
      <c r="BE382" s="30"/>
      <c r="BF382" s="30" t="s">
        <v>1052</v>
      </c>
      <c r="BG382" s="30" t="s">
        <v>1053</v>
      </c>
      <c r="BH382" s="30" t="s">
        <v>1054</v>
      </c>
      <c r="BI382" s="30" t="str">
        <f t="shared" si="212"/>
        <v>COF(Assy_FT)</v>
      </c>
      <c r="BJ382" s="30" t="s">
        <v>250</v>
      </c>
      <c r="BK382" s="56">
        <f t="shared" si="224"/>
        <v>1460000</v>
      </c>
      <c r="BL382" s="57">
        <f t="shared" si="241"/>
        <v>45625</v>
      </c>
      <c r="BM382" s="57">
        <f t="shared" si="242"/>
        <v>15208.333333333334</v>
      </c>
      <c r="BU382" s="58">
        <f>BM382*3</f>
        <v>45625</v>
      </c>
      <c r="BV382" s="58">
        <f t="shared" si="256"/>
        <v>45625</v>
      </c>
      <c r="BW382" s="58">
        <f t="shared" si="248"/>
        <v>91250</v>
      </c>
      <c r="BX382" s="58">
        <f t="shared" si="244"/>
        <v>45625</v>
      </c>
      <c r="BY382" s="58">
        <f t="shared" si="245"/>
        <v>45625</v>
      </c>
      <c r="BZ382" s="58">
        <f t="shared" si="252"/>
        <v>45625</v>
      </c>
      <c r="CA382" s="58">
        <f t="shared" si="245"/>
        <v>45625</v>
      </c>
      <c r="CB382" s="58">
        <f t="shared" si="216"/>
        <v>182500</v>
      </c>
      <c r="CC382" s="58">
        <f t="shared" si="217"/>
        <v>45625</v>
      </c>
      <c r="CD382" s="58">
        <f t="shared" si="249"/>
        <v>45625</v>
      </c>
      <c r="CE382" s="58">
        <f t="shared" si="249"/>
        <v>45625</v>
      </c>
      <c r="CF382" s="58">
        <f t="shared" si="249"/>
        <v>45625</v>
      </c>
      <c r="CG382" s="58">
        <f t="shared" si="219"/>
        <v>182500</v>
      </c>
      <c r="CH382" s="58">
        <f t="shared" si="211"/>
        <v>45625</v>
      </c>
      <c r="CI382" s="58">
        <f t="shared" si="257"/>
        <v>45625</v>
      </c>
      <c r="CJ382" s="58">
        <f t="shared" si="257"/>
        <v>45625</v>
      </c>
      <c r="CK382" s="58">
        <f t="shared" si="257"/>
        <v>45625</v>
      </c>
      <c r="CL382" s="58">
        <f t="shared" si="221"/>
        <v>182500</v>
      </c>
      <c r="CP382" s="2">
        <f t="shared" si="214"/>
        <v>1460000</v>
      </c>
    </row>
    <row r="383" spans="1:94" ht="15" hidden="1" x14ac:dyDescent="0.3">
      <c r="A383" s="29">
        <v>378</v>
      </c>
      <c r="B383" s="30" t="s">
        <v>21</v>
      </c>
      <c r="C383" s="30"/>
      <c r="D383" s="30" t="s">
        <v>1041</v>
      </c>
      <c r="E383" s="30" t="s">
        <v>1042</v>
      </c>
      <c r="F383" s="30" t="s">
        <v>1043</v>
      </c>
      <c r="G383" s="30" t="s">
        <v>117</v>
      </c>
      <c r="H383" s="30" t="s">
        <v>926</v>
      </c>
      <c r="I383" s="30" t="s">
        <v>119</v>
      </c>
      <c r="J383" s="30" t="s">
        <v>1044</v>
      </c>
      <c r="K383" s="30" t="s">
        <v>1044</v>
      </c>
      <c r="L383" s="30" t="s">
        <v>1255</v>
      </c>
      <c r="M383" s="30">
        <v>1004567</v>
      </c>
      <c r="N383" s="30" t="s">
        <v>138</v>
      </c>
      <c r="O383" s="30" t="s">
        <v>1400</v>
      </c>
      <c r="P383" s="30" t="s">
        <v>1377</v>
      </c>
      <c r="Q383" s="30" t="str">
        <f>P383</f>
        <v>PRCⅡ-2000ACD</v>
      </c>
      <c r="R383" s="30"/>
      <c r="S383" s="30" t="s">
        <v>1401</v>
      </c>
      <c r="T383" s="30"/>
      <c r="U383" s="30" t="s">
        <v>144</v>
      </c>
      <c r="V383" s="30" t="s">
        <v>415</v>
      </c>
      <c r="W383" s="30" t="s">
        <v>1102</v>
      </c>
      <c r="X383" s="30"/>
      <c r="Y383" s="30" t="s">
        <v>128</v>
      </c>
      <c r="Z383" s="30" t="s">
        <v>128</v>
      </c>
      <c r="AA383" s="138" t="s">
        <v>1310</v>
      </c>
      <c r="AB383" s="30" t="s">
        <v>1346</v>
      </c>
      <c r="AC383" s="30"/>
      <c r="AD383" s="30"/>
      <c r="AE383" s="30"/>
      <c r="AF383" s="30" t="s">
        <v>131</v>
      </c>
      <c r="AG383" s="30" t="s">
        <v>1347</v>
      </c>
      <c r="AH383" s="30"/>
      <c r="AI383" s="30"/>
      <c r="AJ383" s="50">
        <v>42119</v>
      </c>
      <c r="AK383" s="50">
        <v>42119</v>
      </c>
      <c r="AL383" s="51">
        <f t="shared" si="223"/>
        <v>10.526027397260274</v>
      </c>
      <c r="AM383" s="30">
        <v>8</v>
      </c>
      <c r="AN383" s="30" t="s">
        <v>1057</v>
      </c>
      <c r="AO383" s="30" t="s">
        <v>1050</v>
      </c>
      <c r="AP383" s="30" t="s">
        <v>1051</v>
      </c>
      <c r="AQ383" s="30">
        <v>3</v>
      </c>
      <c r="AR383" s="30">
        <v>520</v>
      </c>
      <c r="AS383" s="30">
        <v>400</v>
      </c>
      <c r="AT383" s="30">
        <v>1150</v>
      </c>
      <c r="AU383" s="74">
        <v>19047181</v>
      </c>
      <c r="AV383" s="54"/>
      <c r="AW383" s="54"/>
      <c r="AX383" s="54"/>
      <c r="AY383" s="54">
        <v>19046181</v>
      </c>
      <c r="AZ383" s="54">
        <v>83591</v>
      </c>
      <c r="BA383" s="74">
        <v>1000</v>
      </c>
      <c r="BB383" s="55">
        <f>VLOOKUP(M383,[1]Sheet1!$E$6:$F$556,2,FALSE)</f>
        <v>1000</v>
      </c>
      <c r="BC383" s="74"/>
      <c r="BD383" s="74"/>
      <c r="BE383" s="30"/>
      <c r="BF383" s="30" t="s">
        <v>1052</v>
      </c>
      <c r="BG383" s="30" t="s">
        <v>1053</v>
      </c>
      <c r="BH383" s="30" t="s">
        <v>1054</v>
      </c>
      <c r="BI383" s="30" t="str">
        <f t="shared" si="212"/>
        <v>COF(Assy_FT)</v>
      </c>
      <c r="BJ383" s="30" t="s">
        <v>250</v>
      </c>
      <c r="BK383" s="56">
        <f t="shared" si="224"/>
        <v>380943.62</v>
      </c>
      <c r="BL383" s="57">
        <f t="shared" si="241"/>
        <v>11904.488125</v>
      </c>
      <c r="BM383" s="57">
        <f t="shared" si="242"/>
        <v>3968.1627083333333</v>
      </c>
      <c r="BU383" s="58">
        <f>BM383*3</f>
        <v>11904.488125</v>
      </c>
      <c r="BV383" s="58">
        <f t="shared" si="256"/>
        <v>11904.488125</v>
      </c>
      <c r="BW383" s="58">
        <f t="shared" si="248"/>
        <v>23808.97625</v>
      </c>
      <c r="BX383" s="58">
        <f t="shared" si="244"/>
        <v>11904.488125</v>
      </c>
      <c r="BY383" s="58">
        <f t="shared" si="245"/>
        <v>11904.488125</v>
      </c>
      <c r="BZ383" s="58">
        <f t="shared" si="252"/>
        <v>11904.488125</v>
      </c>
      <c r="CA383" s="58">
        <f t="shared" si="245"/>
        <v>11904.488125</v>
      </c>
      <c r="CB383" s="58">
        <f t="shared" si="216"/>
        <v>47617.952499999999</v>
      </c>
      <c r="CC383" s="58">
        <f t="shared" si="217"/>
        <v>11904.488125</v>
      </c>
      <c r="CD383" s="58">
        <f t="shared" si="249"/>
        <v>11904.488125</v>
      </c>
      <c r="CE383" s="58">
        <f t="shared" si="249"/>
        <v>11904.488125</v>
      </c>
      <c r="CF383" s="58">
        <f t="shared" si="249"/>
        <v>11904.488125</v>
      </c>
      <c r="CG383" s="58">
        <f t="shared" si="219"/>
        <v>47617.952499999999</v>
      </c>
      <c r="CH383" s="58">
        <f t="shared" si="211"/>
        <v>11904.488125</v>
      </c>
      <c r="CI383" s="58">
        <f t="shared" si="257"/>
        <v>11904.488125</v>
      </c>
      <c r="CJ383" s="58">
        <f t="shared" si="257"/>
        <v>11904.488125</v>
      </c>
      <c r="CK383" s="58">
        <f t="shared" si="257"/>
        <v>11904.488125</v>
      </c>
      <c r="CL383" s="58">
        <f t="shared" si="221"/>
        <v>47617.952499999999</v>
      </c>
      <c r="CP383" s="2">
        <f t="shared" si="214"/>
        <v>380943.62</v>
      </c>
    </row>
    <row r="384" spans="1:94" ht="16.5" hidden="1" x14ac:dyDescent="0.3">
      <c r="A384" s="2">
        <v>379</v>
      </c>
      <c r="B384" s="47" t="s">
        <v>21</v>
      </c>
      <c r="C384" s="47"/>
      <c r="D384" s="30" t="s">
        <v>1041</v>
      </c>
      <c r="E384" s="30" t="s">
        <v>1042</v>
      </c>
      <c r="F384" s="30" t="s">
        <v>1043</v>
      </c>
      <c r="G384" s="30" t="s">
        <v>117</v>
      </c>
      <c r="H384" s="30" t="s">
        <v>385</v>
      </c>
      <c r="I384" s="30" t="s">
        <v>119</v>
      </c>
      <c r="J384" s="30" t="s">
        <v>1044</v>
      </c>
      <c r="K384" s="30" t="s">
        <v>1044</v>
      </c>
      <c r="L384" s="30" t="s">
        <v>1130</v>
      </c>
      <c r="M384" s="30">
        <v>1001453</v>
      </c>
      <c r="N384" s="30" t="s">
        <v>138</v>
      </c>
      <c r="O384" s="30" t="s">
        <v>1402</v>
      </c>
      <c r="P384" s="30" t="s">
        <v>1363</v>
      </c>
      <c r="Q384" s="30" t="s">
        <v>1364</v>
      </c>
      <c r="R384" s="30" t="s">
        <v>1325</v>
      </c>
      <c r="S384" s="30" t="s">
        <v>1403</v>
      </c>
      <c r="T384" s="30" t="s">
        <v>1326</v>
      </c>
      <c r="U384" s="30" t="s">
        <v>144</v>
      </c>
      <c r="V384" s="30" t="s">
        <v>415</v>
      </c>
      <c r="W384" s="30" t="s">
        <v>1184</v>
      </c>
      <c r="X384" s="30" t="s">
        <v>147</v>
      </c>
      <c r="Y384" s="125" t="s">
        <v>576</v>
      </c>
      <c r="Z384" s="125" t="s">
        <v>576</v>
      </c>
      <c r="AA384" s="30" t="s">
        <v>148</v>
      </c>
      <c r="AB384" s="30" t="s">
        <v>1185</v>
      </c>
      <c r="AC384" s="30" t="s">
        <v>1185</v>
      </c>
      <c r="AD384" s="30"/>
      <c r="AE384" s="30"/>
      <c r="AF384" s="30" t="s">
        <v>593</v>
      </c>
      <c r="AG384" s="30" t="s">
        <v>774</v>
      </c>
      <c r="AH384" s="30" t="s">
        <v>1186</v>
      </c>
      <c r="AI384" s="30"/>
      <c r="AJ384" s="50">
        <v>39973</v>
      </c>
      <c r="AK384" s="50">
        <v>39973</v>
      </c>
      <c r="AL384" s="51">
        <f t="shared" si="223"/>
        <v>16.405479452054795</v>
      </c>
      <c r="AM384" s="30">
        <v>8</v>
      </c>
      <c r="AN384" s="30" t="s">
        <v>1065</v>
      </c>
      <c r="AO384" s="30" t="s">
        <v>1050</v>
      </c>
      <c r="AP384" s="30" t="s">
        <v>1051</v>
      </c>
      <c r="AQ384" s="30">
        <v>3</v>
      </c>
      <c r="AR384" s="30">
        <v>2700</v>
      </c>
      <c r="AS384" s="30">
        <v>1500</v>
      </c>
      <c r="AT384" s="30">
        <v>2030</v>
      </c>
      <c r="AU384" s="54">
        <v>359102263</v>
      </c>
      <c r="AV384" s="54"/>
      <c r="AW384" s="54"/>
      <c r="AX384" s="54"/>
      <c r="AY384" s="54">
        <v>359101263</v>
      </c>
      <c r="AZ384" s="54">
        <v>556106</v>
      </c>
      <c r="BA384" s="54">
        <v>1000</v>
      </c>
      <c r="BB384" s="55">
        <f>VLOOKUP(M384,[1]Sheet1!$E$6:$F$556,2,FALSE)</f>
        <v>1000</v>
      </c>
      <c r="BC384" s="74"/>
      <c r="BD384" s="74"/>
      <c r="BE384" s="30"/>
      <c r="BF384" s="30" t="s">
        <v>1052</v>
      </c>
      <c r="BG384" s="30" t="s">
        <v>1074</v>
      </c>
      <c r="BH384" s="30" t="s">
        <v>1054</v>
      </c>
      <c r="BI384" s="30" t="str">
        <f t="shared" si="212"/>
        <v>COF(Assy_FT)</v>
      </c>
      <c r="BJ384" s="47" t="s">
        <v>137</v>
      </c>
      <c r="BK384" s="67">
        <f t="shared" si="224"/>
        <v>7182045.2599999998</v>
      </c>
      <c r="BL384" s="68">
        <f t="shared" si="241"/>
        <v>684655.16625245428</v>
      </c>
      <c r="BM384" s="68">
        <f t="shared" si="242"/>
        <v>228218.38875081809</v>
      </c>
      <c r="BP384" s="69">
        <f>BM384*3</f>
        <v>684655.16625245428</v>
      </c>
      <c r="BQ384" s="69">
        <f>BP384</f>
        <v>684655.16625245428</v>
      </c>
      <c r="BR384" s="69">
        <f>SUM(BN384:BQ384)</f>
        <v>1369310.3325049086</v>
      </c>
      <c r="BS384" s="69">
        <f>BQ384</f>
        <v>684655.16625245428</v>
      </c>
      <c r="BT384" s="69">
        <f t="shared" si="256"/>
        <v>684655.16625245428</v>
      </c>
      <c r="BU384" s="100">
        <f t="shared" si="256"/>
        <v>684655.16625245428</v>
      </c>
      <c r="BV384" s="100">
        <f t="shared" si="256"/>
        <v>684655.16625245428</v>
      </c>
      <c r="BW384" s="100">
        <f t="shared" si="248"/>
        <v>2738620.6650098171</v>
      </c>
      <c r="BX384" s="101">
        <f t="shared" si="244"/>
        <v>684655.16625245428</v>
      </c>
      <c r="BY384" s="101">
        <f t="shared" si="245"/>
        <v>684655.16625245428</v>
      </c>
      <c r="BZ384" s="18">
        <f t="shared" si="245"/>
        <v>684655.16625245428</v>
      </c>
      <c r="CA384" s="18">
        <f t="shared" si="245"/>
        <v>684655.16625245428</v>
      </c>
      <c r="CB384" s="70">
        <f t="shared" si="216"/>
        <v>2738620.6650098171</v>
      </c>
      <c r="CC384" s="18">
        <f t="shared" si="217"/>
        <v>684655.16625245428</v>
      </c>
      <c r="CD384" s="18">
        <f t="shared" si="249"/>
        <v>684655.16625245428</v>
      </c>
      <c r="CE384" s="18">
        <f t="shared" si="249"/>
        <v>684655.16625245428</v>
      </c>
      <c r="CF384" s="18">
        <f t="shared" si="249"/>
        <v>684655.16625245428</v>
      </c>
      <c r="CG384" s="70">
        <f t="shared" si="219"/>
        <v>2738620.6650098171</v>
      </c>
      <c r="CH384" s="18">
        <f t="shared" si="211"/>
        <v>684655.16625245428</v>
      </c>
      <c r="CI384" s="18">
        <f t="shared" si="257"/>
        <v>684655.16625245428</v>
      </c>
      <c r="CJ384" s="18">
        <f t="shared" si="257"/>
        <v>684655.16625245428</v>
      </c>
      <c r="CK384" s="18">
        <f t="shared" si="257"/>
        <v>684655.16625245428</v>
      </c>
      <c r="CL384" s="70">
        <f t="shared" si="221"/>
        <v>2738620.6650098171</v>
      </c>
      <c r="CM384" s="71"/>
      <c r="CN384" s="59">
        <f t="shared" ref="CN384:CN392" si="258">BK384/$CN$3</f>
        <v>7.0128190762278736E-4</v>
      </c>
      <c r="CO384" s="64">
        <f t="shared" ref="CO384:CO392" si="259">CN384*$CO$4</f>
        <v>14726920.060078535</v>
      </c>
      <c r="CP384" s="2">
        <f t="shared" si="214"/>
        <v>21908965.320078537</v>
      </c>
    </row>
    <row r="385" spans="1:94" ht="16.5" hidden="1" x14ac:dyDescent="0.3">
      <c r="A385" s="2">
        <v>380</v>
      </c>
      <c r="B385" s="47" t="s">
        <v>21</v>
      </c>
      <c r="C385" s="47"/>
      <c r="D385" s="30" t="s">
        <v>1041</v>
      </c>
      <c r="E385" s="30" t="s">
        <v>1042</v>
      </c>
      <c r="F385" s="30" t="s">
        <v>1043</v>
      </c>
      <c r="G385" s="30" t="s">
        <v>117</v>
      </c>
      <c r="H385" s="30" t="s">
        <v>385</v>
      </c>
      <c r="I385" s="30" t="s">
        <v>119</v>
      </c>
      <c r="J385" s="30" t="s">
        <v>1044</v>
      </c>
      <c r="K385" s="30" t="s">
        <v>1044</v>
      </c>
      <c r="L385" s="30" t="s">
        <v>1130</v>
      </c>
      <c r="M385" s="30">
        <v>1001496</v>
      </c>
      <c r="N385" s="30" t="s">
        <v>138</v>
      </c>
      <c r="O385" s="30" t="s">
        <v>1404</v>
      </c>
      <c r="P385" s="30" t="s">
        <v>1358</v>
      </c>
      <c r="Q385" s="30" t="s">
        <v>1359</v>
      </c>
      <c r="R385" s="30" t="s">
        <v>1325</v>
      </c>
      <c r="S385" s="30">
        <v>9071502</v>
      </c>
      <c r="T385" s="30" t="s">
        <v>1326</v>
      </c>
      <c r="U385" s="30" t="s">
        <v>144</v>
      </c>
      <c r="V385" s="30" t="s">
        <v>437</v>
      </c>
      <c r="W385" s="30" t="s">
        <v>1228</v>
      </c>
      <c r="X385" s="30" t="s">
        <v>147</v>
      </c>
      <c r="Y385" s="125" t="s">
        <v>576</v>
      </c>
      <c r="Z385" s="125" t="s">
        <v>576</v>
      </c>
      <c r="AA385" s="30" t="s">
        <v>148</v>
      </c>
      <c r="AB385" s="30" t="s">
        <v>1146</v>
      </c>
      <c r="AC385" s="30" t="s">
        <v>1146</v>
      </c>
      <c r="AD385" s="30"/>
      <c r="AE385" s="30"/>
      <c r="AF385" s="30" t="s">
        <v>593</v>
      </c>
      <c r="AG385" s="30" t="s">
        <v>440</v>
      </c>
      <c r="AH385" s="30" t="s">
        <v>1147</v>
      </c>
      <c r="AI385" s="30"/>
      <c r="AJ385" s="50">
        <v>40024</v>
      </c>
      <c r="AK385" s="50">
        <v>40024</v>
      </c>
      <c r="AL385" s="51">
        <f t="shared" si="223"/>
        <v>16.265753424657536</v>
      </c>
      <c r="AM385" s="30">
        <v>8</v>
      </c>
      <c r="AN385" s="30" t="s">
        <v>1065</v>
      </c>
      <c r="AO385" s="30" t="s">
        <v>1050</v>
      </c>
      <c r="AP385" s="30" t="s">
        <v>1051</v>
      </c>
      <c r="AQ385" s="30">
        <v>3</v>
      </c>
      <c r="AR385" s="30">
        <v>3000</v>
      </c>
      <c r="AS385" s="30">
        <v>1400</v>
      </c>
      <c r="AT385" s="30">
        <v>2050</v>
      </c>
      <c r="AU385" s="54">
        <v>263000000</v>
      </c>
      <c r="AV385" s="54"/>
      <c r="AW385" s="54"/>
      <c r="AX385" s="54"/>
      <c r="AY385" s="54">
        <v>262999000</v>
      </c>
      <c r="AZ385" s="54">
        <v>1083336</v>
      </c>
      <c r="BA385" s="54">
        <v>1000</v>
      </c>
      <c r="BB385" s="55">
        <f>VLOOKUP(M385,[1]Sheet1!$E$6:$F$556,2,FALSE)</f>
        <v>1000</v>
      </c>
      <c r="BC385" s="74"/>
      <c r="BD385" s="74"/>
      <c r="BE385" s="30"/>
      <c r="BF385" s="30" t="s">
        <v>1052</v>
      </c>
      <c r="BG385" s="30" t="s">
        <v>1074</v>
      </c>
      <c r="BH385" s="30" t="s">
        <v>1054</v>
      </c>
      <c r="BI385" s="30" t="str">
        <f t="shared" si="212"/>
        <v>COF(Assy_FT)</v>
      </c>
      <c r="BJ385" s="47" t="s">
        <v>137</v>
      </c>
      <c r="BK385" s="67">
        <f t="shared" si="224"/>
        <v>5260000</v>
      </c>
      <c r="BL385" s="68">
        <f t="shared" si="241"/>
        <v>501429.05594664958</v>
      </c>
      <c r="BM385" s="68">
        <f t="shared" si="242"/>
        <v>167143.01864888318</v>
      </c>
      <c r="BP385" s="69">
        <f>BM385*3</f>
        <v>501429.05594664952</v>
      </c>
      <c r="BQ385" s="69">
        <f>BP385</f>
        <v>501429.05594664952</v>
      </c>
      <c r="BR385" s="69">
        <f>SUM(BN385:BQ385)</f>
        <v>1002858.111893299</v>
      </c>
      <c r="BS385" s="69">
        <f>BQ385</f>
        <v>501429.05594664952</v>
      </c>
      <c r="BT385" s="69">
        <f t="shared" si="256"/>
        <v>501429.05594664952</v>
      </c>
      <c r="BU385" s="100">
        <f t="shared" si="256"/>
        <v>501429.05594664952</v>
      </c>
      <c r="BV385" s="100">
        <f t="shared" si="256"/>
        <v>501429.05594664952</v>
      </c>
      <c r="BW385" s="100">
        <f t="shared" si="248"/>
        <v>2005716.2237865981</v>
      </c>
      <c r="BX385" s="101">
        <f t="shared" si="244"/>
        <v>501429.05594664952</v>
      </c>
      <c r="BY385" s="101">
        <f t="shared" si="245"/>
        <v>501429.05594664952</v>
      </c>
      <c r="BZ385" s="18">
        <f t="shared" si="245"/>
        <v>501429.05594664952</v>
      </c>
      <c r="CA385" s="18">
        <f t="shared" si="245"/>
        <v>501429.05594664952</v>
      </c>
      <c r="CB385" s="70">
        <f t="shared" si="216"/>
        <v>2005716.2237865981</v>
      </c>
      <c r="CC385" s="18">
        <f t="shared" si="217"/>
        <v>501429.05594664952</v>
      </c>
      <c r="CD385" s="18">
        <f t="shared" ref="CD385:CF404" si="260">CC385</f>
        <v>501429.05594664952</v>
      </c>
      <c r="CE385" s="18">
        <f t="shared" si="260"/>
        <v>501429.05594664952</v>
      </c>
      <c r="CF385" s="18">
        <f t="shared" si="260"/>
        <v>501429.05594664952</v>
      </c>
      <c r="CG385" s="70">
        <f t="shared" si="219"/>
        <v>2005716.2237865981</v>
      </c>
      <c r="CH385" s="18">
        <f t="shared" si="211"/>
        <v>501429.05594664952</v>
      </c>
      <c r="CI385" s="18">
        <f t="shared" si="257"/>
        <v>501429.05594664952</v>
      </c>
      <c r="CJ385" s="18">
        <f t="shared" si="257"/>
        <v>501429.05594664952</v>
      </c>
      <c r="CK385" s="18">
        <f t="shared" si="257"/>
        <v>501429.05594664952</v>
      </c>
      <c r="CL385" s="70">
        <f t="shared" si="221"/>
        <v>2005716.2237865981</v>
      </c>
      <c r="CM385" s="71"/>
      <c r="CN385" s="59">
        <f t="shared" si="258"/>
        <v>5.1360618049013272E-4</v>
      </c>
      <c r="CO385" s="64">
        <f t="shared" si="259"/>
        <v>10785729.790292786</v>
      </c>
      <c r="CP385" s="2">
        <f t="shared" si="214"/>
        <v>16045729.790292786</v>
      </c>
    </row>
    <row r="386" spans="1:94" ht="16.5" hidden="1" x14ac:dyDescent="0.3">
      <c r="A386" s="2">
        <v>381</v>
      </c>
      <c r="B386" s="47" t="s">
        <v>21</v>
      </c>
      <c r="C386" s="47"/>
      <c r="D386" s="30" t="s">
        <v>1041</v>
      </c>
      <c r="E386" s="30" t="s">
        <v>1042</v>
      </c>
      <c r="F386" s="30" t="s">
        <v>1043</v>
      </c>
      <c r="G386" s="30" t="s">
        <v>117</v>
      </c>
      <c r="H386" s="30" t="s">
        <v>385</v>
      </c>
      <c r="I386" s="30" t="s">
        <v>119</v>
      </c>
      <c r="J386" s="30" t="s">
        <v>1044</v>
      </c>
      <c r="K386" s="30" t="s">
        <v>1044</v>
      </c>
      <c r="L386" s="30" t="s">
        <v>1130</v>
      </c>
      <c r="M386" s="30">
        <v>1001542</v>
      </c>
      <c r="N386" s="30" t="s">
        <v>138</v>
      </c>
      <c r="O386" s="30" t="s">
        <v>1405</v>
      </c>
      <c r="P386" s="30" t="s">
        <v>1406</v>
      </c>
      <c r="Q386" s="30" t="s">
        <v>1324</v>
      </c>
      <c r="R386" s="30" t="s">
        <v>1325</v>
      </c>
      <c r="S386" s="30"/>
      <c r="T386" s="30" t="s">
        <v>1326</v>
      </c>
      <c r="U386" s="30" t="s">
        <v>144</v>
      </c>
      <c r="V386" s="30" t="s">
        <v>415</v>
      </c>
      <c r="W386" s="30" t="s">
        <v>1145</v>
      </c>
      <c r="X386" s="30" t="s">
        <v>147</v>
      </c>
      <c r="Y386" s="125" t="s">
        <v>576</v>
      </c>
      <c r="Z386" s="125" t="s">
        <v>576</v>
      </c>
      <c r="AA386" s="30" t="s">
        <v>148</v>
      </c>
      <c r="AB386" s="30" t="s">
        <v>1146</v>
      </c>
      <c r="AC386" s="30" t="s">
        <v>1146</v>
      </c>
      <c r="AD386" s="30"/>
      <c r="AE386" s="30"/>
      <c r="AF386" s="30" t="s">
        <v>593</v>
      </c>
      <c r="AG386" s="30" t="s">
        <v>440</v>
      </c>
      <c r="AH386" s="30" t="s">
        <v>1147</v>
      </c>
      <c r="AI386" s="30"/>
      <c r="AJ386" s="50">
        <v>40064</v>
      </c>
      <c r="AK386" s="50">
        <v>40064</v>
      </c>
      <c r="AL386" s="51">
        <f t="shared" si="223"/>
        <v>16.156164383561645</v>
      </c>
      <c r="AM386" s="30">
        <v>8</v>
      </c>
      <c r="AN386" s="30" t="s">
        <v>1065</v>
      </c>
      <c r="AO386" s="30" t="s">
        <v>1050</v>
      </c>
      <c r="AP386" s="30" t="s">
        <v>1051</v>
      </c>
      <c r="AQ386" s="30">
        <v>3</v>
      </c>
      <c r="AR386" s="30">
        <v>2500</v>
      </c>
      <c r="AS386" s="30">
        <v>1400</v>
      </c>
      <c r="AT386" s="30">
        <v>1980</v>
      </c>
      <c r="AU386" s="54">
        <v>426687811</v>
      </c>
      <c r="AV386" s="54"/>
      <c r="AW386" s="54"/>
      <c r="AX386" s="54"/>
      <c r="AY386" s="54">
        <v>426686811</v>
      </c>
      <c r="AZ386" s="54">
        <v>921340</v>
      </c>
      <c r="BA386" s="54">
        <v>1000</v>
      </c>
      <c r="BB386" s="55">
        <f>VLOOKUP(M386,[1]Sheet1!$E$6:$F$556,2,FALSE)</f>
        <v>1000</v>
      </c>
      <c r="BC386" s="74"/>
      <c r="BD386" s="74"/>
      <c r="BE386" s="30"/>
      <c r="BF386" s="30" t="s">
        <v>1052</v>
      </c>
      <c r="BG386" s="30" t="s">
        <v>1074</v>
      </c>
      <c r="BH386" s="30" t="s">
        <v>1054</v>
      </c>
      <c r="BI386" s="30" t="str">
        <f t="shared" si="212"/>
        <v>COF(Assy_FT)</v>
      </c>
      <c r="BJ386" s="47" t="s">
        <v>137</v>
      </c>
      <c r="BK386" s="67">
        <f t="shared" si="224"/>
        <v>8533756.2200000007</v>
      </c>
      <c r="BL386" s="68">
        <f t="shared" si="241"/>
        <v>813512.03898734762</v>
      </c>
      <c r="BM386" s="68">
        <f t="shared" si="242"/>
        <v>271170.67966244923</v>
      </c>
      <c r="BP386" s="69">
        <f>BM386*3</f>
        <v>813512.03898734762</v>
      </c>
      <c r="BQ386" s="69">
        <f>BP386</f>
        <v>813512.03898734762</v>
      </c>
      <c r="BR386" s="69">
        <f>SUM(BN386:BQ386)</f>
        <v>1627024.0779746952</v>
      </c>
      <c r="BS386" s="69">
        <f>BQ386</f>
        <v>813512.03898734762</v>
      </c>
      <c r="BT386" s="69">
        <f t="shared" si="256"/>
        <v>813512.03898734762</v>
      </c>
      <c r="BU386" s="100">
        <f t="shared" si="256"/>
        <v>813512.03898734762</v>
      </c>
      <c r="BV386" s="100">
        <f t="shared" si="256"/>
        <v>813512.03898734762</v>
      </c>
      <c r="BW386" s="100">
        <f t="shared" si="248"/>
        <v>3254048.1559493905</v>
      </c>
      <c r="BX386" s="101">
        <f t="shared" si="244"/>
        <v>813512.03898734762</v>
      </c>
      <c r="BY386" s="101">
        <f t="shared" si="245"/>
        <v>813512.03898734762</v>
      </c>
      <c r="BZ386" s="18">
        <f t="shared" si="245"/>
        <v>813512.03898734762</v>
      </c>
      <c r="CA386" s="18">
        <f t="shared" si="245"/>
        <v>813512.03898734762</v>
      </c>
      <c r="CB386" s="70">
        <f t="shared" si="216"/>
        <v>3254048.1559493905</v>
      </c>
      <c r="CC386" s="18">
        <f t="shared" si="217"/>
        <v>813512.03898734762</v>
      </c>
      <c r="CD386" s="18">
        <f t="shared" si="260"/>
        <v>813512.03898734762</v>
      </c>
      <c r="CE386" s="18">
        <f t="shared" si="260"/>
        <v>813512.03898734762</v>
      </c>
      <c r="CF386" s="18">
        <f t="shared" si="260"/>
        <v>813512.03898734762</v>
      </c>
      <c r="CG386" s="70">
        <f t="shared" si="219"/>
        <v>3254048.1559493905</v>
      </c>
      <c r="CH386" s="18">
        <f t="shared" si="211"/>
        <v>813512.03898734762</v>
      </c>
      <c r="CI386" s="18">
        <f t="shared" si="257"/>
        <v>813512.03898734762</v>
      </c>
      <c r="CJ386" s="18">
        <f t="shared" si="257"/>
        <v>813512.03898734762</v>
      </c>
      <c r="CK386" s="18">
        <f t="shared" si="257"/>
        <v>813512.03898734762</v>
      </c>
      <c r="CL386" s="70">
        <f t="shared" si="221"/>
        <v>3254048.1559493905</v>
      </c>
      <c r="CM386" s="71"/>
      <c r="CN386" s="59">
        <f t="shared" si="258"/>
        <v>8.3326804893310124E-4</v>
      </c>
      <c r="CO386" s="64">
        <f t="shared" si="259"/>
        <v>17498629.027595125</v>
      </c>
      <c r="CP386" s="2">
        <f t="shared" si="214"/>
        <v>26032385.247595124</v>
      </c>
    </row>
    <row r="387" spans="1:94" ht="16.5" hidden="1" x14ac:dyDescent="0.3">
      <c r="A387" s="2">
        <v>382</v>
      </c>
      <c r="B387" s="47" t="s">
        <v>21</v>
      </c>
      <c r="C387" s="47"/>
      <c r="D387" s="30" t="s">
        <v>1041</v>
      </c>
      <c r="E387" s="30" t="s">
        <v>1042</v>
      </c>
      <c r="F387" s="30" t="s">
        <v>1043</v>
      </c>
      <c r="G387" s="30" t="s">
        <v>117</v>
      </c>
      <c r="H387" s="30" t="s">
        <v>385</v>
      </c>
      <c r="I387" s="30" t="s">
        <v>119</v>
      </c>
      <c r="J387" s="30" t="s">
        <v>1044</v>
      </c>
      <c r="K387" s="30" t="s">
        <v>1044</v>
      </c>
      <c r="L387" s="30" t="s">
        <v>1130</v>
      </c>
      <c r="M387" s="30">
        <v>1001543</v>
      </c>
      <c r="N387" s="30" t="s">
        <v>138</v>
      </c>
      <c r="O387" s="30" t="s">
        <v>1407</v>
      </c>
      <c r="P387" s="30" t="s">
        <v>1406</v>
      </c>
      <c r="Q387" s="30" t="s">
        <v>1324</v>
      </c>
      <c r="R387" s="30" t="s">
        <v>1325</v>
      </c>
      <c r="S387" s="30"/>
      <c r="T387" s="30" t="s">
        <v>1326</v>
      </c>
      <c r="U387" s="30" t="s">
        <v>144</v>
      </c>
      <c r="V387" s="30" t="s">
        <v>415</v>
      </c>
      <c r="W387" s="30" t="s">
        <v>1145</v>
      </c>
      <c r="X387" s="30" t="s">
        <v>147</v>
      </c>
      <c r="Y387" s="125" t="s">
        <v>576</v>
      </c>
      <c r="Z387" s="125" t="s">
        <v>576</v>
      </c>
      <c r="AA387" s="30" t="s">
        <v>148</v>
      </c>
      <c r="AB387" s="30" t="s">
        <v>1146</v>
      </c>
      <c r="AC387" s="30" t="s">
        <v>1146</v>
      </c>
      <c r="AD387" s="30"/>
      <c r="AE387" s="30"/>
      <c r="AF387" s="30" t="s">
        <v>593</v>
      </c>
      <c r="AG387" s="30" t="s">
        <v>440</v>
      </c>
      <c r="AH387" s="30" t="s">
        <v>1147</v>
      </c>
      <c r="AI387" s="30"/>
      <c r="AJ387" s="50">
        <v>40064</v>
      </c>
      <c r="AK387" s="50">
        <v>40064</v>
      </c>
      <c r="AL387" s="51">
        <f t="shared" si="223"/>
        <v>16.156164383561645</v>
      </c>
      <c r="AM387" s="30">
        <v>8</v>
      </c>
      <c r="AN387" s="30" t="s">
        <v>1065</v>
      </c>
      <c r="AO387" s="30" t="s">
        <v>1050</v>
      </c>
      <c r="AP387" s="30" t="s">
        <v>1051</v>
      </c>
      <c r="AQ387" s="30">
        <v>3</v>
      </c>
      <c r="AR387" s="30">
        <v>2500</v>
      </c>
      <c r="AS387" s="30">
        <v>1400</v>
      </c>
      <c r="AT387" s="30">
        <v>1980</v>
      </c>
      <c r="AU387" s="54">
        <v>407987810</v>
      </c>
      <c r="AV387" s="54"/>
      <c r="AW387" s="54"/>
      <c r="AX387" s="54"/>
      <c r="AY387" s="54">
        <v>407986810</v>
      </c>
      <c r="AZ387" s="54">
        <v>1750635</v>
      </c>
      <c r="BA387" s="54">
        <v>1000</v>
      </c>
      <c r="BB387" s="55">
        <f>VLOOKUP(M387,[1]Sheet1!$E$6:$F$556,2,FALSE)</f>
        <v>1000</v>
      </c>
      <c r="BC387" s="74"/>
      <c r="BD387" s="74"/>
      <c r="BE387" s="30"/>
      <c r="BF387" s="30" t="s">
        <v>1052</v>
      </c>
      <c r="BG387" s="30" t="s">
        <v>1074</v>
      </c>
      <c r="BH387" s="30" t="s">
        <v>1054</v>
      </c>
      <c r="BI387" s="30" t="str">
        <f t="shared" si="212"/>
        <v>COF(Assy_FT)</v>
      </c>
      <c r="BJ387" s="47" t="s">
        <v>137</v>
      </c>
      <c r="BK387" s="67">
        <f t="shared" si="224"/>
        <v>8159756.2000000002</v>
      </c>
      <c r="BL387" s="68">
        <f t="shared" si="241"/>
        <v>777859.09660091647</v>
      </c>
      <c r="BM387" s="68">
        <f t="shared" si="242"/>
        <v>259286.36553363883</v>
      </c>
      <c r="BP387" s="69">
        <f>BM387*3</f>
        <v>777859.09660091647</v>
      </c>
      <c r="BQ387" s="69">
        <f>BP387</f>
        <v>777859.09660091647</v>
      </c>
      <c r="BR387" s="69">
        <f>SUM(BN387:BQ387)</f>
        <v>1555718.1932018329</v>
      </c>
      <c r="BS387" s="69">
        <f>BQ387</f>
        <v>777859.09660091647</v>
      </c>
      <c r="BT387" s="69">
        <f t="shared" si="256"/>
        <v>777859.09660091647</v>
      </c>
      <c r="BU387" s="100">
        <f t="shared" si="256"/>
        <v>777859.09660091647</v>
      </c>
      <c r="BV387" s="100">
        <f t="shared" si="256"/>
        <v>777859.09660091647</v>
      </c>
      <c r="BW387" s="100">
        <f t="shared" si="248"/>
        <v>3111436.3864036659</v>
      </c>
      <c r="BX387" s="101">
        <f t="shared" si="244"/>
        <v>777859.09660091647</v>
      </c>
      <c r="BY387" s="101">
        <f t="shared" si="245"/>
        <v>777859.09660091647</v>
      </c>
      <c r="BZ387" s="18">
        <f t="shared" si="245"/>
        <v>777859.09660091647</v>
      </c>
      <c r="CA387" s="18">
        <f t="shared" si="245"/>
        <v>777859.09660091647</v>
      </c>
      <c r="CB387" s="70">
        <f t="shared" si="216"/>
        <v>3111436.3864036659</v>
      </c>
      <c r="CC387" s="18">
        <f t="shared" si="217"/>
        <v>777859.09660091647</v>
      </c>
      <c r="CD387" s="18">
        <f t="shared" si="260"/>
        <v>777859.09660091647</v>
      </c>
      <c r="CE387" s="18">
        <f t="shared" si="260"/>
        <v>777859.09660091647</v>
      </c>
      <c r="CF387" s="18">
        <f t="shared" si="260"/>
        <v>777859.09660091647</v>
      </c>
      <c r="CG387" s="70">
        <f t="shared" si="219"/>
        <v>3111436.3864036659</v>
      </c>
      <c r="CH387" s="18">
        <f t="shared" si="211"/>
        <v>777859.09660091647</v>
      </c>
      <c r="CI387" s="18">
        <f t="shared" si="257"/>
        <v>777859.09660091647</v>
      </c>
      <c r="CJ387" s="18">
        <f t="shared" si="257"/>
        <v>777859.09660091647</v>
      </c>
      <c r="CK387" s="18">
        <f t="shared" si="257"/>
        <v>777859.09660091647</v>
      </c>
      <c r="CL387" s="70">
        <f t="shared" si="221"/>
        <v>3111436.3864036659</v>
      </c>
      <c r="CM387" s="71"/>
      <c r="CN387" s="59">
        <f t="shared" si="258"/>
        <v>7.9674928053472991E-4</v>
      </c>
      <c r="CO387" s="64">
        <f t="shared" si="259"/>
        <v>16731734.891229328</v>
      </c>
      <c r="CP387" s="2">
        <f t="shared" si="214"/>
        <v>24891491.091229327</v>
      </c>
    </row>
    <row r="388" spans="1:94" s="113" customFormat="1" ht="16.5" hidden="1" x14ac:dyDescent="0.3">
      <c r="A388" s="2">
        <v>383</v>
      </c>
      <c r="B388" s="47" t="s">
        <v>21</v>
      </c>
      <c r="C388" s="47"/>
      <c r="D388" s="30" t="s">
        <v>1041</v>
      </c>
      <c r="E388" s="30" t="s">
        <v>1042</v>
      </c>
      <c r="F388" s="30" t="s">
        <v>1043</v>
      </c>
      <c r="G388" s="30" t="s">
        <v>117</v>
      </c>
      <c r="H388" s="30" t="s">
        <v>385</v>
      </c>
      <c r="I388" s="30" t="s">
        <v>119</v>
      </c>
      <c r="J388" s="30" t="s">
        <v>1044</v>
      </c>
      <c r="K388" s="30" t="s">
        <v>1044</v>
      </c>
      <c r="L388" s="30" t="s">
        <v>1130</v>
      </c>
      <c r="M388" s="30">
        <v>1001902</v>
      </c>
      <c r="N388" s="30" t="s">
        <v>138</v>
      </c>
      <c r="O388" s="30" t="s">
        <v>1408</v>
      </c>
      <c r="P388" s="30" t="s">
        <v>1358</v>
      </c>
      <c r="Q388" s="30" t="s">
        <v>1359</v>
      </c>
      <c r="R388" s="30" t="s">
        <v>1325</v>
      </c>
      <c r="S388" s="30">
        <v>10021604</v>
      </c>
      <c r="T388" s="30" t="s">
        <v>1326</v>
      </c>
      <c r="U388" s="30" t="s">
        <v>144</v>
      </c>
      <c r="V388" s="30" t="s">
        <v>437</v>
      </c>
      <c r="W388" s="30" t="s">
        <v>1228</v>
      </c>
      <c r="X388" s="30" t="s">
        <v>147</v>
      </c>
      <c r="Y388" s="125" t="s">
        <v>128</v>
      </c>
      <c r="Z388" s="125" t="s">
        <v>128</v>
      </c>
      <c r="AA388" s="30" t="s">
        <v>148</v>
      </c>
      <c r="AB388" s="30" t="s">
        <v>1146</v>
      </c>
      <c r="AC388" s="30" t="s">
        <v>1146</v>
      </c>
      <c r="AD388" s="30"/>
      <c r="AE388" s="30"/>
      <c r="AF388" s="30" t="s">
        <v>593</v>
      </c>
      <c r="AG388" s="30" t="s">
        <v>440</v>
      </c>
      <c r="AH388" s="30" t="s">
        <v>1147</v>
      </c>
      <c r="AI388" s="30"/>
      <c r="AJ388" s="50">
        <v>40231</v>
      </c>
      <c r="AK388" s="50">
        <v>40231</v>
      </c>
      <c r="AL388" s="51">
        <f t="shared" si="223"/>
        <v>15.698630136986301</v>
      </c>
      <c r="AM388" s="30">
        <v>8</v>
      </c>
      <c r="AN388" s="30" t="s">
        <v>1065</v>
      </c>
      <c r="AO388" s="30" t="s">
        <v>1050</v>
      </c>
      <c r="AP388" s="30" t="s">
        <v>1051</v>
      </c>
      <c r="AQ388" s="30">
        <v>3</v>
      </c>
      <c r="AR388" s="30">
        <v>3000</v>
      </c>
      <c r="AS388" s="30">
        <v>1400</v>
      </c>
      <c r="AT388" s="30">
        <v>2050</v>
      </c>
      <c r="AU388" s="54">
        <v>253040000</v>
      </c>
      <c r="AV388" s="54"/>
      <c r="AW388" s="54"/>
      <c r="AX388" s="54"/>
      <c r="AY388" s="54">
        <v>253039000</v>
      </c>
      <c r="AZ388" s="54">
        <v>1913336</v>
      </c>
      <c r="BA388" s="54">
        <v>1000</v>
      </c>
      <c r="BB388" s="55">
        <f>VLOOKUP(M388,[1]Sheet1!$E$6:$F$556,2,FALSE)</f>
        <v>1000</v>
      </c>
      <c r="BC388" s="74"/>
      <c r="BD388" s="74"/>
      <c r="BE388" s="30"/>
      <c r="BF388" s="30" t="s">
        <v>1052</v>
      </c>
      <c r="BG388" s="30" t="s">
        <v>1074</v>
      </c>
      <c r="BH388" s="30" t="s">
        <v>1054</v>
      </c>
      <c r="BI388" s="30" t="str">
        <f t="shared" si="212"/>
        <v>COF(Assy_FT)</v>
      </c>
      <c r="BJ388" s="47" t="s">
        <v>137</v>
      </c>
      <c r="BK388" s="67">
        <f t="shared" si="224"/>
        <v>5060800</v>
      </c>
      <c r="BL388" s="68">
        <f t="shared" si="241"/>
        <v>482439.57534882211</v>
      </c>
      <c r="BM388" s="68">
        <f t="shared" si="242"/>
        <v>160813.1917829407</v>
      </c>
      <c r="BN388" s="2"/>
      <c r="BO388" s="2"/>
      <c r="BP388" s="69">
        <f>BM388*3</f>
        <v>482439.57534882211</v>
      </c>
      <c r="BQ388" s="69">
        <f>BP388</f>
        <v>482439.57534882211</v>
      </c>
      <c r="BR388" s="69">
        <f>SUM(BN388:BQ388)</f>
        <v>964879.15069764422</v>
      </c>
      <c r="BS388" s="69">
        <f>BQ388</f>
        <v>482439.57534882211</v>
      </c>
      <c r="BT388" s="69">
        <f t="shared" si="256"/>
        <v>482439.57534882211</v>
      </c>
      <c r="BU388" s="100">
        <f t="shared" si="256"/>
        <v>482439.57534882211</v>
      </c>
      <c r="BV388" s="100">
        <f t="shared" si="256"/>
        <v>482439.57534882211</v>
      </c>
      <c r="BW388" s="100">
        <f t="shared" si="248"/>
        <v>1929758.3013952884</v>
      </c>
      <c r="BX388" s="101">
        <f t="shared" si="244"/>
        <v>482439.57534882211</v>
      </c>
      <c r="BY388" s="101">
        <f t="shared" si="245"/>
        <v>482439.57534882211</v>
      </c>
      <c r="BZ388" s="18">
        <f t="shared" si="245"/>
        <v>482439.57534882211</v>
      </c>
      <c r="CA388" s="18">
        <f t="shared" si="245"/>
        <v>482439.57534882211</v>
      </c>
      <c r="CB388" s="70">
        <f t="shared" si="216"/>
        <v>1929758.3013952884</v>
      </c>
      <c r="CC388" s="18">
        <f t="shared" si="217"/>
        <v>482439.57534882211</v>
      </c>
      <c r="CD388" s="18">
        <f t="shared" si="260"/>
        <v>482439.57534882211</v>
      </c>
      <c r="CE388" s="18">
        <f t="shared" si="260"/>
        <v>482439.57534882211</v>
      </c>
      <c r="CF388" s="18">
        <f t="shared" si="260"/>
        <v>482439.57534882211</v>
      </c>
      <c r="CG388" s="70">
        <f t="shared" si="219"/>
        <v>1929758.3013952884</v>
      </c>
      <c r="CH388" s="18">
        <f t="shared" si="211"/>
        <v>482439.57534882211</v>
      </c>
      <c r="CI388" s="18">
        <f t="shared" si="257"/>
        <v>482439.57534882211</v>
      </c>
      <c r="CJ388" s="18">
        <f t="shared" si="257"/>
        <v>482439.57534882211</v>
      </c>
      <c r="CK388" s="18">
        <f t="shared" si="257"/>
        <v>482439.57534882211</v>
      </c>
      <c r="CL388" s="70">
        <f t="shared" si="221"/>
        <v>1929758.3013952884</v>
      </c>
      <c r="CM388" s="136"/>
      <c r="CN388" s="114">
        <f t="shared" si="258"/>
        <v>4.941555433886813E-4</v>
      </c>
      <c r="CO388" s="115">
        <f t="shared" si="259"/>
        <v>10377266.411162307</v>
      </c>
      <c r="CP388" s="113">
        <f t="shared" si="214"/>
        <v>15438066.411162307</v>
      </c>
    </row>
    <row r="389" spans="1:94" ht="16.5" hidden="1" x14ac:dyDescent="0.3">
      <c r="A389" s="2">
        <v>384</v>
      </c>
      <c r="B389" s="47" t="s">
        <v>21</v>
      </c>
      <c r="C389" s="47"/>
      <c r="D389" s="30" t="s">
        <v>1041</v>
      </c>
      <c r="E389" s="30" t="s">
        <v>1042</v>
      </c>
      <c r="F389" s="30" t="s">
        <v>1043</v>
      </c>
      <c r="G389" s="30" t="s">
        <v>117</v>
      </c>
      <c r="H389" s="30" t="s">
        <v>1058</v>
      </c>
      <c r="I389" s="30" t="s">
        <v>119</v>
      </c>
      <c r="J389" s="30" t="s">
        <v>1044</v>
      </c>
      <c r="K389" s="30" t="s">
        <v>1044</v>
      </c>
      <c r="L389" s="30" t="s">
        <v>1120</v>
      </c>
      <c r="M389" s="30">
        <v>1005102</v>
      </c>
      <c r="N389" s="30" t="s">
        <v>138</v>
      </c>
      <c r="O389" s="30" t="s">
        <v>1409</v>
      </c>
      <c r="P389" s="30" t="s">
        <v>1410</v>
      </c>
      <c r="Q389" s="30" t="s">
        <v>1411</v>
      </c>
      <c r="R389" s="30"/>
      <c r="S389" s="30" t="s">
        <v>1412</v>
      </c>
      <c r="T389" s="30"/>
      <c r="U389" s="30" t="s">
        <v>144</v>
      </c>
      <c r="V389" s="30" t="s">
        <v>437</v>
      </c>
      <c r="W389" s="30" t="s">
        <v>1125</v>
      </c>
      <c r="X389" s="30" t="s">
        <v>127</v>
      </c>
      <c r="Y389" s="30" t="s">
        <v>457</v>
      </c>
      <c r="Z389" s="30" t="s">
        <v>457</v>
      </c>
      <c r="AA389" s="30" t="s">
        <v>129</v>
      </c>
      <c r="AB389" s="127" t="s">
        <v>1129</v>
      </c>
      <c r="AC389" s="30"/>
      <c r="AD389" s="30"/>
      <c r="AE389" s="30"/>
      <c r="AF389" s="30" t="s">
        <v>131</v>
      </c>
      <c r="AG389" s="30" t="s">
        <v>774</v>
      </c>
      <c r="AH389" s="30"/>
      <c r="AI389" s="30"/>
      <c r="AJ389" s="50">
        <v>42937</v>
      </c>
      <c r="AK389" s="50">
        <v>42937</v>
      </c>
      <c r="AL389" s="51">
        <f t="shared" si="223"/>
        <v>8.2849315068493148</v>
      </c>
      <c r="AM389" s="30">
        <v>8</v>
      </c>
      <c r="AN389" s="30" t="s">
        <v>1065</v>
      </c>
      <c r="AO389" s="30" t="s">
        <v>1050</v>
      </c>
      <c r="AP389" s="30" t="s">
        <v>1187</v>
      </c>
      <c r="AQ389" s="30">
        <v>3</v>
      </c>
      <c r="AR389" s="30">
        <v>7100</v>
      </c>
      <c r="AS389" s="30">
        <v>820</v>
      </c>
      <c r="AT389" s="30">
        <v>1860</v>
      </c>
      <c r="AU389" s="54">
        <v>329590000</v>
      </c>
      <c r="AV389" s="54"/>
      <c r="AW389" s="54"/>
      <c r="AX389" s="54"/>
      <c r="AY389" s="54">
        <v>311775050</v>
      </c>
      <c r="AZ389" s="54">
        <v>3185038</v>
      </c>
      <c r="BA389" s="54">
        <v>8259836</v>
      </c>
      <c r="BB389" s="55">
        <f>VLOOKUP(M389,[1]Sheet1!$E$6:$F$556,2,FALSE)</f>
        <v>1000</v>
      </c>
      <c r="BC389" s="74"/>
      <c r="BD389" s="74"/>
      <c r="BE389" s="128">
        <v>5.5933241612815925</v>
      </c>
      <c r="BF389" s="30" t="s">
        <v>1134</v>
      </c>
      <c r="BG389" s="30" t="s">
        <v>1117</v>
      </c>
      <c r="BH389" s="30" t="s">
        <v>1054</v>
      </c>
      <c r="BI389" s="30" t="str">
        <f t="shared" si="212"/>
        <v>COF(Assy_FT)</v>
      </c>
      <c r="BJ389" s="47" t="s">
        <v>137</v>
      </c>
      <c r="BK389" s="56">
        <f t="shared" si="224"/>
        <v>8672827.8000000007</v>
      </c>
      <c r="BL389" s="57">
        <f t="shared" si="241"/>
        <v>826769.5543995928</v>
      </c>
      <c r="BM389" s="57">
        <f t="shared" si="242"/>
        <v>275589.85146653093</v>
      </c>
      <c r="BU389" s="58">
        <f>BM389*3</f>
        <v>826769.5543995928</v>
      </c>
      <c r="BV389" s="58">
        <f t="shared" si="256"/>
        <v>826769.5543995928</v>
      </c>
      <c r="BW389" s="58">
        <f t="shared" si="248"/>
        <v>1653539.1087991856</v>
      </c>
      <c r="BX389" s="58">
        <f t="shared" si="244"/>
        <v>826769.5543995928</v>
      </c>
      <c r="BY389" s="58">
        <f t="shared" si="245"/>
        <v>826769.5543995928</v>
      </c>
      <c r="BZ389" s="58">
        <f>BM389*3</f>
        <v>826769.5543995928</v>
      </c>
      <c r="CA389" s="58">
        <f t="shared" si="245"/>
        <v>826769.5543995928</v>
      </c>
      <c r="CB389" s="58">
        <f t="shared" si="216"/>
        <v>3307078.2175983712</v>
      </c>
      <c r="CC389" s="58">
        <f t="shared" si="217"/>
        <v>826769.5543995928</v>
      </c>
      <c r="CD389" s="58">
        <f t="shared" si="260"/>
        <v>826769.5543995928</v>
      </c>
      <c r="CE389" s="58">
        <f t="shared" si="260"/>
        <v>826769.5543995928</v>
      </c>
      <c r="CF389" s="58">
        <f t="shared" si="260"/>
        <v>826769.5543995928</v>
      </c>
      <c r="CG389" s="58">
        <f t="shared" si="219"/>
        <v>3307078.2175983712</v>
      </c>
      <c r="CH389" s="58">
        <f t="shared" si="211"/>
        <v>826769.5543995928</v>
      </c>
      <c r="CI389" s="58">
        <f t="shared" si="257"/>
        <v>826769.5543995928</v>
      </c>
      <c r="CJ389" s="58">
        <f t="shared" si="257"/>
        <v>826769.5543995928</v>
      </c>
      <c r="CK389" s="58">
        <f t="shared" si="257"/>
        <v>826769.5543995928</v>
      </c>
      <c r="CL389" s="58">
        <f t="shared" si="221"/>
        <v>3307078.2175983712</v>
      </c>
      <c r="CN389" s="59">
        <f t="shared" si="258"/>
        <v>8.468475209898556E-4</v>
      </c>
      <c r="CO389" s="64">
        <f t="shared" si="259"/>
        <v>17783797.940786969</v>
      </c>
      <c r="CP389" s="2">
        <f t="shared" si="214"/>
        <v>26456625.74078697</v>
      </c>
    </row>
    <row r="390" spans="1:94" ht="16.5" hidden="1" x14ac:dyDescent="0.3">
      <c r="A390" s="2">
        <v>385</v>
      </c>
      <c r="B390" s="47" t="s">
        <v>21</v>
      </c>
      <c r="C390" s="47"/>
      <c r="D390" s="30" t="s">
        <v>1041</v>
      </c>
      <c r="E390" s="30" t="s">
        <v>1042</v>
      </c>
      <c r="F390" s="30" t="s">
        <v>1043</v>
      </c>
      <c r="G390" s="30" t="s">
        <v>117</v>
      </c>
      <c r="H390" s="30" t="s">
        <v>1058</v>
      </c>
      <c r="I390" s="30" t="s">
        <v>119</v>
      </c>
      <c r="J390" s="30" t="s">
        <v>1044</v>
      </c>
      <c r="K390" s="30" t="s">
        <v>1044</v>
      </c>
      <c r="L390" s="30" t="s">
        <v>1120</v>
      </c>
      <c r="M390" s="30">
        <v>1005103</v>
      </c>
      <c r="N390" s="30" t="s">
        <v>138</v>
      </c>
      <c r="O390" s="30" t="s">
        <v>1413</v>
      </c>
      <c r="P390" s="30" t="s">
        <v>1410</v>
      </c>
      <c r="Q390" s="30" t="s">
        <v>1411</v>
      </c>
      <c r="R390" s="30"/>
      <c r="S390" s="30" t="s">
        <v>1414</v>
      </c>
      <c r="T390" s="30"/>
      <c r="U390" s="30" t="s">
        <v>144</v>
      </c>
      <c r="V390" s="30" t="s">
        <v>437</v>
      </c>
      <c r="W390" s="30" t="s">
        <v>1125</v>
      </c>
      <c r="X390" s="30" t="s">
        <v>127</v>
      </c>
      <c r="Y390" s="30" t="s">
        <v>576</v>
      </c>
      <c r="Z390" s="30" t="s">
        <v>576</v>
      </c>
      <c r="AA390" s="30" t="s">
        <v>129</v>
      </c>
      <c r="AB390" s="127" t="s">
        <v>1129</v>
      </c>
      <c r="AC390" s="30"/>
      <c r="AD390" s="30"/>
      <c r="AE390" s="30"/>
      <c r="AF390" s="30" t="s">
        <v>131</v>
      </c>
      <c r="AG390" s="30" t="s">
        <v>774</v>
      </c>
      <c r="AH390" s="30"/>
      <c r="AI390" s="30"/>
      <c r="AJ390" s="50">
        <v>42937</v>
      </c>
      <c r="AK390" s="50">
        <v>42937</v>
      </c>
      <c r="AL390" s="51">
        <f t="shared" si="223"/>
        <v>8.2849315068493148</v>
      </c>
      <c r="AM390" s="30">
        <v>8</v>
      </c>
      <c r="AN390" s="30" t="s">
        <v>1065</v>
      </c>
      <c r="AO390" s="30" t="s">
        <v>1050</v>
      </c>
      <c r="AP390" s="30" t="s">
        <v>1187</v>
      </c>
      <c r="AQ390" s="30">
        <v>3</v>
      </c>
      <c r="AR390" s="30">
        <v>7100</v>
      </c>
      <c r="AS390" s="30">
        <v>820</v>
      </c>
      <c r="AT390" s="30">
        <v>1860</v>
      </c>
      <c r="AU390" s="54">
        <v>263300000</v>
      </c>
      <c r="AV390" s="54"/>
      <c r="AW390" s="54"/>
      <c r="AX390" s="54"/>
      <c r="AY390" s="54">
        <v>263299000</v>
      </c>
      <c r="AZ390" s="54">
        <v>310403</v>
      </c>
      <c r="BA390" s="54">
        <v>1000</v>
      </c>
      <c r="BB390" s="55">
        <f>VLOOKUP(M390,[1]Sheet1!$E$6:$F$556,2,FALSE)</f>
        <v>1000</v>
      </c>
      <c r="BC390" s="74"/>
      <c r="BD390" s="74"/>
      <c r="BE390" s="128"/>
      <c r="BF390" s="30" t="s">
        <v>1052</v>
      </c>
      <c r="BG390" s="30" t="s">
        <v>1117</v>
      </c>
      <c r="BH390" s="30" t="s">
        <v>1054</v>
      </c>
      <c r="BI390" s="30" t="str">
        <f t="shared" si="212"/>
        <v>COF(Assy_FT)</v>
      </c>
      <c r="BJ390" s="47" t="s">
        <v>137</v>
      </c>
      <c r="BK390" s="56">
        <f t="shared" si="224"/>
        <v>5266000</v>
      </c>
      <c r="BL390" s="57">
        <f t="shared" si="241"/>
        <v>502001.02825381304</v>
      </c>
      <c r="BM390" s="57">
        <f t="shared" si="242"/>
        <v>167333.67608460435</v>
      </c>
      <c r="BU390" s="58">
        <f>BM390*3</f>
        <v>502001.02825381304</v>
      </c>
      <c r="BV390" s="58">
        <f t="shared" si="256"/>
        <v>502001.02825381304</v>
      </c>
      <c r="BW390" s="58">
        <f t="shared" si="248"/>
        <v>1004002.0565076261</v>
      </c>
      <c r="BX390" s="58">
        <f t="shared" si="244"/>
        <v>502001.02825381304</v>
      </c>
      <c r="BY390" s="58">
        <f t="shared" si="245"/>
        <v>502001.02825381304</v>
      </c>
      <c r="BZ390" s="58">
        <f>BM390*3</f>
        <v>502001.02825381304</v>
      </c>
      <c r="CA390" s="58">
        <f t="shared" si="245"/>
        <v>502001.02825381304</v>
      </c>
      <c r="CB390" s="58">
        <f>SUM(BX390:CA390)</f>
        <v>2008004.1130152522</v>
      </c>
      <c r="CC390" s="58">
        <f>CA390</f>
        <v>502001.02825381304</v>
      </c>
      <c r="CD390" s="58">
        <f t="shared" si="260"/>
        <v>502001.02825381304</v>
      </c>
      <c r="CE390" s="58">
        <f t="shared" si="260"/>
        <v>502001.02825381304</v>
      </c>
      <c r="CF390" s="58">
        <f t="shared" si="260"/>
        <v>502001.02825381304</v>
      </c>
      <c r="CG390" s="58">
        <f>SUM(CC390:CF390)</f>
        <v>2008004.1130152522</v>
      </c>
      <c r="CH390" s="58">
        <f t="shared" ref="CH390:CH426" si="261">CF390</f>
        <v>502001.02825381304</v>
      </c>
      <c r="CI390" s="58">
        <f t="shared" si="257"/>
        <v>502001.02825381304</v>
      </c>
      <c r="CJ390" s="58">
        <f t="shared" si="257"/>
        <v>502001.02825381304</v>
      </c>
      <c r="CK390" s="58">
        <f t="shared" si="257"/>
        <v>502001.02825381304</v>
      </c>
      <c r="CL390" s="58">
        <f t="shared" si="221"/>
        <v>2008004.1130152522</v>
      </c>
      <c r="CN390" s="59">
        <f t="shared" si="258"/>
        <v>5.1419204305342943E-4</v>
      </c>
      <c r="CO390" s="64">
        <f t="shared" si="259"/>
        <v>10798032.904122017</v>
      </c>
      <c r="CP390" s="2">
        <f t="shared" si="214"/>
        <v>16064032.904122017</v>
      </c>
    </row>
    <row r="391" spans="1:94" ht="16.5" hidden="1" x14ac:dyDescent="0.3">
      <c r="A391" s="2">
        <v>386</v>
      </c>
      <c r="B391" s="47" t="s">
        <v>21</v>
      </c>
      <c r="C391" s="47"/>
      <c r="D391" s="30" t="s">
        <v>1041</v>
      </c>
      <c r="E391" s="30" t="s">
        <v>1042</v>
      </c>
      <c r="F391" s="30" t="s">
        <v>1043</v>
      </c>
      <c r="G391" s="30" t="s">
        <v>117</v>
      </c>
      <c r="H391" s="30" t="s">
        <v>1058</v>
      </c>
      <c r="I391" s="30" t="s">
        <v>119</v>
      </c>
      <c r="J391" s="30" t="s">
        <v>1044</v>
      </c>
      <c r="K391" s="30" t="s">
        <v>1044</v>
      </c>
      <c r="L391" s="30" t="s">
        <v>1120</v>
      </c>
      <c r="M391" s="30">
        <v>1005104</v>
      </c>
      <c r="N391" s="30" t="s">
        <v>138</v>
      </c>
      <c r="O391" s="30" t="s">
        <v>1415</v>
      </c>
      <c r="P391" s="30" t="s">
        <v>1410</v>
      </c>
      <c r="Q391" s="30" t="s">
        <v>1411</v>
      </c>
      <c r="R391" s="30"/>
      <c r="S391" s="30" t="s">
        <v>1416</v>
      </c>
      <c r="T391" s="30"/>
      <c r="U391" s="30" t="s">
        <v>144</v>
      </c>
      <c r="V391" s="30" t="s">
        <v>437</v>
      </c>
      <c r="W391" s="30" t="s">
        <v>1125</v>
      </c>
      <c r="X391" s="30" t="s">
        <v>127</v>
      </c>
      <c r="Y391" s="30" t="s">
        <v>576</v>
      </c>
      <c r="Z391" s="30" t="s">
        <v>576</v>
      </c>
      <c r="AA391" s="30" t="s">
        <v>129</v>
      </c>
      <c r="AB391" s="127" t="s">
        <v>1129</v>
      </c>
      <c r="AC391" s="30"/>
      <c r="AD391" s="30"/>
      <c r="AE391" s="30"/>
      <c r="AF391" s="30" t="s">
        <v>131</v>
      </c>
      <c r="AG391" s="30" t="s">
        <v>774</v>
      </c>
      <c r="AH391" s="30"/>
      <c r="AI391" s="30"/>
      <c r="AJ391" s="50">
        <v>42937</v>
      </c>
      <c r="AK391" s="50">
        <v>42937</v>
      </c>
      <c r="AL391" s="51">
        <f t="shared" si="223"/>
        <v>8.2849315068493148</v>
      </c>
      <c r="AM391" s="30">
        <v>8</v>
      </c>
      <c r="AN391" s="30" t="s">
        <v>1065</v>
      </c>
      <c r="AO391" s="30" t="s">
        <v>1050</v>
      </c>
      <c r="AP391" s="30" t="s">
        <v>1187</v>
      </c>
      <c r="AQ391" s="30">
        <v>3</v>
      </c>
      <c r="AR391" s="30">
        <v>7100</v>
      </c>
      <c r="AS391" s="30">
        <v>820</v>
      </c>
      <c r="AT391" s="30">
        <v>1860</v>
      </c>
      <c r="AU391" s="54">
        <v>262000000</v>
      </c>
      <c r="AV391" s="54"/>
      <c r="AW391" s="54"/>
      <c r="AX391" s="54"/>
      <c r="AY391" s="54">
        <v>261999000</v>
      </c>
      <c r="AZ391" s="54">
        <v>2480032</v>
      </c>
      <c r="BA391" s="54">
        <v>1000</v>
      </c>
      <c r="BB391" s="55">
        <f>VLOOKUP(M391,[1]Sheet1!$E$6:$F$556,2,FALSE)</f>
        <v>1000</v>
      </c>
      <c r="BC391" s="74"/>
      <c r="BD391" s="74"/>
      <c r="BE391" s="128"/>
      <c r="BF391" s="30" t="s">
        <v>1052</v>
      </c>
      <c r="BG391" s="30" t="s">
        <v>1117</v>
      </c>
      <c r="BH391" s="30" t="s">
        <v>1054</v>
      </c>
      <c r="BI391" s="30" t="str">
        <f t="shared" ref="BI391:BI454" si="262">BH391</f>
        <v>COF(Assy_FT)</v>
      </c>
      <c r="BJ391" s="47" t="s">
        <v>137</v>
      </c>
      <c r="BK391" s="56">
        <f t="shared" si="224"/>
        <v>5240000</v>
      </c>
      <c r="BL391" s="57">
        <f t="shared" si="241"/>
        <v>499522.48158943799</v>
      </c>
      <c r="BM391" s="57">
        <f t="shared" si="242"/>
        <v>166507.493863146</v>
      </c>
      <c r="BU391" s="58">
        <f>BM391*3</f>
        <v>499522.48158943799</v>
      </c>
      <c r="BV391" s="58">
        <f t="shared" si="256"/>
        <v>499522.48158943799</v>
      </c>
      <c r="BW391" s="58">
        <f t="shared" si="248"/>
        <v>999044.96317887597</v>
      </c>
      <c r="BX391" s="58">
        <f t="shared" si="244"/>
        <v>499522.48158943799</v>
      </c>
      <c r="BY391" s="58">
        <f t="shared" si="245"/>
        <v>499522.48158943799</v>
      </c>
      <c r="BZ391" s="58">
        <f>BM391*3</f>
        <v>499522.48158943799</v>
      </c>
      <c r="CA391" s="58">
        <f t="shared" si="245"/>
        <v>499522.48158943799</v>
      </c>
      <c r="CB391" s="58">
        <f>SUM(BX391:CA391)</f>
        <v>1998089.9263577519</v>
      </c>
      <c r="CC391" s="58">
        <f>CA391</f>
        <v>499522.48158943799</v>
      </c>
      <c r="CD391" s="58">
        <f t="shared" si="260"/>
        <v>499522.48158943799</v>
      </c>
      <c r="CE391" s="58">
        <f t="shared" si="260"/>
        <v>499522.48158943799</v>
      </c>
      <c r="CF391" s="58">
        <f t="shared" si="260"/>
        <v>499522.48158943799</v>
      </c>
      <c r="CG391" s="58">
        <f>SUM(CC391:CF391)</f>
        <v>1998089.9263577519</v>
      </c>
      <c r="CH391" s="58">
        <f t="shared" si="261"/>
        <v>499522.48158943799</v>
      </c>
      <c r="CI391" s="58">
        <f t="shared" si="257"/>
        <v>499522.48158943799</v>
      </c>
      <c r="CJ391" s="58">
        <f t="shared" si="257"/>
        <v>499522.48158943799</v>
      </c>
      <c r="CK391" s="58">
        <f t="shared" si="257"/>
        <v>499522.48158943799</v>
      </c>
      <c r="CL391" s="58">
        <f t="shared" si="221"/>
        <v>1998089.9263577519</v>
      </c>
      <c r="CN391" s="59">
        <f t="shared" si="258"/>
        <v>5.1165330527914359E-4</v>
      </c>
      <c r="CO391" s="64">
        <f t="shared" si="259"/>
        <v>10744719.410862016</v>
      </c>
      <c r="CP391" s="2">
        <f t="shared" ref="CP391:CP454" si="263">CO391+BK391</f>
        <v>15984719.410862016</v>
      </c>
    </row>
    <row r="392" spans="1:94" ht="16.5" hidden="1" x14ac:dyDescent="0.3">
      <c r="A392" s="2">
        <v>387</v>
      </c>
      <c r="B392" s="47" t="s">
        <v>21</v>
      </c>
      <c r="C392" s="47"/>
      <c r="D392" s="30" t="s">
        <v>1041</v>
      </c>
      <c r="E392" s="30" t="s">
        <v>1042</v>
      </c>
      <c r="F392" s="30" t="s">
        <v>1043</v>
      </c>
      <c r="G392" s="30" t="s">
        <v>117</v>
      </c>
      <c r="H392" s="30" t="s">
        <v>385</v>
      </c>
      <c r="I392" s="30" t="s">
        <v>119</v>
      </c>
      <c r="J392" s="30" t="s">
        <v>1044</v>
      </c>
      <c r="K392" s="30" t="s">
        <v>1044</v>
      </c>
      <c r="L392" s="30" t="s">
        <v>1130</v>
      </c>
      <c r="M392" s="30">
        <v>1002187</v>
      </c>
      <c r="N392" s="30" t="s">
        <v>138</v>
      </c>
      <c r="O392" s="30" t="s">
        <v>1417</v>
      </c>
      <c r="P392" s="30" t="s">
        <v>1358</v>
      </c>
      <c r="Q392" s="30" t="s">
        <v>1359</v>
      </c>
      <c r="R392" s="30" t="s">
        <v>1325</v>
      </c>
      <c r="S392" s="30">
        <v>10051705</v>
      </c>
      <c r="T392" s="30" t="s">
        <v>1326</v>
      </c>
      <c r="U392" s="30" t="s">
        <v>144</v>
      </c>
      <c r="V392" s="30" t="s">
        <v>437</v>
      </c>
      <c r="W392" s="30" t="s">
        <v>1228</v>
      </c>
      <c r="X392" s="30" t="s">
        <v>147</v>
      </c>
      <c r="Y392" s="125" t="s">
        <v>128</v>
      </c>
      <c r="Z392" s="125" t="s">
        <v>128</v>
      </c>
      <c r="AA392" s="30" t="s">
        <v>148</v>
      </c>
      <c r="AB392" s="30" t="s">
        <v>1146</v>
      </c>
      <c r="AC392" s="30" t="s">
        <v>1146</v>
      </c>
      <c r="AD392" s="30"/>
      <c r="AE392" s="30"/>
      <c r="AF392" s="30" t="s">
        <v>593</v>
      </c>
      <c r="AG392" s="30" t="s">
        <v>440</v>
      </c>
      <c r="AH392" s="30" t="s">
        <v>1147</v>
      </c>
      <c r="AI392" s="30"/>
      <c r="AJ392" s="50">
        <v>40329</v>
      </c>
      <c r="AK392" s="50">
        <v>40329</v>
      </c>
      <c r="AL392" s="51">
        <f t="shared" si="223"/>
        <v>15.43013698630137</v>
      </c>
      <c r="AM392" s="30">
        <v>8</v>
      </c>
      <c r="AN392" s="30" t="s">
        <v>1065</v>
      </c>
      <c r="AO392" s="30" t="s">
        <v>1050</v>
      </c>
      <c r="AP392" s="30" t="s">
        <v>1051</v>
      </c>
      <c r="AQ392" s="30">
        <v>3</v>
      </c>
      <c r="AR392" s="30">
        <v>3000</v>
      </c>
      <c r="AS392" s="30">
        <v>1400</v>
      </c>
      <c r="AT392" s="30">
        <v>2050</v>
      </c>
      <c r="AU392" s="54">
        <v>255063333</v>
      </c>
      <c r="AV392" s="54"/>
      <c r="AW392" s="54"/>
      <c r="AX392" s="54"/>
      <c r="AY392" s="54">
        <v>255062333</v>
      </c>
      <c r="AZ392" s="54">
        <v>1391873</v>
      </c>
      <c r="BA392" s="54">
        <v>1000</v>
      </c>
      <c r="BB392" s="55">
        <f>VLOOKUP(M392,[1]Sheet1!$E$6:$F$556,2,FALSE)</f>
        <v>1000</v>
      </c>
      <c r="BC392" s="74"/>
      <c r="BD392" s="74"/>
      <c r="BE392" s="30"/>
      <c r="BF392" s="30" t="s">
        <v>1052</v>
      </c>
      <c r="BG392" s="30" t="s">
        <v>1074</v>
      </c>
      <c r="BH392" s="30" t="s">
        <v>1054</v>
      </c>
      <c r="BI392" s="30" t="str">
        <f t="shared" si="262"/>
        <v>COF(Assy_FT)</v>
      </c>
      <c r="BJ392" s="47" t="s">
        <v>137</v>
      </c>
      <c r="BK392" s="67">
        <f t="shared" si="224"/>
        <v>5101266.66</v>
      </c>
      <c r="BL392" s="68">
        <f t="shared" si="241"/>
        <v>486297.2101627221</v>
      </c>
      <c r="BM392" s="68">
        <f t="shared" si="242"/>
        <v>162099.0700542407</v>
      </c>
      <c r="BP392" s="69">
        <f>BM392*3</f>
        <v>486297.2101627221</v>
      </c>
      <c r="BQ392" s="69">
        <f>BP392</f>
        <v>486297.2101627221</v>
      </c>
      <c r="BR392" s="69">
        <f>SUM(BN392:BQ392)</f>
        <v>972594.4203254442</v>
      </c>
      <c r="BS392" s="69">
        <f>BQ392</f>
        <v>486297.2101627221</v>
      </c>
      <c r="BT392" s="69">
        <f t="shared" si="256"/>
        <v>486297.2101627221</v>
      </c>
      <c r="BU392" s="100">
        <f t="shared" si="256"/>
        <v>486297.2101627221</v>
      </c>
      <c r="BV392" s="100">
        <f t="shared" si="256"/>
        <v>486297.2101627221</v>
      </c>
      <c r="BW392" s="100">
        <f t="shared" si="248"/>
        <v>1945188.8406508884</v>
      </c>
      <c r="BX392" s="101">
        <f t="shared" si="244"/>
        <v>486297.2101627221</v>
      </c>
      <c r="BY392" s="101">
        <f t="shared" si="245"/>
        <v>486297.2101627221</v>
      </c>
      <c r="BZ392" s="18">
        <f t="shared" si="245"/>
        <v>486297.2101627221</v>
      </c>
      <c r="CA392" s="18">
        <f t="shared" si="245"/>
        <v>486297.2101627221</v>
      </c>
      <c r="CB392" s="70">
        <f t="shared" ref="CB392:CB453" si="264">SUM(BX392:CA392)</f>
        <v>1945188.8406508884</v>
      </c>
      <c r="CC392" s="18">
        <f t="shared" ref="CC392:CC453" si="265">CA392</f>
        <v>486297.2101627221</v>
      </c>
      <c r="CD392" s="18">
        <f t="shared" si="260"/>
        <v>486297.2101627221</v>
      </c>
      <c r="CE392" s="18">
        <f t="shared" si="260"/>
        <v>486297.2101627221</v>
      </c>
      <c r="CF392" s="18">
        <f t="shared" si="260"/>
        <v>486297.2101627221</v>
      </c>
      <c r="CG392" s="70">
        <f t="shared" ref="CG392:CG453" si="266">SUM(CC392:CF392)</f>
        <v>1945188.8406508884</v>
      </c>
      <c r="CH392" s="18">
        <f t="shared" si="261"/>
        <v>486297.2101627221</v>
      </c>
      <c r="CI392" s="18">
        <f t="shared" si="257"/>
        <v>486297.2101627221</v>
      </c>
      <c r="CJ392" s="18">
        <f t="shared" si="257"/>
        <v>486297.2101627221</v>
      </c>
      <c r="CK392" s="18">
        <f t="shared" si="257"/>
        <v>486297.2101627221</v>
      </c>
      <c r="CL392" s="70">
        <f t="shared" si="221"/>
        <v>1945188.8406508884</v>
      </c>
      <c r="CM392" s="71"/>
      <c r="CN392" s="59">
        <f t="shared" si="258"/>
        <v>4.9810686024795751E-4</v>
      </c>
      <c r="CO392" s="64">
        <f t="shared" si="259"/>
        <v>10460244.065207107</v>
      </c>
      <c r="CP392" s="2">
        <f t="shared" si="263"/>
        <v>15561510.725207107</v>
      </c>
    </row>
    <row r="393" spans="1:94" s="113" customFormat="1" hidden="1" x14ac:dyDescent="0.3">
      <c r="A393" s="29">
        <v>388</v>
      </c>
      <c r="B393" s="30" t="s">
        <v>21</v>
      </c>
      <c r="C393" s="30"/>
      <c r="D393" s="30" t="s">
        <v>1041</v>
      </c>
      <c r="E393" s="30" t="s">
        <v>1042</v>
      </c>
      <c r="F393" s="30" t="s">
        <v>1043</v>
      </c>
      <c r="G393" s="30" t="s">
        <v>117</v>
      </c>
      <c r="H393" s="30" t="s">
        <v>926</v>
      </c>
      <c r="I393" s="30" t="s">
        <v>119</v>
      </c>
      <c r="J393" s="30" t="s">
        <v>1044</v>
      </c>
      <c r="K393" s="30" t="s">
        <v>1044</v>
      </c>
      <c r="L393" s="30" t="s">
        <v>1255</v>
      </c>
      <c r="M393" s="30">
        <v>1005111</v>
      </c>
      <c r="N393" s="30" t="s">
        <v>138</v>
      </c>
      <c r="O393" s="30" t="s">
        <v>1418</v>
      </c>
      <c r="P393" s="30" t="s">
        <v>1368</v>
      </c>
      <c r="Q393" s="30" t="s">
        <v>769</v>
      </c>
      <c r="R393" s="30"/>
      <c r="S393" s="30" t="s">
        <v>1419</v>
      </c>
      <c r="T393" s="30"/>
      <c r="U393" s="30" t="s">
        <v>144</v>
      </c>
      <c r="V393" s="30" t="s">
        <v>415</v>
      </c>
      <c r="W393" s="30" t="s">
        <v>1048</v>
      </c>
      <c r="X393" s="30"/>
      <c r="Y393" s="30" t="s">
        <v>457</v>
      </c>
      <c r="Z393" s="30" t="s">
        <v>457</v>
      </c>
      <c r="AA393" s="48" t="s">
        <v>148</v>
      </c>
      <c r="AB393" s="30" t="s">
        <v>773</v>
      </c>
      <c r="AC393" s="30" t="s">
        <v>773</v>
      </c>
      <c r="AD393" s="30"/>
      <c r="AE393" s="30"/>
      <c r="AF393" s="48" t="s">
        <v>604</v>
      </c>
      <c r="AG393" s="30" t="s">
        <v>774</v>
      </c>
      <c r="AH393" s="48" t="s">
        <v>775</v>
      </c>
      <c r="AI393" s="30"/>
      <c r="AJ393" s="50">
        <v>42941</v>
      </c>
      <c r="AK393" s="50">
        <v>42961</v>
      </c>
      <c r="AL393" s="51">
        <f t="shared" si="223"/>
        <v>8.2191780821917817</v>
      </c>
      <c r="AM393" s="30">
        <v>8</v>
      </c>
      <c r="AN393" s="30" t="s">
        <v>1057</v>
      </c>
      <c r="AO393" s="30" t="s">
        <v>1050</v>
      </c>
      <c r="AP393" s="30" t="s">
        <v>1187</v>
      </c>
      <c r="AQ393" s="30">
        <v>3</v>
      </c>
      <c r="AR393" s="30">
        <v>1240</v>
      </c>
      <c r="AS393" s="30">
        <v>1550</v>
      </c>
      <c r="AT393" s="30">
        <v>1960</v>
      </c>
      <c r="AU393" s="74">
        <v>189376573</v>
      </c>
      <c r="AV393" s="54"/>
      <c r="AW393" s="54"/>
      <c r="AX393" s="54"/>
      <c r="AY393" s="54">
        <v>189375573</v>
      </c>
      <c r="AZ393" s="54">
        <v>1819776</v>
      </c>
      <c r="BA393" s="74">
        <v>1000</v>
      </c>
      <c r="BB393" s="55">
        <f>VLOOKUP(M393,[1]Sheet1!$E$6:$F$556,2,FALSE)</f>
        <v>1000</v>
      </c>
      <c r="BC393" s="74"/>
      <c r="BD393" s="74"/>
      <c r="BE393" s="30"/>
      <c r="BF393" s="30" t="s">
        <v>1052</v>
      </c>
      <c r="BG393" s="30" t="s">
        <v>1053</v>
      </c>
      <c r="BH393" s="30" t="s">
        <v>1054</v>
      </c>
      <c r="BI393" s="30" t="str">
        <f t="shared" si="262"/>
        <v>COF(Assy_FT)</v>
      </c>
      <c r="BJ393" s="30" t="s">
        <v>250</v>
      </c>
      <c r="BK393" s="56">
        <f t="shared" si="224"/>
        <v>3787531.46</v>
      </c>
      <c r="BL393" s="57">
        <f t="shared" si="241"/>
        <v>118360.358125</v>
      </c>
      <c r="BM393" s="57">
        <f t="shared" si="242"/>
        <v>39453.452708333331</v>
      </c>
      <c r="BN393" s="2"/>
      <c r="BO393" s="2"/>
      <c r="BP393" s="15"/>
      <c r="BQ393" s="15"/>
      <c r="BR393" s="15"/>
      <c r="BS393" s="15"/>
      <c r="BT393" s="15"/>
      <c r="BU393" s="58">
        <f t="shared" ref="BU393:BU398" si="267">BM393*3</f>
        <v>118360.358125</v>
      </c>
      <c r="BV393" s="58">
        <f t="shared" si="256"/>
        <v>118360.358125</v>
      </c>
      <c r="BW393" s="58">
        <f t="shared" si="248"/>
        <v>236720.71625</v>
      </c>
      <c r="BX393" s="58">
        <f t="shared" si="244"/>
        <v>118360.358125</v>
      </c>
      <c r="BY393" s="58">
        <f t="shared" si="245"/>
        <v>118360.358125</v>
      </c>
      <c r="BZ393" s="58">
        <f t="shared" ref="BZ393:BZ398" si="268">BM393*3</f>
        <v>118360.358125</v>
      </c>
      <c r="CA393" s="58">
        <f t="shared" si="245"/>
        <v>118360.358125</v>
      </c>
      <c r="CB393" s="58">
        <f t="shared" si="264"/>
        <v>473441.4325</v>
      </c>
      <c r="CC393" s="58">
        <f t="shared" si="265"/>
        <v>118360.358125</v>
      </c>
      <c r="CD393" s="58">
        <f t="shared" si="260"/>
        <v>118360.358125</v>
      </c>
      <c r="CE393" s="58">
        <f t="shared" si="260"/>
        <v>118360.358125</v>
      </c>
      <c r="CF393" s="58">
        <f t="shared" si="260"/>
        <v>118360.358125</v>
      </c>
      <c r="CG393" s="58">
        <f t="shared" si="266"/>
        <v>473441.4325</v>
      </c>
      <c r="CH393" s="58">
        <f t="shared" si="261"/>
        <v>118360.358125</v>
      </c>
      <c r="CI393" s="58">
        <f t="shared" si="257"/>
        <v>118360.358125</v>
      </c>
      <c r="CJ393" s="58">
        <f t="shared" si="257"/>
        <v>118360.358125</v>
      </c>
      <c r="CK393" s="58">
        <f t="shared" si="257"/>
        <v>118360.358125</v>
      </c>
      <c r="CL393" s="58">
        <f t="shared" ref="CL393:CL426" si="269">SUM(CH393:CK393)</f>
        <v>473441.4325</v>
      </c>
      <c r="CO393" s="141"/>
      <c r="CP393" s="113">
        <f t="shared" si="263"/>
        <v>3787531.46</v>
      </c>
    </row>
    <row r="394" spans="1:94" ht="15" hidden="1" x14ac:dyDescent="0.3">
      <c r="A394" s="29">
        <v>389</v>
      </c>
      <c r="B394" s="30" t="s">
        <v>21</v>
      </c>
      <c r="C394" s="30"/>
      <c r="D394" s="30" t="s">
        <v>1041</v>
      </c>
      <c r="E394" s="30" t="s">
        <v>1042</v>
      </c>
      <c r="F394" s="30" t="s">
        <v>1043</v>
      </c>
      <c r="G394" s="30" t="s">
        <v>117</v>
      </c>
      <c r="H394" s="30" t="s">
        <v>926</v>
      </c>
      <c r="I394" s="30" t="s">
        <v>119</v>
      </c>
      <c r="J394" s="30" t="s">
        <v>1044</v>
      </c>
      <c r="K394" s="30" t="s">
        <v>1044</v>
      </c>
      <c r="L394" s="30" t="s">
        <v>1255</v>
      </c>
      <c r="M394" s="30">
        <v>1005112</v>
      </c>
      <c r="N394" s="30" t="s">
        <v>138</v>
      </c>
      <c r="O394" s="30" t="s">
        <v>1420</v>
      </c>
      <c r="P394" s="30" t="s">
        <v>1377</v>
      </c>
      <c r="Q394" s="30" t="str">
        <f>P394</f>
        <v>PRCⅡ-2000ACD</v>
      </c>
      <c r="R394" s="30"/>
      <c r="S394" s="30" t="s">
        <v>1421</v>
      </c>
      <c r="T394" s="30"/>
      <c r="U394" s="30" t="s">
        <v>144</v>
      </c>
      <c r="V394" s="30" t="s">
        <v>415</v>
      </c>
      <c r="W394" s="30" t="s">
        <v>1378</v>
      </c>
      <c r="X394" s="30"/>
      <c r="Y394" s="30" t="s">
        <v>457</v>
      </c>
      <c r="Z394" s="30" t="s">
        <v>457</v>
      </c>
      <c r="AA394" s="138" t="s">
        <v>1310</v>
      </c>
      <c r="AB394" s="142" t="s">
        <v>1422</v>
      </c>
      <c r="AC394" s="30"/>
      <c r="AD394" s="30"/>
      <c r="AE394" s="30"/>
      <c r="AF394" s="30" t="s">
        <v>131</v>
      </c>
      <c r="AG394" s="30" t="s">
        <v>1347</v>
      </c>
      <c r="AH394" s="30"/>
      <c r="AI394" s="30"/>
      <c r="AJ394" s="50">
        <v>42851</v>
      </c>
      <c r="AK394" s="50">
        <v>42961</v>
      </c>
      <c r="AL394" s="51">
        <f t="shared" si="223"/>
        <v>8.2191780821917817</v>
      </c>
      <c r="AM394" s="30">
        <v>8</v>
      </c>
      <c r="AN394" s="30" t="s">
        <v>1057</v>
      </c>
      <c r="AO394" s="30" t="s">
        <v>1050</v>
      </c>
      <c r="AP394" s="30" t="s">
        <v>1187</v>
      </c>
      <c r="AQ394" s="30">
        <v>3</v>
      </c>
      <c r="AR394" s="30">
        <v>520</v>
      </c>
      <c r="AS394" s="30">
        <v>400</v>
      </c>
      <c r="AT394" s="30">
        <v>1150</v>
      </c>
      <c r="AU394" s="74">
        <v>18554203</v>
      </c>
      <c r="AV394" s="54"/>
      <c r="AW394" s="54"/>
      <c r="AX394" s="54"/>
      <c r="AY394" s="54">
        <v>18553203</v>
      </c>
      <c r="AZ394" s="54">
        <v>177049</v>
      </c>
      <c r="BA394" s="74">
        <v>1000</v>
      </c>
      <c r="BB394" s="55">
        <f>VLOOKUP(M394,[1]Sheet1!$E$6:$F$556,2,FALSE)</f>
        <v>1000</v>
      </c>
      <c r="BC394" s="74"/>
      <c r="BD394" s="74"/>
      <c r="BE394" s="30"/>
      <c r="BF394" s="30" t="s">
        <v>1052</v>
      </c>
      <c r="BG394" s="30" t="s">
        <v>1053</v>
      </c>
      <c r="BH394" s="30" t="s">
        <v>1054</v>
      </c>
      <c r="BI394" s="30" t="str">
        <f t="shared" si="262"/>
        <v>COF(Assy_FT)</v>
      </c>
      <c r="BJ394" s="30" t="s">
        <v>250</v>
      </c>
      <c r="BK394" s="56">
        <f t="shared" si="224"/>
        <v>371084.06</v>
      </c>
      <c r="BL394" s="57">
        <f t="shared" si="241"/>
        <v>11596.376875</v>
      </c>
      <c r="BM394" s="57">
        <f t="shared" si="242"/>
        <v>3865.4589583333332</v>
      </c>
      <c r="BU394" s="58">
        <f t="shared" si="267"/>
        <v>11596.376875</v>
      </c>
      <c r="BV394" s="58">
        <f t="shared" si="256"/>
        <v>11596.376875</v>
      </c>
      <c r="BW394" s="58">
        <f t="shared" si="248"/>
        <v>23192.75375</v>
      </c>
      <c r="BX394" s="58">
        <f t="shared" si="244"/>
        <v>11596.376875</v>
      </c>
      <c r="BY394" s="58">
        <f t="shared" si="245"/>
        <v>11596.376875</v>
      </c>
      <c r="BZ394" s="58">
        <f t="shared" si="268"/>
        <v>11596.376875</v>
      </c>
      <c r="CA394" s="58">
        <f t="shared" si="245"/>
        <v>11596.376875</v>
      </c>
      <c r="CB394" s="58">
        <f t="shared" si="264"/>
        <v>46385.5075</v>
      </c>
      <c r="CC394" s="58">
        <f t="shared" si="265"/>
        <v>11596.376875</v>
      </c>
      <c r="CD394" s="58">
        <f t="shared" si="260"/>
        <v>11596.376875</v>
      </c>
      <c r="CE394" s="58">
        <f t="shared" si="260"/>
        <v>11596.376875</v>
      </c>
      <c r="CF394" s="58">
        <f t="shared" si="260"/>
        <v>11596.376875</v>
      </c>
      <c r="CG394" s="58">
        <f t="shared" si="266"/>
        <v>46385.5075</v>
      </c>
      <c r="CH394" s="58">
        <f t="shared" si="261"/>
        <v>11596.376875</v>
      </c>
      <c r="CI394" s="58">
        <f t="shared" si="257"/>
        <v>11596.376875</v>
      </c>
      <c r="CJ394" s="58">
        <f t="shared" si="257"/>
        <v>11596.376875</v>
      </c>
      <c r="CK394" s="58">
        <f t="shared" si="257"/>
        <v>11596.376875</v>
      </c>
      <c r="CL394" s="58">
        <f t="shared" si="269"/>
        <v>46385.5075</v>
      </c>
      <c r="CP394" s="2">
        <f t="shared" si="263"/>
        <v>371084.06</v>
      </c>
    </row>
    <row r="395" spans="1:94" hidden="1" x14ac:dyDescent="0.3">
      <c r="A395" s="29">
        <v>390</v>
      </c>
      <c r="B395" s="30" t="s">
        <v>21</v>
      </c>
      <c r="C395" s="30"/>
      <c r="D395" s="30" t="s">
        <v>1041</v>
      </c>
      <c r="E395" s="30" t="s">
        <v>1042</v>
      </c>
      <c r="F395" s="30" t="s">
        <v>1043</v>
      </c>
      <c r="G395" s="30" t="s">
        <v>117</v>
      </c>
      <c r="H395" s="30" t="s">
        <v>926</v>
      </c>
      <c r="I395" s="30" t="s">
        <v>119</v>
      </c>
      <c r="J395" s="30" t="s">
        <v>1044</v>
      </c>
      <c r="K395" s="30" t="s">
        <v>1044</v>
      </c>
      <c r="L395" s="30" t="s">
        <v>1255</v>
      </c>
      <c r="M395" s="30">
        <v>1005165</v>
      </c>
      <c r="N395" s="30" t="s">
        <v>138</v>
      </c>
      <c r="O395" s="30" t="s">
        <v>1423</v>
      </c>
      <c r="P395" s="30" t="s">
        <v>1368</v>
      </c>
      <c r="Q395" s="30" t="s">
        <v>769</v>
      </c>
      <c r="R395" s="30"/>
      <c r="S395" s="30" t="s">
        <v>1424</v>
      </c>
      <c r="T395" s="30"/>
      <c r="U395" s="30" t="s">
        <v>144</v>
      </c>
      <c r="V395" s="30" t="s">
        <v>415</v>
      </c>
      <c r="W395" s="30" t="s">
        <v>1048</v>
      </c>
      <c r="X395" s="30"/>
      <c r="Y395" s="30" t="s">
        <v>457</v>
      </c>
      <c r="Z395" s="30" t="s">
        <v>457</v>
      </c>
      <c r="AA395" s="48" t="s">
        <v>148</v>
      </c>
      <c r="AB395" s="30" t="s">
        <v>773</v>
      </c>
      <c r="AC395" s="30" t="s">
        <v>773</v>
      </c>
      <c r="AD395" s="30"/>
      <c r="AE395" s="30"/>
      <c r="AF395" s="48" t="s">
        <v>604</v>
      </c>
      <c r="AG395" s="30" t="s">
        <v>774</v>
      </c>
      <c r="AH395" s="48" t="s">
        <v>775</v>
      </c>
      <c r="AI395" s="30"/>
      <c r="AJ395" s="50">
        <v>42972</v>
      </c>
      <c r="AK395" s="50">
        <v>42982</v>
      </c>
      <c r="AL395" s="51">
        <f t="shared" si="223"/>
        <v>8.161643835616438</v>
      </c>
      <c r="AM395" s="30">
        <v>8</v>
      </c>
      <c r="AN395" s="30" t="s">
        <v>1057</v>
      </c>
      <c r="AO395" s="30" t="s">
        <v>1050</v>
      </c>
      <c r="AP395" s="30" t="s">
        <v>1187</v>
      </c>
      <c r="AQ395" s="30">
        <v>3</v>
      </c>
      <c r="AR395" s="30">
        <v>1240</v>
      </c>
      <c r="AS395" s="30">
        <v>1550</v>
      </c>
      <c r="AT395" s="30">
        <v>1960</v>
      </c>
      <c r="AU395" s="74">
        <v>194000362</v>
      </c>
      <c r="AV395" s="54"/>
      <c r="AW395" s="54"/>
      <c r="AX395" s="54"/>
      <c r="AY395" s="54">
        <v>192111438</v>
      </c>
      <c r="AZ395" s="54">
        <v>1888892</v>
      </c>
      <c r="BA395" s="74">
        <v>1000</v>
      </c>
      <c r="BB395" s="55">
        <f>VLOOKUP(M395,[1]Sheet1!$E$6:$F$556,2,FALSE)</f>
        <v>1000</v>
      </c>
      <c r="BC395" s="74"/>
      <c r="BD395" s="74"/>
      <c r="BE395" s="128">
        <v>1.0000169411485675</v>
      </c>
      <c r="BF395" s="30" t="s">
        <v>1134</v>
      </c>
      <c r="BG395" s="30" t="s">
        <v>1053</v>
      </c>
      <c r="BH395" s="30" t="s">
        <v>1054</v>
      </c>
      <c r="BI395" s="30" t="str">
        <f t="shared" si="262"/>
        <v>COF(Assy_FT)</v>
      </c>
      <c r="BJ395" s="30" t="s">
        <v>250</v>
      </c>
      <c r="BK395" s="56">
        <f t="shared" si="224"/>
        <v>3880007.24</v>
      </c>
      <c r="BL395" s="57">
        <f t="shared" si="241"/>
        <v>121250.22625000001</v>
      </c>
      <c r="BM395" s="57">
        <f t="shared" si="242"/>
        <v>40416.742083333338</v>
      </c>
      <c r="BU395" s="58">
        <f t="shared" si="267"/>
        <v>121250.22625000001</v>
      </c>
      <c r="BV395" s="58">
        <f>BU395</f>
        <v>121250.22625000001</v>
      </c>
      <c r="BW395" s="58">
        <f t="shared" si="248"/>
        <v>242500.45250000001</v>
      </c>
      <c r="BX395" s="58">
        <f t="shared" si="244"/>
        <v>121250.22625000001</v>
      </c>
      <c r="BY395" s="58">
        <f t="shared" si="245"/>
        <v>121250.22625000001</v>
      </c>
      <c r="BZ395" s="58">
        <f t="shared" si="268"/>
        <v>121250.22625000001</v>
      </c>
      <c r="CA395" s="58">
        <f t="shared" si="245"/>
        <v>121250.22625000001</v>
      </c>
      <c r="CB395" s="58">
        <f t="shared" si="264"/>
        <v>485000.90500000003</v>
      </c>
      <c r="CC395" s="58">
        <f t="shared" si="265"/>
        <v>121250.22625000001</v>
      </c>
      <c r="CD395" s="58">
        <f t="shared" si="260"/>
        <v>121250.22625000001</v>
      </c>
      <c r="CE395" s="58">
        <f t="shared" si="260"/>
        <v>121250.22625000001</v>
      </c>
      <c r="CF395" s="58">
        <f t="shared" si="260"/>
        <v>121250.22625000001</v>
      </c>
      <c r="CG395" s="58">
        <f t="shared" si="266"/>
        <v>485000.90500000003</v>
      </c>
      <c r="CH395" s="58">
        <f t="shared" si="261"/>
        <v>121250.22625000001</v>
      </c>
      <c r="CI395" s="58">
        <f>CH395</f>
        <v>121250.22625000001</v>
      </c>
      <c r="CJ395" s="58">
        <f>CI395</f>
        <v>121250.22625000001</v>
      </c>
      <c r="CK395" s="58">
        <f>CJ395</f>
        <v>121250.22625000001</v>
      </c>
      <c r="CL395" s="58">
        <f t="shared" si="269"/>
        <v>485000.90500000003</v>
      </c>
      <c r="CP395" s="2">
        <f t="shared" si="263"/>
        <v>3880007.24</v>
      </c>
    </row>
    <row r="396" spans="1:94" ht="16.5" hidden="1" x14ac:dyDescent="0.3">
      <c r="A396" s="2">
        <v>391</v>
      </c>
      <c r="B396" s="47" t="s">
        <v>21</v>
      </c>
      <c r="C396" s="47"/>
      <c r="D396" s="30" t="s">
        <v>1041</v>
      </c>
      <c r="E396" s="30" t="s">
        <v>1042</v>
      </c>
      <c r="F396" s="30" t="s">
        <v>1043</v>
      </c>
      <c r="G396" s="30" t="s">
        <v>117</v>
      </c>
      <c r="H396" s="30" t="s">
        <v>1058</v>
      </c>
      <c r="I396" s="30" t="s">
        <v>119</v>
      </c>
      <c r="J396" s="30" t="s">
        <v>1044</v>
      </c>
      <c r="K396" s="30" t="s">
        <v>1044</v>
      </c>
      <c r="L396" s="30" t="s">
        <v>1120</v>
      </c>
      <c r="M396" s="30">
        <v>1005166</v>
      </c>
      <c r="N396" s="30" t="s">
        <v>138</v>
      </c>
      <c r="O396" s="30" t="s">
        <v>1425</v>
      </c>
      <c r="P396" s="30" t="s">
        <v>1410</v>
      </c>
      <c r="Q396" s="30" t="s">
        <v>1411</v>
      </c>
      <c r="R396" s="30"/>
      <c r="S396" s="30" t="s">
        <v>1426</v>
      </c>
      <c r="T396" s="30"/>
      <c r="U396" s="30" t="s">
        <v>144</v>
      </c>
      <c r="V396" s="30" t="s">
        <v>437</v>
      </c>
      <c r="W396" s="30" t="s">
        <v>1125</v>
      </c>
      <c r="X396" s="30" t="s">
        <v>127</v>
      </c>
      <c r="Y396" s="30" t="s">
        <v>576</v>
      </c>
      <c r="Z396" s="30" t="s">
        <v>576</v>
      </c>
      <c r="AA396" s="30" t="s">
        <v>129</v>
      </c>
      <c r="AB396" s="127" t="s">
        <v>1129</v>
      </c>
      <c r="AC396" s="30"/>
      <c r="AD396" s="30"/>
      <c r="AE396" s="30"/>
      <c r="AF396" s="30" t="s">
        <v>131</v>
      </c>
      <c r="AG396" s="30" t="s">
        <v>774</v>
      </c>
      <c r="AH396" s="30"/>
      <c r="AI396" s="30"/>
      <c r="AJ396" s="50">
        <v>42961</v>
      </c>
      <c r="AK396" s="50">
        <v>42961</v>
      </c>
      <c r="AL396" s="51">
        <f t="shared" si="223"/>
        <v>8.2191780821917817</v>
      </c>
      <c r="AM396" s="30">
        <v>8</v>
      </c>
      <c r="AN396" s="30" t="s">
        <v>1065</v>
      </c>
      <c r="AO396" s="30" t="s">
        <v>1050</v>
      </c>
      <c r="AP396" s="30" t="s">
        <v>1187</v>
      </c>
      <c r="AQ396" s="30">
        <v>3</v>
      </c>
      <c r="AR396" s="30">
        <v>7100</v>
      </c>
      <c r="AS396" s="30">
        <v>820</v>
      </c>
      <c r="AT396" s="30">
        <v>1860</v>
      </c>
      <c r="AU396" s="54">
        <v>294360000</v>
      </c>
      <c r="AV396" s="54"/>
      <c r="AW396" s="54"/>
      <c r="AX396" s="54"/>
      <c r="AY396" s="54">
        <v>286312135</v>
      </c>
      <c r="AZ396" s="54">
        <v>2851548</v>
      </c>
      <c r="BA396" s="54">
        <v>1000</v>
      </c>
      <c r="BB396" s="55">
        <f>VLOOKUP(M396,[1]Sheet1!$E$6:$F$556,2,FALSE)</f>
        <v>1000</v>
      </c>
      <c r="BC396" s="74"/>
      <c r="BD396" s="74"/>
      <c r="BE396" s="128">
        <v>2.8222793373984936</v>
      </c>
      <c r="BF396" s="30" t="s">
        <v>1134</v>
      </c>
      <c r="BG396" s="30" t="s">
        <v>1117</v>
      </c>
      <c r="BH396" s="30" t="s">
        <v>1054</v>
      </c>
      <c r="BI396" s="30" t="str">
        <f t="shared" si="262"/>
        <v>COF(Assy_FT)</v>
      </c>
      <c r="BJ396" s="47" t="s">
        <v>137</v>
      </c>
      <c r="BK396" s="56">
        <f t="shared" si="224"/>
        <v>5887200</v>
      </c>
      <c r="BL396" s="57">
        <f t="shared" si="241"/>
        <v>561219.22778880526</v>
      </c>
      <c r="BM396" s="57">
        <f t="shared" si="242"/>
        <v>187073.07592960176</v>
      </c>
      <c r="BU396" s="58">
        <f t="shared" si="267"/>
        <v>561219.22778880526</v>
      </c>
      <c r="BV396" s="58">
        <f t="shared" ref="BT396:BV411" si="270">BU396</f>
        <v>561219.22778880526</v>
      </c>
      <c r="BW396" s="58">
        <f t="shared" si="248"/>
        <v>1122438.4555776105</v>
      </c>
      <c r="BX396" s="58">
        <f t="shared" si="244"/>
        <v>561219.22778880526</v>
      </c>
      <c r="BY396" s="58">
        <f t="shared" si="245"/>
        <v>561219.22778880526</v>
      </c>
      <c r="BZ396" s="58">
        <f t="shared" si="268"/>
        <v>561219.22778880526</v>
      </c>
      <c r="CA396" s="58">
        <f t="shared" si="245"/>
        <v>561219.22778880526</v>
      </c>
      <c r="CB396" s="58">
        <f t="shared" si="264"/>
        <v>2244876.9111552211</v>
      </c>
      <c r="CC396" s="58">
        <f t="shared" si="265"/>
        <v>561219.22778880526</v>
      </c>
      <c r="CD396" s="58">
        <f t="shared" si="260"/>
        <v>561219.22778880526</v>
      </c>
      <c r="CE396" s="58">
        <f t="shared" si="260"/>
        <v>561219.22778880526</v>
      </c>
      <c r="CF396" s="58">
        <f t="shared" si="260"/>
        <v>561219.22778880526</v>
      </c>
      <c r="CG396" s="58">
        <f t="shared" si="266"/>
        <v>2244876.9111552211</v>
      </c>
      <c r="CH396" s="58">
        <f t="shared" si="261"/>
        <v>561219.22778880526</v>
      </c>
      <c r="CI396" s="58">
        <f t="shared" ref="CI396:CK411" si="271">CH396</f>
        <v>561219.22778880526</v>
      </c>
      <c r="CJ396" s="58">
        <f t="shared" si="271"/>
        <v>561219.22778880526</v>
      </c>
      <c r="CK396" s="58">
        <f t="shared" si="271"/>
        <v>561219.22778880526</v>
      </c>
      <c r="CL396" s="58">
        <f t="shared" si="269"/>
        <v>2244876.9111552211</v>
      </c>
      <c r="CN396" s="59">
        <f t="shared" ref="CN396:CN399" si="272">BK396/$CN$3</f>
        <v>5.7484834710675077E-4</v>
      </c>
      <c r="CO396" s="64">
        <f t="shared" ref="CO396:CO399" si="273">CN396*$CO$4</f>
        <v>12071815.289241767</v>
      </c>
      <c r="CP396" s="2">
        <f t="shared" si="263"/>
        <v>17959015.289241768</v>
      </c>
    </row>
    <row r="397" spans="1:94" ht="16.5" hidden="1" x14ac:dyDescent="0.3">
      <c r="A397" s="2">
        <v>392</v>
      </c>
      <c r="B397" s="47" t="s">
        <v>21</v>
      </c>
      <c r="C397" s="47"/>
      <c r="D397" s="30" t="s">
        <v>1041</v>
      </c>
      <c r="E397" s="30" t="s">
        <v>1042</v>
      </c>
      <c r="F397" s="30" t="s">
        <v>1043</v>
      </c>
      <c r="G397" s="30" t="s">
        <v>117</v>
      </c>
      <c r="H397" s="30" t="s">
        <v>1058</v>
      </c>
      <c r="I397" s="30" t="s">
        <v>119</v>
      </c>
      <c r="J397" s="30" t="s">
        <v>1044</v>
      </c>
      <c r="K397" s="30" t="s">
        <v>1044</v>
      </c>
      <c r="L397" s="30" t="s">
        <v>1120</v>
      </c>
      <c r="M397" s="30">
        <v>1005168</v>
      </c>
      <c r="N397" s="30" t="s">
        <v>138</v>
      </c>
      <c r="O397" s="30" t="s">
        <v>1427</v>
      </c>
      <c r="P397" s="30" t="s">
        <v>1410</v>
      </c>
      <c r="Q397" s="30" t="s">
        <v>1411</v>
      </c>
      <c r="R397" s="30"/>
      <c r="S397" s="30" t="s">
        <v>1428</v>
      </c>
      <c r="T397" s="30"/>
      <c r="U397" s="30" t="s">
        <v>144</v>
      </c>
      <c r="V397" s="30" t="s">
        <v>437</v>
      </c>
      <c r="W397" s="30" t="s">
        <v>1125</v>
      </c>
      <c r="X397" s="30" t="s">
        <v>127</v>
      </c>
      <c r="Y397" s="30" t="s">
        <v>576</v>
      </c>
      <c r="Z397" s="30" t="s">
        <v>576</v>
      </c>
      <c r="AA397" s="30" t="s">
        <v>129</v>
      </c>
      <c r="AB397" s="127" t="s">
        <v>1129</v>
      </c>
      <c r="AC397" s="30"/>
      <c r="AD397" s="30"/>
      <c r="AE397" s="30"/>
      <c r="AF397" s="30" t="s">
        <v>131</v>
      </c>
      <c r="AG397" s="30" t="s">
        <v>774</v>
      </c>
      <c r="AH397" s="30"/>
      <c r="AI397" s="30"/>
      <c r="AJ397" s="50">
        <v>42993</v>
      </c>
      <c r="AK397" s="50">
        <v>42993</v>
      </c>
      <c r="AL397" s="51">
        <f t="shared" si="223"/>
        <v>8.131506849315068</v>
      </c>
      <c r="AM397" s="30">
        <v>8</v>
      </c>
      <c r="AN397" s="30" t="s">
        <v>1065</v>
      </c>
      <c r="AO397" s="30" t="s">
        <v>1050</v>
      </c>
      <c r="AP397" s="30" t="s">
        <v>1187</v>
      </c>
      <c r="AQ397" s="30">
        <v>3</v>
      </c>
      <c r="AR397" s="30">
        <v>7100</v>
      </c>
      <c r="AS397" s="30">
        <v>820</v>
      </c>
      <c r="AT397" s="30">
        <v>1860</v>
      </c>
      <c r="AU397" s="54">
        <v>297342500</v>
      </c>
      <c r="AV397" s="54"/>
      <c r="AW397" s="54"/>
      <c r="AX397" s="54"/>
      <c r="AY397" s="54">
        <v>294119212</v>
      </c>
      <c r="AZ397" s="54">
        <v>2938973</v>
      </c>
      <c r="BA397" s="54">
        <v>1000</v>
      </c>
      <c r="BB397" s="55">
        <f>VLOOKUP(M397,[1]Sheet1!$E$6:$F$556,2,FALSE)</f>
        <v>1000</v>
      </c>
      <c r="BC397" s="74"/>
      <c r="BD397" s="74"/>
      <c r="BE397" s="128">
        <v>1.0967395753550646</v>
      </c>
      <c r="BF397" s="30" t="s">
        <v>1134</v>
      </c>
      <c r="BG397" s="30" t="s">
        <v>1117</v>
      </c>
      <c r="BH397" s="30" t="s">
        <v>1054</v>
      </c>
      <c r="BI397" s="30" t="str">
        <f t="shared" si="262"/>
        <v>COF(Assy_FT)</v>
      </c>
      <c r="BJ397" s="47" t="s">
        <v>137</v>
      </c>
      <c r="BK397" s="56">
        <f t="shared" si="224"/>
        <v>5946850</v>
      </c>
      <c r="BL397" s="57">
        <f t="shared" si="241"/>
        <v>566905.58580918878</v>
      </c>
      <c r="BM397" s="57">
        <f t="shared" si="242"/>
        <v>188968.52860306294</v>
      </c>
      <c r="BU397" s="58">
        <f t="shared" si="267"/>
        <v>566905.58580918878</v>
      </c>
      <c r="BV397" s="58">
        <f t="shared" si="270"/>
        <v>566905.58580918878</v>
      </c>
      <c r="BW397" s="58">
        <f t="shared" si="248"/>
        <v>1133811.1716183776</v>
      </c>
      <c r="BX397" s="58">
        <f t="shared" si="244"/>
        <v>566905.58580918878</v>
      </c>
      <c r="BY397" s="58">
        <f t="shared" si="245"/>
        <v>566905.58580918878</v>
      </c>
      <c r="BZ397" s="58">
        <f t="shared" si="268"/>
        <v>566905.58580918878</v>
      </c>
      <c r="CA397" s="58">
        <f t="shared" si="245"/>
        <v>566905.58580918878</v>
      </c>
      <c r="CB397" s="58">
        <f t="shared" si="264"/>
        <v>2267622.3432367551</v>
      </c>
      <c r="CC397" s="58">
        <f t="shared" si="265"/>
        <v>566905.58580918878</v>
      </c>
      <c r="CD397" s="58">
        <f t="shared" si="260"/>
        <v>566905.58580918878</v>
      </c>
      <c r="CE397" s="58">
        <f t="shared" si="260"/>
        <v>566905.58580918878</v>
      </c>
      <c r="CF397" s="58">
        <f t="shared" si="260"/>
        <v>566905.58580918878</v>
      </c>
      <c r="CG397" s="58">
        <f t="shared" si="266"/>
        <v>2267622.3432367551</v>
      </c>
      <c r="CH397" s="58">
        <f t="shared" si="261"/>
        <v>566905.58580918878</v>
      </c>
      <c r="CI397" s="58">
        <f t="shared" si="271"/>
        <v>566905.58580918878</v>
      </c>
      <c r="CJ397" s="58">
        <f t="shared" si="271"/>
        <v>566905.58580918878</v>
      </c>
      <c r="CK397" s="58">
        <f t="shared" si="271"/>
        <v>566905.58580918878</v>
      </c>
      <c r="CL397" s="58">
        <f t="shared" si="269"/>
        <v>2267622.3432367551</v>
      </c>
      <c r="CN397" s="59">
        <f t="shared" si="272"/>
        <v>5.8067279742352572E-4</v>
      </c>
      <c r="CO397" s="64">
        <f t="shared" si="273"/>
        <v>12194128.745894041</v>
      </c>
      <c r="CP397" s="2">
        <f t="shared" si="263"/>
        <v>18140978.745894041</v>
      </c>
    </row>
    <row r="398" spans="1:94" ht="16.5" hidden="1" x14ac:dyDescent="0.3">
      <c r="A398" s="2">
        <v>393</v>
      </c>
      <c r="B398" s="47" t="s">
        <v>21</v>
      </c>
      <c r="C398" s="47"/>
      <c r="D398" s="30" t="s">
        <v>1041</v>
      </c>
      <c r="E398" s="30" t="s">
        <v>1042</v>
      </c>
      <c r="F398" s="30" t="s">
        <v>1043</v>
      </c>
      <c r="G398" s="30" t="s">
        <v>117</v>
      </c>
      <c r="H398" s="30" t="s">
        <v>1058</v>
      </c>
      <c r="I398" s="30" t="s">
        <v>119</v>
      </c>
      <c r="J398" s="30" t="s">
        <v>1044</v>
      </c>
      <c r="K398" s="30" t="s">
        <v>1044</v>
      </c>
      <c r="L398" s="30" t="s">
        <v>1120</v>
      </c>
      <c r="M398" s="30">
        <v>1005169</v>
      </c>
      <c r="N398" s="30" t="s">
        <v>138</v>
      </c>
      <c r="O398" s="30" t="s">
        <v>1429</v>
      </c>
      <c r="P398" s="30" t="s">
        <v>1410</v>
      </c>
      <c r="Q398" s="30" t="s">
        <v>1411</v>
      </c>
      <c r="R398" s="30"/>
      <c r="S398" s="30" t="s">
        <v>1430</v>
      </c>
      <c r="T398" s="30"/>
      <c r="U398" s="30" t="s">
        <v>144</v>
      </c>
      <c r="V398" s="30" t="s">
        <v>437</v>
      </c>
      <c r="W398" s="30" t="s">
        <v>1125</v>
      </c>
      <c r="X398" s="30" t="s">
        <v>127</v>
      </c>
      <c r="Y398" s="30" t="s">
        <v>576</v>
      </c>
      <c r="Z398" s="30" t="s">
        <v>576</v>
      </c>
      <c r="AA398" s="30" t="s">
        <v>129</v>
      </c>
      <c r="AB398" s="127" t="s">
        <v>1129</v>
      </c>
      <c r="AC398" s="30"/>
      <c r="AD398" s="30"/>
      <c r="AE398" s="30"/>
      <c r="AF398" s="30" t="s">
        <v>131</v>
      </c>
      <c r="AG398" s="30" t="s">
        <v>774</v>
      </c>
      <c r="AH398" s="30"/>
      <c r="AI398" s="30"/>
      <c r="AJ398" s="50">
        <v>42993</v>
      </c>
      <c r="AK398" s="50">
        <v>42993</v>
      </c>
      <c r="AL398" s="51">
        <f t="shared" si="223"/>
        <v>8.131506849315068</v>
      </c>
      <c r="AM398" s="30">
        <v>8</v>
      </c>
      <c r="AN398" s="30" t="s">
        <v>1065</v>
      </c>
      <c r="AO398" s="30" t="s">
        <v>1050</v>
      </c>
      <c r="AP398" s="30" t="s">
        <v>1187</v>
      </c>
      <c r="AQ398" s="30">
        <v>3</v>
      </c>
      <c r="AR398" s="30">
        <v>7100</v>
      </c>
      <c r="AS398" s="30">
        <v>820</v>
      </c>
      <c r="AT398" s="30">
        <v>1860</v>
      </c>
      <c r="AU398" s="54">
        <v>263330000</v>
      </c>
      <c r="AV398" s="54"/>
      <c r="AW398" s="54"/>
      <c r="AX398" s="54"/>
      <c r="AY398" s="54">
        <v>260484602</v>
      </c>
      <c r="AZ398" s="54">
        <v>2561056</v>
      </c>
      <c r="BA398" s="54">
        <v>1000</v>
      </c>
      <c r="BB398" s="55">
        <f>VLOOKUP(M398,[1]Sheet1!$E$6:$F$556,2,FALSE)</f>
        <v>1000</v>
      </c>
      <c r="BC398" s="74"/>
      <c r="BD398" s="74"/>
      <c r="BE398" s="128">
        <v>1.111025295815476</v>
      </c>
      <c r="BF398" s="30" t="s">
        <v>1134</v>
      </c>
      <c r="BG398" s="30" t="s">
        <v>1117</v>
      </c>
      <c r="BH398" s="30" t="s">
        <v>1054</v>
      </c>
      <c r="BI398" s="30" t="str">
        <f t="shared" si="262"/>
        <v>COF(Assy_FT)</v>
      </c>
      <c r="BJ398" s="47" t="s">
        <v>137</v>
      </c>
      <c r="BK398" s="56">
        <f t="shared" si="224"/>
        <v>5266600</v>
      </c>
      <c r="BL398" s="57">
        <f t="shared" si="241"/>
        <v>502058.22548452939</v>
      </c>
      <c r="BM398" s="57">
        <f t="shared" si="242"/>
        <v>167352.74182817645</v>
      </c>
      <c r="BU398" s="58">
        <f t="shared" si="267"/>
        <v>502058.22548452939</v>
      </c>
      <c r="BV398" s="58">
        <f t="shared" si="270"/>
        <v>502058.22548452939</v>
      </c>
      <c r="BW398" s="58">
        <f t="shared" si="248"/>
        <v>1004116.4509690588</v>
      </c>
      <c r="BX398" s="58">
        <f t="shared" si="244"/>
        <v>502058.22548452939</v>
      </c>
      <c r="BY398" s="58">
        <f t="shared" si="245"/>
        <v>502058.22548452939</v>
      </c>
      <c r="BZ398" s="58">
        <f t="shared" si="268"/>
        <v>502058.22548452939</v>
      </c>
      <c r="CA398" s="58">
        <f t="shared" si="245"/>
        <v>502058.22548452939</v>
      </c>
      <c r="CB398" s="58">
        <f t="shared" si="264"/>
        <v>2008232.9019381176</v>
      </c>
      <c r="CC398" s="58">
        <f t="shared" si="265"/>
        <v>502058.22548452939</v>
      </c>
      <c r="CD398" s="58">
        <f t="shared" si="260"/>
        <v>502058.22548452939</v>
      </c>
      <c r="CE398" s="58">
        <f t="shared" si="260"/>
        <v>502058.22548452939</v>
      </c>
      <c r="CF398" s="58">
        <f t="shared" si="260"/>
        <v>502058.22548452939</v>
      </c>
      <c r="CG398" s="58">
        <f t="shared" si="266"/>
        <v>2008232.9019381176</v>
      </c>
      <c r="CH398" s="58">
        <f t="shared" si="261"/>
        <v>502058.22548452939</v>
      </c>
      <c r="CI398" s="58">
        <f t="shared" si="271"/>
        <v>502058.22548452939</v>
      </c>
      <c r="CJ398" s="58">
        <f t="shared" si="271"/>
        <v>502058.22548452939</v>
      </c>
      <c r="CK398" s="58">
        <f t="shared" si="271"/>
        <v>502058.22548452939</v>
      </c>
      <c r="CL398" s="58">
        <f t="shared" si="269"/>
        <v>2008232.9019381176</v>
      </c>
      <c r="CN398" s="59">
        <f t="shared" si="272"/>
        <v>5.1425062930975909E-4</v>
      </c>
      <c r="CO398" s="64">
        <f t="shared" si="273"/>
        <v>10799263.215504941</v>
      </c>
      <c r="CP398" s="2">
        <f t="shared" si="263"/>
        <v>16065863.215504941</v>
      </c>
    </row>
    <row r="399" spans="1:94" ht="16.5" hidden="1" x14ac:dyDescent="0.3">
      <c r="A399" s="2">
        <v>394</v>
      </c>
      <c r="B399" s="47" t="s">
        <v>21</v>
      </c>
      <c r="C399" s="47"/>
      <c r="D399" s="30" t="s">
        <v>1041</v>
      </c>
      <c r="E399" s="30" t="s">
        <v>1042</v>
      </c>
      <c r="F399" s="30" t="s">
        <v>1043</v>
      </c>
      <c r="G399" s="30" t="s">
        <v>117</v>
      </c>
      <c r="H399" s="30" t="s">
        <v>385</v>
      </c>
      <c r="I399" s="30" t="s">
        <v>119</v>
      </c>
      <c r="J399" s="30" t="s">
        <v>1044</v>
      </c>
      <c r="K399" s="30" t="s">
        <v>1044</v>
      </c>
      <c r="L399" s="30" t="s">
        <v>1130</v>
      </c>
      <c r="M399" s="30">
        <v>1002188</v>
      </c>
      <c r="N399" s="30" t="s">
        <v>138</v>
      </c>
      <c r="O399" s="30" t="s">
        <v>1431</v>
      </c>
      <c r="P399" s="30" t="s">
        <v>1358</v>
      </c>
      <c r="Q399" s="30" t="s">
        <v>1359</v>
      </c>
      <c r="R399" s="30" t="s">
        <v>1325</v>
      </c>
      <c r="S399" s="30">
        <v>10051706</v>
      </c>
      <c r="T399" s="30" t="s">
        <v>1326</v>
      </c>
      <c r="U399" s="30" t="s">
        <v>144</v>
      </c>
      <c r="V399" s="30" t="s">
        <v>437</v>
      </c>
      <c r="W399" s="30" t="s">
        <v>1228</v>
      </c>
      <c r="X399" s="30" t="s">
        <v>147</v>
      </c>
      <c r="Y399" s="125" t="s">
        <v>128</v>
      </c>
      <c r="Z399" s="125" t="s">
        <v>128</v>
      </c>
      <c r="AA399" s="30" t="s">
        <v>148</v>
      </c>
      <c r="AB399" s="30" t="s">
        <v>1146</v>
      </c>
      <c r="AC399" s="30" t="s">
        <v>1146</v>
      </c>
      <c r="AD399" s="30"/>
      <c r="AE399" s="30"/>
      <c r="AF399" s="30" t="s">
        <v>593</v>
      </c>
      <c r="AG399" s="30" t="s">
        <v>440</v>
      </c>
      <c r="AH399" s="30" t="s">
        <v>1147</v>
      </c>
      <c r="AI399" s="30"/>
      <c r="AJ399" s="50">
        <v>40329</v>
      </c>
      <c r="AK399" s="50">
        <v>40329</v>
      </c>
      <c r="AL399" s="51">
        <f t="shared" si="223"/>
        <v>15.43013698630137</v>
      </c>
      <c r="AM399" s="30">
        <v>8</v>
      </c>
      <c r="AN399" s="30" t="s">
        <v>1065</v>
      </c>
      <c r="AO399" s="30" t="s">
        <v>1050</v>
      </c>
      <c r="AP399" s="30" t="s">
        <v>1051</v>
      </c>
      <c r="AQ399" s="30">
        <v>3</v>
      </c>
      <c r="AR399" s="30">
        <v>3000</v>
      </c>
      <c r="AS399" s="30">
        <v>1400</v>
      </c>
      <c r="AT399" s="30">
        <v>2050</v>
      </c>
      <c r="AU399" s="54">
        <v>247363333</v>
      </c>
      <c r="AV399" s="54"/>
      <c r="AW399" s="54"/>
      <c r="AX399" s="54"/>
      <c r="AY399" s="54">
        <v>247362333</v>
      </c>
      <c r="AZ399" s="54">
        <v>1873127</v>
      </c>
      <c r="BA399" s="54">
        <v>1000</v>
      </c>
      <c r="BB399" s="55">
        <f>VLOOKUP(M399,[1]Sheet1!$E$6:$F$556,2,FALSE)</f>
        <v>1000</v>
      </c>
      <c r="BC399" s="74"/>
      <c r="BD399" s="74"/>
      <c r="BE399" s="30"/>
      <c r="BF399" s="30" t="s">
        <v>1052</v>
      </c>
      <c r="BG399" s="30" t="s">
        <v>1074</v>
      </c>
      <c r="BH399" s="30" t="s">
        <v>1054</v>
      </c>
      <c r="BI399" s="30" t="str">
        <f t="shared" si="262"/>
        <v>COF(Assy_FT)</v>
      </c>
      <c r="BJ399" s="47" t="s">
        <v>137</v>
      </c>
      <c r="BK399" s="67">
        <f t="shared" si="224"/>
        <v>4947266.66</v>
      </c>
      <c r="BL399" s="68">
        <f t="shared" si="241"/>
        <v>471616.58761219279</v>
      </c>
      <c r="BM399" s="68">
        <f t="shared" si="242"/>
        <v>157205.52920406425</v>
      </c>
      <c r="BP399" s="69">
        <f>BM399*3</f>
        <v>471616.58761219273</v>
      </c>
      <c r="BQ399" s="69">
        <f>BP399</f>
        <v>471616.58761219273</v>
      </c>
      <c r="BR399" s="69">
        <f>SUM(BN399:BQ399)</f>
        <v>943233.17522438546</v>
      </c>
      <c r="BS399" s="69">
        <f>BQ399</f>
        <v>471616.58761219273</v>
      </c>
      <c r="BT399" s="69">
        <f t="shared" si="270"/>
        <v>471616.58761219273</v>
      </c>
      <c r="BU399" s="100">
        <f t="shared" si="270"/>
        <v>471616.58761219273</v>
      </c>
      <c r="BV399" s="100">
        <f t="shared" si="270"/>
        <v>471616.58761219273</v>
      </c>
      <c r="BW399" s="100">
        <f t="shared" si="248"/>
        <v>1886466.3504487709</v>
      </c>
      <c r="BX399" s="101">
        <f t="shared" si="244"/>
        <v>471616.58761219273</v>
      </c>
      <c r="BY399" s="101">
        <f t="shared" si="245"/>
        <v>471616.58761219273</v>
      </c>
      <c r="BZ399" s="18">
        <f t="shared" si="245"/>
        <v>471616.58761219273</v>
      </c>
      <c r="CA399" s="18">
        <f t="shared" si="245"/>
        <v>471616.58761219273</v>
      </c>
      <c r="CB399" s="70">
        <f t="shared" si="264"/>
        <v>1886466.3504487709</v>
      </c>
      <c r="CC399" s="18">
        <f t="shared" si="265"/>
        <v>471616.58761219273</v>
      </c>
      <c r="CD399" s="18">
        <f t="shared" si="260"/>
        <v>471616.58761219273</v>
      </c>
      <c r="CE399" s="18">
        <f t="shared" si="260"/>
        <v>471616.58761219273</v>
      </c>
      <c r="CF399" s="18">
        <f t="shared" si="260"/>
        <v>471616.58761219273</v>
      </c>
      <c r="CG399" s="70">
        <f t="shared" si="266"/>
        <v>1886466.3504487709</v>
      </c>
      <c r="CH399" s="18">
        <f t="shared" si="261"/>
        <v>471616.58761219273</v>
      </c>
      <c r="CI399" s="18">
        <f t="shared" si="271"/>
        <v>471616.58761219273</v>
      </c>
      <c r="CJ399" s="18">
        <f t="shared" si="271"/>
        <v>471616.58761219273</v>
      </c>
      <c r="CK399" s="18">
        <f t="shared" si="271"/>
        <v>471616.58761219273</v>
      </c>
      <c r="CL399" s="70">
        <f t="shared" si="269"/>
        <v>1886466.3504487709</v>
      </c>
      <c r="CM399" s="71"/>
      <c r="CN399" s="59">
        <f t="shared" si="272"/>
        <v>4.8306972112334141E-4</v>
      </c>
      <c r="CO399" s="64">
        <f t="shared" si="273"/>
        <v>10144464.143590169</v>
      </c>
      <c r="CP399" s="2">
        <f t="shared" si="263"/>
        <v>15091730.803590169</v>
      </c>
    </row>
    <row r="400" spans="1:94" ht="16.5" hidden="1" x14ac:dyDescent="0.3">
      <c r="A400" s="29">
        <v>395</v>
      </c>
      <c r="B400" s="30" t="s">
        <v>21</v>
      </c>
      <c r="C400" s="30"/>
      <c r="D400" s="30" t="s">
        <v>1041</v>
      </c>
      <c r="E400" s="30" t="s">
        <v>1042</v>
      </c>
      <c r="F400" s="30" t="s">
        <v>1043</v>
      </c>
      <c r="G400" s="30" t="s">
        <v>117</v>
      </c>
      <c r="H400" s="30" t="s">
        <v>926</v>
      </c>
      <c r="I400" s="30" t="s">
        <v>119</v>
      </c>
      <c r="J400" s="30" t="s">
        <v>1044</v>
      </c>
      <c r="K400" s="30" t="s">
        <v>1044</v>
      </c>
      <c r="L400" s="30" t="s">
        <v>1148</v>
      </c>
      <c r="M400" s="30">
        <v>1005243</v>
      </c>
      <c r="N400" s="30" t="s">
        <v>138</v>
      </c>
      <c r="O400" s="30" t="s">
        <v>1432</v>
      </c>
      <c r="P400" s="30" t="s">
        <v>1150</v>
      </c>
      <c r="Q400" s="30" t="s">
        <v>1272</v>
      </c>
      <c r="R400" s="30"/>
      <c r="S400" s="30" t="s">
        <v>1433</v>
      </c>
      <c r="T400" s="30"/>
      <c r="U400" s="30" t="s">
        <v>144</v>
      </c>
      <c r="V400" s="30" t="s">
        <v>437</v>
      </c>
      <c r="W400" s="30" t="s">
        <v>1274</v>
      </c>
      <c r="X400" s="30"/>
      <c r="Y400" s="30" t="s">
        <v>128</v>
      </c>
      <c r="Z400" s="30" t="s">
        <v>128</v>
      </c>
      <c r="AA400" s="30" t="s">
        <v>129</v>
      </c>
      <c r="AB400" s="2" t="s">
        <v>1153</v>
      </c>
      <c r="AC400" s="2" t="s">
        <v>1154</v>
      </c>
      <c r="AD400" s="30"/>
      <c r="AE400" s="30"/>
      <c r="AF400" s="30" t="s">
        <v>131</v>
      </c>
      <c r="AG400" s="30" t="s">
        <v>1088</v>
      </c>
      <c r="AH400" s="30"/>
      <c r="AI400" s="30"/>
      <c r="AJ400" s="50">
        <v>43039</v>
      </c>
      <c r="AK400" s="50">
        <v>43039</v>
      </c>
      <c r="AL400" s="51">
        <f t="shared" si="223"/>
        <v>8.0054794520547947</v>
      </c>
      <c r="AM400" s="30">
        <v>8</v>
      </c>
      <c r="AN400" s="30" t="s">
        <v>1065</v>
      </c>
      <c r="AO400" s="30" t="s">
        <v>1050</v>
      </c>
      <c r="AP400" s="30" t="s">
        <v>1187</v>
      </c>
      <c r="AQ400" s="30">
        <v>3</v>
      </c>
      <c r="AR400" s="30">
        <v>1760</v>
      </c>
      <c r="AS400" s="30">
        <v>700</v>
      </c>
      <c r="AT400" s="30">
        <v>1695</v>
      </c>
      <c r="AU400" s="74">
        <v>23000000</v>
      </c>
      <c r="AV400" s="54"/>
      <c r="AW400" s="54"/>
      <c r="AX400" s="54"/>
      <c r="AY400" s="54">
        <v>22547129</v>
      </c>
      <c r="AZ400" s="54">
        <v>226419</v>
      </c>
      <c r="BA400" s="74">
        <v>1000</v>
      </c>
      <c r="BB400" s="55">
        <f>VLOOKUP(M400,[1]Sheet1!$E$6:$F$556,2,FALSE)</f>
        <v>1000</v>
      </c>
      <c r="BC400" s="74"/>
      <c r="BD400" s="74"/>
      <c r="BE400" s="128">
        <v>2.0001457474858557</v>
      </c>
      <c r="BF400" s="30" t="s">
        <v>1134</v>
      </c>
      <c r="BG400" s="30" t="s">
        <v>1155</v>
      </c>
      <c r="BH400" s="30" t="s">
        <v>1054</v>
      </c>
      <c r="BI400" s="30" t="str">
        <f t="shared" si="262"/>
        <v>COF(Assy_FT)</v>
      </c>
      <c r="BJ400" s="30" t="s">
        <v>250</v>
      </c>
      <c r="BK400" s="56">
        <f t="shared" si="224"/>
        <v>460000</v>
      </c>
      <c r="BL400" s="57">
        <f t="shared" si="241"/>
        <v>14375</v>
      </c>
      <c r="BM400" s="57">
        <f t="shared" si="242"/>
        <v>4791.666666666667</v>
      </c>
      <c r="BU400" s="58">
        <f t="shared" ref="BU400:BU405" si="274">BM400*3</f>
        <v>14375</v>
      </c>
      <c r="BV400" s="58">
        <f t="shared" si="270"/>
        <v>14375</v>
      </c>
      <c r="BW400" s="58">
        <f t="shared" si="248"/>
        <v>28750</v>
      </c>
      <c r="BX400" s="58">
        <f t="shared" si="244"/>
        <v>14375</v>
      </c>
      <c r="BY400" s="58">
        <f t="shared" si="245"/>
        <v>14375</v>
      </c>
      <c r="BZ400" s="58">
        <f t="shared" ref="BZ400:BZ405" si="275">BM400*3</f>
        <v>14375</v>
      </c>
      <c r="CA400" s="58">
        <f t="shared" si="245"/>
        <v>14375</v>
      </c>
      <c r="CB400" s="58">
        <f t="shared" si="264"/>
        <v>57500</v>
      </c>
      <c r="CC400" s="58">
        <f t="shared" si="265"/>
        <v>14375</v>
      </c>
      <c r="CD400" s="58">
        <f t="shared" si="260"/>
        <v>14375</v>
      </c>
      <c r="CE400" s="58">
        <f t="shared" si="260"/>
        <v>14375</v>
      </c>
      <c r="CF400" s="58">
        <f t="shared" si="260"/>
        <v>14375</v>
      </c>
      <c r="CG400" s="58">
        <f t="shared" si="266"/>
        <v>57500</v>
      </c>
      <c r="CH400" s="58">
        <f t="shared" si="261"/>
        <v>14375</v>
      </c>
      <c r="CI400" s="58">
        <f t="shared" si="271"/>
        <v>14375</v>
      </c>
      <c r="CJ400" s="58">
        <f t="shared" si="271"/>
        <v>14375</v>
      </c>
      <c r="CK400" s="58">
        <f t="shared" si="271"/>
        <v>14375</v>
      </c>
      <c r="CL400" s="58">
        <f t="shared" si="269"/>
        <v>57500</v>
      </c>
      <c r="CP400" s="2">
        <f t="shared" si="263"/>
        <v>460000</v>
      </c>
    </row>
    <row r="401" spans="1:94" hidden="1" x14ac:dyDescent="0.3">
      <c r="A401" s="29">
        <v>396</v>
      </c>
      <c r="B401" s="30" t="s">
        <v>21</v>
      </c>
      <c r="C401" s="30"/>
      <c r="D401" s="30" t="s">
        <v>1041</v>
      </c>
      <c r="E401" s="30" t="s">
        <v>1042</v>
      </c>
      <c r="F401" s="30" t="s">
        <v>1043</v>
      </c>
      <c r="G401" s="30" t="s">
        <v>117</v>
      </c>
      <c r="H401" s="30" t="s">
        <v>1058</v>
      </c>
      <c r="I401" s="30" t="s">
        <v>119</v>
      </c>
      <c r="J401" s="30" t="s">
        <v>1044</v>
      </c>
      <c r="K401" s="30" t="s">
        <v>1044</v>
      </c>
      <c r="L401" s="30" t="s">
        <v>1120</v>
      </c>
      <c r="M401" s="30">
        <v>1005267</v>
      </c>
      <c r="N401" s="30" t="s">
        <v>369</v>
      </c>
      <c r="O401" s="30" t="s">
        <v>1434</v>
      </c>
      <c r="P401" s="30"/>
      <c r="Q401" s="48" t="s">
        <v>372</v>
      </c>
      <c r="R401" s="30"/>
      <c r="S401" s="30"/>
      <c r="T401" s="30"/>
      <c r="U401" s="30" t="s">
        <v>144</v>
      </c>
      <c r="V401" s="30" t="s">
        <v>437</v>
      </c>
      <c r="W401" s="30" t="s">
        <v>1435</v>
      </c>
      <c r="X401" s="30"/>
      <c r="Y401" s="30" t="s">
        <v>576</v>
      </c>
      <c r="Z401" s="30" t="s">
        <v>576</v>
      </c>
      <c r="AA401" s="30" t="s">
        <v>129</v>
      </c>
      <c r="AB401" s="30" t="s">
        <v>1132</v>
      </c>
      <c r="AC401" s="30"/>
      <c r="AD401" s="30"/>
      <c r="AE401" s="30"/>
      <c r="AF401" s="30" t="s">
        <v>131</v>
      </c>
      <c r="AG401" s="30" t="s">
        <v>774</v>
      </c>
      <c r="AH401" s="30"/>
      <c r="AI401" s="30"/>
      <c r="AJ401" s="50">
        <v>43069</v>
      </c>
      <c r="AK401" s="50">
        <v>43069</v>
      </c>
      <c r="AL401" s="51">
        <f t="shared" ref="AL401:AL464" si="276">($AL$1-AK401)/365</f>
        <v>7.9232876712328766</v>
      </c>
      <c r="AM401" s="30">
        <v>8</v>
      </c>
      <c r="AN401" s="30" t="s">
        <v>1065</v>
      </c>
      <c r="AO401" s="30" t="s">
        <v>1050</v>
      </c>
      <c r="AP401" s="30" t="s">
        <v>1051</v>
      </c>
      <c r="AQ401" s="30">
        <v>3</v>
      </c>
      <c r="AR401" s="30"/>
      <c r="AS401" s="30"/>
      <c r="AT401" s="30"/>
      <c r="AU401" s="74">
        <v>206000000</v>
      </c>
      <c r="AV401" s="54"/>
      <c r="AW401" s="54"/>
      <c r="AX401" s="54"/>
      <c r="AY401" s="54">
        <v>199842373</v>
      </c>
      <c r="AZ401" s="54">
        <v>2052536</v>
      </c>
      <c r="BA401" s="74">
        <v>1000</v>
      </c>
      <c r="BB401" s="55">
        <f>VLOOKUP(M401,[1]Sheet1!$E$6:$F$556,2,FALSE)</f>
        <v>1000</v>
      </c>
      <c r="BC401" s="74"/>
      <c r="BD401" s="74"/>
      <c r="BE401" s="128">
        <v>3.000009256841293</v>
      </c>
      <c r="BF401" s="30" t="s">
        <v>1134</v>
      </c>
      <c r="BG401" s="30" t="s">
        <v>1117</v>
      </c>
      <c r="BH401" s="30" t="s">
        <v>1054</v>
      </c>
      <c r="BI401" s="30" t="str">
        <f t="shared" si="262"/>
        <v>COF(Assy_FT)</v>
      </c>
      <c r="BJ401" s="30" t="s">
        <v>250</v>
      </c>
      <c r="BK401" s="56">
        <f t="shared" ref="BK401:BK464" si="277">IF(OR(BA401=1000, BA401=0), AU401*$BQ$1, BA401*(1+$BL$2))</f>
        <v>4120000</v>
      </c>
      <c r="BL401" s="57">
        <f t="shared" si="241"/>
        <v>128750</v>
      </c>
      <c r="BM401" s="57">
        <f t="shared" si="242"/>
        <v>42916.666666666664</v>
      </c>
      <c r="BU401" s="58">
        <f t="shared" si="274"/>
        <v>128750</v>
      </c>
      <c r="BV401" s="58">
        <f t="shared" si="270"/>
        <v>128750</v>
      </c>
      <c r="BW401" s="58">
        <f t="shared" si="248"/>
        <v>257500</v>
      </c>
      <c r="BX401" s="58">
        <f t="shared" si="244"/>
        <v>128750</v>
      </c>
      <c r="BY401" s="58">
        <f t="shared" si="245"/>
        <v>128750</v>
      </c>
      <c r="BZ401" s="58">
        <f t="shared" si="275"/>
        <v>128750</v>
      </c>
      <c r="CA401" s="58">
        <f t="shared" si="245"/>
        <v>128750</v>
      </c>
      <c r="CB401" s="58">
        <f t="shared" si="264"/>
        <v>515000</v>
      </c>
      <c r="CC401" s="58">
        <f t="shared" si="265"/>
        <v>128750</v>
      </c>
      <c r="CD401" s="58">
        <f t="shared" si="260"/>
        <v>128750</v>
      </c>
      <c r="CE401" s="58">
        <f t="shared" si="260"/>
        <v>128750</v>
      </c>
      <c r="CF401" s="58">
        <f t="shared" si="260"/>
        <v>128750</v>
      </c>
      <c r="CG401" s="58">
        <f t="shared" si="266"/>
        <v>515000</v>
      </c>
      <c r="CH401" s="58">
        <f t="shared" si="261"/>
        <v>128750</v>
      </c>
      <c r="CI401" s="58">
        <f t="shared" si="271"/>
        <v>128750</v>
      </c>
      <c r="CJ401" s="58">
        <f t="shared" si="271"/>
        <v>128750</v>
      </c>
      <c r="CK401" s="58">
        <f t="shared" si="271"/>
        <v>128750</v>
      </c>
      <c r="CL401" s="58">
        <f t="shared" si="269"/>
        <v>515000</v>
      </c>
      <c r="CP401" s="2">
        <f t="shared" si="263"/>
        <v>4120000</v>
      </c>
    </row>
    <row r="402" spans="1:94" hidden="1" x14ac:dyDescent="0.3">
      <c r="A402" s="29">
        <v>397</v>
      </c>
      <c r="B402" s="30" t="s">
        <v>21</v>
      </c>
      <c r="C402" s="30"/>
      <c r="D402" s="30" t="s">
        <v>1041</v>
      </c>
      <c r="E402" s="30" t="s">
        <v>1042</v>
      </c>
      <c r="F402" s="30" t="s">
        <v>1043</v>
      </c>
      <c r="G402" s="30" t="s">
        <v>117</v>
      </c>
      <c r="H402" s="30" t="s">
        <v>1058</v>
      </c>
      <c r="I402" s="30" t="s">
        <v>119</v>
      </c>
      <c r="J402" s="30" t="s">
        <v>1044</v>
      </c>
      <c r="K402" s="30" t="s">
        <v>1044</v>
      </c>
      <c r="L402" s="30" t="s">
        <v>1120</v>
      </c>
      <c r="M402" s="30">
        <v>1005282</v>
      </c>
      <c r="N402" s="30" t="s">
        <v>138</v>
      </c>
      <c r="O402" s="30" t="s">
        <v>1436</v>
      </c>
      <c r="P402" s="30" t="s">
        <v>1410</v>
      </c>
      <c r="Q402" s="30" t="s">
        <v>1411</v>
      </c>
      <c r="R402" s="30"/>
      <c r="S402" s="30" t="s">
        <v>1437</v>
      </c>
      <c r="T402" s="30"/>
      <c r="U402" s="30" t="s">
        <v>144</v>
      </c>
      <c r="V402" s="30" t="s">
        <v>437</v>
      </c>
      <c r="W402" s="30" t="s">
        <v>1125</v>
      </c>
      <c r="X402" s="30"/>
      <c r="Y402" s="30" t="s">
        <v>576</v>
      </c>
      <c r="Z402" s="30" t="s">
        <v>576</v>
      </c>
      <c r="AA402" s="30" t="s">
        <v>129</v>
      </c>
      <c r="AB402" s="127" t="s">
        <v>1129</v>
      </c>
      <c r="AC402" s="30"/>
      <c r="AD402" s="30"/>
      <c r="AE402" s="30"/>
      <c r="AF402" s="30" t="s">
        <v>131</v>
      </c>
      <c r="AG402" s="30" t="s">
        <v>774</v>
      </c>
      <c r="AH402" s="30"/>
      <c r="AI402" s="30"/>
      <c r="AJ402" s="50">
        <v>43088</v>
      </c>
      <c r="AK402" s="50">
        <v>43088</v>
      </c>
      <c r="AL402" s="51">
        <f t="shared" si="276"/>
        <v>7.8712328767123285</v>
      </c>
      <c r="AM402" s="30">
        <v>8</v>
      </c>
      <c r="AN402" s="30" t="s">
        <v>1065</v>
      </c>
      <c r="AO402" s="30" t="s">
        <v>1050</v>
      </c>
      <c r="AP402" s="30" t="s">
        <v>1187</v>
      </c>
      <c r="AQ402" s="30">
        <v>3</v>
      </c>
      <c r="AR402" s="30">
        <v>7100</v>
      </c>
      <c r="AS402" s="30">
        <v>820</v>
      </c>
      <c r="AT402" s="30">
        <v>1860</v>
      </c>
      <c r="AU402" s="74">
        <v>282072500</v>
      </c>
      <c r="AV402" s="54"/>
      <c r="AW402" s="54"/>
      <c r="AX402" s="54"/>
      <c r="AY402" s="54">
        <v>270612588</v>
      </c>
      <c r="AZ402" s="54">
        <v>2864987</v>
      </c>
      <c r="BA402" s="74">
        <v>2864951</v>
      </c>
      <c r="BB402" s="55">
        <f>VLOOKUP(M402,[1]Sheet1!$E$6:$F$556,2,FALSE)</f>
        <v>1000</v>
      </c>
      <c r="BC402" s="74"/>
      <c r="BD402" s="74"/>
      <c r="BE402" s="128">
        <v>3.9999874344979576</v>
      </c>
      <c r="BF402" s="30" t="s">
        <v>1134</v>
      </c>
      <c r="BG402" s="30" t="s">
        <v>1117</v>
      </c>
      <c r="BH402" s="30" t="s">
        <v>1054</v>
      </c>
      <c r="BI402" s="30" t="str">
        <f t="shared" si="262"/>
        <v>COF(Assy_FT)</v>
      </c>
      <c r="BJ402" s="30" t="s">
        <v>250</v>
      </c>
      <c r="BK402" s="56">
        <f t="shared" si="277"/>
        <v>3008198.5500000003</v>
      </c>
      <c r="BL402" s="57">
        <f t="shared" si="241"/>
        <v>94006.204687500009</v>
      </c>
      <c r="BM402" s="57">
        <f t="shared" si="242"/>
        <v>31335.401562500003</v>
      </c>
      <c r="BU402" s="58">
        <f t="shared" si="274"/>
        <v>94006.204687500009</v>
      </c>
      <c r="BV402" s="58">
        <f t="shared" si="270"/>
        <v>94006.204687500009</v>
      </c>
      <c r="BW402" s="58">
        <f t="shared" si="248"/>
        <v>188012.40937500002</v>
      </c>
      <c r="BX402" s="58">
        <f t="shared" si="244"/>
        <v>94006.204687500009</v>
      </c>
      <c r="BY402" s="58">
        <f t="shared" si="245"/>
        <v>94006.204687500009</v>
      </c>
      <c r="BZ402" s="58">
        <f t="shared" si="275"/>
        <v>94006.204687500009</v>
      </c>
      <c r="CA402" s="58">
        <f t="shared" si="245"/>
        <v>94006.204687500009</v>
      </c>
      <c r="CB402" s="58">
        <f t="shared" si="264"/>
        <v>376024.81875000003</v>
      </c>
      <c r="CC402" s="58">
        <f t="shared" si="265"/>
        <v>94006.204687500009</v>
      </c>
      <c r="CD402" s="58">
        <f t="shared" si="260"/>
        <v>94006.204687500009</v>
      </c>
      <c r="CE402" s="58">
        <f t="shared" si="260"/>
        <v>94006.204687500009</v>
      </c>
      <c r="CF402" s="58">
        <f t="shared" si="260"/>
        <v>94006.204687500009</v>
      </c>
      <c r="CG402" s="58">
        <f t="shared" si="266"/>
        <v>376024.81875000003</v>
      </c>
      <c r="CH402" s="58">
        <f t="shared" si="261"/>
        <v>94006.204687500009</v>
      </c>
      <c r="CI402" s="58">
        <f t="shared" si="271"/>
        <v>94006.204687500009</v>
      </c>
      <c r="CJ402" s="58">
        <f t="shared" si="271"/>
        <v>94006.204687500009</v>
      </c>
      <c r="CK402" s="58">
        <f t="shared" si="271"/>
        <v>94006.204687500009</v>
      </c>
      <c r="CL402" s="58">
        <f t="shared" si="269"/>
        <v>376024.81875000003</v>
      </c>
      <c r="CP402" s="2">
        <f t="shared" si="263"/>
        <v>3008198.5500000003</v>
      </c>
    </row>
    <row r="403" spans="1:94" hidden="1" x14ac:dyDescent="0.3">
      <c r="A403" s="29">
        <v>398</v>
      </c>
      <c r="B403" s="30" t="s">
        <v>21</v>
      </c>
      <c r="C403" s="30"/>
      <c r="D403" s="30" t="s">
        <v>1041</v>
      </c>
      <c r="E403" s="30" t="s">
        <v>1042</v>
      </c>
      <c r="F403" s="30" t="s">
        <v>1043</v>
      </c>
      <c r="G403" s="30" t="s">
        <v>117</v>
      </c>
      <c r="H403" s="30" t="s">
        <v>1058</v>
      </c>
      <c r="I403" s="30" t="s">
        <v>119</v>
      </c>
      <c r="J403" s="30" t="s">
        <v>1044</v>
      </c>
      <c r="K403" s="30" t="s">
        <v>1044</v>
      </c>
      <c r="L403" s="30" t="s">
        <v>1120</v>
      </c>
      <c r="M403" s="30">
        <v>1005283</v>
      </c>
      <c r="N403" s="30" t="s">
        <v>138</v>
      </c>
      <c r="O403" s="30" t="s">
        <v>1438</v>
      </c>
      <c r="P403" s="30" t="s">
        <v>1410</v>
      </c>
      <c r="Q403" s="30" t="s">
        <v>1411</v>
      </c>
      <c r="R403" s="30"/>
      <c r="S403" s="30" t="s">
        <v>1439</v>
      </c>
      <c r="T403" s="30"/>
      <c r="U403" s="30" t="s">
        <v>144</v>
      </c>
      <c r="V403" s="30" t="s">
        <v>437</v>
      </c>
      <c r="W403" s="30" t="s">
        <v>1125</v>
      </c>
      <c r="X403" s="30"/>
      <c r="Y403" s="30" t="s">
        <v>128</v>
      </c>
      <c r="Z403" s="30" t="s">
        <v>128</v>
      </c>
      <c r="AA403" s="30" t="s">
        <v>129</v>
      </c>
      <c r="AB403" s="127" t="s">
        <v>1129</v>
      </c>
      <c r="AC403" s="30"/>
      <c r="AD403" s="30"/>
      <c r="AE403" s="30"/>
      <c r="AF403" s="30" t="s">
        <v>131</v>
      </c>
      <c r="AG403" s="30" t="s">
        <v>774</v>
      </c>
      <c r="AH403" s="30"/>
      <c r="AI403" s="30"/>
      <c r="AJ403" s="50">
        <v>43208</v>
      </c>
      <c r="AK403" s="50">
        <v>43208</v>
      </c>
      <c r="AL403" s="51">
        <f t="shared" si="276"/>
        <v>7.5424657534246577</v>
      </c>
      <c r="AM403" s="30">
        <v>8</v>
      </c>
      <c r="AN403" s="30" t="s">
        <v>1065</v>
      </c>
      <c r="AO403" s="30" t="s">
        <v>1050</v>
      </c>
      <c r="AP403" s="30" t="s">
        <v>1051</v>
      </c>
      <c r="AQ403" s="30">
        <v>3</v>
      </c>
      <c r="AR403" s="30">
        <v>7100</v>
      </c>
      <c r="AS403" s="30">
        <v>820</v>
      </c>
      <c r="AT403" s="30">
        <v>1860</v>
      </c>
      <c r="AU403" s="74">
        <v>282012500</v>
      </c>
      <c r="AV403" s="54"/>
      <c r="AW403" s="54"/>
      <c r="AX403" s="54"/>
      <c r="AY403" s="54">
        <v>258511452</v>
      </c>
      <c r="AZ403" s="54">
        <v>2937630</v>
      </c>
      <c r="BA403" s="74">
        <v>14688158</v>
      </c>
      <c r="BB403" s="55">
        <f>VLOOKUP(M403,[1]Sheet1!$E$6:$F$556,2,FALSE)</f>
        <v>1000</v>
      </c>
      <c r="BC403" s="74"/>
      <c r="BD403" s="74"/>
      <c r="BE403" s="128">
        <v>8.0000027232837354</v>
      </c>
      <c r="BF403" s="30" t="s">
        <v>1134</v>
      </c>
      <c r="BG403" s="30" t="s">
        <v>1117</v>
      </c>
      <c r="BH403" s="30" t="s">
        <v>1054</v>
      </c>
      <c r="BI403" s="30" t="str">
        <f t="shared" si="262"/>
        <v>COF(Assy_FT)</v>
      </c>
      <c r="BJ403" s="30" t="s">
        <v>250</v>
      </c>
      <c r="BK403" s="56">
        <f t="shared" si="277"/>
        <v>15422565.9</v>
      </c>
      <c r="BL403" s="57">
        <f t="shared" si="241"/>
        <v>481955.18437500001</v>
      </c>
      <c r="BM403" s="57">
        <f t="shared" si="242"/>
        <v>160651.72812499999</v>
      </c>
      <c r="BU403" s="58">
        <f t="shared" si="274"/>
        <v>481955.18437499995</v>
      </c>
      <c r="BV403" s="58">
        <f t="shared" si="270"/>
        <v>481955.18437499995</v>
      </c>
      <c r="BW403" s="58">
        <f t="shared" si="248"/>
        <v>963910.36874999991</v>
      </c>
      <c r="BX403" s="58">
        <f t="shared" si="244"/>
        <v>481955.18437499995</v>
      </c>
      <c r="BY403" s="58">
        <f t="shared" si="245"/>
        <v>481955.18437499995</v>
      </c>
      <c r="BZ403" s="58">
        <f t="shared" si="275"/>
        <v>481955.18437499995</v>
      </c>
      <c r="CA403" s="58">
        <f t="shared" si="245"/>
        <v>481955.18437499995</v>
      </c>
      <c r="CB403" s="58">
        <f t="shared" si="264"/>
        <v>1927820.7374999998</v>
      </c>
      <c r="CC403" s="58">
        <f t="shared" si="265"/>
        <v>481955.18437499995</v>
      </c>
      <c r="CD403" s="58">
        <f t="shared" si="260"/>
        <v>481955.18437499995</v>
      </c>
      <c r="CE403" s="58">
        <f t="shared" si="260"/>
        <v>481955.18437499995</v>
      </c>
      <c r="CF403" s="58">
        <f t="shared" si="260"/>
        <v>481955.18437499995</v>
      </c>
      <c r="CG403" s="58">
        <f t="shared" si="266"/>
        <v>1927820.7374999998</v>
      </c>
      <c r="CH403" s="58">
        <f t="shared" si="261"/>
        <v>481955.18437499995</v>
      </c>
      <c r="CI403" s="58">
        <f t="shared" si="271"/>
        <v>481955.18437499995</v>
      </c>
      <c r="CJ403" s="58">
        <f t="shared" si="271"/>
        <v>481955.18437499995</v>
      </c>
      <c r="CK403" s="58">
        <f t="shared" si="271"/>
        <v>481955.18437499995</v>
      </c>
      <c r="CL403" s="58">
        <f t="shared" si="269"/>
        <v>1927820.7374999998</v>
      </c>
      <c r="CP403" s="2">
        <f t="shared" si="263"/>
        <v>15422565.9</v>
      </c>
    </row>
    <row r="404" spans="1:94" hidden="1" x14ac:dyDescent="0.3">
      <c r="A404" s="29">
        <v>399</v>
      </c>
      <c r="B404" s="30" t="s">
        <v>21</v>
      </c>
      <c r="C404" s="30"/>
      <c r="D404" s="30" t="s">
        <v>1041</v>
      </c>
      <c r="E404" s="30" t="s">
        <v>1042</v>
      </c>
      <c r="F404" s="30" t="s">
        <v>1043</v>
      </c>
      <c r="G404" s="30" t="s">
        <v>117</v>
      </c>
      <c r="H404" s="30" t="s">
        <v>1058</v>
      </c>
      <c r="I404" s="30" t="s">
        <v>119</v>
      </c>
      <c r="J404" s="30" t="s">
        <v>1044</v>
      </c>
      <c r="K404" s="30" t="s">
        <v>1044</v>
      </c>
      <c r="L404" s="30" t="s">
        <v>1120</v>
      </c>
      <c r="M404" s="30">
        <v>1005284</v>
      </c>
      <c r="N404" s="30" t="s">
        <v>138</v>
      </c>
      <c r="O404" s="30" t="s">
        <v>1440</v>
      </c>
      <c r="P404" s="30" t="s">
        <v>1410</v>
      </c>
      <c r="Q404" s="30" t="s">
        <v>1411</v>
      </c>
      <c r="R404" s="30"/>
      <c r="S404" s="30" t="s">
        <v>1441</v>
      </c>
      <c r="T404" s="30"/>
      <c r="U404" s="30" t="s">
        <v>144</v>
      </c>
      <c r="V404" s="30" t="s">
        <v>437</v>
      </c>
      <c r="W404" s="30" t="s">
        <v>1125</v>
      </c>
      <c r="X404" s="30"/>
      <c r="Y404" s="30" t="s">
        <v>128</v>
      </c>
      <c r="Z404" s="30" t="s">
        <v>128</v>
      </c>
      <c r="AA404" s="30" t="s">
        <v>129</v>
      </c>
      <c r="AB404" s="127" t="s">
        <v>1129</v>
      </c>
      <c r="AC404" s="30"/>
      <c r="AD404" s="30"/>
      <c r="AE404" s="30"/>
      <c r="AF404" s="30" t="s">
        <v>131</v>
      </c>
      <c r="AG404" s="30" t="s">
        <v>774</v>
      </c>
      <c r="AH404" s="30"/>
      <c r="AI404" s="30"/>
      <c r="AJ404" s="50">
        <v>43208</v>
      </c>
      <c r="AK404" s="50">
        <v>43208</v>
      </c>
      <c r="AL404" s="51">
        <f t="shared" si="276"/>
        <v>7.5424657534246577</v>
      </c>
      <c r="AM404" s="30">
        <v>8</v>
      </c>
      <c r="AN404" s="30" t="s">
        <v>1065</v>
      </c>
      <c r="AO404" s="30" t="s">
        <v>1050</v>
      </c>
      <c r="AP404" s="30" t="s">
        <v>1051</v>
      </c>
      <c r="AQ404" s="30">
        <v>3</v>
      </c>
      <c r="AR404" s="30">
        <v>7100</v>
      </c>
      <c r="AS404" s="30">
        <v>820</v>
      </c>
      <c r="AT404" s="30">
        <v>1860</v>
      </c>
      <c r="AU404" s="74">
        <v>321812500</v>
      </c>
      <c r="AV404" s="54"/>
      <c r="AW404" s="54"/>
      <c r="AX404" s="54"/>
      <c r="AY404" s="54">
        <v>284919804</v>
      </c>
      <c r="AZ404" s="54">
        <v>3352214</v>
      </c>
      <c r="BA404" s="74">
        <v>26836054</v>
      </c>
      <c r="BB404" s="55">
        <f>VLOOKUP(M404,[1]Sheet1!$E$6:$F$556,2,FALSE)</f>
        <v>1000</v>
      </c>
      <c r="BC404" s="74"/>
      <c r="BD404" s="74"/>
      <c r="BE404" s="128">
        <v>11.005471607719555</v>
      </c>
      <c r="BF404" s="30" t="s">
        <v>1134</v>
      </c>
      <c r="BG404" s="30" t="s">
        <v>1117</v>
      </c>
      <c r="BH404" s="30" t="s">
        <v>1054</v>
      </c>
      <c r="BI404" s="30" t="str">
        <f t="shared" si="262"/>
        <v>COF(Assy_FT)</v>
      </c>
      <c r="BJ404" s="30" t="s">
        <v>250</v>
      </c>
      <c r="BK404" s="56">
        <f t="shared" si="277"/>
        <v>28177856.700000003</v>
      </c>
      <c r="BL404" s="57">
        <f t="shared" si="241"/>
        <v>880558.02187500009</v>
      </c>
      <c r="BM404" s="57">
        <f t="shared" si="242"/>
        <v>293519.34062500001</v>
      </c>
      <c r="BU404" s="58">
        <f t="shared" si="274"/>
        <v>880558.02187500009</v>
      </c>
      <c r="BV404" s="58">
        <f t="shared" si="270"/>
        <v>880558.02187500009</v>
      </c>
      <c r="BW404" s="58">
        <f t="shared" si="248"/>
        <v>1761116.0437500002</v>
      </c>
      <c r="BX404" s="58">
        <f t="shared" si="244"/>
        <v>880558.02187500009</v>
      </c>
      <c r="BY404" s="58">
        <f t="shared" si="245"/>
        <v>880558.02187500009</v>
      </c>
      <c r="BZ404" s="58">
        <f t="shared" si="275"/>
        <v>880558.02187500009</v>
      </c>
      <c r="CA404" s="58">
        <f t="shared" si="245"/>
        <v>880558.02187500009</v>
      </c>
      <c r="CB404" s="58">
        <f t="shared" si="264"/>
        <v>3522232.0875000004</v>
      </c>
      <c r="CC404" s="58">
        <f t="shared" si="265"/>
        <v>880558.02187500009</v>
      </c>
      <c r="CD404" s="58">
        <f t="shared" si="260"/>
        <v>880558.02187500009</v>
      </c>
      <c r="CE404" s="58">
        <f t="shared" si="260"/>
        <v>880558.02187500009</v>
      </c>
      <c r="CF404" s="58">
        <f t="shared" si="260"/>
        <v>880558.02187500009</v>
      </c>
      <c r="CG404" s="58">
        <f t="shared" si="266"/>
        <v>3522232.0875000004</v>
      </c>
      <c r="CH404" s="58">
        <f t="shared" si="261"/>
        <v>880558.02187500009</v>
      </c>
      <c r="CI404" s="58">
        <f t="shared" si="271"/>
        <v>880558.02187500009</v>
      </c>
      <c r="CJ404" s="58">
        <f t="shared" si="271"/>
        <v>880558.02187500009</v>
      </c>
      <c r="CK404" s="58">
        <f t="shared" si="271"/>
        <v>880558.02187500009</v>
      </c>
      <c r="CL404" s="58">
        <f t="shared" si="269"/>
        <v>3522232.0875000004</v>
      </c>
      <c r="CP404" s="2">
        <f t="shared" si="263"/>
        <v>28177856.700000003</v>
      </c>
    </row>
    <row r="405" spans="1:94" ht="15" hidden="1" x14ac:dyDescent="0.3">
      <c r="A405" s="29">
        <v>400</v>
      </c>
      <c r="B405" s="30" t="s">
        <v>21</v>
      </c>
      <c r="C405" s="30"/>
      <c r="D405" s="30" t="s">
        <v>1041</v>
      </c>
      <c r="E405" s="30" t="s">
        <v>1042</v>
      </c>
      <c r="F405" s="30" t="s">
        <v>1043</v>
      </c>
      <c r="G405" s="30" t="s">
        <v>117</v>
      </c>
      <c r="H405" s="30" t="s">
        <v>926</v>
      </c>
      <c r="I405" s="30" t="s">
        <v>119</v>
      </c>
      <c r="J405" s="30" t="s">
        <v>1044</v>
      </c>
      <c r="K405" s="30" t="s">
        <v>1044</v>
      </c>
      <c r="L405" s="30" t="s">
        <v>1255</v>
      </c>
      <c r="M405" s="30">
        <v>1005362</v>
      </c>
      <c r="N405" s="30" t="s">
        <v>138</v>
      </c>
      <c r="O405" s="30" t="s">
        <v>1442</v>
      </c>
      <c r="P405" s="30" t="s">
        <v>1377</v>
      </c>
      <c r="Q405" s="30" t="str">
        <f>P405</f>
        <v>PRCⅡ-2000ACD</v>
      </c>
      <c r="R405" s="30"/>
      <c r="S405" s="30" t="s">
        <v>1443</v>
      </c>
      <c r="T405" s="30"/>
      <c r="U405" s="30" t="s">
        <v>144</v>
      </c>
      <c r="V405" s="30" t="s">
        <v>415</v>
      </c>
      <c r="W405" s="30" t="s">
        <v>1378</v>
      </c>
      <c r="X405" s="30"/>
      <c r="Y405" s="30" t="s">
        <v>457</v>
      </c>
      <c r="Z405" s="30" t="s">
        <v>457</v>
      </c>
      <c r="AA405" s="138" t="s">
        <v>1310</v>
      </c>
      <c r="AB405" s="30" t="s">
        <v>1444</v>
      </c>
      <c r="AC405" s="30"/>
      <c r="AD405" s="30"/>
      <c r="AE405" s="30"/>
      <c r="AF405" s="30" t="s">
        <v>131</v>
      </c>
      <c r="AG405" s="30" t="s">
        <v>1347</v>
      </c>
      <c r="AH405" s="30"/>
      <c r="AI405" s="30"/>
      <c r="AJ405" s="50">
        <v>42941</v>
      </c>
      <c r="AK405" s="50">
        <v>43179</v>
      </c>
      <c r="AL405" s="51">
        <f t="shared" si="276"/>
        <v>7.6219178082191785</v>
      </c>
      <c r="AM405" s="30">
        <v>8</v>
      </c>
      <c r="AN405" s="30" t="s">
        <v>1057</v>
      </c>
      <c r="AO405" s="30" t="s">
        <v>1050</v>
      </c>
      <c r="AP405" s="30" t="s">
        <v>1187</v>
      </c>
      <c r="AQ405" s="30">
        <v>3</v>
      </c>
      <c r="AR405" s="30">
        <v>520</v>
      </c>
      <c r="AS405" s="30">
        <v>400</v>
      </c>
      <c r="AT405" s="30">
        <v>1150</v>
      </c>
      <c r="AU405" s="74">
        <v>18344031</v>
      </c>
      <c r="AV405" s="54"/>
      <c r="AW405" s="54"/>
      <c r="AX405" s="54"/>
      <c r="AY405" s="54">
        <v>17006446</v>
      </c>
      <c r="AZ405" s="54">
        <v>191084</v>
      </c>
      <c r="BA405" s="74">
        <v>764333</v>
      </c>
      <c r="BB405" s="55">
        <f>VLOOKUP(M405,[1]Sheet1!$E$6:$F$556,2,FALSE)</f>
        <v>1000</v>
      </c>
      <c r="BC405" s="74"/>
      <c r="BD405" s="74"/>
      <c r="BE405" s="128">
        <v>6.9999843000983857</v>
      </c>
      <c r="BF405" s="30" t="s">
        <v>1134</v>
      </c>
      <c r="BG405" s="30" t="s">
        <v>1053</v>
      </c>
      <c r="BH405" s="30" t="s">
        <v>1054</v>
      </c>
      <c r="BI405" s="30" t="str">
        <f t="shared" si="262"/>
        <v>COF(Assy_FT)</v>
      </c>
      <c r="BJ405" s="30" t="s">
        <v>250</v>
      </c>
      <c r="BK405" s="56">
        <f t="shared" si="277"/>
        <v>802549.65</v>
      </c>
      <c r="BL405" s="57">
        <f t="shared" si="241"/>
        <v>25079.676562500001</v>
      </c>
      <c r="BM405" s="57">
        <f t="shared" si="242"/>
        <v>8359.8921874999996</v>
      </c>
      <c r="BU405" s="58">
        <f t="shared" si="274"/>
        <v>25079.676562499997</v>
      </c>
      <c r="BV405" s="58">
        <f t="shared" si="270"/>
        <v>25079.676562499997</v>
      </c>
      <c r="BW405" s="58">
        <f t="shared" si="248"/>
        <v>50159.353124999994</v>
      </c>
      <c r="BX405" s="58">
        <f t="shared" si="244"/>
        <v>25079.676562499997</v>
      </c>
      <c r="BY405" s="58">
        <f t="shared" si="245"/>
        <v>25079.676562499997</v>
      </c>
      <c r="BZ405" s="58">
        <f t="shared" si="275"/>
        <v>25079.676562499997</v>
      </c>
      <c r="CA405" s="58">
        <f t="shared" si="245"/>
        <v>25079.676562499997</v>
      </c>
      <c r="CB405" s="58">
        <f t="shared" si="264"/>
        <v>100318.70624999999</v>
      </c>
      <c r="CC405" s="58">
        <f t="shared" si="265"/>
        <v>25079.676562499997</v>
      </c>
      <c r="CD405" s="58">
        <f t="shared" ref="CD405:CF421" si="278">CC405</f>
        <v>25079.676562499997</v>
      </c>
      <c r="CE405" s="58">
        <f t="shared" si="278"/>
        <v>25079.676562499997</v>
      </c>
      <c r="CF405" s="58">
        <f t="shared" si="278"/>
        <v>25079.676562499997</v>
      </c>
      <c r="CG405" s="58">
        <f t="shared" si="266"/>
        <v>100318.70624999999</v>
      </c>
      <c r="CH405" s="58">
        <f t="shared" si="261"/>
        <v>25079.676562499997</v>
      </c>
      <c r="CI405" s="58">
        <f t="shared" si="271"/>
        <v>25079.676562499997</v>
      </c>
      <c r="CJ405" s="58">
        <f t="shared" si="271"/>
        <v>25079.676562499997</v>
      </c>
      <c r="CK405" s="58">
        <f t="shared" si="271"/>
        <v>25079.676562499997</v>
      </c>
      <c r="CL405" s="58">
        <f t="shared" si="269"/>
        <v>100318.70624999999</v>
      </c>
      <c r="CP405" s="2">
        <f t="shared" si="263"/>
        <v>802549.65</v>
      </c>
    </row>
    <row r="406" spans="1:94" ht="16.5" hidden="1" x14ac:dyDescent="0.3">
      <c r="A406" s="2">
        <v>401</v>
      </c>
      <c r="B406" s="47" t="s">
        <v>21</v>
      </c>
      <c r="C406" s="47"/>
      <c r="D406" s="30" t="s">
        <v>1041</v>
      </c>
      <c r="E406" s="30" t="s">
        <v>1042</v>
      </c>
      <c r="F406" s="30" t="s">
        <v>1043</v>
      </c>
      <c r="G406" s="30" t="s">
        <v>117</v>
      </c>
      <c r="H406" s="30" t="s">
        <v>385</v>
      </c>
      <c r="I406" s="30" t="s">
        <v>119</v>
      </c>
      <c r="J406" s="30" t="s">
        <v>1044</v>
      </c>
      <c r="K406" s="30" t="s">
        <v>1044</v>
      </c>
      <c r="L406" s="30" t="s">
        <v>1130</v>
      </c>
      <c r="M406" s="30">
        <v>1002437</v>
      </c>
      <c r="N406" s="30" t="s">
        <v>138</v>
      </c>
      <c r="O406" s="30" t="s">
        <v>1445</v>
      </c>
      <c r="P406" s="30" t="s">
        <v>1358</v>
      </c>
      <c r="Q406" s="30" t="s">
        <v>1359</v>
      </c>
      <c r="R406" s="30" t="s">
        <v>1325</v>
      </c>
      <c r="S406" s="30">
        <v>10080602</v>
      </c>
      <c r="T406" s="30" t="s">
        <v>1326</v>
      </c>
      <c r="U406" s="30" t="s">
        <v>144</v>
      </c>
      <c r="V406" s="30" t="s">
        <v>437</v>
      </c>
      <c r="W406" s="30" t="s">
        <v>1228</v>
      </c>
      <c r="X406" s="30" t="s">
        <v>147</v>
      </c>
      <c r="Y406" s="125" t="s">
        <v>128</v>
      </c>
      <c r="Z406" s="125" t="s">
        <v>128</v>
      </c>
      <c r="AA406" s="30" t="s">
        <v>148</v>
      </c>
      <c r="AB406" s="30" t="s">
        <v>1146</v>
      </c>
      <c r="AC406" s="30" t="s">
        <v>1146</v>
      </c>
      <c r="AD406" s="30"/>
      <c r="AE406" s="30"/>
      <c r="AF406" s="30" t="s">
        <v>593</v>
      </c>
      <c r="AG406" s="30" t="s">
        <v>440</v>
      </c>
      <c r="AH406" s="30" t="s">
        <v>1147</v>
      </c>
      <c r="AI406" s="30"/>
      <c r="AJ406" s="50">
        <v>40421</v>
      </c>
      <c r="AK406" s="50">
        <v>40421</v>
      </c>
      <c r="AL406" s="51">
        <f t="shared" si="276"/>
        <v>15.178082191780822</v>
      </c>
      <c r="AM406" s="30">
        <v>8</v>
      </c>
      <c r="AN406" s="30" t="s">
        <v>1065</v>
      </c>
      <c r="AO406" s="30" t="s">
        <v>1050</v>
      </c>
      <c r="AP406" s="30" t="s">
        <v>1051</v>
      </c>
      <c r="AQ406" s="30">
        <v>3</v>
      </c>
      <c r="AR406" s="30">
        <v>3000</v>
      </c>
      <c r="AS406" s="30">
        <v>1400</v>
      </c>
      <c r="AT406" s="30">
        <v>2050</v>
      </c>
      <c r="AU406" s="54">
        <v>257353333</v>
      </c>
      <c r="AV406" s="54"/>
      <c r="AW406" s="54"/>
      <c r="AX406" s="54"/>
      <c r="AY406" s="54">
        <v>257352333</v>
      </c>
      <c r="AZ406" s="54">
        <v>1248749</v>
      </c>
      <c r="BA406" s="54">
        <v>1000</v>
      </c>
      <c r="BB406" s="55">
        <f>VLOOKUP(M406,[1]Sheet1!$E$6:$F$556,2,FALSE)</f>
        <v>1000</v>
      </c>
      <c r="BC406" s="74"/>
      <c r="BD406" s="74"/>
      <c r="BE406" s="30"/>
      <c r="BF406" s="30" t="s">
        <v>1052</v>
      </c>
      <c r="BG406" s="30" t="s">
        <v>1074</v>
      </c>
      <c r="BH406" s="30" t="s">
        <v>1054</v>
      </c>
      <c r="BI406" s="30" t="str">
        <f t="shared" si="262"/>
        <v>COF(Assy_FT)</v>
      </c>
      <c r="BJ406" s="47" t="s">
        <v>137</v>
      </c>
      <c r="BK406" s="67">
        <f t="shared" si="277"/>
        <v>5147066.66</v>
      </c>
      <c r="BL406" s="68">
        <f t="shared" si="241"/>
        <v>490663.26544073666</v>
      </c>
      <c r="BM406" s="68">
        <f t="shared" si="242"/>
        <v>163554.4218135789</v>
      </c>
      <c r="BP406" s="69">
        <f>BM406*3</f>
        <v>490663.26544073666</v>
      </c>
      <c r="BQ406" s="69">
        <f>BP406</f>
        <v>490663.26544073666</v>
      </c>
      <c r="BR406" s="69">
        <f>SUM(BN406:BQ406)</f>
        <v>981326.53088147333</v>
      </c>
      <c r="BS406" s="69">
        <f>BQ406</f>
        <v>490663.26544073666</v>
      </c>
      <c r="BT406" s="69">
        <f t="shared" si="270"/>
        <v>490663.26544073666</v>
      </c>
      <c r="BU406" s="100">
        <f t="shared" si="270"/>
        <v>490663.26544073666</v>
      </c>
      <c r="BV406" s="100">
        <f t="shared" si="270"/>
        <v>490663.26544073666</v>
      </c>
      <c r="BW406" s="100">
        <f t="shared" si="248"/>
        <v>1962653.0617629467</v>
      </c>
      <c r="BX406" s="101">
        <f t="shared" si="244"/>
        <v>490663.26544073666</v>
      </c>
      <c r="BY406" s="101">
        <f t="shared" si="245"/>
        <v>490663.26544073666</v>
      </c>
      <c r="BZ406" s="18">
        <f>BY406</f>
        <v>490663.26544073666</v>
      </c>
      <c r="CA406" s="18">
        <f t="shared" si="245"/>
        <v>490663.26544073666</v>
      </c>
      <c r="CB406" s="70">
        <f t="shared" si="264"/>
        <v>1962653.0617629467</v>
      </c>
      <c r="CC406" s="18">
        <f t="shared" si="265"/>
        <v>490663.26544073666</v>
      </c>
      <c r="CD406" s="18">
        <f t="shared" si="278"/>
        <v>490663.26544073666</v>
      </c>
      <c r="CE406" s="18">
        <f t="shared" si="278"/>
        <v>490663.26544073666</v>
      </c>
      <c r="CF406" s="18">
        <f t="shared" si="278"/>
        <v>490663.26544073666</v>
      </c>
      <c r="CG406" s="70">
        <f t="shared" si="266"/>
        <v>1962653.0617629467</v>
      </c>
      <c r="CH406" s="18">
        <f t="shared" si="261"/>
        <v>490663.26544073666</v>
      </c>
      <c r="CI406" s="18">
        <f t="shared" si="271"/>
        <v>490663.26544073666</v>
      </c>
      <c r="CJ406" s="18">
        <f t="shared" si="271"/>
        <v>490663.26544073666</v>
      </c>
      <c r="CK406" s="18">
        <f t="shared" si="271"/>
        <v>490663.26544073666</v>
      </c>
      <c r="CL406" s="70">
        <f t="shared" si="269"/>
        <v>1962653.0617629467</v>
      </c>
      <c r="CM406" s="71"/>
      <c r="CN406" s="59">
        <f t="shared" ref="CN406:CN407" si="279">BK406/$CN$3</f>
        <v>5.0257894448112249E-4</v>
      </c>
      <c r="CO406" s="64">
        <f t="shared" ref="CO406:CO407" si="280">CN406*$CO$4</f>
        <v>10554157.834103573</v>
      </c>
      <c r="CP406" s="2">
        <f t="shared" si="263"/>
        <v>15701224.494103573</v>
      </c>
    </row>
    <row r="407" spans="1:94" ht="16.5" hidden="1" x14ac:dyDescent="0.3">
      <c r="A407" s="2">
        <v>402</v>
      </c>
      <c r="B407" s="47" t="s">
        <v>21</v>
      </c>
      <c r="C407" s="47"/>
      <c r="D407" s="30" t="s">
        <v>1041</v>
      </c>
      <c r="E407" s="30" t="s">
        <v>1042</v>
      </c>
      <c r="F407" s="30" t="s">
        <v>1043</v>
      </c>
      <c r="G407" s="30" t="s">
        <v>117</v>
      </c>
      <c r="H407" s="30" t="s">
        <v>385</v>
      </c>
      <c r="I407" s="30" t="s">
        <v>119</v>
      </c>
      <c r="J407" s="30" t="s">
        <v>1044</v>
      </c>
      <c r="K407" s="30" t="s">
        <v>1044</v>
      </c>
      <c r="L407" s="30" t="s">
        <v>1130</v>
      </c>
      <c r="M407" s="30">
        <v>1002438</v>
      </c>
      <c r="N407" s="30" t="s">
        <v>138</v>
      </c>
      <c r="O407" s="30" t="s">
        <v>1446</v>
      </c>
      <c r="P407" s="30" t="s">
        <v>1358</v>
      </c>
      <c r="Q407" s="30" t="s">
        <v>1359</v>
      </c>
      <c r="R407" s="30" t="s">
        <v>1325</v>
      </c>
      <c r="S407" s="30">
        <v>10080603</v>
      </c>
      <c r="T407" s="30" t="s">
        <v>1326</v>
      </c>
      <c r="U407" s="30" t="s">
        <v>144</v>
      </c>
      <c r="V407" s="30" t="s">
        <v>437</v>
      </c>
      <c r="W407" s="30" t="s">
        <v>1228</v>
      </c>
      <c r="X407" s="30" t="s">
        <v>147</v>
      </c>
      <c r="Y407" s="125" t="s">
        <v>128</v>
      </c>
      <c r="Z407" s="125" t="s">
        <v>128</v>
      </c>
      <c r="AA407" s="30" t="s">
        <v>148</v>
      </c>
      <c r="AB407" s="30" t="s">
        <v>1146</v>
      </c>
      <c r="AC407" s="30" t="s">
        <v>1146</v>
      </c>
      <c r="AD407" s="30"/>
      <c r="AE407" s="30"/>
      <c r="AF407" s="30" t="s">
        <v>593</v>
      </c>
      <c r="AG407" s="30" t="s">
        <v>440</v>
      </c>
      <c r="AH407" s="30" t="s">
        <v>1147</v>
      </c>
      <c r="AI407" s="30"/>
      <c r="AJ407" s="50">
        <v>40421</v>
      </c>
      <c r="AK407" s="50">
        <v>40421</v>
      </c>
      <c r="AL407" s="51">
        <f t="shared" si="276"/>
        <v>15.178082191780822</v>
      </c>
      <c r="AM407" s="30">
        <v>8</v>
      </c>
      <c r="AN407" s="30" t="s">
        <v>1065</v>
      </c>
      <c r="AO407" s="30" t="s">
        <v>1050</v>
      </c>
      <c r="AP407" s="30" t="s">
        <v>1051</v>
      </c>
      <c r="AQ407" s="30">
        <v>3</v>
      </c>
      <c r="AR407" s="30">
        <v>3000</v>
      </c>
      <c r="AS407" s="30">
        <v>1400</v>
      </c>
      <c r="AT407" s="30">
        <v>2050</v>
      </c>
      <c r="AU407" s="54">
        <v>257353333</v>
      </c>
      <c r="AV407" s="54"/>
      <c r="AW407" s="54"/>
      <c r="AX407" s="54"/>
      <c r="AY407" s="54">
        <v>257352333</v>
      </c>
      <c r="AZ407" s="54">
        <v>1248749</v>
      </c>
      <c r="BA407" s="54">
        <v>1000</v>
      </c>
      <c r="BB407" s="55">
        <f>VLOOKUP(M407,[1]Sheet1!$E$6:$F$556,2,FALSE)</f>
        <v>1000</v>
      </c>
      <c r="BC407" s="74"/>
      <c r="BD407" s="74"/>
      <c r="BE407" s="30"/>
      <c r="BF407" s="30" t="s">
        <v>1052</v>
      </c>
      <c r="BG407" s="30" t="s">
        <v>1074</v>
      </c>
      <c r="BH407" s="30" t="s">
        <v>1054</v>
      </c>
      <c r="BI407" s="30" t="str">
        <f t="shared" si="262"/>
        <v>COF(Assy_FT)</v>
      </c>
      <c r="BJ407" s="47" t="s">
        <v>137</v>
      </c>
      <c r="BK407" s="67">
        <f t="shared" si="277"/>
        <v>5147066.66</v>
      </c>
      <c r="BL407" s="68">
        <f t="shared" si="241"/>
        <v>490663.26544073666</v>
      </c>
      <c r="BM407" s="68">
        <f t="shared" si="242"/>
        <v>163554.4218135789</v>
      </c>
      <c r="BP407" s="69">
        <f>BM407*3</f>
        <v>490663.26544073666</v>
      </c>
      <c r="BQ407" s="69">
        <f>BP407</f>
        <v>490663.26544073666</v>
      </c>
      <c r="BR407" s="69">
        <f>SUM(BN407:BQ407)</f>
        <v>981326.53088147333</v>
      </c>
      <c r="BS407" s="69">
        <f>BQ407</f>
        <v>490663.26544073666</v>
      </c>
      <c r="BT407" s="69">
        <f t="shared" si="270"/>
        <v>490663.26544073666</v>
      </c>
      <c r="BU407" s="100">
        <f t="shared" si="270"/>
        <v>490663.26544073666</v>
      </c>
      <c r="BV407" s="100">
        <f t="shared" si="270"/>
        <v>490663.26544073666</v>
      </c>
      <c r="BW407" s="100">
        <f t="shared" si="248"/>
        <v>1962653.0617629467</v>
      </c>
      <c r="BX407" s="101">
        <f t="shared" si="244"/>
        <v>490663.26544073666</v>
      </c>
      <c r="BY407" s="101">
        <f t="shared" si="245"/>
        <v>490663.26544073666</v>
      </c>
      <c r="BZ407" s="18">
        <f>BY407</f>
        <v>490663.26544073666</v>
      </c>
      <c r="CA407" s="18">
        <f t="shared" si="245"/>
        <v>490663.26544073666</v>
      </c>
      <c r="CB407" s="70">
        <f t="shared" si="264"/>
        <v>1962653.0617629467</v>
      </c>
      <c r="CC407" s="18">
        <f t="shared" si="265"/>
        <v>490663.26544073666</v>
      </c>
      <c r="CD407" s="18">
        <f t="shared" si="278"/>
        <v>490663.26544073666</v>
      </c>
      <c r="CE407" s="18">
        <f t="shared" si="278"/>
        <v>490663.26544073666</v>
      </c>
      <c r="CF407" s="18">
        <f t="shared" si="278"/>
        <v>490663.26544073666</v>
      </c>
      <c r="CG407" s="70">
        <f t="shared" si="266"/>
        <v>1962653.0617629467</v>
      </c>
      <c r="CH407" s="18">
        <f t="shared" si="261"/>
        <v>490663.26544073666</v>
      </c>
      <c r="CI407" s="18">
        <f t="shared" si="271"/>
        <v>490663.26544073666</v>
      </c>
      <c r="CJ407" s="18">
        <f t="shared" si="271"/>
        <v>490663.26544073666</v>
      </c>
      <c r="CK407" s="18">
        <f t="shared" si="271"/>
        <v>490663.26544073666</v>
      </c>
      <c r="CL407" s="70">
        <f t="shared" si="269"/>
        <v>1962653.0617629467</v>
      </c>
      <c r="CM407" s="71"/>
      <c r="CN407" s="59">
        <f t="shared" si="279"/>
        <v>5.0257894448112249E-4</v>
      </c>
      <c r="CO407" s="64">
        <f t="shared" si="280"/>
        <v>10554157.834103573</v>
      </c>
      <c r="CP407" s="2">
        <f t="shared" si="263"/>
        <v>15701224.494103573</v>
      </c>
    </row>
    <row r="408" spans="1:94" ht="15" hidden="1" x14ac:dyDescent="0.3">
      <c r="A408" s="29">
        <v>403</v>
      </c>
      <c r="B408" s="30" t="s">
        <v>21</v>
      </c>
      <c r="C408" s="30"/>
      <c r="D408" s="30" t="s">
        <v>1041</v>
      </c>
      <c r="E408" s="30" t="s">
        <v>1042</v>
      </c>
      <c r="F408" s="30" t="s">
        <v>1043</v>
      </c>
      <c r="G408" s="30" t="s">
        <v>117</v>
      </c>
      <c r="H408" s="30" t="s">
        <v>1058</v>
      </c>
      <c r="I408" s="30" t="s">
        <v>119</v>
      </c>
      <c r="J408" s="30" t="s">
        <v>1044</v>
      </c>
      <c r="K408" s="30" t="s">
        <v>1044</v>
      </c>
      <c r="L408" s="30" t="s">
        <v>1120</v>
      </c>
      <c r="M408" s="30">
        <v>1005382</v>
      </c>
      <c r="N408" s="30" t="s">
        <v>138</v>
      </c>
      <c r="O408" s="30" t="s">
        <v>1447</v>
      </c>
      <c r="P408" s="30"/>
      <c r="Q408" s="30" t="s">
        <v>585</v>
      </c>
      <c r="R408" s="30"/>
      <c r="S408" s="30"/>
      <c r="T408" s="30"/>
      <c r="U408" s="30" t="s">
        <v>1047</v>
      </c>
      <c r="V408" s="30" t="s">
        <v>437</v>
      </c>
      <c r="W408" s="30"/>
      <c r="X408" s="30"/>
      <c r="Y408" s="30" t="s">
        <v>457</v>
      </c>
      <c r="Z408" s="30" t="s">
        <v>457</v>
      </c>
      <c r="AA408" s="30" t="s">
        <v>129</v>
      </c>
      <c r="AB408" s="130" t="s">
        <v>1448</v>
      </c>
      <c r="AC408" s="30"/>
      <c r="AD408" s="30"/>
      <c r="AE408" s="30"/>
      <c r="AF408" s="30" t="s">
        <v>131</v>
      </c>
      <c r="AG408" s="30" t="s">
        <v>774</v>
      </c>
      <c r="AH408" s="30"/>
      <c r="AI408" s="30"/>
      <c r="AJ408" s="50">
        <v>43210</v>
      </c>
      <c r="AK408" s="50">
        <v>43210</v>
      </c>
      <c r="AL408" s="51">
        <f t="shared" si="276"/>
        <v>7.536986301369863</v>
      </c>
      <c r="AM408" s="30">
        <v>8</v>
      </c>
      <c r="AN408" s="30" t="s">
        <v>1065</v>
      </c>
      <c r="AO408" s="30" t="s">
        <v>1050</v>
      </c>
      <c r="AP408" s="30" t="s">
        <v>1051</v>
      </c>
      <c r="AQ408" s="30">
        <v>3</v>
      </c>
      <c r="AR408" s="30"/>
      <c r="AS408" s="30"/>
      <c r="AT408" s="30"/>
      <c r="AU408" s="74">
        <v>47500000</v>
      </c>
      <c r="AV408" s="54"/>
      <c r="AW408" s="54"/>
      <c r="AX408" s="54"/>
      <c r="AY408" s="54">
        <v>43541672</v>
      </c>
      <c r="AZ408" s="54">
        <v>494792</v>
      </c>
      <c r="BA408" s="74">
        <v>2473952</v>
      </c>
      <c r="BB408" s="55">
        <f>VLOOKUP(M408,[1]Sheet1!$E$6:$F$556,2,FALSE)</f>
        <v>1000</v>
      </c>
      <c r="BC408" s="74"/>
      <c r="BD408" s="74"/>
      <c r="BE408" s="128">
        <v>7.9999838315898399</v>
      </c>
      <c r="BF408" s="30" t="s">
        <v>1134</v>
      </c>
      <c r="BG408" s="30" t="s">
        <v>1117</v>
      </c>
      <c r="BH408" s="30" t="s">
        <v>1054</v>
      </c>
      <c r="BI408" s="30" t="str">
        <f t="shared" si="262"/>
        <v>COF(Assy_FT)</v>
      </c>
      <c r="BJ408" s="30" t="s">
        <v>250</v>
      </c>
      <c r="BK408" s="56">
        <f t="shared" si="277"/>
        <v>2597649.6</v>
      </c>
      <c r="BL408" s="57">
        <f t="shared" si="241"/>
        <v>81176.55</v>
      </c>
      <c r="BM408" s="57">
        <f t="shared" si="242"/>
        <v>27058.850000000002</v>
      </c>
      <c r="BU408" s="58">
        <f>BM408*3</f>
        <v>81176.55</v>
      </c>
      <c r="BV408" s="58">
        <f t="shared" si="270"/>
        <v>81176.55</v>
      </c>
      <c r="BW408" s="58">
        <f t="shared" si="248"/>
        <v>162353.1</v>
      </c>
      <c r="BX408" s="58">
        <f t="shared" si="244"/>
        <v>81176.55</v>
      </c>
      <c r="BY408" s="58">
        <f t="shared" si="245"/>
        <v>81176.55</v>
      </c>
      <c r="BZ408" s="58">
        <f>BM408*3</f>
        <v>81176.55</v>
      </c>
      <c r="CA408" s="58">
        <f t="shared" si="245"/>
        <v>81176.55</v>
      </c>
      <c r="CB408" s="58">
        <f t="shared" si="264"/>
        <v>324706.2</v>
      </c>
      <c r="CC408" s="58">
        <f t="shared" si="265"/>
        <v>81176.55</v>
      </c>
      <c r="CD408" s="58">
        <f t="shared" si="278"/>
        <v>81176.55</v>
      </c>
      <c r="CE408" s="58">
        <f t="shared" si="278"/>
        <v>81176.55</v>
      </c>
      <c r="CF408" s="58">
        <f t="shared" si="278"/>
        <v>81176.55</v>
      </c>
      <c r="CG408" s="58">
        <f t="shared" si="266"/>
        <v>324706.2</v>
      </c>
      <c r="CH408" s="58">
        <f t="shared" si="261"/>
        <v>81176.55</v>
      </c>
      <c r="CI408" s="58">
        <f t="shared" si="271"/>
        <v>81176.55</v>
      </c>
      <c r="CJ408" s="58">
        <f t="shared" si="271"/>
        <v>81176.55</v>
      </c>
      <c r="CK408" s="58">
        <f t="shared" si="271"/>
        <v>81176.55</v>
      </c>
      <c r="CL408" s="58">
        <f t="shared" si="269"/>
        <v>324706.2</v>
      </c>
      <c r="CP408" s="2">
        <f t="shared" si="263"/>
        <v>2597649.6</v>
      </c>
    </row>
    <row r="409" spans="1:94" ht="16.5" hidden="1" x14ac:dyDescent="0.3">
      <c r="A409" s="2">
        <v>404</v>
      </c>
      <c r="B409" s="47" t="s">
        <v>21</v>
      </c>
      <c r="C409" s="47"/>
      <c r="D409" s="30" t="s">
        <v>1041</v>
      </c>
      <c r="E409" s="30" t="s">
        <v>1042</v>
      </c>
      <c r="F409" s="30" t="s">
        <v>1043</v>
      </c>
      <c r="G409" s="30" t="s">
        <v>117</v>
      </c>
      <c r="H409" s="30" t="s">
        <v>385</v>
      </c>
      <c r="I409" s="30" t="s">
        <v>119</v>
      </c>
      <c r="J409" s="30" t="s">
        <v>1044</v>
      </c>
      <c r="K409" s="30" t="s">
        <v>1044</v>
      </c>
      <c r="L409" s="30" t="s">
        <v>1130</v>
      </c>
      <c r="M409" s="30">
        <v>1002504</v>
      </c>
      <c r="N409" s="30" t="s">
        <v>138</v>
      </c>
      <c r="O409" s="30" t="s">
        <v>1449</v>
      </c>
      <c r="P409" s="30" t="s">
        <v>1358</v>
      </c>
      <c r="Q409" s="30" t="s">
        <v>1359</v>
      </c>
      <c r="R409" s="30" t="s">
        <v>1325</v>
      </c>
      <c r="S409" s="30">
        <v>10090601</v>
      </c>
      <c r="T409" s="30" t="s">
        <v>1326</v>
      </c>
      <c r="U409" s="30" t="s">
        <v>144</v>
      </c>
      <c r="V409" s="30" t="s">
        <v>437</v>
      </c>
      <c r="W409" s="30" t="s">
        <v>1228</v>
      </c>
      <c r="X409" s="30" t="s">
        <v>147</v>
      </c>
      <c r="Y409" s="125" t="s">
        <v>128</v>
      </c>
      <c r="Z409" s="125" t="s">
        <v>128</v>
      </c>
      <c r="AA409" s="30" t="s">
        <v>148</v>
      </c>
      <c r="AB409" s="30" t="s">
        <v>1146</v>
      </c>
      <c r="AC409" s="30" t="s">
        <v>1146</v>
      </c>
      <c r="AD409" s="30"/>
      <c r="AE409" s="30"/>
      <c r="AF409" s="30" t="s">
        <v>593</v>
      </c>
      <c r="AG409" s="30" t="s">
        <v>440</v>
      </c>
      <c r="AH409" s="30" t="s">
        <v>1147</v>
      </c>
      <c r="AI409" s="30"/>
      <c r="AJ409" s="50">
        <v>40451</v>
      </c>
      <c r="AK409" s="50">
        <v>40451</v>
      </c>
      <c r="AL409" s="51">
        <f t="shared" si="276"/>
        <v>15.095890410958905</v>
      </c>
      <c r="AM409" s="30">
        <v>8</v>
      </c>
      <c r="AN409" s="30" t="s">
        <v>1065</v>
      </c>
      <c r="AO409" s="30" t="s">
        <v>1050</v>
      </c>
      <c r="AP409" s="30" t="s">
        <v>1051</v>
      </c>
      <c r="AQ409" s="30">
        <v>3</v>
      </c>
      <c r="AR409" s="30">
        <v>3000</v>
      </c>
      <c r="AS409" s="30">
        <v>1400</v>
      </c>
      <c r="AT409" s="30">
        <v>2050</v>
      </c>
      <c r="AU409" s="54">
        <v>257373333</v>
      </c>
      <c r="AV409" s="54"/>
      <c r="AW409" s="54"/>
      <c r="AX409" s="54"/>
      <c r="AY409" s="54">
        <v>257372333</v>
      </c>
      <c r="AZ409" s="54">
        <v>1247501</v>
      </c>
      <c r="BA409" s="54">
        <v>1000</v>
      </c>
      <c r="BB409" s="55">
        <f>VLOOKUP(M409,[1]Sheet1!$E$6:$F$556,2,FALSE)</f>
        <v>1000</v>
      </c>
      <c r="BC409" s="74"/>
      <c r="BD409" s="74"/>
      <c r="BE409" s="30"/>
      <c r="BF409" s="30" t="s">
        <v>1052</v>
      </c>
      <c r="BG409" s="30" t="s">
        <v>1074</v>
      </c>
      <c r="BH409" s="30" t="s">
        <v>1054</v>
      </c>
      <c r="BI409" s="30" t="str">
        <f t="shared" si="262"/>
        <v>COF(Assy_FT)</v>
      </c>
      <c r="BJ409" s="47" t="s">
        <v>137</v>
      </c>
      <c r="BK409" s="67">
        <f t="shared" si="277"/>
        <v>5147466.66</v>
      </c>
      <c r="BL409" s="68">
        <f t="shared" si="241"/>
        <v>490701.39692788088</v>
      </c>
      <c r="BM409" s="68">
        <f t="shared" si="242"/>
        <v>163567.13230929364</v>
      </c>
      <c r="BP409" s="69">
        <f>BM409*3</f>
        <v>490701.39692788094</v>
      </c>
      <c r="BQ409" s="69">
        <f>BP409</f>
        <v>490701.39692788094</v>
      </c>
      <c r="BR409" s="69">
        <f>SUM(BN409:BQ409)</f>
        <v>981402.79385576188</v>
      </c>
      <c r="BS409" s="69">
        <f>BQ409</f>
        <v>490701.39692788094</v>
      </c>
      <c r="BT409" s="69">
        <f t="shared" si="270"/>
        <v>490701.39692788094</v>
      </c>
      <c r="BU409" s="100">
        <f t="shared" si="270"/>
        <v>490701.39692788094</v>
      </c>
      <c r="BV409" s="100">
        <f t="shared" si="270"/>
        <v>490701.39692788094</v>
      </c>
      <c r="BW409" s="100">
        <f t="shared" si="248"/>
        <v>1962805.5877115238</v>
      </c>
      <c r="BX409" s="101">
        <f t="shared" si="244"/>
        <v>490701.39692788094</v>
      </c>
      <c r="BY409" s="101">
        <f t="shared" si="245"/>
        <v>490701.39692788094</v>
      </c>
      <c r="BZ409" s="18">
        <f t="shared" si="245"/>
        <v>490701.39692788094</v>
      </c>
      <c r="CA409" s="18">
        <f t="shared" si="245"/>
        <v>490701.39692788094</v>
      </c>
      <c r="CB409" s="70">
        <f t="shared" si="264"/>
        <v>1962805.5877115238</v>
      </c>
      <c r="CC409" s="18">
        <f t="shared" si="265"/>
        <v>490701.39692788094</v>
      </c>
      <c r="CD409" s="18">
        <f t="shared" si="278"/>
        <v>490701.39692788094</v>
      </c>
      <c r="CE409" s="18">
        <f t="shared" si="278"/>
        <v>490701.39692788094</v>
      </c>
      <c r="CF409" s="18">
        <f t="shared" si="278"/>
        <v>490701.39692788094</v>
      </c>
      <c r="CG409" s="70">
        <f t="shared" si="266"/>
        <v>1962805.5877115238</v>
      </c>
      <c r="CH409" s="18">
        <f t="shared" si="261"/>
        <v>490701.39692788094</v>
      </c>
      <c r="CI409" s="18">
        <f t="shared" si="271"/>
        <v>490701.39692788094</v>
      </c>
      <c r="CJ409" s="18">
        <f t="shared" si="271"/>
        <v>490701.39692788094</v>
      </c>
      <c r="CK409" s="18">
        <f t="shared" si="271"/>
        <v>490701.39692788094</v>
      </c>
      <c r="CL409" s="70">
        <f t="shared" si="269"/>
        <v>1962805.5877115238</v>
      </c>
      <c r="CM409" s="71"/>
      <c r="CN409" s="59">
        <f t="shared" ref="CN409:CN411" si="281">BK409/$CN$3</f>
        <v>5.0261800198534226E-4</v>
      </c>
      <c r="CO409" s="64">
        <f t="shared" ref="CO409:CO411" si="282">CN409*$CO$4</f>
        <v>10554978.041692188</v>
      </c>
      <c r="CP409" s="2">
        <f t="shared" si="263"/>
        <v>15702444.701692188</v>
      </c>
    </row>
    <row r="410" spans="1:94" ht="16.5" hidden="1" x14ac:dyDescent="0.3">
      <c r="A410" s="2">
        <v>405</v>
      </c>
      <c r="B410" s="47" t="s">
        <v>21</v>
      </c>
      <c r="C410" s="47"/>
      <c r="D410" s="30" t="s">
        <v>1041</v>
      </c>
      <c r="E410" s="30" t="s">
        <v>1042</v>
      </c>
      <c r="F410" s="30" t="s">
        <v>1043</v>
      </c>
      <c r="G410" s="30" t="s">
        <v>117</v>
      </c>
      <c r="H410" s="30" t="s">
        <v>385</v>
      </c>
      <c r="I410" s="30" t="s">
        <v>119</v>
      </c>
      <c r="J410" s="30" t="s">
        <v>1044</v>
      </c>
      <c r="K410" s="30" t="s">
        <v>1044</v>
      </c>
      <c r="L410" s="30" t="s">
        <v>1130</v>
      </c>
      <c r="M410" s="30">
        <v>1003042</v>
      </c>
      <c r="N410" s="30" t="s">
        <v>138</v>
      </c>
      <c r="O410" s="30" t="s">
        <v>1450</v>
      </c>
      <c r="P410" s="30" t="s">
        <v>1406</v>
      </c>
      <c r="Q410" s="30" t="s">
        <v>1324</v>
      </c>
      <c r="R410" s="30" t="s">
        <v>1325</v>
      </c>
      <c r="S410" s="30"/>
      <c r="T410" s="30" t="s">
        <v>1326</v>
      </c>
      <c r="U410" s="30" t="s">
        <v>144</v>
      </c>
      <c r="V410" s="30" t="s">
        <v>415</v>
      </c>
      <c r="W410" s="30" t="s">
        <v>1145</v>
      </c>
      <c r="X410" s="30" t="s">
        <v>127</v>
      </c>
      <c r="Y410" s="30" t="s">
        <v>128</v>
      </c>
      <c r="Z410" s="30" t="s">
        <v>128</v>
      </c>
      <c r="AA410" s="30" t="s">
        <v>148</v>
      </c>
      <c r="AB410" s="30" t="s">
        <v>1146</v>
      </c>
      <c r="AC410" s="30" t="s">
        <v>1146</v>
      </c>
      <c r="AD410" s="30"/>
      <c r="AE410" s="30"/>
      <c r="AF410" s="30" t="s">
        <v>593</v>
      </c>
      <c r="AG410" s="30" t="s">
        <v>440</v>
      </c>
      <c r="AH410" s="30" t="s">
        <v>1147</v>
      </c>
      <c r="AI410" s="30"/>
      <c r="AJ410" s="50">
        <v>40939</v>
      </c>
      <c r="AK410" s="50">
        <v>40939</v>
      </c>
      <c r="AL410" s="51">
        <f t="shared" si="276"/>
        <v>13.758904109589041</v>
      </c>
      <c r="AM410" s="30">
        <v>8</v>
      </c>
      <c r="AN410" s="30" t="s">
        <v>1065</v>
      </c>
      <c r="AO410" s="30" t="s">
        <v>1050</v>
      </c>
      <c r="AP410" s="30" t="s">
        <v>1051</v>
      </c>
      <c r="AQ410" s="30">
        <v>3</v>
      </c>
      <c r="AR410" s="30">
        <v>2500</v>
      </c>
      <c r="AS410" s="30">
        <v>1400</v>
      </c>
      <c r="AT410" s="30">
        <v>1980</v>
      </c>
      <c r="AU410" s="54">
        <v>309135176</v>
      </c>
      <c r="AV410" s="54"/>
      <c r="AW410" s="54"/>
      <c r="AX410" s="54"/>
      <c r="AY410" s="54">
        <v>309134176</v>
      </c>
      <c r="AZ410" s="54">
        <v>2599210</v>
      </c>
      <c r="BA410" s="54">
        <v>1000</v>
      </c>
      <c r="BB410" s="55">
        <f>VLOOKUP(M410,[1]Sheet1!$E$6:$F$556,2,FALSE)</f>
        <v>1000</v>
      </c>
      <c r="BC410" s="74"/>
      <c r="BD410" s="74"/>
      <c r="BE410" s="30"/>
      <c r="BF410" s="30" t="s">
        <v>1052</v>
      </c>
      <c r="BG410" s="30" t="s">
        <v>1074</v>
      </c>
      <c r="BH410" s="30" t="s">
        <v>1054</v>
      </c>
      <c r="BI410" s="30" t="str">
        <f t="shared" si="262"/>
        <v>COF(Assy_FT)</v>
      </c>
      <c r="BJ410" s="47" t="s">
        <v>137</v>
      </c>
      <c r="BK410" s="56">
        <f t="shared" si="277"/>
        <v>6182703.5200000005</v>
      </c>
      <c r="BL410" s="57">
        <f t="shared" si="241"/>
        <v>589389.1994736935</v>
      </c>
      <c r="BM410" s="57">
        <f t="shared" si="242"/>
        <v>196463.06649123118</v>
      </c>
      <c r="BU410" s="58">
        <f>BM410*3</f>
        <v>589389.1994736935</v>
      </c>
      <c r="BV410" s="58">
        <f t="shared" si="270"/>
        <v>589389.1994736935</v>
      </c>
      <c r="BW410" s="58">
        <f t="shared" si="248"/>
        <v>1178778.398947387</v>
      </c>
      <c r="BX410" s="58">
        <f t="shared" si="244"/>
        <v>589389.1994736935</v>
      </c>
      <c r="BY410" s="58">
        <f t="shared" si="245"/>
        <v>589389.1994736935</v>
      </c>
      <c r="BZ410" s="58">
        <f t="shared" ref="BZ410:BZ449" si="283">BM410*3</f>
        <v>589389.1994736935</v>
      </c>
      <c r="CA410" s="58">
        <f t="shared" si="245"/>
        <v>589389.1994736935</v>
      </c>
      <c r="CB410" s="58">
        <f t="shared" si="264"/>
        <v>2357556.797894774</v>
      </c>
      <c r="CC410" s="58">
        <f t="shared" si="265"/>
        <v>589389.1994736935</v>
      </c>
      <c r="CD410" s="58">
        <f t="shared" si="278"/>
        <v>589389.1994736935</v>
      </c>
      <c r="CE410" s="58">
        <f t="shared" si="278"/>
        <v>589389.1994736935</v>
      </c>
      <c r="CF410" s="58">
        <f t="shared" si="278"/>
        <v>589389.1994736935</v>
      </c>
      <c r="CG410" s="58">
        <f t="shared" si="266"/>
        <v>2357556.797894774</v>
      </c>
      <c r="CH410" s="58">
        <f t="shared" si="261"/>
        <v>589389.1994736935</v>
      </c>
      <c r="CI410" s="58">
        <f t="shared" si="271"/>
        <v>589389.1994736935</v>
      </c>
      <c r="CJ410" s="58">
        <f t="shared" si="271"/>
        <v>589389.1994736935</v>
      </c>
      <c r="CK410" s="58">
        <f t="shared" si="271"/>
        <v>589389.1994736935</v>
      </c>
      <c r="CL410" s="58">
        <f t="shared" si="269"/>
        <v>2357556.797894774</v>
      </c>
      <c r="CN410" s="59">
        <f t="shared" si="281"/>
        <v>6.0370242205515191E-4</v>
      </c>
      <c r="CO410" s="64">
        <f t="shared" si="282"/>
        <v>12677750.863158191</v>
      </c>
      <c r="CP410" s="2">
        <f t="shared" si="263"/>
        <v>18860454.383158192</v>
      </c>
    </row>
    <row r="411" spans="1:94" ht="16.5" hidden="1" x14ac:dyDescent="0.3">
      <c r="A411" s="2">
        <v>406</v>
      </c>
      <c r="B411" s="47" t="s">
        <v>21</v>
      </c>
      <c r="C411" s="47"/>
      <c r="D411" s="30" t="s">
        <v>1041</v>
      </c>
      <c r="E411" s="30" t="s">
        <v>1042</v>
      </c>
      <c r="F411" s="30" t="s">
        <v>1043</v>
      </c>
      <c r="G411" s="30" t="s">
        <v>117</v>
      </c>
      <c r="H411" s="30" t="s">
        <v>385</v>
      </c>
      <c r="I411" s="30" t="s">
        <v>119</v>
      </c>
      <c r="J411" s="30" t="s">
        <v>1044</v>
      </c>
      <c r="K411" s="30" t="s">
        <v>1044</v>
      </c>
      <c r="L411" s="30" t="s">
        <v>1130</v>
      </c>
      <c r="M411" s="30">
        <v>1003043</v>
      </c>
      <c r="N411" s="30" t="s">
        <v>138</v>
      </c>
      <c r="O411" s="30" t="s">
        <v>1451</v>
      </c>
      <c r="P411" s="30" t="s">
        <v>1406</v>
      </c>
      <c r="Q411" s="30" t="s">
        <v>1324</v>
      </c>
      <c r="R411" s="30" t="s">
        <v>1325</v>
      </c>
      <c r="S411" s="30"/>
      <c r="T411" s="30" t="s">
        <v>1326</v>
      </c>
      <c r="U411" s="30" t="s">
        <v>144</v>
      </c>
      <c r="V411" s="30" t="s">
        <v>415</v>
      </c>
      <c r="W411" s="30" t="s">
        <v>1145</v>
      </c>
      <c r="X411" s="30" t="s">
        <v>127</v>
      </c>
      <c r="Y411" s="30" t="s">
        <v>128</v>
      </c>
      <c r="Z411" s="30" t="s">
        <v>128</v>
      </c>
      <c r="AA411" s="30" t="s">
        <v>148</v>
      </c>
      <c r="AB411" s="30" t="s">
        <v>1146</v>
      </c>
      <c r="AC411" s="30" t="s">
        <v>1146</v>
      </c>
      <c r="AD411" s="30"/>
      <c r="AE411" s="30"/>
      <c r="AF411" s="30" t="s">
        <v>593</v>
      </c>
      <c r="AG411" s="30" t="s">
        <v>440</v>
      </c>
      <c r="AH411" s="30" t="s">
        <v>1147</v>
      </c>
      <c r="AI411" s="30"/>
      <c r="AJ411" s="50">
        <v>40963</v>
      </c>
      <c r="AK411" s="50">
        <v>40963</v>
      </c>
      <c r="AL411" s="51">
        <f t="shared" si="276"/>
        <v>13.693150684931506</v>
      </c>
      <c r="AM411" s="30">
        <v>8</v>
      </c>
      <c r="AN411" s="30" t="s">
        <v>1065</v>
      </c>
      <c r="AO411" s="30" t="s">
        <v>1050</v>
      </c>
      <c r="AP411" s="30" t="s">
        <v>1051</v>
      </c>
      <c r="AQ411" s="30">
        <v>3</v>
      </c>
      <c r="AR411" s="30">
        <v>2500</v>
      </c>
      <c r="AS411" s="30">
        <v>1400</v>
      </c>
      <c r="AT411" s="30">
        <v>1980</v>
      </c>
      <c r="AU411" s="54">
        <v>309135176</v>
      </c>
      <c r="AV411" s="54"/>
      <c r="AW411" s="54"/>
      <c r="AX411" s="54"/>
      <c r="AY411" s="54">
        <v>309134176</v>
      </c>
      <c r="AZ411" s="54">
        <v>2599210</v>
      </c>
      <c r="BA411" s="54">
        <v>1000</v>
      </c>
      <c r="BB411" s="55">
        <f>VLOOKUP(M411,[1]Sheet1!$E$6:$F$556,2,FALSE)</f>
        <v>1000</v>
      </c>
      <c r="BC411" s="74"/>
      <c r="BD411" s="74"/>
      <c r="BE411" s="30"/>
      <c r="BF411" s="30" t="s">
        <v>1052</v>
      </c>
      <c r="BG411" s="30" t="s">
        <v>1074</v>
      </c>
      <c r="BH411" s="30" t="s">
        <v>1054</v>
      </c>
      <c r="BI411" s="30" t="str">
        <f t="shared" si="262"/>
        <v>COF(Assy_FT)</v>
      </c>
      <c r="BJ411" s="47" t="s">
        <v>137</v>
      </c>
      <c r="BK411" s="56">
        <f t="shared" si="277"/>
        <v>6182703.5200000005</v>
      </c>
      <c r="BL411" s="57">
        <f t="shared" si="241"/>
        <v>589389.1994736935</v>
      </c>
      <c r="BM411" s="57">
        <f t="shared" si="242"/>
        <v>196463.06649123118</v>
      </c>
      <c r="BU411" s="58">
        <f>BM411*3</f>
        <v>589389.1994736935</v>
      </c>
      <c r="BV411" s="58">
        <f t="shared" si="270"/>
        <v>589389.1994736935</v>
      </c>
      <c r="BW411" s="58">
        <f t="shared" si="248"/>
        <v>1178778.398947387</v>
      </c>
      <c r="BX411" s="58">
        <f t="shared" si="244"/>
        <v>589389.1994736935</v>
      </c>
      <c r="BY411" s="58">
        <f t="shared" si="245"/>
        <v>589389.1994736935</v>
      </c>
      <c r="BZ411" s="58">
        <f t="shared" si="283"/>
        <v>589389.1994736935</v>
      </c>
      <c r="CA411" s="58">
        <f t="shared" si="245"/>
        <v>589389.1994736935</v>
      </c>
      <c r="CB411" s="58">
        <f t="shared" si="264"/>
        <v>2357556.797894774</v>
      </c>
      <c r="CC411" s="58">
        <f t="shared" si="265"/>
        <v>589389.1994736935</v>
      </c>
      <c r="CD411" s="58">
        <f t="shared" si="278"/>
        <v>589389.1994736935</v>
      </c>
      <c r="CE411" s="58">
        <f t="shared" si="278"/>
        <v>589389.1994736935</v>
      </c>
      <c r="CF411" s="58">
        <f t="shared" si="278"/>
        <v>589389.1994736935</v>
      </c>
      <c r="CG411" s="58">
        <f t="shared" si="266"/>
        <v>2357556.797894774</v>
      </c>
      <c r="CH411" s="58">
        <f t="shared" si="261"/>
        <v>589389.1994736935</v>
      </c>
      <c r="CI411" s="58">
        <f t="shared" si="271"/>
        <v>589389.1994736935</v>
      </c>
      <c r="CJ411" s="58">
        <f t="shared" si="271"/>
        <v>589389.1994736935</v>
      </c>
      <c r="CK411" s="58">
        <f t="shared" si="271"/>
        <v>589389.1994736935</v>
      </c>
      <c r="CL411" s="58">
        <f t="shared" si="269"/>
        <v>2357556.797894774</v>
      </c>
      <c r="CN411" s="59">
        <f t="shared" si="281"/>
        <v>6.0370242205515191E-4</v>
      </c>
      <c r="CO411" s="64">
        <f t="shared" si="282"/>
        <v>12677750.863158191</v>
      </c>
      <c r="CP411" s="2">
        <f t="shared" si="263"/>
        <v>18860454.383158192</v>
      </c>
    </row>
    <row r="412" spans="1:94" hidden="1" x14ac:dyDescent="0.3">
      <c r="A412" s="29">
        <v>407</v>
      </c>
      <c r="B412" s="30" t="s">
        <v>21</v>
      </c>
      <c r="C412" s="30"/>
      <c r="D412" s="30" t="s">
        <v>1041</v>
      </c>
      <c r="E412" s="30" t="s">
        <v>1042</v>
      </c>
      <c r="F412" s="30" t="s">
        <v>1043</v>
      </c>
      <c r="G412" s="30" t="s">
        <v>117</v>
      </c>
      <c r="H412" s="30" t="s">
        <v>1058</v>
      </c>
      <c r="I412" s="30" t="s">
        <v>119</v>
      </c>
      <c r="J412" s="30" t="s">
        <v>1044</v>
      </c>
      <c r="K412" s="30" t="s">
        <v>1044</v>
      </c>
      <c r="L412" s="30" t="s">
        <v>1120</v>
      </c>
      <c r="M412" s="30">
        <v>1005422</v>
      </c>
      <c r="N412" s="30" t="s">
        <v>138</v>
      </c>
      <c r="O412" s="30" t="s">
        <v>1452</v>
      </c>
      <c r="P412" s="30" t="s">
        <v>1410</v>
      </c>
      <c r="Q412" s="30" t="s">
        <v>1411</v>
      </c>
      <c r="R412" s="30"/>
      <c r="S412" s="30" t="s">
        <v>1453</v>
      </c>
      <c r="T412" s="30"/>
      <c r="U412" s="30" t="s">
        <v>144</v>
      </c>
      <c r="V412" s="30" t="s">
        <v>437</v>
      </c>
      <c r="W412" s="30" t="s">
        <v>1125</v>
      </c>
      <c r="X412" s="30"/>
      <c r="Y412" s="30" t="s">
        <v>128</v>
      </c>
      <c r="Z412" s="30" t="s">
        <v>128</v>
      </c>
      <c r="AA412" s="30" t="s">
        <v>129</v>
      </c>
      <c r="AB412" s="127" t="s">
        <v>1129</v>
      </c>
      <c r="AC412" s="30"/>
      <c r="AD412" s="30"/>
      <c r="AE412" s="30"/>
      <c r="AF412" s="30" t="s">
        <v>131</v>
      </c>
      <c r="AG412" s="30" t="s">
        <v>774</v>
      </c>
      <c r="AH412" s="30"/>
      <c r="AI412" s="30"/>
      <c r="AJ412" s="50">
        <v>43210</v>
      </c>
      <c r="AK412" s="50">
        <v>43210</v>
      </c>
      <c r="AL412" s="51">
        <f t="shared" si="276"/>
        <v>7.536986301369863</v>
      </c>
      <c r="AM412" s="30">
        <v>8</v>
      </c>
      <c r="AN412" s="30" t="s">
        <v>1065</v>
      </c>
      <c r="AO412" s="30" t="s">
        <v>1050</v>
      </c>
      <c r="AP412" s="30" t="s">
        <v>1187</v>
      </c>
      <c r="AQ412" s="30">
        <v>3</v>
      </c>
      <c r="AR412" s="30">
        <v>7100</v>
      </c>
      <c r="AS412" s="30">
        <v>820</v>
      </c>
      <c r="AT412" s="30">
        <v>1860</v>
      </c>
      <c r="AU412" s="74">
        <v>319812500</v>
      </c>
      <c r="AV412" s="54"/>
      <c r="AW412" s="54"/>
      <c r="AX412" s="54"/>
      <c r="AY412" s="54">
        <v>283086452</v>
      </c>
      <c r="AZ412" s="54">
        <v>3331380</v>
      </c>
      <c r="BA412" s="74">
        <v>26731908</v>
      </c>
      <c r="BB412" s="55">
        <f>VLOOKUP(M412,[1]Sheet1!$E$6:$F$556,2,FALSE)</f>
        <v>1000</v>
      </c>
      <c r="BC412" s="74"/>
      <c r="BD412" s="74"/>
      <c r="BE412" s="128">
        <v>11.024274624930209</v>
      </c>
      <c r="BF412" s="30" t="s">
        <v>1134</v>
      </c>
      <c r="BG412" s="30" t="s">
        <v>1117</v>
      </c>
      <c r="BH412" s="30" t="s">
        <v>1054</v>
      </c>
      <c r="BI412" s="30" t="str">
        <f t="shared" si="262"/>
        <v>COF(Assy_FT)</v>
      </c>
      <c r="BJ412" s="30" t="s">
        <v>250</v>
      </c>
      <c r="BK412" s="56">
        <f t="shared" si="277"/>
        <v>28068503.400000002</v>
      </c>
      <c r="BL412" s="57">
        <f t="shared" si="241"/>
        <v>877140.73125000007</v>
      </c>
      <c r="BM412" s="57">
        <f t="shared" si="242"/>
        <v>292380.24375000002</v>
      </c>
      <c r="BU412" s="58">
        <f>BM412*3</f>
        <v>877140.73125000007</v>
      </c>
      <c r="BV412" s="58">
        <f t="shared" ref="BV412:BV449" si="284">BU412</f>
        <v>877140.73125000007</v>
      </c>
      <c r="BW412" s="58">
        <f t="shared" si="248"/>
        <v>1754281.4625000001</v>
      </c>
      <c r="BX412" s="58">
        <f t="shared" si="244"/>
        <v>877140.73125000007</v>
      </c>
      <c r="BY412" s="58">
        <f t="shared" si="245"/>
        <v>877140.73125000007</v>
      </c>
      <c r="BZ412" s="58">
        <f t="shared" si="283"/>
        <v>877140.73125000007</v>
      </c>
      <c r="CA412" s="58">
        <f t="shared" si="245"/>
        <v>877140.73125000007</v>
      </c>
      <c r="CB412" s="58">
        <f t="shared" si="264"/>
        <v>3508562.9250000003</v>
      </c>
      <c r="CC412" s="58">
        <f t="shared" si="265"/>
        <v>877140.73125000007</v>
      </c>
      <c r="CD412" s="58">
        <f t="shared" si="278"/>
        <v>877140.73125000007</v>
      </c>
      <c r="CE412" s="58">
        <f t="shared" si="278"/>
        <v>877140.73125000007</v>
      </c>
      <c r="CF412" s="58">
        <f t="shared" si="278"/>
        <v>877140.73125000007</v>
      </c>
      <c r="CG412" s="58">
        <f t="shared" si="266"/>
        <v>3508562.9250000003</v>
      </c>
      <c r="CH412" s="58">
        <f t="shared" si="261"/>
        <v>877140.73125000007</v>
      </c>
      <c r="CI412" s="58">
        <f t="shared" ref="CI412:CK426" si="285">CH412</f>
        <v>877140.73125000007</v>
      </c>
      <c r="CJ412" s="58">
        <f t="shared" si="285"/>
        <v>877140.73125000007</v>
      </c>
      <c r="CK412" s="58">
        <f t="shared" si="285"/>
        <v>877140.73125000007</v>
      </c>
      <c r="CL412" s="58">
        <f t="shared" si="269"/>
        <v>3508562.9250000003</v>
      </c>
      <c r="CP412" s="2">
        <f t="shared" si="263"/>
        <v>28068503.400000002</v>
      </c>
    </row>
    <row r="413" spans="1:94" hidden="1" x14ac:dyDescent="0.3">
      <c r="A413" s="29">
        <v>408</v>
      </c>
      <c r="B413" s="30" t="s">
        <v>21</v>
      </c>
      <c r="C413" s="30"/>
      <c r="D413" s="30" t="s">
        <v>1041</v>
      </c>
      <c r="E413" s="30" t="s">
        <v>1042</v>
      </c>
      <c r="F413" s="30" t="s">
        <v>1043</v>
      </c>
      <c r="G413" s="30" t="s">
        <v>117</v>
      </c>
      <c r="H413" s="30" t="s">
        <v>1058</v>
      </c>
      <c r="I413" s="30" t="s">
        <v>119</v>
      </c>
      <c r="J413" s="30" t="s">
        <v>1044</v>
      </c>
      <c r="K413" s="30" t="s">
        <v>1044</v>
      </c>
      <c r="L413" s="30" t="s">
        <v>1120</v>
      </c>
      <c r="M413" s="30">
        <v>1005423</v>
      </c>
      <c r="N413" s="30" t="s">
        <v>138</v>
      </c>
      <c r="O413" s="30" t="s">
        <v>1454</v>
      </c>
      <c r="P413" s="30" t="s">
        <v>1410</v>
      </c>
      <c r="Q413" s="30" t="s">
        <v>1411</v>
      </c>
      <c r="R413" s="30"/>
      <c r="S413" s="30" t="s">
        <v>1455</v>
      </c>
      <c r="T413" s="30"/>
      <c r="U413" s="30" t="s">
        <v>144</v>
      </c>
      <c r="V413" s="30" t="s">
        <v>437</v>
      </c>
      <c r="W413" s="30" t="s">
        <v>1125</v>
      </c>
      <c r="X413" s="30"/>
      <c r="Y413" s="30" t="s">
        <v>576</v>
      </c>
      <c r="Z413" s="30" t="s">
        <v>576</v>
      </c>
      <c r="AA413" s="30" t="s">
        <v>129</v>
      </c>
      <c r="AB413" s="127" t="s">
        <v>1129</v>
      </c>
      <c r="AC413" s="30"/>
      <c r="AD413" s="30"/>
      <c r="AE413" s="30"/>
      <c r="AF413" s="30" t="s">
        <v>131</v>
      </c>
      <c r="AG413" s="30" t="s">
        <v>774</v>
      </c>
      <c r="AH413" s="30"/>
      <c r="AI413" s="30"/>
      <c r="AJ413" s="50">
        <v>43210</v>
      </c>
      <c r="AK413" s="50">
        <v>43210</v>
      </c>
      <c r="AL413" s="51">
        <f t="shared" si="276"/>
        <v>7.536986301369863</v>
      </c>
      <c r="AM413" s="30">
        <v>8</v>
      </c>
      <c r="AN413" s="30" t="s">
        <v>1065</v>
      </c>
      <c r="AO413" s="30" t="s">
        <v>1050</v>
      </c>
      <c r="AP413" s="30" t="s">
        <v>1187</v>
      </c>
      <c r="AQ413" s="30">
        <v>3</v>
      </c>
      <c r="AR413" s="30">
        <v>7100</v>
      </c>
      <c r="AS413" s="30">
        <v>820</v>
      </c>
      <c r="AT413" s="30">
        <v>1860</v>
      </c>
      <c r="AU413" s="74">
        <v>287800000</v>
      </c>
      <c r="AV413" s="54"/>
      <c r="AW413" s="54"/>
      <c r="AX413" s="54"/>
      <c r="AY413" s="54">
        <v>253741676</v>
      </c>
      <c r="AZ413" s="54">
        <v>2997917</v>
      </c>
      <c r="BA413" s="74">
        <v>25064573</v>
      </c>
      <c r="BB413" s="55">
        <f>VLOOKUP(M413,[1]Sheet1!$E$6:$F$556,2,FALSE)</f>
        <v>1000</v>
      </c>
      <c r="BC413" s="74"/>
      <c r="BD413" s="74"/>
      <c r="BE413" s="128">
        <v>11.360662753505183</v>
      </c>
      <c r="BF413" s="30" t="s">
        <v>1134</v>
      </c>
      <c r="BG413" s="30" t="s">
        <v>1117</v>
      </c>
      <c r="BH413" s="30" t="s">
        <v>1054</v>
      </c>
      <c r="BI413" s="30" t="str">
        <f t="shared" si="262"/>
        <v>COF(Assy_FT)</v>
      </c>
      <c r="BJ413" s="30" t="s">
        <v>250</v>
      </c>
      <c r="BK413" s="56">
        <f t="shared" si="277"/>
        <v>26317801.650000002</v>
      </c>
      <c r="BL413" s="57">
        <f t="shared" si="241"/>
        <v>822431.30156250007</v>
      </c>
      <c r="BM413" s="57">
        <f t="shared" si="242"/>
        <v>274143.76718750002</v>
      </c>
      <c r="BU413" s="58">
        <f>BM413*3</f>
        <v>822431.30156250007</v>
      </c>
      <c r="BV413" s="58">
        <f t="shared" si="284"/>
        <v>822431.30156250007</v>
      </c>
      <c r="BW413" s="58">
        <f t="shared" si="248"/>
        <v>1644862.6031250001</v>
      </c>
      <c r="BX413" s="58">
        <f t="shared" si="244"/>
        <v>822431.30156250007</v>
      </c>
      <c r="BY413" s="58">
        <f t="shared" si="245"/>
        <v>822431.30156250007</v>
      </c>
      <c r="BZ413" s="58">
        <f t="shared" si="283"/>
        <v>822431.30156250007</v>
      </c>
      <c r="CA413" s="58">
        <f t="shared" si="245"/>
        <v>822431.30156250007</v>
      </c>
      <c r="CB413" s="58">
        <f t="shared" si="264"/>
        <v>3289725.2062500003</v>
      </c>
      <c r="CC413" s="58">
        <f t="shared" si="265"/>
        <v>822431.30156250007</v>
      </c>
      <c r="CD413" s="58">
        <f t="shared" si="278"/>
        <v>822431.30156250007</v>
      </c>
      <c r="CE413" s="58">
        <f t="shared" si="278"/>
        <v>822431.30156250007</v>
      </c>
      <c r="CF413" s="58">
        <f t="shared" si="278"/>
        <v>822431.30156250007</v>
      </c>
      <c r="CG413" s="58">
        <f t="shared" si="266"/>
        <v>3289725.2062500003</v>
      </c>
      <c r="CH413" s="58">
        <f t="shared" si="261"/>
        <v>822431.30156250007</v>
      </c>
      <c r="CI413" s="58">
        <f t="shared" si="285"/>
        <v>822431.30156250007</v>
      </c>
      <c r="CJ413" s="58">
        <f t="shared" si="285"/>
        <v>822431.30156250007</v>
      </c>
      <c r="CK413" s="58">
        <f t="shared" si="285"/>
        <v>822431.30156250007</v>
      </c>
      <c r="CL413" s="58">
        <f t="shared" si="269"/>
        <v>3289725.2062500003</v>
      </c>
      <c r="CP413" s="2">
        <f t="shared" si="263"/>
        <v>26317801.650000002</v>
      </c>
    </row>
    <row r="414" spans="1:94" hidden="1" x14ac:dyDescent="0.3">
      <c r="A414" s="29">
        <v>409</v>
      </c>
      <c r="B414" s="30" t="s">
        <v>21</v>
      </c>
      <c r="C414" s="30"/>
      <c r="D414" s="30" t="s">
        <v>1041</v>
      </c>
      <c r="E414" s="30" t="s">
        <v>1042</v>
      </c>
      <c r="F414" s="30" t="s">
        <v>1043</v>
      </c>
      <c r="G414" s="30" t="s">
        <v>117</v>
      </c>
      <c r="H414" s="30" t="s">
        <v>1058</v>
      </c>
      <c r="I414" s="30" t="s">
        <v>119</v>
      </c>
      <c r="J414" s="30" t="s">
        <v>1044</v>
      </c>
      <c r="K414" s="30" t="s">
        <v>1044</v>
      </c>
      <c r="L414" s="30" t="s">
        <v>1120</v>
      </c>
      <c r="M414" s="30">
        <v>1005424</v>
      </c>
      <c r="N414" s="30" t="s">
        <v>138</v>
      </c>
      <c r="O414" s="30" t="s">
        <v>1456</v>
      </c>
      <c r="P414" s="30" t="s">
        <v>1410</v>
      </c>
      <c r="Q414" s="30" t="s">
        <v>1411</v>
      </c>
      <c r="R414" s="30"/>
      <c r="S414" s="30" t="s">
        <v>1457</v>
      </c>
      <c r="T414" s="30"/>
      <c r="U414" s="30" t="s">
        <v>144</v>
      </c>
      <c r="V414" s="30" t="s">
        <v>437</v>
      </c>
      <c r="W414" s="30" t="s">
        <v>1125</v>
      </c>
      <c r="X414" s="30"/>
      <c r="Y414" s="30" t="s">
        <v>128</v>
      </c>
      <c r="Z414" s="30" t="s">
        <v>128</v>
      </c>
      <c r="AA414" s="30" t="s">
        <v>129</v>
      </c>
      <c r="AB414" s="127" t="s">
        <v>1129</v>
      </c>
      <c r="AC414" s="30"/>
      <c r="AD414" s="30"/>
      <c r="AE414" s="30"/>
      <c r="AF414" s="30" t="s">
        <v>131</v>
      </c>
      <c r="AG414" s="30" t="s">
        <v>774</v>
      </c>
      <c r="AH414" s="30"/>
      <c r="AI414" s="30"/>
      <c r="AJ414" s="50">
        <v>43210</v>
      </c>
      <c r="AK414" s="50">
        <v>43210</v>
      </c>
      <c r="AL414" s="51">
        <f t="shared" si="276"/>
        <v>7.536986301369863</v>
      </c>
      <c r="AM414" s="30">
        <v>8</v>
      </c>
      <c r="AN414" s="30" t="s">
        <v>1065</v>
      </c>
      <c r="AO414" s="30" t="s">
        <v>1050</v>
      </c>
      <c r="AP414" s="30" t="s">
        <v>1187</v>
      </c>
      <c r="AQ414" s="30">
        <v>3</v>
      </c>
      <c r="AR414" s="30">
        <v>7100</v>
      </c>
      <c r="AS414" s="30">
        <v>820</v>
      </c>
      <c r="AT414" s="30">
        <v>1860</v>
      </c>
      <c r="AU414" s="74">
        <v>319812500</v>
      </c>
      <c r="AV414" s="54"/>
      <c r="AW414" s="54"/>
      <c r="AX414" s="54"/>
      <c r="AY414" s="54">
        <v>283086452</v>
      </c>
      <c r="AZ414" s="54">
        <v>3331380</v>
      </c>
      <c r="BA414" s="74">
        <v>26731908</v>
      </c>
      <c r="BB414" s="55">
        <f>VLOOKUP(M414,[1]Sheet1!$E$6:$F$556,2,FALSE)</f>
        <v>1000</v>
      </c>
      <c r="BC414" s="74"/>
      <c r="BD414" s="74"/>
      <c r="BE414" s="128">
        <v>11.024274624930209</v>
      </c>
      <c r="BF414" s="30" t="s">
        <v>1134</v>
      </c>
      <c r="BG414" s="30" t="s">
        <v>1117</v>
      </c>
      <c r="BH414" s="30" t="s">
        <v>1054</v>
      </c>
      <c r="BI414" s="30" t="str">
        <f t="shared" si="262"/>
        <v>COF(Assy_FT)</v>
      </c>
      <c r="BJ414" s="30" t="s">
        <v>250</v>
      </c>
      <c r="BK414" s="56">
        <f t="shared" si="277"/>
        <v>28068503.400000002</v>
      </c>
      <c r="BL414" s="57">
        <f t="shared" si="241"/>
        <v>877140.73125000007</v>
      </c>
      <c r="BM414" s="57">
        <f t="shared" si="242"/>
        <v>292380.24375000002</v>
      </c>
      <c r="BU414" s="58">
        <f>BM414*3</f>
        <v>877140.73125000007</v>
      </c>
      <c r="BV414" s="58">
        <f t="shared" si="284"/>
        <v>877140.73125000007</v>
      </c>
      <c r="BW414" s="58">
        <f t="shared" si="248"/>
        <v>1754281.4625000001</v>
      </c>
      <c r="BX414" s="58">
        <f t="shared" si="244"/>
        <v>877140.73125000007</v>
      </c>
      <c r="BY414" s="58">
        <f t="shared" si="245"/>
        <v>877140.73125000007</v>
      </c>
      <c r="BZ414" s="58">
        <f t="shared" si="283"/>
        <v>877140.73125000007</v>
      </c>
      <c r="CA414" s="58">
        <f t="shared" si="245"/>
        <v>877140.73125000007</v>
      </c>
      <c r="CB414" s="58">
        <f t="shared" si="264"/>
        <v>3508562.9250000003</v>
      </c>
      <c r="CC414" s="58">
        <f t="shared" si="265"/>
        <v>877140.73125000007</v>
      </c>
      <c r="CD414" s="58">
        <f t="shared" si="278"/>
        <v>877140.73125000007</v>
      </c>
      <c r="CE414" s="58">
        <f t="shared" si="278"/>
        <v>877140.73125000007</v>
      </c>
      <c r="CF414" s="58">
        <f t="shared" si="278"/>
        <v>877140.73125000007</v>
      </c>
      <c r="CG414" s="58">
        <f t="shared" si="266"/>
        <v>3508562.9250000003</v>
      </c>
      <c r="CH414" s="58">
        <f t="shared" si="261"/>
        <v>877140.73125000007</v>
      </c>
      <c r="CI414" s="58">
        <f t="shared" si="285"/>
        <v>877140.73125000007</v>
      </c>
      <c r="CJ414" s="58">
        <f t="shared" si="285"/>
        <v>877140.73125000007</v>
      </c>
      <c r="CK414" s="58">
        <f t="shared" si="285"/>
        <v>877140.73125000007</v>
      </c>
      <c r="CL414" s="58">
        <f t="shared" si="269"/>
        <v>3508562.9250000003</v>
      </c>
      <c r="CP414" s="2">
        <f t="shared" si="263"/>
        <v>28068503.400000002</v>
      </c>
    </row>
    <row r="415" spans="1:94" ht="16.5" hidden="1" x14ac:dyDescent="0.3">
      <c r="A415" s="2">
        <v>410</v>
      </c>
      <c r="B415" s="47" t="s">
        <v>21</v>
      </c>
      <c r="C415" s="47"/>
      <c r="D415" s="30" t="s">
        <v>1041</v>
      </c>
      <c r="E415" s="30" t="s">
        <v>1042</v>
      </c>
      <c r="F415" s="30" t="s">
        <v>1043</v>
      </c>
      <c r="G415" s="30" t="s">
        <v>117</v>
      </c>
      <c r="H415" s="30" t="s">
        <v>385</v>
      </c>
      <c r="I415" s="30" t="s">
        <v>119</v>
      </c>
      <c r="J415" s="30" t="s">
        <v>1044</v>
      </c>
      <c r="K415" s="30" t="s">
        <v>1044</v>
      </c>
      <c r="L415" s="30" t="s">
        <v>1130</v>
      </c>
      <c r="M415" s="30">
        <v>1003444</v>
      </c>
      <c r="N415" s="30" t="s">
        <v>138</v>
      </c>
      <c r="O415" s="30" t="s">
        <v>1458</v>
      </c>
      <c r="P415" s="30" t="s">
        <v>1140</v>
      </c>
      <c r="Q415" s="30" t="s">
        <v>1141</v>
      </c>
      <c r="R415" s="30" t="s">
        <v>1284</v>
      </c>
      <c r="S415" s="30" t="s">
        <v>1459</v>
      </c>
      <c r="T415" s="30" t="s">
        <v>1144</v>
      </c>
      <c r="U415" s="30" t="s">
        <v>144</v>
      </c>
      <c r="V415" s="30" t="s">
        <v>415</v>
      </c>
      <c r="W415" s="30" t="s">
        <v>1145</v>
      </c>
      <c r="X415" s="30" t="s">
        <v>147</v>
      </c>
      <c r="Y415" s="125" t="s">
        <v>457</v>
      </c>
      <c r="Z415" s="125" t="s">
        <v>457</v>
      </c>
      <c r="AA415" s="30" t="s">
        <v>148</v>
      </c>
      <c r="AB415" s="30" t="s">
        <v>1146</v>
      </c>
      <c r="AC415" s="30" t="s">
        <v>1146</v>
      </c>
      <c r="AD415" s="30"/>
      <c r="AE415" s="30"/>
      <c r="AF415" s="30" t="s">
        <v>593</v>
      </c>
      <c r="AG415" s="30" t="s">
        <v>440</v>
      </c>
      <c r="AH415" s="30" t="s">
        <v>1147</v>
      </c>
      <c r="AI415" s="30"/>
      <c r="AJ415" s="50">
        <v>41095</v>
      </c>
      <c r="AK415" s="50">
        <v>41095</v>
      </c>
      <c r="AL415" s="51">
        <f t="shared" si="276"/>
        <v>13.331506849315069</v>
      </c>
      <c r="AM415" s="30">
        <v>8</v>
      </c>
      <c r="AN415" s="30" t="s">
        <v>1065</v>
      </c>
      <c r="AO415" s="30" t="s">
        <v>1050</v>
      </c>
      <c r="AP415" s="30" t="s">
        <v>1051</v>
      </c>
      <c r="AQ415" s="30">
        <v>3</v>
      </c>
      <c r="AR415" s="30">
        <v>2700</v>
      </c>
      <c r="AS415" s="30">
        <v>1350</v>
      </c>
      <c r="AT415" s="30">
        <v>2000</v>
      </c>
      <c r="AU415" s="54">
        <v>131420463</v>
      </c>
      <c r="AV415" s="54"/>
      <c r="AW415" s="54"/>
      <c r="AX415" s="54"/>
      <c r="AY415" s="54">
        <v>131419463</v>
      </c>
      <c r="AZ415" s="54">
        <v>1072444</v>
      </c>
      <c r="BA415" s="54">
        <v>1000</v>
      </c>
      <c r="BB415" s="55">
        <f>VLOOKUP(M415,[1]Sheet1!$E$6:$F$556,2,FALSE)</f>
        <v>1000</v>
      </c>
      <c r="BC415" s="74"/>
      <c r="BD415" s="74"/>
      <c r="BE415" s="30"/>
      <c r="BF415" s="30" t="s">
        <v>1052</v>
      </c>
      <c r="BG415" s="30" t="s">
        <v>1074</v>
      </c>
      <c r="BH415" s="30" t="s">
        <v>1054</v>
      </c>
      <c r="BI415" s="30" t="str">
        <f t="shared" si="262"/>
        <v>COF(Assy_FT)</v>
      </c>
      <c r="BJ415" s="47" t="s">
        <v>137</v>
      </c>
      <c r="BK415" s="67">
        <f t="shared" si="277"/>
        <v>2628409.2600000002</v>
      </c>
      <c r="BL415" s="68">
        <f t="shared" si="241"/>
        <v>250562.88476867526</v>
      </c>
      <c r="BM415" s="68">
        <f t="shared" si="242"/>
        <v>83520.961589558414</v>
      </c>
      <c r="BP415" s="69">
        <f>BM415*3</f>
        <v>250562.88476867526</v>
      </c>
      <c r="BQ415" s="69">
        <f>BP415</f>
        <v>250562.88476867526</v>
      </c>
      <c r="BR415" s="69">
        <f>SUM(BN415:BQ415)</f>
        <v>501125.76953735051</v>
      </c>
      <c r="BS415" s="69">
        <f>BQ415</f>
        <v>250562.88476867526</v>
      </c>
      <c r="BT415" s="69">
        <f>BS415</f>
        <v>250562.88476867526</v>
      </c>
      <c r="BU415" s="100">
        <f>BT415</f>
        <v>250562.88476867526</v>
      </c>
      <c r="BV415" s="100">
        <f t="shared" si="284"/>
        <v>250562.88476867526</v>
      </c>
      <c r="BW415" s="100">
        <f t="shared" si="248"/>
        <v>1002251.539074701</v>
      </c>
      <c r="BX415" s="101">
        <f t="shared" si="244"/>
        <v>250562.88476867526</v>
      </c>
      <c r="BY415" s="101">
        <f t="shared" si="245"/>
        <v>250562.88476867526</v>
      </c>
      <c r="BZ415" s="18">
        <f t="shared" si="283"/>
        <v>250562.88476867526</v>
      </c>
      <c r="CA415" s="18">
        <f t="shared" si="245"/>
        <v>250562.88476867526</v>
      </c>
      <c r="CB415" s="70">
        <f t="shared" si="264"/>
        <v>1002251.539074701</v>
      </c>
      <c r="CC415" s="18">
        <f t="shared" si="265"/>
        <v>250562.88476867526</v>
      </c>
      <c r="CD415" s="18">
        <f t="shared" si="278"/>
        <v>250562.88476867526</v>
      </c>
      <c r="CE415" s="18">
        <f t="shared" si="278"/>
        <v>250562.88476867526</v>
      </c>
      <c r="CF415" s="18">
        <f t="shared" si="278"/>
        <v>250562.88476867526</v>
      </c>
      <c r="CG415" s="70">
        <f t="shared" si="266"/>
        <v>1002251.539074701</v>
      </c>
      <c r="CH415" s="18">
        <f t="shared" si="261"/>
        <v>250562.88476867526</v>
      </c>
      <c r="CI415" s="18">
        <f t="shared" si="285"/>
        <v>250562.88476867526</v>
      </c>
      <c r="CJ415" s="18">
        <f t="shared" si="285"/>
        <v>250562.88476867526</v>
      </c>
      <c r="CK415" s="18">
        <f t="shared" si="285"/>
        <v>250562.88476867526</v>
      </c>
      <c r="CL415" s="70">
        <f t="shared" si="269"/>
        <v>1002251.539074701</v>
      </c>
      <c r="CM415" s="71"/>
      <c r="CN415" s="59">
        <f t="shared" ref="CN415:CN417" si="286">BK415/$CN$3</f>
        <v>2.5664776440940994E-4</v>
      </c>
      <c r="CO415" s="64">
        <f t="shared" ref="CO415:CO417" si="287">CN415*$CO$4</f>
        <v>5389603.0525976084</v>
      </c>
      <c r="CP415" s="2">
        <f t="shared" si="263"/>
        <v>8018012.3125976082</v>
      </c>
    </row>
    <row r="416" spans="1:94" ht="16.5" hidden="1" x14ac:dyDescent="0.3">
      <c r="A416" s="2">
        <v>411</v>
      </c>
      <c r="B416" s="47" t="s">
        <v>21</v>
      </c>
      <c r="C416" s="47"/>
      <c r="D416" s="30" t="s">
        <v>1041</v>
      </c>
      <c r="E416" s="30" t="s">
        <v>1042</v>
      </c>
      <c r="F416" s="30" t="s">
        <v>1043</v>
      </c>
      <c r="G416" s="30" t="s">
        <v>117</v>
      </c>
      <c r="H416" s="30" t="s">
        <v>385</v>
      </c>
      <c r="I416" s="30" t="s">
        <v>119</v>
      </c>
      <c r="J416" s="30" t="s">
        <v>1044</v>
      </c>
      <c r="K416" s="30" t="s">
        <v>1044</v>
      </c>
      <c r="L416" s="30" t="s">
        <v>1130</v>
      </c>
      <c r="M416" s="30">
        <v>1003443</v>
      </c>
      <c r="N416" s="30" t="s">
        <v>138</v>
      </c>
      <c r="O416" s="30" t="s">
        <v>1460</v>
      </c>
      <c r="P416" s="30" t="s">
        <v>1140</v>
      </c>
      <c r="Q416" s="30" t="s">
        <v>1141</v>
      </c>
      <c r="R416" s="30" t="s">
        <v>1284</v>
      </c>
      <c r="S416" s="30" t="s">
        <v>1461</v>
      </c>
      <c r="T416" s="30" t="s">
        <v>1144</v>
      </c>
      <c r="U416" s="30" t="s">
        <v>144</v>
      </c>
      <c r="V416" s="30" t="s">
        <v>415</v>
      </c>
      <c r="W416" s="30" t="s">
        <v>1145</v>
      </c>
      <c r="X416" s="30" t="s">
        <v>147</v>
      </c>
      <c r="Y416" s="125" t="s">
        <v>457</v>
      </c>
      <c r="Z416" s="125" t="s">
        <v>457</v>
      </c>
      <c r="AA416" s="30" t="s">
        <v>148</v>
      </c>
      <c r="AB416" s="30" t="s">
        <v>1146</v>
      </c>
      <c r="AC416" s="30" t="s">
        <v>1146</v>
      </c>
      <c r="AD416" s="30"/>
      <c r="AE416" s="30"/>
      <c r="AF416" s="30" t="s">
        <v>593</v>
      </c>
      <c r="AG416" s="30" t="s">
        <v>440</v>
      </c>
      <c r="AH416" s="30" t="s">
        <v>1147</v>
      </c>
      <c r="AI416" s="30"/>
      <c r="AJ416" s="50">
        <v>41095</v>
      </c>
      <c r="AK416" s="50">
        <v>41095</v>
      </c>
      <c r="AL416" s="51">
        <f t="shared" si="276"/>
        <v>13.331506849315069</v>
      </c>
      <c r="AM416" s="30">
        <v>8</v>
      </c>
      <c r="AN416" s="30" t="s">
        <v>1065</v>
      </c>
      <c r="AO416" s="30" t="s">
        <v>1050</v>
      </c>
      <c r="AP416" s="30" t="s">
        <v>1051</v>
      </c>
      <c r="AQ416" s="30">
        <v>3</v>
      </c>
      <c r="AR416" s="30">
        <v>2700</v>
      </c>
      <c r="AS416" s="30">
        <v>1350</v>
      </c>
      <c r="AT416" s="30">
        <v>2000</v>
      </c>
      <c r="AU416" s="54">
        <v>131420463</v>
      </c>
      <c r="AV416" s="54"/>
      <c r="AW416" s="54"/>
      <c r="AX416" s="54"/>
      <c r="AY416" s="54">
        <v>131419463</v>
      </c>
      <c r="AZ416" s="54">
        <v>1072444</v>
      </c>
      <c r="BA416" s="54">
        <v>1000</v>
      </c>
      <c r="BB416" s="55">
        <f>VLOOKUP(M416,[1]Sheet1!$E$6:$F$556,2,FALSE)</f>
        <v>1000</v>
      </c>
      <c r="BC416" s="74"/>
      <c r="BD416" s="74"/>
      <c r="BE416" s="30"/>
      <c r="BF416" s="30" t="s">
        <v>1052</v>
      </c>
      <c r="BG416" s="30" t="s">
        <v>1074</v>
      </c>
      <c r="BH416" s="30" t="s">
        <v>1054</v>
      </c>
      <c r="BI416" s="30" t="str">
        <f t="shared" si="262"/>
        <v>COF(Assy_FT)</v>
      </c>
      <c r="BJ416" s="47" t="s">
        <v>137</v>
      </c>
      <c r="BK416" s="67">
        <f t="shared" si="277"/>
        <v>2628409.2600000002</v>
      </c>
      <c r="BL416" s="68">
        <f t="shared" si="241"/>
        <v>250562.88476867526</v>
      </c>
      <c r="BM416" s="68">
        <f t="shared" si="242"/>
        <v>83520.961589558414</v>
      </c>
      <c r="BP416" s="69">
        <f>BM416*3</f>
        <v>250562.88476867526</v>
      </c>
      <c r="BQ416" s="69">
        <f>BP416</f>
        <v>250562.88476867526</v>
      </c>
      <c r="BR416" s="69">
        <f>SUM(BN416:BQ416)</f>
        <v>501125.76953735051</v>
      </c>
      <c r="BS416" s="69">
        <f>BQ416</f>
        <v>250562.88476867526</v>
      </c>
      <c r="BT416" s="69">
        <f>BS416</f>
        <v>250562.88476867526</v>
      </c>
      <c r="BU416" s="100">
        <f>BT416</f>
        <v>250562.88476867526</v>
      </c>
      <c r="BV416" s="100">
        <f t="shared" si="284"/>
        <v>250562.88476867526</v>
      </c>
      <c r="BW416" s="100">
        <f t="shared" si="248"/>
        <v>1002251.539074701</v>
      </c>
      <c r="BX416" s="101">
        <f t="shared" si="244"/>
        <v>250562.88476867526</v>
      </c>
      <c r="BY416" s="101">
        <f t="shared" si="245"/>
        <v>250562.88476867526</v>
      </c>
      <c r="BZ416" s="18">
        <f t="shared" si="283"/>
        <v>250562.88476867526</v>
      </c>
      <c r="CA416" s="18">
        <f t="shared" si="245"/>
        <v>250562.88476867526</v>
      </c>
      <c r="CB416" s="70">
        <f t="shared" si="264"/>
        <v>1002251.539074701</v>
      </c>
      <c r="CC416" s="18">
        <f t="shared" si="265"/>
        <v>250562.88476867526</v>
      </c>
      <c r="CD416" s="18">
        <f t="shared" si="278"/>
        <v>250562.88476867526</v>
      </c>
      <c r="CE416" s="18">
        <f t="shared" si="278"/>
        <v>250562.88476867526</v>
      </c>
      <c r="CF416" s="18">
        <f t="shared" si="278"/>
        <v>250562.88476867526</v>
      </c>
      <c r="CG416" s="70">
        <f t="shared" si="266"/>
        <v>1002251.539074701</v>
      </c>
      <c r="CH416" s="18">
        <f t="shared" si="261"/>
        <v>250562.88476867526</v>
      </c>
      <c r="CI416" s="18">
        <f t="shared" si="285"/>
        <v>250562.88476867526</v>
      </c>
      <c r="CJ416" s="18">
        <f t="shared" si="285"/>
        <v>250562.88476867526</v>
      </c>
      <c r="CK416" s="18">
        <f t="shared" si="285"/>
        <v>250562.88476867526</v>
      </c>
      <c r="CL416" s="70">
        <f t="shared" si="269"/>
        <v>1002251.539074701</v>
      </c>
      <c r="CM416" s="71"/>
      <c r="CN416" s="59">
        <f t="shared" si="286"/>
        <v>2.5664776440940994E-4</v>
      </c>
      <c r="CO416" s="64">
        <f t="shared" si="287"/>
        <v>5389603.0525976084</v>
      </c>
      <c r="CP416" s="2">
        <f t="shared" si="263"/>
        <v>8018012.3125976082</v>
      </c>
    </row>
    <row r="417" spans="1:94" ht="16.5" hidden="1" x14ac:dyDescent="0.3">
      <c r="A417" s="2">
        <v>412</v>
      </c>
      <c r="B417" s="47" t="s">
        <v>21</v>
      </c>
      <c r="C417" s="47"/>
      <c r="D417" s="30" t="s">
        <v>1041</v>
      </c>
      <c r="E417" s="30" t="s">
        <v>1042</v>
      </c>
      <c r="F417" s="30" t="s">
        <v>1043</v>
      </c>
      <c r="G417" s="30" t="s">
        <v>117</v>
      </c>
      <c r="H417" s="30" t="s">
        <v>1058</v>
      </c>
      <c r="I417" s="30" t="s">
        <v>119</v>
      </c>
      <c r="J417" s="30" t="s">
        <v>1044</v>
      </c>
      <c r="K417" s="30" t="s">
        <v>1044</v>
      </c>
      <c r="L417" s="30" t="s">
        <v>1130</v>
      </c>
      <c r="M417" s="30">
        <v>1005866</v>
      </c>
      <c r="N417" s="30" t="s">
        <v>138</v>
      </c>
      <c r="O417" s="30" t="s">
        <v>1462</v>
      </c>
      <c r="P417" s="30" t="s">
        <v>1179</v>
      </c>
      <c r="Q417" s="30" t="s">
        <v>1180</v>
      </c>
      <c r="R417" s="30" t="s">
        <v>1463</v>
      </c>
      <c r="S417" s="30" t="s">
        <v>1464</v>
      </c>
      <c r="T417" s="30" t="s">
        <v>1183</v>
      </c>
      <c r="U417" s="30" t="s">
        <v>144</v>
      </c>
      <c r="V417" s="30" t="s">
        <v>600</v>
      </c>
      <c r="W417" s="30" t="s">
        <v>1184</v>
      </c>
      <c r="X417" s="30" t="s">
        <v>127</v>
      </c>
      <c r="Y417" s="30" t="s">
        <v>128</v>
      </c>
      <c r="Z417" s="30" t="s">
        <v>128</v>
      </c>
      <c r="AA417" s="30" t="s">
        <v>148</v>
      </c>
      <c r="AB417" s="30" t="s">
        <v>1185</v>
      </c>
      <c r="AC417" s="30" t="s">
        <v>1185</v>
      </c>
      <c r="AD417" s="30"/>
      <c r="AE417" s="30"/>
      <c r="AF417" s="30" t="s">
        <v>593</v>
      </c>
      <c r="AG417" s="30" t="s">
        <v>774</v>
      </c>
      <c r="AH417" s="30" t="s">
        <v>1186</v>
      </c>
      <c r="AI417" s="30"/>
      <c r="AJ417" s="50">
        <v>43557</v>
      </c>
      <c r="AK417" s="50">
        <v>43557</v>
      </c>
      <c r="AL417" s="51">
        <f t="shared" si="276"/>
        <v>6.5863013698630137</v>
      </c>
      <c r="AM417" s="30">
        <v>8</v>
      </c>
      <c r="AN417" s="30" t="s">
        <v>1065</v>
      </c>
      <c r="AO417" s="30" t="s">
        <v>1050</v>
      </c>
      <c r="AP417" s="30" t="s">
        <v>1051</v>
      </c>
      <c r="AQ417" s="30">
        <v>3.6</v>
      </c>
      <c r="AR417" s="30">
        <v>2820</v>
      </c>
      <c r="AS417" s="30">
        <v>1154</v>
      </c>
      <c r="AT417" s="30">
        <v>2020</v>
      </c>
      <c r="AU417" s="54">
        <v>447860307</v>
      </c>
      <c r="AV417" s="54"/>
      <c r="AW417" s="54"/>
      <c r="AX417" s="54"/>
      <c r="AY417" s="54">
        <v>351334213</v>
      </c>
      <c r="AZ417" s="54">
        <v>4665212</v>
      </c>
      <c r="BA417" s="54">
        <v>82530458</v>
      </c>
      <c r="BB417" s="55">
        <f>VLOOKUP(M417,[1]Sheet1!$E$6:$F$556,2,FALSE)</f>
        <v>6173526</v>
      </c>
      <c r="BC417" s="74"/>
      <c r="BD417" s="74"/>
      <c r="BE417" s="128">
        <v>20.690612559514982</v>
      </c>
      <c r="BF417" s="30" t="s">
        <v>1134</v>
      </c>
      <c r="BG417" s="30" t="s">
        <v>1074</v>
      </c>
      <c r="BH417" s="30" t="s">
        <v>1054</v>
      </c>
      <c r="BI417" s="30" t="str">
        <f t="shared" si="262"/>
        <v>COF(Assy_FT)</v>
      </c>
      <c r="BJ417" s="47" t="s">
        <v>137</v>
      </c>
      <c r="BK417" s="56">
        <f t="shared" si="277"/>
        <v>86656980.900000006</v>
      </c>
      <c r="BL417" s="57">
        <f t="shared" si="241"/>
        <v>8260898.8828657502</v>
      </c>
      <c r="BM417" s="57">
        <f t="shared" si="242"/>
        <v>2753632.9609552501</v>
      </c>
      <c r="BU417" s="58">
        <f t="shared" ref="BU417:BU449" si="288">BM417*3</f>
        <v>8260898.8828657502</v>
      </c>
      <c r="BV417" s="58">
        <f t="shared" si="284"/>
        <v>8260898.8828657502</v>
      </c>
      <c r="BW417" s="58">
        <f t="shared" si="248"/>
        <v>16521797.7657315</v>
      </c>
      <c r="BX417" s="58">
        <f t="shared" si="244"/>
        <v>8260898.8828657502</v>
      </c>
      <c r="BY417" s="58">
        <f t="shared" si="245"/>
        <v>8260898.8828657502</v>
      </c>
      <c r="BZ417" s="58">
        <f t="shared" si="283"/>
        <v>8260898.8828657502</v>
      </c>
      <c r="CA417" s="58">
        <f t="shared" si="245"/>
        <v>8260898.8828657502</v>
      </c>
      <c r="CB417" s="58">
        <f t="shared" si="264"/>
        <v>33043595.531463001</v>
      </c>
      <c r="CC417" s="58">
        <f t="shared" si="265"/>
        <v>8260898.8828657502</v>
      </c>
      <c r="CD417" s="58">
        <f t="shared" si="278"/>
        <v>8260898.8828657502</v>
      </c>
      <c r="CE417" s="58">
        <f t="shared" si="278"/>
        <v>8260898.8828657502</v>
      </c>
      <c r="CF417" s="58">
        <f t="shared" si="278"/>
        <v>8260898.8828657502</v>
      </c>
      <c r="CG417" s="58">
        <f t="shared" si="266"/>
        <v>33043595.531463001</v>
      </c>
      <c r="CH417" s="58">
        <f t="shared" si="261"/>
        <v>8260898.8828657502</v>
      </c>
      <c r="CI417" s="58">
        <f t="shared" si="285"/>
        <v>8260898.8828657502</v>
      </c>
      <c r="CJ417" s="58">
        <f t="shared" si="285"/>
        <v>8260898.8828657502</v>
      </c>
      <c r="CK417" s="58">
        <f t="shared" si="285"/>
        <v>8260898.8828657502</v>
      </c>
      <c r="CL417" s="58">
        <f t="shared" si="269"/>
        <v>33043595.531463001</v>
      </c>
      <c r="CN417" s="59">
        <f t="shared" si="286"/>
        <v>8.461513492938286E-3</v>
      </c>
      <c r="CO417" s="64">
        <f t="shared" si="287"/>
        <v>177691783.351704</v>
      </c>
      <c r="CP417" s="2">
        <f t="shared" si="263"/>
        <v>264348764.25170401</v>
      </c>
    </row>
    <row r="418" spans="1:94" hidden="1" x14ac:dyDescent="0.3">
      <c r="A418" s="29">
        <v>413</v>
      </c>
      <c r="B418" s="30" t="s">
        <v>21</v>
      </c>
      <c r="C418" s="30"/>
      <c r="D418" s="30" t="s">
        <v>1041</v>
      </c>
      <c r="E418" s="30" t="s">
        <v>1042</v>
      </c>
      <c r="F418" s="30" t="s">
        <v>1043</v>
      </c>
      <c r="G418" s="30" t="s">
        <v>117</v>
      </c>
      <c r="H418" s="30" t="s">
        <v>1058</v>
      </c>
      <c r="I418" s="30" t="s">
        <v>119</v>
      </c>
      <c r="J418" s="30" t="s">
        <v>1044</v>
      </c>
      <c r="K418" s="30" t="s">
        <v>1044</v>
      </c>
      <c r="L418" s="30" t="s">
        <v>1130</v>
      </c>
      <c r="M418" s="30">
        <v>1005865</v>
      </c>
      <c r="N418" s="30" t="s">
        <v>138</v>
      </c>
      <c r="O418" s="30" t="s">
        <v>1465</v>
      </c>
      <c r="P418" s="30" t="s">
        <v>1179</v>
      </c>
      <c r="Q418" s="30" t="s">
        <v>1180</v>
      </c>
      <c r="R418" s="30" t="s">
        <v>1463</v>
      </c>
      <c r="S418" s="30" t="s">
        <v>1466</v>
      </c>
      <c r="T418" s="30" t="s">
        <v>1183</v>
      </c>
      <c r="U418" s="30" t="s">
        <v>144</v>
      </c>
      <c r="V418" s="30" t="s">
        <v>600</v>
      </c>
      <c r="W418" s="30" t="s">
        <v>1184</v>
      </c>
      <c r="X418" s="30"/>
      <c r="Y418" s="30" t="s">
        <v>128</v>
      </c>
      <c r="Z418" s="30" t="s">
        <v>128</v>
      </c>
      <c r="AA418" s="30" t="s">
        <v>148</v>
      </c>
      <c r="AB418" s="30" t="s">
        <v>1185</v>
      </c>
      <c r="AC418" s="30" t="s">
        <v>1185</v>
      </c>
      <c r="AD418" s="30"/>
      <c r="AE418" s="30"/>
      <c r="AF418" s="30" t="s">
        <v>593</v>
      </c>
      <c r="AG418" s="30" t="s">
        <v>774</v>
      </c>
      <c r="AH418" s="30" t="s">
        <v>1186</v>
      </c>
      <c r="AI418" s="30"/>
      <c r="AJ418" s="50">
        <v>43557</v>
      </c>
      <c r="AK418" s="50">
        <v>43557</v>
      </c>
      <c r="AL418" s="51">
        <f t="shared" si="276"/>
        <v>6.5863013698630137</v>
      </c>
      <c r="AM418" s="30">
        <v>8</v>
      </c>
      <c r="AN418" s="30" t="s">
        <v>1065</v>
      </c>
      <c r="AO418" s="30" t="s">
        <v>1050</v>
      </c>
      <c r="AP418" s="30" t="s">
        <v>1051</v>
      </c>
      <c r="AQ418" s="30">
        <v>3.6</v>
      </c>
      <c r="AR418" s="30">
        <v>2820</v>
      </c>
      <c r="AS418" s="30">
        <v>1154</v>
      </c>
      <c r="AT418" s="30">
        <v>2020</v>
      </c>
      <c r="AU418" s="74">
        <v>445460299</v>
      </c>
      <c r="AV418" s="54"/>
      <c r="AW418" s="54"/>
      <c r="AX418" s="54"/>
      <c r="AY418" s="54">
        <v>349484185</v>
      </c>
      <c r="AZ418" s="54">
        <v>4640211</v>
      </c>
      <c r="BA418" s="74">
        <v>82055481</v>
      </c>
      <c r="BB418" s="55">
        <f>VLOOKUP(M418,[1]Sheet1!$E$6:$F$556,2,FALSE)</f>
        <v>6137681</v>
      </c>
      <c r="BC418" s="74"/>
      <c r="BD418" s="74"/>
      <c r="BE418" s="128">
        <v>20.683566760218447</v>
      </c>
      <c r="BF418" s="30" t="s">
        <v>1134</v>
      </c>
      <c r="BG418" s="30" t="s">
        <v>1074</v>
      </c>
      <c r="BH418" s="30" t="s">
        <v>1054</v>
      </c>
      <c r="BI418" s="30" t="str">
        <f t="shared" si="262"/>
        <v>COF(Assy_FT)</v>
      </c>
      <c r="BJ418" s="30" t="s">
        <v>250</v>
      </c>
      <c r="BK418" s="56">
        <f t="shared" si="277"/>
        <v>86158255.049999997</v>
      </c>
      <c r="BL418" s="57">
        <f t="shared" si="241"/>
        <v>2692445.4703124999</v>
      </c>
      <c r="BM418" s="57">
        <f t="shared" si="242"/>
        <v>897481.82343749993</v>
      </c>
      <c r="BU418" s="58">
        <f t="shared" si="288"/>
        <v>2692445.4703124999</v>
      </c>
      <c r="BV418" s="58">
        <f t="shared" si="284"/>
        <v>2692445.4703124999</v>
      </c>
      <c r="BW418" s="58">
        <f t="shared" si="248"/>
        <v>5384890.9406249998</v>
      </c>
      <c r="BX418" s="58">
        <f t="shared" si="244"/>
        <v>2692445.4703124999</v>
      </c>
      <c r="BY418" s="58">
        <f t="shared" si="245"/>
        <v>2692445.4703124999</v>
      </c>
      <c r="BZ418" s="58">
        <f t="shared" si="283"/>
        <v>2692445.4703124999</v>
      </c>
      <c r="CA418" s="58">
        <f t="shared" si="245"/>
        <v>2692445.4703124999</v>
      </c>
      <c r="CB418" s="58">
        <f t="shared" si="264"/>
        <v>10769781.88125</v>
      </c>
      <c r="CC418" s="58">
        <f t="shared" si="265"/>
        <v>2692445.4703124999</v>
      </c>
      <c r="CD418" s="58">
        <f t="shared" si="278"/>
        <v>2692445.4703124999</v>
      </c>
      <c r="CE418" s="58">
        <f t="shared" si="278"/>
        <v>2692445.4703124999</v>
      </c>
      <c r="CF418" s="58">
        <f t="shared" si="278"/>
        <v>2692445.4703124999</v>
      </c>
      <c r="CG418" s="58">
        <f t="shared" si="266"/>
        <v>10769781.88125</v>
      </c>
      <c r="CH418" s="58">
        <f t="shared" si="261"/>
        <v>2692445.4703124999</v>
      </c>
      <c r="CI418" s="58">
        <f t="shared" si="285"/>
        <v>2692445.4703124999</v>
      </c>
      <c r="CJ418" s="58">
        <f t="shared" si="285"/>
        <v>2692445.4703124999</v>
      </c>
      <c r="CK418" s="58">
        <f t="shared" si="285"/>
        <v>2692445.4703124999</v>
      </c>
      <c r="CL418" s="58">
        <f t="shared" si="269"/>
        <v>10769781.88125</v>
      </c>
      <c r="CP418" s="2">
        <f t="shared" si="263"/>
        <v>86158255.049999997</v>
      </c>
    </row>
    <row r="419" spans="1:94" hidden="1" x14ac:dyDescent="0.3">
      <c r="A419" s="29">
        <v>414</v>
      </c>
      <c r="B419" s="30" t="s">
        <v>21</v>
      </c>
      <c r="C419" s="30"/>
      <c r="D419" s="30" t="s">
        <v>1041</v>
      </c>
      <c r="E419" s="30" t="s">
        <v>1042</v>
      </c>
      <c r="F419" s="30" t="s">
        <v>1043</v>
      </c>
      <c r="G419" s="30" t="s">
        <v>117</v>
      </c>
      <c r="H419" s="30" t="s">
        <v>1058</v>
      </c>
      <c r="I419" s="30" t="s">
        <v>119</v>
      </c>
      <c r="J419" s="30" t="s">
        <v>1044</v>
      </c>
      <c r="K419" s="30" t="s">
        <v>1044</v>
      </c>
      <c r="L419" s="30" t="s">
        <v>1130</v>
      </c>
      <c r="M419" s="30">
        <v>1005864</v>
      </c>
      <c r="N419" s="30" t="s">
        <v>138</v>
      </c>
      <c r="O419" s="30" t="s">
        <v>1467</v>
      </c>
      <c r="P419" s="30" t="s">
        <v>1179</v>
      </c>
      <c r="Q419" s="30" t="s">
        <v>1180</v>
      </c>
      <c r="R419" s="30" t="s">
        <v>1463</v>
      </c>
      <c r="S419" s="30" t="s">
        <v>1468</v>
      </c>
      <c r="T419" s="30" t="s">
        <v>1183</v>
      </c>
      <c r="U419" s="30" t="s">
        <v>144</v>
      </c>
      <c r="V419" s="30" t="s">
        <v>600</v>
      </c>
      <c r="W419" s="30" t="s">
        <v>1184</v>
      </c>
      <c r="X419" s="30"/>
      <c r="Y419" s="30" t="s">
        <v>128</v>
      </c>
      <c r="Z419" s="30" t="s">
        <v>128</v>
      </c>
      <c r="AA419" s="30" t="s">
        <v>148</v>
      </c>
      <c r="AB419" s="30" t="s">
        <v>1185</v>
      </c>
      <c r="AC419" s="30" t="s">
        <v>1185</v>
      </c>
      <c r="AD419" s="30"/>
      <c r="AE419" s="30"/>
      <c r="AF419" s="30" t="s">
        <v>593</v>
      </c>
      <c r="AG419" s="30" t="s">
        <v>774</v>
      </c>
      <c r="AH419" s="30" t="s">
        <v>1186</v>
      </c>
      <c r="AI419" s="30"/>
      <c r="AJ419" s="50">
        <v>43557</v>
      </c>
      <c r="AK419" s="50">
        <v>43557</v>
      </c>
      <c r="AL419" s="51">
        <f t="shared" si="276"/>
        <v>6.5863013698630137</v>
      </c>
      <c r="AM419" s="30">
        <v>8</v>
      </c>
      <c r="AN419" s="30" t="s">
        <v>1065</v>
      </c>
      <c r="AO419" s="30" t="s">
        <v>1050</v>
      </c>
      <c r="AP419" s="30" t="s">
        <v>1051</v>
      </c>
      <c r="AQ419" s="30">
        <v>3.6</v>
      </c>
      <c r="AR419" s="30">
        <v>2820</v>
      </c>
      <c r="AS419" s="30">
        <v>1154</v>
      </c>
      <c r="AT419" s="30">
        <v>2020</v>
      </c>
      <c r="AU419" s="74">
        <v>460360299</v>
      </c>
      <c r="AV419" s="54"/>
      <c r="AW419" s="54"/>
      <c r="AX419" s="54"/>
      <c r="AY419" s="54">
        <v>354339395</v>
      </c>
      <c r="AZ419" s="54">
        <v>4795420</v>
      </c>
      <c r="BA419" s="74">
        <v>91634644</v>
      </c>
      <c r="BB419" s="55">
        <f>VLOOKUP(M419,[1]Sheet1!$E$6:$F$556,2,FALSE)</f>
        <v>6919387</v>
      </c>
      <c r="BC419" s="74"/>
      <c r="BD419" s="74"/>
      <c r="BE419" s="128">
        <v>22.108783797873805</v>
      </c>
      <c r="BF419" s="30" t="s">
        <v>1134</v>
      </c>
      <c r="BG419" s="30" t="s">
        <v>1074</v>
      </c>
      <c r="BH419" s="30" t="s">
        <v>1054</v>
      </c>
      <c r="BI419" s="30" t="str">
        <f t="shared" si="262"/>
        <v>COF(Assy_FT)</v>
      </c>
      <c r="BJ419" s="30" t="s">
        <v>250</v>
      </c>
      <c r="BK419" s="56">
        <f t="shared" si="277"/>
        <v>96216376.200000003</v>
      </c>
      <c r="BL419" s="57">
        <f t="shared" si="241"/>
        <v>3006761.7562500001</v>
      </c>
      <c r="BM419" s="57">
        <f t="shared" si="242"/>
        <v>1002253.9187500001</v>
      </c>
      <c r="BU419" s="58">
        <f t="shared" si="288"/>
        <v>3006761.7562500001</v>
      </c>
      <c r="BV419" s="58">
        <f t="shared" si="284"/>
        <v>3006761.7562500001</v>
      </c>
      <c r="BW419" s="58">
        <f t="shared" si="248"/>
        <v>6013523.5125000002</v>
      </c>
      <c r="BX419" s="58">
        <f t="shared" si="244"/>
        <v>3006761.7562500001</v>
      </c>
      <c r="BY419" s="58">
        <f t="shared" si="245"/>
        <v>3006761.7562500001</v>
      </c>
      <c r="BZ419" s="58">
        <f t="shared" si="283"/>
        <v>3006761.7562500001</v>
      </c>
      <c r="CA419" s="58">
        <f t="shared" si="245"/>
        <v>3006761.7562500001</v>
      </c>
      <c r="CB419" s="58">
        <f t="shared" si="264"/>
        <v>12027047.025</v>
      </c>
      <c r="CC419" s="58">
        <f t="shared" si="265"/>
        <v>3006761.7562500001</v>
      </c>
      <c r="CD419" s="58">
        <f t="shared" si="278"/>
        <v>3006761.7562500001</v>
      </c>
      <c r="CE419" s="58">
        <f t="shared" si="278"/>
        <v>3006761.7562500001</v>
      </c>
      <c r="CF419" s="58">
        <f t="shared" si="278"/>
        <v>3006761.7562500001</v>
      </c>
      <c r="CG419" s="58">
        <f t="shared" si="266"/>
        <v>12027047.025</v>
      </c>
      <c r="CH419" s="58">
        <f t="shared" si="261"/>
        <v>3006761.7562500001</v>
      </c>
      <c r="CI419" s="58">
        <f t="shared" si="285"/>
        <v>3006761.7562500001</v>
      </c>
      <c r="CJ419" s="58">
        <f t="shared" si="285"/>
        <v>3006761.7562500001</v>
      </c>
      <c r="CK419" s="58">
        <f t="shared" si="285"/>
        <v>3006761.7562500001</v>
      </c>
      <c r="CL419" s="58">
        <f t="shared" si="269"/>
        <v>12027047.025</v>
      </c>
      <c r="CP419" s="2">
        <f t="shared" si="263"/>
        <v>96216376.200000003</v>
      </c>
    </row>
    <row r="420" spans="1:94" hidden="1" x14ac:dyDescent="0.3">
      <c r="A420" s="29">
        <v>415</v>
      </c>
      <c r="B420" s="30" t="s">
        <v>21</v>
      </c>
      <c r="C420" s="30"/>
      <c r="D420" s="30" t="s">
        <v>1041</v>
      </c>
      <c r="E420" s="30" t="s">
        <v>1042</v>
      </c>
      <c r="F420" s="30" t="s">
        <v>1043</v>
      </c>
      <c r="G420" s="30" t="s">
        <v>117</v>
      </c>
      <c r="H420" s="30" t="s">
        <v>1058</v>
      </c>
      <c r="I420" s="30" t="s">
        <v>119</v>
      </c>
      <c r="J420" s="30" t="s">
        <v>1044</v>
      </c>
      <c r="K420" s="30" t="s">
        <v>1044</v>
      </c>
      <c r="L420" s="30" t="s">
        <v>1120</v>
      </c>
      <c r="M420" s="30">
        <v>1005469</v>
      </c>
      <c r="N420" s="30" t="s">
        <v>138</v>
      </c>
      <c r="O420" s="30" t="s">
        <v>1469</v>
      </c>
      <c r="P420" s="30" t="s">
        <v>1410</v>
      </c>
      <c r="Q420" s="30" t="s">
        <v>1411</v>
      </c>
      <c r="R420" s="30"/>
      <c r="S420" s="30" t="s">
        <v>1470</v>
      </c>
      <c r="T420" s="30"/>
      <c r="U420" s="30" t="s">
        <v>144</v>
      </c>
      <c r="V420" s="30" t="s">
        <v>437</v>
      </c>
      <c r="W420" s="30" t="s">
        <v>1125</v>
      </c>
      <c r="X420" s="30"/>
      <c r="Y420" s="30" t="s">
        <v>128</v>
      </c>
      <c r="Z420" s="30" t="s">
        <v>128</v>
      </c>
      <c r="AA420" s="30" t="s">
        <v>129</v>
      </c>
      <c r="AB420" s="127" t="s">
        <v>1129</v>
      </c>
      <c r="AC420" s="30"/>
      <c r="AD420" s="30"/>
      <c r="AE420" s="30"/>
      <c r="AF420" s="30" t="s">
        <v>131</v>
      </c>
      <c r="AG420" s="30" t="s">
        <v>774</v>
      </c>
      <c r="AH420" s="30"/>
      <c r="AI420" s="30"/>
      <c r="AJ420" s="50">
        <v>43249</v>
      </c>
      <c r="AK420" s="50">
        <v>43249</v>
      </c>
      <c r="AL420" s="51">
        <f t="shared" si="276"/>
        <v>7.4301369863013695</v>
      </c>
      <c r="AM420" s="30">
        <v>8</v>
      </c>
      <c r="AN420" s="30" t="s">
        <v>1065</v>
      </c>
      <c r="AO420" s="30" t="s">
        <v>1050</v>
      </c>
      <c r="AP420" s="30" t="s">
        <v>1187</v>
      </c>
      <c r="AQ420" s="30">
        <v>6.6</v>
      </c>
      <c r="AR420" s="30">
        <v>7100</v>
      </c>
      <c r="AS420" s="30">
        <v>820</v>
      </c>
      <c r="AT420" s="30">
        <v>1860</v>
      </c>
      <c r="AU420" s="74">
        <v>282330000</v>
      </c>
      <c r="AV420" s="54"/>
      <c r="AW420" s="54"/>
      <c r="AX420" s="54"/>
      <c r="AY420" s="54">
        <v>250841775</v>
      </c>
      <c r="AZ420" s="54">
        <v>2940938</v>
      </c>
      <c r="BA420" s="74">
        <v>22665411</v>
      </c>
      <c r="BB420" s="55">
        <f>VLOOKUP(M420,[1]Sheet1!$E$6:$F$556,2,FALSE)</f>
        <v>443090</v>
      </c>
      <c r="BC420" s="74"/>
      <c r="BD420" s="74"/>
      <c r="BE420" s="128">
        <v>10.706864612582788</v>
      </c>
      <c r="BF420" s="30" t="s">
        <v>1134</v>
      </c>
      <c r="BG420" s="30" t="s">
        <v>1117</v>
      </c>
      <c r="BH420" s="30" t="s">
        <v>1054</v>
      </c>
      <c r="BI420" s="30" t="str">
        <f t="shared" si="262"/>
        <v>COF(Assy_FT)</v>
      </c>
      <c r="BJ420" s="30" t="s">
        <v>250</v>
      </c>
      <c r="BK420" s="56">
        <f t="shared" si="277"/>
        <v>23798681.550000001</v>
      </c>
      <c r="BL420" s="57">
        <f t="shared" si="241"/>
        <v>743708.79843750002</v>
      </c>
      <c r="BM420" s="57">
        <f t="shared" si="242"/>
        <v>247902.93281250002</v>
      </c>
      <c r="BU420" s="58">
        <f t="shared" si="288"/>
        <v>743708.79843750002</v>
      </c>
      <c r="BV420" s="58">
        <f t="shared" si="284"/>
        <v>743708.79843750002</v>
      </c>
      <c r="BW420" s="58">
        <f t="shared" si="248"/>
        <v>1487417.596875</v>
      </c>
      <c r="BX420" s="58">
        <f t="shared" si="244"/>
        <v>743708.79843750002</v>
      </c>
      <c r="BY420" s="58">
        <f t="shared" si="245"/>
        <v>743708.79843750002</v>
      </c>
      <c r="BZ420" s="58">
        <f t="shared" si="283"/>
        <v>743708.79843750002</v>
      </c>
      <c r="CA420" s="58">
        <f t="shared" si="245"/>
        <v>743708.79843750002</v>
      </c>
      <c r="CB420" s="58">
        <f t="shared" si="264"/>
        <v>2974835.1937500001</v>
      </c>
      <c r="CC420" s="58">
        <f t="shared" si="265"/>
        <v>743708.79843750002</v>
      </c>
      <c r="CD420" s="58">
        <f t="shared" si="278"/>
        <v>743708.79843750002</v>
      </c>
      <c r="CE420" s="58">
        <f t="shared" si="278"/>
        <v>743708.79843750002</v>
      </c>
      <c r="CF420" s="58">
        <f t="shared" si="278"/>
        <v>743708.79843750002</v>
      </c>
      <c r="CG420" s="58">
        <f t="shared" si="266"/>
        <v>2974835.1937500001</v>
      </c>
      <c r="CH420" s="58">
        <f t="shared" si="261"/>
        <v>743708.79843750002</v>
      </c>
      <c r="CI420" s="58">
        <f t="shared" si="285"/>
        <v>743708.79843750002</v>
      </c>
      <c r="CJ420" s="58">
        <f t="shared" si="285"/>
        <v>743708.79843750002</v>
      </c>
      <c r="CK420" s="58">
        <f t="shared" si="285"/>
        <v>743708.79843750002</v>
      </c>
      <c r="CL420" s="58">
        <f t="shared" si="269"/>
        <v>2974835.1937500001</v>
      </c>
      <c r="CP420" s="2">
        <f t="shared" si="263"/>
        <v>23798681.550000001</v>
      </c>
    </row>
    <row r="421" spans="1:94" hidden="1" x14ac:dyDescent="0.3">
      <c r="A421" s="29">
        <v>416</v>
      </c>
      <c r="B421" s="30" t="s">
        <v>21</v>
      </c>
      <c r="C421" s="30"/>
      <c r="D421" s="30" t="s">
        <v>1041</v>
      </c>
      <c r="E421" s="30" t="s">
        <v>1042</v>
      </c>
      <c r="F421" s="30" t="s">
        <v>1043</v>
      </c>
      <c r="G421" s="30" t="s">
        <v>117</v>
      </c>
      <c r="H421" s="30" t="s">
        <v>1058</v>
      </c>
      <c r="I421" s="30" t="s">
        <v>119</v>
      </c>
      <c r="J421" s="30" t="s">
        <v>1044</v>
      </c>
      <c r="K421" s="30" t="s">
        <v>1044</v>
      </c>
      <c r="L421" s="30" t="s">
        <v>1120</v>
      </c>
      <c r="M421" s="30">
        <v>1005470</v>
      </c>
      <c r="N421" s="30" t="s">
        <v>138</v>
      </c>
      <c r="O421" s="30" t="s">
        <v>1471</v>
      </c>
      <c r="P421" s="30" t="s">
        <v>1410</v>
      </c>
      <c r="Q421" s="30" t="s">
        <v>1411</v>
      </c>
      <c r="R421" s="30"/>
      <c r="S421" s="30" t="s">
        <v>1472</v>
      </c>
      <c r="T421" s="30"/>
      <c r="U421" s="30" t="s">
        <v>144</v>
      </c>
      <c r="V421" s="30" t="s">
        <v>437</v>
      </c>
      <c r="W421" s="30" t="s">
        <v>1125</v>
      </c>
      <c r="X421" s="30"/>
      <c r="Y421" s="30" t="s">
        <v>128</v>
      </c>
      <c r="Z421" s="30" t="s">
        <v>128</v>
      </c>
      <c r="AA421" s="30" t="s">
        <v>129</v>
      </c>
      <c r="AB421" s="127" t="s">
        <v>1129</v>
      </c>
      <c r="AC421" s="30"/>
      <c r="AD421" s="30"/>
      <c r="AE421" s="30"/>
      <c r="AF421" s="30" t="s">
        <v>131</v>
      </c>
      <c r="AG421" s="30" t="s">
        <v>774</v>
      </c>
      <c r="AH421" s="30"/>
      <c r="AI421" s="30"/>
      <c r="AJ421" s="50">
        <v>43249</v>
      </c>
      <c r="AK421" s="50">
        <v>43249</v>
      </c>
      <c r="AL421" s="51">
        <f t="shared" si="276"/>
        <v>7.4301369863013695</v>
      </c>
      <c r="AM421" s="30">
        <v>8</v>
      </c>
      <c r="AN421" s="30" t="s">
        <v>1065</v>
      </c>
      <c r="AO421" s="30" t="s">
        <v>1050</v>
      </c>
      <c r="AP421" s="30" t="s">
        <v>1187</v>
      </c>
      <c r="AQ421" s="30">
        <v>6.6</v>
      </c>
      <c r="AR421" s="30">
        <v>7100</v>
      </c>
      <c r="AS421" s="30">
        <v>820</v>
      </c>
      <c r="AT421" s="30">
        <v>1860</v>
      </c>
      <c r="AU421" s="74">
        <v>318830000</v>
      </c>
      <c r="AV421" s="54"/>
      <c r="AW421" s="54"/>
      <c r="AX421" s="54"/>
      <c r="AY421" s="54">
        <v>274794901</v>
      </c>
      <c r="AZ421" s="54">
        <v>3321146</v>
      </c>
      <c r="BA421" s="74">
        <v>34071661</v>
      </c>
      <c r="BB421" s="55">
        <f>VLOOKUP(M421,[1]Sheet1!$E$6:$F$556,2,FALSE)</f>
        <v>723665</v>
      </c>
      <c r="BC421" s="74"/>
      <c r="BD421" s="74"/>
      <c r="BE421" s="128">
        <v>13.259007282426007</v>
      </c>
      <c r="BF421" s="30" t="s">
        <v>1134</v>
      </c>
      <c r="BG421" s="30" t="s">
        <v>1117</v>
      </c>
      <c r="BH421" s="30" t="s">
        <v>1054</v>
      </c>
      <c r="BI421" s="30" t="str">
        <f t="shared" si="262"/>
        <v>COF(Assy_FT)</v>
      </c>
      <c r="BJ421" s="30" t="s">
        <v>250</v>
      </c>
      <c r="BK421" s="56">
        <f t="shared" si="277"/>
        <v>35775244.050000004</v>
      </c>
      <c r="BL421" s="57">
        <f t="shared" si="241"/>
        <v>1117976.3765625001</v>
      </c>
      <c r="BM421" s="57">
        <f t="shared" si="242"/>
        <v>372658.79218750005</v>
      </c>
      <c r="BU421" s="58">
        <f t="shared" si="288"/>
        <v>1117976.3765625001</v>
      </c>
      <c r="BV421" s="58">
        <f t="shared" si="284"/>
        <v>1117976.3765625001</v>
      </c>
      <c r="BW421" s="58">
        <f t="shared" si="248"/>
        <v>2235952.7531250003</v>
      </c>
      <c r="BX421" s="58">
        <f t="shared" si="244"/>
        <v>1117976.3765625001</v>
      </c>
      <c r="BY421" s="58">
        <f t="shared" si="245"/>
        <v>1117976.3765625001</v>
      </c>
      <c r="BZ421" s="58">
        <f t="shared" si="283"/>
        <v>1117976.3765625001</v>
      </c>
      <c r="CA421" s="58">
        <f t="shared" si="245"/>
        <v>1117976.3765625001</v>
      </c>
      <c r="CB421" s="58">
        <f t="shared" si="264"/>
        <v>4471905.5062500006</v>
      </c>
      <c r="CC421" s="58">
        <f t="shared" si="265"/>
        <v>1117976.3765625001</v>
      </c>
      <c r="CD421" s="58">
        <f t="shared" si="278"/>
        <v>1117976.3765625001</v>
      </c>
      <c r="CE421" s="58">
        <f t="shared" si="278"/>
        <v>1117976.3765625001</v>
      </c>
      <c r="CF421" s="58">
        <f t="shared" si="278"/>
        <v>1117976.3765625001</v>
      </c>
      <c r="CG421" s="58">
        <f t="shared" si="266"/>
        <v>4471905.5062500006</v>
      </c>
      <c r="CH421" s="58">
        <f t="shared" si="261"/>
        <v>1117976.3765625001</v>
      </c>
      <c r="CI421" s="58">
        <f t="shared" si="285"/>
        <v>1117976.3765625001</v>
      </c>
      <c r="CJ421" s="58">
        <f t="shared" si="285"/>
        <v>1117976.3765625001</v>
      </c>
      <c r="CK421" s="58">
        <f t="shared" si="285"/>
        <v>1117976.3765625001</v>
      </c>
      <c r="CL421" s="58">
        <f t="shared" si="269"/>
        <v>4471905.5062500006</v>
      </c>
      <c r="CP421" s="2">
        <f t="shared" si="263"/>
        <v>35775244.050000004</v>
      </c>
    </row>
    <row r="422" spans="1:94" hidden="1" x14ac:dyDescent="0.3">
      <c r="A422" s="29">
        <v>417</v>
      </c>
      <c r="B422" s="30" t="s">
        <v>21</v>
      </c>
      <c r="C422" s="30"/>
      <c r="D422" s="30" t="s">
        <v>1041</v>
      </c>
      <c r="E422" s="30" t="s">
        <v>1042</v>
      </c>
      <c r="F422" s="30" t="s">
        <v>1043</v>
      </c>
      <c r="G422" s="30" t="s">
        <v>117</v>
      </c>
      <c r="H422" s="30" t="s">
        <v>1058</v>
      </c>
      <c r="I422" s="30" t="s">
        <v>119</v>
      </c>
      <c r="J422" s="30" t="s">
        <v>1044</v>
      </c>
      <c r="K422" s="30" t="s">
        <v>1044</v>
      </c>
      <c r="L422" s="30" t="s">
        <v>1120</v>
      </c>
      <c r="M422" s="30">
        <v>1005483</v>
      </c>
      <c r="N422" s="30" t="s">
        <v>138</v>
      </c>
      <c r="O422" s="30" t="s">
        <v>1473</v>
      </c>
      <c r="P422" s="30" t="s">
        <v>1410</v>
      </c>
      <c r="Q422" s="30" t="s">
        <v>1411</v>
      </c>
      <c r="R422" s="30"/>
      <c r="S422" s="30" t="s">
        <v>1474</v>
      </c>
      <c r="T422" s="30"/>
      <c r="U422" s="30" t="s">
        <v>144</v>
      </c>
      <c r="V422" s="30" t="s">
        <v>437</v>
      </c>
      <c r="W422" s="30" t="s">
        <v>1125</v>
      </c>
      <c r="X422" s="30"/>
      <c r="Y422" s="30" t="s">
        <v>128</v>
      </c>
      <c r="Z422" s="30" t="s">
        <v>128</v>
      </c>
      <c r="AA422" s="30" t="s">
        <v>129</v>
      </c>
      <c r="AB422" s="127" t="s">
        <v>1129</v>
      </c>
      <c r="AC422" s="30"/>
      <c r="AD422" s="30"/>
      <c r="AE422" s="30"/>
      <c r="AF422" s="30" t="s">
        <v>131</v>
      </c>
      <c r="AG422" s="30" t="s">
        <v>774</v>
      </c>
      <c r="AH422" s="30"/>
      <c r="AI422" s="30"/>
      <c r="AJ422" s="50">
        <v>43278</v>
      </c>
      <c r="AK422" s="50">
        <v>43278</v>
      </c>
      <c r="AL422" s="51">
        <f t="shared" si="276"/>
        <v>7.3506849315068497</v>
      </c>
      <c r="AM422" s="30">
        <v>8</v>
      </c>
      <c r="AN422" s="30" t="s">
        <v>1065</v>
      </c>
      <c r="AO422" s="30" t="s">
        <v>1050</v>
      </c>
      <c r="AP422" s="30" t="s">
        <v>1187</v>
      </c>
      <c r="AQ422" s="30">
        <v>6.6</v>
      </c>
      <c r="AR422" s="30">
        <v>7100</v>
      </c>
      <c r="AS422" s="30">
        <v>820</v>
      </c>
      <c r="AT422" s="30">
        <v>1860</v>
      </c>
      <c r="AU422" s="74">
        <v>286560000</v>
      </c>
      <c r="AV422" s="54"/>
      <c r="AW422" s="54"/>
      <c r="AX422" s="54"/>
      <c r="AY422" s="54">
        <v>248725628</v>
      </c>
      <c r="AZ422" s="54">
        <v>2985000</v>
      </c>
      <c r="BA422" s="74">
        <v>28879372</v>
      </c>
      <c r="BB422" s="55">
        <f>VLOOKUP(M422,[1]Sheet1!$E$6:$F$556,2,FALSE)</f>
        <v>966662</v>
      </c>
      <c r="BC422" s="74"/>
      <c r="BD422" s="74"/>
      <c r="BE422" s="128">
        <v>12.67483149078727</v>
      </c>
      <c r="BF422" s="30" t="s">
        <v>1134</v>
      </c>
      <c r="BG422" s="30" t="s">
        <v>1117</v>
      </c>
      <c r="BH422" s="30" t="s">
        <v>1054</v>
      </c>
      <c r="BI422" s="30" t="str">
        <f t="shared" si="262"/>
        <v>COF(Assy_FT)</v>
      </c>
      <c r="BJ422" s="30" t="s">
        <v>250</v>
      </c>
      <c r="BK422" s="56">
        <f t="shared" si="277"/>
        <v>30323340.600000001</v>
      </c>
      <c r="BL422" s="57">
        <f t="shared" si="241"/>
        <v>947604.39375000005</v>
      </c>
      <c r="BM422" s="57">
        <f t="shared" si="242"/>
        <v>315868.13125000003</v>
      </c>
      <c r="BU422" s="58">
        <f t="shared" si="288"/>
        <v>947604.39375000005</v>
      </c>
      <c r="BV422" s="58">
        <f t="shared" si="284"/>
        <v>947604.39375000005</v>
      </c>
      <c r="BW422" s="58">
        <f t="shared" si="248"/>
        <v>1895208.7875000001</v>
      </c>
      <c r="BX422" s="58">
        <f t="shared" si="244"/>
        <v>947604.39375000005</v>
      </c>
      <c r="BY422" s="58">
        <f t="shared" si="245"/>
        <v>947604.39375000005</v>
      </c>
      <c r="BZ422" s="58">
        <f t="shared" si="283"/>
        <v>947604.39375000005</v>
      </c>
      <c r="CA422" s="58">
        <f t="shared" si="245"/>
        <v>947604.39375000005</v>
      </c>
      <c r="CB422" s="58">
        <f t="shared" si="264"/>
        <v>3790417.5750000002</v>
      </c>
      <c r="CC422" s="58">
        <f t="shared" si="265"/>
        <v>947604.39375000005</v>
      </c>
      <c r="CD422" s="58">
        <f t="shared" ref="CD422:CF439" si="289">CC422</f>
        <v>947604.39375000005</v>
      </c>
      <c r="CE422" s="58">
        <f t="shared" si="289"/>
        <v>947604.39375000005</v>
      </c>
      <c r="CF422" s="58">
        <f t="shared" si="289"/>
        <v>947604.39375000005</v>
      </c>
      <c r="CG422" s="58">
        <f t="shared" si="266"/>
        <v>3790417.5750000002</v>
      </c>
      <c r="CH422" s="58">
        <f t="shared" si="261"/>
        <v>947604.39375000005</v>
      </c>
      <c r="CI422" s="58">
        <f t="shared" si="285"/>
        <v>947604.39375000005</v>
      </c>
      <c r="CJ422" s="58">
        <f t="shared" si="285"/>
        <v>947604.39375000005</v>
      </c>
      <c r="CK422" s="58">
        <f t="shared" si="285"/>
        <v>947604.39375000005</v>
      </c>
      <c r="CL422" s="58">
        <f t="shared" si="269"/>
        <v>3790417.5750000002</v>
      </c>
      <c r="CP422" s="2">
        <f t="shared" si="263"/>
        <v>30323340.600000001</v>
      </c>
    </row>
    <row r="423" spans="1:94" hidden="1" x14ac:dyDescent="0.3">
      <c r="A423" s="29">
        <v>418</v>
      </c>
      <c r="B423" s="30" t="s">
        <v>21</v>
      </c>
      <c r="C423" s="30"/>
      <c r="D423" s="30" t="s">
        <v>1041</v>
      </c>
      <c r="E423" s="30" t="s">
        <v>1042</v>
      </c>
      <c r="F423" s="30" t="s">
        <v>1043</v>
      </c>
      <c r="G423" s="30" t="s">
        <v>117</v>
      </c>
      <c r="H423" s="30" t="s">
        <v>1058</v>
      </c>
      <c r="I423" s="30" t="s">
        <v>119</v>
      </c>
      <c r="J423" s="30" t="s">
        <v>1044</v>
      </c>
      <c r="K423" s="30" t="s">
        <v>1044</v>
      </c>
      <c r="L423" s="30" t="s">
        <v>1130</v>
      </c>
      <c r="M423" s="30">
        <v>1005863</v>
      </c>
      <c r="N423" s="30" t="s">
        <v>138</v>
      </c>
      <c r="O423" s="30" t="s">
        <v>1475</v>
      </c>
      <c r="P423" s="30" t="s">
        <v>1179</v>
      </c>
      <c r="Q423" s="30" t="s">
        <v>1180</v>
      </c>
      <c r="R423" s="30" t="s">
        <v>1463</v>
      </c>
      <c r="S423" s="30" t="s">
        <v>1476</v>
      </c>
      <c r="T423" s="30" t="s">
        <v>1183</v>
      </c>
      <c r="U423" s="30" t="s">
        <v>144</v>
      </c>
      <c r="V423" s="30" t="s">
        <v>600</v>
      </c>
      <c r="W423" s="30" t="s">
        <v>1184</v>
      </c>
      <c r="X423" s="30"/>
      <c r="Y423" s="30" t="s">
        <v>128</v>
      </c>
      <c r="Z423" s="30" t="s">
        <v>128</v>
      </c>
      <c r="AA423" s="30" t="s">
        <v>148</v>
      </c>
      <c r="AB423" s="30" t="s">
        <v>1185</v>
      </c>
      <c r="AC423" s="30" t="s">
        <v>1185</v>
      </c>
      <c r="AD423" s="30"/>
      <c r="AE423" s="30"/>
      <c r="AF423" s="30" t="s">
        <v>593</v>
      </c>
      <c r="AG423" s="30" t="s">
        <v>774</v>
      </c>
      <c r="AH423" s="30" t="s">
        <v>1186</v>
      </c>
      <c r="AI423" s="30"/>
      <c r="AJ423" s="50">
        <v>43557</v>
      </c>
      <c r="AK423" s="50">
        <v>43557</v>
      </c>
      <c r="AL423" s="51">
        <f t="shared" si="276"/>
        <v>6.5863013698630137</v>
      </c>
      <c r="AM423" s="30">
        <v>8</v>
      </c>
      <c r="AN423" s="30" t="s">
        <v>1065</v>
      </c>
      <c r="AO423" s="30" t="s">
        <v>1050</v>
      </c>
      <c r="AP423" s="30" t="s">
        <v>1051</v>
      </c>
      <c r="AQ423" s="30">
        <v>3.6</v>
      </c>
      <c r="AR423" s="30">
        <v>2820</v>
      </c>
      <c r="AS423" s="30">
        <v>1154</v>
      </c>
      <c r="AT423" s="30">
        <v>2020</v>
      </c>
      <c r="AU423" s="74">
        <v>434960299</v>
      </c>
      <c r="AV423" s="54"/>
      <c r="AW423" s="54"/>
      <c r="AX423" s="54"/>
      <c r="AY423" s="54">
        <v>344343565</v>
      </c>
      <c r="AZ423" s="54">
        <v>4530836</v>
      </c>
      <c r="BA423" s="74">
        <v>77024226</v>
      </c>
      <c r="BB423" s="55">
        <f>VLOOKUP(M423,[1]Sheet1!$E$6:$F$556,2,FALSE)</f>
        <v>5731806</v>
      </c>
      <c r="BC423" s="74"/>
      <c r="BD423" s="74"/>
      <c r="BE423" s="128">
        <v>20.000003089937486</v>
      </c>
      <c r="BF423" s="30" t="s">
        <v>1134</v>
      </c>
      <c r="BG423" s="30" t="s">
        <v>1074</v>
      </c>
      <c r="BH423" s="30" t="s">
        <v>1054</v>
      </c>
      <c r="BI423" s="30" t="str">
        <f t="shared" si="262"/>
        <v>COF(Assy_FT)</v>
      </c>
      <c r="BJ423" s="30" t="s">
        <v>250</v>
      </c>
      <c r="BK423" s="56">
        <f t="shared" si="277"/>
        <v>80875437.299999997</v>
      </c>
      <c r="BL423" s="57">
        <f t="shared" si="241"/>
        <v>2527357.4156249999</v>
      </c>
      <c r="BM423" s="57">
        <f t="shared" si="242"/>
        <v>842452.47187499993</v>
      </c>
      <c r="BU423" s="58">
        <f t="shared" si="288"/>
        <v>2527357.4156249999</v>
      </c>
      <c r="BV423" s="58">
        <f t="shared" si="284"/>
        <v>2527357.4156249999</v>
      </c>
      <c r="BW423" s="58">
        <f t="shared" si="248"/>
        <v>5054714.8312499998</v>
      </c>
      <c r="BX423" s="58">
        <f t="shared" si="244"/>
        <v>2527357.4156249999</v>
      </c>
      <c r="BY423" s="58">
        <f>BX423</f>
        <v>2527357.4156249999</v>
      </c>
      <c r="BZ423" s="58">
        <f t="shared" si="283"/>
        <v>2527357.4156249999</v>
      </c>
      <c r="CA423" s="58">
        <f t="shared" ref="CA423:CA427" si="290">BZ423</f>
        <v>2527357.4156249999</v>
      </c>
      <c r="CB423" s="58">
        <f t="shared" si="264"/>
        <v>10109429.6625</v>
      </c>
      <c r="CC423" s="58">
        <f t="shared" si="265"/>
        <v>2527357.4156249999</v>
      </c>
      <c r="CD423" s="58">
        <f t="shared" si="289"/>
        <v>2527357.4156249999</v>
      </c>
      <c r="CE423" s="58">
        <f t="shared" si="289"/>
        <v>2527357.4156249999</v>
      </c>
      <c r="CF423" s="58">
        <f t="shared" si="289"/>
        <v>2527357.4156249999</v>
      </c>
      <c r="CG423" s="58">
        <f t="shared" si="266"/>
        <v>10109429.6625</v>
      </c>
      <c r="CH423" s="58">
        <f t="shared" si="261"/>
        <v>2527357.4156249999</v>
      </c>
      <c r="CI423" s="58">
        <f t="shared" si="285"/>
        <v>2527357.4156249999</v>
      </c>
      <c r="CJ423" s="58">
        <f t="shared" si="285"/>
        <v>2527357.4156249999</v>
      </c>
      <c r="CK423" s="58">
        <f t="shared" si="285"/>
        <v>2527357.4156249999</v>
      </c>
      <c r="CL423" s="58">
        <f t="shared" si="269"/>
        <v>10109429.6625</v>
      </c>
      <c r="CP423" s="2">
        <f t="shared" si="263"/>
        <v>80875437.299999997</v>
      </c>
    </row>
    <row r="424" spans="1:94" hidden="1" x14ac:dyDescent="0.3">
      <c r="A424" s="29">
        <v>419</v>
      </c>
      <c r="B424" s="30" t="s">
        <v>21</v>
      </c>
      <c r="C424" s="30"/>
      <c r="D424" s="30" t="s">
        <v>1041</v>
      </c>
      <c r="E424" s="30" t="s">
        <v>1042</v>
      </c>
      <c r="F424" s="30" t="s">
        <v>1043</v>
      </c>
      <c r="G424" s="30" t="s">
        <v>117</v>
      </c>
      <c r="H424" s="30" t="s">
        <v>1058</v>
      </c>
      <c r="I424" s="30" t="s">
        <v>119</v>
      </c>
      <c r="J424" s="30" t="s">
        <v>1044</v>
      </c>
      <c r="K424" s="30" t="s">
        <v>1044</v>
      </c>
      <c r="L424" s="30" t="s">
        <v>1130</v>
      </c>
      <c r="M424" s="30">
        <v>1005862</v>
      </c>
      <c r="N424" s="30" t="s">
        <v>138</v>
      </c>
      <c r="O424" s="30" t="s">
        <v>1477</v>
      </c>
      <c r="P424" s="30" t="s">
        <v>1179</v>
      </c>
      <c r="Q424" s="30" t="s">
        <v>1180</v>
      </c>
      <c r="R424" s="30" t="s">
        <v>1463</v>
      </c>
      <c r="S424" s="30" t="s">
        <v>1478</v>
      </c>
      <c r="T424" s="30" t="s">
        <v>1183</v>
      </c>
      <c r="U424" s="30" t="s">
        <v>144</v>
      </c>
      <c r="V424" s="30" t="s">
        <v>600</v>
      </c>
      <c r="W424" s="30" t="s">
        <v>1184</v>
      </c>
      <c r="X424" s="30"/>
      <c r="Y424" s="30" t="s">
        <v>128</v>
      </c>
      <c r="Z424" s="30" t="s">
        <v>128</v>
      </c>
      <c r="AA424" s="30" t="s">
        <v>148</v>
      </c>
      <c r="AB424" s="30" t="s">
        <v>1185</v>
      </c>
      <c r="AC424" s="30" t="s">
        <v>1185</v>
      </c>
      <c r="AD424" s="30"/>
      <c r="AE424" s="30"/>
      <c r="AF424" s="30" t="s">
        <v>593</v>
      </c>
      <c r="AG424" s="30" t="s">
        <v>774</v>
      </c>
      <c r="AH424" s="30" t="s">
        <v>1186</v>
      </c>
      <c r="AI424" s="30"/>
      <c r="AJ424" s="50">
        <v>43557</v>
      </c>
      <c r="AK424" s="50">
        <v>43557</v>
      </c>
      <c r="AL424" s="51">
        <f t="shared" si="276"/>
        <v>6.5863013698630137</v>
      </c>
      <c r="AM424" s="30">
        <v>8</v>
      </c>
      <c r="AN424" s="30" t="s">
        <v>1065</v>
      </c>
      <c r="AO424" s="30" t="s">
        <v>1050</v>
      </c>
      <c r="AP424" s="30" t="s">
        <v>1051</v>
      </c>
      <c r="AQ424" s="30">
        <v>3.6</v>
      </c>
      <c r="AR424" s="30">
        <v>2820</v>
      </c>
      <c r="AS424" s="30">
        <v>1154</v>
      </c>
      <c r="AT424" s="30">
        <v>2020</v>
      </c>
      <c r="AU424" s="74">
        <v>434960299</v>
      </c>
      <c r="AV424" s="54"/>
      <c r="AW424" s="54"/>
      <c r="AX424" s="54"/>
      <c r="AY424" s="54">
        <v>344343565</v>
      </c>
      <c r="AZ424" s="54">
        <v>4530836</v>
      </c>
      <c r="BA424" s="74">
        <v>77024226</v>
      </c>
      <c r="BB424" s="55">
        <f>VLOOKUP(M424,[1]Sheet1!$E$6:$F$556,2,FALSE)</f>
        <v>5731806</v>
      </c>
      <c r="BC424" s="74"/>
      <c r="BD424" s="74"/>
      <c r="BE424" s="128">
        <v>20.000003089937486</v>
      </c>
      <c r="BF424" s="30" t="s">
        <v>1134</v>
      </c>
      <c r="BG424" s="30" t="s">
        <v>1074</v>
      </c>
      <c r="BH424" s="30" t="s">
        <v>1054</v>
      </c>
      <c r="BI424" s="30" t="str">
        <f t="shared" si="262"/>
        <v>COF(Assy_FT)</v>
      </c>
      <c r="BJ424" s="30" t="s">
        <v>250</v>
      </c>
      <c r="BK424" s="56">
        <f t="shared" si="277"/>
        <v>80875437.299999997</v>
      </c>
      <c r="BL424" s="57">
        <f t="shared" si="241"/>
        <v>2527357.4156249999</v>
      </c>
      <c r="BM424" s="57">
        <f t="shared" si="242"/>
        <v>842452.47187499993</v>
      </c>
      <c r="BU424" s="58">
        <f t="shared" si="288"/>
        <v>2527357.4156249999</v>
      </c>
      <c r="BV424" s="58">
        <f t="shared" si="284"/>
        <v>2527357.4156249999</v>
      </c>
      <c r="BW424" s="58">
        <f t="shared" si="248"/>
        <v>5054714.8312499998</v>
      </c>
      <c r="BX424" s="58">
        <f t="shared" si="244"/>
        <v>2527357.4156249999</v>
      </c>
      <c r="BY424" s="58">
        <f>BX424</f>
        <v>2527357.4156249999</v>
      </c>
      <c r="BZ424" s="58">
        <f t="shared" si="283"/>
        <v>2527357.4156249999</v>
      </c>
      <c r="CA424" s="58">
        <f t="shared" si="290"/>
        <v>2527357.4156249999</v>
      </c>
      <c r="CB424" s="58">
        <f t="shared" si="264"/>
        <v>10109429.6625</v>
      </c>
      <c r="CC424" s="58">
        <f t="shared" si="265"/>
        <v>2527357.4156249999</v>
      </c>
      <c r="CD424" s="58">
        <f t="shared" si="289"/>
        <v>2527357.4156249999</v>
      </c>
      <c r="CE424" s="58">
        <f t="shared" si="289"/>
        <v>2527357.4156249999</v>
      </c>
      <c r="CF424" s="58">
        <f t="shared" si="289"/>
        <v>2527357.4156249999</v>
      </c>
      <c r="CG424" s="58">
        <f t="shared" si="266"/>
        <v>10109429.6625</v>
      </c>
      <c r="CH424" s="58">
        <f t="shared" si="261"/>
        <v>2527357.4156249999</v>
      </c>
      <c r="CI424" s="58">
        <f t="shared" si="285"/>
        <v>2527357.4156249999</v>
      </c>
      <c r="CJ424" s="58">
        <f t="shared" si="285"/>
        <v>2527357.4156249999</v>
      </c>
      <c r="CK424" s="58">
        <f t="shared" si="285"/>
        <v>2527357.4156249999</v>
      </c>
      <c r="CL424" s="58">
        <f t="shared" si="269"/>
        <v>10109429.6625</v>
      </c>
      <c r="CP424" s="2">
        <f t="shared" si="263"/>
        <v>80875437.299999997</v>
      </c>
    </row>
    <row r="425" spans="1:94" hidden="1" x14ac:dyDescent="0.3">
      <c r="A425" s="29">
        <v>420</v>
      </c>
      <c r="B425" s="30" t="s">
        <v>21</v>
      </c>
      <c r="C425" s="30"/>
      <c r="D425" s="30" t="s">
        <v>1041</v>
      </c>
      <c r="E425" s="30" t="s">
        <v>1042</v>
      </c>
      <c r="F425" s="30" t="s">
        <v>1043</v>
      </c>
      <c r="G425" s="30" t="s">
        <v>117</v>
      </c>
      <c r="H425" s="30" t="s">
        <v>1058</v>
      </c>
      <c r="I425" s="30" t="s">
        <v>119</v>
      </c>
      <c r="J425" s="30" t="s">
        <v>1044</v>
      </c>
      <c r="K425" s="30" t="s">
        <v>1044</v>
      </c>
      <c r="L425" s="30" t="s">
        <v>1130</v>
      </c>
      <c r="M425" s="30">
        <v>1005614</v>
      </c>
      <c r="N425" s="30" t="s">
        <v>138</v>
      </c>
      <c r="O425" s="30" t="s">
        <v>1479</v>
      </c>
      <c r="P425" s="30" t="s">
        <v>1179</v>
      </c>
      <c r="Q425" s="30" t="s">
        <v>1180</v>
      </c>
      <c r="R425" s="30" t="s">
        <v>1463</v>
      </c>
      <c r="S425" s="30" t="s">
        <v>1480</v>
      </c>
      <c r="T425" s="30" t="s">
        <v>1183</v>
      </c>
      <c r="U425" s="30" t="s">
        <v>144</v>
      </c>
      <c r="V425" s="30" t="s">
        <v>600</v>
      </c>
      <c r="W425" s="30" t="s">
        <v>1184</v>
      </c>
      <c r="X425" s="30"/>
      <c r="Y425" s="30" t="s">
        <v>128</v>
      </c>
      <c r="Z425" s="30" t="s">
        <v>128</v>
      </c>
      <c r="AA425" s="30" t="s">
        <v>148</v>
      </c>
      <c r="AB425" s="30" t="s">
        <v>1185</v>
      </c>
      <c r="AC425" s="30" t="s">
        <v>1185</v>
      </c>
      <c r="AD425" s="30"/>
      <c r="AE425" s="30"/>
      <c r="AF425" s="30" t="s">
        <v>593</v>
      </c>
      <c r="AG425" s="30" t="s">
        <v>774</v>
      </c>
      <c r="AH425" s="30" t="s">
        <v>1186</v>
      </c>
      <c r="AI425" s="30"/>
      <c r="AJ425" s="50">
        <v>43344</v>
      </c>
      <c r="AK425" s="50">
        <v>43344</v>
      </c>
      <c r="AL425" s="51">
        <f t="shared" si="276"/>
        <v>7.1698630136986301</v>
      </c>
      <c r="AM425" s="30">
        <v>8</v>
      </c>
      <c r="AN425" s="30" t="s">
        <v>1065</v>
      </c>
      <c r="AO425" s="30" t="s">
        <v>1050</v>
      </c>
      <c r="AP425" s="30" t="s">
        <v>1187</v>
      </c>
      <c r="AQ425" s="30">
        <v>3.6</v>
      </c>
      <c r="AR425" s="30">
        <v>2820</v>
      </c>
      <c r="AS425" s="30">
        <v>1154</v>
      </c>
      <c r="AT425" s="30">
        <v>2020</v>
      </c>
      <c r="AU425" s="74">
        <v>448153431</v>
      </c>
      <c r="AV425" s="54"/>
      <c r="AW425" s="54"/>
      <c r="AX425" s="54"/>
      <c r="AY425" s="54">
        <v>375726406</v>
      </c>
      <c r="AZ425" s="54">
        <v>4668265</v>
      </c>
      <c r="BA425" s="74">
        <v>58422230</v>
      </c>
      <c r="BB425" s="55">
        <f>VLOOKUP(M425,[1]Sheet1!$E$6:$F$556,2,FALSE)</f>
        <v>3234576</v>
      </c>
      <c r="BC425" s="74"/>
      <c r="BD425" s="74"/>
      <c r="BE425" s="128">
        <v>15.514762979393844</v>
      </c>
      <c r="BF425" s="30" t="s">
        <v>1134</v>
      </c>
      <c r="BG425" s="30" t="s">
        <v>1074</v>
      </c>
      <c r="BH425" s="30" t="s">
        <v>1054</v>
      </c>
      <c r="BI425" s="30" t="str">
        <f t="shared" si="262"/>
        <v>COF(Assy_FT)</v>
      </c>
      <c r="BJ425" s="30" t="s">
        <v>250</v>
      </c>
      <c r="BK425" s="56">
        <f t="shared" si="277"/>
        <v>61343341.5</v>
      </c>
      <c r="BL425" s="57">
        <f t="shared" si="241"/>
        <v>1916979.421875</v>
      </c>
      <c r="BM425" s="57">
        <f t="shared" si="242"/>
        <v>638993.140625</v>
      </c>
      <c r="BU425" s="58">
        <f t="shared" si="288"/>
        <v>1916979.421875</v>
      </c>
      <c r="BV425" s="58">
        <f t="shared" si="284"/>
        <v>1916979.421875</v>
      </c>
      <c r="BW425" s="58">
        <f t="shared" si="248"/>
        <v>3833958.84375</v>
      </c>
      <c r="BX425" s="58">
        <f t="shared" si="244"/>
        <v>1916979.421875</v>
      </c>
      <c r="BY425" s="58">
        <f>BX425</f>
        <v>1916979.421875</v>
      </c>
      <c r="BZ425" s="58">
        <f t="shared" si="283"/>
        <v>1916979.421875</v>
      </c>
      <c r="CA425" s="58">
        <f t="shared" si="290"/>
        <v>1916979.421875</v>
      </c>
      <c r="CB425" s="58">
        <f t="shared" si="264"/>
        <v>7667917.6875</v>
      </c>
      <c r="CC425" s="58">
        <f t="shared" si="265"/>
        <v>1916979.421875</v>
      </c>
      <c r="CD425" s="58">
        <f t="shared" si="289"/>
        <v>1916979.421875</v>
      </c>
      <c r="CE425" s="58">
        <f t="shared" si="289"/>
        <v>1916979.421875</v>
      </c>
      <c r="CF425" s="58">
        <f t="shared" si="289"/>
        <v>1916979.421875</v>
      </c>
      <c r="CG425" s="58">
        <f t="shared" si="266"/>
        <v>7667917.6875</v>
      </c>
      <c r="CH425" s="58">
        <f t="shared" si="261"/>
        <v>1916979.421875</v>
      </c>
      <c r="CI425" s="58">
        <f t="shared" si="285"/>
        <v>1916979.421875</v>
      </c>
      <c r="CJ425" s="58">
        <f t="shared" si="285"/>
        <v>1916979.421875</v>
      </c>
      <c r="CK425" s="58">
        <f t="shared" si="285"/>
        <v>1916979.421875</v>
      </c>
      <c r="CL425" s="58">
        <f t="shared" si="269"/>
        <v>7667917.6875</v>
      </c>
      <c r="CP425" s="2">
        <f t="shared" si="263"/>
        <v>61343341.5</v>
      </c>
    </row>
    <row r="426" spans="1:94" hidden="1" x14ac:dyDescent="0.3">
      <c r="A426" s="29">
        <v>421</v>
      </c>
      <c r="B426" s="30" t="s">
        <v>21</v>
      </c>
      <c r="C426" s="30"/>
      <c r="D426" s="30" t="s">
        <v>1041</v>
      </c>
      <c r="E426" s="30" t="s">
        <v>1042</v>
      </c>
      <c r="F426" s="30" t="s">
        <v>1043</v>
      </c>
      <c r="G426" s="30" t="s">
        <v>117</v>
      </c>
      <c r="H426" s="30" t="s">
        <v>1058</v>
      </c>
      <c r="I426" s="30" t="s">
        <v>119</v>
      </c>
      <c r="J426" s="30" t="s">
        <v>1044</v>
      </c>
      <c r="K426" s="30" t="s">
        <v>1044</v>
      </c>
      <c r="L426" s="30" t="s">
        <v>1130</v>
      </c>
      <c r="M426" s="30">
        <v>1005613</v>
      </c>
      <c r="N426" s="30" t="s">
        <v>138</v>
      </c>
      <c r="O426" s="30" t="s">
        <v>1481</v>
      </c>
      <c r="P426" s="30" t="s">
        <v>1179</v>
      </c>
      <c r="Q426" s="30" t="s">
        <v>1180</v>
      </c>
      <c r="R426" s="30" t="s">
        <v>1463</v>
      </c>
      <c r="S426" s="30" t="s">
        <v>1482</v>
      </c>
      <c r="T426" s="30" t="s">
        <v>1183</v>
      </c>
      <c r="U426" s="30" t="s">
        <v>144</v>
      </c>
      <c r="V426" s="30" t="s">
        <v>600</v>
      </c>
      <c r="W426" s="30" t="s">
        <v>1184</v>
      </c>
      <c r="X426" s="30"/>
      <c r="Y426" s="30" t="s">
        <v>128</v>
      </c>
      <c r="Z426" s="30" t="s">
        <v>128</v>
      </c>
      <c r="AA426" s="30" t="s">
        <v>148</v>
      </c>
      <c r="AB426" s="30" t="s">
        <v>1185</v>
      </c>
      <c r="AC426" s="30" t="s">
        <v>1185</v>
      </c>
      <c r="AD426" s="30"/>
      <c r="AE426" s="30"/>
      <c r="AF426" s="30" t="s">
        <v>593</v>
      </c>
      <c r="AG426" s="30" t="s">
        <v>774</v>
      </c>
      <c r="AH426" s="30" t="s">
        <v>1186</v>
      </c>
      <c r="AI426" s="30"/>
      <c r="AJ426" s="50">
        <v>43344</v>
      </c>
      <c r="AK426" s="50">
        <v>43344</v>
      </c>
      <c r="AL426" s="51">
        <f t="shared" si="276"/>
        <v>7.1698630136986301</v>
      </c>
      <c r="AM426" s="30">
        <v>8</v>
      </c>
      <c r="AN426" s="30" t="s">
        <v>1065</v>
      </c>
      <c r="AO426" s="30" t="s">
        <v>1050</v>
      </c>
      <c r="AP426" s="30" t="s">
        <v>1187</v>
      </c>
      <c r="AQ426" s="30">
        <v>3.6</v>
      </c>
      <c r="AR426" s="30">
        <v>2820</v>
      </c>
      <c r="AS426" s="30">
        <v>1154</v>
      </c>
      <c r="AT426" s="30">
        <v>2020</v>
      </c>
      <c r="AU426" s="74">
        <v>475153427</v>
      </c>
      <c r="AV426" s="54"/>
      <c r="AW426" s="54"/>
      <c r="AX426" s="54"/>
      <c r="AY426" s="54">
        <v>399070156</v>
      </c>
      <c r="AZ426" s="54">
        <v>4949515</v>
      </c>
      <c r="BA426" s="74">
        <v>61234726</v>
      </c>
      <c r="BB426" s="55">
        <f>VLOOKUP(M426,[1]Sheet1!$E$6:$F$556,2,FALSE)</f>
        <v>3382825</v>
      </c>
      <c r="BC426" s="74"/>
      <c r="BD426" s="74"/>
      <c r="BE426" s="128">
        <v>15.371863909898243</v>
      </c>
      <c r="BF426" s="30" t="s">
        <v>1134</v>
      </c>
      <c r="BG426" s="30" t="s">
        <v>1074</v>
      </c>
      <c r="BH426" s="30" t="s">
        <v>1054</v>
      </c>
      <c r="BI426" s="30" t="str">
        <f t="shared" si="262"/>
        <v>COF(Assy_FT)</v>
      </c>
      <c r="BJ426" s="30" t="s">
        <v>250</v>
      </c>
      <c r="BK426" s="56">
        <f t="shared" si="277"/>
        <v>64296462.300000004</v>
      </c>
      <c r="BL426" s="57">
        <f t="shared" si="241"/>
        <v>2009264.4468750001</v>
      </c>
      <c r="BM426" s="57">
        <f t="shared" si="242"/>
        <v>669754.81562500005</v>
      </c>
      <c r="BU426" s="58">
        <f t="shared" si="288"/>
        <v>2009264.4468750001</v>
      </c>
      <c r="BV426" s="58">
        <f t="shared" si="284"/>
        <v>2009264.4468750001</v>
      </c>
      <c r="BW426" s="58">
        <f t="shared" si="248"/>
        <v>4018528.8937500003</v>
      </c>
      <c r="BX426" s="58">
        <f t="shared" si="244"/>
        <v>2009264.4468750001</v>
      </c>
      <c r="BY426" s="58">
        <f>BX426</f>
        <v>2009264.4468750001</v>
      </c>
      <c r="BZ426" s="58">
        <f t="shared" si="283"/>
        <v>2009264.4468750001</v>
      </c>
      <c r="CA426" s="58">
        <f t="shared" si="290"/>
        <v>2009264.4468750001</v>
      </c>
      <c r="CB426" s="58">
        <f t="shared" si="264"/>
        <v>8037057.7875000006</v>
      </c>
      <c r="CC426" s="58">
        <f t="shared" si="265"/>
        <v>2009264.4468750001</v>
      </c>
      <c r="CD426" s="58">
        <f t="shared" si="289"/>
        <v>2009264.4468750001</v>
      </c>
      <c r="CE426" s="58">
        <f t="shared" si="289"/>
        <v>2009264.4468750001</v>
      </c>
      <c r="CF426" s="58">
        <f t="shared" si="289"/>
        <v>2009264.4468750001</v>
      </c>
      <c r="CG426" s="58">
        <f t="shared" si="266"/>
        <v>8037057.7875000006</v>
      </c>
      <c r="CH426" s="58">
        <f t="shared" si="261"/>
        <v>2009264.4468750001</v>
      </c>
      <c r="CI426" s="58">
        <f t="shared" si="285"/>
        <v>2009264.4468750001</v>
      </c>
      <c r="CJ426" s="58">
        <f t="shared" si="285"/>
        <v>2009264.4468750001</v>
      </c>
      <c r="CK426" s="58">
        <f t="shared" si="285"/>
        <v>2009264.4468750001</v>
      </c>
      <c r="CL426" s="58">
        <f t="shared" si="269"/>
        <v>8037057.7875000006</v>
      </c>
      <c r="CP426" s="2">
        <f t="shared" si="263"/>
        <v>64296462.300000004</v>
      </c>
    </row>
    <row r="427" spans="1:94" hidden="1" x14ac:dyDescent="0.3">
      <c r="A427" s="29">
        <v>422</v>
      </c>
      <c r="B427" s="30" t="s">
        <v>21</v>
      </c>
      <c r="C427" s="30"/>
      <c r="D427" s="30" t="s">
        <v>1041</v>
      </c>
      <c r="E427" s="30" t="s">
        <v>1042</v>
      </c>
      <c r="F427" s="30" t="s">
        <v>1043</v>
      </c>
      <c r="G427" s="30" t="s">
        <v>117</v>
      </c>
      <c r="H427" s="30" t="s">
        <v>1058</v>
      </c>
      <c r="I427" s="30" t="s">
        <v>119</v>
      </c>
      <c r="J427" s="30" t="s">
        <v>1044</v>
      </c>
      <c r="K427" s="30" t="s">
        <v>1044</v>
      </c>
      <c r="L427" s="30" t="s">
        <v>1130</v>
      </c>
      <c r="M427" s="30">
        <v>1005612</v>
      </c>
      <c r="N427" s="30" t="s">
        <v>138</v>
      </c>
      <c r="O427" s="30" t="s">
        <v>1483</v>
      </c>
      <c r="P427" s="30" t="s">
        <v>1179</v>
      </c>
      <c r="Q427" s="30" t="s">
        <v>1180</v>
      </c>
      <c r="R427" s="30" t="s">
        <v>1463</v>
      </c>
      <c r="S427" s="30" t="s">
        <v>1484</v>
      </c>
      <c r="T427" s="30" t="s">
        <v>1183</v>
      </c>
      <c r="U427" s="30" t="s">
        <v>144</v>
      </c>
      <c r="V427" s="30" t="s">
        <v>600</v>
      </c>
      <c r="W427" s="30" t="s">
        <v>1184</v>
      </c>
      <c r="X427" s="30"/>
      <c r="Y427" s="30" t="s">
        <v>128</v>
      </c>
      <c r="Z427" s="30" t="s">
        <v>128</v>
      </c>
      <c r="AA427" s="30" t="s">
        <v>148</v>
      </c>
      <c r="AB427" s="30" t="s">
        <v>1185</v>
      </c>
      <c r="AC427" s="30" t="s">
        <v>1185</v>
      </c>
      <c r="AD427" s="30"/>
      <c r="AE427" s="30"/>
      <c r="AF427" s="30" t="s">
        <v>593</v>
      </c>
      <c r="AG427" s="30" t="s">
        <v>774</v>
      </c>
      <c r="AH427" s="30" t="s">
        <v>1186</v>
      </c>
      <c r="AI427" s="30"/>
      <c r="AJ427" s="50">
        <v>43335</v>
      </c>
      <c r="AK427" s="50">
        <v>43335</v>
      </c>
      <c r="AL427" s="51">
        <f t="shared" si="276"/>
        <v>7.1945205479452055</v>
      </c>
      <c r="AM427" s="30">
        <v>8</v>
      </c>
      <c r="AN427" s="30" t="s">
        <v>1065</v>
      </c>
      <c r="AO427" s="30" t="s">
        <v>1050</v>
      </c>
      <c r="AP427" s="30" t="s">
        <v>1187</v>
      </c>
      <c r="AQ427" s="30">
        <v>3.6</v>
      </c>
      <c r="AR427" s="30">
        <v>2820</v>
      </c>
      <c r="AS427" s="30">
        <v>1154</v>
      </c>
      <c r="AT427" s="30">
        <v>2020</v>
      </c>
      <c r="AU427" s="74">
        <v>448153427</v>
      </c>
      <c r="AV427" s="54"/>
      <c r="AW427" s="54"/>
      <c r="AX427" s="54"/>
      <c r="AY427" s="54">
        <v>380155088</v>
      </c>
      <c r="AZ427" s="54">
        <v>4668265</v>
      </c>
      <c r="BA427" s="74">
        <v>53993544</v>
      </c>
      <c r="BB427" s="55">
        <f>VLOOKUP(M427,[1]Sheet1!$E$6:$F$556,2,FALSE)</f>
        <v>2690621</v>
      </c>
      <c r="BC427" s="74"/>
      <c r="BD427" s="74"/>
      <c r="BE427" s="128">
        <v>14.566083759169627</v>
      </c>
      <c r="BF427" s="30" t="s">
        <v>1134</v>
      </c>
      <c r="BG427" s="30" t="s">
        <v>1074</v>
      </c>
      <c r="BH427" s="30" t="s">
        <v>1054</v>
      </c>
      <c r="BI427" s="30" t="str">
        <f t="shared" si="262"/>
        <v>COF(Assy_FT)</v>
      </c>
      <c r="BJ427" s="30" t="s">
        <v>250</v>
      </c>
      <c r="BK427" s="56">
        <f t="shared" si="277"/>
        <v>56693221.200000003</v>
      </c>
      <c r="BL427" s="57">
        <f t="shared" ref="BL427:BL490" si="291">CP427/$BL$1/4</f>
        <v>1771663.1625000001</v>
      </c>
      <c r="BM427" s="57">
        <f t="shared" ref="BM427:BM490" si="292">CP427/$BL$1/12</f>
        <v>590554.38750000007</v>
      </c>
      <c r="BU427" s="58">
        <f t="shared" si="288"/>
        <v>1771663.1625000001</v>
      </c>
      <c r="BV427" s="58">
        <f t="shared" si="284"/>
        <v>1771663.1625000001</v>
      </c>
      <c r="BW427" s="58">
        <f t="shared" si="248"/>
        <v>3543326.3250000002</v>
      </c>
      <c r="BX427" s="58">
        <f>BV427</f>
        <v>1771663.1625000001</v>
      </c>
      <c r="BY427" s="58">
        <f>BX427</f>
        <v>1771663.1625000001</v>
      </c>
      <c r="BZ427" s="58">
        <f t="shared" si="283"/>
        <v>1771663.1625000001</v>
      </c>
      <c r="CA427" s="58">
        <f t="shared" si="290"/>
        <v>1771663.1625000001</v>
      </c>
      <c r="CB427" s="58">
        <f t="shared" si="264"/>
        <v>7086652.6500000004</v>
      </c>
      <c r="CC427" s="58">
        <f t="shared" si="265"/>
        <v>1771663.1625000001</v>
      </c>
      <c r="CD427" s="58">
        <f t="shared" si="289"/>
        <v>1771663.1625000001</v>
      </c>
      <c r="CE427" s="58">
        <f t="shared" si="289"/>
        <v>1771663.1625000001</v>
      </c>
      <c r="CF427" s="58">
        <f t="shared" si="289"/>
        <v>1771663.1625000001</v>
      </c>
      <c r="CG427" s="58">
        <f t="shared" si="266"/>
        <v>7086652.6500000004</v>
      </c>
      <c r="CH427" s="58">
        <f>CF427</f>
        <v>1771663.1625000001</v>
      </c>
      <c r="CI427" s="58">
        <f>CH427</f>
        <v>1771663.1625000001</v>
      </c>
      <c r="CJ427" s="58">
        <f>CI427</f>
        <v>1771663.1625000001</v>
      </c>
      <c r="CK427" s="58">
        <f>CJ427</f>
        <v>1771663.1625000001</v>
      </c>
      <c r="CL427" s="58">
        <f>SUM(CH427:CK427)</f>
        <v>7086652.6500000004</v>
      </c>
      <c r="CP427" s="2">
        <f t="shared" si="263"/>
        <v>56693221.200000003</v>
      </c>
    </row>
    <row r="428" spans="1:94" ht="16.5" hidden="1" x14ac:dyDescent="0.3">
      <c r="A428" s="2">
        <v>423</v>
      </c>
      <c r="B428" s="47" t="s">
        <v>21</v>
      </c>
      <c r="C428" s="47"/>
      <c r="D428" s="30" t="s">
        <v>1041</v>
      </c>
      <c r="E428" s="30" t="s">
        <v>1042</v>
      </c>
      <c r="F428" s="30" t="s">
        <v>1043</v>
      </c>
      <c r="G428" s="30" t="s">
        <v>117</v>
      </c>
      <c r="H428" s="30" t="s">
        <v>1058</v>
      </c>
      <c r="I428" s="30" t="s">
        <v>119</v>
      </c>
      <c r="J428" s="30" t="s">
        <v>1044</v>
      </c>
      <c r="K428" s="30" t="s">
        <v>1044</v>
      </c>
      <c r="L428" s="30" t="s">
        <v>1120</v>
      </c>
      <c r="M428" s="30">
        <v>1005506</v>
      </c>
      <c r="N428" s="30" t="s">
        <v>123</v>
      </c>
      <c r="O428" s="30" t="s">
        <v>1485</v>
      </c>
      <c r="P428" s="30"/>
      <c r="Q428" s="48" t="s">
        <v>372</v>
      </c>
      <c r="R428" s="30"/>
      <c r="S428" s="30"/>
      <c r="T428" s="30"/>
      <c r="U428" s="30" t="s">
        <v>144</v>
      </c>
      <c r="V428" s="30" t="s">
        <v>437</v>
      </c>
      <c r="W428" s="30"/>
      <c r="X428" s="30" t="s">
        <v>127</v>
      </c>
      <c r="Y428" s="30" t="s">
        <v>576</v>
      </c>
      <c r="Z428" s="30" t="s">
        <v>576</v>
      </c>
      <c r="AA428" s="30" t="s">
        <v>129</v>
      </c>
      <c r="AB428" s="30" t="s">
        <v>1132</v>
      </c>
      <c r="AC428" s="30"/>
      <c r="AD428" s="30"/>
      <c r="AE428" s="30"/>
      <c r="AF428" s="30" t="s">
        <v>131</v>
      </c>
      <c r="AG428" s="30" t="s">
        <v>774</v>
      </c>
      <c r="AH428" s="30"/>
      <c r="AI428" s="30"/>
      <c r="AJ428" s="50">
        <v>43278</v>
      </c>
      <c r="AK428" s="50">
        <v>43278</v>
      </c>
      <c r="AL428" s="51">
        <f t="shared" si="276"/>
        <v>7.3506849315068497</v>
      </c>
      <c r="AM428" s="30">
        <v>8</v>
      </c>
      <c r="AN428" s="30" t="s">
        <v>1065</v>
      </c>
      <c r="AO428" s="30" t="s">
        <v>1050</v>
      </c>
      <c r="AP428" s="30" t="s">
        <v>1051</v>
      </c>
      <c r="AQ428" s="30">
        <v>0</v>
      </c>
      <c r="AR428" s="30"/>
      <c r="AS428" s="30"/>
      <c r="AT428" s="30"/>
      <c r="AU428" s="54">
        <v>1260000</v>
      </c>
      <c r="AV428" s="54"/>
      <c r="AW428" s="54"/>
      <c r="AX428" s="54"/>
      <c r="AY428" s="54">
        <v>1128750</v>
      </c>
      <c r="AZ428" s="54">
        <v>13125</v>
      </c>
      <c r="BA428" s="54">
        <v>91875</v>
      </c>
      <c r="BB428" s="55">
        <f>VLOOKUP(M428,[1]Sheet1!$E$6:$F$556,2,FALSE)</f>
        <v>3366</v>
      </c>
      <c r="BC428" s="74"/>
      <c r="BD428" s="74"/>
      <c r="BE428" s="128">
        <v>10</v>
      </c>
      <c r="BF428" s="30" t="s">
        <v>1134</v>
      </c>
      <c r="BG428" s="30" t="s">
        <v>1117</v>
      </c>
      <c r="BH428" s="30" t="s">
        <v>1054</v>
      </c>
      <c r="BI428" s="30" t="str">
        <f t="shared" si="262"/>
        <v>COF(Assy_FT)</v>
      </c>
      <c r="BJ428" s="47" t="s">
        <v>137</v>
      </c>
      <c r="BK428" s="56">
        <f t="shared" si="277"/>
        <v>96468.75</v>
      </c>
      <c r="BL428" s="57">
        <f t="shared" si="291"/>
        <v>9196.2422511128043</v>
      </c>
      <c r="BM428" s="57">
        <f t="shared" si="292"/>
        <v>3065.4140837042683</v>
      </c>
      <c r="BU428" s="58">
        <f t="shared" si="288"/>
        <v>9196.2422511128043</v>
      </c>
      <c r="BV428" s="58">
        <f t="shared" si="284"/>
        <v>9196.2422511128043</v>
      </c>
      <c r="BW428" s="58">
        <f t="shared" si="248"/>
        <v>18392.484502225609</v>
      </c>
      <c r="BX428" s="58">
        <f t="shared" ref="BX428:BX490" si="293">BV428</f>
        <v>9196.2422511128043</v>
      </c>
      <c r="BY428" s="58">
        <f t="shared" ref="BY428:CA486" si="294">BX428</f>
        <v>9196.2422511128043</v>
      </c>
      <c r="BZ428" s="58">
        <f t="shared" si="283"/>
        <v>9196.2422511128043</v>
      </c>
      <c r="CA428" s="58">
        <f t="shared" si="294"/>
        <v>9196.2422511128043</v>
      </c>
      <c r="CB428" s="58">
        <f t="shared" si="264"/>
        <v>36784.969004451217</v>
      </c>
      <c r="CC428" s="58">
        <f t="shared" si="265"/>
        <v>9196.2422511128043</v>
      </c>
      <c r="CD428" s="58">
        <f t="shared" si="289"/>
        <v>9196.2422511128043</v>
      </c>
      <c r="CE428" s="58">
        <f t="shared" si="289"/>
        <v>9196.2422511128043</v>
      </c>
      <c r="CF428" s="58">
        <f t="shared" si="289"/>
        <v>9196.2422511128043</v>
      </c>
      <c r="CG428" s="58">
        <f t="shared" si="266"/>
        <v>36784.969004451217</v>
      </c>
      <c r="CH428" s="58">
        <f t="shared" ref="CH428:CH490" si="295">CF428</f>
        <v>9196.2422511128043</v>
      </c>
      <c r="CI428" s="58">
        <f t="shared" ref="CI428:CK443" si="296">CH428</f>
        <v>9196.2422511128043</v>
      </c>
      <c r="CJ428" s="58">
        <f t="shared" si="296"/>
        <v>9196.2422511128043</v>
      </c>
      <c r="CK428" s="58">
        <f t="shared" si="296"/>
        <v>9196.2422511128043</v>
      </c>
      <c r="CL428" s="58">
        <f t="shared" ref="CL428:CL490" si="297">SUM(CH428:CK428)</f>
        <v>36784.969004451217</v>
      </c>
      <c r="CN428" s="59">
        <f t="shared" ref="CN428:CN434" si="298">BK428/$CN$3</f>
        <v>9.419571525505225E-6</v>
      </c>
      <c r="CO428" s="64">
        <f t="shared" ref="CO428:CO434" si="299">CN428*$CO$4</f>
        <v>197811.00203560974</v>
      </c>
      <c r="CP428" s="2">
        <f t="shared" si="263"/>
        <v>294279.75203560974</v>
      </c>
    </row>
    <row r="429" spans="1:94" ht="16.5" hidden="1" x14ac:dyDescent="0.3">
      <c r="A429" s="2">
        <v>424</v>
      </c>
      <c r="B429" s="47" t="s">
        <v>21</v>
      </c>
      <c r="C429" s="47"/>
      <c r="D429" s="30" t="s">
        <v>1041</v>
      </c>
      <c r="E429" s="30" t="s">
        <v>1042</v>
      </c>
      <c r="F429" s="30" t="s">
        <v>1043</v>
      </c>
      <c r="G429" s="30" t="s">
        <v>117</v>
      </c>
      <c r="H429" s="30" t="s">
        <v>1058</v>
      </c>
      <c r="I429" s="30" t="s">
        <v>119</v>
      </c>
      <c r="J429" s="30" t="s">
        <v>1044</v>
      </c>
      <c r="K429" s="30" t="s">
        <v>1044</v>
      </c>
      <c r="L429" s="30" t="s">
        <v>1120</v>
      </c>
      <c r="M429" s="30">
        <v>1005507</v>
      </c>
      <c r="N429" s="30" t="s">
        <v>369</v>
      </c>
      <c r="O429" s="30" t="s">
        <v>1486</v>
      </c>
      <c r="P429" s="30"/>
      <c r="Q429" s="48" t="s">
        <v>372</v>
      </c>
      <c r="R429" s="30"/>
      <c r="S429" s="30"/>
      <c r="T429" s="30"/>
      <c r="U429" s="30" t="s">
        <v>144</v>
      </c>
      <c r="V429" s="30" t="s">
        <v>437</v>
      </c>
      <c r="W429" s="30"/>
      <c r="X429" s="30" t="s">
        <v>127</v>
      </c>
      <c r="Y429" s="30" t="s">
        <v>576</v>
      </c>
      <c r="Z429" s="30" t="s">
        <v>576</v>
      </c>
      <c r="AA429" s="30" t="s">
        <v>129</v>
      </c>
      <c r="AB429" s="30" t="s">
        <v>1132</v>
      </c>
      <c r="AC429" s="30"/>
      <c r="AD429" s="30"/>
      <c r="AE429" s="30"/>
      <c r="AF429" s="30" t="s">
        <v>131</v>
      </c>
      <c r="AG429" s="30" t="s">
        <v>774</v>
      </c>
      <c r="AH429" s="30"/>
      <c r="AI429" s="30"/>
      <c r="AJ429" s="50">
        <v>43278</v>
      </c>
      <c r="AK429" s="50">
        <v>43278</v>
      </c>
      <c r="AL429" s="51">
        <f t="shared" si="276"/>
        <v>7.3506849315068497</v>
      </c>
      <c r="AM429" s="30">
        <v>8</v>
      </c>
      <c r="AN429" s="30" t="s">
        <v>1065</v>
      </c>
      <c r="AO429" s="30" t="s">
        <v>1050</v>
      </c>
      <c r="AP429" s="30" t="s">
        <v>1051</v>
      </c>
      <c r="AQ429" s="30">
        <v>0</v>
      </c>
      <c r="AR429" s="30"/>
      <c r="AS429" s="30"/>
      <c r="AT429" s="30"/>
      <c r="AU429" s="54">
        <v>2400000</v>
      </c>
      <c r="AV429" s="54"/>
      <c r="AW429" s="54"/>
      <c r="AX429" s="54"/>
      <c r="AY429" s="54">
        <v>2150000</v>
      </c>
      <c r="AZ429" s="54">
        <v>25000</v>
      </c>
      <c r="BA429" s="54">
        <v>175000</v>
      </c>
      <c r="BB429" s="55">
        <f>VLOOKUP(M429,[1]Sheet1!$E$6:$F$556,2,FALSE)</f>
        <v>5870</v>
      </c>
      <c r="BC429" s="74"/>
      <c r="BD429" s="74"/>
      <c r="BE429" s="128">
        <v>10</v>
      </c>
      <c r="BF429" s="30" t="s">
        <v>1134</v>
      </c>
      <c r="BG429" s="30" t="s">
        <v>1117</v>
      </c>
      <c r="BH429" s="30" t="s">
        <v>1054</v>
      </c>
      <c r="BI429" s="30" t="str">
        <f t="shared" si="262"/>
        <v>COF(Assy_FT)</v>
      </c>
      <c r="BJ429" s="47" t="s">
        <v>137</v>
      </c>
      <c r="BK429" s="56">
        <f t="shared" si="277"/>
        <v>183750</v>
      </c>
      <c r="BL429" s="57">
        <f t="shared" si="291"/>
        <v>17516.651906881532</v>
      </c>
      <c r="BM429" s="57">
        <f t="shared" si="292"/>
        <v>5838.8839689605111</v>
      </c>
      <c r="BU429" s="58">
        <f t="shared" si="288"/>
        <v>17516.651906881532</v>
      </c>
      <c r="BV429" s="58">
        <f t="shared" si="284"/>
        <v>17516.651906881532</v>
      </c>
      <c r="BW429" s="58">
        <f t="shared" ref="BW429:BW449" si="300">SUM(BS429:BV429)</f>
        <v>35033.303813763065</v>
      </c>
      <c r="BX429" s="58">
        <f t="shared" si="293"/>
        <v>17516.651906881532</v>
      </c>
      <c r="BY429" s="58">
        <f t="shared" si="294"/>
        <v>17516.651906881532</v>
      </c>
      <c r="BZ429" s="58">
        <f t="shared" si="283"/>
        <v>17516.651906881532</v>
      </c>
      <c r="CA429" s="58">
        <f t="shared" si="294"/>
        <v>17516.651906881532</v>
      </c>
      <c r="CB429" s="58">
        <f t="shared" si="264"/>
        <v>70066.607627526129</v>
      </c>
      <c r="CC429" s="58">
        <f t="shared" si="265"/>
        <v>17516.651906881532</v>
      </c>
      <c r="CD429" s="58">
        <f t="shared" si="289"/>
        <v>17516.651906881532</v>
      </c>
      <c r="CE429" s="58">
        <f t="shared" si="289"/>
        <v>17516.651906881532</v>
      </c>
      <c r="CF429" s="58">
        <f t="shared" si="289"/>
        <v>17516.651906881532</v>
      </c>
      <c r="CG429" s="58">
        <f t="shared" si="266"/>
        <v>70066.607627526129</v>
      </c>
      <c r="CH429" s="58">
        <f t="shared" si="295"/>
        <v>17516.651906881532</v>
      </c>
      <c r="CI429" s="58">
        <f t="shared" si="296"/>
        <v>17516.651906881532</v>
      </c>
      <c r="CJ429" s="58">
        <f t="shared" si="296"/>
        <v>17516.651906881532</v>
      </c>
      <c r="CK429" s="58">
        <f t="shared" si="296"/>
        <v>17516.651906881532</v>
      </c>
      <c r="CL429" s="58">
        <f t="shared" si="297"/>
        <v>70066.607627526129</v>
      </c>
      <c r="CN429" s="59">
        <f t="shared" si="298"/>
        <v>1.7942041000962335E-5</v>
      </c>
      <c r="CO429" s="64">
        <f t="shared" si="299"/>
        <v>376782.86102020903</v>
      </c>
      <c r="CP429" s="2">
        <f t="shared" si="263"/>
        <v>560532.86102020903</v>
      </c>
    </row>
    <row r="430" spans="1:94" ht="16.5" hidden="1" x14ac:dyDescent="0.3">
      <c r="A430" s="2">
        <v>425</v>
      </c>
      <c r="B430" s="47" t="s">
        <v>21</v>
      </c>
      <c r="C430" s="47"/>
      <c r="D430" s="30" t="s">
        <v>1041</v>
      </c>
      <c r="E430" s="30" t="s">
        <v>1042</v>
      </c>
      <c r="F430" s="30" t="s">
        <v>1043</v>
      </c>
      <c r="G430" s="30" t="s">
        <v>117</v>
      </c>
      <c r="H430" s="30" t="s">
        <v>1058</v>
      </c>
      <c r="I430" s="30" t="s">
        <v>119</v>
      </c>
      <c r="J430" s="30" t="s">
        <v>1044</v>
      </c>
      <c r="K430" s="30" t="s">
        <v>1044</v>
      </c>
      <c r="L430" s="30" t="s">
        <v>1120</v>
      </c>
      <c r="M430" s="30">
        <v>1005508</v>
      </c>
      <c r="N430" s="30" t="s">
        <v>369</v>
      </c>
      <c r="O430" s="30" t="s">
        <v>1487</v>
      </c>
      <c r="P430" s="30"/>
      <c r="Q430" s="48" t="s">
        <v>372</v>
      </c>
      <c r="R430" s="30"/>
      <c r="S430" s="30"/>
      <c r="T430" s="30"/>
      <c r="U430" s="30" t="s">
        <v>144</v>
      </c>
      <c r="V430" s="30" t="s">
        <v>437</v>
      </c>
      <c r="W430" s="30"/>
      <c r="X430" s="30" t="s">
        <v>127</v>
      </c>
      <c r="Y430" s="30" t="s">
        <v>576</v>
      </c>
      <c r="Z430" s="30" t="s">
        <v>576</v>
      </c>
      <c r="AA430" s="30" t="s">
        <v>129</v>
      </c>
      <c r="AB430" s="30" t="s">
        <v>1132</v>
      </c>
      <c r="AC430" s="30"/>
      <c r="AD430" s="30"/>
      <c r="AE430" s="30"/>
      <c r="AF430" s="30" t="s">
        <v>131</v>
      </c>
      <c r="AG430" s="30" t="s">
        <v>774</v>
      </c>
      <c r="AH430" s="30"/>
      <c r="AI430" s="30"/>
      <c r="AJ430" s="50">
        <v>43278</v>
      </c>
      <c r="AK430" s="50">
        <v>43278</v>
      </c>
      <c r="AL430" s="51">
        <f t="shared" si="276"/>
        <v>7.3506849315068497</v>
      </c>
      <c r="AM430" s="30">
        <v>8</v>
      </c>
      <c r="AN430" s="30" t="s">
        <v>1065</v>
      </c>
      <c r="AO430" s="30" t="s">
        <v>1050</v>
      </c>
      <c r="AP430" s="30" t="s">
        <v>1051</v>
      </c>
      <c r="AQ430" s="30">
        <v>0</v>
      </c>
      <c r="AR430" s="30"/>
      <c r="AS430" s="30"/>
      <c r="AT430" s="30"/>
      <c r="AU430" s="54">
        <v>8400000</v>
      </c>
      <c r="AV430" s="54"/>
      <c r="AW430" s="54"/>
      <c r="AX430" s="54"/>
      <c r="AY430" s="54">
        <v>7525000</v>
      </c>
      <c r="AZ430" s="54">
        <v>87500</v>
      </c>
      <c r="BA430" s="54">
        <v>612500</v>
      </c>
      <c r="BB430" s="55">
        <f>VLOOKUP(M430,[1]Sheet1!$E$6:$F$556,2,FALSE)</f>
        <v>19050</v>
      </c>
      <c r="BC430" s="74"/>
      <c r="BD430" s="74"/>
      <c r="BE430" s="128">
        <v>10</v>
      </c>
      <c r="BF430" s="30" t="s">
        <v>1134</v>
      </c>
      <c r="BG430" s="30" t="s">
        <v>1117</v>
      </c>
      <c r="BH430" s="30" t="s">
        <v>1054</v>
      </c>
      <c r="BI430" s="30" t="str">
        <f t="shared" si="262"/>
        <v>COF(Assy_FT)</v>
      </c>
      <c r="BJ430" s="47" t="s">
        <v>137</v>
      </c>
      <c r="BK430" s="56">
        <f t="shared" si="277"/>
        <v>643125</v>
      </c>
      <c r="BL430" s="57">
        <f t="shared" si="291"/>
        <v>61308.28167408536</v>
      </c>
      <c r="BM430" s="57">
        <f t="shared" si="292"/>
        <v>20436.093891361787</v>
      </c>
      <c r="BU430" s="58">
        <f t="shared" si="288"/>
        <v>61308.28167408536</v>
      </c>
      <c r="BV430" s="58">
        <f t="shared" si="284"/>
        <v>61308.28167408536</v>
      </c>
      <c r="BW430" s="58">
        <f t="shared" si="300"/>
        <v>122616.56334817072</v>
      </c>
      <c r="BX430" s="58">
        <f t="shared" si="293"/>
        <v>61308.28167408536</v>
      </c>
      <c r="BY430" s="58">
        <f t="shared" si="294"/>
        <v>61308.28167408536</v>
      </c>
      <c r="BZ430" s="58">
        <f t="shared" si="283"/>
        <v>61308.28167408536</v>
      </c>
      <c r="CA430" s="58">
        <f t="shared" si="294"/>
        <v>61308.28167408536</v>
      </c>
      <c r="CB430" s="58">
        <f t="shared" si="264"/>
        <v>245233.12669634144</v>
      </c>
      <c r="CC430" s="58">
        <f t="shared" si="265"/>
        <v>61308.28167408536</v>
      </c>
      <c r="CD430" s="58">
        <f t="shared" si="289"/>
        <v>61308.28167408536</v>
      </c>
      <c r="CE430" s="58">
        <f t="shared" si="289"/>
        <v>61308.28167408536</v>
      </c>
      <c r="CF430" s="58">
        <f t="shared" si="289"/>
        <v>61308.28167408536</v>
      </c>
      <c r="CG430" s="58">
        <f t="shared" si="266"/>
        <v>245233.12669634144</v>
      </c>
      <c r="CH430" s="58">
        <f t="shared" si="295"/>
        <v>61308.28167408536</v>
      </c>
      <c r="CI430" s="58">
        <f t="shared" si="296"/>
        <v>61308.28167408536</v>
      </c>
      <c r="CJ430" s="58">
        <f t="shared" si="296"/>
        <v>61308.28167408536</v>
      </c>
      <c r="CK430" s="58">
        <f t="shared" si="296"/>
        <v>61308.28167408536</v>
      </c>
      <c r="CL430" s="58">
        <f t="shared" si="297"/>
        <v>245233.12669634144</v>
      </c>
      <c r="CN430" s="59">
        <f t="shared" si="298"/>
        <v>6.2797143503368167E-5</v>
      </c>
      <c r="CO430" s="64">
        <f t="shared" si="299"/>
        <v>1318740.0135707315</v>
      </c>
      <c r="CP430" s="2">
        <f t="shared" si="263"/>
        <v>1961865.0135707315</v>
      </c>
    </row>
    <row r="431" spans="1:94" ht="16.5" hidden="1" x14ac:dyDescent="0.3">
      <c r="A431" s="2">
        <v>426</v>
      </c>
      <c r="B431" s="47" t="s">
        <v>21</v>
      </c>
      <c r="C431" s="47"/>
      <c r="D431" s="30" t="s">
        <v>1041</v>
      </c>
      <c r="E431" s="30" t="s">
        <v>1042</v>
      </c>
      <c r="F431" s="30" t="s">
        <v>1043</v>
      </c>
      <c r="G431" s="30" t="s">
        <v>117</v>
      </c>
      <c r="H431" s="30" t="s">
        <v>1058</v>
      </c>
      <c r="I431" s="30" t="s">
        <v>119</v>
      </c>
      <c r="J431" s="30" t="s">
        <v>1044</v>
      </c>
      <c r="K431" s="30" t="s">
        <v>1044</v>
      </c>
      <c r="L431" s="30" t="s">
        <v>1120</v>
      </c>
      <c r="M431" s="30">
        <v>1005509</v>
      </c>
      <c r="N431" s="30" t="s">
        <v>369</v>
      </c>
      <c r="O431" s="30" t="s">
        <v>1488</v>
      </c>
      <c r="P431" s="30"/>
      <c r="Q431" s="48" t="s">
        <v>372</v>
      </c>
      <c r="R431" s="30"/>
      <c r="S431" s="30"/>
      <c r="T431" s="30"/>
      <c r="U431" s="30" t="s">
        <v>144</v>
      </c>
      <c r="V431" s="30" t="s">
        <v>437</v>
      </c>
      <c r="W431" s="30"/>
      <c r="X431" s="30" t="s">
        <v>127</v>
      </c>
      <c r="Y431" s="30" t="s">
        <v>576</v>
      </c>
      <c r="Z431" s="30" t="s">
        <v>576</v>
      </c>
      <c r="AA431" s="30" t="s">
        <v>129</v>
      </c>
      <c r="AB431" s="30" t="s">
        <v>1132</v>
      </c>
      <c r="AC431" s="30"/>
      <c r="AD431" s="30"/>
      <c r="AE431" s="30"/>
      <c r="AF431" s="30" t="s">
        <v>131</v>
      </c>
      <c r="AG431" s="30" t="s">
        <v>774</v>
      </c>
      <c r="AH431" s="30"/>
      <c r="AI431" s="30"/>
      <c r="AJ431" s="50">
        <v>43278</v>
      </c>
      <c r="AK431" s="50">
        <v>43278</v>
      </c>
      <c r="AL431" s="51">
        <f t="shared" si="276"/>
        <v>7.3506849315068497</v>
      </c>
      <c r="AM431" s="30">
        <v>8</v>
      </c>
      <c r="AN431" s="30" t="s">
        <v>1065</v>
      </c>
      <c r="AO431" s="30" t="s">
        <v>1050</v>
      </c>
      <c r="AP431" s="30" t="s">
        <v>1051</v>
      </c>
      <c r="AQ431" s="30">
        <v>0</v>
      </c>
      <c r="AR431" s="30"/>
      <c r="AS431" s="30"/>
      <c r="AT431" s="30"/>
      <c r="AU431" s="54">
        <v>1080000</v>
      </c>
      <c r="AV431" s="54"/>
      <c r="AW431" s="54"/>
      <c r="AX431" s="54"/>
      <c r="AY431" s="54">
        <v>967500</v>
      </c>
      <c r="AZ431" s="54">
        <v>11250</v>
      </c>
      <c r="BA431" s="54">
        <v>78750</v>
      </c>
      <c r="BB431" s="55">
        <f>VLOOKUP(M431,[1]Sheet1!$E$6:$F$556,2,FALSE)</f>
        <v>2972</v>
      </c>
      <c r="BC431" s="74"/>
      <c r="BD431" s="74"/>
      <c r="BE431" s="128">
        <v>10</v>
      </c>
      <c r="BF431" s="30" t="s">
        <v>1134</v>
      </c>
      <c r="BG431" s="30" t="s">
        <v>1117</v>
      </c>
      <c r="BH431" s="30" t="s">
        <v>1054</v>
      </c>
      <c r="BI431" s="30" t="str">
        <f t="shared" si="262"/>
        <v>COF(Assy_FT)</v>
      </c>
      <c r="BJ431" s="47" t="s">
        <v>137</v>
      </c>
      <c r="BK431" s="56">
        <f t="shared" si="277"/>
        <v>82687.5</v>
      </c>
      <c r="BL431" s="57">
        <f t="shared" si="291"/>
        <v>7882.4933580966899</v>
      </c>
      <c r="BM431" s="57">
        <f t="shared" si="292"/>
        <v>2627.4977860322301</v>
      </c>
      <c r="BU431" s="58">
        <f t="shared" si="288"/>
        <v>7882.4933580966899</v>
      </c>
      <c r="BV431" s="58">
        <f t="shared" si="284"/>
        <v>7882.4933580966899</v>
      </c>
      <c r="BW431" s="58">
        <f t="shared" si="300"/>
        <v>15764.98671619338</v>
      </c>
      <c r="BX431" s="58">
        <f t="shared" si="293"/>
        <v>7882.4933580966899</v>
      </c>
      <c r="BY431" s="58">
        <f t="shared" si="294"/>
        <v>7882.4933580966899</v>
      </c>
      <c r="BZ431" s="58">
        <f t="shared" si="283"/>
        <v>7882.4933580966899</v>
      </c>
      <c r="CA431" s="58">
        <f t="shared" si="294"/>
        <v>7882.4933580966899</v>
      </c>
      <c r="CB431" s="58">
        <f t="shared" si="264"/>
        <v>31529.97343238676</v>
      </c>
      <c r="CC431" s="58">
        <f t="shared" si="265"/>
        <v>7882.4933580966899</v>
      </c>
      <c r="CD431" s="58">
        <f t="shared" si="289"/>
        <v>7882.4933580966899</v>
      </c>
      <c r="CE431" s="58">
        <f t="shared" si="289"/>
        <v>7882.4933580966899</v>
      </c>
      <c r="CF431" s="58">
        <f t="shared" si="289"/>
        <v>7882.4933580966899</v>
      </c>
      <c r="CG431" s="58">
        <f t="shared" si="266"/>
        <v>31529.97343238676</v>
      </c>
      <c r="CH431" s="58">
        <f t="shared" si="295"/>
        <v>7882.4933580966899</v>
      </c>
      <c r="CI431" s="58">
        <f t="shared" si="296"/>
        <v>7882.4933580966899</v>
      </c>
      <c r="CJ431" s="58">
        <f t="shared" si="296"/>
        <v>7882.4933580966899</v>
      </c>
      <c r="CK431" s="58">
        <f t="shared" si="296"/>
        <v>7882.4933580966899</v>
      </c>
      <c r="CL431" s="58">
        <f t="shared" si="297"/>
        <v>31529.97343238676</v>
      </c>
      <c r="CN431" s="59">
        <f t="shared" si="298"/>
        <v>8.0739184504330512E-6</v>
      </c>
      <c r="CO431" s="64">
        <f t="shared" si="299"/>
        <v>169552.28745909408</v>
      </c>
      <c r="CP431" s="2">
        <f t="shared" si="263"/>
        <v>252239.78745909408</v>
      </c>
    </row>
    <row r="432" spans="1:94" ht="16.5" hidden="1" x14ac:dyDescent="0.3">
      <c r="A432" s="2">
        <v>427</v>
      </c>
      <c r="B432" s="47" t="s">
        <v>21</v>
      </c>
      <c r="C432" s="47"/>
      <c r="D432" s="30" t="s">
        <v>1041</v>
      </c>
      <c r="E432" s="30" t="s">
        <v>1042</v>
      </c>
      <c r="F432" s="30" t="s">
        <v>1043</v>
      </c>
      <c r="G432" s="30" t="s">
        <v>117</v>
      </c>
      <c r="H432" s="30" t="s">
        <v>1058</v>
      </c>
      <c r="I432" s="30" t="s">
        <v>119</v>
      </c>
      <c r="J432" s="30" t="s">
        <v>1044</v>
      </c>
      <c r="K432" s="30" t="s">
        <v>1044</v>
      </c>
      <c r="L432" s="30" t="s">
        <v>1120</v>
      </c>
      <c r="M432" s="30">
        <v>1005510</v>
      </c>
      <c r="N432" s="30" t="s">
        <v>123</v>
      </c>
      <c r="O432" s="30" t="s">
        <v>1489</v>
      </c>
      <c r="P432" s="30"/>
      <c r="Q432" s="48" t="s">
        <v>1490</v>
      </c>
      <c r="R432" s="30"/>
      <c r="S432" s="30"/>
      <c r="T432" s="30"/>
      <c r="U432" s="30" t="s">
        <v>144</v>
      </c>
      <c r="V432" s="30" t="s">
        <v>437</v>
      </c>
      <c r="W432" s="30"/>
      <c r="X432" s="30" t="s">
        <v>127</v>
      </c>
      <c r="Y432" s="30" t="s">
        <v>576</v>
      </c>
      <c r="Z432" s="30" t="s">
        <v>576</v>
      </c>
      <c r="AA432" s="30" t="s">
        <v>129</v>
      </c>
      <c r="AB432" s="92" t="s">
        <v>1491</v>
      </c>
      <c r="AC432" s="30"/>
      <c r="AD432" s="30"/>
      <c r="AE432" s="30"/>
      <c r="AF432" s="30" t="s">
        <v>131</v>
      </c>
      <c r="AG432" s="30" t="s">
        <v>774</v>
      </c>
      <c r="AH432" s="30"/>
      <c r="AI432" s="30"/>
      <c r="AJ432" s="50">
        <v>43278</v>
      </c>
      <c r="AK432" s="50">
        <v>43278</v>
      </c>
      <c r="AL432" s="51">
        <f t="shared" si="276"/>
        <v>7.3506849315068497</v>
      </c>
      <c r="AM432" s="30">
        <v>8</v>
      </c>
      <c r="AN432" s="30" t="s">
        <v>1065</v>
      </c>
      <c r="AO432" s="30" t="s">
        <v>1050</v>
      </c>
      <c r="AP432" s="30" t="s">
        <v>1051</v>
      </c>
      <c r="AQ432" s="30">
        <v>0</v>
      </c>
      <c r="AR432" s="30"/>
      <c r="AS432" s="30"/>
      <c r="AT432" s="30"/>
      <c r="AU432" s="54">
        <v>10800000</v>
      </c>
      <c r="AV432" s="54"/>
      <c r="AW432" s="54"/>
      <c r="AX432" s="54"/>
      <c r="AY432" s="54">
        <v>9675000</v>
      </c>
      <c r="AZ432" s="54">
        <v>112500</v>
      </c>
      <c r="BA432" s="54">
        <v>787500</v>
      </c>
      <c r="BB432" s="55">
        <f>VLOOKUP(M432,[1]Sheet1!$E$6:$F$556,2,FALSE)</f>
        <v>24320</v>
      </c>
      <c r="BC432" s="74"/>
      <c r="BD432" s="74"/>
      <c r="BE432" s="128">
        <v>10</v>
      </c>
      <c r="BF432" s="30" t="s">
        <v>1134</v>
      </c>
      <c r="BG432" s="30" t="s">
        <v>1117</v>
      </c>
      <c r="BH432" s="30" t="s">
        <v>1054</v>
      </c>
      <c r="BI432" s="30" t="str">
        <f t="shared" si="262"/>
        <v>COF(Assy_FT)</v>
      </c>
      <c r="BJ432" s="47" t="s">
        <v>137</v>
      </c>
      <c r="BK432" s="56">
        <f t="shared" si="277"/>
        <v>826875</v>
      </c>
      <c r="BL432" s="57">
        <f t="shared" si="291"/>
        <v>78824.933580966899</v>
      </c>
      <c r="BM432" s="57">
        <f t="shared" si="292"/>
        <v>26274.977860322299</v>
      </c>
      <c r="BU432" s="58">
        <f t="shared" si="288"/>
        <v>78824.933580966899</v>
      </c>
      <c r="BV432" s="58">
        <f t="shared" si="284"/>
        <v>78824.933580966899</v>
      </c>
      <c r="BW432" s="58">
        <f t="shared" si="300"/>
        <v>157649.8671619338</v>
      </c>
      <c r="BX432" s="58">
        <f t="shared" si="293"/>
        <v>78824.933580966899</v>
      </c>
      <c r="BY432" s="58">
        <f t="shared" si="294"/>
        <v>78824.933580966899</v>
      </c>
      <c r="BZ432" s="58">
        <f t="shared" si="283"/>
        <v>78824.933580966899</v>
      </c>
      <c r="CA432" s="58">
        <f t="shared" si="294"/>
        <v>78824.933580966899</v>
      </c>
      <c r="CB432" s="58">
        <f t="shared" si="264"/>
        <v>315299.7343238676</v>
      </c>
      <c r="CC432" s="58">
        <f t="shared" si="265"/>
        <v>78824.933580966899</v>
      </c>
      <c r="CD432" s="58">
        <f t="shared" si="289"/>
        <v>78824.933580966899</v>
      </c>
      <c r="CE432" s="58">
        <f t="shared" si="289"/>
        <v>78824.933580966899</v>
      </c>
      <c r="CF432" s="58">
        <f t="shared" si="289"/>
        <v>78824.933580966899</v>
      </c>
      <c r="CG432" s="58">
        <f t="shared" si="266"/>
        <v>315299.7343238676</v>
      </c>
      <c r="CH432" s="58">
        <f t="shared" si="295"/>
        <v>78824.933580966899</v>
      </c>
      <c r="CI432" s="58">
        <f t="shared" si="296"/>
        <v>78824.933580966899</v>
      </c>
      <c r="CJ432" s="58">
        <f t="shared" si="296"/>
        <v>78824.933580966899</v>
      </c>
      <c r="CK432" s="58">
        <f t="shared" si="296"/>
        <v>78824.933580966899</v>
      </c>
      <c r="CL432" s="58">
        <f t="shared" si="297"/>
        <v>315299.7343238676</v>
      </c>
      <c r="CN432" s="59">
        <f t="shared" si="298"/>
        <v>8.0739184504330502E-5</v>
      </c>
      <c r="CO432" s="64">
        <f t="shared" si="299"/>
        <v>1695522.8745909405</v>
      </c>
      <c r="CP432" s="2">
        <f t="shared" si="263"/>
        <v>2522397.8745909408</v>
      </c>
    </row>
    <row r="433" spans="1:94" ht="16.5" hidden="1" x14ac:dyDescent="0.3">
      <c r="A433" s="2">
        <v>428</v>
      </c>
      <c r="B433" s="47" t="s">
        <v>21</v>
      </c>
      <c r="C433" s="47"/>
      <c r="D433" s="30" t="s">
        <v>1041</v>
      </c>
      <c r="E433" s="30" t="s">
        <v>1042</v>
      </c>
      <c r="F433" s="30" t="s">
        <v>1043</v>
      </c>
      <c r="G433" s="30" t="s">
        <v>117</v>
      </c>
      <c r="H433" s="30" t="s">
        <v>1058</v>
      </c>
      <c r="I433" s="30" t="s">
        <v>119</v>
      </c>
      <c r="J433" s="30" t="s">
        <v>1044</v>
      </c>
      <c r="K433" s="30" t="s">
        <v>1044</v>
      </c>
      <c r="L433" s="30" t="s">
        <v>1109</v>
      </c>
      <c r="M433" s="30">
        <v>1005540</v>
      </c>
      <c r="N433" s="30" t="s">
        <v>138</v>
      </c>
      <c r="O433" s="30" t="s">
        <v>1492</v>
      </c>
      <c r="P433" s="30" t="s">
        <v>1111</v>
      </c>
      <c r="Q433" s="30" t="s">
        <v>585</v>
      </c>
      <c r="R433" s="30"/>
      <c r="S433" s="30" t="s">
        <v>1493</v>
      </c>
      <c r="T433" s="30"/>
      <c r="U433" s="30" t="s">
        <v>144</v>
      </c>
      <c r="V433" s="30" t="s">
        <v>437</v>
      </c>
      <c r="W433" s="30" t="s">
        <v>1113</v>
      </c>
      <c r="X433" s="30" t="s">
        <v>127</v>
      </c>
      <c r="Y433" s="30" t="s">
        <v>128</v>
      </c>
      <c r="Z433" s="30" t="s">
        <v>128</v>
      </c>
      <c r="AA433" s="30" t="s">
        <v>129</v>
      </c>
      <c r="AB433" s="30" t="s">
        <v>1114</v>
      </c>
      <c r="AC433" s="30" t="s">
        <v>1114</v>
      </c>
      <c r="AD433" s="30" t="s">
        <v>1115</v>
      </c>
      <c r="AE433" s="30"/>
      <c r="AF433" s="30" t="s">
        <v>131</v>
      </c>
      <c r="AG433" s="30" t="s">
        <v>774</v>
      </c>
      <c r="AH433" s="30" t="s">
        <v>1116</v>
      </c>
      <c r="AI433" s="30"/>
      <c r="AJ433" s="50">
        <v>43307</v>
      </c>
      <c r="AK433" s="50">
        <v>43307</v>
      </c>
      <c r="AL433" s="51">
        <f t="shared" si="276"/>
        <v>7.2712328767123289</v>
      </c>
      <c r="AM433" s="30">
        <v>8</v>
      </c>
      <c r="AN433" s="30" t="s">
        <v>1065</v>
      </c>
      <c r="AO433" s="30" t="s">
        <v>1050</v>
      </c>
      <c r="AP433" s="30" t="s">
        <v>1051</v>
      </c>
      <c r="AQ433" s="30">
        <v>5.28</v>
      </c>
      <c r="AR433" s="30">
        <v>1470</v>
      </c>
      <c r="AS433" s="30">
        <v>960</v>
      </c>
      <c r="AT433" s="30">
        <v>1675</v>
      </c>
      <c r="AU433" s="54">
        <v>7912000</v>
      </c>
      <c r="AV433" s="54"/>
      <c r="AW433" s="54"/>
      <c r="AX433" s="54"/>
      <c r="AY433" s="54">
        <v>7005421</v>
      </c>
      <c r="AZ433" s="54">
        <v>82417</v>
      </c>
      <c r="BA433" s="54">
        <v>659328</v>
      </c>
      <c r="BB433" s="55">
        <f>VLOOKUP(M433,[1]Sheet1!$E$6:$F$556,2,FALSE)</f>
        <v>26565</v>
      </c>
      <c r="BC433" s="74"/>
      <c r="BD433" s="74"/>
      <c r="BE433" s="128">
        <v>10.999902932647391</v>
      </c>
      <c r="BF433" s="30" t="s">
        <v>1134</v>
      </c>
      <c r="BG433" s="30" t="s">
        <v>1117</v>
      </c>
      <c r="BH433" s="30" t="s">
        <v>1054</v>
      </c>
      <c r="BI433" s="30" t="str">
        <f t="shared" si="262"/>
        <v>COF(Assy_FT)</v>
      </c>
      <c r="BJ433" s="47" t="s">
        <v>137</v>
      </c>
      <c r="BK433" s="56">
        <f t="shared" si="277"/>
        <v>692294.4</v>
      </c>
      <c r="BL433" s="57">
        <f t="shared" si="291"/>
        <v>65995.537534059345</v>
      </c>
      <c r="BM433" s="57">
        <f t="shared" si="292"/>
        <v>21998.512511353114</v>
      </c>
      <c r="BU433" s="58">
        <f t="shared" si="288"/>
        <v>65995.537534059345</v>
      </c>
      <c r="BV433" s="58">
        <f t="shared" si="284"/>
        <v>65995.537534059345</v>
      </c>
      <c r="BW433" s="58">
        <f t="shared" si="300"/>
        <v>131991.07506811869</v>
      </c>
      <c r="BX433" s="58">
        <f t="shared" si="293"/>
        <v>65995.537534059345</v>
      </c>
      <c r="BY433" s="58">
        <f t="shared" si="294"/>
        <v>65995.537534059345</v>
      </c>
      <c r="BZ433" s="58">
        <f t="shared" si="283"/>
        <v>65995.537534059345</v>
      </c>
      <c r="CA433" s="58">
        <f t="shared" si="294"/>
        <v>65995.537534059345</v>
      </c>
      <c r="CB433" s="58">
        <f t="shared" si="264"/>
        <v>263982.15013623738</v>
      </c>
      <c r="CC433" s="58">
        <f t="shared" si="265"/>
        <v>65995.537534059345</v>
      </c>
      <c r="CD433" s="58">
        <f t="shared" si="289"/>
        <v>65995.537534059345</v>
      </c>
      <c r="CE433" s="58">
        <f t="shared" si="289"/>
        <v>65995.537534059345</v>
      </c>
      <c r="CF433" s="58">
        <f t="shared" si="289"/>
        <v>65995.537534059345</v>
      </c>
      <c r="CG433" s="58">
        <f t="shared" si="266"/>
        <v>263982.15013623738</v>
      </c>
      <c r="CH433" s="58">
        <f t="shared" si="295"/>
        <v>65995.537534059345</v>
      </c>
      <c r="CI433" s="58">
        <f t="shared" si="296"/>
        <v>65995.537534059345</v>
      </c>
      <c r="CJ433" s="58">
        <f t="shared" si="296"/>
        <v>65995.537534059345</v>
      </c>
      <c r="CK433" s="58">
        <f t="shared" si="296"/>
        <v>65995.537534059345</v>
      </c>
      <c r="CL433" s="58">
        <f t="shared" si="297"/>
        <v>263982.15013623738</v>
      </c>
      <c r="CN433" s="59">
        <f t="shared" si="298"/>
        <v>6.7598228623328533E-5</v>
      </c>
      <c r="CO433" s="64">
        <f t="shared" si="299"/>
        <v>1419562.8010898991</v>
      </c>
      <c r="CP433" s="2">
        <f t="shared" si="263"/>
        <v>2111857.2010898991</v>
      </c>
    </row>
    <row r="434" spans="1:94" ht="16.5" hidden="1" x14ac:dyDescent="0.3">
      <c r="A434" s="2">
        <v>429</v>
      </c>
      <c r="B434" s="47" t="s">
        <v>21</v>
      </c>
      <c r="C434" s="47"/>
      <c r="D434" s="30" t="s">
        <v>1041</v>
      </c>
      <c r="E434" s="30" t="s">
        <v>1042</v>
      </c>
      <c r="F434" s="30" t="s">
        <v>1043</v>
      </c>
      <c r="G434" s="30" t="s">
        <v>117</v>
      </c>
      <c r="H434" s="30" t="s">
        <v>1058</v>
      </c>
      <c r="I434" s="30" t="s">
        <v>119</v>
      </c>
      <c r="J434" s="30" t="s">
        <v>1044</v>
      </c>
      <c r="K434" s="30" t="s">
        <v>1044</v>
      </c>
      <c r="L434" s="30" t="s">
        <v>1109</v>
      </c>
      <c r="M434" s="30">
        <v>1005541</v>
      </c>
      <c r="N434" s="30" t="s">
        <v>138</v>
      </c>
      <c r="O434" s="30" t="s">
        <v>1494</v>
      </c>
      <c r="P434" s="30" t="s">
        <v>1111</v>
      </c>
      <c r="Q434" s="30" t="s">
        <v>585</v>
      </c>
      <c r="R434" s="30"/>
      <c r="S434" s="30" t="s">
        <v>1495</v>
      </c>
      <c r="T434" s="30"/>
      <c r="U434" s="30" t="s">
        <v>144</v>
      </c>
      <c r="V434" s="30" t="s">
        <v>437</v>
      </c>
      <c r="W434" s="30" t="s">
        <v>1113</v>
      </c>
      <c r="X434" s="30" t="s">
        <v>127</v>
      </c>
      <c r="Y434" s="30" t="s">
        <v>128</v>
      </c>
      <c r="Z434" s="30" t="s">
        <v>128</v>
      </c>
      <c r="AA434" s="30" t="s">
        <v>129</v>
      </c>
      <c r="AB434" s="30" t="s">
        <v>1114</v>
      </c>
      <c r="AC434" s="30" t="s">
        <v>1114</v>
      </c>
      <c r="AD434" s="30" t="s">
        <v>1115</v>
      </c>
      <c r="AE434" s="30"/>
      <c r="AF434" s="30" t="s">
        <v>131</v>
      </c>
      <c r="AG434" s="30" t="s">
        <v>774</v>
      </c>
      <c r="AH434" s="30" t="s">
        <v>1116</v>
      </c>
      <c r="AI434" s="30"/>
      <c r="AJ434" s="50">
        <v>43307</v>
      </c>
      <c r="AK434" s="50">
        <v>43307</v>
      </c>
      <c r="AL434" s="51">
        <f t="shared" si="276"/>
        <v>7.2712328767123289</v>
      </c>
      <c r="AM434" s="30">
        <v>8</v>
      </c>
      <c r="AN434" s="30" t="s">
        <v>1065</v>
      </c>
      <c r="AO434" s="30" t="s">
        <v>1050</v>
      </c>
      <c r="AP434" s="30" t="s">
        <v>1051</v>
      </c>
      <c r="AQ434" s="30">
        <v>5.28</v>
      </c>
      <c r="AR434" s="30">
        <v>1470</v>
      </c>
      <c r="AS434" s="30">
        <v>960</v>
      </c>
      <c r="AT434" s="30">
        <v>1675</v>
      </c>
      <c r="AU434" s="54">
        <v>7912000</v>
      </c>
      <c r="AV434" s="54"/>
      <c r="AW434" s="54"/>
      <c r="AX434" s="54"/>
      <c r="AY434" s="54">
        <v>7005421</v>
      </c>
      <c r="AZ434" s="54">
        <v>82417</v>
      </c>
      <c r="BA434" s="54">
        <v>659328</v>
      </c>
      <c r="BB434" s="55">
        <f>VLOOKUP(M434,[1]Sheet1!$E$6:$F$556,2,FALSE)</f>
        <v>26565</v>
      </c>
      <c r="BC434" s="74"/>
      <c r="BD434" s="74"/>
      <c r="BE434" s="128">
        <v>10.999902932647391</v>
      </c>
      <c r="BF434" s="30" t="s">
        <v>1134</v>
      </c>
      <c r="BG434" s="30" t="s">
        <v>1117</v>
      </c>
      <c r="BH434" s="30" t="s">
        <v>1054</v>
      </c>
      <c r="BI434" s="30" t="str">
        <f t="shared" si="262"/>
        <v>COF(Assy_FT)</v>
      </c>
      <c r="BJ434" s="47" t="s">
        <v>137</v>
      </c>
      <c r="BK434" s="56">
        <f t="shared" si="277"/>
        <v>692294.4</v>
      </c>
      <c r="BL434" s="57">
        <f t="shared" si="291"/>
        <v>65995.537534059345</v>
      </c>
      <c r="BM434" s="57">
        <f t="shared" si="292"/>
        <v>21998.512511353114</v>
      </c>
      <c r="BU434" s="58">
        <f t="shared" si="288"/>
        <v>65995.537534059345</v>
      </c>
      <c r="BV434" s="58">
        <f t="shared" si="284"/>
        <v>65995.537534059345</v>
      </c>
      <c r="BW434" s="58">
        <f t="shared" si="300"/>
        <v>131991.07506811869</v>
      </c>
      <c r="BX434" s="58">
        <f t="shared" si="293"/>
        <v>65995.537534059345</v>
      </c>
      <c r="BY434" s="58">
        <f t="shared" si="294"/>
        <v>65995.537534059345</v>
      </c>
      <c r="BZ434" s="58">
        <f t="shared" si="283"/>
        <v>65995.537534059345</v>
      </c>
      <c r="CA434" s="58">
        <f t="shared" si="294"/>
        <v>65995.537534059345</v>
      </c>
      <c r="CB434" s="58">
        <f t="shared" si="264"/>
        <v>263982.15013623738</v>
      </c>
      <c r="CC434" s="58">
        <f t="shared" si="265"/>
        <v>65995.537534059345</v>
      </c>
      <c r="CD434" s="58">
        <f t="shared" si="289"/>
        <v>65995.537534059345</v>
      </c>
      <c r="CE434" s="58">
        <f t="shared" si="289"/>
        <v>65995.537534059345</v>
      </c>
      <c r="CF434" s="58">
        <f t="shared" si="289"/>
        <v>65995.537534059345</v>
      </c>
      <c r="CG434" s="58">
        <f t="shared" si="266"/>
        <v>263982.15013623738</v>
      </c>
      <c r="CH434" s="58">
        <f t="shared" si="295"/>
        <v>65995.537534059345</v>
      </c>
      <c r="CI434" s="58">
        <f t="shared" si="296"/>
        <v>65995.537534059345</v>
      </c>
      <c r="CJ434" s="58">
        <f t="shared" si="296"/>
        <v>65995.537534059345</v>
      </c>
      <c r="CK434" s="58">
        <f t="shared" si="296"/>
        <v>65995.537534059345</v>
      </c>
      <c r="CL434" s="58">
        <f t="shared" si="297"/>
        <v>263982.15013623738</v>
      </c>
      <c r="CN434" s="59">
        <f t="shared" si="298"/>
        <v>6.7598228623328533E-5</v>
      </c>
      <c r="CO434" s="64">
        <f t="shared" si="299"/>
        <v>1419562.8010898991</v>
      </c>
      <c r="CP434" s="2">
        <f t="shared" si="263"/>
        <v>2111857.2010898991</v>
      </c>
    </row>
    <row r="435" spans="1:94" hidden="1" x14ac:dyDescent="0.3">
      <c r="A435" s="29">
        <v>430</v>
      </c>
      <c r="B435" s="30" t="s">
        <v>21</v>
      </c>
      <c r="C435" s="30"/>
      <c r="D435" s="30" t="s">
        <v>1041</v>
      </c>
      <c r="E435" s="30" t="s">
        <v>1042</v>
      </c>
      <c r="F435" s="30" t="s">
        <v>1043</v>
      </c>
      <c r="G435" s="30" t="s">
        <v>117</v>
      </c>
      <c r="H435" s="30" t="s">
        <v>1058</v>
      </c>
      <c r="I435" s="30" t="s">
        <v>119</v>
      </c>
      <c r="J435" s="30" t="s">
        <v>1044</v>
      </c>
      <c r="K435" s="30" t="s">
        <v>1044</v>
      </c>
      <c r="L435" s="30" t="s">
        <v>1109</v>
      </c>
      <c r="M435" s="30">
        <v>1005542</v>
      </c>
      <c r="N435" s="30" t="s">
        <v>138</v>
      </c>
      <c r="O435" s="30" t="s">
        <v>1496</v>
      </c>
      <c r="P435" s="30" t="s">
        <v>1111</v>
      </c>
      <c r="Q435" s="30" t="s">
        <v>585</v>
      </c>
      <c r="R435" s="30"/>
      <c r="S435" s="30" t="s">
        <v>1497</v>
      </c>
      <c r="T435" s="30"/>
      <c r="U435" s="30" t="s">
        <v>144</v>
      </c>
      <c r="V435" s="30" t="s">
        <v>437</v>
      </c>
      <c r="W435" s="30" t="s">
        <v>1113</v>
      </c>
      <c r="X435" s="30"/>
      <c r="Y435" s="30" t="s">
        <v>128</v>
      </c>
      <c r="Z435" s="30" t="s">
        <v>128</v>
      </c>
      <c r="AA435" s="30" t="s">
        <v>129</v>
      </c>
      <c r="AB435" s="30" t="s">
        <v>1114</v>
      </c>
      <c r="AC435" s="30" t="s">
        <v>1114</v>
      </c>
      <c r="AD435" s="30" t="s">
        <v>1115</v>
      </c>
      <c r="AE435" s="30"/>
      <c r="AF435" s="30" t="s">
        <v>131</v>
      </c>
      <c r="AG435" s="30" t="s">
        <v>774</v>
      </c>
      <c r="AH435" s="30" t="s">
        <v>1116</v>
      </c>
      <c r="AI435" s="30"/>
      <c r="AJ435" s="50">
        <v>43307</v>
      </c>
      <c r="AK435" s="50">
        <v>43307</v>
      </c>
      <c r="AL435" s="51">
        <f t="shared" si="276"/>
        <v>7.2712328767123289</v>
      </c>
      <c r="AM435" s="30">
        <v>8</v>
      </c>
      <c r="AN435" s="30" t="s">
        <v>1065</v>
      </c>
      <c r="AO435" s="30" t="s">
        <v>1050</v>
      </c>
      <c r="AP435" s="30" t="s">
        <v>1051</v>
      </c>
      <c r="AQ435" s="30">
        <v>5.28</v>
      </c>
      <c r="AR435" s="30">
        <v>1470</v>
      </c>
      <c r="AS435" s="30">
        <v>960</v>
      </c>
      <c r="AT435" s="30">
        <v>1675</v>
      </c>
      <c r="AU435" s="74">
        <v>7912000</v>
      </c>
      <c r="AV435" s="54"/>
      <c r="AW435" s="54"/>
      <c r="AX435" s="54"/>
      <c r="AY435" s="54">
        <v>7005421</v>
      </c>
      <c r="AZ435" s="54">
        <v>82417</v>
      </c>
      <c r="BA435" s="74">
        <v>659328</v>
      </c>
      <c r="BB435" s="55">
        <f>VLOOKUP(M435,[1]Sheet1!$E$6:$F$556,2,FALSE)</f>
        <v>26565</v>
      </c>
      <c r="BC435" s="74"/>
      <c r="BD435" s="74"/>
      <c r="BE435" s="128">
        <v>10.999902932647391</v>
      </c>
      <c r="BF435" s="30" t="s">
        <v>1134</v>
      </c>
      <c r="BG435" s="30" t="s">
        <v>1117</v>
      </c>
      <c r="BH435" s="30" t="s">
        <v>1054</v>
      </c>
      <c r="BI435" s="30" t="str">
        <f t="shared" si="262"/>
        <v>COF(Assy_FT)</v>
      </c>
      <c r="BJ435" s="30" t="s">
        <v>250</v>
      </c>
      <c r="BK435" s="56">
        <f t="shared" si="277"/>
        <v>692294.4</v>
      </c>
      <c r="BL435" s="57">
        <f t="shared" si="291"/>
        <v>21634.2</v>
      </c>
      <c r="BM435" s="57">
        <f t="shared" si="292"/>
        <v>7211.4000000000005</v>
      </c>
      <c r="BU435" s="58">
        <f t="shared" si="288"/>
        <v>21634.2</v>
      </c>
      <c r="BV435" s="58">
        <f t="shared" si="284"/>
        <v>21634.2</v>
      </c>
      <c r="BW435" s="58">
        <f t="shared" si="300"/>
        <v>43268.4</v>
      </c>
      <c r="BX435" s="58">
        <f t="shared" si="293"/>
        <v>21634.2</v>
      </c>
      <c r="BY435" s="58">
        <f t="shared" si="294"/>
        <v>21634.2</v>
      </c>
      <c r="BZ435" s="58">
        <f t="shared" si="283"/>
        <v>21634.2</v>
      </c>
      <c r="CA435" s="58">
        <f t="shared" si="294"/>
        <v>21634.2</v>
      </c>
      <c r="CB435" s="58">
        <f t="shared" si="264"/>
        <v>86536.8</v>
      </c>
      <c r="CC435" s="58">
        <f t="shared" si="265"/>
        <v>21634.2</v>
      </c>
      <c r="CD435" s="58">
        <f t="shared" si="289"/>
        <v>21634.2</v>
      </c>
      <c r="CE435" s="58">
        <f t="shared" si="289"/>
        <v>21634.2</v>
      </c>
      <c r="CF435" s="58">
        <f t="shared" si="289"/>
        <v>21634.2</v>
      </c>
      <c r="CG435" s="58">
        <f t="shared" si="266"/>
        <v>86536.8</v>
      </c>
      <c r="CH435" s="58">
        <f t="shared" si="295"/>
        <v>21634.2</v>
      </c>
      <c r="CI435" s="58">
        <f t="shared" si="296"/>
        <v>21634.2</v>
      </c>
      <c r="CJ435" s="58">
        <f t="shared" si="296"/>
        <v>21634.2</v>
      </c>
      <c r="CK435" s="58">
        <f t="shared" si="296"/>
        <v>21634.2</v>
      </c>
      <c r="CL435" s="58">
        <f t="shared" si="297"/>
        <v>86536.8</v>
      </c>
      <c r="CP435" s="2">
        <f t="shared" si="263"/>
        <v>692294.4</v>
      </c>
    </row>
    <row r="436" spans="1:94" hidden="1" x14ac:dyDescent="0.3">
      <c r="A436" s="29">
        <v>431</v>
      </c>
      <c r="B436" s="30" t="s">
        <v>21</v>
      </c>
      <c r="C436" s="30"/>
      <c r="D436" s="30" t="s">
        <v>1041</v>
      </c>
      <c r="E436" s="30" t="s">
        <v>1042</v>
      </c>
      <c r="F436" s="30" t="s">
        <v>1043</v>
      </c>
      <c r="G436" s="30" t="s">
        <v>117</v>
      </c>
      <c r="H436" s="30" t="s">
        <v>1058</v>
      </c>
      <c r="I436" s="30" t="s">
        <v>119</v>
      </c>
      <c r="J436" s="30" t="s">
        <v>1044</v>
      </c>
      <c r="K436" s="30" t="s">
        <v>1044</v>
      </c>
      <c r="L436" s="30" t="s">
        <v>1109</v>
      </c>
      <c r="M436" s="30">
        <v>1005543</v>
      </c>
      <c r="N436" s="30" t="s">
        <v>138</v>
      </c>
      <c r="O436" s="30" t="s">
        <v>1498</v>
      </c>
      <c r="P436" s="30" t="s">
        <v>1111</v>
      </c>
      <c r="Q436" s="30" t="s">
        <v>585</v>
      </c>
      <c r="R436" s="30"/>
      <c r="S436" s="30" t="s">
        <v>1499</v>
      </c>
      <c r="T436" s="30"/>
      <c r="U436" s="30" t="s">
        <v>144</v>
      </c>
      <c r="V436" s="30" t="s">
        <v>437</v>
      </c>
      <c r="W436" s="30" t="s">
        <v>1113</v>
      </c>
      <c r="X436" s="30"/>
      <c r="Y436" s="30" t="s">
        <v>128</v>
      </c>
      <c r="Z436" s="30" t="s">
        <v>128</v>
      </c>
      <c r="AA436" s="30" t="s">
        <v>129</v>
      </c>
      <c r="AB436" s="30" t="s">
        <v>1114</v>
      </c>
      <c r="AC436" s="30" t="s">
        <v>1114</v>
      </c>
      <c r="AD436" s="30" t="s">
        <v>1115</v>
      </c>
      <c r="AE436" s="30"/>
      <c r="AF436" s="30" t="s">
        <v>131</v>
      </c>
      <c r="AG436" s="30" t="s">
        <v>774</v>
      </c>
      <c r="AH436" s="30" t="s">
        <v>1116</v>
      </c>
      <c r="AI436" s="30"/>
      <c r="AJ436" s="50">
        <v>43307</v>
      </c>
      <c r="AK436" s="50">
        <v>43307</v>
      </c>
      <c r="AL436" s="51">
        <f t="shared" si="276"/>
        <v>7.2712328767123289</v>
      </c>
      <c r="AM436" s="30">
        <v>8</v>
      </c>
      <c r="AN436" s="30" t="s">
        <v>1065</v>
      </c>
      <c r="AO436" s="30" t="s">
        <v>1050</v>
      </c>
      <c r="AP436" s="30" t="s">
        <v>1051</v>
      </c>
      <c r="AQ436" s="30">
        <v>5.28</v>
      </c>
      <c r="AR436" s="30">
        <v>1470</v>
      </c>
      <c r="AS436" s="30">
        <v>960</v>
      </c>
      <c r="AT436" s="30">
        <v>1675</v>
      </c>
      <c r="AU436" s="74">
        <v>7912000</v>
      </c>
      <c r="AV436" s="54"/>
      <c r="AW436" s="54"/>
      <c r="AX436" s="54"/>
      <c r="AY436" s="54">
        <v>7005421</v>
      </c>
      <c r="AZ436" s="54">
        <v>82417</v>
      </c>
      <c r="BA436" s="74">
        <v>659328</v>
      </c>
      <c r="BB436" s="55">
        <f>VLOOKUP(M436,[1]Sheet1!$E$6:$F$556,2,FALSE)</f>
        <v>26565</v>
      </c>
      <c r="BC436" s="74"/>
      <c r="BD436" s="74"/>
      <c r="BE436" s="128">
        <v>10.999902932647391</v>
      </c>
      <c r="BF436" s="30" t="s">
        <v>1134</v>
      </c>
      <c r="BG436" s="30" t="s">
        <v>1117</v>
      </c>
      <c r="BH436" s="30" t="s">
        <v>1054</v>
      </c>
      <c r="BI436" s="30" t="str">
        <f t="shared" si="262"/>
        <v>COF(Assy_FT)</v>
      </c>
      <c r="BJ436" s="30" t="s">
        <v>250</v>
      </c>
      <c r="BK436" s="56">
        <f t="shared" si="277"/>
        <v>692294.4</v>
      </c>
      <c r="BL436" s="57">
        <f t="shared" si="291"/>
        <v>21634.2</v>
      </c>
      <c r="BM436" s="57">
        <f t="shared" si="292"/>
        <v>7211.4000000000005</v>
      </c>
      <c r="BU436" s="58">
        <f t="shared" si="288"/>
        <v>21634.2</v>
      </c>
      <c r="BV436" s="58">
        <f t="shared" si="284"/>
        <v>21634.2</v>
      </c>
      <c r="BW436" s="58">
        <f t="shared" si="300"/>
        <v>43268.4</v>
      </c>
      <c r="BX436" s="58">
        <f t="shared" si="293"/>
        <v>21634.2</v>
      </c>
      <c r="BY436" s="58">
        <f t="shared" si="294"/>
        <v>21634.2</v>
      </c>
      <c r="BZ436" s="58">
        <f t="shared" si="283"/>
        <v>21634.2</v>
      </c>
      <c r="CA436" s="58">
        <f t="shared" si="294"/>
        <v>21634.2</v>
      </c>
      <c r="CB436" s="58">
        <f t="shared" si="264"/>
        <v>86536.8</v>
      </c>
      <c r="CC436" s="58">
        <f t="shared" si="265"/>
        <v>21634.2</v>
      </c>
      <c r="CD436" s="58">
        <f t="shared" si="289"/>
        <v>21634.2</v>
      </c>
      <c r="CE436" s="58">
        <f t="shared" si="289"/>
        <v>21634.2</v>
      </c>
      <c r="CF436" s="58">
        <f t="shared" si="289"/>
        <v>21634.2</v>
      </c>
      <c r="CG436" s="58">
        <f t="shared" si="266"/>
        <v>86536.8</v>
      </c>
      <c r="CH436" s="58">
        <f t="shared" si="295"/>
        <v>21634.2</v>
      </c>
      <c r="CI436" s="58">
        <f t="shared" si="296"/>
        <v>21634.2</v>
      </c>
      <c r="CJ436" s="58">
        <f t="shared" si="296"/>
        <v>21634.2</v>
      </c>
      <c r="CK436" s="58">
        <f t="shared" si="296"/>
        <v>21634.2</v>
      </c>
      <c r="CL436" s="58">
        <f t="shared" si="297"/>
        <v>86536.8</v>
      </c>
      <c r="CP436" s="2">
        <f t="shared" si="263"/>
        <v>692294.4</v>
      </c>
    </row>
    <row r="437" spans="1:94" hidden="1" x14ac:dyDescent="0.3">
      <c r="A437" s="29">
        <v>432</v>
      </c>
      <c r="B437" s="30" t="s">
        <v>21</v>
      </c>
      <c r="C437" s="30"/>
      <c r="D437" s="30" t="s">
        <v>1041</v>
      </c>
      <c r="E437" s="30" t="s">
        <v>1042</v>
      </c>
      <c r="F437" s="30" t="s">
        <v>1043</v>
      </c>
      <c r="G437" s="30" t="s">
        <v>117</v>
      </c>
      <c r="H437" s="30" t="s">
        <v>1058</v>
      </c>
      <c r="I437" s="30" t="s">
        <v>119</v>
      </c>
      <c r="J437" s="30" t="s">
        <v>1044</v>
      </c>
      <c r="K437" s="30" t="s">
        <v>1044</v>
      </c>
      <c r="L437" s="30" t="s">
        <v>1109</v>
      </c>
      <c r="M437" s="30">
        <v>1005544</v>
      </c>
      <c r="N437" s="30" t="s">
        <v>138</v>
      </c>
      <c r="O437" s="30" t="s">
        <v>1500</v>
      </c>
      <c r="P437" s="30" t="s">
        <v>1111</v>
      </c>
      <c r="Q437" s="30" t="s">
        <v>585</v>
      </c>
      <c r="R437" s="30"/>
      <c r="S437" s="30" t="s">
        <v>1501</v>
      </c>
      <c r="T437" s="30"/>
      <c r="U437" s="30" t="s">
        <v>144</v>
      </c>
      <c r="V437" s="30" t="s">
        <v>437</v>
      </c>
      <c r="W437" s="30" t="s">
        <v>1113</v>
      </c>
      <c r="X437" s="30"/>
      <c r="Y437" s="30" t="s">
        <v>128</v>
      </c>
      <c r="Z437" s="30" t="s">
        <v>128</v>
      </c>
      <c r="AA437" s="30" t="s">
        <v>129</v>
      </c>
      <c r="AB437" s="30" t="s">
        <v>1114</v>
      </c>
      <c r="AC437" s="30" t="s">
        <v>1114</v>
      </c>
      <c r="AD437" s="30" t="s">
        <v>1115</v>
      </c>
      <c r="AE437" s="30"/>
      <c r="AF437" s="30" t="s">
        <v>131</v>
      </c>
      <c r="AG437" s="30" t="s">
        <v>774</v>
      </c>
      <c r="AH437" s="30" t="s">
        <v>1116</v>
      </c>
      <c r="AI437" s="30"/>
      <c r="AJ437" s="50">
        <v>43307</v>
      </c>
      <c r="AK437" s="50">
        <v>43307</v>
      </c>
      <c r="AL437" s="51">
        <f t="shared" si="276"/>
        <v>7.2712328767123289</v>
      </c>
      <c r="AM437" s="30">
        <v>8</v>
      </c>
      <c r="AN437" s="30" t="s">
        <v>1065</v>
      </c>
      <c r="AO437" s="30" t="s">
        <v>1050</v>
      </c>
      <c r="AP437" s="30" t="s">
        <v>1051</v>
      </c>
      <c r="AQ437" s="30">
        <v>5.28</v>
      </c>
      <c r="AR437" s="30">
        <v>1470</v>
      </c>
      <c r="AS437" s="30">
        <v>960</v>
      </c>
      <c r="AT437" s="30">
        <v>1675</v>
      </c>
      <c r="AU437" s="74">
        <v>7912000</v>
      </c>
      <c r="AV437" s="54"/>
      <c r="AW437" s="54"/>
      <c r="AX437" s="54"/>
      <c r="AY437" s="54">
        <v>7005421</v>
      </c>
      <c r="AZ437" s="54">
        <v>82417</v>
      </c>
      <c r="BA437" s="74">
        <v>659328</v>
      </c>
      <c r="BB437" s="55">
        <f>VLOOKUP(M437,[1]Sheet1!$E$6:$F$556,2,FALSE)</f>
        <v>26565</v>
      </c>
      <c r="BC437" s="74"/>
      <c r="BD437" s="74"/>
      <c r="BE437" s="128">
        <v>10.999902932647391</v>
      </c>
      <c r="BF437" s="30" t="s">
        <v>1134</v>
      </c>
      <c r="BG437" s="30" t="s">
        <v>1117</v>
      </c>
      <c r="BH437" s="30" t="s">
        <v>1054</v>
      </c>
      <c r="BI437" s="30" t="str">
        <f t="shared" si="262"/>
        <v>COF(Assy_FT)</v>
      </c>
      <c r="BJ437" s="30" t="s">
        <v>250</v>
      </c>
      <c r="BK437" s="56">
        <f t="shared" si="277"/>
        <v>692294.4</v>
      </c>
      <c r="BL437" s="57">
        <f t="shared" si="291"/>
        <v>21634.2</v>
      </c>
      <c r="BM437" s="57">
        <f t="shared" si="292"/>
        <v>7211.4000000000005</v>
      </c>
      <c r="BU437" s="58">
        <f t="shared" si="288"/>
        <v>21634.2</v>
      </c>
      <c r="BV437" s="58">
        <f t="shared" si="284"/>
        <v>21634.2</v>
      </c>
      <c r="BW437" s="58">
        <f t="shared" si="300"/>
        <v>43268.4</v>
      </c>
      <c r="BX437" s="58">
        <f t="shared" si="293"/>
        <v>21634.2</v>
      </c>
      <c r="BY437" s="58">
        <f t="shared" si="294"/>
        <v>21634.2</v>
      </c>
      <c r="BZ437" s="58">
        <f t="shared" si="283"/>
        <v>21634.2</v>
      </c>
      <c r="CA437" s="58">
        <f t="shared" si="294"/>
        <v>21634.2</v>
      </c>
      <c r="CB437" s="58">
        <f t="shared" si="264"/>
        <v>86536.8</v>
      </c>
      <c r="CC437" s="58">
        <f t="shared" si="265"/>
        <v>21634.2</v>
      </c>
      <c r="CD437" s="58">
        <f t="shared" si="289"/>
        <v>21634.2</v>
      </c>
      <c r="CE437" s="58">
        <f t="shared" si="289"/>
        <v>21634.2</v>
      </c>
      <c r="CF437" s="58">
        <f t="shared" si="289"/>
        <v>21634.2</v>
      </c>
      <c r="CG437" s="58">
        <f t="shared" si="266"/>
        <v>86536.8</v>
      </c>
      <c r="CH437" s="58">
        <f t="shared" si="295"/>
        <v>21634.2</v>
      </c>
      <c r="CI437" s="58">
        <f t="shared" si="296"/>
        <v>21634.2</v>
      </c>
      <c r="CJ437" s="58">
        <f t="shared" si="296"/>
        <v>21634.2</v>
      </c>
      <c r="CK437" s="58">
        <f t="shared" si="296"/>
        <v>21634.2</v>
      </c>
      <c r="CL437" s="58">
        <f t="shared" si="297"/>
        <v>86536.8</v>
      </c>
      <c r="CP437" s="2">
        <f t="shared" si="263"/>
        <v>692294.4</v>
      </c>
    </row>
    <row r="438" spans="1:94" hidden="1" x14ac:dyDescent="0.3">
      <c r="A438" s="29">
        <v>433</v>
      </c>
      <c r="B438" s="30" t="s">
        <v>21</v>
      </c>
      <c r="C438" s="30"/>
      <c r="D438" s="30" t="s">
        <v>1041</v>
      </c>
      <c r="E438" s="30" t="s">
        <v>1042</v>
      </c>
      <c r="F438" s="30" t="s">
        <v>1043</v>
      </c>
      <c r="G438" s="30" t="s">
        <v>117</v>
      </c>
      <c r="H438" s="30" t="s">
        <v>1058</v>
      </c>
      <c r="I438" s="30" t="s">
        <v>119</v>
      </c>
      <c r="J438" s="30" t="s">
        <v>1044</v>
      </c>
      <c r="K438" s="30" t="s">
        <v>1044</v>
      </c>
      <c r="L438" s="30" t="s">
        <v>1130</v>
      </c>
      <c r="M438" s="30">
        <v>1005556</v>
      </c>
      <c r="N438" s="30" t="s">
        <v>138</v>
      </c>
      <c r="O438" s="30" t="s">
        <v>1502</v>
      </c>
      <c r="P438" s="30" t="s">
        <v>1179</v>
      </c>
      <c r="Q438" s="30" t="s">
        <v>1180</v>
      </c>
      <c r="R438" s="30" t="s">
        <v>1463</v>
      </c>
      <c r="S438" s="30" t="s">
        <v>1503</v>
      </c>
      <c r="T438" s="30" t="s">
        <v>1183</v>
      </c>
      <c r="U438" s="30" t="s">
        <v>144</v>
      </c>
      <c r="V438" s="30" t="s">
        <v>600</v>
      </c>
      <c r="W438" s="30" t="s">
        <v>1184</v>
      </c>
      <c r="X438" s="30"/>
      <c r="Y438" s="30" t="s">
        <v>128</v>
      </c>
      <c r="Z438" s="30" t="s">
        <v>128</v>
      </c>
      <c r="AA438" s="30" t="s">
        <v>148</v>
      </c>
      <c r="AB438" s="30" t="s">
        <v>1185</v>
      </c>
      <c r="AC438" s="30" t="s">
        <v>1185</v>
      </c>
      <c r="AD438" s="30"/>
      <c r="AE438" s="30"/>
      <c r="AF438" s="30" t="s">
        <v>593</v>
      </c>
      <c r="AG438" s="30" t="s">
        <v>774</v>
      </c>
      <c r="AH438" s="30" t="s">
        <v>1186</v>
      </c>
      <c r="AI438" s="30"/>
      <c r="AJ438" s="50">
        <v>43314</v>
      </c>
      <c r="AK438" s="50">
        <v>43314</v>
      </c>
      <c r="AL438" s="51">
        <f t="shared" si="276"/>
        <v>7.2520547945205482</v>
      </c>
      <c r="AM438" s="30">
        <v>8</v>
      </c>
      <c r="AN438" s="30" t="s">
        <v>1065</v>
      </c>
      <c r="AO438" s="30" t="s">
        <v>1050</v>
      </c>
      <c r="AP438" s="30" t="s">
        <v>1187</v>
      </c>
      <c r="AQ438" s="30">
        <v>3.6</v>
      </c>
      <c r="AR438" s="30">
        <v>2820</v>
      </c>
      <c r="AS438" s="30">
        <v>1154</v>
      </c>
      <c r="AT438" s="30">
        <v>2020</v>
      </c>
      <c r="AU438" s="74">
        <v>435413760</v>
      </c>
      <c r="AV438" s="54"/>
      <c r="AW438" s="54"/>
      <c r="AX438" s="54"/>
      <c r="AY438" s="54">
        <v>369007878</v>
      </c>
      <c r="AZ438" s="54">
        <v>4535560</v>
      </c>
      <c r="BA438" s="74">
        <v>52799202</v>
      </c>
      <c r="BB438" s="55">
        <f>VLOOKUP(M438,[1]Sheet1!$E$6:$F$556,2,FALSE)</f>
        <v>2634661</v>
      </c>
      <c r="BC438" s="74"/>
      <c r="BD438" s="74"/>
      <c r="BE438" s="128">
        <v>14.641164927814867</v>
      </c>
      <c r="BF438" s="30" t="s">
        <v>1134</v>
      </c>
      <c r="BG438" s="30" t="s">
        <v>1074</v>
      </c>
      <c r="BH438" s="30" t="s">
        <v>1054</v>
      </c>
      <c r="BI438" s="30" t="str">
        <f t="shared" si="262"/>
        <v>COF(Assy_FT)</v>
      </c>
      <c r="BJ438" s="30" t="s">
        <v>250</v>
      </c>
      <c r="BK438" s="56">
        <f t="shared" si="277"/>
        <v>55439162.100000001</v>
      </c>
      <c r="BL438" s="57">
        <f t="shared" si="291"/>
        <v>1732473.815625</v>
      </c>
      <c r="BM438" s="57">
        <f t="shared" si="292"/>
        <v>577491.27187499998</v>
      </c>
      <c r="BU438" s="58">
        <f t="shared" si="288"/>
        <v>1732473.8156249998</v>
      </c>
      <c r="BV438" s="58">
        <f t="shared" si="284"/>
        <v>1732473.8156249998</v>
      </c>
      <c r="BW438" s="58">
        <f t="shared" si="300"/>
        <v>3464947.6312499996</v>
      </c>
      <c r="BX438" s="58">
        <f t="shared" si="293"/>
        <v>1732473.8156249998</v>
      </c>
      <c r="BY438" s="58">
        <f t="shared" si="294"/>
        <v>1732473.8156249998</v>
      </c>
      <c r="BZ438" s="58">
        <f t="shared" si="283"/>
        <v>1732473.8156249998</v>
      </c>
      <c r="CA438" s="58">
        <f t="shared" si="294"/>
        <v>1732473.8156249998</v>
      </c>
      <c r="CB438" s="58">
        <f t="shared" si="264"/>
        <v>6929895.2624999993</v>
      </c>
      <c r="CC438" s="58">
        <f t="shared" si="265"/>
        <v>1732473.8156249998</v>
      </c>
      <c r="CD438" s="58">
        <f t="shared" si="289"/>
        <v>1732473.8156249998</v>
      </c>
      <c r="CE438" s="58">
        <f t="shared" si="289"/>
        <v>1732473.8156249998</v>
      </c>
      <c r="CF438" s="58">
        <f t="shared" si="289"/>
        <v>1732473.8156249998</v>
      </c>
      <c r="CG438" s="58">
        <f t="shared" si="266"/>
        <v>6929895.2624999993</v>
      </c>
      <c r="CH438" s="58">
        <f t="shared" si="295"/>
        <v>1732473.8156249998</v>
      </c>
      <c r="CI438" s="58">
        <f t="shared" si="296"/>
        <v>1732473.8156249998</v>
      </c>
      <c r="CJ438" s="58">
        <f t="shared" si="296"/>
        <v>1732473.8156249998</v>
      </c>
      <c r="CK438" s="58">
        <f t="shared" si="296"/>
        <v>1732473.8156249998</v>
      </c>
      <c r="CL438" s="58">
        <f t="shared" si="297"/>
        <v>6929895.2624999993</v>
      </c>
      <c r="CP438" s="2">
        <f t="shared" si="263"/>
        <v>55439162.100000001</v>
      </c>
    </row>
    <row r="439" spans="1:94" hidden="1" x14ac:dyDescent="0.3">
      <c r="A439" s="29">
        <v>434</v>
      </c>
      <c r="B439" s="30" t="s">
        <v>21</v>
      </c>
      <c r="C439" s="30"/>
      <c r="D439" s="30" t="s">
        <v>1041</v>
      </c>
      <c r="E439" s="30" t="s">
        <v>1042</v>
      </c>
      <c r="F439" s="30" t="s">
        <v>1043</v>
      </c>
      <c r="G439" s="30" t="s">
        <v>117</v>
      </c>
      <c r="H439" s="30" t="s">
        <v>1058</v>
      </c>
      <c r="I439" s="30" t="s">
        <v>119</v>
      </c>
      <c r="J439" s="30" t="s">
        <v>1044</v>
      </c>
      <c r="K439" s="30" t="s">
        <v>1044</v>
      </c>
      <c r="L439" s="30" t="s">
        <v>1130</v>
      </c>
      <c r="M439" s="30">
        <v>1005555</v>
      </c>
      <c r="N439" s="30" t="s">
        <v>138</v>
      </c>
      <c r="O439" s="30" t="s">
        <v>1504</v>
      </c>
      <c r="P439" s="30" t="s">
        <v>1179</v>
      </c>
      <c r="Q439" s="30" t="s">
        <v>1180</v>
      </c>
      <c r="R439" s="30" t="s">
        <v>1463</v>
      </c>
      <c r="S439" s="30" t="s">
        <v>1505</v>
      </c>
      <c r="T439" s="30" t="s">
        <v>1183</v>
      </c>
      <c r="U439" s="30" t="s">
        <v>144</v>
      </c>
      <c r="V439" s="30" t="s">
        <v>600</v>
      </c>
      <c r="W439" s="30" t="s">
        <v>1184</v>
      </c>
      <c r="X439" s="30"/>
      <c r="Y439" s="30" t="s">
        <v>128</v>
      </c>
      <c r="Z439" s="30" t="s">
        <v>128</v>
      </c>
      <c r="AA439" s="30" t="s">
        <v>148</v>
      </c>
      <c r="AB439" s="30" t="s">
        <v>1185</v>
      </c>
      <c r="AC439" s="30" t="s">
        <v>1185</v>
      </c>
      <c r="AD439" s="30"/>
      <c r="AE439" s="30"/>
      <c r="AF439" s="30" t="s">
        <v>593</v>
      </c>
      <c r="AG439" s="30" t="s">
        <v>774</v>
      </c>
      <c r="AH439" s="30" t="s">
        <v>1186</v>
      </c>
      <c r="AI439" s="30"/>
      <c r="AJ439" s="50">
        <v>43314</v>
      </c>
      <c r="AK439" s="50">
        <v>43314</v>
      </c>
      <c r="AL439" s="51">
        <f t="shared" si="276"/>
        <v>7.2520547945205482</v>
      </c>
      <c r="AM439" s="30">
        <v>8</v>
      </c>
      <c r="AN439" s="30" t="s">
        <v>1065</v>
      </c>
      <c r="AO439" s="30" t="s">
        <v>1050</v>
      </c>
      <c r="AP439" s="30" t="s">
        <v>1187</v>
      </c>
      <c r="AQ439" s="30">
        <v>3.6</v>
      </c>
      <c r="AR439" s="30">
        <v>2820</v>
      </c>
      <c r="AS439" s="30">
        <v>1154</v>
      </c>
      <c r="AT439" s="30">
        <v>2020</v>
      </c>
      <c r="AU439" s="74">
        <v>435413759</v>
      </c>
      <c r="AV439" s="54"/>
      <c r="AW439" s="54"/>
      <c r="AX439" s="54"/>
      <c r="AY439" s="54">
        <v>369007873</v>
      </c>
      <c r="AZ439" s="54">
        <v>4535560</v>
      </c>
      <c r="BA439" s="74">
        <v>52799206</v>
      </c>
      <c r="BB439" s="55">
        <f>VLOOKUP(M439,[1]Sheet1!$E$6:$F$556,2,FALSE)</f>
        <v>2634661</v>
      </c>
      <c r="BC439" s="74"/>
      <c r="BD439" s="74"/>
      <c r="BE439" s="128">
        <v>14.64116580973463</v>
      </c>
      <c r="BF439" s="30" t="s">
        <v>1134</v>
      </c>
      <c r="BG439" s="30" t="s">
        <v>1074</v>
      </c>
      <c r="BH439" s="30" t="s">
        <v>1054</v>
      </c>
      <c r="BI439" s="30" t="str">
        <f t="shared" si="262"/>
        <v>COF(Assy_FT)</v>
      </c>
      <c r="BJ439" s="30" t="s">
        <v>250</v>
      </c>
      <c r="BK439" s="56">
        <f t="shared" si="277"/>
        <v>55439166.300000004</v>
      </c>
      <c r="BL439" s="57">
        <f t="shared" si="291"/>
        <v>1732473.9468750001</v>
      </c>
      <c r="BM439" s="57">
        <f t="shared" si="292"/>
        <v>577491.31562500005</v>
      </c>
      <c r="BU439" s="58">
        <f t="shared" si="288"/>
        <v>1732473.9468750001</v>
      </c>
      <c r="BV439" s="58">
        <f t="shared" si="284"/>
        <v>1732473.9468750001</v>
      </c>
      <c r="BW439" s="58">
        <f t="shared" si="300"/>
        <v>3464947.8937500003</v>
      </c>
      <c r="BX439" s="58">
        <f t="shared" si="293"/>
        <v>1732473.9468750001</v>
      </c>
      <c r="BY439" s="58">
        <f t="shared" si="294"/>
        <v>1732473.9468750001</v>
      </c>
      <c r="BZ439" s="58">
        <f t="shared" si="283"/>
        <v>1732473.9468750001</v>
      </c>
      <c r="CA439" s="58">
        <f t="shared" si="294"/>
        <v>1732473.9468750001</v>
      </c>
      <c r="CB439" s="58">
        <f t="shared" si="264"/>
        <v>6929895.7875000006</v>
      </c>
      <c r="CC439" s="58">
        <f t="shared" si="265"/>
        <v>1732473.9468750001</v>
      </c>
      <c r="CD439" s="58">
        <f t="shared" si="289"/>
        <v>1732473.9468750001</v>
      </c>
      <c r="CE439" s="58">
        <f t="shared" si="289"/>
        <v>1732473.9468750001</v>
      </c>
      <c r="CF439" s="58">
        <f t="shared" si="289"/>
        <v>1732473.9468750001</v>
      </c>
      <c r="CG439" s="58">
        <f t="shared" si="266"/>
        <v>6929895.7875000006</v>
      </c>
      <c r="CH439" s="58">
        <f t="shared" si="295"/>
        <v>1732473.9468750001</v>
      </c>
      <c r="CI439" s="58">
        <f t="shared" si="296"/>
        <v>1732473.9468750001</v>
      </c>
      <c r="CJ439" s="58">
        <f t="shared" si="296"/>
        <v>1732473.9468750001</v>
      </c>
      <c r="CK439" s="58">
        <f t="shared" si="296"/>
        <v>1732473.9468750001</v>
      </c>
      <c r="CL439" s="58">
        <f t="shared" si="297"/>
        <v>6929895.7875000006</v>
      </c>
      <c r="CP439" s="2">
        <f t="shared" si="263"/>
        <v>55439166.300000004</v>
      </c>
    </row>
    <row r="440" spans="1:94" hidden="1" x14ac:dyDescent="0.3">
      <c r="A440" s="29">
        <v>435</v>
      </c>
      <c r="B440" s="30" t="s">
        <v>21</v>
      </c>
      <c r="C440" s="30"/>
      <c r="D440" s="30" t="s">
        <v>1041</v>
      </c>
      <c r="E440" s="30" t="s">
        <v>1042</v>
      </c>
      <c r="F440" s="30" t="s">
        <v>1043</v>
      </c>
      <c r="G440" s="30" t="s">
        <v>117</v>
      </c>
      <c r="H440" s="30" t="s">
        <v>1058</v>
      </c>
      <c r="I440" s="30" t="s">
        <v>119</v>
      </c>
      <c r="J440" s="30" t="s">
        <v>1044</v>
      </c>
      <c r="K440" s="30" t="s">
        <v>1044</v>
      </c>
      <c r="L440" s="30" t="s">
        <v>1120</v>
      </c>
      <c r="M440" s="30">
        <v>1005598</v>
      </c>
      <c r="N440" s="30" t="s">
        <v>138</v>
      </c>
      <c r="O440" s="30" t="s">
        <v>1506</v>
      </c>
      <c r="P440" s="30" t="s">
        <v>1410</v>
      </c>
      <c r="Q440" s="30" t="s">
        <v>1411</v>
      </c>
      <c r="R440" s="30"/>
      <c r="S440" s="30" t="s">
        <v>1507</v>
      </c>
      <c r="T440" s="30"/>
      <c r="U440" s="30" t="s">
        <v>144</v>
      </c>
      <c r="V440" s="30" t="s">
        <v>437</v>
      </c>
      <c r="W440" s="30" t="s">
        <v>1125</v>
      </c>
      <c r="X440" s="30"/>
      <c r="Y440" s="30" t="s">
        <v>128</v>
      </c>
      <c r="Z440" s="30" t="s">
        <v>128</v>
      </c>
      <c r="AA440" s="30" t="s">
        <v>129</v>
      </c>
      <c r="AB440" s="127" t="s">
        <v>1129</v>
      </c>
      <c r="AC440" s="30"/>
      <c r="AD440" s="30"/>
      <c r="AE440" s="30"/>
      <c r="AF440" s="30" t="s">
        <v>131</v>
      </c>
      <c r="AG440" s="30" t="s">
        <v>774</v>
      </c>
      <c r="AH440" s="30"/>
      <c r="AI440" s="30"/>
      <c r="AJ440" s="50">
        <v>43333</v>
      </c>
      <c r="AK440" s="50">
        <v>43333</v>
      </c>
      <c r="AL440" s="51">
        <f t="shared" si="276"/>
        <v>7.2</v>
      </c>
      <c r="AM440" s="30">
        <v>8</v>
      </c>
      <c r="AN440" s="30" t="s">
        <v>1065</v>
      </c>
      <c r="AO440" s="30" t="s">
        <v>1050</v>
      </c>
      <c r="AP440" s="30" t="s">
        <v>1187</v>
      </c>
      <c r="AQ440" s="30">
        <v>6.6</v>
      </c>
      <c r="AR440" s="30">
        <v>7100</v>
      </c>
      <c r="AS440" s="30">
        <v>820</v>
      </c>
      <c r="AT440" s="30">
        <v>1860</v>
      </c>
      <c r="AU440" s="74">
        <v>315020000</v>
      </c>
      <c r="AV440" s="54"/>
      <c r="AW440" s="54"/>
      <c r="AX440" s="54"/>
      <c r="AY440" s="54">
        <v>263783116</v>
      </c>
      <c r="AZ440" s="54">
        <v>3281458</v>
      </c>
      <c r="BA440" s="74">
        <v>41392510</v>
      </c>
      <c r="BB440" s="55">
        <f>VLOOKUP(M440,[1]Sheet1!$E$6:$F$556,2,FALSE)</f>
        <v>2098605</v>
      </c>
      <c r="BC440" s="74"/>
      <c r="BD440" s="74"/>
      <c r="BE440" s="128">
        <v>15.614060579169381</v>
      </c>
      <c r="BF440" s="30" t="s">
        <v>1134</v>
      </c>
      <c r="BG440" s="30" t="s">
        <v>1117</v>
      </c>
      <c r="BH440" s="30" t="s">
        <v>1054</v>
      </c>
      <c r="BI440" s="30" t="str">
        <f t="shared" si="262"/>
        <v>COF(Assy_FT)</v>
      </c>
      <c r="BJ440" s="30" t="s">
        <v>250</v>
      </c>
      <c r="BK440" s="56">
        <f t="shared" si="277"/>
        <v>43462135.5</v>
      </c>
      <c r="BL440" s="57">
        <f t="shared" si="291"/>
        <v>1358191.734375</v>
      </c>
      <c r="BM440" s="57">
        <f t="shared" si="292"/>
        <v>452730.578125</v>
      </c>
      <c r="BU440" s="58">
        <f t="shared" si="288"/>
        <v>1358191.734375</v>
      </c>
      <c r="BV440" s="58">
        <f t="shared" si="284"/>
        <v>1358191.734375</v>
      </c>
      <c r="BW440" s="58">
        <f t="shared" si="300"/>
        <v>2716383.46875</v>
      </c>
      <c r="BX440" s="58">
        <f t="shared" si="293"/>
        <v>1358191.734375</v>
      </c>
      <c r="BY440" s="58">
        <f t="shared" si="294"/>
        <v>1358191.734375</v>
      </c>
      <c r="BZ440" s="58">
        <f t="shared" si="283"/>
        <v>1358191.734375</v>
      </c>
      <c r="CA440" s="58">
        <f t="shared" si="294"/>
        <v>1358191.734375</v>
      </c>
      <c r="CB440" s="58">
        <f t="shared" si="264"/>
        <v>5432766.9375</v>
      </c>
      <c r="CC440" s="58">
        <f t="shared" si="265"/>
        <v>1358191.734375</v>
      </c>
      <c r="CD440" s="58">
        <f t="shared" ref="CD440:CF455" si="301">CC440</f>
        <v>1358191.734375</v>
      </c>
      <c r="CE440" s="58">
        <f t="shared" si="301"/>
        <v>1358191.734375</v>
      </c>
      <c r="CF440" s="58">
        <f t="shared" si="301"/>
        <v>1358191.734375</v>
      </c>
      <c r="CG440" s="58">
        <f t="shared" si="266"/>
        <v>5432766.9375</v>
      </c>
      <c r="CH440" s="58">
        <f t="shared" si="295"/>
        <v>1358191.734375</v>
      </c>
      <c r="CI440" s="58">
        <f t="shared" si="296"/>
        <v>1358191.734375</v>
      </c>
      <c r="CJ440" s="58">
        <f t="shared" si="296"/>
        <v>1358191.734375</v>
      </c>
      <c r="CK440" s="58">
        <f t="shared" si="296"/>
        <v>1358191.734375</v>
      </c>
      <c r="CL440" s="58">
        <f t="shared" si="297"/>
        <v>5432766.9375</v>
      </c>
      <c r="CP440" s="2">
        <f t="shared" si="263"/>
        <v>43462135.5</v>
      </c>
    </row>
    <row r="441" spans="1:94" hidden="1" x14ac:dyDescent="0.3">
      <c r="A441" s="29">
        <v>436</v>
      </c>
      <c r="B441" s="30" t="s">
        <v>21</v>
      </c>
      <c r="C441" s="30"/>
      <c r="D441" s="30" t="s">
        <v>1041</v>
      </c>
      <c r="E441" s="30" t="s">
        <v>1042</v>
      </c>
      <c r="F441" s="30" t="s">
        <v>1043</v>
      </c>
      <c r="G441" s="30" t="s">
        <v>117</v>
      </c>
      <c r="H441" s="30" t="s">
        <v>1058</v>
      </c>
      <c r="I441" s="30" t="s">
        <v>119</v>
      </c>
      <c r="J441" s="30" t="s">
        <v>1044</v>
      </c>
      <c r="K441" s="30" t="s">
        <v>1044</v>
      </c>
      <c r="L441" s="30" t="s">
        <v>1120</v>
      </c>
      <c r="M441" s="30">
        <v>1005599</v>
      </c>
      <c r="N441" s="30" t="s">
        <v>138</v>
      </c>
      <c r="O441" s="30" t="s">
        <v>1508</v>
      </c>
      <c r="P441" s="30" t="s">
        <v>1410</v>
      </c>
      <c r="Q441" s="30" t="s">
        <v>1411</v>
      </c>
      <c r="R441" s="30"/>
      <c r="S441" s="30" t="s">
        <v>1509</v>
      </c>
      <c r="T441" s="30"/>
      <c r="U441" s="30" t="s">
        <v>144</v>
      </c>
      <c r="V441" s="30" t="s">
        <v>437</v>
      </c>
      <c r="W441" s="30" t="s">
        <v>1125</v>
      </c>
      <c r="X441" s="30"/>
      <c r="Y441" s="30" t="s">
        <v>457</v>
      </c>
      <c r="Z441" s="30" t="s">
        <v>457</v>
      </c>
      <c r="AA441" s="30" t="s">
        <v>129</v>
      </c>
      <c r="AB441" s="127" t="s">
        <v>1129</v>
      </c>
      <c r="AC441" s="30"/>
      <c r="AD441" s="30"/>
      <c r="AE441" s="30"/>
      <c r="AF441" s="30" t="s">
        <v>131</v>
      </c>
      <c r="AG441" s="30" t="s">
        <v>774</v>
      </c>
      <c r="AH441" s="30"/>
      <c r="AI441" s="30"/>
      <c r="AJ441" s="50">
        <v>43333</v>
      </c>
      <c r="AK441" s="50">
        <v>43333</v>
      </c>
      <c r="AL441" s="51">
        <f t="shared" si="276"/>
        <v>7.2</v>
      </c>
      <c r="AM441" s="30">
        <v>8</v>
      </c>
      <c r="AN441" s="30" t="s">
        <v>1065</v>
      </c>
      <c r="AO441" s="30" t="s">
        <v>1050</v>
      </c>
      <c r="AP441" s="30" t="s">
        <v>1187</v>
      </c>
      <c r="AQ441" s="30">
        <v>6.6</v>
      </c>
      <c r="AR441" s="30">
        <v>7100</v>
      </c>
      <c r="AS441" s="30">
        <v>820</v>
      </c>
      <c r="AT441" s="30">
        <v>1860</v>
      </c>
      <c r="AU441" s="74">
        <v>247520000</v>
      </c>
      <c r="AV441" s="54"/>
      <c r="AW441" s="54"/>
      <c r="AX441" s="54"/>
      <c r="AY441" s="54">
        <v>216579996</v>
      </c>
      <c r="AZ441" s="54">
        <v>2578333</v>
      </c>
      <c r="BA441" s="74">
        <v>23205005</v>
      </c>
      <c r="BB441" s="55">
        <f>VLOOKUP(M441,[1]Sheet1!$E$6:$F$556,2,FALSE)</f>
        <v>1087681</v>
      </c>
      <c r="BC441" s="74"/>
      <c r="BD441" s="74"/>
      <c r="BE441" s="128">
        <v>12.000003102779974</v>
      </c>
      <c r="BF441" s="30" t="s">
        <v>1134</v>
      </c>
      <c r="BG441" s="30" t="s">
        <v>1117</v>
      </c>
      <c r="BH441" s="30" t="s">
        <v>1054</v>
      </c>
      <c r="BI441" s="30" t="str">
        <f t="shared" si="262"/>
        <v>COF(Assy_FT)</v>
      </c>
      <c r="BJ441" s="30" t="s">
        <v>250</v>
      </c>
      <c r="BK441" s="56">
        <f t="shared" si="277"/>
        <v>24365255.25</v>
      </c>
      <c r="BL441" s="57">
        <f t="shared" si="291"/>
        <v>761414.2265625</v>
      </c>
      <c r="BM441" s="57">
        <f t="shared" si="292"/>
        <v>253804.7421875</v>
      </c>
      <c r="BU441" s="58">
        <f t="shared" si="288"/>
        <v>761414.2265625</v>
      </c>
      <c r="BV441" s="58">
        <f t="shared" si="284"/>
        <v>761414.2265625</v>
      </c>
      <c r="BW441" s="58">
        <f t="shared" si="300"/>
        <v>1522828.453125</v>
      </c>
      <c r="BX441" s="58">
        <f t="shared" si="293"/>
        <v>761414.2265625</v>
      </c>
      <c r="BY441" s="58">
        <f t="shared" si="294"/>
        <v>761414.2265625</v>
      </c>
      <c r="BZ441" s="58">
        <f t="shared" si="283"/>
        <v>761414.2265625</v>
      </c>
      <c r="CA441" s="58">
        <f t="shared" si="294"/>
        <v>761414.2265625</v>
      </c>
      <c r="CB441" s="58">
        <f t="shared" si="264"/>
        <v>3045656.90625</v>
      </c>
      <c r="CC441" s="58">
        <f t="shared" si="265"/>
        <v>761414.2265625</v>
      </c>
      <c r="CD441" s="58">
        <f t="shared" si="301"/>
        <v>761414.2265625</v>
      </c>
      <c r="CE441" s="58">
        <f t="shared" si="301"/>
        <v>761414.2265625</v>
      </c>
      <c r="CF441" s="58">
        <f t="shared" si="301"/>
        <v>761414.2265625</v>
      </c>
      <c r="CG441" s="58">
        <f t="shared" si="266"/>
        <v>3045656.90625</v>
      </c>
      <c r="CH441" s="58">
        <f t="shared" si="295"/>
        <v>761414.2265625</v>
      </c>
      <c r="CI441" s="58">
        <f t="shared" si="296"/>
        <v>761414.2265625</v>
      </c>
      <c r="CJ441" s="58">
        <f t="shared" si="296"/>
        <v>761414.2265625</v>
      </c>
      <c r="CK441" s="58">
        <f t="shared" si="296"/>
        <v>761414.2265625</v>
      </c>
      <c r="CL441" s="58">
        <f t="shared" si="297"/>
        <v>3045656.90625</v>
      </c>
      <c r="CP441" s="2">
        <f t="shared" si="263"/>
        <v>24365255.25</v>
      </c>
    </row>
    <row r="442" spans="1:94" hidden="1" x14ac:dyDescent="0.3">
      <c r="A442" s="29">
        <v>437</v>
      </c>
      <c r="B442" s="30" t="s">
        <v>21</v>
      </c>
      <c r="C442" s="30"/>
      <c r="D442" s="30" t="s">
        <v>1041</v>
      </c>
      <c r="E442" s="30" t="s">
        <v>1042</v>
      </c>
      <c r="F442" s="30" t="s">
        <v>1043</v>
      </c>
      <c r="G442" s="30" t="s">
        <v>117</v>
      </c>
      <c r="H442" s="30" t="s">
        <v>1058</v>
      </c>
      <c r="I442" s="30" t="s">
        <v>119</v>
      </c>
      <c r="J442" s="30" t="s">
        <v>1044</v>
      </c>
      <c r="K442" s="30" t="s">
        <v>1044</v>
      </c>
      <c r="L442" s="30" t="s">
        <v>1120</v>
      </c>
      <c r="M442" s="30">
        <v>1005600</v>
      </c>
      <c r="N442" s="30" t="s">
        <v>138</v>
      </c>
      <c r="O442" s="30" t="s">
        <v>1510</v>
      </c>
      <c r="P442" s="30" t="s">
        <v>1410</v>
      </c>
      <c r="Q442" s="30" t="s">
        <v>1411</v>
      </c>
      <c r="R442" s="30"/>
      <c r="S442" s="30" t="s">
        <v>1511</v>
      </c>
      <c r="T442" s="30"/>
      <c r="U442" s="30" t="s">
        <v>144</v>
      </c>
      <c r="V442" s="30" t="s">
        <v>437</v>
      </c>
      <c r="W442" s="30" t="s">
        <v>1125</v>
      </c>
      <c r="X442" s="30"/>
      <c r="Y442" s="30" t="s">
        <v>457</v>
      </c>
      <c r="Z442" s="30" t="s">
        <v>457</v>
      </c>
      <c r="AA442" s="30" t="s">
        <v>129</v>
      </c>
      <c r="AB442" s="127" t="s">
        <v>1129</v>
      </c>
      <c r="AC442" s="30"/>
      <c r="AD442" s="30"/>
      <c r="AE442" s="30"/>
      <c r="AF442" s="30" t="s">
        <v>131</v>
      </c>
      <c r="AG442" s="30" t="s">
        <v>774</v>
      </c>
      <c r="AH442" s="30"/>
      <c r="AI442" s="30"/>
      <c r="AJ442" s="50">
        <v>43333</v>
      </c>
      <c r="AK442" s="50">
        <v>43333</v>
      </c>
      <c r="AL442" s="51">
        <f t="shared" si="276"/>
        <v>7.2</v>
      </c>
      <c r="AM442" s="30">
        <v>8</v>
      </c>
      <c r="AN442" s="30" t="s">
        <v>1065</v>
      </c>
      <c r="AO442" s="30" t="s">
        <v>1050</v>
      </c>
      <c r="AP442" s="30" t="s">
        <v>1187</v>
      </c>
      <c r="AQ442" s="30">
        <v>6.6</v>
      </c>
      <c r="AR442" s="30">
        <v>7100</v>
      </c>
      <c r="AS442" s="30">
        <v>820</v>
      </c>
      <c r="AT442" s="30">
        <v>1860</v>
      </c>
      <c r="AU442" s="74">
        <v>247520000</v>
      </c>
      <c r="AV442" s="54"/>
      <c r="AW442" s="54"/>
      <c r="AX442" s="54"/>
      <c r="AY442" s="54">
        <v>216579996</v>
      </c>
      <c r="AZ442" s="54">
        <v>2578333</v>
      </c>
      <c r="BA442" s="74">
        <v>23205005</v>
      </c>
      <c r="BB442" s="55">
        <f>VLOOKUP(M442,[1]Sheet1!$E$6:$F$556,2,FALSE)</f>
        <v>1087681</v>
      </c>
      <c r="BC442" s="74"/>
      <c r="BD442" s="74"/>
      <c r="BE442" s="128">
        <v>12.000003102779974</v>
      </c>
      <c r="BF442" s="30" t="s">
        <v>1134</v>
      </c>
      <c r="BG442" s="30" t="s">
        <v>1117</v>
      </c>
      <c r="BH442" s="30" t="s">
        <v>1054</v>
      </c>
      <c r="BI442" s="30" t="str">
        <f t="shared" si="262"/>
        <v>COF(Assy_FT)</v>
      </c>
      <c r="BJ442" s="30" t="s">
        <v>250</v>
      </c>
      <c r="BK442" s="56">
        <f t="shared" si="277"/>
        <v>24365255.25</v>
      </c>
      <c r="BL442" s="57">
        <f t="shared" si="291"/>
        <v>761414.2265625</v>
      </c>
      <c r="BM442" s="57">
        <f t="shared" si="292"/>
        <v>253804.7421875</v>
      </c>
      <c r="BU442" s="58">
        <f t="shared" si="288"/>
        <v>761414.2265625</v>
      </c>
      <c r="BV442" s="58">
        <f t="shared" si="284"/>
        <v>761414.2265625</v>
      </c>
      <c r="BW442" s="58">
        <f t="shared" si="300"/>
        <v>1522828.453125</v>
      </c>
      <c r="BX442" s="58">
        <f t="shared" si="293"/>
        <v>761414.2265625</v>
      </c>
      <c r="BY442" s="58">
        <f t="shared" si="294"/>
        <v>761414.2265625</v>
      </c>
      <c r="BZ442" s="58">
        <f t="shared" si="283"/>
        <v>761414.2265625</v>
      </c>
      <c r="CA442" s="58">
        <f t="shared" si="294"/>
        <v>761414.2265625</v>
      </c>
      <c r="CB442" s="58">
        <f t="shared" si="264"/>
        <v>3045656.90625</v>
      </c>
      <c r="CC442" s="58">
        <f t="shared" si="265"/>
        <v>761414.2265625</v>
      </c>
      <c r="CD442" s="58">
        <f t="shared" si="301"/>
        <v>761414.2265625</v>
      </c>
      <c r="CE442" s="58">
        <f t="shared" si="301"/>
        <v>761414.2265625</v>
      </c>
      <c r="CF442" s="58">
        <f t="shared" si="301"/>
        <v>761414.2265625</v>
      </c>
      <c r="CG442" s="58">
        <f t="shared" si="266"/>
        <v>3045656.90625</v>
      </c>
      <c r="CH442" s="58">
        <f t="shared" si="295"/>
        <v>761414.2265625</v>
      </c>
      <c r="CI442" s="58">
        <f t="shared" si="296"/>
        <v>761414.2265625</v>
      </c>
      <c r="CJ442" s="58">
        <f t="shared" si="296"/>
        <v>761414.2265625</v>
      </c>
      <c r="CK442" s="58">
        <f t="shared" si="296"/>
        <v>761414.2265625</v>
      </c>
      <c r="CL442" s="58">
        <f t="shared" si="297"/>
        <v>3045656.90625</v>
      </c>
      <c r="CP442" s="2">
        <f t="shared" si="263"/>
        <v>24365255.25</v>
      </c>
    </row>
    <row r="443" spans="1:94" ht="16.5" hidden="1" x14ac:dyDescent="0.3">
      <c r="A443" s="2">
        <v>438</v>
      </c>
      <c r="B443" s="47" t="s">
        <v>21</v>
      </c>
      <c r="C443" s="47"/>
      <c r="D443" s="30" t="s">
        <v>1041</v>
      </c>
      <c r="E443" s="30" t="s">
        <v>1042</v>
      </c>
      <c r="F443" s="30" t="s">
        <v>1043</v>
      </c>
      <c r="G443" s="30" t="s">
        <v>117</v>
      </c>
      <c r="H443" s="30" t="s">
        <v>1058</v>
      </c>
      <c r="I443" s="30" t="s">
        <v>119</v>
      </c>
      <c r="J443" s="30" t="s">
        <v>1044</v>
      </c>
      <c r="K443" s="30" t="s">
        <v>1044</v>
      </c>
      <c r="L443" s="30" t="s">
        <v>1109</v>
      </c>
      <c r="M443" s="30">
        <v>1005604</v>
      </c>
      <c r="N443" s="30" t="s">
        <v>138</v>
      </c>
      <c r="O443" s="30" t="s">
        <v>1512</v>
      </c>
      <c r="P443" s="30" t="s">
        <v>1111</v>
      </c>
      <c r="Q443" s="30" t="s">
        <v>585</v>
      </c>
      <c r="R443" s="30"/>
      <c r="S443" s="30" t="s">
        <v>1513</v>
      </c>
      <c r="T443" s="30"/>
      <c r="U443" s="30" t="s">
        <v>144</v>
      </c>
      <c r="V443" s="30" t="s">
        <v>437</v>
      </c>
      <c r="W443" s="30" t="s">
        <v>1113</v>
      </c>
      <c r="X443" s="30" t="s">
        <v>127</v>
      </c>
      <c r="Y443" s="30" t="s">
        <v>128</v>
      </c>
      <c r="Z443" s="30" t="s">
        <v>128</v>
      </c>
      <c r="AA443" s="30" t="s">
        <v>129</v>
      </c>
      <c r="AB443" s="30" t="s">
        <v>1114</v>
      </c>
      <c r="AC443" s="30" t="s">
        <v>1114</v>
      </c>
      <c r="AD443" s="30" t="s">
        <v>1115</v>
      </c>
      <c r="AE443" s="30"/>
      <c r="AF443" s="30" t="s">
        <v>131</v>
      </c>
      <c r="AG443" s="30" t="s">
        <v>774</v>
      </c>
      <c r="AH443" s="30" t="s">
        <v>1116</v>
      </c>
      <c r="AI443" s="30"/>
      <c r="AJ443" s="50">
        <v>43353</v>
      </c>
      <c r="AK443" s="50">
        <v>43353</v>
      </c>
      <c r="AL443" s="51">
        <f t="shared" si="276"/>
        <v>7.1452054794520548</v>
      </c>
      <c r="AM443" s="30">
        <v>8</v>
      </c>
      <c r="AN443" s="30" t="s">
        <v>1065</v>
      </c>
      <c r="AO443" s="30" t="s">
        <v>1050</v>
      </c>
      <c r="AP443" s="30" t="s">
        <v>1051</v>
      </c>
      <c r="AQ443" s="30">
        <v>5.28</v>
      </c>
      <c r="AR443" s="30">
        <v>1470</v>
      </c>
      <c r="AS443" s="30">
        <v>960</v>
      </c>
      <c r="AT443" s="30">
        <v>1675</v>
      </c>
      <c r="AU443" s="54">
        <v>7915000</v>
      </c>
      <c r="AV443" s="54"/>
      <c r="AW443" s="54"/>
      <c r="AX443" s="54"/>
      <c r="AY443" s="54">
        <v>6843178</v>
      </c>
      <c r="AZ443" s="54">
        <v>82448</v>
      </c>
      <c r="BA443" s="54">
        <v>824478</v>
      </c>
      <c r="BB443" s="55">
        <f>VLOOKUP(M443,[1]Sheet1!$E$6:$F$556,2,FALSE)</f>
        <v>43834</v>
      </c>
      <c r="BC443" s="74"/>
      <c r="BD443" s="74"/>
      <c r="BE443" s="128">
        <v>12.999975742286047</v>
      </c>
      <c r="BF443" s="30" t="s">
        <v>1134</v>
      </c>
      <c r="BG443" s="30" t="s">
        <v>1117</v>
      </c>
      <c r="BH443" s="30" t="s">
        <v>1054</v>
      </c>
      <c r="BI443" s="30" t="str">
        <f t="shared" si="262"/>
        <v>COF(Assy_FT)</v>
      </c>
      <c r="BJ443" s="47" t="s">
        <v>137</v>
      </c>
      <c r="BK443" s="56">
        <f t="shared" si="277"/>
        <v>865701.9</v>
      </c>
      <c r="BL443" s="57">
        <f t="shared" si="291"/>
        <v>82526.252176467839</v>
      </c>
      <c r="BM443" s="57">
        <f t="shared" si="292"/>
        <v>27508.750725489281</v>
      </c>
      <c r="BU443" s="58">
        <f t="shared" si="288"/>
        <v>82526.252176467839</v>
      </c>
      <c r="BV443" s="58">
        <f t="shared" si="284"/>
        <v>82526.252176467839</v>
      </c>
      <c r="BW443" s="58">
        <f t="shared" si="300"/>
        <v>165052.50435293568</v>
      </c>
      <c r="BX443" s="58">
        <f t="shared" si="293"/>
        <v>82526.252176467839</v>
      </c>
      <c r="BY443" s="58">
        <f t="shared" si="294"/>
        <v>82526.252176467839</v>
      </c>
      <c r="BZ443" s="58">
        <f t="shared" si="283"/>
        <v>82526.252176467839</v>
      </c>
      <c r="CA443" s="58">
        <f t="shared" si="294"/>
        <v>82526.252176467839</v>
      </c>
      <c r="CB443" s="58">
        <f t="shared" si="264"/>
        <v>330105.00870587135</v>
      </c>
      <c r="CC443" s="58">
        <f t="shared" si="265"/>
        <v>82526.252176467839</v>
      </c>
      <c r="CD443" s="58">
        <f t="shared" si="301"/>
        <v>82526.252176467839</v>
      </c>
      <c r="CE443" s="58">
        <f t="shared" si="301"/>
        <v>82526.252176467839</v>
      </c>
      <c r="CF443" s="58">
        <f t="shared" si="301"/>
        <v>82526.252176467839</v>
      </c>
      <c r="CG443" s="58">
        <f t="shared" si="266"/>
        <v>330105.00870587135</v>
      </c>
      <c r="CH443" s="58">
        <f t="shared" si="295"/>
        <v>82526.252176467839</v>
      </c>
      <c r="CI443" s="58">
        <f t="shared" si="296"/>
        <v>82526.252176467839</v>
      </c>
      <c r="CJ443" s="58">
        <f t="shared" si="296"/>
        <v>82526.252176467839</v>
      </c>
      <c r="CK443" s="58">
        <f t="shared" si="296"/>
        <v>82526.252176467839</v>
      </c>
      <c r="CL443" s="58">
        <f t="shared" si="297"/>
        <v>330105.00870587135</v>
      </c>
      <c r="CN443" s="59">
        <f t="shared" ref="CN443:CN444" si="302">BK443/$CN$3</f>
        <v>8.4530389030808143E-5</v>
      </c>
      <c r="CO443" s="64">
        <f t="shared" ref="CO443:CO444" si="303">CN443*$CO$4</f>
        <v>1775138.1696469709</v>
      </c>
      <c r="CP443" s="2">
        <f t="shared" si="263"/>
        <v>2640840.0696469708</v>
      </c>
    </row>
    <row r="444" spans="1:94" ht="16.5" hidden="1" x14ac:dyDescent="0.3">
      <c r="A444" s="2">
        <v>439</v>
      </c>
      <c r="B444" s="47" t="s">
        <v>21</v>
      </c>
      <c r="C444" s="47"/>
      <c r="D444" s="30" t="s">
        <v>1041</v>
      </c>
      <c r="E444" s="30" t="s">
        <v>1042</v>
      </c>
      <c r="F444" s="30" t="s">
        <v>1043</v>
      </c>
      <c r="G444" s="30" t="s">
        <v>117</v>
      </c>
      <c r="H444" s="30" t="s">
        <v>1058</v>
      </c>
      <c r="I444" s="30" t="s">
        <v>119</v>
      </c>
      <c r="J444" s="30" t="s">
        <v>1044</v>
      </c>
      <c r="K444" s="30" t="s">
        <v>1044</v>
      </c>
      <c r="L444" s="30" t="s">
        <v>1109</v>
      </c>
      <c r="M444" s="30">
        <v>1005605</v>
      </c>
      <c r="N444" s="30" t="s">
        <v>138</v>
      </c>
      <c r="O444" s="30" t="s">
        <v>1514</v>
      </c>
      <c r="P444" s="30" t="s">
        <v>1111</v>
      </c>
      <c r="Q444" s="30" t="s">
        <v>585</v>
      </c>
      <c r="R444" s="30"/>
      <c r="S444" s="30" t="s">
        <v>1515</v>
      </c>
      <c r="T444" s="30"/>
      <c r="U444" s="30" t="s">
        <v>144</v>
      </c>
      <c r="V444" s="30" t="s">
        <v>437</v>
      </c>
      <c r="W444" s="30" t="s">
        <v>1113</v>
      </c>
      <c r="X444" s="30" t="s">
        <v>127</v>
      </c>
      <c r="Y444" s="30" t="s">
        <v>128</v>
      </c>
      <c r="Z444" s="30" t="s">
        <v>128</v>
      </c>
      <c r="AA444" s="30" t="s">
        <v>129</v>
      </c>
      <c r="AB444" s="30" t="s">
        <v>1114</v>
      </c>
      <c r="AC444" s="30" t="s">
        <v>1114</v>
      </c>
      <c r="AD444" s="30" t="s">
        <v>1115</v>
      </c>
      <c r="AE444" s="30"/>
      <c r="AF444" s="30" t="s">
        <v>131</v>
      </c>
      <c r="AG444" s="30" t="s">
        <v>774</v>
      </c>
      <c r="AH444" s="30" t="s">
        <v>1116</v>
      </c>
      <c r="AI444" s="30"/>
      <c r="AJ444" s="50">
        <v>43353</v>
      </c>
      <c r="AK444" s="50">
        <v>43353</v>
      </c>
      <c r="AL444" s="51">
        <f t="shared" si="276"/>
        <v>7.1452054794520548</v>
      </c>
      <c r="AM444" s="30">
        <v>8</v>
      </c>
      <c r="AN444" s="30" t="s">
        <v>1065</v>
      </c>
      <c r="AO444" s="30" t="s">
        <v>1050</v>
      </c>
      <c r="AP444" s="30" t="s">
        <v>1051</v>
      </c>
      <c r="AQ444" s="30">
        <v>5.28</v>
      </c>
      <c r="AR444" s="30">
        <v>1470</v>
      </c>
      <c r="AS444" s="30">
        <v>960</v>
      </c>
      <c r="AT444" s="30">
        <v>1675</v>
      </c>
      <c r="AU444" s="54">
        <v>7915000</v>
      </c>
      <c r="AV444" s="54"/>
      <c r="AW444" s="54"/>
      <c r="AX444" s="54"/>
      <c r="AY444" s="54">
        <v>6843178</v>
      </c>
      <c r="AZ444" s="54">
        <v>82448</v>
      </c>
      <c r="BA444" s="54">
        <v>824478</v>
      </c>
      <c r="BB444" s="55">
        <f>VLOOKUP(M444,[1]Sheet1!$E$6:$F$556,2,FALSE)</f>
        <v>43834</v>
      </c>
      <c r="BC444" s="74"/>
      <c r="BD444" s="74"/>
      <c r="BE444" s="128">
        <v>12.999975742286047</v>
      </c>
      <c r="BF444" s="30" t="s">
        <v>1134</v>
      </c>
      <c r="BG444" s="30" t="s">
        <v>1117</v>
      </c>
      <c r="BH444" s="30" t="s">
        <v>1054</v>
      </c>
      <c r="BI444" s="30" t="str">
        <f t="shared" si="262"/>
        <v>COF(Assy_FT)</v>
      </c>
      <c r="BJ444" s="47" t="s">
        <v>137</v>
      </c>
      <c r="BK444" s="56">
        <f t="shared" si="277"/>
        <v>865701.9</v>
      </c>
      <c r="BL444" s="57">
        <f t="shared" si="291"/>
        <v>82526.252176467839</v>
      </c>
      <c r="BM444" s="57">
        <f t="shared" si="292"/>
        <v>27508.750725489281</v>
      </c>
      <c r="BU444" s="58">
        <f t="shared" si="288"/>
        <v>82526.252176467839</v>
      </c>
      <c r="BV444" s="58">
        <f t="shared" si="284"/>
        <v>82526.252176467839</v>
      </c>
      <c r="BW444" s="58">
        <f t="shared" si="300"/>
        <v>165052.50435293568</v>
      </c>
      <c r="BX444" s="58">
        <f t="shared" si="293"/>
        <v>82526.252176467839</v>
      </c>
      <c r="BY444" s="58">
        <f t="shared" si="294"/>
        <v>82526.252176467839</v>
      </c>
      <c r="BZ444" s="58">
        <f t="shared" si="283"/>
        <v>82526.252176467839</v>
      </c>
      <c r="CA444" s="58">
        <f t="shared" si="294"/>
        <v>82526.252176467839</v>
      </c>
      <c r="CB444" s="58">
        <f t="shared" si="264"/>
        <v>330105.00870587135</v>
      </c>
      <c r="CC444" s="58">
        <f t="shared" si="265"/>
        <v>82526.252176467839</v>
      </c>
      <c r="CD444" s="58">
        <f t="shared" si="301"/>
        <v>82526.252176467839</v>
      </c>
      <c r="CE444" s="58">
        <f t="shared" si="301"/>
        <v>82526.252176467839</v>
      </c>
      <c r="CF444" s="58">
        <f t="shared" si="301"/>
        <v>82526.252176467839</v>
      </c>
      <c r="CG444" s="58">
        <f t="shared" si="266"/>
        <v>330105.00870587135</v>
      </c>
      <c r="CH444" s="58">
        <f t="shared" si="295"/>
        <v>82526.252176467839</v>
      </c>
      <c r="CI444" s="58">
        <f t="shared" ref="CI444:CK459" si="304">CH444</f>
        <v>82526.252176467839</v>
      </c>
      <c r="CJ444" s="58">
        <f t="shared" si="304"/>
        <v>82526.252176467839</v>
      </c>
      <c r="CK444" s="58">
        <f t="shared" si="304"/>
        <v>82526.252176467839</v>
      </c>
      <c r="CL444" s="58">
        <f t="shared" si="297"/>
        <v>330105.00870587135</v>
      </c>
      <c r="CN444" s="59">
        <f t="shared" si="302"/>
        <v>8.4530389030808143E-5</v>
      </c>
      <c r="CO444" s="64">
        <f t="shared" si="303"/>
        <v>1775138.1696469709</v>
      </c>
      <c r="CP444" s="2">
        <f t="shared" si="263"/>
        <v>2640840.0696469708</v>
      </c>
    </row>
    <row r="445" spans="1:94" hidden="1" x14ac:dyDescent="0.3">
      <c r="A445" s="29">
        <v>440</v>
      </c>
      <c r="B445" s="30" t="s">
        <v>21</v>
      </c>
      <c r="C445" s="30"/>
      <c r="D445" s="30" t="s">
        <v>1041</v>
      </c>
      <c r="E445" s="30" t="s">
        <v>1042</v>
      </c>
      <c r="F445" s="30" t="s">
        <v>1043</v>
      </c>
      <c r="G445" s="30" t="s">
        <v>117</v>
      </c>
      <c r="H445" s="30" t="s">
        <v>1058</v>
      </c>
      <c r="I445" s="30" t="s">
        <v>119</v>
      </c>
      <c r="J445" s="30" t="s">
        <v>1044</v>
      </c>
      <c r="K445" s="30" t="s">
        <v>1044</v>
      </c>
      <c r="L445" s="30" t="s">
        <v>1109</v>
      </c>
      <c r="M445" s="30">
        <v>1005606</v>
      </c>
      <c r="N445" s="30" t="s">
        <v>138</v>
      </c>
      <c r="O445" s="30" t="s">
        <v>1516</v>
      </c>
      <c r="P445" s="30" t="s">
        <v>1111</v>
      </c>
      <c r="Q445" s="30" t="s">
        <v>585</v>
      </c>
      <c r="R445" s="30"/>
      <c r="S445" s="30" t="s">
        <v>1517</v>
      </c>
      <c r="T445" s="30"/>
      <c r="U445" s="30" t="s">
        <v>144</v>
      </c>
      <c r="V445" s="30" t="s">
        <v>437</v>
      </c>
      <c r="W445" s="30" t="s">
        <v>1113</v>
      </c>
      <c r="X445" s="30"/>
      <c r="Y445" s="30" t="s">
        <v>128</v>
      </c>
      <c r="Z445" s="30" t="s">
        <v>128</v>
      </c>
      <c r="AA445" s="30" t="s">
        <v>129</v>
      </c>
      <c r="AB445" s="30" t="s">
        <v>1114</v>
      </c>
      <c r="AC445" s="30" t="s">
        <v>1114</v>
      </c>
      <c r="AD445" s="30" t="s">
        <v>1115</v>
      </c>
      <c r="AE445" s="30"/>
      <c r="AF445" s="30" t="s">
        <v>131</v>
      </c>
      <c r="AG445" s="30" t="s">
        <v>774</v>
      </c>
      <c r="AH445" s="30" t="s">
        <v>1116</v>
      </c>
      <c r="AI445" s="30"/>
      <c r="AJ445" s="50">
        <v>43353</v>
      </c>
      <c r="AK445" s="50">
        <v>43353</v>
      </c>
      <c r="AL445" s="51">
        <f t="shared" si="276"/>
        <v>7.1452054794520548</v>
      </c>
      <c r="AM445" s="30">
        <v>8</v>
      </c>
      <c r="AN445" s="30" t="s">
        <v>1065</v>
      </c>
      <c r="AO445" s="30" t="s">
        <v>1050</v>
      </c>
      <c r="AP445" s="30" t="s">
        <v>1051</v>
      </c>
      <c r="AQ445" s="30">
        <v>5.28</v>
      </c>
      <c r="AR445" s="30">
        <v>1470</v>
      </c>
      <c r="AS445" s="30">
        <v>960</v>
      </c>
      <c r="AT445" s="30">
        <v>1675</v>
      </c>
      <c r="AU445" s="74">
        <v>7915000</v>
      </c>
      <c r="AV445" s="54"/>
      <c r="AW445" s="54"/>
      <c r="AX445" s="54"/>
      <c r="AY445" s="54">
        <v>6843178</v>
      </c>
      <c r="AZ445" s="54">
        <v>82448</v>
      </c>
      <c r="BA445" s="74">
        <v>824478</v>
      </c>
      <c r="BB445" s="55">
        <f>VLOOKUP(M445,[1]Sheet1!$E$6:$F$556,2,FALSE)</f>
        <v>43834</v>
      </c>
      <c r="BC445" s="74"/>
      <c r="BD445" s="74"/>
      <c r="BE445" s="128">
        <v>12.999975742286047</v>
      </c>
      <c r="BF445" s="30" t="s">
        <v>1134</v>
      </c>
      <c r="BG445" s="30" t="s">
        <v>1117</v>
      </c>
      <c r="BH445" s="30" t="s">
        <v>1054</v>
      </c>
      <c r="BI445" s="30" t="str">
        <f t="shared" si="262"/>
        <v>COF(Assy_FT)</v>
      </c>
      <c r="BJ445" s="30" t="s">
        <v>250</v>
      </c>
      <c r="BK445" s="56">
        <f t="shared" si="277"/>
        <v>865701.9</v>
      </c>
      <c r="BL445" s="57">
        <f t="shared" si="291"/>
        <v>27053.184375000001</v>
      </c>
      <c r="BM445" s="57">
        <f t="shared" si="292"/>
        <v>9017.7281249999996</v>
      </c>
      <c r="BU445" s="58">
        <f t="shared" si="288"/>
        <v>27053.184374999997</v>
      </c>
      <c r="BV445" s="58">
        <f t="shared" si="284"/>
        <v>27053.184374999997</v>
      </c>
      <c r="BW445" s="58">
        <f t="shared" si="300"/>
        <v>54106.368749999994</v>
      </c>
      <c r="BX445" s="58">
        <f t="shared" si="293"/>
        <v>27053.184374999997</v>
      </c>
      <c r="BY445" s="58">
        <f t="shared" si="294"/>
        <v>27053.184374999997</v>
      </c>
      <c r="BZ445" s="58">
        <f t="shared" si="283"/>
        <v>27053.184374999997</v>
      </c>
      <c r="CA445" s="58">
        <f t="shared" si="294"/>
        <v>27053.184374999997</v>
      </c>
      <c r="CB445" s="58">
        <f t="shared" si="264"/>
        <v>108212.73749999999</v>
      </c>
      <c r="CC445" s="58">
        <f t="shared" si="265"/>
        <v>27053.184374999997</v>
      </c>
      <c r="CD445" s="58">
        <f t="shared" si="301"/>
        <v>27053.184374999997</v>
      </c>
      <c r="CE445" s="58">
        <f t="shared" si="301"/>
        <v>27053.184374999997</v>
      </c>
      <c r="CF445" s="58">
        <f t="shared" si="301"/>
        <v>27053.184374999997</v>
      </c>
      <c r="CG445" s="58">
        <f t="shared" si="266"/>
        <v>108212.73749999999</v>
      </c>
      <c r="CH445" s="58">
        <f t="shared" si="295"/>
        <v>27053.184374999997</v>
      </c>
      <c r="CI445" s="58">
        <f t="shared" si="304"/>
        <v>27053.184374999997</v>
      </c>
      <c r="CJ445" s="58">
        <f t="shared" si="304"/>
        <v>27053.184374999997</v>
      </c>
      <c r="CK445" s="58">
        <f t="shared" si="304"/>
        <v>27053.184374999997</v>
      </c>
      <c r="CL445" s="58">
        <f t="shared" si="297"/>
        <v>108212.73749999999</v>
      </c>
      <c r="CP445" s="2">
        <f t="shared" si="263"/>
        <v>865701.9</v>
      </c>
    </row>
    <row r="446" spans="1:94" hidden="1" x14ac:dyDescent="0.3">
      <c r="A446" s="29">
        <v>441</v>
      </c>
      <c r="B446" s="30" t="s">
        <v>21</v>
      </c>
      <c r="C446" s="30"/>
      <c r="D446" s="30" t="s">
        <v>1041</v>
      </c>
      <c r="E446" s="30" t="s">
        <v>1042</v>
      </c>
      <c r="F446" s="30" t="s">
        <v>1043</v>
      </c>
      <c r="G446" s="30" t="s">
        <v>117</v>
      </c>
      <c r="H446" s="30" t="s">
        <v>1058</v>
      </c>
      <c r="I446" s="30" t="s">
        <v>119</v>
      </c>
      <c r="J446" s="30" t="s">
        <v>1044</v>
      </c>
      <c r="K446" s="30" t="s">
        <v>1044</v>
      </c>
      <c r="L446" s="30" t="s">
        <v>1109</v>
      </c>
      <c r="M446" s="30">
        <v>1005607</v>
      </c>
      <c r="N446" s="30" t="s">
        <v>138</v>
      </c>
      <c r="O446" s="30" t="s">
        <v>1518</v>
      </c>
      <c r="P446" s="30" t="s">
        <v>1111</v>
      </c>
      <c r="Q446" s="30" t="s">
        <v>585</v>
      </c>
      <c r="R446" s="30"/>
      <c r="S446" s="30" t="s">
        <v>1519</v>
      </c>
      <c r="T446" s="30"/>
      <c r="U446" s="30" t="s">
        <v>144</v>
      </c>
      <c r="V446" s="30" t="s">
        <v>437</v>
      </c>
      <c r="W446" s="30" t="s">
        <v>1113</v>
      </c>
      <c r="X446" s="30"/>
      <c r="Y446" s="30" t="s">
        <v>128</v>
      </c>
      <c r="Z446" s="30" t="s">
        <v>128</v>
      </c>
      <c r="AA446" s="30" t="s">
        <v>129</v>
      </c>
      <c r="AB446" s="30" t="s">
        <v>1114</v>
      </c>
      <c r="AC446" s="30" t="s">
        <v>1114</v>
      </c>
      <c r="AD446" s="30" t="s">
        <v>1115</v>
      </c>
      <c r="AE446" s="30"/>
      <c r="AF446" s="30" t="s">
        <v>131</v>
      </c>
      <c r="AG446" s="30" t="s">
        <v>774</v>
      </c>
      <c r="AH446" s="30" t="s">
        <v>1116</v>
      </c>
      <c r="AI446" s="30"/>
      <c r="AJ446" s="50">
        <v>43353</v>
      </c>
      <c r="AK446" s="50">
        <v>43353</v>
      </c>
      <c r="AL446" s="51">
        <f t="shared" si="276"/>
        <v>7.1452054794520548</v>
      </c>
      <c r="AM446" s="30">
        <v>8</v>
      </c>
      <c r="AN446" s="30" t="s">
        <v>1065</v>
      </c>
      <c r="AO446" s="30" t="s">
        <v>1050</v>
      </c>
      <c r="AP446" s="30" t="s">
        <v>1051</v>
      </c>
      <c r="AQ446" s="30">
        <v>5.28</v>
      </c>
      <c r="AR446" s="30">
        <v>1470</v>
      </c>
      <c r="AS446" s="30">
        <v>960</v>
      </c>
      <c r="AT446" s="30">
        <v>1675</v>
      </c>
      <c r="AU446" s="74">
        <v>7915000</v>
      </c>
      <c r="AV446" s="54"/>
      <c r="AW446" s="54"/>
      <c r="AX446" s="54"/>
      <c r="AY446" s="54">
        <v>6843178</v>
      </c>
      <c r="AZ446" s="54">
        <v>82448</v>
      </c>
      <c r="BA446" s="74">
        <v>824478</v>
      </c>
      <c r="BB446" s="55">
        <f>VLOOKUP(M446,[1]Sheet1!$E$6:$F$556,2,FALSE)</f>
        <v>43834</v>
      </c>
      <c r="BC446" s="74"/>
      <c r="BD446" s="74"/>
      <c r="BE446" s="128">
        <v>12.999975742286047</v>
      </c>
      <c r="BF446" s="30" t="s">
        <v>1134</v>
      </c>
      <c r="BG446" s="30" t="s">
        <v>1117</v>
      </c>
      <c r="BH446" s="30" t="s">
        <v>1054</v>
      </c>
      <c r="BI446" s="30" t="str">
        <f t="shared" si="262"/>
        <v>COF(Assy_FT)</v>
      </c>
      <c r="BJ446" s="30" t="s">
        <v>250</v>
      </c>
      <c r="BK446" s="56">
        <f t="shared" si="277"/>
        <v>865701.9</v>
      </c>
      <c r="BL446" s="57">
        <f t="shared" si="291"/>
        <v>27053.184375000001</v>
      </c>
      <c r="BM446" s="57">
        <f t="shared" si="292"/>
        <v>9017.7281249999996</v>
      </c>
      <c r="BU446" s="58">
        <f t="shared" si="288"/>
        <v>27053.184374999997</v>
      </c>
      <c r="BV446" s="58">
        <f t="shared" si="284"/>
        <v>27053.184374999997</v>
      </c>
      <c r="BW446" s="58">
        <f t="shared" si="300"/>
        <v>54106.368749999994</v>
      </c>
      <c r="BX446" s="58">
        <f t="shared" si="293"/>
        <v>27053.184374999997</v>
      </c>
      <c r="BY446" s="58">
        <f t="shared" si="294"/>
        <v>27053.184374999997</v>
      </c>
      <c r="BZ446" s="58">
        <f t="shared" si="283"/>
        <v>27053.184374999997</v>
      </c>
      <c r="CA446" s="58">
        <f t="shared" si="294"/>
        <v>27053.184374999997</v>
      </c>
      <c r="CB446" s="58">
        <f t="shared" si="264"/>
        <v>108212.73749999999</v>
      </c>
      <c r="CC446" s="58">
        <f t="shared" si="265"/>
        <v>27053.184374999997</v>
      </c>
      <c r="CD446" s="58">
        <f t="shared" si="301"/>
        <v>27053.184374999997</v>
      </c>
      <c r="CE446" s="58">
        <f t="shared" si="301"/>
        <v>27053.184374999997</v>
      </c>
      <c r="CF446" s="58">
        <f t="shared" si="301"/>
        <v>27053.184374999997</v>
      </c>
      <c r="CG446" s="58">
        <f t="shared" si="266"/>
        <v>108212.73749999999</v>
      </c>
      <c r="CH446" s="58">
        <f t="shared" si="295"/>
        <v>27053.184374999997</v>
      </c>
      <c r="CI446" s="58">
        <f t="shared" si="304"/>
        <v>27053.184374999997</v>
      </c>
      <c r="CJ446" s="58">
        <f t="shared" si="304"/>
        <v>27053.184374999997</v>
      </c>
      <c r="CK446" s="58">
        <f t="shared" si="304"/>
        <v>27053.184374999997</v>
      </c>
      <c r="CL446" s="58">
        <f t="shared" si="297"/>
        <v>108212.73749999999</v>
      </c>
      <c r="CP446" s="2">
        <f t="shared" si="263"/>
        <v>865701.9</v>
      </c>
    </row>
    <row r="447" spans="1:94" hidden="1" x14ac:dyDescent="0.3">
      <c r="A447" s="29">
        <v>442</v>
      </c>
      <c r="B447" s="30" t="s">
        <v>21</v>
      </c>
      <c r="C447" s="30"/>
      <c r="D447" s="30" t="s">
        <v>1041</v>
      </c>
      <c r="E447" s="30" t="s">
        <v>1042</v>
      </c>
      <c r="F447" s="30" t="s">
        <v>1043</v>
      </c>
      <c r="G447" s="30" t="s">
        <v>117</v>
      </c>
      <c r="H447" s="30" t="s">
        <v>1058</v>
      </c>
      <c r="I447" s="30" t="s">
        <v>119</v>
      </c>
      <c r="J447" s="30" t="s">
        <v>1044</v>
      </c>
      <c r="K447" s="30" t="s">
        <v>1044</v>
      </c>
      <c r="L447" s="30" t="s">
        <v>1130</v>
      </c>
      <c r="M447" s="30">
        <v>1005431</v>
      </c>
      <c r="N447" s="30" t="s">
        <v>138</v>
      </c>
      <c r="O447" s="30" t="s">
        <v>1520</v>
      </c>
      <c r="P447" s="30" t="s">
        <v>1179</v>
      </c>
      <c r="Q447" s="30" t="s">
        <v>1180</v>
      </c>
      <c r="R447" s="30" t="s">
        <v>1463</v>
      </c>
      <c r="S447" s="30" t="s">
        <v>1521</v>
      </c>
      <c r="T447" s="30" t="s">
        <v>1183</v>
      </c>
      <c r="U447" s="30" t="s">
        <v>144</v>
      </c>
      <c r="V447" s="30" t="s">
        <v>600</v>
      </c>
      <c r="W447" s="30" t="s">
        <v>1184</v>
      </c>
      <c r="X447" s="30"/>
      <c r="Y447" s="30" t="s">
        <v>128</v>
      </c>
      <c r="Z447" s="30" t="s">
        <v>128</v>
      </c>
      <c r="AA447" s="30" t="s">
        <v>148</v>
      </c>
      <c r="AB447" s="30" t="s">
        <v>1185</v>
      </c>
      <c r="AC447" s="30" t="s">
        <v>1185</v>
      </c>
      <c r="AD447" s="30"/>
      <c r="AE447" s="30"/>
      <c r="AF447" s="30" t="s">
        <v>593</v>
      </c>
      <c r="AG447" s="30" t="s">
        <v>774</v>
      </c>
      <c r="AH447" s="30" t="s">
        <v>1186</v>
      </c>
      <c r="AI447" s="30"/>
      <c r="AJ447" s="50">
        <v>43251</v>
      </c>
      <c r="AK447" s="50">
        <v>43251</v>
      </c>
      <c r="AL447" s="51">
        <f t="shared" si="276"/>
        <v>7.4246575342465757</v>
      </c>
      <c r="AM447" s="30">
        <v>8</v>
      </c>
      <c r="AN447" s="30" t="s">
        <v>1065</v>
      </c>
      <c r="AO447" s="30" t="s">
        <v>1050</v>
      </c>
      <c r="AP447" s="30" t="s">
        <v>1187</v>
      </c>
      <c r="AQ447" s="30">
        <v>3.6</v>
      </c>
      <c r="AR447" s="30">
        <v>2820</v>
      </c>
      <c r="AS447" s="30">
        <v>1154</v>
      </c>
      <c r="AT447" s="30">
        <v>2020</v>
      </c>
      <c r="AU447" s="74">
        <v>435350287</v>
      </c>
      <c r="AV447" s="54"/>
      <c r="AW447" s="54"/>
      <c r="AX447" s="54"/>
      <c r="AY447" s="54">
        <v>381513264</v>
      </c>
      <c r="AZ447" s="54">
        <v>4534899</v>
      </c>
      <c r="BA447" s="74">
        <v>40232326</v>
      </c>
      <c r="BB447" s="55">
        <f>VLOOKUP(M447,[1]Sheet1!$E$6:$F$556,2,FALSE)</f>
        <v>822056</v>
      </c>
      <c r="BC447" s="74"/>
      <c r="BD447" s="74"/>
      <c r="BE447" s="128">
        <v>11.8717137912002</v>
      </c>
      <c r="BF447" s="30" t="s">
        <v>1134</v>
      </c>
      <c r="BG447" s="30" t="s">
        <v>1074</v>
      </c>
      <c r="BH447" s="30" t="s">
        <v>1054</v>
      </c>
      <c r="BI447" s="30" t="str">
        <f t="shared" si="262"/>
        <v>COF(Assy_FT)</v>
      </c>
      <c r="BJ447" s="30" t="s">
        <v>250</v>
      </c>
      <c r="BK447" s="56">
        <f t="shared" si="277"/>
        <v>42243942.300000004</v>
      </c>
      <c r="BL447" s="57">
        <f t="shared" si="291"/>
        <v>1320123.1968750001</v>
      </c>
      <c r="BM447" s="57">
        <f t="shared" si="292"/>
        <v>440041.06562500005</v>
      </c>
      <c r="BU447" s="58">
        <f t="shared" si="288"/>
        <v>1320123.1968750001</v>
      </c>
      <c r="BV447" s="58">
        <f t="shared" si="284"/>
        <v>1320123.1968750001</v>
      </c>
      <c r="BW447" s="58">
        <f t="shared" si="300"/>
        <v>2640246.3937500003</v>
      </c>
      <c r="BX447" s="58">
        <f t="shared" si="293"/>
        <v>1320123.1968750001</v>
      </c>
      <c r="BY447" s="58">
        <f t="shared" si="294"/>
        <v>1320123.1968750001</v>
      </c>
      <c r="BZ447" s="58">
        <f t="shared" si="283"/>
        <v>1320123.1968750001</v>
      </c>
      <c r="CA447" s="58">
        <f t="shared" si="294"/>
        <v>1320123.1968750001</v>
      </c>
      <c r="CB447" s="58">
        <f t="shared" si="264"/>
        <v>5280492.7875000006</v>
      </c>
      <c r="CC447" s="58">
        <f t="shared" si="265"/>
        <v>1320123.1968750001</v>
      </c>
      <c r="CD447" s="58">
        <f t="shared" si="301"/>
        <v>1320123.1968750001</v>
      </c>
      <c r="CE447" s="58">
        <f t="shared" si="301"/>
        <v>1320123.1968750001</v>
      </c>
      <c r="CF447" s="58">
        <f t="shared" si="301"/>
        <v>1320123.1968750001</v>
      </c>
      <c r="CG447" s="58">
        <f t="shared" si="266"/>
        <v>5280492.7875000006</v>
      </c>
      <c r="CH447" s="58">
        <f t="shared" si="295"/>
        <v>1320123.1968750001</v>
      </c>
      <c r="CI447" s="58">
        <f t="shared" si="304"/>
        <v>1320123.1968750001</v>
      </c>
      <c r="CJ447" s="58">
        <f t="shared" si="304"/>
        <v>1320123.1968750001</v>
      </c>
      <c r="CK447" s="58">
        <f t="shared" si="304"/>
        <v>1320123.1968750001</v>
      </c>
      <c r="CL447" s="58">
        <f t="shared" si="297"/>
        <v>5280492.7875000006</v>
      </c>
      <c r="CP447" s="2">
        <f t="shared" si="263"/>
        <v>42243942.300000004</v>
      </c>
    </row>
    <row r="448" spans="1:94" hidden="1" x14ac:dyDescent="0.3">
      <c r="A448" s="29">
        <v>443</v>
      </c>
      <c r="B448" s="30" t="s">
        <v>21</v>
      </c>
      <c r="C448" s="30"/>
      <c r="D448" s="30" t="s">
        <v>1041</v>
      </c>
      <c r="E448" s="30" t="s">
        <v>1042</v>
      </c>
      <c r="F448" s="30" t="s">
        <v>1043</v>
      </c>
      <c r="G448" s="30" t="s">
        <v>117</v>
      </c>
      <c r="H448" s="30" t="s">
        <v>1058</v>
      </c>
      <c r="I448" s="30" t="s">
        <v>119</v>
      </c>
      <c r="J448" s="30" t="s">
        <v>1044</v>
      </c>
      <c r="K448" s="30" t="s">
        <v>1044</v>
      </c>
      <c r="L448" s="30" t="s">
        <v>1130</v>
      </c>
      <c r="M448" s="30">
        <v>1005430</v>
      </c>
      <c r="N448" s="30" t="s">
        <v>138</v>
      </c>
      <c r="O448" s="30" t="s">
        <v>1522</v>
      </c>
      <c r="P448" s="30" t="s">
        <v>1179</v>
      </c>
      <c r="Q448" s="30" t="s">
        <v>1180</v>
      </c>
      <c r="R448" s="30" t="s">
        <v>1463</v>
      </c>
      <c r="S448" s="30" t="s">
        <v>1523</v>
      </c>
      <c r="T448" s="30" t="s">
        <v>1183</v>
      </c>
      <c r="U448" s="30" t="s">
        <v>144</v>
      </c>
      <c r="V448" s="30" t="s">
        <v>600</v>
      </c>
      <c r="W448" s="30" t="s">
        <v>1184</v>
      </c>
      <c r="X448" s="30"/>
      <c r="Y448" s="30" t="s">
        <v>128</v>
      </c>
      <c r="Z448" s="30" t="s">
        <v>128</v>
      </c>
      <c r="AA448" s="30" t="s">
        <v>148</v>
      </c>
      <c r="AB448" s="30" t="s">
        <v>1185</v>
      </c>
      <c r="AC448" s="30" t="s">
        <v>1185</v>
      </c>
      <c r="AD448" s="30"/>
      <c r="AE448" s="30"/>
      <c r="AF448" s="30" t="s">
        <v>593</v>
      </c>
      <c r="AG448" s="30" t="s">
        <v>774</v>
      </c>
      <c r="AH448" s="30" t="s">
        <v>1186</v>
      </c>
      <c r="AI448" s="30"/>
      <c r="AJ448" s="50">
        <v>43251</v>
      </c>
      <c r="AK448" s="50">
        <v>43251</v>
      </c>
      <c r="AL448" s="51">
        <f t="shared" si="276"/>
        <v>7.4246575342465757</v>
      </c>
      <c r="AM448" s="30">
        <v>8</v>
      </c>
      <c r="AN448" s="30" t="s">
        <v>1065</v>
      </c>
      <c r="AO448" s="30" t="s">
        <v>1050</v>
      </c>
      <c r="AP448" s="30" t="s">
        <v>1187</v>
      </c>
      <c r="AQ448" s="30">
        <v>3.6</v>
      </c>
      <c r="AR448" s="30">
        <v>2820</v>
      </c>
      <c r="AS448" s="30">
        <v>1154</v>
      </c>
      <c r="AT448" s="30">
        <v>2020</v>
      </c>
      <c r="AU448" s="74">
        <v>435350284</v>
      </c>
      <c r="AV448" s="54"/>
      <c r="AW448" s="54"/>
      <c r="AX448" s="54"/>
      <c r="AY448" s="54">
        <v>381513264</v>
      </c>
      <c r="AZ448" s="54">
        <v>4534899</v>
      </c>
      <c r="BA448" s="74">
        <v>40232323</v>
      </c>
      <c r="BB448" s="55">
        <f>VLOOKUP(M448,[1]Sheet1!$E$6:$F$556,2,FALSE)</f>
        <v>822056</v>
      </c>
      <c r="BC448" s="74"/>
      <c r="BD448" s="74"/>
      <c r="BE448" s="128">
        <v>11.871713129663968</v>
      </c>
      <c r="BF448" s="30" t="s">
        <v>1134</v>
      </c>
      <c r="BG448" s="30" t="s">
        <v>1074</v>
      </c>
      <c r="BH448" s="30" t="s">
        <v>1054</v>
      </c>
      <c r="BI448" s="30" t="str">
        <f t="shared" si="262"/>
        <v>COF(Assy_FT)</v>
      </c>
      <c r="BJ448" s="30" t="s">
        <v>250</v>
      </c>
      <c r="BK448" s="56">
        <f t="shared" si="277"/>
        <v>42243939.149999999</v>
      </c>
      <c r="BL448" s="57">
        <f t="shared" si="291"/>
        <v>1320123.0984375</v>
      </c>
      <c r="BM448" s="57">
        <f t="shared" si="292"/>
        <v>440041.03281249997</v>
      </c>
      <c r="BU448" s="58">
        <f t="shared" si="288"/>
        <v>1320123.0984375</v>
      </c>
      <c r="BV448" s="58">
        <f t="shared" si="284"/>
        <v>1320123.0984375</v>
      </c>
      <c r="BW448" s="58">
        <f t="shared" si="300"/>
        <v>2640246.1968749999</v>
      </c>
      <c r="BX448" s="58">
        <f t="shared" si="293"/>
        <v>1320123.0984375</v>
      </c>
      <c r="BY448" s="58">
        <f t="shared" si="294"/>
        <v>1320123.0984375</v>
      </c>
      <c r="BZ448" s="58">
        <f t="shared" si="283"/>
        <v>1320123.0984375</v>
      </c>
      <c r="CA448" s="58">
        <f t="shared" si="294"/>
        <v>1320123.0984375</v>
      </c>
      <c r="CB448" s="58">
        <f t="shared" si="264"/>
        <v>5280492.3937499998</v>
      </c>
      <c r="CC448" s="58">
        <f t="shared" si="265"/>
        <v>1320123.0984375</v>
      </c>
      <c r="CD448" s="58">
        <f t="shared" si="301"/>
        <v>1320123.0984375</v>
      </c>
      <c r="CE448" s="58">
        <f t="shared" si="301"/>
        <v>1320123.0984375</v>
      </c>
      <c r="CF448" s="58">
        <f t="shared" si="301"/>
        <v>1320123.0984375</v>
      </c>
      <c r="CG448" s="58">
        <f t="shared" si="266"/>
        <v>5280492.3937499998</v>
      </c>
      <c r="CH448" s="58">
        <f t="shared" si="295"/>
        <v>1320123.0984375</v>
      </c>
      <c r="CI448" s="58">
        <f t="shared" si="304"/>
        <v>1320123.0984375</v>
      </c>
      <c r="CJ448" s="58">
        <f t="shared" si="304"/>
        <v>1320123.0984375</v>
      </c>
      <c r="CK448" s="58">
        <f t="shared" si="304"/>
        <v>1320123.0984375</v>
      </c>
      <c r="CL448" s="58">
        <f t="shared" si="297"/>
        <v>5280492.3937499998</v>
      </c>
      <c r="CP448" s="2">
        <f t="shared" si="263"/>
        <v>42243939.149999999</v>
      </c>
    </row>
    <row r="449" spans="1:94" hidden="1" x14ac:dyDescent="0.3">
      <c r="A449" s="29">
        <v>444</v>
      </c>
      <c r="B449" s="30" t="s">
        <v>21</v>
      </c>
      <c r="C449" s="30"/>
      <c r="D449" s="30" t="s">
        <v>1041</v>
      </c>
      <c r="E449" s="30" t="s">
        <v>1042</v>
      </c>
      <c r="F449" s="30" t="s">
        <v>1043</v>
      </c>
      <c r="G449" s="30" t="s">
        <v>117</v>
      </c>
      <c r="H449" s="30" t="s">
        <v>1058</v>
      </c>
      <c r="I449" s="30" t="s">
        <v>119</v>
      </c>
      <c r="J449" s="30" t="s">
        <v>1044</v>
      </c>
      <c r="K449" s="30" t="s">
        <v>1044</v>
      </c>
      <c r="L449" s="30" t="s">
        <v>1130</v>
      </c>
      <c r="M449" s="30">
        <v>1005429</v>
      </c>
      <c r="N449" s="30" t="s">
        <v>138</v>
      </c>
      <c r="O449" s="30" t="s">
        <v>1524</v>
      </c>
      <c r="P449" s="30" t="s">
        <v>1179</v>
      </c>
      <c r="Q449" s="30" t="s">
        <v>1180</v>
      </c>
      <c r="R449" s="30" t="s">
        <v>1463</v>
      </c>
      <c r="S449" s="30" t="s">
        <v>1525</v>
      </c>
      <c r="T449" s="30" t="s">
        <v>1183</v>
      </c>
      <c r="U449" s="30" t="s">
        <v>144</v>
      </c>
      <c r="V449" s="30" t="s">
        <v>600</v>
      </c>
      <c r="W449" s="30" t="s">
        <v>1184</v>
      </c>
      <c r="X449" s="30"/>
      <c r="Y449" s="30" t="s">
        <v>128</v>
      </c>
      <c r="Z449" s="30" t="s">
        <v>128</v>
      </c>
      <c r="AA449" s="30" t="s">
        <v>148</v>
      </c>
      <c r="AB449" s="30" t="s">
        <v>1185</v>
      </c>
      <c r="AC449" s="30" t="s">
        <v>1185</v>
      </c>
      <c r="AD449" s="30"/>
      <c r="AE449" s="30"/>
      <c r="AF449" s="30" t="s">
        <v>593</v>
      </c>
      <c r="AG449" s="30" t="s">
        <v>774</v>
      </c>
      <c r="AH449" s="30" t="s">
        <v>1186</v>
      </c>
      <c r="AI449" s="30"/>
      <c r="AJ449" s="50">
        <v>43251</v>
      </c>
      <c r="AK449" s="50">
        <v>43251</v>
      </c>
      <c r="AL449" s="51">
        <f t="shared" si="276"/>
        <v>7.4246575342465757</v>
      </c>
      <c r="AM449" s="30">
        <v>8</v>
      </c>
      <c r="AN449" s="30" t="s">
        <v>1065</v>
      </c>
      <c r="AO449" s="30" t="s">
        <v>1050</v>
      </c>
      <c r="AP449" s="30" t="s">
        <v>1187</v>
      </c>
      <c r="AQ449" s="30">
        <v>3.6</v>
      </c>
      <c r="AR449" s="30">
        <v>2820</v>
      </c>
      <c r="AS449" s="30">
        <v>1154</v>
      </c>
      <c r="AT449" s="30">
        <v>2020</v>
      </c>
      <c r="AU449" s="74">
        <v>435350284</v>
      </c>
      <c r="AV449" s="54"/>
      <c r="AW449" s="54"/>
      <c r="AX449" s="54"/>
      <c r="AY449" s="54">
        <v>381513264</v>
      </c>
      <c r="AZ449" s="54">
        <v>4534899</v>
      </c>
      <c r="BA449" s="74">
        <v>40232323</v>
      </c>
      <c r="BB449" s="55">
        <f>VLOOKUP(M449,[1]Sheet1!$E$6:$F$556,2,FALSE)</f>
        <v>822056</v>
      </c>
      <c r="BC449" s="74"/>
      <c r="BD449" s="74"/>
      <c r="BE449" s="128">
        <v>11.871713129663968</v>
      </c>
      <c r="BF449" s="30" t="s">
        <v>1134</v>
      </c>
      <c r="BG449" s="30" t="s">
        <v>1074</v>
      </c>
      <c r="BH449" s="30" t="s">
        <v>1054</v>
      </c>
      <c r="BI449" s="30" t="str">
        <f t="shared" si="262"/>
        <v>COF(Assy_FT)</v>
      </c>
      <c r="BJ449" s="30" t="s">
        <v>250</v>
      </c>
      <c r="BK449" s="56">
        <f t="shared" si="277"/>
        <v>42243939.149999999</v>
      </c>
      <c r="BL449" s="57">
        <f t="shared" si="291"/>
        <v>1320123.0984375</v>
      </c>
      <c r="BM449" s="57">
        <f t="shared" si="292"/>
        <v>440041.03281249997</v>
      </c>
      <c r="BU449" s="58">
        <f t="shared" si="288"/>
        <v>1320123.0984375</v>
      </c>
      <c r="BV449" s="58">
        <f t="shared" si="284"/>
        <v>1320123.0984375</v>
      </c>
      <c r="BW449" s="58">
        <f t="shared" si="300"/>
        <v>2640246.1968749999</v>
      </c>
      <c r="BX449" s="58">
        <f t="shared" si="293"/>
        <v>1320123.0984375</v>
      </c>
      <c r="BY449" s="58">
        <f t="shared" si="294"/>
        <v>1320123.0984375</v>
      </c>
      <c r="BZ449" s="58">
        <f t="shared" si="283"/>
        <v>1320123.0984375</v>
      </c>
      <c r="CA449" s="58">
        <f t="shared" si="294"/>
        <v>1320123.0984375</v>
      </c>
      <c r="CB449" s="58">
        <f t="shared" si="264"/>
        <v>5280492.3937499998</v>
      </c>
      <c r="CC449" s="58">
        <f t="shared" si="265"/>
        <v>1320123.0984375</v>
      </c>
      <c r="CD449" s="58">
        <f t="shared" si="301"/>
        <v>1320123.0984375</v>
      </c>
      <c r="CE449" s="58">
        <f t="shared" si="301"/>
        <v>1320123.0984375</v>
      </c>
      <c r="CF449" s="58">
        <f t="shared" si="301"/>
        <v>1320123.0984375</v>
      </c>
      <c r="CG449" s="58">
        <f t="shared" si="266"/>
        <v>5280492.3937499998</v>
      </c>
      <c r="CH449" s="58">
        <f t="shared" si="295"/>
        <v>1320123.0984375</v>
      </c>
      <c r="CI449" s="58">
        <f t="shared" si="304"/>
        <v>1320123.0984375</v>
      </c>
      <c r="CJ449" s="58">
        <f t="shared" si="304"/>
        <v>1320123.0984375</v>
      </c>
      <c r="CK449" s="58">
        <f t="shared" si="304"/>
        <v>1320123.0984375</v>
      </c>
      <c r="CL449" s="58">
        <f t="shared" si="297"/>
        <v>5280492.3937499998</v>
      </c>
      <c r="CP449" s="2">
        <f t="shared" si="263"/>
        <v>42243939.149999999</v>
      </c>
    </row>
    <row r="450" spans="1:94" ht="16.5" hidden="1" x14ac:dyDescent="0.3">
      <c r="A450" s="2">
        <v>445</v>
      </c>
      <c r="B450" s="47" t="s">
        <v>21</v>
      </c>
      <c r="C450" s="47"/>
      <c r="D450" s="30" t="s">
        <v>1041</v>
      </c>
      <c r="E450" s="30" t="s">
        <v>1042</v>
      </c>
      <c r="F450" s="30" t="s">
        <v>1043</v>
      </c>
      <c r="G450" s="30" t="s">
        <v>117</v>
      </c>
      <c r="H450" s="30" t="s">
        <v>1058</v>
      </c>
      <c r="I450" s="30" t="s">
        <v>119</v>
      </c>
      <c r="J450" s="30" t="s">
        <v>1044</v>
      </c>
      <c r="K450" s="30" t="s">
        <v>1044</v>
      </c>
      <c r="L450" s="30" t="s">
        <v>1526</v>
      </c>
      <c r="M450" s="30">
        <v>1005648</v>
      </c>
      <c r="N450" s="30" t="s">
        <v>138</v>
      </c>
      <c r="O450" s="30" t="s">
        <v>1527</v>
      </c>
      <c r="P450" s="30" t="s">
        <v>1528</v>
      </c>
      <c r="Q450" s="30" t="str">
        <f>P450</f>
        <v>Reelstar-800LM</v>
      </c>
      <c r="R450" s="30"/>
      <c r="S450" s="30" t="s">
        <v>1529</v>
      </c>
      <c r="T450" s="30"/>
      <c r="U450" s="30" t="s">
        <v>144</v>
      </c>
      <c r="V450" s="30" t="s">
        <v>1530</v>
      </c>
      <c r="W450" s="30" t="s">
        <v>1531</v>
      </c>
      <c r="X450" s="30" t="s">
        <v>147</v>
      </c>
      <c r="Y450" s="125" t="s">
        <v>576</v>
      </c>
      <c r="Z450" s="125" t="s">
        <v>576</v>
      </c>
      <c r="AA450" s="30" t="s">
        <v>129</v>
      </c>
      <c r="AB450" s="30" t="s">
        <v>1532</v>
      </c>
      <c r="AC450" s="30" t="s">
        <v>1532</v>
      </c>
      <c r="AD450" s="30"/>
      <c r="AE450" s="30"/>
      <c r="AF450" s="30" t="s">
        <v>131</v>
      </c>
      <c r="AG450" s="30" t="s">
        <v>774</v>
      </c>
      <c r="AH450" s="30"/>
      <c r="AI450" s="30"/>
      <c r="AJ450" s="50">
        <v>43377</v>
      </c>
      <c r="AK450" s="50">
        <v>43377</v>
      </c>
      <c r="AL450" s="51">
        <f t="shared" si="276"/>
        <v>7.0794520547945208</v>
      </c>
      <c r="AM450" s="30">
        <v>8</v>
      </c>
      <c r="AN450" s="30" t="s">
        <v>1065</v>
      </c>
      <c r="AO450" s="30" t="s">
        <v>1050</v>
      </c>
      <c r="AP450" s="30" t="s">
        <v>1051</v>
      </c>
      <c r="AQ450" s="30">
        <v>4.22</v>
      </c>
      <c r="AR450" s="30">
        <v>2812</v>
      </c>
      <c r="AS450" s="30">
        <v>1208</v>
      </c>
      <c r="AT450" s="30">
        <v>2208</v>
      </c>
      <c r="AU450" s="54">
        <v>678892003</v>
      </c>
      <c r="AV450" s="54"/>
      <c r="AW450" s="54"/>
      <c r="AX450" s="54"/>
      <c r="AY450" s="54">
        <v>356067113</v>
      </c>
      <c r="AZ450" s="54">
        <v>7071792</v>
      </c>
      <c r="BA450" s="54">
        <v>301609514</v>
      </c>
      <c r="BB450" s="55">
        <f>VLOOKUP(M450,[1]Sheet1!$E$6:$F$556,2,FALSE)</f>
        <v>20203853</v>
      </c>
      <c r="BC450" s="74"/>
      <c r="BD450" s="74"/>
      <c r="BE450" s="128">
        <v>45.649658530680767</v>
      </c>
      <c r="BF450" s="30" t="s">
        <v>1134</v>
      </c>
      <c r="BG450" s="30" t="s">
        <v>1342</v>
      </c>
      <c r="BH450" s="30" t="s">
        <v>1054</v>
      </c>
      <c r="BI450" s="30" t="str">
        <f t="shared" si="262"/>
        <v>COF(Assy_FT)</v>
      </c>
      <c r="BJ450" s="47" t="s">
        <v>137</v>
      </c>
      <c r="BK450" s="67">
        <f t="shared" si="277"/>
        <v>316689989.69999999</v>
      </c>
      <c r="BL450" s="68">
        <f t="shared" si="291"/>
        <v>30189650.67738121</v>
      </c>
      <c r="BM450" s="68">
        <f t="shared" si="292"/>
        <v>10063216.892460404</v>
      </c>
      <c r="BP450" s="69">
        <f>BM450*3</f>
        <v>30189650.67738121</v>
      </c>
      <c r="BQ450" s="69">
        <f>BP450</f>
        <v>30189650.67738121</v>
      </c>
      <c r="BR450" s="69">
        <f>SUM(BN450:BQ450)</f>
        <v>60379301.35476242</v>
      </c>
      <c r="BS450" s="69">
        <f>BQ450</f>
        <v>30189650.67738121</v>
      </c>
      <c r="BT450" s="69">
        <f>BS450</f>
        <v>30189650.67738121</v>
      </c>
      <c r="BU450" s="100">
        <f>BT450</f>
        <v>30189650.67738121</v>
      </c>
      <c r="BV450" s="100">
        <f>BU450</f>
        <v>30189650.67738121</v>
      </c>
      <c r="BW450" s="100">
        <f>SUM(BS450:BV450)</f>
        <v>120758602.70952484</v>
      </c>
      <c r="BX450" s="101">
        <f t="shared" si="293"/>
        <v>30189650.67738121</v>
      </c>
      <c r="BY450" s="101">
        <f t="shared" si="294"/>
        <v>30189650.67738121</v>
      </c>
      <c r="BZ450" s="18">
        <f t="shared" si="294"/>
        <v>30189650.67738121</v>
      </c>
      <c r="CA450" s="18">
        <f t="shared" si="294"/>
        <v>30189650.67738121</v>
      </c>
      <c r="CB450" s="70">
        <f t="shared" si="264"/>
        <v>120758602.70952484</v>
      </c>
      <c r="CC450" s="18">
        <f t="shared" si="265"/>
        <v>30189650.67738121</v>
      </c>
      <c r="CD450" s="18">
        <f t="shared" si="301"/>
        <v>30189650.67738121</v>
      </c>
      <c r="CE450" s="18">
        <f t="shared" si="301"/>
        <v>30189650.67738121</v>
      </c>
      <c r="CF450" s="18">
        <f t="shared" si="301"/>
        <v>30189650.67738121</v>
      </c>
      <c r="CG450" s="70">
        <f t="shared" si="266"/>
        <v>120758602.70952484</v>
      </c>
      <c r="CH450" s="18">
        <f t="shared" si="295"/>
        <v>30189650.67738121</v>
      </c>
      <c r="CI450" s="18">
        <f t="shared" si="304"/>
        <v>30189650.67738121</v>
      </c>
      <c r="CJ450" s="18">
        <f t="shared" si="304"/>
        <v>30189650.67738121</v>
      </c>
      <c r="CK450" s="18">
        <f t="shared" si="304"/>
        <v>30189650.67738121</v>
      </c>
      <c r="CL450" s="70">
        <f t="shared" si="297"/>
        <v>120758602.70952484</v>
      </c>
      <c r="CM450" s="71"/>
      <c r="CN450" s="59">
        <f>BK450/$CN$3</f>
        <v>3.0922801522676131E-2</v>
      </c>
      <c r="CO450" s="64">
        <f>CN450*$CO$4</f>
        <v>649378831.97619879</v>
      </c>
      <c r="CP450" s="2">
        <f t="shared" si="263"/>
        <v>966068821.67619872</v>
      </c>
    </row>
    <row r="451" spans="1:94" hidden="1" x14ac:dyDescent="0.3">
      <c r="A451" s="29">
        <v>446</v>
      </c>
      <c r="B451" s="30" t="s">
        <v>21</v>
      </c>
      <c r="C451" s="30"/>
      <c r="D451" s="30" t="s">
        <v>1041</v>
      </c>
      <c r="E451" s="30" t="s">
        <v>1042</v>
      </c>
      <c r="F451" s="30" t="s">
        <v>1043</v>
      </c>
      <c r="G451" s="30" t="s">
        <v>117</v>
      </c>
      <c r="H451" s="30" t="s">
        <v>1058</v>
      </c>
      <c r="I451" s="30" t="s">
        <v>119</v>
      </c>
      <c r="J451" s="30" t="s">
        <v>1044</v>
      </c>
      <c r="K451" s="30" t="s">
        <v>1044</v>
      </c>
      <c r="L451" s="30" t="s">
        <v>1120</v>
      </c>
      <c r="M451" s="30">
        <v>1005651</v>
      </c>
      <c r="N451" s="30" t="s">
        <v>138</v>
      </c>
      <c r="O451" s="30" t="s">
        <v>1533</v>
      </c>
      <c r="P451" s="30" t="s">
        <v>1410</v>
      </c>
      <c r="Q451" s="30" t="s">
        <v>1411</v>
      </c>
      <c r="R451" s="30"/>
      <c r="S451" s="30" t="s">
        <v>1534</v>
      </c>
      <c r="T451" s="30"/>
      <c r="U451" s="30" t="s">
        <v>144</v>
      </c>
      <c r="V451" s="30" t="s">
        <v>437</v>
      </c>
      <c r="W451" s="30" t="s">
        <v>1125</v>
      </c>
      <c r="X451" s="30"/>
      <c r="Y451" s="30" t="s">
        <v>457</v>
      </c>
      <c r="Z451" s="30" t="s">
        <v>457</v>
      </c>
      <c r="AA451" s="30" t="s">
        <v>129</v>
      </c>
      <c r="AB451" s="127" t="s">
        <v>1129</v>
      </c>
      <c r="AC451" s="30"/>
      <c r="AD451" s="30"/>
      <c r="AE451" s="30"/>
      <c r="AF451" s="30" t="s">
        <v>131</v>
      </c>
      <c r="AG451" s="30" t="s">
        <v>774</v>
      </c>
      <c r="AH451" s="30"/>
      <c r="AI451" s="30"/>
      <c r="AJ451" s="50">
        <v>43364</v>
      </c>
      <c r="AK451" s="50">
        <v>43364</v>
      </c>
      <c r="AL451" s="51">
        <f t="shared" si="276"/>
        <v>7.1150684931506847</v>
      </c>
      <c r="AM451" s="30">
        <v>8</v>
      </c>
      <c r="AN451" s="30" t="s">
        <v>1065</v>
      </c>
      <c r="AO451" s="30" t="s">
        <v>1050</v>
      </c>
      <c r="AP451" s="30" t="s">
        <v>1187</v>
      </c>
      <c r="AQ451" s="30">
        <v>6.6</v>
      </c>
      <c r="AR451" s="30">
        <v>7100</v>
      </c>
      <c r="AS451" s="30">
        <v>820</v>
      </c>
      <c r="AT451" s="30">
        <v>1860</v>
      </c>
      <c r="AU451" s="74">
        <v>247522500</v>
      </c>
      <c r="AV451" s="54"/>
      <c r="AW451" s="54"/>
      <c r="AX451" s="54"/>
      <c r="AY451" s="54">
        <v>214003821</v>
      </c>
      <c r="AZ451" s="54">
        <v>2578359</v>
      </c>
      <c r="BA451" s="74">
        <v>25783602</v>
      </c>
      <c r="BB451" s="55">
        <f>VLOOKUP(M451,[1]Sheet1!$E$6:$F$556,2,FALSE)</f>
        <v>1359457</v>
      </c>
      <c r="BC451" s="74"/>
      <c r="BD451" s="74"/>
      <c r="BE451" s="128">
        <v>13.00000465412303</v>
      </c>
      <c r="BF451" s="30" t="s">
        <v>1134</v>
      </c>
      <c r="BG451" s="30" t="s">
        <v>1117</v>
      </c>
      <c r="BH451" s="30" t="s">
        <v>1054</v>
      </c>
      <c r="BI451" s="30" t="str">
        <f t="shared" si="262"/>
        <v>COF(Assy_FT)</v>
      </c>
      <c r="BJ451" s="30" t="s">
        <v>250</v>
      </c>
      <c r="BK451" s="56">
        <f t="shared" si="277"/>
        <v>27072782.100000001</v>
      </c>
      <c r="BL451" s="57">
        <f t="shared" si="291"/>
        <v>846024.44062500005</v>
      </c>
      <c r="BM451" s="57">
        <f t="shared" si="292"/>
        <v>282008.14687500003</v>
      </c>
      <c r="BU451" s="58">
        <f>BM451*3</f>
        <v>846024.44062500005</v>
      </c>
      <c r="BV451" s="58">
        <f t="shared" ref="BV451:BV484" si="305">BU451</f>
        <v>846024.44062500005</v>
      </c>
      <c r="BW451" s="58">
        <f>SUM(BS451:BV451)</f>
        <v>1692048.8812500001</v>
      </c>
      <c r="BX451" s="58">
        <f t="shared" si="293"/>
        <v>846024.44062500005</v>
      </c>
      <c r="BY451" s="58">
        <f t="shared" si="294"/>
        <v>846024.44062500005</v>
      </c>
      <c r="BZ451" s="58">
        <f>BM451*3</f>
        <v>846024.44062500005</v>
      </c>
      <c r="CA451" s="58">
        <f t="shared" si="294"/>
        <v>846024.44062500005</v>
      </c>
      <c r="CB451" s="58">
        <f t="shared" si="264"/>
        <v>3384097.7625000002</v>
      </c>
      <c r="CC451" s="58">
        <f t="shared" si="265"/>
        <v>846024.44062500005</v>
      </c>
      <c r="CD451" s="58">
        <f t="shared" si="301"/>
        <v>846024.44062500005</v>
      </c>
      <c r="CE451" s="58">
        <f t="shared" si="301"/>
        <v>846024.44062500005</v>
      </c>
      <c r="CF451" s="58">
        <f t="shared" si="301"/>
        <v>846024.44062500005</v>
      </c>
      <c r="CG451" s="58">
        <f t="shared" si="266"/>
        <v>3384097.7625000002</v>
      </c>
      <c r="CH451" s="58">
        <f t="shared" si="295"/>
        <v>846024.44062500005</v>
      </c>
      <c r="CI451" s="58">
        <f t="shared" si="304"/>
        <v>846024.44062500005</v>
      </c>
      <c r="CJ451" s="58">
        <f t="shared" si="304"/>
        <v>846024.44062500005</v>
      </c>
      <c r="CK451" s="58">
        <f t="shared" si="304"/>
        <v>846024.44062500005</v>
      </c>
      <c r="CL451" s="58">
        <f t="shared" si="297"/>
        <v>3384097.7625000002</v>
      </c>
      <c r="CP451" s="2">
        <f t="shared" si="263"/>
        <v>27072782.100000001</v>
      </c>
    </row>
    <row r="452" spans="1:94" hidden="1" x14ac:dyDescent="0.3">
      <c r="A452" s="29">
        <v>447</v>
      </c>
      <c r="B452" s="30" t="s">
        <v>21</v>
      </c>
      <c r="C452" s="30"/>
      <c r="D452" s="30" t="s">
        <v>1041</v>
      </c>
      <c r="E452" s="30" t="s">
        <v>1042</v>
      </c>
      <c r="F452" s="30" t="s">
        <v>1043</v>
      </c>
      <c r="G452" s="30" t="s">
        <v>117</v>
      </c>
      <c r="H452" s="30" t="s">
        <v>1058</v>
      </c>
      <c r="I452" s="30" t="s">
        <v>119</v>
      </c>
      <c r="J452" s="30" t="s">
        <v>1044</v>
      </c>
      <c r="K452" s="30" t="s">
        <v>1044</v>
      </c>
      <c r="L452" s="30" t="s">
        <v>1120</v>
      </c>
      <c r="M452" s="30">
        <v>1005652</v>
      </c>
      <c r="N452" s="30" t="s">
        <v>138</v>
      </c>
      <c r="O452" s="30" t="s">
        <v>1535</v>
      </c>
      <c r="P452" s="30" t="s">
        <v>1410</v>
      </c>
      <c r="Q452" s="30" t="s">
        <v>1411</v>
      </c>
      <c r="R452" s="30"/>
      <c r="S452" s="30" t="s">
        <v>1536</v>
      </c>
      <c r="T452" s="30"/>
      <c r="U452" s="30" t="s">
        <v>144</v>
      </c>
      <c r="V452" s="30" t="s">
        <v>437</v>
      </c>
      <c r="W452" s="30" t="s">
        <v>1125</v>
      </c>
      <c r="X452" s="30"/>
      <c r="Y452" s="30" t="s">
        <v>457</v>
      </c>
      <c r="Z452" s="30" t="s">
        <v>457</v>
      </c>
      <c r="AA452" s="30" t="s">
        <v>129</v>
      </c>
      <c r="AB452" s="127" t="s">
        <v>1129</v>
      </c>
      <c r="AC452" s="30"/>
      <c r="AD452" s="30"/>
      <c r="AE452" s="30"/>
      <c r="AF452" s="30" t="s">
        <v>131</v>
      </c>
      <c r="AG452" s="30" t="s">
        <v>774</v>
      </c>
      <c r="AH452" s="30"/>
      <c r="AI452" s="30"/>
      <c r="AJ452" s="50">
        <v>43364</v>
      </c>
      <c r="AK452" s="50">
        <v>43364</v>
      </c>
      <c r="AL452" s="51">
        <f t="shared" si="276"/>
        <v>7.1150684931506847</v>
      </c>
      <c r="AM452" s="30">
        <v>8</v>
      </c>
      <c r="AN452" s="30" t="s">
        <v>1065</v>
      </c>
      <c r="AO452" s="30" t="s">
        <v>1050</v>
      </c>
      <c r="AP452" s="30" t="s">
        <v>1187</v>
      </c>
      <c r="AQ452" s="30">
        <v>6.6</v>
      </c>
      <c r="AR452" s="30">
        <v>7100</v>
      </c>
      <c r="AS452" s="30">
        <v>820</v>
      </c>
      <c r="AT452" s="30">
        <v>1860</v>
      </c>
      <c r="AU452" s="74">
        <v>247522500</v>
      </c>
      <c r="AV452" s="54"/>
      <c r="AW452" s="54"/>
      <c r="AX452" s="54"/>
      <c r="AY452" s="54">
        <v>214003821</v>
      </c>
      <c r="AZ452" s="54">
        <v>2578359</v>
      </c>
      <c r="BA452" s="74">
        <v>25783602</v>
      </c>
      <c r="BB452" s="55">
        <f>VLOOKUP(M452,[1]Sheet1!$E$6:$F$556,2,FALSE)</f>
        <v>1359457</v>
      </c>
      <c r="BC452" s="74"/>
      <c r="BD452" s="74"/>
      <c r="BE452" s="128">
        <v>13.00000465412303</v>
      </c>
      <c r="BF452" s="30" t="s">
        <v>1134</v>
      </c>
      <c r="BG452" s="30" t="s">
        <v>1117</v>
      </c>
      <c r="BH452" s="30" t="s">
        <v>1054</v>
      </c>
      <c r="BI452" s="30" t="str">
        <f t="shared" si="262"/>
        <v>COF(Assy_FT)</v>
      </c>
      <c r="BJ452" s="30" t="s">
        <v>250</v>
      </c>
      <c r="BK452" s="56">
        <f t="shared" si="277"/>
        <v>27072782.100000001</v>
      </c>
      <c r="BL452" s="57">
        <f t="shared" si="291"/>
        <v>846024.44062500005</v>
      </c>
      <c r="BM452" s="57">
        <f t="shared" si="292"/>
        <v>282008.14687500003</v>
      </c>
      <c r="BU452" s="58">
        <f>BM452*3</f>
        <v>846024.44062500005</v>
      </c>
      <c r="BV452" s="58">
        <f t="shared" si="305"/>
        <v>846024.44062500005</v>
      </c>
      <c r="BW452" s="58">
        <f>SUM(BS452:BV452)</f>
        <v>1692048.8812500001</v>
      </c>
      <c r="BX452" s="58">
        <f t="shared" si="293"/>
        <v>846024.44062500005</v>
      </c>
      <c r="BY452" s="58">
        <f t="shared" si="294"/>
        <v>846024.44062500005</v>
      </c>
      <c r="BZ452" s="58">
        <f>BM452*3</f>
        <v>846024.44062500005</v>
      </c>
      <c r="CA452" s="58">
        <f t="shared" si="294"/>
        <v>846024.44062500005</v>
      </c>
      <c r="CB452" s="58">
        <f t="shared" si="264"/>
        <v>3384097.7625000002</v>
      </c>
      <c r="CC452" s="58">
        <f t="shared" si="265"/>
        <v>846024.44062500005</v>
      </c>
      <c r="CD452" s="58">
        <f t="shared" si="301"/>
        <v>846024.44062500005</v>
      </c>
      <c r="CE452" s="58">
        <f t="shared" si="301"/>
        <v>846024.44062500005</v>
      </c>
      <c r="CF452" s="58">
        <f t="shared" si="301"/>
        <v>846024.44062500005</v>
      </c>
      <c r="CG452" s="58">
        <f t="shared" si="266"/>
        <v>3384097.7625000002</v>
      </c>
      <c r="CH452" s="58">
        <f t="shared" si="295"/>
        <v>846024.44062500005</v>
      </c>
      <c r="CI452" s="58">
        <f t="shared" si="304"/>
        <v>846024.44062500005</v>
      </c>
      <c r="CJ452" s="58">
        <f t="shared" si="304"/>
        <v>846024.44062500005</v>
      </c>
      <c r="CK452" s="58">
        <f t="shared" si="304"/>
        <v>846024.44062500005</v>
      </c>
      <c r="CL452" s="58">
        <f t="shared" si="297"/>
        <v>3384097.7625000002</v>
      </c>
      <c r="CP452" s="2">
        <f t="shared" si="263"/>
        <v>27072782.100000001</v>
      </c>
    </row>
    <row r="453" spans="1:94" hidden="1" x14ac:dyDescent="0.3">
      <c r="A453" s="29">
        <v>448</v>
      </c>
      <c r="B453" s="30" t="s">
        <v>21</v>
      </c>
      <c r="C453" s="30"/>
      <c r="D453" s="30" t="s">
        <v>1041</v>
      </c>
      <c r="E453" s="30" t="s">
        <v>1042</v>
      </c>
      <c r="F453" s="30" t="s">
        <v>1043</v>
      </c>
      <c r="G453" s="30" t="s">
        <v>117</v>
      </c>
      <c r="H453" s="30" t="s">
        <v>1058</v>
      </c>
      <c r="I453" s="30" t="s">
        <v>119</v>
      </c>
      <c r="J453" s="30" t="s">
        <v>1044</v>
      </c>
      <c r="K453" s="30" t="s">
        <v>1044</v>
      </c>
      <c r="L453" s="30" t="s">
        <v>1120</v>
      </c>
      <c r="M453" s="30">
        <v>1005653</v>
      </c>
      <c r="N453" s="30" t="s">
        <v>138</v>
      </c>
      <c r="O453" s="30" t="s">
        <v>1537</v>
      </c>
      <c r="P453" s="30" t="s">
        <v>1410</v>
      </c>
      <c r="Q453" s="30" t="s">
        <v>1411</v>
      </c>
      <c r="R453" s="30"/>
      <c r="S453" s="30" t="s">
        <v>1538</v>
      </c>
      <c r="T453" s="30"/>
      <c r="U453" s="30" t="s">
        <v>144</v>
      </c>
      <c r="V453" s="30" t="s">
        <v>437</v>
      </c>
      <c r="W453" s="30" t="s">
        <v>1125</v>
      </c>
      <c r="X453" s="30"/>
      <c r="Y453" s="30" t="s">
        <v>457</v>
      </c>
      <c r="Z453" s="30" t="s">
        <v>457</v>
      </c>
      <c r="AA453" s="30" t="s">
        <v>129</v>
      </c>
      <c r="AB453" s="127" t="s">
        <v>1129</v>
      </c>
      <c r="AC453" s="30"/>
      <c r="AD453" s="30"/>
      <c r="AE453" s="30"/>
      <c r="AF453" s="30" t="s">
        <v>131</v>
      </c>
      <c r="AG453" s="30" t="s">
        <v>774</v>
      </c>
      <c r="AH453" s="30"/>
      <c r="AI453" s="30"/>
      <c r="AJ453" s="50">
        <v>43364</v>
      </c>
      <c r="AK453" s="50">
        <v>43364</v>
      </c>
      <c r="AL453" s="51">
        <f t="shared" si="276"/>
        <v>7.1150684931506847</v>
      </c>
      <c r="AM453" s="30">
        <v>8</v>
      </c>
      <c r="AN453" s="30" t="s">
        <v>1065</v>
      </c>
      <c r="AO453" s="30" t="s">
        <v>1050</v>
      </c>
      <c r="AP453" s="30" t="s">
        <v>1187</v>
      </c>
      <c r="AQ453" s="30">
        <v>6.6</v>
      </c>
      <c r="AR453" s="30">
        <v>7100</v>
      </c>
      <c r="AS453" s="30">
        <v>820</v>
      </c>
      <c r="AT453" s="30">
        <v>1860</v>
      </c>
      <c r="AU453" s="74">
        <v>247522500</v>
      </c>
      <c r="AV453" s="54"/>
      <c r="AW453" s="54"/>
      <c r="AX453" s="54"/>
      <c r="AY453" s="54">
        <v>214003821</v>
      </c>
      <c r="AZ453" s="54">
        <v>2578359</v>
      </c>
      <c r="BA453" s="74">
        <v>25783602</v>
      </c>
      <c r="BB453" s="55">
        <f>VLOOKUP(M453,[1]Sheet1!$E$6:$F$556,2,FALSE)</f>
        <v>1359457</v>
      </c>
      <c r="BC453" s="74"/>
      <c r="BD453" s="74"/>
      <c r="BE453" s="128">
        <v>13.00000465412303</v>
      </c>
      <c r="BF453" s="30" t="s">
        <v>1134</v>
      </c>
      <c r="BG453" s="30" t="s">
        <v>1117</v>
      </c>
      <c r="BH453" s="30" t="s">
        <v>1054</v>
      </c>
      <c r="BI453" s="30" t="str">
        <f t="shared" si="262"/>
        <v>COF(Assy_FT)</v>
      </c>
      <c r="BJ453" s="30" t="s">
        <v>250</v>
      </c>
      <c r="BK453" s="56">
        <f t="shared" si="277"/>
        <v>27072782.100000001</v>
      </c>
      <c r="BL453" s="57">
        <f t="shared" si="291"/>
        <v>846024.44062500005</v>
      </c>
      <c r="BM453" s="57">
        <f t="shared" si="292"/>
        <v>282008.14687500003</v>
      </c>
      <c r="BU453" s="58">
        <f>BM453*3</f>
        <v>846024.44062500005</v>
      </c>
      <c r="BV453" s="58">
        <f t="shared" si="305"/>
        <v>846024.44062500005</v>
      </c>
      <c r="BW453" s="58">
        <f>SUM(BS453:BV453)</f>
        <v>1692048.8812500001</v>
      </c>
      <c r="BX453" s="58">
        <f t="shared" si="293"/>
        <v>846024.44062500005</v>
      </c>
      <c r="BY453" s="58">
        <f t="shared" si="294"/>
        <v>846024.44062500005</v>
      </c>
      <c r="BZ453" s="58">
        <f>BM453*3</f>
        <v>846024.44062500005</v>
      </c>
      <c r="CA453" s="58">
        <f t="shared" si="294"/>
        <v>846024.44062500005</v>
      </c>
      <c r="CB453" s="58">
        <f t="shared" si="264"/>
        <v>3384097.7625000002</v>
      </c>
      <c r="CC453" s="58">
        <f t="shared" si="265"/>
        <v>846024.44062500005</v>
      </c>
      <c r="CD453" s="58">
        <f t="shared" si="301"/>
        <v>846024.44062500005</v>
      </c>
      <c r="CE453" s="58">
        <f t="shared" si="301"/>
        <v>846024.44062500005</v>
      </c>
      <c r="CF453" s="58">
        <f t="shared" si="301"/>
        <v>846024.44062500005</v>
      </c>
      <c r="CG453" s="58">
        <f t="shared" si="266"/>
        <v>3384097.7625000002</v>
      </c>
      <c r="CH453" s="58">
        <f t="shared" si="295"/>
        <v>846024.44062500005</v>
      </c>
      <c r="CI453" s="58">
        <f t="shared" si="304"/>
        <v>846024.44062500005</v>
      </c>
      <c r="CJ453" s="58">
        <f t="shared" si="304"/>
        <v>846024.44062500005</v>
      </c>
      <c r="CK453" s="58">
        <f t="shared" si="304"/>
        <v>846024.44062500005</v>
      </c>
      <c r="CL453" s="58">
        <f t="shared" si="297"/>
        <v>3384097.7625000002</v>
      </c>
      <c r="CP453" s="2">
        <f t="shared" si="263"/>
        <v>27072782.100000001</v>
      </c>
    </row>
    <row r="454" spans="1:94" hidden="1" x14ac:dyDescent="0.3">
      <c r="A454" s="29">
        <v>449</v>
      </c>
      <c r="B454" s="30" t="s">
        <v>21</v>
      </c>
      <c r="C454" s="30"/>
      <c r="D454" s="30" t="s">
        <v>1041</v>
      </c>
      <c r="E454" s="30" t="s">
        <v>1042</v>
      </c>
      <c r="F454" s="30" t="s">
        <v>1043</v>
      </c>
      <c r="G454" s="30" t="s">
        <v>117</v>
      </c>
      <c r="H454" s="30" t="s">
        <v>1058</v>
      </c>
      <c r="I454" s="30" t="s">
        <v>119</v>
      </c>
      <c r="J454" s="30" t="s">
        <v>1044</v>
      </c>
      <c r="K454" s="30" t="s">
        <v>1044</v>
      </c>
      <c r="L454" s="30" t="s">
        <v>1120</v>
      </c>
      <c r="M454" s="30">
        <v>1005654</v>
      </c>
      <c r="N454" s="30" t="s">
        <v>138</v>
      </c>
      <c r="O454" s="30" t="s">
        <v>1539</v>
      </c>
      <c r="P454" s="30" t="s">
        <v>1410</v>
      </c>
      <c r="Q454" s="30" t="s">
        <v>1411</v>
      </c>
      <c r="R454" s="30"/>
      <c r="S454" s="30" t="s">
        <v>1540</v>
      </c>
      <c r="T454" s="30"/>
      <c r="U454" s="30" t="s">
        <v>144</v>
      </c>
      <c r="V454" s="30" t="s">
        <v>437</v>
      </c>
      <c r="W454" s="30" t="s">
        <v>1125</v>
      </c>
      <c r="X454" s="30"/>
      <c r="Y454" s="30" t="s">
        <v>457</v>
      </c>
      <c r="Z454" s="30" t="s">
        <v>457</v>
      </c>
      <c r="AA454" s="30" t="s">
        <v>129</v>
      </c>
      <c r="AB454" s="127" t="s">
        <v>1129</v>
      </c>
      <c r="AC454" s="30"/>
      <c r="AD454" s="30"/>
      <c r="AE454" s="30"/>
      <c r="AF454" s="30" t="s">
        <v>131</v>
      </c>
      <c r="AG454" s="30" t="s">
        <v>774</v>
      </c>
      <c r="AH454" s="30"/>
      <c r="AI454" s="30"/>
      <c r="AJ454" s="50">
        <v>43364</v>
      </c>
      <c r="AK454" s="50">
        <v>43364</v>
      </c>
      <c r="AL454" s="51">
        <f t="shared" si="276"/>
        <v>7.1150684931506847</v>
      </c>
      <c r="AM454" s="30">
        <v>8</v>
      </c>
      <c r="AN454" s="30" t="s">
        <v>1065</v>
      </c>
      <c r="AO454" s="30" t="s">
        <v>1050</v>
      </c>
      <c r="AP454" s="30" t="s">
        <v>1187</v>
      </c>
      <c r="AQ454" s="30">
        <v>6.6</v>
      </c>
      <c r="AR454" s="30">
        <v>7100</v>
      </c>
      <c r="AS454" s="30">
        <v>820</v>
      </c>
      <c r="AT454" s="30">
        <v>1860</v>
      </c>
      <c r="AU454" s="74">
        <v>247522500</v>
      </c>
      <c r="AV454" s="54"/>
      <c r="AW454" s="54"/>
      <c r="AX454" s="54"/>
      <c r="AY454" s="54">
        <v>214003821</v>
      </c>
      <c r="AZ454" s="54">
        <v>2578359</v>
      </c>
      <c r="BA454" s="74">
        <v>25783602</v>
      </c>
      <c r="BB454" s="55">
        <f>VLOOKUP(M454,[1]Sheet1!$E$6:$F$556,2,FALSE)</f>
        <v>1359457</v>
      </c>
      <c r="BC454" s="74"/>
      <c r="BD454" s="74"/>
      <c r="BE454" s="128">
        <v>13.00000465412303</v>
      </c>
      <c r="BF454" s="30" t="s">
        <v>1134</v>
      </c>
      <c r="BG454" s="30" t="s">
        <v>1117</v>
      </c>
      <c r="BH454" s="30" t="s">
        <v>1054</v>
      </c>
      <c r="BI454" s="30" t="str">
        <f t="shared" si="262"/>
        <v>COF(Assy_FT)</v>
      </c>
      <c r="BJ454" s="30" t="s">
        <v>250</v>
      </c>
      <c r="BK454" s="56">
        <f t="shared" si="277"/>
        <v>27072782.100000001</v>
      </c>
      <c r="BL454" s="57">
        <f t="shared" si="291"/>
        <v>846024.44062500005</v>
      </c>
      <c r="BM454" s="57">
        <f t="shared" si="292"/>
        <v>282008.14687500003</v>
      </c>
      <c r="BU454" s="58">
        <f>BM454*3</f>
        <v>846024.44062500005</v>
      </c>
      <c r="BV454" s="58">
        <f t="shared" si="305"/>
        <v>846024.44062500005</v>
      </c>
      <c r="BW454" s="58">
        <f>SUM(BS454:BV454)</f>
        <v>1692048.8812500001</v>
      </c>
      <c r="BX454" s="58">
        <f t="shared" si="293"/>
        <v>846024.44062500005</v>
      </c>
      <c r="BY454" s="58">
        <f t="shared" si="294"/>
        <v>846024.44062500005</v>
      </c>
      <c r="BZ454" s="58">
        <f>BM454*3</f>
        <v>846024.44062500005</v>
      </c>
      <c r="CA454" s="58">
        <f t="shared" si="294"/>
        <v>846024.44062500005</v>
      </c>
      <c r="CB454" s="58">
        <f>SUM(BX454:CA454)</f>
        <v>3384097.7625000002</v>
      </c>
      <c r="CC454" s="58">
        <f>CA454</f>
        <v>846024.44062500005</v>
      </c>
      <c r="CD454" s="58">
        <f t="shared" si="301"/>
        <v>846024.44062500005</v>
      </c>
      <c r="CE454" s="58">
        <f t="shared" si="301"/>
        <v>846024.44062500005</v>
      </c>
      <c r="CF454" s="58">
        <f t="shared" si="301"/>
        <v>846024.44062500005</v>
      </c>
      <c r="CG454" s="58">
        <f>SUM(CC454:CF454)</f>
        <v>3384097.7625000002</v>
      </c>
      <c r="CH454" s="58">
        <f t="shared" si="295"/>
        <v>846024.44062500005</v>
      </c>
      <c r="CI454" s="58">
        <f t="shared" si="304"/>
        <v>846024.44062500005</v>
      </c>
      <c r="CJ454" s="58">
        <f t="shared" si="304"/>
        <v>846024.44062500005</v>
      </c>
      <c r="CK454" s="58">
        <f t="shared" si="304"/>
        <v>846024.44062500005</v>
      </c>
      <c r="CL454" s="58">
        <f t="shared" si="297"/>
        <v>3384097.7625000002</v>
      </c>
      <c r="CP454" s="2">
        <f t="shared" si="263"/>
        <v>27072782.100000001</v>
      </c>
    </row>
    <row r="455" spans="1:94" ht="16.5" hidden="1" x14ac:dyDescent="0.3">
      <c r="A455" s="2">
        <v>450</v>
      </c>
      <c r="B455" s="47" t="s">
        <v>21</v>
      </c>
      <c r="C455" s="47"/>
      <c r="D455" s="30" t="s">
        <v>1041</v>
      </c>
      <c r="E455" s="30" t="s">
        <v>1042</v>
      </c>
      <c r="F455" s="30" t="s">
        <v>1043</v>
      </c>
      <c r="G455" s="30" t="s">
        <v>117</v>
      </c>
      <c r="H455" s="30" t="s">
        <v>1058</v>
      </c>
      <c r="I455" s="30" t="s">
        <v>119</v>
      </c>
      <c r="J455" s="30" t="s">
        <v>1044</v>
      </c>
      <c r="K455" s="30" t="s">
        <v>1044</v>
      </c>
      <c r="L455" s="30" t="s">
        <v>1526</v>
      </c>
      <c r="M455" s="30">
        <v>1005722</v>
      </c>
      <c r="N455" s="30" t="s">
        <v>138</v>
      </c>
      <c r="O455" s="30" t="s">
        <v>1541</v>
      </c>
      <c r="P455" s="30" t="s">
        <v>1528</v>
      </c>
      <c r="Q455" s="30" t="str">
        <f>P455</f>
        <v>Reelstar-800LM</v>
      </c>
      <c r="R455" s="30"/>
      <c r="S455" s="30" t="s">
        <v>1542</v>
      </c>
      <c r="T455" s="30"/>
      <c r="U455" s="30" t="s">
        <v>144</v>
      </c>
      <c r="V455" s="30" t="s">
        <v>1530</v>
      </c>
      <c r="W455" s="30" t="s">
        <v>1531</v>
      </c>
      <c r="X455" s="30" t="s">
        <v>127</v>
      </c>
      <c r="Y455" s="30" t="s">
        <v>576</v>
      </c>
      <c r="Z455" s="30" t="s">
        <v>576</v>
      </c>
      <c r="AA455" s="30" t="s">
        <v>129</v>
      </c>
      <c r="AB455" s="30" t="s">
        <v>1532</v>
      </c>
      <c r="AC455" s="30" t="s">
        <v>1532</v>
      </c>
      <c r="AD455" s="30"/>
      <c r="AE455" s="30"/>
      <c r="AF455" s="30" t="s">
        <v>131</v>
      </c>
      <c r="AG455" s="30" t="s">
        <v>774</v>
      </c>
      <c r="AH455" s="30"/>
      <c r="AI455" s="30"/>
      <c r="AJ455" s="50">
        <v>43481</v>
      </c>
      <c r="AK455" s="50">
        <v>43481</v>
      </c>
      <c r="AL455" s="51">
        <f t="shared" si="276"/>
        <v>6.7945205479452051</v>
      </c>
      <c r="AM455" s="30">
        <v>8</v>
      </c>
      <c r="AN455" s="30" t="s">
        <v>1065</v>
      </c>
      <c r="AO455" s="30" t="s">
        <v>1050</v>
      </c>
      <c r="AP455" s="30" t="s">
        <v>1051</v>
      </c>
      <c r="AQ455" s="30">
        <v>4.22</v>
      </c>
      <c r="AR455" s="30">
        <v>2812</v>
      </c>
      <c r="AS455" s="30">
        <v>1208</v>
      </c>
      <c r="AT455" s="30">
        <v>2208</v>
      </c>
      <c r="AU455" s="54">
        <v>340427001</v>
      </c>
      <c r="AV455" s="54"/>
      <c r="AW455" s="54"/>
      <c r="AX455" s="54"/>
      <c r="AY455" s="54">
        <v>280143055</v>
      </c>
      <c r="AZ455" s="54">
        <v>3546115</v>
      </c>
      <c r="BA455" s="54">
        <v>49645601</v>
      </c>
      <c r="BB455" s="55">
        <f>VLOOKUP(M455,[1]Sheet1!$E$6:$F$556,2,FALSE)</f>
        <v>3364801</v>
      </c>
      <c r="BC455" s="74"/>
      <c r="BD455" s="74"/>
      <c r="BE455" s="128">
        <v>16.999997462011244</v>
      </c>
      <c r="BF455" s="30" t="s">
        <v>1134</v>
      </c>
      <c r="BG455" s="30" t="s">
        <v>1342</v>
      </c>
      <c r="BH455" s="30" t="s">
        <v>1054</v>
      </c>
      <c r="BI455" s="30" t="str">
        <f t="shared" ref="BI455:BI518" si="306">BH455</f>
        <v>COF(Assy_FT)</v>
      </c>
      <c r="BJ455" s="47" t="s">
        <v>137</v>
      </c>
      <c r="BK455" s="56">
        <f t="shared" si="277"/>
        <v>52127881.050000004</v>
      </c>
      <c r="BL455" s="57">
        <f t="shared" si="291"/>
        <v>4969284.0652853129</v>
      </c>
      <c r="BM455" s="57">
        <f t="shared" si="292"/>
        <v>1656428.0217617711</v>
      </c>
      <c r="BU455" s="58">
        <f t="shared" ref="BU455:BU469" si="307">BM455*3</f>
        <v>4969284.0652853129</v>
      </c>
      <c r="BV455" s="58">
        <f t="shared" si="305"/>
        <v>4969284.0652853129</v>
      </c>
      <c r="BW455" s="58">
        <f t="shared" ref="BW455:BW469" si="308">SUM(BS455:BV455)</f>
        <v>9938568.1305706259</v>
      </c>
      <c r="BX455" s="58">
        <f t="shared" si="293"/>
        <v>4969284.0652853129</v>
      </c>
      <c r="BY455" s="58">
        <f t="shared" si="294"/>
        <v>4969284.0652853129</v>
      </c>
      <c r="BZ455" s="58">
        <f t="shared" ref="BZ455:BZ495" si="309">BM455*3</f>
        <v>4969284.0652853129</v>
      </c>
      <c r="CA455" s="58">
        <f t="shared" si="294"/>
        <v>4969284.0652853129</v>
      </c>
      <c r="CB455" s="58">
        <f t="shared" ref="CB455:CB517" si="310">SUM(BX455:CA455)</f>
        <v>19877136.261141252</v>
      </c>
      <c r="CC455" s="58">
        <f t="shared" ref="CC455:CC517" si="311">CA455</f>
        <v>4969284.0652853129</v>
      </c>
      <c r="CD455" s="58">
        <f t="shared" si="301"/>
        <v>4969284.0652853129</v>
      </c>
      <c r="CE455" s="58">
        <f t="shared" si="301"/>
        <v>4969284.0652853129</v>
      </c>
      <c r="CF455" s="58">
        <f t="shared" si="301"/>
        <v>4969284.0652853129</v>
      </c>
      <c r="CG455" s="58">
        <f t="shared" ref="CG455:CG517" si="312">SUM(CC455:CF455)</f>
        <v>19877136.261141252</v>
      </c>
      <c r="CH455" s="58">
        <f t="shared" si="295"/>
        <v>4969284.0652853129</v>
      </c>
      <c r="CI455" s="58">
        <f t="shared" si="304"/>
        <v>4969284.0652853129</v>
      </c>
      <c r="CJ455" s="58">
        <f t="shared" si="304"/>
        <v>4969284.0652853129</v>
      </c>
      <c r="CK455" s="58">
        <f t="shared" si="304"/>
        <v>4969284.0652853129</v>
      </c>
      <c r="CL455" s="58">
        <f t="shared" si="297"/>
        <v>19877136.261141252</v>
      </c>
      <c r="CN455" s="59">
        <f t="shared" ref="CN455:CN456" si="313">BK455/$CN$3</f>
        <v>5.0899623351966673E-3</v>
      </c>
      <c r="CO455" s="64">
        <f t="shared" ref="CO455:CO456" si="314">CN455*$CO$4</f>
        <v>106889209.03913002</v>
      </c>
      <c r="CP455" s="2">
        <f t="shared" ref="CP455:CP518" si="315">CO455+BK455</f>
        <v>159017090.08913001</v>
      </c>
    </row>
    <row r="456" spans="1:94" ht="16.5" hidden="1" x14ac:dyDescent="0.3">
      <c r="A456" s="2">
        <v>451</v>
      </c>
      <c r="B456" s="47" t="s">
        <v>21</v>
      </c>
      <c r="C456" s="47"/>
      <c r="D456" s="30" t="s">
        <v>1041</v>
      </c>
      <c r="E456" s="30" t="s">
        <v>1042</v>
      </c>
      <c r="F456" s="30" t="s">
        <v>1043</v>
      </c>
      <c r="G456" s="30" t="s">
        <v>117</v>
      </c>
      <c r="H456" s="30" t="s">
        <v>1058</v>
      </c>
      <c r="I456" s="30" t="s">
        <v>119</v>
      </c>
      <c r="J456" s="30" t="s">
        <v>1044</v>
      </c>
      <c r="K456" s="30" t="s">
        <v>1044</v>
      </c>
      <c r="L456" s="30" t="s">
        <v>1526</v>
      </c>
      <c r="M456" s="30">
        <v>1005723</v>
      </c>
      <c r="N456" s="30" t="s">
        <v>138</v>
      </c>
      <c r="O456" s="30" t="s">
        <v>1543</v>
      </c>
      <c r="P456" s="30" t="s">
        <v>1528</v>
      </c>
      <c r="Q456" s="30" t="str">
        <f>P456</f>
        <v>Reelstar-800LM</v>
      </c>
      <c r="R456" s="30"/>
      <c r="S456" s="30" t="s">
        <v>1544</v>
      </c>
      <c r="T456" s="30"/>
      <c r="U456" s="30" t="s">
        <v>144</v>
      </c>
      <c r="V456" s="30" t="s">
        <v>1530</v>
      </c>
      <c r="W456" s="30" t="s">
        <v>1531</v>
      </c>
      <c r="X456" s="30" t="s">
        <v>127</v>
      </c>
      <c r="Y456" s="30" t="s">
        <v>128</v>
      </c>
      <c r="Z456" s="30" t="s">
        <v>128</v>
      </c>
      <c r="AA456" s="30" t="s">
        <v>129</v>
      </c>
      <c r="AB456" s="30" t="s">
        <v>1532</v>
      </c>
      <c r="AC456" s="30" t="s">
        <v>1532</v>
      </c>
      <c r="AD456" s="30"/>
      <c r="AE456" s="30"/>
      <c r="AF456" s="30" t="s">
        <v>131</v>
      </c>
      <c r="AG456" s="30" t="s">
        <v>774</v>
      </c>
      <c r="AH456" s="30"/>
      <c r="AI456" s="30"/>
      <c r="AJ456" s="50">
        <v>43481</v>
      </c>
      <c r="AK456" s="50">
        <v>43481</v>
      </c>
      <c r="AL456" s="51">
        <f t="shared" si="276"/>
        <v>6.7945205479452051</v>
      </c>
      <c r="AM456" s="30">
        <v>8</v>
      </c>
      <c r="AN456" s="30" t="s">
        <v>1065</v>
      </c>
      <c r="AO456" s="30" t="s">
        <v>1050</v>
      </c>
      <c r="AP456" s="30" t="s">
        <v>1051</v>
      </c>
      <c r="AQ456" s="30">
        <v>4.22</v>
      </c>
      <c r="AR456" s="30">
        <v>2812</v>
      </c>
      <c r="AS456" s="30">
        <v>1208</v>
      </c>
      <c r="AT456" s="30">
        <v>2208</v>
      </c>
      <c r="AU456" s="54">
        <v>340427001</v>
      </c>
      <c r="AV456" s="54"/>
      <c r="AW456" s="54"/>
      <c r="AX456" s="54"/>
      <c r="AY456" s="54">
        <v>280143055</v>
      </c>
      <c r="AZ456" s="54">
        <v>3546115</v>
      </c>
      <c r="BA456" s="54">
        <v>49645601</v>
      </c>
      <c r="BB456" s="55">
        <f>VLOOKUP(M456,[1]Sheet1!$E$6:$F$556,2,FALSE)</f>
        <v>3364801</v>
      </c>
      <c r="BC456" s="74"/>
      <c r="BD456" s="74"/>
      <c r="BE456" s="128">
        <v>16.999997462011244</v>
      </c>
      <c r="BF456" s="30" t="s">
        <v>1134</v>
      </c>
      <c r="BG456" s="30" t="s">
        <v>1342</v>
      </c>
      <c r="BH456" s="30" t="s">
        <v>1054</v>
      </c>
      <c r="BI456" s="30" t="str">
        <f t="shared" si="306"/>
        <v>COF(Assy_FT)</v>
      </c>
      <c r="BJ456" s="47" t="s">
        <v>137</v>
      </c>
      <c r="BK456" s="56">
        <f t="shared" si="277"/>
        <v>52127881.050000004</v>
      </c>
      <c r="BL456" s="57">
        <f t="shared" si="291"/>
        <v>4969284.0652853129</v>
      </c>
      <c r="BM456" s="57">
        <f t="shared" si="292"/>
        <v>1656428.0217617711</v>
      </c>
      <c r="BU456" s="58">
        <f t="shared" si="307"/>
        <v>4969284.0652853129</v>
      </c>
      <c r="BV456" s="58">
        <f t="shared" si="305"/>
        <v>4969284.0652853129</v>
      </c>
      <c r="BW456" s="58">
        <f t="shared" si="308"/>
        <v>9938568.1305706259</v>
      </c>
      <c r="BX456" s="58">
        <f t="shared" si="293"/>
        <v>4969284.0652853129</v>
      </c>
      <c r="BY456" s="58">
        <f t="shared" si="294"/>
        <v>4969284.0652853129</v>
      </c>
      <c r="BZ456" s="58">
        <f t="shared" si="309"/>
        <v>4969284.0652853129</v>
      </c>
      <c r="CA456" s="58">
        <f t="shared" si="294"/>
        <v>4969284.0652853129</v>
      </c>
      <c r="CB456" s="58">
        <f t="shared" si="310"/>
        <v>19877136.261141252</v>
      </c>
      <c r="CC456" s="58">
        <f t="shared" si="311"/>
        <v>4969284.0652853129</v>
      </c>
      <c r="CD456" s="58">
        <f t="shared" ref="CD456:CF473" si="316">CC456</f>
        <v>4969284.0652853129</v>
      </c>
      <c r="CE456" s="58">
        <f t="shared" si="316"/>
        <v>4969284.0652853129</v>
      </c>
      <c r="CF456" s="58">
        <f t="shared" si="316"/>
        <v>4969284.0652853129</v>
      </c>
      <c r="CG456" s="58">
        <f t="shared" si="312"/>
        <v>19877136.261141252</v>
      </c>
      <c r="CH456" s="58">
        <f t="shared" si="295"/>
        <v>4969284.0652853129</v>
      </c>
      <c r="CI456" s="58">
        <f t="shared" si="304"/>
        <v>4969284.0652853129</v>
      </c>
      <c r="CJ456" s="58">
        <f t="shared" si="304"/>
        <v>4969284.0652853129</v>
      </c>
      <c r="CK456" s="58">
        <f t="shared" si="304"/>
        <v>4969284.0652853129</v>
      </c>
      <c r="CL456" s="58">
        <f t="shared" si="297"/>
        <v>19877136.261141252</v>
      </c>
      <c r="CN456" s="59">
        <f t="shared" si="313"/>
        <v>5.0899623351966673E-3</v>
      </c>
      <c r="CO456" s="64">
        <f t="shared" si="314"/>
        <v>106889209.03913002</v>
      </c>
      <c r="CP456" s="2">
        <f t="shared" si="315"/>
        <v>159017090.08913001</v>
      </c>
    </row>
    <row r="457" spans="1:94" hidden="1" x14ac:dyDescent="0.3">
      <c r="A457" s="29">
        <v>452</v>
      </c>
      <c r="B457" s="30" t="s">
        <v>21</v>
      </c>
      <c r="C457" s="30"/>
      <c r="D457" s="30" t="s">
        <v>1041</v>
      </c>
      <c r="E457" s="30" t="s">
        <v>1042</v>
      </c>
      <c r="F457" s="30" t="s">
        <v>1043</v>
      </c>
      <c r="G457" s="30" t="s">
        <v>117</v>
      </c>
      <c r="H457" s="30" t="s">
        <v>1058</v>
      </c>
      <c r="I457" s="30" t="s">
        <v>119</v>
      </c>
      <c r="J457" s="30" t="s">
        <v>1044</v>
      </c>
      <c r="K457" s="30" t="s">
        <v>1044</v>
      </c>
      <c r="L457" s="30" t="s">
        <v>1109</v>
      </c>
      <c r="M457" s="30">
        <v>1005822</v>
      </c>
      <c r="N457" s="30" t="s">
        <v>138</v>
      </c>
      <c r="O457" s="30" t="s">
        <v>1545</v>
      </c>
      <c r="P457" s="30" t="s">
        <v>1111</v>
      </c>
      <c r="Q457" s="30" t="s">
        <v>585</v>
      </c>
      <c r="R457" s="30"/>
      <c r="S457" s="30" t="s">
        <v>1546</v>
      </c>
      <c r="T457" s="30"/>
      <c r="U457" s="30" t="s">
        <v>144</v>
      </c>
      <c r="V457" s="30" t="s">
        <v>437</v>
      </c>
      <c r="W457" s="30" t="s">
        <v>1113</v>
      </c>
      <c r="X457" s="30"/>
      <c r="Y457" s="30" t="s">
        <v>457</v>
      </c>
      <c r="Z457" s="30" t="s">
        <v>457</v>
      </c>
      <c r="AA457" s="30" t="s">
        <v>129</v>
      </c>
      <c r="AB457" s="30" t="s">
        <v>1114</v>
      </c>
      <c r="AC457" s="30" t="s">
        <v>1114</v>
      </c>
      <c r="AD457" s="30" t="s">
        <v>1115</v>
      </c>
      <c r="AE457" s="30"/>
      <c r="AF457" s="30" t="s">
        <v>131</v>
      </c>
      <c r="AG457" s="30" t="s">
        <v>774</v>
      </c>
      <c r="AH457" s="30" t="s">
        <v>1116</v>
      </c>
      <c r="AI457" s="30"/>
      <c r="AJ457" s="50">
        <v>43522</v>
      </c>
      <c r="AK457" s="50">
        <v>43522</v>
      </c>
      <c r="AL457" s="51">
        <f t="shared" si="276"/>
        <v>6.6821917808219178</v>
      </c>
      <c r="AM457" s="30">
        <v>8</v>
      </c>
      <c r="AN457" s="30" t="s">
        <v>1065</v>
      </c>
      <c r="AO457" s="30" t="s">
        <v>1050</v>
      </c>
      <c r="AP457" s="30" t="s">
        <v>1051</v>
      </c>
      <c r="AQ457" s="30">
        <v>5.28</v>
      </c>
      <c r="AR457" s="30">
        <v>1470</v>
      </c>
      <c r="AS457" s="30">
        <v>960</v>
      </c>
      <c r="AT457" s="30">
        <v>1675</v>
      </c>
      <c r="AU457" s="74">
        <v>8830000</v>
      </c>
      <c r="AV457" s="54"/>
      <c r="AW457" s="54"/>
      <c r="AX457" s="54"/>
      <c r="AY457" s="54">
        <v>7174373</v>
      </c>
      <c r="AZ457" s="54">
        <v>91979</v>
      </c>
      <c r="BA457" s="74">
        <v>1379690</v>
      </c>
      <c r="BB457" s="55">
        <f>VLOOKUP(M457,[1]Sheet1!$E$6:$F$556,2,FALSE)</f>
        <v>96965</v>
      </c>
      <c r="BC457" s="74"/>
      <c r="BD457" s="74"/>
      <c r="BE457" s="128">
        <v>18.000054360234401</v>
      </c>
      <c r="BF457" s="30" t="s">
        <v>1134</v>
      </c>
      <c r="BG457" s="30" t="s">
        <v>1117</v>
      </c>
      <c r="BH457" s="30" t="s">
        <v>1054</v>
      </c>
      <c r="BI457" s="30" t="str">
        <f t="shared" si="306"/>
        <v>COF(Assy_FT)</v>
      </c>
      <c r="BJ457" s="30" t="s">
        <v>250</v>
      </c>
      <c r="BK457" s="56">
        <f t="shared" si="277"/>
        <v>1448674.5</v>
      </c>
      <c r="BL457" s="57">
        <f t="shared" si="291"/>
        <v>45271.078125</v>
      </c>
      <c r="BM457" s="57">
        <f t="shared" si="292"/>
        <v>15090.359375</v>
      </c>
      <c r="BU457" s="58">
        <f t="shared" si="307"/>
        <v>45271.078125</v>
      </c>
      <c r="BV457" s="58">
        <f t="shared" si="305"/>
        <v>45271.078125</v>
      </c>
      <c r="BW457" s="58">
        <f t="shared" si="308"/>
        <v>90542.15625</v>
      </c>
      <c r="BX457" s="58">
        <f t="shared" si="293"/>
        <v>45271.078125</v>
      </c>
      <c r="BY457" s="58">
        <f t="shared" si="294"/>
        <v>45271.078125</v>
      </c>
      <c r="BZ457" s="58">
        <f t="shared" si="309"/>
        <v>45271.078125</v>
      </c>
      <c r="CA457" s="58">
        <f t="shared" si="294"/>
        <v>45271.078125</v>
      </c>
      <c r="CB457" s="58">
        <f t="shared" si="310"/>
        <v>181084.3125</v>
      </c>
      <c r="CC457" s="58">
        <f t="shared" si="311"/>
        <v>45271.078125</v>
      </c>
      <c r="CD457" s="58">
        <f t="shared" si="316"/>
        <v>45271.078125</v>
      </c>
      <c r="CE457" s="58">
        <f t="shared" si="316"/>
        <v>45271.078125</v>
      </c>
      <c r="CF457" s="58">
        <f t="shared" si="316"/>
        <v>45271.078125</v>
      </c>
      <c r="CG457" s="58">
        <f t="shared" si="312"/>
        <v>181084.3125</v>
      </c>
      <c r="CH457" s="58">
        <f t="shared" si="295"/>
        <v>45271.078125</v>
      </c>
      <c r="CI457" s="58">
        <f t="shared" si="304"/>
        <v>45271.078125</v>
      </c>
      <c r="CJ457" s="58">
        <f t="shared" si="304"/>
        <v>45271.078125</v>
      </c>
      <c r="CK457" s="58">
        <f t="shared" si="304"/>
        <v>45271.078125</v>
      </c>
      <c r="CL457" s="58">
        <f t="shared" si="297"/>
        <v>181084.3125</v>
      </c>
      <c r="CP457" s="2">
        <f t="shared" si="315"/>
        <v>1448674.5</v>
      </c>
    </row>
    <row r="458" spans="1:94" hidden="1" x14ac:dyDescent="0.3">
      <c r="A458" s="29">
        <v>453</v>
      </c>
      <c r="B458" s="30" t="s">
        <v>21</v>
      </c>
      <c r="C458" s="30"/>
      <c r="D458" s="30" t="s">
        <v>1041</v>
      </c>
      <c r="E458" s="30" t="s">
        <v>1042</v>
      </c>
      <c r="F458" s="30" t="s">
        <v>1043</v>
      </c>
      <c r="G458" s="30" t="s">
        <v>117</v>
      </c>
      <c r="H458" s="30" t="s">
        <v>1058</v>
      </c>
      <c r="I458" s="30" t="s">
        <v>119</v>
      </c>
      <c r="J458" s="30" t="s">
        <v>1044</v>
      </c>
      <c r="K458" s="30" t="s">
        <v>1044</v>
      </c>
      <c r="L458" s="30" t="s">
        <v>1120</v>
      </c>
      <c r="M458" s="30">
        <v>1005823</v>
      </c>
      <c r="N458" s="30" t="s">
        <v>138</v>
      </c>
      <c r="O458" s="30" t="s">
        <v>1547</v>
      </c>
      <c r="P458" s="30" t="s">
        <v>1410</v>
      </c>
      <c r="Q458" s="30" t="s">
        <v>1411</v>
      </c>
      <c r="R458" s="30"/>
      <c r="S458" s="30" t="s">
        <v>1548</v>
      </c>
      <c r="T458" s="30"/>
      <c r="U458" s="30" t="s">
        <v>144</v>
      </c>
      <c r="V458" s="30" t="s">
        <v>437</v>
      </c>
      <c r="W458" s="30" t="s">
        <v>1125</v>
      </c>
      <c r="X458" s="30"/>
      <c r="Y458" s="30" t="s">
        <v>457</v>
      </c>
      <c r="Z458" s="30" t="s">
        <v>457</v>
      </c>
      <c r="AA458" s="30" t="s">
        <v>129</v>
      </c>
      <c r="AB458" s="127" t="s">
        <v>1129</v>
      </c>
      <c r="AC458" s="30"/>
      <c r="AD458" s="30"/>
      <c r="AE458" s="30"/>
      <c r="AF458" s="30" t="s">
        <v>131</v>
      </c>
      <c r="AG458" s="30" t="s">
        <v>774</v>
      </c>
      <c r="AH458" s="30"/>
      <c r="AI458" s="30"/>
      <c r="AJ458" s="50">
        <v>43537</v>
      </c>
      <c r="AK458" s="50">
        <v>43537</v>
      </c>
      <c r="AL458" s="51">
        <f t="shared" si="276"/>
        <v>6.6410958904109592</v>
      </c>
      <c r="AM458" s="30">
        <v>8</v>
      </c>
      <c r="AN458" s="30" t="s">
        <v>1065</v>
      </c>
      <c r="AO458" s="30" t="s">
        <v>1050</v>
      </c>
      <c r="AP458" s="30" t="s">
        <v>1051</v>
      </c>
      <c r="AQ458" s="30">
        <v>6.6</v>
      </c>
      <c r="AR458" s="30">
        <v>7100</v>
      </c>
      <c r="AS458" s="30">
        <v>820</v>
      </c>
      <c r="AT458" s="30">
        <v>1860</v>
      </c>
      <c r="AU458" s="74">
        <v>241022500</v>
      </c>
      <c r="AV458" s="54"/>
      <c r="AW458" s="54"/>
      <c r="AX458" s="54"/>
      <c r="AY458" s="54">
        <v>193320127</v>
      </c>
      <c r="AZ458" s="54">
        <v>2510651</v>
      </c>
      <c r="BA458" s="74">
        <v>40170420</v>
      </c>
      <c r="BB458" s="55">
        <f>VLOOKUP(M458,[1]Sheet1!$E$6:$F$556,2,FALSE)</f>
        <v>2911462</v>
      </c>
      <c r="BC458" s="74"/>
      <c r="BD458" s="74"/>
      <c r="BE458" s="128">
        <v>19.000001593212279</v>
      </c>
      <c r="BF458" s="30" t="s">
        <v>1134</v>
      </c>
      <c r="BG458" s="30" t="s">
        <v>1117</v>
      </c>
      <c r="BH458" s="30" t="s">
        <v>1054</v>
      </c>
      <c r="BI458" s="30" t="str">
        <f t="shared" si="306"/>
        <v>COF(Assy_FT)</v>
      </c>
      <c r="BJ458" s="30" t="s">
        <v>250</v>
      </c>
      <c r="BK458" s="56">
        <f t="shared" si="277"/>
        <v>42178941</v>
      </c>
      <c r="BL458" s="57">
        <f t="shared" si="291"/>
        <v>1318091.90625</v>
      </c>
      <c r="BM458" s="57">
        <f t="shared" si="292"/>
        <v>439363.96875</v>
      </c>
      <c r="BU458" s="58">
        <f t="shared" si="307"/>
        <v>1318091.90625</v>
      </c>
      <c r="BV458" s="58">
        <f t="shared" si="305"/>
        <v>1318091.90625</v>
      </c>
      <c r="BW458" s="58">
        <f t="shared" si="308"/>
        <v>2636183.8125</v>
      </c>
      <c r="BX458" s="58">
        <f t="shared" si="293"/>
        <v>1318091.90625</v>
      </c>
      <c r="BY458" s="58">
        <f t="shared" si="294"/>
        <v>1318091.90625</v>
      </c>
      <c r="BZ458" s="58">
        <f t="shared" si="309"/>
        <v>1318091.90625</v>
      </c>
      <c r="CA458" s="58">
        <f t="shared" si="294"/>
        <v>1318091.90625</v>
      </c>
      <c r="CB458" s="58">
        <f t="shared" si="310"/>
        <v>5272367.625</v>
      </c>
      <c r="CC458" s="58">
        <f t="shared" si="311"/>
        <v>1318091.90625</v>
      </c>
      <c r="CD458" s="58">
        <f t="shared" si="316"/>
        <v>1318091.90625</v>
      </c>
      <c r="CE458" s="58">
        <f t="shared" si="316"/>
        <v>1318091.90625</v>
      </c>
      <c r="CF458" s="58">
        <f t="shared" si="316"/>
        <v>1318091.90625</v>
      </c>
      <c r="CG458" s="58">
        <f t="shared" si="312"/>
        <v>5272367.625</v>
      </c>
      <c r="CH458" s="58">
        <f t="shared" si="295"/>
        <v>1318091.90625</v>
      </c>
      <c r="CI458" s="58">
        <f t="shared" si="304"/>
        <v>1318091.90625</v>
      </c>
      <c r="CJ458" s="58">
        <f t="shared" si="304"/>
        <v>1318091.90625</v>
      </c>
      <c r="CK458" s="58">
        <f t="shared" si="304"/>
        <v>1318091.90625</v>
      </c>
      <c r="CL458" s="58">
        <f t="shared" si="297"/>
        <v>5272367.625</v>
      </c>
      <c r="CP458" s="2">
        <f t="shared" si="315"/>
        <v>42178941</v>
      </c>
    </row>
    <row r="459" spans="1:94" hidden="1" x14ac:dyDescent="0.3">
      <c r="A459" s="29">
        <v>454</v>
      </c>
      <c r="B459" s="30" t="s">
        <v>21</v>
      </c>
      <c r="C459" s="30"/>
      <c r="D459" s="30" t="s">
        <v>1041</v>
      </c>
      <c r="E459" s="30" t="s">
        <v>1042</v>
      </c>
      <c r="F459" s="30" t="s">
        <v>1043</v>
      </c>
      <c r="G459" s="30" t="s">
        <v>117</v>
      </c>
      <c r="H459" s="30" t="s">
        <v>1058</v>
      </c>
      <c r="I459" s="30" t="s">
        <v>119</v>
      </c>
      <c r="J459" s="30" t="s">
        <v>1044</v>
      </c>
      <c r="K459" s="30" t="s">
        <v>1044</v>
      </c>
      <c r="L459" s="30" t="s">
        <v>1120</v>
      </c>
      <c r="M459" s="30">
        <v>1005824</v>
      </c>
      <c r="N459" s="30" t="s">
        <v>138</v>
      </c>
      <c r="O459" s="30" t="s">
        <v>1549</v>
      </c>
      <c r="P459" s="30" t="s">
        <v>1410</v>
      </c>
      <c r="Q459" s="30" t="s">
        <v>1411</v>
      </c>
      <c r="R459" s="30"/>
      <c r="S459" s="30" t="s">
        <v>1550</v>
      </c>
      <c r="T459" s="30"/>
      <c r="U459" s="30" t="s">
        <v>144</v>
      </c>
      <c r="V459" s="30" t="s">
        <v>437</v>
      </c>
      <c r="W459" s="30" t="s">
        <v>1125</v>
      </c>
      <c r="X459" s="30"/>
      <c r="Y459" s="30" t="s">
        <v>457</v>
      </c>
      <c r="Z459" s="30" t="s">
        <v>457</v>
      </c>
      <c r="AA459" s="30" t="s">
        <v>129</v>
      </c>
      <c r="AB459" s="127" t="s">
        <v>1129</v>
      </c>
      <c r="AC459" s="30"/>
      <c r="AD459" s="30"/>
      <c r="AE459" s="30"/>
      <c r="AF459" s="30" t="s">
        <v>131</v>
      </c>
      <c r="AG459" s="30" t="s">
        <v>774</v>
      </c>
      <c r="AH459" s="30"/>
      <c r="AI459" s="30"/>
      <c r="AJ459" s="50">
        <v>43537</v>
      </c>
      <c r="AK459" s="50">
        <v>43537</v>
      </c>
      <c r="AL459" s="51">
        <f t="shared" si="276"/>
        <v>6.6410958904109592</v>
      </c>
      <c r="AM459" s="30">
        <v>8</v>
      </c>
      <c r="AN459" s="30" t="s">
        <v>1065</v>
      </c>
      <c r="AO459" s="30" t="s">
        <v>1050</v>
      </c>
      <c r="AP459" s="30" t="s">
        <v>1051</v>
      </c>
      <c r="AQ459" s="30">
        <v>6.6</v>
      </c>
      <c r="AR459" s="30">
        <v>7100</v>
      </c>
      <c r="AS459" s="30">
        <v>820</v>
      </c>
      <c r="AT459" s="30">
        <v>1860</v>
      </c>
      <c r="AU459" s="74">
        <v>241022500</v>
      </c>
      <c r="AV459" s="54"/>
      <c r="AW459" s="54"/>
      <c r="AX459" s="54"/>
      <c r="AY459" s="54">
        <v>193320127</v>
      </c>
      <c r="AZ459" s="54">
        <v>2510651</v>
      </c>
      <c r="BA459" s="74">
        <v>40170420</v>
      </c>
      <c r="BB459" s="55">
        <f>VLOOKUP(M459,[1]Sheet1!$E$6:$F$556,2,FALSE)</f>
        <v>2911462</v>
      </c>
      <c r="BC459" s="74"/>
      <c r="BD459" s="74"/>
      <c r="BE459" s="128">
        <v>19.000001593212279</v>
      </c>
      <c r="BF459" s="30" t="s">
        <v>1134</v>
      </c>
      <c r="BG459" s="30" t="s">
        <v>1117</v>
      </c>
      <c r="BH459" s="30" t="s">
        <v>1054</v>
      </c>
      <c r="BI459" s="30" t="str">
        <f t="shared" si="306"/>
        <v>COF(Assy_FT)</v>
      </c>
      <c r="BJ459" s="30" t="s">
        <v>250</v>
      </c>
      <c r="BK459" s="56">
        <f t="shared" si="277"/>
        <v>42178941</v>
      </c>
      <c r="BL459" s="57">
        <f t="shared" si="291"/>
        <v>1318091.90625</v>
      </c>
      <c r="BM459" s="57">
        <f t="shared" si="292"/>
        <v>439363.96875</v>
      </c>
      <c r="BU459" s="58">
        <f t="shared" si="307"/>
        <v>1318091.90625</v>
      </c>
      <c r="BV459" s="58">
        <f t="shared" si="305"/>
        <v>1318091.90625</v>
      </c>
      <c r="BW459" s="58">
        <f t="shared" si="308"/>
        <v>2636183.8125</v>
      </c>
      <c r="BX459" s="58">
        <f t="shared" si="293"/>
        <v>1318091.90625</v>
      </c>
      <c r="BY459" s="58">
        <f t="shared" si="294"/>
        <v>1318091.90625</v>
      </c>
      <c r="BZ459" s="58">
        <f t="shared" si="309"/>
        <v>1318091.90625</v>
      </c>
      <c r="CA459" s="58">
        <f t="shared" si="294"/>
        <v>1318091.90625</v>
      </c>
      <c r="CB459" s="58">
        <f t="shared" si="310"/>
        <v>5272367.625</v>
      </c>
      <c r="CC459" s="58">
        <f t="shared" si="311"/>
        <v>1318091.90625</v>
      </c>
      <c r="CD459" s="58">
        <f t="shared" si="316"/>
        <v>1318091.90625</v>
      </c>
      <c r="CE459" s="58">
        <f t="shared" si="316"/>
        <v>1318091.90625</v>
      </c>
      <c r="CF459" s="58">
        <f t="shared" si="316"/>
        <v>1318091.90625</v>
      </c>
      <c r="CG459" s="58">
        <f t="shared" si="312"/>
        <v>5272367.625</v>
      </c>
      <c r="CH459" s="58">
        <f t="shared" si="295"/>
        <v>1318091.90625</v>
      </c>
      <c r="CI459" s="58">
        <f t="shared" si="304"/>
        <v>1318091.90625</v>
      </c>
      <c r="CJ459" s="58">
        <f t="shared" si="304"/>
        <v>1318091.90625</v>
      </c>
      <c r="CK459" s="58">
        <f t="shared" si="304"/>
        <v>1318091.90625</v>
      </c>
      <c r="CL459" s="58">
        <f t="shared" si="297"/>
        <v>5272367.625</v>
      </c>
      <c r="CP459" s="2">
        <f t="shared" si="315"/>
        <v>42178941</v>
      </c>
    </row>
    <row r="460" spans="1:94" hidden="1" x14ac:dyDescent="0.3">
      <c r="A460" s="29">
        <v>455</v>
      </c>
      <c r="B460" s="30" t="s">
        <v>21</v>
      </c>
      <c r="C460" s="30"/>
      <c r="D460" s="30" t="s">
        <v>1041</v>
      </c>
      <c r="E460" s="30" t="s">
        <v>1042</v>
      </c>
      <c r="F460" s="30" t="s">
        <v>1043</v>
      </c>
      <c r="G460" s="30" t="s">
        <v>117</v>
      </c>
      <c r="H460" s="30" t="s">
        <v>1058</v>
      </c>
      <c r="I460" s="30" t="s">
        <v>119</v>
      </c>
      <c r="J460" s="30" t="s">
        <v>1044</v>
      </c>
      <c r="K460" s="30" t="s">
        <v>1044</v>
      </c>
      <c r="L460" s="30" t="s">
        <v>1120</v>
      </c>
      <c r="M460" s="30">
        <v>1005825</v>
      </c>
      <c r="N460" s="30" t="s">
        <v>138</v>
      </c>
      <c r="O460" s="30" t="s">
        <v>1551</v>
      </c>
      <c r="P460" s="30" t="s">
        <v>1410</v>
      </c>
      <c r="Q460" s="30" t="s">
        <v>1411</v>
      </c>
      <c r="R460" s="30"/>
      <c r="S460" s="30" t="s">
        <v>1552</v>
      </c>
      <c r="T460" s="30"/>
      <c r="U460" s="30" t="s">
        <v>144</v>
      </c>
      <c r="V460" s="30" t="s">
        <v>437</v>
      </c>
      <c r="W460" s="30" t="s">
        <v>1125</v>
      </c>
      <c r="X460" s="30"/>
      <c r="Y460" s="30" t="s">
        <v>457</v>
      </c>
      <c r="Z460" s="30" t="s">
        <v>457</v>
      </c>
      <c r="AA460" s="30" t="s">
        <v>129</v>
      </c>
      <c r="AB460" s="127" t="s">
        <v>1129</v>
      </c>
      <c r="AC460" s="30"/>
      <c r="AD460" s="30"/>
      <c r="AE460" s="30"/>
      <c r="AF460" s="30" t="s">
        <v>131</v>
      </c>
      <c r="AG460" s="30" t="s">
        <v>774</v>
      </c>
      <c r="AH460" s="30"/>
      <c r="AI460" s="30"/>
      <c r="AJ460" s="50">
        <v>43537</v>
      </c>
      <c r="AK460" s="50">
        <v>43537</v>
      </c>
      <c r="AL460" s="51">
        <f t="shared" si="276"/>
        <v>6.6410958904109592</v>
      </c>
      <c r="AM460" s="30">
        <v>8</v>
      </c>
      <c r="AN460" s="30" t="s">
        <v>1065</v>
      </c>
      <c r="AO460" s="30" t="s">
        <v>1050</v>
      </c>
      <c r="AP460" s="30" t="s">
        <v>1051</v>
      </c>
      <c r="AQ460" s="30">
        <v>6.6</v>
      </c>
      <c r="AR460" s="30">
        <v>7100</v>
      </c>
      <c r="AS460" s="30">
        <v>820</v>
      </c>
      <c r="AT460" s="30">
        <v>1860</v>
      </c>
      <c r="AU460" s="74">
        <v>241022500</v>
      </c>
      <c r="AV460" s="54"/>
      <c r="AW460" s="54"/>
      <c r="AX460" s="54"/>
      <c r="AY460" s="54">
        <v>193320127</v>
      </c>
      <c r="AZ460" s="54">
        <v>2510651</v>
      </c>
      <c r="BA460" s="74">
        <v>40170420</v>
      </c>
      <c r="BB460" s="55">
        <f>VLOOKUP(M460,[1]Sheet1!$E$6:$F$556,2,FALSE)</f>
        <v>2911462</v>
      </c>
      <c r="BC460" s="74"/>
      <c r="BD460" s="74"/>
      <c r="BE460" s="128">
        <v>19.000001593212279</v>
      </c>
      <c r="BF460" s="30" t="s">
        <v>1134</v>
      </c>
      <c r="BG460" s="30" t="s">
        <v>1117</v>
      </c>
      <c r="BH460" s="30" t="s">
        <v>1054</v>
      </c>
      <c r="BI460" s="30" t="str">
        <f t="shared" si="306"/>
        <v>COF(Assy_FT)</v>
      </c>
      <c r="BJ460" s="30" t="s">
        <v>250</v>
      </c>
      <c r="BK460" s="56">
        <f t="shared" si="277"/>
        <v>42178941</v>
      </c>
      <c r="BL460" s="57">
        <f t="shared" si="291"/>
        <v>1318091.90625</v>
      </c>
      <c r="BM460" s="57">
        <f t="shared" si="292"/>
        <v>439363.96875</v>
      </c>
      <c r="BU460" s="58">
        <f t="shared" si="307"/>
        <v>1318091.90625</v>
      </c>
      <c r="BV460" s="58">
        <f t="shared" si="305"/>
        <v>1318091.90625</v>
      </c>
      <c r="BW460" s="58">
        <f t="shared" si="308"/>
        <v>2636183.8125</v>
      </c>
      <c r="BX460" s="58">
        <f t="shared" si="293"/>
        <v>1318091.90625</v>
      </c>
      <c r="BY460" s="58">
        <f t="shared" si="294"/>
        <v>1318091.90625</v>
      </c>
      <c r="BZ460" s="58">
        <f t="shared" si="309"/>
        <v>1318091.90625</v>
      </c>
      <c r="CA460" s="58">
        <f t="shared" si="294"/>
        <v>1318091.90625</v>
      </c>
      <c r="CB460" s="58">
        <f t="shared" si="310"/>
        <v>5272367.625</v>
      </c>
      <c r="CC460" s="58">
        <f t="shared" si="311"/>
        <v>1318091.90625</v>
      </c>
      <c r="CD460" s="58">
        <f t="shared" si="316"/>
        <v>1318091.90625</v>
      </c>
      <c r="CE460" s="58">
        <f t="shared" si="316"/>
        <v>1318091.90625</v>
      </c>
      <c r="CF460" s="58">
        <f t="shared" si="316"/>
        <v>1318091.90625</v>
      </c>
      <c r="CG460" s="58">
        <f t="shared" si="312"/>
        <v>5272367.625</v>
      </c>
      <c r="CH460" s="58">
        <f t="shared" si="295"/>
        <v>1318091.90625</v>
      </c>
      <c r="CI460" s="58">
        <f t="shared" ref="CI460:CK475" si="317">CH460</f>
        <v>1318091.90625</v>
      </c>
      <c r="CJ460" s="58">
        <f t="shared" si="317"/>
        <v>1318091.90625</v>
      </c>
      <c r="CK460" s="58">
        <f t="shared" si="317"/>
        <v>1318091.90625</v>
      </c>
      <c r="CL460" s="58">
        <f t="shared" si="297"/>
        <v>5272367.625</v>
      </c>
      <c r="CP460" s="2">
        <f t="shared" si="315"/>
        <v>42178941</v>
      </c>
    </row>
    <row r="461" spans="1:94" hidden="1" x14ac:dyDescent="0.3">
      <c r="A461" s="29">
        <v>456</v>
      </c>
      <c r="B461" s="30" t="s">
        <v>21</v>
      </c>
      <c r="C461" s="30"/>
      <c r="D461" s="30" t="s">
        <v>1041</v>
      </c>
      <c r="E461" s="30" t="s">
        <v>1042</v>
      </c>
      <c r="F461" s="30" t="s">
        <v>1043</v>
      </c>
      <c r="G461" s="30" t="s">
        <v>117</v>
      </c>
      <c r="H461" s="30" t="s">
        <v>1058</v>
      </c>
      <c r="I461" s="30" t="s">
        <v>119</v>
      </c>
      <c r="J461" s="30" t="s">
        <v>1044</v>
      </c>
      <c r="K461" s="30" t="s">
        <v>1044</v>
      </c>
      <c r="L461" s="30" t="s">
        <v>1120</v>
      </c>
      <c r="M461" s="30">
        <v>1005826</v>
      </c>
      <c r="N461" s="30" t="s">
        <v>138</v>
      </c>
      <c r="O461" s="30" t="s">
        <v>1553</v>
      </c>
      <c r="P461" s="30" t="s">
        <v>1410</v>
      </c>
      <c r="Q461" s="30" t="s">
        <v>1411</v>
      </c>
      <c r="R461" s="30"/>
      <c r="S461" s="30" t="s">
        <v>1554</v>
      </c>
      <c r="T461" s="30"/>
      <c r="U461" s="30" t="s">
        <v>144</v>
      </c>
      <c r="V461" s="30" t="s">
        <v>437</v>
      </c>
      <c r="W461" s="30" t="s">
        <v>1125</v>
      </c>
      <c r="X461" s="30"/>
      <c r="Y461" s="30" t="s">
        <v>457</v>
      </c>
      <c r="Z461" s="30" t="s">
        <v>457</v>
      </c>
      <c r="AA461" s="30" t="s">
        <v>129</v>
      </c>
      <c r="AB461" s="127" t="s">
        <v>1129</v>
      </c>
      <c r="AC461" s="30"/>
      <c r="AD461" s="30"/>
      <c r="AE461" s="30"/>
      <c r="AF461" s="30" t="s">
        <v>131</v>
      </c>
      <c r="AG461" s="30" t="s">
        <v>774</v>
      </c>
      <c r="AH461" s="30"/>
      <c r="AI461" s="30"/>
      <c r="AJ461" s="50">
        <v>43537</v>
      </c>
      <c r="AK461" s="50">
        <v>43537</v>
      </c>
      <c r="AL461" s="51">
        <f t="shared" si="276"/>
        <v>6.6410958904109592</v>
      </c>
      <c r="AM461" s="30">
        <v>8</v>
      </c>
      <c r="AN461" s="30" t="s">
        <v>1065</v>
      </c>
      <c r="AO461" s="30" t="s">
        <v>1050</v>
      </c>
      <c r="AP461" s="30" t="s">
        <v>1051</v>
      </c>
      <c r="AQ461" s="30">
        <v>6.6</v>
      </c>
      <c r="AR461" s="30">
        <v>7100</v>
      </c>
      <c r="AS461" s="30">
        <v>820</v>
      </c>
      <c r="AT461" s="30">
        <v>1860</v>
      </c>
      <c r="AU461" s="74">
        <v>241022500</v>
      </c>
      <c r="AV461" s="54"/>
      <c r="AW461" s="54"/>
      <c r="AX461" s="54"/>
      <c r="AY461" s="54">
        <v>193320127</v>
      </c>
      <c r="AZ461" s="54">
        <v>2510651</v>
      </c>
      <c r="BA461" s="74">
        <v>40170420</v>
      </c>
      <c r="BB461" s="55">
        <f>VLOOKUP(M461,[1]Sheet1!$E$6:$F$556,2,FALSE)</f>
        <v>2911462</v>
      </c>
      <c r="BC461" s="74"/>
      <c r="BD461" s="74"/>
      <c r="BE461" s="128">
        <v>19.000001593212279</v>
      </c>
      <c r="BF461" s="30" t="s">
        <v>1134</v>
      </c>
      <c r="BG461" s="30" t="s">
        <v>1117</v>
      </c>
      <c r="BH461" s="30" t="s">
        <v>1054</v>
      </c>
      <c r="BI461" s="30" t="str">
        <f t="shared" si="306"/>
        <v>COF(Assy_FT)</v>
      </c>
      <c r="BJ461" s="30" t="s">
        <v>250</v>
      </c>
      <c r="BK461" s="56">
        <f t="shared" si="277"/>
        <v>42178941</v>
      </c>
      <c r="BL461" s="57">
        <f t="shared" si="291"/>
        <v>1318091.90625</v>
      </c>
      <c r="BM461" s="57">
        <f t="shared" si="292"/>
        <v>439363.96875</v>
      </c>
      <c r="BU461" s="58">
        <f t="shared" si="307"/>
        <v>1318091.90625</v>
      </c>
      <c r="BV461" s="58">
        <f t="shared" si="305"/>
        <v>1318091.90625</v>
      </c>
      <c r="BW461" s="58">
        <f t="shared" si="308"/>
        <v>2636183.8125</v>
      </c>
      <c r="BX461" s="58">
        <f t="shared" si="293"/>
        <v>1318091.90625</v>
      </c>
      <c r="BY461" s="58">
        <f t="shared" si="294"/>
        <v>1318091.90625</v>
      </c>
      <c r="BZ461" s="58">
        <f t="shared" si="309"/>
        <v>1318091.90625</v>
      </c>
      <c r="CA461" s="58">
        <f t="shared" si="294"/>
        <v>1318091.90625</v>
      </c>
      <c r="CB461" s="58">
        <f t="shared" si="310"/>
        <v>5272367.625</v>
      </c>
      <c r="CC461" s="58">
        <f t="shared" si="311"/>
        <v>1318091.90625</v>
      </c>
      <c r="CD461" s="58">
        <f t="shared" si="316"/>
        <v>1318091.90625</v>
      </c>
      <c r="CE461" s="58">
        <f t="shared" si="316"/>
        <v>1318091.90625</v>
      </c>
      <c r="CF461" s="58">
        <f t="shared" si="316"/>
        <v>1318091.90625</v>
      </c>
      <c r="CG461" s="58">
        <f t="shared" si="312"/>
        <v>5272367.625</v>
      </c>
      <c r="CH461" s="58">
        <f t="shared" si="295"/>
        <v>1318091.90625</v>
      </c>
      <c r="CI461" s="58">
        <f t="shared" si="317"/>
        <v>1318091.90625</v>
      </c>
      <c r="CJ461" s="58">
        <f t="shared" si="317"/>
        <v>1318091.90625</v>
      </c>
      <c r="CK461" s="58">
        <f t="shared" si="317"/>
        <v>1318091.90625</v>
      </c>
      <c r="CL461" s="58">
        <f t="shared" si="297"/>
        <v>5272367.625</v>
      </c>
      <c r="CP461" s="2">
        <f t="shared" si="315"/>
        <v>42178941</v>
      </c>
    </row>
    <row r="462" spans="1:94" hidden="1" x14ac:dyDescent="0.3">
      <c r="A462" s="29">
        <v>457</v>
      </c>
      <c r="B462" s="30" t="s">
        <v>21</v>
      </c>
      <c r="C462" s="30"/>
      <c r="D462" s="30" t="s">
        <v>1041</v>
      </c>
      <c r="E462" s="30" t="s">
        <v>1042</v>
      </c>
      <c r="F462" s="30" t="s">
        <v>1043</v>
      </c>
      <c r="G462" s="30" t="s">
        <v>117</v>
      </c>
      <c r="H462" s="30" t="s">
        <v>1058</v>
      </c>
      <c r="I462" s="30" t="s">
        <v>119</v>
      </c>
      <c r="J462" s="30" t="s">
        <v>1044</v>
      </c>
      <c r="K462" s="30" t="s">
        <v>1044</v>
      </c>
      <c r="L462" s="30" t="s">
        <v>1120</v>
      </c>
      <c r="M462" s="30">
        <v>1005827</v>
      </c>
      <c r="N462" s="30" t="s">
        <v>138</v>
      </c>
      <c r="O462" s="30" t="s">
        <v>1555</v>
      </c>
      <c r="P462" s="30" t="s">
        <v>1410</v>
      </c>
      <c r="Q462" s="30" t="s">
        <v>1411</v>
      </c>
      <c r="R462" s="30"/>
      <c r="S462" s="30" t="s">
        <v>1556</v>
      </c>
      <c r="T462" s="30"/>
      <c r="U462" s="30" t="s">
        <v>144</v>
      </c>
      <c r="V462" s="30" t="s">
        <v>437</v>
      </c>
      <c r="W462" s="30" t="s">
        <v>1125</v>
      </c>
      <c r="X462" s="30"/>
      <c r="Y462" s="30" t="s">
        <v>457</v>
      </c>
      <c r="Z462" s="30" t="s">
        <v>457</v>
      </c>
      <c r="AA462" s="30" t="s">
        <v>129</v>
      </c>
      <c r="AB462" s="127" t="s">
        <v>1129</v>
      </c>
      <c r="AC462" s="30"/>
      <c r="AD462" s="30"/>
      <c r="AE462" s="30"/>
      <c r="AF462" s="30" t="s">
        <v>131</v>
      </c>
      <c r="AG462" s="30" t="s">
        <v>774</v>
      </c>
      <c r="AH462" s="30"/>
      <c r="AI462" s="30"/>
      <c r="AJ462" s="50">
        <v>43537</v>
      </c>
      <c r="AK462" s="50">
        <v>43537</v>
      </c>
      <c r="AL462" s="51">
        <f t="shared" si="276"/>
        <v>6.6410958904109592</v>
      </c>
      <c r="AM462" s="30">
        <v>8</v>
      </c>
      <c r="AN462" s="30" t="s">
        <v>1065</v>
      </c>
      <c r="AO462" s="30" t="s">
        <v>1050</v>
      </c>
      <c r="AP462" s="30" t="s">
        <v>1051</v>
      </c>
      <c r="AQ462" s="30">
        <v>6.6</v>
      </c>
      <c r="AR462" s="30">
        <v>7100</v>
      </c>
      <c r="AS462" s="30">
        <v>820</v>
      </c>
      <c r="AT462" s="30">
        <v>1860</v>
      </c>
      <c r="AU462" s="74">
        <v>242160000</v>
      </c>
      <c r="AV462" s="54"/>
      <c r="AW462" s="54"/>
      <c r="AX462" s="54"/>
      <c r="AY462" s="54">
        <v>194198126</v>
      </c>
      <c r="AZ462" s="54">
        <v>2522500</v>
      </c>
      <c r="BA462" s="74">
        <v>40394374</v>
      </c>
      <c r="BB462" s="55">
        <f>VLOOKUP(M462,[1]Sheet1!$E$6:$F$556,2,FALSE)</f>
        <v>2928049</v>
      </c>
      <c r="BC462" s="74"/>
      <c r="BD462" s="74"/>
      <c r="BE462" s="128">
        <v>19.013626957383547</v>
      </c>
      <c r="BF462" s="30" t="s">
        <v>1134</v>
      </c>
      <c r="BG462" s="30" t="s">
        <v>1117</v>
      </c>
      <c r="BH462" s="30" t="s">
        <v>1054</v>
      </c>
      <c r="BI462" s="30" t="str">
        <f t="shared" si="306"/>
        <v>COF(Assy_FT)</v>
      </c>
      <c r="BJ462" s="30" t="s">
        <v>250</v>
      </c>
      <c r="BK462" s="56">
        <f t="shared" si="277"/>
        <v>42414092.700000003</v>
      </c>
      <c r="BL462" s="57">
        <f t="shared" si="291"/>
        <v>1325440.3968750001</v>
      </c>
      <c r="BM462" s="57">
        <f t="shared" si="292"/>
        <v>441813.46562500001</v>
      </c>
      <c r="BU462" s="58">
        <f t="shared" si="307"/>
        <v>1325440.3968750001</v>
      </c>
      <c r="BV462" s="58">
        <f t="shared" si="305"/>
        <v>1325440.3968750001</v>
      </c>
      <c r="BW462" s="58">
        <f t="shared" si="308"/>
        <v>2650880.7937500002</v>
      </c>
      <c r="BX462" s="58">
        <f t="shared" si="293"/>
        <v>1325440.3968750001</v>
      </c>
      <c r="BY462" s="58">
        <f t="shared" si="294"/>
        <v>1325440.3968750001</v>
      </c>
      <c r="BZ462" s="58">
        <f t="shared" si="309"/>
        <v>1325440.3968750001</v>
      </c>
      <c r="CA462" s="58">
        <f t="shared" si="294"/>
        <v>1325440.3968750001</v>
      </c>
      <c r="CB462" s="58">
        <f t="shared" si="310"/>
        <v>5301761.5875000004</v>
      </c>
      <c r="CC462" s="58">
        <f t="shared" si="311"/>
        <v>1325440.3968750001</v>
      </c>
      <c r="CD462" s="58">
        <f t="shared" si="316"/>
        <v>1325440.3968750001</v>
      </c>
      <c r="CE462" s="58">
        <f t="shared" si="316"/>
        <v>1325440.3968750001</v>
      </c>
      <c r="CF462" s="58">
        <f t="shared" si="316"/>
        <v>1325440.3968750001</v>
      </c>
      <c r="CG462" s="58">
        <f t="shared" si="312"/>
        <v>5301761.5875000004</v>
      </c>
      <c r="CH462" s="58">
        <f t="shared" si="295"/>
        <v>1325440.3968750001</v>
      </c>
      <c r="CI462" s="58">
        <f t="shared" si="317"/>
        <v>1325440.3968750001</v>
      </c>
      <c r="CJ462" s="58">
        <f t="shared" si="317"/>
        <v>1325440.3968750001</v>
      </c>
      <c r="CK462" s="58">
        <f t="shared" si="317"/>
        <v>1325440.3968750001</v>
      </c>
      <c r="CL462" s="58">
        <f t="shared" si="297"/>
        <v>5301761.5875000004</v>
      </c>
      <c r="CP462" s="2">
        <f t="shared" si="315"/>
        <v>42414092.700000003</v>
      </c>
    </row>
    <row r="463" spans="1:94" hidden="1" x14ac:dyDescent="0.3">
      <c r="A463" s="29">
        <v>458</v>
      </c>
      <c r="B463" s="30" t="s">
        <v>21</v>
      </c>
      <c r="C463" s="30"/>
      <c r="D463" s="30" t="s">
        <v>1041</v>
      </c>
      <c r="E463" s="30" t="s">
        <v>1042</v>
      </c>
      <c r="F463" s="30" t="s">
        <v>1043</v>
      </c>
      <c r="G463" s="30" t="s">
        <v>117</v>
      </c>
      <c r="H463" s="30" t="s">
        <v>1058</v>
      </c>
      <c r="I463" s="30" t="s">
        <v>119</v>
      </c>
      <c r="J463" s="30" t="s">
        <v>1044</v>
      </c>
      <c r="K463" s="30" t="s">
        <v>1044</v>
      </c>
      <c r="L463" s="30" t="s">
        <v>1109</v>
      </c>
      <c r="M463" s="30">
        <v>1005828</v>
      </c>
      <c r="N463" s="30" t="s">
        <v>138</v>
      </c>
      <c r="O463" s="30" t="s">
        <v>1557</v>
      </c>
      <c r="P463" s="30" t="s">
        <v>1111</v>
      </c>
      <c r="Q463" s="30" t="s">
        <v>585</v>
      </c>
      <c r="R463" s="30"/>
      <c r="S463" s="30" t="s">
        <v>1558</v>
      </c>
      <c r="T463" s="30"/>
      <c r="U463" s="30" t="s">
        <v>144</v>
      </c>
      <c r="V463" s="30" t="s">
        <v>437</v>
      </c>
      <c r="W463" s="30" t="s">
        <v>1113</v>
      </c>
      <c r="X463" s="30"/>
      <c r="Y463" s="30" t="s">
        <v>457</v>
      </c>
      <c r="Z463" s="30" t="s">
        <v>457</v>
      </c>
      <c r="AA463" s="30" t="s">
        <v>129</v>
      </c>
      <c r="AB463" s="30" t="s">
        <v>1114</v>
      </c>
      <c r="AC463" s="30" t="s">
        <v>1114</v>
      </c>
      <c r="AD463" s="30" t="s">
        <v>1115</v>
      </c>
      <c r="AE463" s="30"/>
      <c r="AF463" s="30" t="s">
        <v>131</v>
      </c>
      <c r="AG463" s="30" t="s">
        <v>774</v>
      </c>
      <c r="AH463" s="30" t="s">
        <v>1116</v>
      </c>
      <c r="AI463" s="30"/>
      <c r="AJ463" s="50">
        <v>43522</v>
      </c>
      <c r="AK463" s="50">
        <v>43522</v>
      </c>
      <c r="AL463" s="51">
        <f t="shared" si="276"/>
        <v>6.6821917808219178</v>
      </c>
      <c r="AM463" s="30">
        <v>8</v>
      </c>
      <c r="AN463" s="30" t="s">
        <v>1065</v>
      </c>
      <c r="AO463" s="30" t="s">
        <v>1050</v>
      </c>
      <c r="AP463" s="30" t="s">
        <v>1051</v>
      </c>
      <c r="AQ463" s="30">
        <v>5.28</v>
      </c>
      <c r="AR463" s="30">
        <v>1470</v>
      </c>
      <c r="AS463" s="30">
        <v>960</v>
      </c>
      <c r="AT463" s="30">
        <v>1675</v>
      </c>
      <c r="AU463" s="74">
        <v>8830000</v>
      </c>
      <c r="AV463" s="54"/>
      <c r="AW463" s="54"/>
      <c r="AX463" s="54"/>
      <c r="AY463" s="54">
        <v>7174373</v>
      </c>
      <c r="AZ463" s="54">
        <v>91979</v>
      </c>
      <c r="BA463" s="74">
        <v>1379690</v>
      </c>
      <c r="BB463" s="55">
        <f>VLOOKUP(M463,[1]Sheet1!$E$6:$F$556,2,FALSE)</f>
        <v>96965</v>
      </c>
      <c r="BC463" s="74"/>
      <c r="BD463" s="74"/>
      <c r="BE463" s="128">
        <v>18.000054360234401</v>
      </c>
      <c r="BF463" s="30" t="s">
        <v>1134</v>
      </c>
      <c r="BG463" s="30" t="s">
        <v>1117</v>
      </c>
      <c r="BH463" s="30" t="s">
        <v>1054</v>
      </c>
      <c r="BI463" s="30" t="str">
        <f t="shared" si="306"/>
        <v>COF(Assy_FT)</v>
      </c>
      <c r="BJ463" s="30" t="s">
        <v>250</v>
      </c>
      <c r="BK463" s="56">
        <f t="shared" si="277"/>
        <v>1448674.5</v>
      </c>
      <c r="BL463" s="57">
        <f t="shared" si="291"/>
        <v>45271.078125</v>
      </c>
      <c r="BM463" s="57">
        <f t="shared" si="292"/>
        <v>15090.359375</v>
      </c>
      <c r="BU463" s="58">
        <f t="shared" si="307"/>
        <v>45271.078125</v>
      </c>
      <c r="BV463" s="58">
        <f t="shared" si="305"/>
        <v>45271.078125</v>
      </c>
      <c r="BW463" s="58">
        <f t="shared" si="308"/>
        <v>90542.15625</v>
      </c>
      <c r="BX463" s="58">
        <f t="shared" si="293"/>
        <v>45271.078125</v>
      </c>
      <c r="BY463" s="58">
        <f t="shared" si="294"/>
        <v>45271.078125</v>
      </c>
      <c r="BZ463" s="58">
        <f t="shared" si="309"/>
        <v>45271.078125</v>
      </c>
      <c r="CA463" s="58">
        <f t="shared" si="294"/>
        <v>45271.078125</v>
      </c>
      <c r="CB463" s="58">
        <f t="shared" si="310"/>
        <v>181084.3125</v>
      </c>
      <c r="CC463" s="58">
        <f t="shared" si="311"/>
        <v>45271.078125</v>
      </c>
      <c r="CD463" s="58">
        <f t="shared" si="316"/>
        <v>45271.078125</v>
      </c>
      <c r="CE463" s="58">
        <f t="shared" si="316"/>
        <v>45271.078125</v>
      </c>
      <c r="CF463" s="58">
        <f t="shared" si="316"/>
        <v>45271.078125</v>
      </c>
      <c r="CG463" s="58">
        <f t="shared" si="312"/>
        <v>181084.3125</v>
      </c>
      <c r="CH463" s="58">
        <f t="shared" si="295"/>
        <v>45271.078125</v>
      </c>
      <c r="CI463" s="58">
        <f t="shared" si="317"/>
        <v>45271.078125</v>
      </c>
      <c r="CJ463" s="58">
        <f t="shared" si="317"/>
        <v>45271.078125</v>
      </c>
      <c r="CK463" s="58">
        <f t="shared" si="317"/>
        <v>45271.078125</v>
      </c>
      <c r="CL463" s="58">
        <f t="shared" si="297"/>
        <v>181084.3125</v>
      </c>
      <c r="CP463" s="2">
        <f t="shared" si="315"/>
        <v>1448674.5</v>
      </c>
    </row>
    <row r="464" spans="1:94" ht="16.5" hidden="1" x14ac:dyDescent="0.3">
      <c r="A464" s="2">
        <v>459</v>
      </c>
      <c r="B464" s="47" t="s">
        <v>21</v>
      </c>
      <c r="C464" s="47"/>
      <c r="D464" s="30" t="s">
        <v>1041</v>
      </c>
      <c r="E464" s="30" t="s">
        <v>1042</v>
      </c>
      <c r="F464" s="30" t="s">
        <v>1043</v>
      </c>
      <c r="G464" s="30" t="s">
        <v>117</v>
      </c>
      <c r="H464" s="30" t="s">
        <v>1058</v>
      </c>
      <c r="I464" s="30" t="s">
        <v>119</v>
      </c>
      <c r="J464" s="30" t="s">
        <v>1044</v>
      </c>
      <c r="K464" s="30" t="s">
        <v>1044</v>
      </c>
      <c r="L464" s="30" t="s">
        <v>1130</v>
      </c>
      <c r="M464" s="30">
        <v>1005428</v>
      </c>
      <c r="N464" s="30" t="s">
        <v>138</v>
      </c>
      <c r="O464" s="30" t="s">
        <v>1559</v>
      </c>
      <c r="P464" s="30" t="s">
        <v>1179</v>
      </c>
      <c r="Q464" s="30" t="s">
        <v>1180</v>
      </c>
      <c r="R464" s="30" t="s">
        <v>1463</v>
      </c>
      <c r="S464" s="30" t="s">
        <v>1560</v>
      </c>
      <c r="T464" s="30" t="s">
        <v>1183</v>
      </c>
      <c r="U464" s="30" t="s">
        <v>144</v>
      </c>
      <c r="V464" s="30" t="s">
        <v>600</v>
      </c>
      <c r="W464" s="30" t="s">
        <v>1184</v>
      </c>
      <c r="X464" s="30" t="s">
        <v>127</v>
      </c>
      <c r="Y464" s="30" t="s">
        <v>457</v>
      </c>
      <c r="Z464" s="30" t="s">
        <v>457</v>
      </c>
      <c r="AA464" s="30" t="s">
        <v>148</v>
      </c>
      <c r="AB464" s="30" t="s">
        <v>1185</v>
      </c>
      <c r="AC464" s="30" t="s">
        <v>1185</v>
      </c>
      <c r="AD464" s="30"/>
      <c r="AE464" s="30"/>
      <c r="AF464" s="30" t="s">
        <v>593</v>
      </c>
      <c r="AG464" s="30" t="s">
        <v>774</v>
      </c>
      <c r="AH464" s="30" t="s">
        <v>1186</v>
      </c>
      <c r="AI464" s="30"/>
      <c r="AJ464" s="50">
        <v>43251</v>
      </c>
      <c r="AK464" s="50">
        <v>43251</v>
      </c>
      <c r="AL464" s="51">
        <f t="shared" si="276"/>
        <v>7.4246575342465757</v>
      </c>
      <c r="AM464" s="30">
        <v>8</v>
      </c>
      <c r="AN464" s="30" t="s">
        <v>1065</v>
      </c>
      <c r="AO464" s="30" t="s">
        <v>1050</v>
      </c>
      <c r="AP464" s="30" t="s">
        <v>1187</v>
      </c>
      <c r="AQ464" s="30">
        <v>3.6</v>
      </c>
      <c r="AR464" s="30">
        <v>2820</v>
      </c>
      <c r="AS464" s="30">
        <v>1154</v>
      </c>
      <c r="AT464" s="30">
        <v>2020</v>
      </c>
      <c r="AU464" s="54">
        <v>445850284</v>
      </c>
      <c r="AV464" s="54"/>
      <c r="AW464" s="54"/>
      <c r="AX464" s="54"/>
      <c r="AY464" s="54">
        <v>386653884</v>
      </c>
      <c r="AZ464" s="54">
        <v>4644274</v>
      </c>
      <c r="BA464" s="54">
        <v>45263578</v>
      </c>
      <c r="BB464" s="55">
        <f>VLOOKUP(M464,[1]Sheet1!$E$6:$F$556,2,FALSE)</f>
        <v>948890</v>
      </c>
      <c r="BC464" s="74"/>
      <c r="BD464" s="74"/>
      <c r="BE464" s="128">
        <v>12.746104127361994</v>
      </c>
      <c r="BF464" s="30" t="s">
        <v>1134</v>
      </c>
      <c r="BG464" s="30" t="s">
        <v>1074</v>
      </c>
      <c r="BH464" s="30" t="s">
        <v>1054</v>
      </c>
      <c r="BI464" s="30" t="str">
        <f t="shared" si="306"/>
        <v>COF(Assy_FT)</v>
      </c>
      <c r="BJ464" s="47" t="s">
        <v>137</v>
      </c>
      <c r="BK464" s="56">
        <f t="shared" si="277"/>
        <v>47526756.899999999</v>
      </c>
      <c r="BL464" s="57">
        <f t="shared" si="291"/>
        <v>4530664.7993484624</v>
      </c>
      <c r="BM464" s="57">
        <f t="shared" si="292"/>
        <v>1510221.5997828208</v>
      </c>
      <c r="BU464" s="58">
        <f t="shared" si="307"/>
        <v>4530664.7993484624</v>
      </c>
      <c r="BV464" s="58">
        <f t="shared" si="305"/>
        <v>4530664.7993484624</v>
      </c>
      <c r="BW464" s="58">
        <f t="shared" si="308"/>
        <v>9061329.5986969247</v>
      </c>
      <c r="BX464" s="58">
        <f t="shared" si="293"/>
        <v>4530664.7993484624</v>
      </c>
      <c r="BY464" s="58">
        <f t="shared" si="294"/>
        <v>4530664.7993484624</v>
      </c>
      <c r="BZ464" s="58">
        <f t="shared" si="309"/>
        <v>4530664.7993484624</v>
      </c>
      <c r="CA464" s="58">
        <f t="shared" si="294"/>
        <v>4530664.7993484624</v>
      </c>
      <c r="CB464" s="58">
        <f t="shared" si="310"/>
        <v>18122659.197393849</v>
      </c>
      <c r="CC464" s="58">
        <f t="shared" si="311"/>
        <v>4530664.7993484624</v>
      </c>
      <c r="CD464" s="58">
        <f t="shared" si="316"/>
        <v>4530664.7993484624</v>
      </c>
      <c r="CE464" s="58">
        <f t="shared" si="316"/>
        <v>4530664.7993484624</v>
      </c>
      <c r="CF464" s="58">
        <f t="shared" si="316"/>
        <v>4530664.7993484624</v>
      </c>
      <c r="CG464" s="58">
        <f t="shared" si="312"/>
        <v>18122659.197393849</v>
      </c>
      <c r="CH464" s="58">
        <f t="shared" si="295"/>
        <v>4530664.7993484624</v>
      </c>
      <c r="CI464" s="58">
        <f t="shared" si="317"/>
        <v>4530664.7993484624</v>
      </c>
      <c r="CJ464" s="58">
        <f t="shared" si="317"/>
        <v>4530664.7993484624</v>
      </c>
      <c r="CK464" s="58">
        <f t="shared" si="317"/>
        <v>4530664.7993484624</v>
      </c>
      <c r="CL464" s="58">
        <f t="shared" si="297"/>
        <v>18122659.197393849</v>
      </c>
      <c r="CN464" s="59">
        <f t="shared" ref="CN464:CN466" si="318">BK464/$CN$3</f>
        <v>4.6406912704357525E-3</v>
      </c>
      <c r="CO464" s="64">
        <f t="shared" ref="CO464:CO466" si="319">CN464*$CO$4</f>
        <v>97454516.679150805</v>
      </c>
      <c r="CP464" s="2">
        <f t="shared" si="315"/>
        <v>144981273.5791508</v>
      </c>
    </row>
    <row r="465" spans="1:94" ht="16.5" hidden="1" x14ac:dyDescent="0.3">
      <c r="A465" s="2">
        <v>460</v>
      </c>
      <c r="B465" s="47" t="s">
        <v>21</v>
      </c>
      <c r="C465" s="47"/>
      <c r="D465" s="30" t="s">
        <v>1041</v>
      </c>
      <c r="E465" s="30" t="s">
        <v>1042</v>
      </c>
      <c r="F465" s="30" t="s">
        <v>1043</v>
      </c>
      <c r="G465" s="30" t="s">
        <v>117</v>
      </c>
      <c r="H465" s="30" t="s">
        <v>1058</v>
      </c>
      <c r="I465" s="30" t="s">
        <v>119</v>
      </c>
      <c r="J465" s="30" t="s">
        <v>1044</v>
      </c>
      <c r="K465" s="30" t="s">
        <v>1044</v>
      </c>
      <c r="L465" s="30" t="s">
        <v>1130</v>
      </c>
      <c r="M465" s="30">
        <v>1005427</v>
      </c>
      <c r="N465" s="30" t="s">
        <v>138</v>
      </c>
      <c r="O465" s="30" t="s">
        <v>1561</v>
      </c>
      <c r="P465" s="30" t="s">
        <v>1179</v>
      </c>
      <c r="Q465" s="30" t="s">
        <v>1180</v>
      </c>
      <c r="R465" s="30" t="s">
        <v>1463</v>
      </c>
      <c r="S465" s="30" t="s">
        <v>1562</v>
      </c>
      <c r="T465" s="30" t="s">
        <v>1183</v>
      </c>
      <c r="U465" s="30" t="s">
        <v>144</v>
      </c>
      <c r="V465" s="30" t="s">
        <v>600</v>
      </c>
      <c r="W465" s="30" t="s">
        <v>1184</v>
      </c>
      <c r="X465" s="30" t="s">
        <v>127</v>
      </c>
      <c r="Y465" s="30" t="s">
        <v>457</v>
      </c>
      <c r="Z465" s="30" t="s">
        <v>457</v>
      </c>
      <c r="AA465" s="30" t="s">
        <v>148</v>
      </c>
      <c r="AB465" s="30" t="s">
        <v>1185</v>
      </c>
      <c r="AC465" s="30" t="s">
        <v>1185</v>
      </c>
      <c r="AD465" s="30"/>
      <c r="AE465" s="30"/>
      <c r="AF465" s="30" t="s">
        <v>593</v>
      </c>
      <c r="AG465" s="30" t="s">
        <v>774</v>
      </c>
      <c r="AH465" s="30" t="s">
        <v>1186</v>
      </c>
      <c r="AI465" s="30"/>
      <c r="AJ465" s="50">
        <v>43251</v>
      </c>
      <c r="AK465" s="50">
        <v>43251</v>
      </c>
      <c r="AL465" s="51">
        <f t="shared" ref="AL465:AL528" si="320">($AL$1-AK465)/365</f>
        <v>7.4246575342465757</v>
      </c>
      <c r="AM465" s="30">
        <v>8</v>
      </c>
      <c r="AN465" s="30" t="s">
        <v>1065</v>
      </c>
      <c r="AO465" s="30" t="s">
        <v>1050</v>
      </c>
      <c r="AP465" s="30" t="s">
        <v>1187</v>
      </c>
      <c r="AQ465" s="30">
        <v>3.6</v>
      </c>
      <c r="AR465" s="30">
        <v>2820</v>
      </c>
      <c r="AS465" s="30">
        <v>1154</v>
      </c>
      <c r="AT465" s="30">
        <v>2020</v>
      </c>
      <c r="AU465" s="54">
        <v>435350284</v>
      </c>
      <c r="AV465" s="54"/>
      <c r="AW465" s="54"/>
      <c r="AX465" s="54"/>
      <c r="AY465" s="54">
        <v>381513264</v>
      </c>
      <c r="AZ465" s="54">
        <v>4534899</v>
      </c>
      <c r="BA465" s="54">
        <v>40232323</v>
      </c>
      <c r="BB465" s="55">
        <f>VLOOKUP(M465,[1]Sheet1!$E$6:$F$556,2,FALSE)</f>
        <v>822056</v>
      </c>
      <c r="BC465" s="74"/>
      <c r="BD465" s="74"/>
      <c r="BE465" s="128">
        <v>11.871713129663968</v>
      </c>
      <c r="BF465" s="30" t="s">
        <v>1134</v>
      </c>
      <c r="BG465" s="30" t="s">
        <v>1074</v>
      </c>
      <c r="BH465" s="30" t="s">
        <v>1054</v>
      </c>
      <c r="BI465" s="30" t="str">
        <f t="shared" si="306"/>
        <v>COF(Assy_FT)</v>
      </c>
      <c r="BJ465" s="47" t="s">
        <v>137</v>
      </c>
      <c r="BK465" s="56">
        <f t="shared" ref="BK465:BK528" si="321">IF(OR(BA465=1000, BA465=0), AU465*$BQ$1, BA465*(1+$BL$2))</f>
        <v>42243939.149999999</v>
      </c>
      <c r="BL465" s="57">
        <f t="shared" si="291"/>
        <v>4027060.556549849</v>
      </c>
      <c r="BM465" s="57">
        <f t="shared" si="292"/>
        <v>1342353.5188499496</v>
      </c>
      <c r="BU465" s="58">
        <f t="shared" si="307"/>
        <v>4027060.556549849</v>
      </c>
      <c r="BV465" s="58">
        <f t="shared" si="305"/>
        <v>4027060.556549849</v>
      </c>
      <c r="BW465" s="58">
        <f t="shared" si="308"/>
        <v>8054121.113099698</v>
      </c>
      <c r="BX465" s="58">
        <f t="shared" si="293"/>
        <v>4027060.556549849</v>
      </c>
      <c r="BY465" s="58">
        <f t="shared" si="294"/>
        <v>4027060.556549849</v>
      </c>
      <c r="BZ465" s="58">
        <f t="shared" si="309"/>
        <v>4027060.556549849</v>
      </c>
      <c r="CA465" s="58">
        <f t="shared" si="294"/>
        <v>4027060.556549849</v>
      </c>
      <c r="CB465" s="58">
        <f t="shared" si="310"/>
        <v>16108242.226199396</v>
      </c>
      <c r="CC465" s="58">
        <f t="shared" si="311"/>
        <v>4027060.556549849</v>
      </c>
      <c r="CD465" s="58">
        <f t="shared" si="316"/>
        <v>4027060.556549849</v>
      </c>
      <c r="CE465" s="58">
        <f t="shared" si="316"/>
        <v>4027060.556549849</v>
      </c>
      <c r="CF465" s="58">
        <f t="shared" si="316"/>
        <v>4027060.556549849</v>
      </c>
      <c r="CG465" s="58">
        <f t="shared" si="312"/>
        <v>16108242.226199396</v>
      </c>
      <c r="CH465" s="58">
        <f t="shared" si="295"/>
        <v>4027060.556549849</v>
      </c>
      <c r="CI465" s="58">
        <f t="shared" si="317"/>
        <v>4027060.556549849</v>
      </c>
      <c r="CJ465" s="58">
        <f t="shared" si="317"/>
        <v>4027060.556549849</v>
      </c>
      <c r="CK465" s="58">
        <f t="shared" si="317"/>
        <v>4027060.556549849</v>
      </c>
      <c r="CL465" s="58">
        <f t="shared" si="297"/>
        <v>16108242.226199396</v>
      </c>
      <c r="CN465" s="59">
        <f t="shared" si="318"/>
        <v>4.124857079028342E-3</v>
      </c>
      <c r="CO465" s="64">
        <f t="shared" si="319"/>
        <v>86621998.659595177</v>
      </c>
      <c r="CP465" s="2">
        <f t="shared" si="315"/>
        <v>128865937.80959517</v>
      </c>
    </row>
    <row r="466" spans="1:94" ht="16.5" hidden="1" x14ac:dyDescent="0.3">
      <c r="A466" s="2">
        <v>461</v>
      </c>
      <c r="B466" s="47" t="s">
        <v>21</v>
      </c>
      <c r="C466" s="47"/>
      <c r="D466" s="30" t="s">
        <v>1041</v>
      </c>
      <c r="E466" s="30" t="s">
        <v>1042</v>
      </c>
      <c r="F466" s="30" t="s">
        <v>1043</v>
      </c>
      <c r="G466" s="30" t="s">
        <v>117</v>
      </c>
      <c r="H466" s="30" t="s">
        <v>1058</v>
      </c>
      <c r="I466" s="30" t="s">
        <v>119</v>
      </c>
      <c r="J466" s="30" t="s">
        <v>1044</v>
      </c>
      <c r="K466" s="30" t="s">
        <v>1044</v>
      </c>
      <c r="L466" s="30" t="s">
        <v>1130</v>
      </c>
      <c r="M466" s="30">
        <v>1005390</v>
      </c>
      <c r="N466" s="30" t="s">
        <v>138</v>
      </c>
      <c r="O466" s="30" t="s">
        <v>1563</v>
      </c>
      <c r="P466" s="30" t="s">
        <v>1179</v>
      </c>
      <c r="Q466" s="30" t="s">
        <v>1180</v>
      </c>
      <c r="R466" s="30" t="s">
        <v>1463</v>
      </c>
      <c r="S466" s="30" t="s">
        <v>1564</v>
      </c>
      <c r="T466" s="30" t="s">
        <v>1183</v>
      </c>
      <c r="U466" s="30" t="s">
        <v>144</v>
      </c>
      <c r="V466" s="30" t="s">
        <v>600</v>
      </c>
      <c r="W466" s="30" t="s">
        <v>1184</v>
      </c>
      <c r="X466" s="30" t="s">
        <v>127</v>
      </c>
      <c r="Y466" s="30" t="s">
        <v>457</v>
      </c>
      <c r="Z466" s="30" t="s">
        <v>457</v>
      </c>
      <c r="AA466" s="30" t="s">
        <v>148</v>
      </c>
      <c r="AB466" s="30" t="s">
        <v>1185</v>
      </c>
      <c r="AC466" s="30" t="s">
        <v>1185</v>
      </c>
      <c r="AD466" s="30"/>
      <c r="AE466" s="30"/>
      <c r="AF466" s="30" t="s">
        <v>593</v>
      </c>
      <c r="AG466" s="30" t="s">
        <v>774</v>
      </c>
      <c r="AH466" s="30" t="s">
        <v>1186</v>
      </c>
      <c r="AI466" s="30"/>
      <c r="AJ466" s="50">
        <v>43196</v>
      </c>
      <c r="AK466" s="50">
        <v>43196</v>
      </c>
      <c r="AL466" s="51">
        <f t="shared" si="320"/>
        <v>7.5753424657534243</v>
      </c>
      <c r="AM466" s="30">
        <v>8</v>
      </c>
      <c r="AN466" s="30" t="s">
        <v>1065</v>
      </c>
      <c r="AO466" s="30" t="s">
        <v>1050</v>
      </c>
      <c r="AP466" s="30" t="s">
        <v>1187</v>
      </c>
      <c r="AQ466" s="30">
        <v>3.6</v>
      </c>
      <c r="AR466" s="30">
        <v>2820</v>
      </c>
      <c r="AS466" s="30">
        <v>1154</v>
      </c>
      <c r="AT466" s="30">
        <v>2020</v>
      </c>
      <c r="AU466" s="54">
        <v>436631161</v>
      </c>
      <c r="AV466" s="54"/>
      <c r="AW466" s="54"/>
      <c r="AX466" s="54"/>
      <c r="AY466" s="54">
        <v>386957730</v>
      </c>
      <c r="AZ466" s="54">
        <v>4548241</v>
      </c>
      <c r="BA466" s="54">
        <v>36028708</v>
      </c>
      <c r="BB466" s="55">
        <f>VLOOKUP(M466,[1]Sheet1!$E$6:$F$556,2,FALSE)</f>
        <v>1000</v>
      </c>
      <c r="BC466" s="74"/>
      <c r="BD466" s="74"/>
      <c r="BE466" s="128">
        <v>10.92145974674605</v>
      </c>
      <c r="BF466" s="30" t="s">
        <v>1134</v>
      </c>
      <c r="BG466" s="30" t="s">
        <v>1074</v>
      </c>
      <c r="BH466" s="30" t="s">
        <v>1054</v>
      </c>
      <c r="BI466" s="30" t="str">
        <f t="shared" si="306"/>
        <v>COF(Assy_FT)</v>
      </c>
      <c r="BJ466" s="47" t="s">
        <v>137</v>
      </c>
      <c r="BK466" s="56">
        <f t="shared" si="321"/>
        <v>37830143.399999999</v>
      </c>
      <c r="BL466" s="57">
        <f t="shared" si="291"/>
        <v>3606299.0668038735</v>
      </c>
      <c r="BM466" s="57">
        <f t="shared" si="292"/>
        <v>1202099.6889346244</v>
      </c>
      <c r="BU466" s="58">
        <f t="shared" si="307"/>
        <v>3606299.0668038735</v>
      </c>
      <c r="BV466" s="58">
        <f t="shared" si="305"/>
        <v>3606299.0668038735</v>
      </c>
      <c r="BW466" s="58">
        <f t="shared" si="308"/>
        <v>7212598.133607747</v>
      </c>
      <c r="BX466" s="58">
        <f t="shared" si="293"/>
        <v>3606299.0668038735</v>
      </c>
      <c r="BY466" s="58">
        <f t="shared" si="294"/>
        <v>3606299.0668038735</v>
      </c>
      <c r="BZ466" s="58">
        <f t="shared" si="309"/>
        <v>3606299.0668038735</v>
      </c>
      <c r="CA466" s="58">
        <f t="shared" si="294"/>
        <v>3606299.0668038735</v>
      </c>
      <c r="CB466" s="58">
        <f t="shared" si="310"/>
        <v>14425196.267215494</v>
      </c>
      <c r="CC466" s="58">
        <f t="shared" si="311"/>
        <v>3606299.0668038735</v>
      </c>
      <c r="CD466" s="58">
        <f t="shared" si="316"/>
        <v>3606299.0668038735</v>
      </c>
      <c r="CE466" s="58">
        <f t="shared" si="316"/>
        <v>3606299.0668038735</v>
      </c>
      <c r="CF466" s="58">
        <f t="shared" si="316"/>
        <v>3606299.0668038735</v>
      </c>
      <c r="CG466" s="58">
        <f t="shared" si="312"/>
        <v>14425196.267215494</v>
      </c>
      <c r="CH466" s="58">
        <f t="shared" si="295"/>
        <v>3606299.0668038735</v>
      </c>
      <c r="CI466" s="58">
        <f t="shared" si="317"/>
        <v>3606299.0668038735</v>
      </c>
      <c r="CJ466" s="58">
        <f t="shared" si="317"/>
        <v>3606299.0668038735</v>
      </c>
      <c r="CK466" s="58">
        <f t="shared" si="317"/>
        <v>3606299.0668038735</v>
      </c>
      <c r="CL466" s="58">
        <f t="shared" si="297"/>
        <v>14425196.267215494</v>
      </c>
      <c r="CN466" s="59">
        <f t="shared" si="318"/>
        <v>3.6938774637011408E-3</v>
      </c>
      <c r="CO466" s="64">
        <f t="shared" si="319"/>
        <v>77571426.737723961</v>
      </c>
      <c r="CP466" s="2">
        <f t="shared" si="315"/>
        <v>115401570.13772395</v>
      </c>
    </row>
    <row r="467" spans="1:94" hidden="1" x14ac:dyDescent="0.3">
      <c r="A467" s="29">
        <v>462</v>
      </c>
      <c r="B467" s="30" t="s">
        <v>21</v>
      </c>
      <c r="C467" s="30"/>
      <c r="D467" s="30" t="s">
        <v>1041</v>
      </c>
      <c r="E467" s="30" t="s">
        <v>1042</v>
      </c>
      <c r="F467" s="30" t="s">
        <v>1043</v>
      </c>
      <c r="G467" s="30" t="s">
        <v>117</v>
      </c>
      <c r="H467" s="30" t="s">
        <v>1058</v>
      </c>
      <c r="I467" s="30" t="s">
        <v>119</v>
      </c>
      <c r="J467" s="30" t="s">
        <v>1044</v>
      </c>
      <c r="K467" s="30" t="s">
        <v>1044</v>
      </c>
      <c r="L467" s="30" t="s">
        <v>1130</v>
      </c>
      <c r="M467" s="30">
        <v>1005389</v>
      </c>
      <c r="N467" s="30" t="s">
        <v>138</v>
      </c>
      <c r="O467" s="30" t="s">
        <v>1565</v>
      </c>
      <c r="P467" s="30" t="s">
        <v>1179</v>
      </c>
      <c r="Q467" s="30" t="s">
        <v>1180</v>
      </c>
      <c r="R467" s="30" t="s">
        <v>1463</v>
      </c>
      <c r="S467" s="30" t="s">
        <v>1566</v>
      </c>
      <c r="T467" s="30" t="s">
        <v>1183</v>
      </c>
      <c r="U467" s="30" t="s">
        <v>144</v>
      </c>
      <c r="V467" s="30" t="s">
        <v>600</v>
      </c>
      <c r="W467" s="30" t="s">
        <v>1184</v>
      </c>
      <c r="X467" s="30"/>
      <c r="Y467" s="30" t="s">
        <v>457</v>
      </c>
      <c r="Z467" s="30" t="s">
        <v>457</v>
      </c>
      <c r="AA467" s="30" t="s">
        <v>148</v>
      </c>
      <c r="AB467" s="30" t="s">
        <v>1185</v>
      </c>
      <c r="AC467" s="30" t="s">
        <v>1185</v>
      </c>
      <c r="AD467" s="30"/>
      <c r="AE467" s="30"/>
      <c r="AF467" s="30" t="s">
        <v>593</v>
      </c>
      <c r="AG467" s="30" t="s">
        <v>774</v>
      </c>
      <c r="AH467" s="30" t="s">
        <v>1186</v>
      </c>
      <c r="AI467" s="30"/>
      <c r="AJ467" s="50">
        <v>43196</v>
      </c>
      <c r="AK467" s="50">
        <v>43196</v>
      </c>
      <c r="AL467" s="51">
        <f t="shared" si="320"/>
        <v>7.5753424657534243</v>
      </c>
      <c r="AM467" s="30">
        <v>8</v>
      </c>
      <c r="AN467" s="30" t="s">
        <v>1065</v>
      </c>
      <c r="AO467" s="30" t="s">
        <v>1050</v>
      </c>
      <c r="AP467" s="30" t="s">
        <v>1187</v>
      </c>
      <c r="AQ467" s="30">
        <v>3.6</v>
      </c>
      <c r="AR467" s="30">
        <v>2820</v>
      </c>
      <c r="AS467" s="30">
        <v>1154</v>
      </c>
      <c r="AT467" s="30">
        <v>2020</v>
      </c>
      <c r="AU467" s="74">
        <v>438231161</v>
      </c>
      <c r="AV467" s="54"/>
      <c r="AW467" s="54"/>
      <c r="AX467" s="54"/>
      <c r="AY467" s="54">
        <v>401711898</v>
      </c>
      <c r="AZ467" s="54">
        <v>4564908</v>
      </c>
      <c r="BA467" s="74">
        <v>22824539</v>
      </c>
      <c r="BB467" s="55">
        <f>VLOOKUP(M467,[1]Sheet1!$E$6:$F$556,2,FALSE)</f>
        <v>1000</v>
      </c>
      <c r="BC467" s="74"/>
      <c r="BD467" s="74"/>
      <c r="BE467" s="128">
        <v>7.9999997809375349</v>
      </c>
      <c r="BF467" s="30" t="s">
        <v>1134</v>
      </c>
      <c r="BG467" s="30" t="s">
        <v>1074</v>
      </c>
      <c r="BH467" s="30" t="s">
        <v>1054</v>
      </c>
      <c r="BI467" s="30" t="str">
        <f t="shared" si="306"/>
        <v>COF(Assy_FT)</v>
      </c>
      <c r="BJ467" s="30" t="s">
        <v>250</v>
      </c>
      <c r="BK467" s="56">
        <f t="shared" si="321"/>
        <v>23965765.949999999</v>
      </c>
      <c r="BL467" s="57">
        <f t="shared" si="291"/>
        <v>748930.18593749998</v>
      </c>
      <c r="BM467" s="57">
        <f t="shared" si="292"/>
        <v>249643.39531249998</v>
      </c>
      <c r="BU467" s="58">
        <f t="shared" si="307"/>
        <v>748930.18593749998</v>
      </c>
      <c r="BV467" s="58">
        <f t="shared" si="305"/>
        <v>748930.18593749998</v>
      </c>
      <c r="BW467" s="58">
        <f t="shared" si="308"/>
        <v>1497860.371875</v>
      </c>
      <c r="BX467" s="58">
        <f t="shared" si="293"/>
        <v>748930.18593749998</v>
      </c>
      <c r="BY467" s="58">
        <f t="shared" si="294"/>
        <v>748930.18593749998</v>
      </c>
      <c r="BZ467" s="58">
        <f t="shared" si="309"/>
        <v>748930.18593749998</v>
      </c>
      <c r="CA467" s="58">
        <f t="shared" si="294"/>
        <v>748930.18593749998</v>
      </c>
      <c r="CB467" s="58">
        <f t="shared" si="310"/>
        <v>2995720.7437499999</v>
      </c>
      <c r="CC467" s="58">
        <f t="shared" si="311"/>
        <v>748930.18593749998</v>
      </c>
      <c r="CD467" s="58">
        <f t="shared" si="316"/>
        <v>748930.18593749998</v>
      </c>
      <c r="CE467" s="58">
        <f t="shared" si="316"/>
        <v>748930.18593749998</v>
      </c>
      <c r="CF467" s="58">
        <f t="shared" si="316"/>
        <v>748930.18593749998</v>
      </c>
      <c r="CG467" s="58">
        <f t="shared" si="312"/>
        <v>2995720.7437499999</v>
      </c>
      <c r="CH467" s="58">
        <f t="shared" si="295"/>
        <v>748930.18593749998</v>
      </c>
      <c r="CI467" s="58">
        <f t="shared" si="317"/>
        <v>748930.18593749998</v>
      </c>
      <c r="CJ467" s="58">
        <f t="shared" si="317"/>
        <v>748930.18593749998</v>
      </c>
      <c r="CK467" s="58">
        <f t="shared" si="317"/>
        <v>748930.18593749998</v>
      </c>
      <c r="CL467" s="58">
        <f t="shared" si="297"/>
        <v>2995720.7437499999</v>
      </c>
      <c r="CP467" s="2">
        <f t="shared" si="315"/>
        <v>23965765.949999999</v>
      </c>
    </row>
    <row r="468" spans="1:94" hidden="1" x14ac:dyDescent="0.3">
      <c r="A468" s="29">
        <v>463</v>
      </c>
      <c r="B468" s="30" t="s">
        <v>21</v>
      </c>
      <c r="C468" s="30"/>
      <c r="D468" s="30" t="s">
        <v>1041</v>
      </c>
      <c r="E468" s="30" t="s">
        <v>1042</v>
      </c>
      <c r="F468" s="30" t="s">
        <v>1043</v>
      </c>
      <c r="G468" s="30" t="s">
        <v>117</v>
      </c>
      <c r="H468" s="30" t="s">
        <v>1058</v>
      </c>
      <c r="I468" s="30" t="s">
        <v>119</v>
      </c>
      <c r="J468" s="30" t="s">
        <v>1044</v>
      </c>
      <c r="K468" s="30" t="s">
        <v>1044</v>
      </c>
      <c r="L468" s="30" t="s">
        <v>1130</v>
      </c>
      <c r="M468" s="30">
        <v>1005388</v>
      </c>
      <c r="N468" s="30" t="s">
        <v>138</v>
      </c>
      <c r="O468" s="30" t="s">
        <v>1567</v>
      </c>
      <c r="P468" s="30" t="s">
        <v>1179</v>
      </c>
      <c r="Q468" s="30" t="s">
        <v>1180</v>
      </c>
      <c r="R468" s="30" t="s">
        <v>1463</v>
      </c>
      <c r="S468" s="30" t="s">
        <v>1568</v>
      </c>
      <c r="T468" s="30" t="s">
        <v>1183</v>
      </c>
      <c r="U468" s="30" t="s">
        <v>144</v>
      </c>
      <c r="V468" s="30" t="s">
        <v>600</v>
      </c>
      <c r="W468" s="30" t="s">
        <v>1184</v>
      </c>
      <c r="X468" s="30"/>
      <c r="Y468" s="30" t="s">
        <v>457</v>
      </c>
      <c r="Z468" s="30" t="s">
        <v>457</v>
      </c>
      <c r="AA468" s="30" t="s">
        <v>148</v>
      </c>
      <c r="AB468" s="30" t="s">
        <v>1185</v>
      </c>
      <c r="AC468" s="30" t="s">
        <v>1185</v>
      </c>
      <c r="AD468" s="30"/>
      <c r="AE468" s="30"/>
      <c r="AF468" s="30" t="s">
        <v>593</v>
      </c>
      <c r="AG468" s="30" t="s">
        <v>774</v>
      </c>
      <c r="AH468" s="30" t="s">
        <v>1186</v>
      </c>
      <c r="AI468" s="30"/>
      <c r="AJ468" s="50">
        <v>43196</v>
      </c>
      <c r="AK468" s="50">
        <v>43196</v>
      </c>
      <c r="AL468" s="51">
        <f t="shared" si="320"/>
        <v>7.5753424657534243</v>
      </c>
      <c r="AM468" s="30">
        <v>8</v>
      </c>
      <c r="AN468" s="30" t="s">
        <v>1065</v>
      </c>
      <c r="AO468" s="30" t="s">
        <v>1050</v>
      </c>
      <c r="AP468" s="30" t="s">
        <v>1187</v>
      </c>
      <c r="AQ468" s="30">
        <v>3.6</v>
      </c>
      <c r="AR468" s="30">
        <v>2820</v>
      </c>
      <c r="AS468" s="30">
        <v>1154</v>
      </c>
      <c r="AT468" s="30">
        <v>2020</v>
      </c>
      <c r="AU468" s="74">
        <v>436231161</v>
      </c>
      <c r="AV468" s="54"/>
      <c r="AW468" s="54"/>
      <c r="AX468" s="54"/>
      <c r="AY468" s="54">
        <v>396753571</v>
      </c>
      <c r="AZ468" s="54">
        <v>4544075</v>
      </c>
      <c r="BA468" s="74">
        <v>25845365</v>
      </c>
      <c r="BB468" s="55">
        <f>VLOOKUP(M468,[1]Sheet1!$E$6:$F$556,2,FALSE)</f>
        <v>1000</v>
      </c>
      <c r="BC468" s="74"/>
      <c r="BD468" s="74"/>
      <c r="BE468" s="128">
        <v>8.6877065189284952</v>
      </c>
      <c r="BF468" s="30" t="s">
        <v>1134</v>
      </c>
      <c r="BG468" s="30" t="s">
        <v>1074</v>
      </c>
      <c r="BH468" s="30" t="s">
        <v>1054</v>
      </c>
      <c r="BI468" s="30" t="str">
        <f t="shared" si="306"/>
        <v>COF(Assy_FT)</v>
      </c>
      <c r="BJ468" s="30" t="s">
        <v>250</v>
      </c>
      <c r="BK468" s="56">
        <f t="shared" si="321"/>
        <v>27137633.25</v>
      </c>
      <c r="BL468" s="57">
        <f t="shared" si="291"/>
        <v>848051.0390625</v>
      </c>
      <c r="BM468" s="57">
        <f t="shared" si="292"/>
        <v>282683.6796875</v>
      </c>
      <c r="BU468" s="58">
        <f t="shared" si="307"/>
        <v>848051.0390625</v>
      </c>
      <c r="BV468" s="58">
        <f t="shared" si="305"/>
        <v>848051.0390625</v>
      </c>
      <c r="BW468" s="58">
        <f t="shared" si="308"/>
        <v>1696102.078125</v>
      </c>
      <c r="BX468" s="58">
        <f t="shared" si="293"/>
        <v>848051.0390625</v>
      </c>
      <c r="BY468" s="58">
        <f t="shared" si="294"/>
        <v>848051.0390625</v>
      </c>
      <c r="BZ468" s="58">
        <f t="shared" si="309"/>
        <v>848051.0390625</v>
      </c>
      <c r="CA468" s="58">
        <f t="shared" si="294"/>
        <v>848051.0390625</v>
      </c>
      <c r="CB468" s="58">
        <f t="shared" si="310"/>
        <v>3392204.15625</v>
      </c>
      <c r="CC468" s="58">
        <f t="shared" si="311"/>
        <v>848051.0390625</v>
      </c>
      <c r="CD468" s="58">
        <f t="shared" si="316"/>
        <v>848051.0390625</v>
      </c>
      <c r="CE468" s="58">
        <f t="shared" si="316"/>
        <v>848051.0390625</v>
      </c>
      <c r="CF468" s="58">
        <f t="shared" si="316"/>
        <v>848051.0390625</v>
      </c>
      <c r="CG468" s="58">
        <f t="shared" si="312"/>
        <v>3392204.15625</v>
      </c>
      <c r="CH468" s="58">
        <f t="shared" si="295"/>
        <v>848051.0390625</v>
      </c>
      <c r="CI468" s="58">
        <f t="shared" si="317"/>
        <v>848051.0390625</v>
      </c>
      <c r="CJ468" s="58">
        <f t="shared" si="317"/>
        <v>848051.0390625</v>
      </c>
      <c r="CK468" s="58">
        <f t="shared" si="317"/>
        <v>848051.0390625</v>
      </c>
      <c r="CL468" s="58">
        <f t="shared" si="297"/>
        <v>3392204.15625</v>
      </c>
      <c r="CP468" s="2">
        <f t="shared" si="315"/>
        <v>27137633.25</v>
      </c>
    </row>
    <row r="469" spans="1:94" ht="16.5" hidden="1" x14ac:dyDescent="0.3">
      <c r="A469" s="29">
        <v>464</v>
      </c>
      <c r="B469" s="30" t="s">
        <v>21</v>
      </c>
      <c r="C469" s="30"/>
      <c r="D469" s="30" t="s">
        <v>1041</v>
      </c>
      <c r="E469" s="30" t="s">
        <v>1042</v>
      </c>
      <c r="F469" s="30" t="s">
        <v>1043</v>
      </c>
      <c r="G469" s="30" t="s">
        <v>117</v>
      </c>
      <c r="H469" s="30" t="s">
        <v>926</v>
      </c>
      <c r="I469" s="30" t="s">
        <v>119</v>
      </c>
      <c r="J469" s="30" t="s">
        <v>1044</v>
      </c>
      <c r="K469" s="30" t="s">
        <v>1044</v>
      </c>
      <c r="L469" s="30" t="s">
        <v>1148</v>
      </c>
      <c r="M469" s="30">
        <v>1005903</v>
      </c>
      <c r="N469" s="30" t="s">
        <v>138</v>
      </c>
      <c r="O469" s="30" t="s">
        <v>1569</v>
      </c>
      <c r="P469" s="30" t="s">
        <v>1150</v>
      </c>
      <c r="Q469" s="30" t="s">
        <v>1272</v>
      </c>
      <c r="R469" s="30"/>
      <c r="S469" s="30" t="s">
        <v>1570</v>
      </c>
      <c r="T469" s="30"/>
      <c r="U469" s="30" t="s">
        <v>144</v>
      </c>
      <c r="V469" s="30" t="s">
        <v>437</v>
      </c>
      <c r="W469" s="30" t="s">
        <v>1274</v>
      </c>
      <c r="X469" s="30"/>
      <c r="Y469" s="30" t="s">
        <v>457</v>
      </c>
      <c r="Z469" s="30" t="s">
        <v>457</v>
      </c>
      <c r="AA469" s="30" t="s">
        <v>129</v>
      </c>
      <c r="AB469" s="2" t="s">
        <v>1153</v>
      </c>
      <c r="AC469" s="2" t="s">
        <v>1154</v>
      </c>
      <c r="AD469" s="30"/>
      <c r="AE469" s="30"/>
      <c r="AF469" s="30" t="s">
        <v>131</v>
      </c>
      <c r="AG469" s="30" t="s">
        <v>1088</v>
      </c>
      <c r="AH469" s="30"/>
      <c r="AI469" s="30"/>
      <c r="AJ469" s="50">
        <v>43584</v>
      </c>
      <c r="AK469" s="50">
        <v>43584</v>
      </c>
      <c r="AL469" s="51">
        <f t="shared" si="320"/>
        <v>6.5123287671232877</v>
      </c>
      <c r="AM469" s="30">
        <v>8</v>
      </c>
      <c r="AN469" s="30" t="s">
        <v>1065</v>
      </c>
      <c r="AO469" s="30" t="s">
        <v>1050</v>
      </c>
      <c r="AP469" s="30" t="s">
        <v>1051</v>
      </c>
      <c r="AQ469" s="30">
        <v>2.11</v>
      </c>
      <c r="AR469" s="30">
        <v>1470</v>
      </c>
      <c r="AS469" s="30">
        <v>960</v>
      </c>
      <c r="AT469" s="30">
        <v>1675</v>
      </c>
      <c r="AU469" s="74">
        <v>25050000</v>
      </c>
      <c r="AV469" s="54"/>
      <c r="AW469" s="54"/>
      <c r="AX469" s="54"/>
      <c r="AY469" s="54">
        <v>19831246</v>
      </c>
      <c r="AZ469" s="54">
        <v>260937</v>
      </c>
      <c r="BA469" s="74">
        <v>4435943</v>
      </c>
      <c r="BB469" s="55">
        <f>VLOOKUP(M469,[1]Sheet1!$E$6:$F$556,2,FALSE)</f>
        <v>330102</v>
      </c>
      <c r="BC469" s="74"/>
      <c r="BD469" s="74"/>
      <c r="BE469" s="128">
        <v>20.000053652797419</v>
      </c>
      <c r="BF469" s="30" t="s">
        <v>1134</v>
      </c>
      <c r="BG469" s="30" t="s">
        <v>1155</v>
      </c>
      <c r="BH469" s="30" t="s">
        <v>1054</v>
      </c>
      <c r="BI469" s="30" t="str">
        <f t="shared" si="306"/>
        <v>COF(Assy_FT)</v>
      </c>
      <c r="BJ469" s="30" t="s">
        <v>250</v>
      </c>
      <c r="BK469" s="56">
        <f t="shared" si="321"/>
        <v>4657740.1500000004</v>
      </c>
      <c r="BL469" s="57">
        <f t="shared" si="291"/>
        <v>145554.37968750001</v>
      </c>
      <c r="BM469" s="57">
        <f t="shared" si="292"/>
        <v>48518.126562500001</v>
      </c>
      <c r="BU469" s="58">
        <f t="shared" si="307"/>
        <v>145554.37968750001</v>
      </c>
      <c r="BV469" s="58">
        <f t="shared" si="305"/>
        <v>145554.37968750001</v>
      </c>
      <c r="BW469" s="58">
        <f t="shared" si="308"/>
        <v>291108.75937500002</v>
      </c>
      <c r="BX469" s="58">
        <f t="shared" si="293"/>
        <v>145554.37968750001</v>
      </c>
      <c r="BY469" s="58">
        <f t="shared" si="294"/>
        <v>145554.37968750001</v>
      </c>
      <c r="BZ469" s="58">
        <f t="shared" si="309"/>
        <v>145554.37968750001</v>
      </c>
      <c r="CA469" s="58">
        <f t="shared" si="294"/>
        <v>145554.37968750001</v>
      </c>
      <c r="CB469" s="58">
        <f t="shared" si="310"/>
        <v>582217.51875000005</v>
      </c>
      <c r="CC469" s="58">
        <f t="shared" si="311"/>
        <v>145554.37968750001</v>
      </c>
      <c r="CD469" s="58">
        <f t="shared" si="316"/>
        <v>145554.37968750001</v>
      </c>
      <c r="CE469" s="58">
        <f t="shared" si="316"/>
        <v>145554.37968750001</v>
      </c>
      <c r="CF469" s="58">
        <f t="shared" si="316"/>
        <v>145554.37968750001</v>
      </c>
      <c r="CG469" s="58">
        <f t="shared" si="312"/>
        <v>582217.51875000005</v>
      </c>
      <c r="CH469" s="58">
        <f t="shared" si="295"/>
        <v>145554.37968750001</v>
      </c>
      <c r="CI469" s="58">
        <f t="shared" si="317"/>
        <v>145554.37968750001</v>
      </c>
      <c r="CJ469" s="58">
        <f t="shared" si="317"/>
        <v>145554.37968750001</v>
      </c>
      <c r="CK469" s="58">
        <f t="shared" si="317"/>
        <v>145554.37968750001</v>
      </c>
      <c r="CL469" s="58">
        <f t="shared" si="297"/>
        <v>582217.51875000005</v>
      </c>
      <c r="CP469" s="2">
        <f t="shared" si="315"/>
        <v>4657740.1500000004</v>
      </c>
    </row>
    <row r="470" spans="1:94" ht="16.5" hidden="1" x14ac:dyDescent="0.3">
      <c r="A470" s="2">
        <v>465</v>
      </c>
      <c r="B470" s="47" t="s">
        <v>21</v>
      </c>
      <c r="C470" s="47"/>
      <c r="D470" s="30" t="s">
        <v>1041</v>
      </c>
      <c r="E470" s="30" t="s">
        <v>1042</v>
      </c>
      <c r="F470" s="30" t="s">
        <v>1043</v>
      </c>
      <c r="G470" s="30" t="s">
        <v>117</v>
      </c>
      <c r="H470" s="30" t="s">
        <v>1058</v>
      </c>
      <c r="I470" s="30" t="s">
        <v>119</v>
      </c>
      <c r="J470" s="30" t="s">
        <v>1044</v>
      </c>
      <c r="K470" s="30" t="s">
        <v>1044</v>
      </c>
      <c r="L470" s="30" t="s">
        <v>1120</v>
      </c>
      <c r="M470" s="30">
        <v>1005904</v>
      </c>
      <c r="N470" s="30" t="s">
        <v>138</v>
      </c>
      <c r="O470" s="30" t="s">
        <v>1571</v>
      </c>
      <c r="P470" s="30" t="s">
        <v>1410</v>
      </c>
      <c r="Q470" s="30" t="s">
        <v>1411</v>
      </c>
      <c r="R470" s="30"/>
      <c r="S470" s="30" t="s">
        <v>1572</v>
      </c>
      <c r="T470" s="30"/>
      <c r="U470" s="30" t="s">
        <v>144</v>
      </c>
      <c r="V470" s="30" t="s">
        <v>437</v>
      </c>
      <c r="W470" s="30" t="s">
        <v>1125</v>
      </c>
      <c r="X470" s="30" t="s">
        <v>127</v>
      </c>
      <c r="Y470" s="30" t="s">
        <v>457</v>
      </c>
      <c r="Z470" s="30" t="s">
        <v>457</v>
      </c>
      <c r="AA470" s="30" t="s">
        <v>129</v>
      </c>
      <c r="AB470" s="127" t="s">
        <v>1129</v>
      </c>
      <c r="AC470" s="30"/>
      <c r="AD470" s="30"/>
      <c r="AE470" s="30"/>
      <c r="AF470" s="30" t="s">
        <v>131</v>
      </c>
      <c r="AG470" s="30" t="s">
        <v>774</v>
      </c>
      <c r="AH470" s="30"/>
      <c r="AI470" s="30"/>
      <c r="AJ470" s="50">
        <v>43585</v>
      </c>
      <c r="AK470" s="50">
        <v>43585</v>
      </c>
      <c r="AL470" s="51">
        <f t="shared" si="320"/>
        <v>6.5095890410958903</v>
      </c>
      <c r="AM470" s="30">
        <v>8</v>
      </c>
      <c r="AN470" s="30" t="s">
        <v>1065</v>
      </c>
      <c r="AO470" s="30" t="s">
        <v>1050</v>
      </c>
      <c r="AP470" s="30" t="s">
        <v>1051</v>
      </c>
      <c r="AQ470" s="30">
        <v>6.6</v>
      </c>
      <c r="AR470" s="30">
        <v>7100</v>
      </c>
      <c r="AS470" s="30">
        <v>820</v>
      </c>
      <c r="AT470" s="30">
        <v>1860</v>
      </c>
      <c r="AU470" s="54">
        <v>242124000</v>
      </c>
      <c r="AV470" s="54"/>
      <c r="AW470" s="54"/>
      <c r="AX470" s="54"/>
      <c r="AY470" s="54">
        <v>191658584</v>
      </c>
      <c r="AZ470" s="54">
        <v>2522125</v>
      </c>
      <c r="BA470" s="54">
        <v>42899041</v>
      </c>
      <c r="BB470" s="55">
        <f>VLOOKUP(M470,[1]Sheet1!$E$6:$F$556,2,FALSE)</f>
        <v>3192587</v>
      </c>
      <c r="BC470" s="74"/>
      <c r="BD470" s="74"/>
      <c r="BE470" s="128">
        <v>20.009085988997374</v>
      </c>
      <c r="BF470" s="30" t="s">
        <v>1134</v>
      </c>
      <c r="BG470" s="30" t="s">
        <v>1117</v>
      </c>
      <c r="BH470" s="30" t="s">
        <v>1054</v>
      </c>
      <c r="BI470" s="30" t="str">
        <f t="shared" si="306"/>
        <v>COF(Assy_FT)</v>
      </c>
      <c r="BJ470" s="47" t="s">
        <v>137</v>
      </c>
      <c r="BK470" s="56">
        <f t="shared" si="321"/>
        <v>45043993.050000004</v>
      </c>
      <c r="BL470" s="57">
        <f t="shared" si="291"/>
        <v>4293986.1047773669</v>
      </c>
      <c r="BM470" s="57">
        <f t="shared" si="292"/>
        <v>1431328.7015924556</v>
      </c>
      <c r="BU470" s="58">
        <f>BM470*3</f>
        <v>4293986.1047773669</v>
      </c>
      <c r="BV470" s="58">
        <f t="shared" si="305"/>
        <v>4293986.1047773669</v>
      </c>
      <c r="BW470" s="58">
        <f>SUM(BS470:BV470)</f>
        <v>8587972.2095547337</v>
      </c>
      <c r="BX470" s="58">
        <f t="shared" si="293"/>
        <v>4293986.1047773669</v>
      </c>
      <c r="BY470" s="58">
        <f t="shared" si="294"/>
        <v>4293986.1047773669</v>
      </c>
      <c r="BZ470" s="58">
        <f t="shared" si="309"/>
        <v>4293986.1047773669</v>
      </c>
      <c r="CA470" s="58">
        <f t="shared" si="294"/>
        <v>4293986.1047773669</v>
      </c>
      <c r="CB470" s="58">
        <f t="shared" si="310"/>
        <v>17175944.419109467</v>
      </c>
      <c r="CC470" s="58">
        <f t="shared" si="311"/>
        <v>4293986.1047773669</v>
      </c>
      <c r="CD470" s="58">
        <f t="shared" si="316"/>
        <v>4293986.1047773669</v>
      </c>
      <c r="CE470" s="58">
        <f t="shared" si="316"/>
        <v>4293986.1047773669</v>
      </c>
      <c r="CF470" s="58">
        <f t="shared" si="316"/>
        <v>4293986.1047773669</v>
      </c>
      <c r="CG470" s="58">
        <f t="shared" si="312"/>
        <v>17175944.419109467</v>
      </c>
      <c r="CH470" s="58">
        <f t="shared" si="295"/>
        <v>4293986.1047773669</v>
      </c>
      <c r="CI470" s="58">
        <f t="shared" si="317"/>
        <v>4293986.1047773669</v>
      </c>
      <c r="CJ470" s="58">
        <f t="shared" si="317"/>
        <v>4293986.1047773669</v>
      </c>
      <c r="CK470" s="58">
        <f t="shared" si="317"/>
        <v>4293986.1047773669</v>
      </c>
      <c r="CL470" s="58">
        <f t="shared" si="297"/>
        <v>17175944.419109467</v>
      </c>
      <c r="CN470" s="59">
        <f t="shared" ref="CN470:CN472" si="322">BK470/$CN$3</f>
        <v>4.3982648715655106E-3</v>
      </c>
      <c r="CO470" s="64">
        <f t="shared" ref="CO470:CO472" si="323">CN470*$CO$4</f>
        <v>92363562.302875727</v>
      </c>
      <c r="CP470" s="2">
        <f t="shared" si="315"/>
        <v>137407555.35287574</v>
      </c>
    </row>
    <row r="471" spans="1:94" ht="16.5" hidden="1" x14ac:dyDescent="0.3">
      <c r="A471" s="2">
        <v>466</v>
      </c>
      <c r="B471" s="47" t="s">
        <v>21</v>
      </c>
      <c r="C471" s="47"/>
      <c r="D471" s="30" t="s">
        <v>1041</v>
      </c>
      <c r="E471" s="30" t="s">
        <v>1042</v>
      </c>
      <c r="F471" s="30" t="s">
        <v>1043</v>
      </c>
      <c r="G471" s="30" t="s">
        <v>117</v>
      </c>
      <c r="H471" s="30" t="s">
        <v>1058</v>
      </c>
      <c r="I471" s="30" t="s">
        <v>119</v>
      </c>
      <c r="J471" s="30" t="s">
        <v>1044</v>
      </c>
      <c r="K471" s="30" t="s">
        <v>1044</v>
      </c>
      <c r="L471" s="30" t="s">
        <v>1120</v>
      </c>
      <c r="M471" s="30">
        <v>1005905</v>
      </c>
      <c r="N471" s="30" t="s">
        <v>138</v>
      </c>
      <c r="O471" s="30" t="s">
        <v>1573</v>
      </c>
      <c r="P471" s="30" t="s">
        <v>1410</v>
      </c>
      <c r="Q471" s="30" t="s">
        <v>1411</v>
      </c>
      <c r="R471" s="30"/>
      <c r="S471" s="30" t="s">
        <v>1574</v>
      </c>
      <c r="T471" s="30"/>
      <c r="U471" s="30" t="s">
        <v>144</v>
      </c>
      <c r="V471" s="30" t="s">
        <v>437</v>
      </c>
      <c r="W471" s="30" t="s">
        <v>1125</v>
      </c>
      <c r="X471" s="30" t="s">
        <v>127</v>
      </c>
      <c r="Y471" s="30" t="s">
        <v>457</v>
      </c>
      <c r="Z471" s="30" t="s">
        <v>457</v>
      </c>
      <c r="AA471" s="30" t="s">
        <v>129</v>
      </c>
      <c r="AB471" s="127" t="s">
        <v>1129</v>
      </c>
      <c r="AC471" s="30"/>
      <c r="AD471" s="30"/>
      <c r="AE471" s="30"/>
      <c r="AF471" s="30" t="s">
        <v>131</v>
      </c>
      <c r="AG471" s="30" t="s">
        <v>774</v>
      </c>
      <c r="AH471" s="30"/>
      <c r="AI471" s="30"/>
      <c r="AJ471" s="50">
        <v>43585</v>
      </c>
      <c r="AK471" s="50">
        <v>43585</v>
      </c>
      <c r="AL471" s="51">
        <f t="shared" si="320"/>
        <v>6.5095890410958903</v>
      </c>
      <c r="AM471" s="30">
        <v>8</v>
      </c>
      <c r="AN471" s="30" t="s">
        <v>1065</v>
      </c>
      <c r="AO471" s="30" t="s">
        <v>1050</v>
      </c>
      <c r="AP471" s="30" t="s">
        <v>1051</v>
      </c>
      <c r="AQ471" s="30">
        <v>6.6</v>
      </c>
      <c r="AR471" s="30">
        <v>7100</v>
      </c>
      <c r="AS471" s="30">
        <v>820</v>
      </c>
      <c r="AT471" s="30">
        <v>1860</v>
      </c>
      <c r="AU471" s="54">
        <v>242124000</v>
      </c>
      <c r="AV471" s="54"/>
      <c r="AW471" s="54"/>
      <c r="AX471" s="54"/>
      <c r="AY471" s="54">
        <v>191658584</v>
      </c>
      <c r="AZ471" s="54">
        <v>2522125</v>
      </c>
      <c r="BA471" s="54">
        <v>42899041</v>
      </c>
      <c r="BB471" s="55">
        <f>VLOOKUP(M471,[1]Sheet1!$E$6:$F$556,2,FALSE)</f>
        <v>3192587</v>
      </c>
      <c r="BC471" s="74"/>
      <c r="BD471" s="74"/>
      <c r="BE471" s="128">
        <v>20.009085988997374</v>
      </c>
      <c r="BF471" s="30" t="s">
        <v>1134</v>
      </c>
      <c r="BG471" s="30" t="s">
        <v>1117</v>
      </c>
      <c r="BH471" s="30" t="s">
        <v>1054</v>
      </c>
      <c r="BI471" s="30" t="str">
        <f t="shared" si="306"/>
        <v>COF(Assy_FT)</v>
      </c>
      <c r="BJ471" s="47" t="s">
        <v>137</v>
      </c>
      <c r="BK471" s="56">
        <f t="shared" si="321"/>
        <v>45043993.050000004</v>
      </c>
      <c r="BL471" s="57">
        <f t="shared" si="291"/>
        <v>4293986.1047773669</v>
      </c>
      <c r="BM471" s="57">
        <f t="shared" si="292"/>
        <v>1431328.7015924556</v>
      </c>
      <c r="BU471" s="58">
        <f>BM471*3</f>
        <v>4293986.1047773669</v>
      </c>
      <c r="BV471" s="58">
        <f t="shared" si="305"/>
        <v>4293986.1047773669</v>
      </c>
      <c r="BW471" s="58">
        <f>SUM(BS471:BV471)</f>
        <v>8587972.2095547337</v>
      </c>
      <c r="BX471" s="58">
        <f t="shared" si="293"/>
        <v>4293986.1047773669</v>
      </c>
      <c r="BY471" s="58">
        <f t="shared" si="294"/>
        <v>4293986.1047773669</v>
      </c>
      <c r="BZ471" s="58">
        <f t="shared" si="309"/>
        <v>4293986.1047773669</v>
      </c>
      <c r="CA471" s="58">
        <f t="shared" si="294"/>
        <v>4293986.1047773669</v>
      </c>
      <c r="CB471" s="58">
        <f t="shared" si="310"/>
        <v>17175944.419109467</v>
      </c>
      <c r="CC471" s="58">
        <f t="shared" si="311"/>
        <v>4293986.1047773669</v>
      </c>
      <c r="CD471" s="58">
        <f t="shared" si="316"/>
        <v>4293986.1047773669</v>
      </c>
      <c r="CE471" s="58">
        <f t="shared" si="316"/>
        <v>4293986.1047773669</v>
      </c>
      <c r="CF471" s="58">
        <f t="shared" si="316"/>
        <v>4293986.1047773669</v>
      </c>
      <c r="CG471" s="58">
        <f t="shared" si="312"/>
        <v>17175944.419109467</v>
      </c>
      <c r="CH471" s="58">
        <f t="shared" si="295"/>
        <v>4293986.1047773669</v>
      </c>
      <c r="CI471" s="58">
        <f t="shared" si="317"/>
        <v>4293986.1047773669</v>
      </c>
      <c r="CJ471" s="58">
        <f t="shared" si="317"/>
        <v>4293986.1047773669</v>
      </c>
      <c r="CK471" s="58">
        <f t="shared" si="317"/>
        <v>4293986.1047773669</v>
      </c>
      <c r="CL471" s="58">
        <f t="shared" si="297"/>
        <v>17175944.419109467</v>
      </c>
      <c r="CN471" s="59">
        <f t="shared" si="322"/>
        <v>4.3982648715655106E-3</v>
      </c>
      <c r="CO471" s="64">
        <f t="shared" si="323"/>
        <v>92363562.302875727</v>
      </c>
      <c r="CP471" s="2">
        <f t="shared" si="315"/>
        <v>137407555.35287574</v>
      </c>
    </row>
    <row r="472" spans="1:94" ht="16.5" hidden="1" x14ac:dyDescent="0.3">
      <c r="A472" s="2">
        <v>467</v>
      </c>
      <c r="B472" s="47" t="s">
        <v>21</v>
      </c>
      <c r="C472" s="47"/>
      <c r="D472" s="30" t="s">
        <v>1041</v>
      </c>
      <c r="E472" s="30" t="s">
        <v>1042</v>
      </c>
      <c r="F472" s="30" t="s">
        <v>1043</v>
      </c>
      <c r="G472" s="30" t="s">
        <v>117</v>
      </c>
      <c r="H472" s="30" t="s">
        <v>1058</v>
      </c>
      <c r="I472" s="30" t="s">
        <v>119</v>
      </c>
      <c r="J472" s="30" t="s">
        <v>1044</v>
      </c>
      <c r="K472" s="30" t="s">
        <v>1044</v>
      </c>
      <c r="L472" s="30" t="s">
        <v>1120</v>
      </c>
      <c r="M472" s="30">
        <v>1005906</v>
      </c>
      <c r="N472" s="30" t="s">
        <v>138</v>
      </c>
      <c r="O472" s="30" t="s">
        <v>1575</v>
      </c>
      <c r="P472" s="30" t="s">
        <v>1410</v>
      </c>
      <c r="Q472" s="30" t="s">
        <v>1411</v>
      </c>
      <c r="R472" s="30"/>
      <c r="S472" s="30" t="s">
        <v>1576</v>
      </c>
      <c r="T472" s="30"/>
      <c r="U472" s="30" t="s">
        <v>144</v>
      </c>
      <c r="V472" s="30" t="s">
        <v>437</v>
      </c>
      <c r="W472" s="30" t="s">
        <v>1125</v>
      </c>
      <c r="X472" s="30" t="s">
        <v>127</v>
      </c>
      <c r="Y472" s="30" t="s">
        <v>457</v>
      </c>
      <c r="Z472" s="30" t="s">
        <v>457</v>
      </c>
      <c r="AA472" s="30" t="s">
        <v>129</v>
      </c>
      <c r="AB472" s="127" t="s">
        <v>1129</v>
      </c>
      <c r="AC472" s="30"/>
      <c r="AD472" s="30"/>
      <c r="AE472" s="30"/>
      <c r="AF472" s="30" t="s">
        <v>131</v>
      </c>
      <c r="AG472" s="30" t="s">
        <v>774</v>
      </c>
      <c r="AH472" s="30"/>
      <c r="AI472" s="30"/>
      <c r="AJ472" s="50">
        <v>43585</v>
      </c>
      <c r="AK472" s="50">
        <v>43585</v>
      </c>
      <c r="AL472" s="51">
        <f t="shared" si="320"/>
        <v>6.5095890410958903</v>
      </c>
      <c r="AM472" s="30">
        <v>8</v>
      </c>
      <c r="AN472" s="30" t="s">
        <v>1065</v>
      </c>
      <c r="AO472" s="30" t="s">
        <v>1050</v>
      </c>
      <c r="AP472" s="30" t="s">
        <v>1051</v>
      </c>
      <c r="AQ472" s="30">
        <v>6.6</v>
      </c>
      <c r="AR472" s="30">
        <v>7100</v>
      </c>
      <c r="AS472" s="30">
        <v>820</v>
      </c>
      <c r="AT472" s="30">
        <v>1860</v>
      </c>
      <c r="AU472" s="54">
        <v>242124000</v>
      </c>
      <c r="AV472" s="54"/>
      <c r="AW472" s="54"/>
      <c r="AX472" s="54"/>
      <c r="AY472" s="54">
        <v>191658584</v>
      </c>
      <c r="AZ472" s="54">
        <v>2522125</v>
      </c>
      <c r="BA472" s="54">
        <v>42899041</v>
      </c>
      <c r="BB472" s="55">
        <f>VLOOKUP(M472,[1]Sheet1!$E$6:$F$556,2,FALSE)</f>
        <v>3192587</v>
      </c>
      <c r="BC472" s="74"/>
      <c r="BD472" s="74"/>
      <c r="BE472" s="128">
        <v>20.009085988997374</v>
      </c>
      <c r="BF472" s="30" t="s">
        <v>1134</v>
      </c>
      <c r="BG472" s="30" t="s">
        <v>1117</v>
      </c>
      <c r="BH472" s="30" t="s">
        <v>1054</v>
      </c>
      <c r="BI472" s="30" t="str">
        <f t="shared" si="306"/>
        <v>COF(Assy_FT)</v>
      </c>
      <c r="BJ472" s="47" t="s">
        <v>137</v>
      </c>
      <c r="BK472" s="56">
        <f t="shared" si="321"/>
        <v>45043993.050000004</v>
      </c>
      <c r="BL472" s="57">
        <f t="shared" si="291"/>
        <v>4293986.1047773669</v>
      </c>
      <c r="BM472" s="57">
        <f t="shared" si="292"/>
        <v>1431328.7015924556</v>
      </c>
      <c r="BU472" s="58">
        <f>BM472*3</f>
        <v>4293986.1047773669</v>
      </c>
      <c r="BV472" s="58">
        <f t="shared" si="305"/>
        <v>4293986.1047773669</v>
      </c>
      <c r="BW472" s="58">
        <f>SUM(BS472:BV472)</f>
        <v>8587972.2095547337</v>
      </c>
      <c r="BX472" s="58">
        <f t="shared" si="293"/>
        <v>4293986.1047773669</v>
      </c>
      <c r="BY472" s="58">
        <f t="shared" si="294"/>
        <v>4293986.1047773669</v>
      </c>
      <c r="BZ472" s="58">
        <f t="shared" si="309"/>
        <v>4293986.1047773669</v>
      </c>
      <c r="CA472" s="58">
        <f t="shared" si="294"/>
        <v>4293986.1047773669</v>
      </c>
      <c r="CB472" s="58">
        <f t="shared" si="310"/>
        <v>17175944.419109467</v>
      </c>
      <c r="CC472" s="58">
        <f t="shared" si="311"/>
        <v>4293986.1047773669</v>
      </c>
      <c r="CD472" s="58">
        <f t="shared" si="316"/>
        <v>4293986.1047773669</v>
      </c>
      <c r="CE472" s="58">
        <f t="shared" si="316"/>
        <v>4293986.1047773669</v>
      </c>
      <c r="CF472" s="58">
        <f t="shared" si="316"/>
        <v>4293986.1047773669</v>
      </c>
      <c r="CG472" s="58">
        <f t="shared" si="312"/>
        <v>17175944.419109467</v>
      </c>
      <c r="CH472" s="58">
        <f t="shared" si="295"/>
        <v>4293986.1047773669</v>
      </c>
      <c r="CI472" s="58">
        <f t="shared" si="317"/>
        <v>4293986.1047773669</v>
      </c>
      <c r="CJ472" s="58">
        <f t="shared" si="317"/>
        <v>4293986.1047773669</v>
      </c>
      <c r="CK472" s="58">
        <f t="shared" si="317"/>
        <v>4293986.1047773669</v>
      </c>
      <c r="CL472" s="58">
        <f t="shared" si="297"/>
        <v>17175944.419109467</v>
      </c>
      <c r="CN472" s="59">
        <f t="shared" si="322"/>
        <v>4.3982648715655106E-3</v>
      </c>
      <c r="CO472" s="64">
        <f t="shared" si="323"/>
        <v>92363562.302875727</v>
      </c>
      <c r="CP472" s="2">
        <f t="shared" si="315"/>
        <v>137407555.35287574</v>
      </c>
    </row>
    <row r="473" spans="1:94" hidden="1" x14ac:dyDescent="0.3">
      <c r="A473" s="29">
        <v>468</v>
      </c>
      <c r="B473" s="30" t="s">
        <v>21</v>
      </c>
      <c r="C473" s="30"/>
      <c r="D473" s="30" t="s">
        <v>1041</v>
      </c>
      <c r="E473" s="30" t="s">
        <v>1042</v>
      </c>
      <c r="F473" s="30" t="s">
        <v>1043</v>
      </c>
      <c r="G473" s="30" t="s">
        <v>117</v>
      </c>
      <c r="H473" s="30" t="s">
        <v>1058</v>
      </c>
      <c r="I473" s="30" t="s">
        <v>119</v>
      </c>
      <c r="J473" s="30" t="s">
        <v>1044</v>
      </c>
      <c r="K473" s="30" t="s">
        <v>1044</v>
      </c>
      <c r="L473" s="30" t="s">
        <v>1120</v>
      </c>
      <c r="M473" s="30">
        <v>1005907</v>
      </c>
      <c r="N473" s="30" t="s">
        <v>138</v>
      </c>
      <c r="O473" s="30" t="s">
        <v>1577</v>
      </c>
      <c r="P473" s="30" t="s">
        <v>1410</v>
      </c>
      <c r="Q473" s="30" t="s">
        <v>1411</v>
      </c>
      <c r="R473" s="30"/>
      <c r="S473" s="30" t="s">
        <v>1578</v>
      </c>
      <c r="T473" s="30"/>
      <c r="U473" s="30" t="s">
        <v>144</v>
      </c>
      <c r="V473" s="30" t="s">
        <v>437</v>
      </c>
      <c r="W473" s="30" t="s">
        <v>1125</v>
      </c>
      <c r="X473" s="30"/>
      <c r="Y473" s="30" t="s">
        <v>457</v>
      </c>
      <c r="Z473" s="30" t="s">
        <v>457</v>
      </c>
      <c r="AA473" s="30" t="s">
        <v>129</v>
      </c>
      <c r="AB473" s="127" t="s">
        <v>1129</v>
      </c>
      <c r="AC473" s="30"/>
      <c r="AD473" s="30"/>
      <c r="AE473" s="30"/>
      <c r="AF473" s="30" t="s">
        <v>131</v>
      </c>
      <c r="AG473" s="30" t="s">
        <v>774</v>
      </c>
      <c r="AH473" s="30"/>
      <c r="AI473" s="30"/>
      <c r="AJ473" s="50">
        <v>43585</v>
      </c>
      <c r="AK473" s="50">
        <v>43585</v>
      </c>
      <c r="AL473" s="51">
        <f t="shared" si="320"/>
        <v>6.5095890410958903</v>
      </c>
      <c r="AM473" s="30">
        <v>8</v>
      </c>
      <c r="AN473" s="30" t="s">
        <v>1065</v>
      </c>
      <c r="AO473" s="30" t="s">
        <v>1050</v>
      </c>
      <c r="AP473" s="30" t="s">
        <v>1051</v>
      </c>
      <c r="AQ473" s="30">
        <v>6.6</v>
      </c>
      <c r="AR473" s="30">
        <v>7100</v>
      </c>
      <c r="AS473" s="30">
        <v>820</v>
      </c>
      <c r="AT473" s="30">
        <v>1860</v>
      </c>
      <c r="AU473" s="74">
        <v>242124000</v>
      </c>
      <c r="AV473" s="54"/>
      <c r="AW473" s="54"/>
      <c r="AX473" s="54"/>
      <c r="AY473" s="54">
        <v>191658584</v>
      </c>
      <c r="AZ473" s="54">
        <v>2522125</v>
      </c>
      <c r="BA473" s="74">
        <v>42899041</v>
      </c>
      <c r="BB473" s="55">
        <f>VLOOKUP(M473,[1]Sheet1!$E$6:$F$556,2,FALSE)</f>
        <v>3192587</v>
      </c>
      <c r="BC473" s="74"/>
      <c r="BD473" s="74"/>
      <c r="BE473" s="128">
        <v>20.009085988997374</v>
      </c>
      <c r="BF473" s="30" t="s">
        <v>1134</v>
      </c>
      <c r="BG473" s="30" t="s">
        <v>1117</v>
      </c>
      <c r="BH473" s="30" t="s">
        <v>1054</v>
      </c>
      <c r="BI473" s="30" t="str">
        <f t="shared" si="306"/>
        <v>COF(Assy_FT)</v>
      </c>
      <c r="BJ473" s="30" t="s">
        <v>250</v>
      </c>
      <c r="BK473" s="56">
        <f t="shared" si="321"/>
        <v>45043993.050000004</v>
      </c>
      <c r="BL473" s="57">
        <f t="shared" si="291"/>
        <v>1407624.7828125001</v>
      </c>
      <c r="BM473" s="57">
        <f t="shared" si="292"/>
        <v>469208.26093750005</v>
      </c>
      <c r="BU473" s="58">
        <f>BM473*3</f>
        <v>1407624.7828125001</v>
      </c>
      <c r="BV473" s="58">
        <f t="shared" si="305"/>
        <v>1407624.7828125001</v>
      </c>
      <c r="BW473" s="58">
        <f>SUM(BS473:BV473)</f>
        <v>2815249.5656250003</v>
      </c>
      <c r="BX473" s="58">
        <f t="shared" si="293"/>
        <v>1407624.7828125001</v>
      </c>
      <c r="BY473" s="58">
        <f t="shared" si="294"/>
        <v>1407624.7828125001</v>
      </c>
      <c r="BZ473" s="58">
        <f t="shared" si="309"/>
        <v>1407624.7828125001</v>
      </c>
      <c r="CA473" s="58">
        <f t="shared" si="294"/>
        <v>1407624.7828125001</v>
      </c>
      <c r="CB473" s="58">
        <f t="shared" si="310"/>
        <v>5630499.1312500006</v>
      </c>
      <c r="CC473" s="58">
        <f t="shared" si="311"/>
        <v>1407624.7828125001</v>
      </c>
      <c r="CD473" s="58">
        <f t="shared" si="316"/>
        <v>1407624.7828125001</v>
      </c>
      <c r="CE473" s="58">
        <f t="shared" si="316"/>
        <v>1407624.7828125001</v>
      </c>
      <c r="CF473" s="58">
        <f t="shared" si="316"/>
        <v>1407624.7828125001</v>
      </c>
      <c r="CG473" s="58">
        <f t="shared" si="312"/>
        <v>5630499.1312500006</v>
      </c>
      <c r="CH473" s="58">
        <f t="shared" si="295"/>
        <v>1407624.7828125001</v>
      </c>
      <c r="CI473" s="58">
        <f t="shared" si="317"/>
        <v>1407624.7828125001</v>
      </c>
      <c r="CJ473" s="58">
        <f t="shared" si="317"/>
        <v>1407624.7828125001</v>
      </c>
      <c r="CK473" s="58">
        <f t="shared" si="317"/>
        <v>1407624.7828125001</v>
      </c>
      <c r="CL473" s="58">
        <f t="shared" si="297"/>
        <v>5630499.1312500006</v>
      </c>
      <c r="CP473" s="2">
        <f t="shared" si="315"/>
        <v>45043993.050000004</v>
      </c>
    </row>
    <row r="474" spans="1:94" hidden="1" x14ac:dyDescent="0.3">
      <c r="A474" s="29">
        <v>469</v>
      </c>
      <c r="B474" s="30" t="s">
        <v>21</v>
      </c>
      <c r="C474" s="30"/>
      <c r="D474" s="30" t="s">
        <v>1041</v>
      </c>
      <c r="E474" s="30" t="s">
        <v>1042</v>
      </c>
      <c r="F474" s="30" t="s">
        <v>1043</v>
      </c>
      <c r="G474" s="30" t="s">
        <v>117</v>
      </c>
      <c r="H474" s="30" t="s">
        <v>1058</v>
      </c>
      <c r="I474" s="30" t="s">
        <v>119</v>
      </c>
      <c r="J474" s="30" t="s">
        <v>1044</v>
      </c>
      <c r="K474" s="30" t="s">
        <v>1044</v>
      </c>
      <c r="L474" s="30" t="s">
        <v>1120</v>
      </c>
      <c r="M474" s="30">
        <v>1005908</v>
      </c>
      <c r="N474" s="30" t="s">
        <v>138</v>
      </c>
      <c r="O474" s="30" t="s">
        <v>1579</v>
      </c>
      <c r="P474" s="30" t="s">
        <v>1410</v>
      </c>
      <c r="Q474" s="30" t="s">
        <v>1411</v>
      </c>
      <c r="R474" s="30"/>
      <c r="S474" s="30" t="s">
        <v>1580</v>
      </c>
      <c r="T474" s="30"/>
      <c r="U474" s="30" t="s">
        <v>144</v>
      </c>
      <c r="V474" s="30" t="s">
        <v>437</v>
      </c>
      <c r="W474" s="30" t="s">
        <v>1125</v>
      </c>
      <c r="X474" s="30"/>
      <c r="Y474" s="30" t="s">
        <v>457</v>
      </c>
      <c r="Z474" s="30" t="s">
        <v>457</v>
      </c>
      <c r="AA474" s="30" t="s">
        <v>129</v>
      </c>
      <c r="AB474" s="127" t="s">
        <v>1129</v>
      </c>
      <c r="AC474" s="30"/>
      <c r="AD474" s="30"/>
      <c r="AE474" s="30"/>
      <c r="AF474" s="30" t="s">
        <v>131</v>
      </c>
      <c r="AG474" s="30" t="s">
        <v>774</v>
      </c>
      <c r="AH474" s="30"/>
      <c r="AI474" s="30"/>
      <c r="AJ474" s="50">
        <v>43585</v>
      </c>
      <c r="AK474" s="50">
        <v>43585</v>
      </c>
      <c r="AL474" s="51">
        <f t="shared" si="320"/>
        <v>6.5095890410958903</v>
      </c>
      <c r="AM474" s="30">
        <v>8</v>
      </c>
      <c r="AN474" s="30" t="s">
        <v>1065</v>
      </c>
      <c r="AO474" s="30" t="s">
        <v>1050</v>
      </c>
      <c r="AP474" s="30" t="s">
        <v>1051</v>
      </c>
      <c r="AQ474" s="30">
        <v>6.6</v>
      </c>
      <c r="AR474" s="30">
        <v>7100</v>
      </c>
      <c r="AS474" s="30">
        <v>820</v>
      </c>
      <c r="AT474" s="30">
        <v>1860</v>
      </c>
      <c r="AU474" s="74">
        <v>241024000</v>
      </c>
      <c r="AV474" s="54"/>
      <c r="AW474" s="54"/>
      <c r="AX474" s="54"/>
      <c r="AY474" s="54">
        <v>190810669</v>
      </c>
      <c r="AZ474" s="54">
        <v>2510667</v>
      </c>
      <c r="BA474" s="74">
        <v>42681330</v>
      </c>
      <c r="BB474" s="55">
        <f>VLOOKUP(M474,[1]Sheet1!$E$6:$F$556,2,FALSE)</f>
        <v>3176158</v>
      </c>
      <c r="BC474" s="74"/>
      <c r="BD474" s="74"/>
      <c r="BE474" s="128">
        <v>19.999996415295218</v>
      </c>
      <c r="BF474" s="30" t="s">
        <v>1134</v>
      </c>
      <c r="BG474" s="30" t="s">
        <v>1117</v>
      </c>
      <c r="BH474" s="30" t="s">
        <v>1054</v>
      </c>
      <c r="BI474" s="30" t="str">
        <f t="shared" si="306"/>
        <v>COF(Assy_FT)</v>
      </c>
      <c r="BJ474" s="30" t="s">
        <v>250</v>
      </c>
      <c r="BK474" s="56">
        <f t="shared" si="321"/>
        <v>44815396.5</v>
      </c>
      <c r="BL474" s="57">
        <f t="shared" si="291"/>
        <v>1400481.140625</v>
      </c>
      <c r="BM474" s="57">
        <f t="shared" si="292"/>
        <v>466827.046875</v>
      </c>
      <c r="BU474" s="58">
        <f>BM474*3</f>
        <v>1400481.140625</v>
      </c>
      <c r="BV474" s="58">
        <f t="shared" si="305"/>
        <v>1400481.140625</v>
      </c>
      <c r="BW474" s="58">
        <f>SUM(BS474:BV474)</f>
        <v>2800962.28125</v>
      </c>
      <c r="BX474" s="58">
        <f t="shared" si="293"/>
        <v>1400481.140625</v>
      </c>
      <c r="BY474" s="58">
        <f t="shared" si="294"/>
        <v>1400481.140625</v>
      </c>
      <c r="BZ474" s="58">
        <f t="shared" si="309"/>
        <v>1400481.140625</v>
      </c>
      <c r="CA474" s="58">
        <f t="shared" si="294"/>
        <v>1400481.140625</v>
      </c>
      <c r="CB474" s="58">
        <f t="shared" si="310"/>
        <v>5601924.5625</v>
      </c>
      <c r="CC474" s="58">
        <f t="shared" si="311"/>
        <v>1400481.140625</v>
      </c>
      <c r="CD474" s="58">
        <f t="shared" ref="CD474:CF489" si="324">CC474</f>
        <v>1400481.140625</v>
      </c>
      <c r="CE474" s="58">
        <f t="shared" si="324"/>
        <v>1400481.140625</v>
      </c>
      <c r="CF474" s="58">
        <f t="shared" si="324"/>
        <v>1400481.140625</v>
      </c>
      <c r="CG474" s="58">
        <f t="shared" si="312"/>
        <v>5601924.5625</v>
      </c>
      <c r="CH474" s="58">
        <f t="shared" si="295"/>
        <v>1400481.140625</v>
      </c>
      <c r="CI474" s="58">
        <f t="shared" si="317"/>
        <v>1400481.140625</v>
      </c>
      <c r="CJ474" s="58">
        <f t="shared" si="317"/>
        <v>1400481.140625</v>
      </c>
      <c r="CK474" s="58">
        <f t="shared" si="317"/>
        <v>1400481.140625</v>
      </c>
      <c r="CL474" s="58">
        <f t="shared" si="297"/>
        <v>5601924.5625</v>
      </c>
      <c r="CP474" s="2">
        <f t="shared" si="315"/>
        <v>44815396.5</v>
      </c>
    </row>
    <row r="475" spans="1:94" ht="16.5" hidden="1" x14ac:dyDescent="0.3">
      <c r="A475" s="2">
        <v>470</v>
      </c>
      <c r="B475" s="47" t="s">
        <v>21</v>
      </c>
      <c r="C475" s="47"/>
      <c r="D475" s="30" t="s">
        <v>1041</v>
      </c>
      <c r="E475" s="30" t="s">
        <v>1042</v>
      </c>
      <c r="F475" s="30" t="s">
        <v>1043</v>
      </c>
      <c r="G475" s="30" t="s">
        <v>117</v>
      </c>
      <c r="H475" s="30" t="s">
        <v>1058</v>
      </c>
      <c r="I475" s="30" t="s">
        <v>119</v>
      </c>
      <c r="J475" s="30" t="s">
        <v>1044</v>
      </c>
      <c r="K475" s="30" t="s">
        <v>1044</v>
      </c>
      <c r="L475" s="30" t="s">
        <v>1109</v>
      </c>
      <c r="M475" s="30">
        <v>1005913</v>
      </c>
      <c r="N475" s="30" t="s">
        <v>138</v>
      </c>
      <c r="O475" s="30" t="s">
        <v>1581</v>
      </c>
      <c r="P475" s="30" t="s">
        <v>1111</v>
      </c>
      <c r="Q475" s="30" t="s">
        <v>585</v>
      </c>
      <c r="R475" s="30"/>
      <c r="S475" s="30" t="s">
        <v>1582</v>
      </c>
      <c r="T475" s="30"/>
      <c r="U475" s="30" t="s">
        <v>144</v>
      </c>
      <c r="V475" s="30" t="s">
        <v>437</v>
      </c>
      <c r="W475" s="30" t="s">
        <v>1113</v>
      </c>
      <c r="X475" s="30" t="s">
        <v>127</v>
      </c>
      <c r="Y475" s="30" t="s">
        <v>457</v>
      </c>
      <c r="Z475" s="30" t="s">
        <v>457</v>
      </c>
      <c r="AA475" s="30" t="s">
        <v>129</v>
      </c>
      <c r="AB475" s="30" t="s">
        <v>1114</v>
      </c>
      <c r="AC475" s="30" t="s">
        <v>1114</v>
      </c>
      <c r="AD475" s="30" t="s">
        <v>1115</v>
      </c>
      <c r="AE475" s="30"/>
      <c r="AF475" s="30" t="s">
        <v>131</v>
      </c>
      <c r="AG475" s="30" t="s">
        <v>774</v>
      </c>
      <c r="AH475" s="30" t="s">
        <v>1116</v>
      </c>
      <c r="AI475" s="30"/>
      <c r="AJ475" s="50">
        <v>43566</v>
      </c>
      <c r="AK475" s="50">
        <v>43566</v>
      </c>
      <c r="AL475" s="51">
        <f t="shared" si="320"/>
        <v>6.5616438356164384</v>
      </c>
      <c r="AM475" s="30">
        <v>8</v>
      </c>
      <c r="AN475" s="30" t="s">
        <v>1065</v>
      </c>
      <c r="AO475" s="30" t="s">
        <v>1050</v>
      </c>
      <c r="AP475" s="30" t="s">
        <v>1051</v>
      </c>
      <c r="AQ475" s="30">
        <v>5.28</v>
      </c>
      <c r="AR475" s="30">
        <v>1470</v>
      </c>
      <c r="AS475" s="30">
        <v>960</v>
      </c>
      <c r="AT475" s="30">
        <v>1675</v>
      </c>
      <c r="AU475" s="54">
        <v>8812000</v>
      </c>
      <c r="AV475" s="54"/>
      <c r="AW475" s="54"/>
      <c r="AX475" s="54"/>
      <c r="AY475" s="54">
        <v>6976169</v>
      </c>
      <c r="AZ475" s="54">
        <v>91792</v>
      </c>
      <c r="BA475" s="54">
        <v>1560455</v>
      </c>
      <c r="BB475" s="55">
        <f>VLOOKUP(M475,[1]Sheet1!$E$6:$F$556,2,FALSE)</f>
        <v>116122</v>
      </c>
      <c r="BC475" s="74"/>
      <c r="BD475" s="74"/>
      <c r="BE475" s="128">
        <v>19.999901952239846</v>
      </c>
      <c r="BF475" s="30" t="s">
        <v>1134</v>
      </c>
      <c r="BG475" s="30" t="s">
        <v>1117</v>
      </c>
      <c r="BH475" s="30" t="s">
        <v>1054</v>
      </c>
      <c r="BI475" s="30" t="str">
        <f t="shared" si="306"/>
        <v>COF(Assy_FT)</v>
      </c>
      <c r="BJ475" s="47" t="s">
        <v>137</v>
      </c>
      <c r="BK475" s="56">
        <f t="shared" si="321"/>
        <v>1638477.75</v>
      </c>
      <c r="BL475" s="57">
        <f t="shared" si="291"/>
        <v>156193.98315058753</v>
      </c>
      <c r="BM475" s="57">
        <f t="shared" si="292"/>
        <v>52064.661050195842</v>
      </c>
      <c r="BU475" s="58">
        <f t="shared" ref="BU475:BU484" si="325">BM475*3</f>
        <v>156193.98315058753</v>
      </c>
      <c r="BV475" s="58">
        <f t="shared" si="305"/>
        <v>156193.98315058753</v>
      </c>
      <c r="BW475" s="58">
        <f t="shared" ref="BW475:BW484" si="326">SUM(BS475:BV475)</f>
        <v>312387.96630117507</v>
      </c>
      <c r="BX475" s="58">
        <f t="shared" si="293"/>
        <v>156193.98315058753</v>
      </c>
      <c r="BY475" s="58">
        <f t="shared" si="294"/>
        <v>156193.98315058753</v>
      </c>
      <c r="BZ475" s="58">
        <f t="shared" si="309"/>
        <v>156193.98315058753</v>
      </c>
      <c r="CA475" s="58">
        <f t="shared" si="294"/>
        <v>156193.98315058753</v>
      </c>
      <c r="CB475" s="58">
        <f t="shared" si="310"/>
        <v>624775.93260235013</v>
      </c>
      <c r="CC475" s="58">
        <f t="shared" si="311"/>
        <v>156193.98315058753</v>
      </c>
      <c r="CD475" s="58">
        <f t="shared" si="324"/>
        <v>156193.98315058753</v>
      </c>
      <c r="CE475" s="58">
        <f t="shared" si="324"/>
        <v>156193.98315058753</v>
      </c>
      <c r="CF475" s="58">
        <f t="shared" si="324"/>
        <v>156193.98315058753</v>
      </c>
      <c r="CG475" s="58">
        <f t="shared" si="312"/>
        <v>624775.93260235013</v>
      </c>
      <c r="CH475" s="58">
        <f t="shared" si="295"/>
        <v>156193.98315058753</v>
      </c>
      <c r="CI475" s="58">
        <f t="shared" si="317"/>
        <v>156193.98315058753</v>
      </c>
      <c r="CJ475" s="58">
        <f t="shared" si="317"/>
        <v>156193.98315058753</v>
      </c>
      <c r="CK475" s="58">
        <f t="shared" si="317"/>
        <v>156193.98315058753</v>
      </c>
      <c r="CL475" s="58">
        <f t="shared" si="297"/>
        <v>624775.93260235013</v>
      </c>
      <c r="CN475" s="59">
        <f t="shared" ref="CN475:CN476" si="327">BK475/$CN$3</f>
        <v>1.5998712908660959E-4</v>
      </c>
      <c r="CO475" s="64">
        <f t="shared" ref="CO475:CO476" si="328">CN475*$CO$4</f>
        <v>3359729.7108188015</v>
      </c>
      <c r="CP475" s="2">
        <f t="shared" si="315"/>
        <v>4998207.4608188011</v>
      </c>
    </row>
    <row r="476" spans="1:94" ht="16.5" hidden="1" x14ac:dyDescent="0.3">
      <c r="A476" s="2">
        <v>471</v>
      </c>
      <c r="B476" s="47" t="s">
        <v>21</v>
      </c>
      <c r="C476" s="47"/>
      <c r="D476" s="30" t="s">
        <v>1041</v>
      </c>
      <c r="E476" s="30" t="s">
        <v>1042</v>
      </c>
      <c r="F476" s="30" t="s">
        <v>1043</v>
      </c>
      <c r="G476" s="30" t="s">
        <v>117</v>
      </c>
      <c r="H476" s="30" t="s">
        <v>1058</v>
      </c>
      <c r="I476" s="30" t="s">
        <v>119</v>
      </c>
      <c r="J476" s="30" t="s">
        <v>1044</v>
      </c>
      <c r="K476" s="30" t="s">
        <v>1044</v>
      </c>
      <c r="L476" s="30" t="s">
        <v>1109</v>
      </c>
      <c r="M476" s="30">
        <v>1005914</v>
      </c>
      <c r="N476" s="30" t="s">
        <v>138</v>
      </c>
      <c r="O476" s="30" t="s">
        <v>1583</v>
      </c>
      <c r="P476" s="30" t="s">
        <v>1111</v>
      </c>
      <c r="Q476" s="30" t="s">
        <v>585</v>
      </c>
      <c r="R476" s="30"/>
      <c r="S476" s="30" t="s">
        <v>1584</v>
      </c>
      <c r="T476" s="30"/>
      <c r="U476" s="30" t="s">
        <v>144</v>
      </c>
      <c r="V476" s="30" t="s">
        <v>437</v>
      </c>
      <c r="W476" s="30" t="s">
        <v>1113</v>
      </c>
      <c r="X476" s="30" t="s">
        <v>127</v>
      </c>
      <c r="Y476" s="30" t="s">
        <v>457</v>
      </c>
      <c r="Z476" s="30" t="s">
        <v>457</v>
      </c>
      <c r="AA476" s="30" t="s">
        <v>129</v>
      </c>
      <c r="AB476" s="30" t="s">
        <v>1114</v>
      </c>
      <c r="AC476" s="30" t="s">
        <v>1114</v>
      </c>
      <c r="AD476" s="30" t="s">
        <v>1115</v>
      </c>
      <c r="AE476" s="30"/>
      <c r="AF476" s="30" t="s">
        <v>131</v>
      </c>
      <c r="AG476" s="30" t="s">
        <v>774</v>
      </c>
      <c r="AH476" s="30" t="s">
        <v>1116</v>
      </c>
      <c r="AI476" s="30"/>
      <c r="AJ476" s="50">
        <v>43566</v>
      </c>
      <c r="AK476" s="50">
        <v>43566</v>
      </c>
      <c r="AL476" s="51">
        <f t="shared" si="320"/>
        <v>6.5616438356164384</v>
      </c>
      <c r="AM476" s="30">
        <v>8</v>
      </c>
      <c r="AN476" s="30" t="s">
        <v>1065</v>
      </c>
      <c r="AO476" s="30" t="s">
        <v>1050</v>
      </c>
      <c r="AP476" s="30" t="s">
        <v>1051</v>
      </c>
      <c r="AQ476" s="30">
        <v>5.28</v>
      </c>
      <c r="AR476" s="30">
        <v>1470</v>
      </c>
      <c r="AS476" s="30">
        <v>960</v>
      </c>
      <c r="AT476" s="30">
        <v>1675</v>
      </c>
      <c r="AU476" s="54">
        <v>8812000</v>
      </c>
      <c r="AV476" s="54"/>
      <c r="AW476" s="54"/>
      <c r="AX476" s="54"/>
      <c r="AY476" s="54">
        <v>6976169</v>
      </c>
      <c r="AZ476" s="54">
        <v>91792</v>
      </c>
      <c r="BA476" s="54">
        <v>1560455</v>
      </c>
      <c r="BB476" s="55">
        <f>VLOOKUP(M476,[1]Sheet1!$E$6:$F$556,2,FALSE)</f>
        <v>116122</v>
      </c>
      <c r="BC476" s="74"/>
      <c r="BD476" s="74"/>
      <c r="BE476" s="128">
        <v>19.999901952239846</v>
      </c>
      <c r="BF476" s="30" t="s">
        <v>1134</v>
      </c>
      <c r="BG476" s="30" t="s">
        <v>1117</v>
      </c>
      <c r="BH476" s="30" t="s">
        <v>1054</v>
      </c>
      <c r="BI476" s="30" t="str">
        <f t="shared" si="306"/>
        <v>COF(Assy_FT)</v>
      </c>
      <c r="BJ476" s="47" t="s">
        <v>137</v>
      </c>
      <c r="BK476" s="56">
        <f t="shared" si="321"/>
        <v>1638477.75</v>
      </c>
      <c r="BL476" s="57">
        <f t="shared" si="291"/>
        <v>156193.98315058753</v>
      </c>
      <c r="BM476" s="57">
        <f t="shared" si="292"/>
        <v>52064.661050195842</v>
      </c>
      <c r="BU476" s="58">
        <f t="shared" si="325"/>
        <v>156193.98315058753</v>
      </c>
      <c r="BV476" s="58">
        <f t="shared" si="305"/>
        <v>156193.98315058753</v>
      </c>
      <c r="BW476" s="58">
        <f t="shared" si="326"/>
        <v>312387.96630117507</v>
      </c>
      <c r="BX476" s="58">
        <f t="shared" si="293"/>
        <v>156193.98315058753</v>
      </c>
      <c r="BY476" s="58">
        <f t="shared" si="294"/>
        <v>156193.98315058753</v>
      </c>
      <c r="BZ476" s="58">
        <f t="shared" si="309"/>
        <v>156193.98315058753</v>
      </c>
      <c r="CA476" s="58">
        <f t="shared" si="294"/>
        <v>156193.98315058753</v>
      </c>
      <c r="CB476" s="58">
        <f t="shared" si="310"/>
        <v>624775.93260235013</v>
      </c>
      <c r="CC476" s="58">
        <f t="shared" si="311"/>
        <v>156193.98315058753</v>
      </c>
      <c r="CD476" s="58">
        <f t="shared" si="324"/>
        <v>156193.98315058753</v>
      </c>
      <c r="CE476" s="58">
        <f t="shared" si="324"/>
        <v>156193.98315058753</v>
      </c>
      <c r="CF476" s="58">
        <f t="shared" si="324"/>
        <v>156193.98315058753</v>
      </c>
      <c r="CG476" s="58">
        <f t="shared" si="312"/>
        <v>624775.93260235013</v>
      </c>
      <c r="CH476" s="58">
        <f t="shared" si="295"/>
        <v>156193.98315058753</v>
      </c>
      <c r="CI476" s="58">
        <f t="shared" ref="CI476:CK491" si="329">CH476</f>
        <v>156193.98315058753</v>
      </c>
      <c r="CJ476" s="58">
        <f t="shared" si="329"/>
        <v>156193.98315058753</v>
      </c>
      <c r="CK476" s="58">
        <f t="shared" si="329"/>
        <v>156193.98315058753</v>
      </c>
      <c r="CL476" s="58">
        <f t="shared" si="297"/>
        <v>624775.93260235013</v>
      </c>
      <c r="CN476" s="59">
        <f t="shared" si="327"/>
        <v>1.5998712908660959E-4</v>
      </c>
      <c r="CO476" s="64">
        <f t="shared" si="328"/>
        <v>3359729.7108188015</v>
      </c>
      <c r="CP476" s="2">
        <f t="shared" si="315"/>
        <v>4998207.4608188011</v>
      </c>
    </row>
    <row r="477" spans="1:94" hidden="1" x14ac:dyDescent="0.3">
      <c r="A477" s="29">
        <v>472</v>
      </c>
      <c r="B477" s="30" t="s">
        <v>21</v>
      </c>
      <c r="C477" s="30"/>
      <c r="D477" s="30" t="s">
        <v>1041</v>
      </c>
      <c r="E477" s="30" t="s">
        <v>1042</v>
      </c>
      <c r="F477" s="30" t="s">
        <v>1043</v>
      </c>
      <c r="G477" s="30" t="s">
        <v>117</v>
      </c>
      <c r="H477" s="30" t="s">
        <v>1058</v>
      </c>
      <c r="I477" s="30" t="s">
        <v>119</v>
      </c>
      <c r="J477" s="30" t="s">
        <v>1044</v>
      </c>
      <c r="K477" s="30" t="s">
        <v>1044</v>
      </c>
      <c r="L477" s="30" t="s">
        <v>1109</v>
      </c>
      <c r="M477" s="30">
        <v>1005915</v>
      </c>
      <c r="N477" s="30" t="s">
        <v>138</v>
      </c>
      <c r="O477" s="30" t="s">
        <v>1585</v>
      </c>
      <c r="P477" s="30" t="s">
        <v>1111</v>
      </c>
      <c r="Q477" s="30" t="s">
        <v>585</v>
      </c>
      <c r="R477" s="30"/>
      <c r="S477" s="30" t="s">
        <v>1586</v>
      </c>
      <c r="T477" s="30"/>
      <c r="U477" s="30" t="s">
        <v>144</v>
      </c>
      <c r="V477" s="30" t="s">
        <v>437</v>
      </c>
      <c r="W477" s="30" t="s">
        <v>1113</v>
      </c>
      <c r="X477" s="30"/>
      <c r="Y477" s="30" t="s">
        <v>457</v>
      </c>
      <c r="Z477" s="30" t="s">
        <v>457</v>
      </c>
      <c r="AA477" s="30" t="s">
        <v>129</v>
      </c>
      <c r="AB477" s="30" t="s">
        <v>1114</v>
      </c>
      <c r="AC477" s="30" t="s">
        <v>1114</v>
      </c>
      <c r="AD477" s="30" t="s">
        <v>1115</v>
      </c>
      <c r="AE477" s="30"/>
      <c r="AF477" s="30" t="s">
        <v>131</v>
      </c>
      <c r="AG477" s="30" t="s">
        <v>774</v>
      </c>
      <c r="AH477" s="30" t="s">
        <v>1116</v>
      </c>
      <c r="AI477" s="30"/>
      <c r="AJ477" s="50">
        <v>43566</v>
      </c>
      <c r="AK477" s="50">
        <v>43566</v>
      </c>
      <c r="AL477" s="51">
        <f t="shared" si="320"/>
        <v>6.5616438356164384</v>
      </c>
      <c r="AM477" s="30">
        <v>8</v>
      </c>
      <c r="AN477" s="30" t="s">
        <v>1065</v>
      </c>
      <c r="AO477" s="30" t="s">
        <v>1050</v>
      </c>
      <c r="AP477" s="30" t="s">
        <v>1051</v>
      </c>
      <c r="AQ477" s="30">
        <v>5.28</v>
      </c>
      <c r="AR477" s="30">
        <v>1470</v>
      </c>
      <c r="AS477" s="30">
        <v>960</v>
      </c>
      <c r="AT477" s="30">
        <v>1675</v>
      </c>
      <c r="AU477" s="74">
        <v>8812000</v>
      </c>
      <c r="AV477" s="54"/>
      <c r="AW477" s="54"/>
      <c r="AX477" s="54"/>
      <c r="AY477" s="54">
        <v>6976169</v>
      </c>
      <c r="AZ477" s="54">
        <v>91792</v>
      </c>
      <c r="BA477" s="74">
        <v>1560455</v>
      </c>
      <c r="BB477" s="55">
        <f>VLOOKUP(M477,[1]Sheet1!$E$6:$F$556,2,FALSE)</f>
        <v>116122</v>
      </c>
      <c r="BC477" s="74"/>
      <c r="BD477" s="74"/>
      <c r="BE477" s="128">
        <v>19.999901952239846</v>
      </c>
      <c r="BF477" s="30" t="s">
        <v>1134</v>
      </c>
      <c r="BG477" s="30" t="s">
        <v>1117</v>
      </c>
      <c r="BH477" s="30" t="s">
        <v>1054</v>
      </c>
      <c r="BI477" s="30" t="str">
        <f t="shared" si="306"/>
        <v>COF(Assy_FT)</v>
      </c>
      <c r="BJ477" s="30" t="s">
        <v>250</v>
      </c>
      <c r="BK477" s="56">
        <f t="shared" si="321"/>
        <v>1638477.75</v>
      </c>
      <c r="BL477" s="57">
        <f t="shared" si="291"/>
        <v>51202.4296875</v>
      </c>
      <c r="BM477" s="57">
        <f t="shared" si="292"/>
        <v>17067.4765625</v>
      </c>
      <c r="BU477" s="58">
        <f t="shared" si="325"/>
        <v>51202.4296875</v>
      </c>
      <c r="BV477" s="58">
        <f t="shared" si="305"/>
        <v>51202.4296875</v>
      </c>
      <c r="BW477" s="58">
        <f t="shared" si="326"/>
        <v>102404.859375</v>
      </c>
      <c r="BX477" s="58">
        <f t="shared" si="293"/>
        <v>51202.4296875</v>
      </c>
      <c r="BY477" s="58">
        <f t="shared" si="294"/>
        <v>51202.4296875</v>
      </c>
      <c r="BZ477" s="58">
        <f t="shared" si="309"/>
        <v>51202.4296875</v>
      </c>
      <c r="CA477" s="58">
        <f t="shared" si="294"/>
        <v>51202.4296875</v>
      </c>
      <c r="CB477" s="58">
        <f t="shared" si="310"/>
        <v>204809.71875</v>
      </c>
      <c r="CC477" s="58">
        <f t="shared" si="311"/>
        <v>51202.4296875</v>
      </c>
      <c r="CD477" s="58">
        <f t="shared" si="324"/>
        <v>51202.4296875</v>
      </c>
      <c r="CE477" s="58">
        <f t="shared" si="324"/>
        <v>51202.4296875</v>
      </c>
      <c r="CF477" s="58">
        <f t="shared" si="324"/>
        <v>51202.4296875</v>
      </c>
      <c r="CG477" s="58">
        <f t="shared" si="312"/>
        <v>204809.71875</v>
      </c>
      <c r="CH477" s="58">
        <f t="shared" si="295"/>
        <v>51202.4296875</v>
      </c>
      <c r="CI477" s="58">
        <f t="shared" si="329"/>
        <v>51202.4296875</v>
      </c>
      <c r="CJ477" s="58">
        <f t="shared" si="329"/>
        <v>51202.4296875</v>
      </c>
      <c r="CK477" s="58">
        <f t="shared" si="329"/>
        <v>51202.4296875</v>
      </c>
      <c r="CL477" s="58">
        <f t="shared" si="297"/>
        <v>204809.71875</v>
      </c>
      <c r="CP477" s="2">
        <f t="shared" si="315"/>
        <v>1638477.75</v>
      </c>
    </row>
    <row r="478" spans="1:94" hidden="1" x14ac:dyDescent="0.3">
      <c r="A478" s="29">
        <v>473</v>
      </c>
      <c r="B478" s="30" t="s">
        <v>21</v>
      </c>
      <c r="C478" s="30"/>
      <c r="D478" s="30" t="s">
        <v>1041</v>
      </c>
      <c r="E478" s="30" t="s">
        <v>1042</v>
      </c>
      <c r="F478" s="30" t="s">
        <v>1043</v>
      </c>
      <c r="G478" s="30" t="s">
        <v>117</v>
      </c>
      <c r="H478" s="30" t="s">
        <v>1058</v>
      </c>
      <c r="I478" s="30" t="s">
        <v>119</v>
      </c>
      <c r="J478" s="30" t="s">
        <v>1044</v>
      </c>
      <c r="K478" s="30" t="s">
        <v>1044</v>
      </c>
      <c r="L478" s="30" t="s">
        <v>1109</v>
      </c>
      <c r="M478" s="30">
        <v>1005916</v>
      </c>
      <c r="N478" s="30" t="s">
        <v>138</v>
      </c>
      <c r="O478" s="30" t="s">
        <v>1587</v>
      </c>
      <c r="P478" s="30" t="s">
        <v>1111</v>
      </c>
      <c r="Q478" s="30" t="s">
        <v>585</v>
      </c>
      <c r="R478" s="30"/>
      <c r="S478" s="30" t="s">
        <v>1588</v>
      </c>
      <c r="T478" s="30"/>
      <c r="U478" s="30" t="s">
        <v>144</v>
      </c>
      <c r="V478" s="30" t="s">
        <v>437</v>
      </c>
      <c r="W478" s="30" t="s">
        <v>1113</v>
      </c>
      <c r="X478" s="30"/>
      <c r="Y478" s="30" t="s">
        <v>457</v>
      </c>
      <c r="Z478" s="30" t="s">
        <v>457</v>
      </c>
      <c r="AA478" s="30" t="s">
        <v>129</v>
      </c>
      <c r="AB478" s="30" t="s">
        <v>1114</v>
      </c>
      <c r="AC478" s="30" t="s">
        <v>1114</v>
      </c>
      <c r="AD478" s="30" t="s">
        <v>1115</v>
      </c>
      <c r="AE478" s="30"/>
      <c r="AF478" s="30" t="s">
        <v>131</v>
      </c>
      <c r="AG478" s="30" t="s">
        <v>774</v>
      </c>
      <c r="AH478" s="30" t="s">
        <v>1116</v>
      </c>
      <c r="AI478" s="30"/>
      <c r="AJ478" s="50">
        <v>43566</v>
      </c>
      <c r="AK478" s="50">
        <v>43566</v>
      </c>
      <c r="AL478" s="51">
        <f t="shared" si="320"/>
        <v>6.5616438356164384</v>
      </c>
      <c r="AM478" s="30">
        <v>8</v>
      </c>
      <c r="AN478" s="30" t="s">
        <v>1065</v>
      </c>
      <c r="AO478" s="30" t="s">
        <v>1050</v>
      </c>
      <c r="AP478" s="30" t="s">
        <v>1051</v>
      </c>
      <c r="AQ478" s="30">
        <v>5.28</v>
      </c>
      <c r="AR478" s="30">
        <v>1470</v>
      </c>
      <c r="AS478" s="30">
        <v>960</v>
      </c>
      <c r="AT478" s="30">
        <v>1675</v>
      </c>
      <c r="AU478" s="74">
        <v>8812000</v>
      </c>
      <c r="AV478" s="54"/>
      <c r="AW478" s="54"/>
      <c r="AX478" s="54"/>
      <c r="AY478" s="54">
        <v>6976169</v>
      </c>
      <c r="AZ478" s="54">
        <v>91792</v>
      </c>
      <c r="BA478" s="74">
        <v>1560455</v>
      </c>
      <c r="BB478" s="55">
        <f>VLOOKUP(M478,[1]Sheet1!$E$6:$F$556,2,FALSE)</f>
        <v>116122</v>
      </c>
      <c r="BC478" s="74"/>
      <c r="BD478" s="74"/>
      <c r="BE478" s="128">
        <v>19.999901952239846</v>
      </c>
      <c r="BF478" s="30" t="s">
        <v>1134</v>
      </c>
      <c r="BG478" s="30" t="s">
        <v>1117</v>
      </c>
      <c r="BH478" s="30" t="s">
        <v>1054</v>
      </c>
      <c r="BI478" s="30" t="str">
        <f t="shared" si="306"/>
        <v>COF(Assy_FT)</v>
      </c>
      <c r="BJ478" s="30" t="s">
        <v>250</v>
      </c>
      <c r="BK478" s="56">
        <f t="shared" si="321"/>
        <v>1638477.75</v>
      </c>
      <c r="BL478" s="57">
        <f t="shared" si="291"/>
        <v>51202.4296875</v>
      </c>
      <c r="BM478" s="57">
        <f t="shared" si="292"/>
        <v>17067.4765625</v>
      </c>
      <c r="BU478" s="58">
        <f t="shared" si="325"/>
        <v>51202.4296875</v>
      </c>
      <c r="BV478" s="58">
        <f t="shared" si="305"/>
        <v>51202.4296875</v>
      </c>
      <c r="BW478" s="58">
        <f t="shared" si="326"/>
        <v>102404.859375</v>
      </c>
      <c r="BX478" s="58">
        <f t="shared" si="293"/>
        <v>51202.4296875</v>
      </c>
      <c r="BY478" s="58">
        <f t="shared" si="294"/>
        <v>51202.4296875</v>
      </c>
      <c r="BZ478" s="58">
        <f t="shared" si="309"/>
        <v>51202.4296875</v>
      </c>
      <c r="CA478" s="58">
        <f t="shared" si="294"/>
        <v>51202.4296875</v>
      </c>
      <c r="CB478" s="58">
        <f t="shared" si="310"/>
        <v>204809.71875</v>
      </c>
      <c r="CC478" s="58">
        <f t="shared" si="311"/>
        <v>51202.4296875</v>
      </c>
      <c r="CD478" s="58">
        <f t="shared" si="324"/>
        <v>51202.4296875</v>
      </c>
      <c r="CE478" s="58">
        <f t="shared" si="324"/>
        <v>51202.4296875</v>
      </c>
      <c r="CF478" s="58">
        <f t="shared" si="324"/>
        <v>51202.4296875</v>
      </c>
      <c r="CG478" s="58">
        <f t="shared" si="312"/>
        <v>204809.71875</v>
      </c>
      <c r="CH478" s="58">
        <f t="shared" si="295"/>
        <v>51202.4296875</v>
      </c>
      <c r="CI478" s="58">
        <f t="shared" si="329"/>
        <v>51202.4296875</v>
      </c>
      <c r="CJ478" s="58">
        <f t="shared" si="329"/>
        <v>51202.4296875</v>
      </c>
      <c r="CK478" s="58">
        <f t="shared" si="329"/>
        <v>51202.4296875</v>
      </c>
      <c r="CL478" s="58">
        <f t="shared" si="297"/>
        <v>204809.71875</v>
      </c>
      <c r="CP478" s="2">
        <f t="shared" si="315"/>
        <v>1638477.75</v>
      </c>
    </row>
    <row r="479" spans="1:94" hidden="1" x14ac:dyDescent="0.3">
      <c r="A479" s="29">
        <v>474</v>
      </c>
      <c r="B479" s="30" t="s">
        <v>21</v>
      </c>
      <c r="C479" s="30"/>
      <c r="D479" s="30" t="s">
        <v>1041</v>
      </c>
      <c r="E479" s="30" t="s">
        <v>1042</v>
      </c>
      <c r="F479" s="30" t="s">
        <v>1043</v>
      </c>
      <c r="G479" s="30" t="s">
        <v>117</v>
      </c>
      <c r="H479" s="30" t="s">
        <v>1058</v>
      </c>
      <c r="I479" s="30" t="s">
        <v>119</v>
      </c>
      <c r="J479" s="30" t="s">
        <v>1044</v>
      </c>
      <c r="K479" s="30" t="s">
        <v>1044</v>
      </c>
      <c r="L479" s="30" t="s">
        <v>1109</v>
      </c>
      <c r="M479" s="30">
        <v>1005917</v>
      </c>
      <c r="N479" s="30" t="s">
        <v>138</v>
      </c>
      <c r="O479" s="30" t="s">
        <v>1589</v>
      </c>
      <c r="P479" s="30" t="s">
        <v>1111</v>
      </c>
      <c r="Q479" s="30" t="s">
        <v>585</v>
      </c>
      <c r="R479" s="30"/>
      <c r="S479" s="30" t="s">
        <v>1590</v>
      </c>
      <c r="T479" s="30"/>
      <c r="U479" s="30" t="s">
        <v>144</v>
      </c>
      <c r="V479" s="30" t="s">
        <v>437</v>
      </c>
      <c r="W479" s="30" t="s">
        <v>1113</v>
      </c>
      <c r="X479" s="30"/>
      <c r="Y479" s="30" t="s">
        <v>457</v>
      </c>
      <c r="Z479" s="30" t="s">
        <v>457</v>
      </c>
      <c r="AA479" s="30" t="s">
        <v>129</v>
      </c>
      <c r="AB479" s="30" t="s">
        <v>1114</v>
      </c>
      <c r="AC479" s="30" t="s">
        <v>1114</v>
      </c>
      <c r="AD479" s="30" t="s">
        <v>1115</v>
      </c>
      <c r="AE479" s="30"/>
      <c r="AF479" s="30" t="s">
        <v>131</v>
      </c>
      <c r="AG479" s="30" t="s">
        <v>774</v>
      </c>
      <c r="AH479" s="30" t="s">
        <v>1116</v>
      </c>
      <c r="AI479" s="30"/>
      <c r="AJ479" s="50">
        <v>43566</v>
      </c>
      <c r="AK479" s="50">
        <v>43566</v>
      </c>
      <c r="AL479" s="51">
        <f t="shared" si="320"/>
        <v>6.5616438356164384</v>
      </c>
      <c r="AM479" s="30">
        <v>8</v>
      </c>
      <c r="AN479" s="30" t="s">
        <v>1065</v>
      </c>
      <c r="AO479" s="30" t="s">
        <v>1050</v>
      </c>
      <c r="AP479" s="30" t="s">
        <v>1051</v>
      </c>
      <c r="AQ479" s="30">
        <v>5.28</v>
      </c>
      <c r="AR479" s="30">
        <v>1470</v>
      </c>
      <c r="AS479" s="30">
        <v>960</v>
      </c>
      <c r="AT479" s="30">
        <v>1675</v>
      </c>
      <c r="AU479" s="74">
        <v>8812000</v>
      </c>
      <c r="AV479" s="54"/>
      <c r="AW479" s="54"/>
      <c r="AX479" s="54"/>
      <c r="AY479" s="54">
        <v>6976169</v>
      </c>
      <c r="AZ479" s="54">
        <v>91792</v>
      </c>
      <c r="BA479" s="74">
        <v>1560455</v>
      </c>
      <c r="BB479" s="55">
        <f>VLOOKUP(M479,[1]Sheet1!$E$6:$F$556,2,FALSE)</f>
        <v>116122</v>
      </c>
      <c r="BC479" s="74"/>
      <c r="BD479" s="74"/>
      <c r="BE479" s="128">
        <v>19.999901952239846</v>
      </c>
      <c r="BF479" s="30" t="s">
        <v>1134</v>
      </c>
      <c r="BG479" s="30" t="s">
        <v>1117</v>
      </c>
      <c r="BH479" s="30" t="s">
        <v>1054</v>
      </c>
      <c r="BI479" s="30" t="str">
        <f t="shared" si="306"/>
        <v>COF(Assy_FT)</v>
      </c>
      <c r="BJ479" s="30" t="s">
        <v>250</v>
      </c>
      <c r="BK479" s="56">
        <f t="shared" si="321"/>
        <v>1638477.75</v>
      </c>
      <c r="BL479" s="57">
        <f t="shared" si="291"/>
        <v>51202.4296875</v>
      </c>
      <c r="BM479" s="57">
        <f t="shared" si="292"/>
        <v>17067.4765625</v>
      </c>
      <c r="BU479" s="58">
        <f t="shared" si="325"/>
        <v>51202.4296875</v>
      </c>
      <c r="BV479" s="58">
        <f t="shared" si="305"/>
        <v>51202.4296875</v>
      </c>
      <c r="BW479" s="58">
        <f t="shared" si="326"/>
        <v>102404.859375</v>
      </c>
      <c r="BX479" s="58">
        <f t="shared" si="293"/>
        <v>51202.4296875</v>
      </c>
      <c r="BY479" s="58">
        <f t="shared" si="294"/>
        <v>51202.4296875</v>
      </c>
      <c r="BZ479" s="58">
        <f t="shared" si="309"/>
        <v>51202.4296875</v>
      </c>
      <c r="CA479" s="58">
        <f t="shared" si="294"/>
        <v>51202.4296875</v>
      </c>
      <c r="CB479" s="58">
        <f t="shared" si="310"/>
        <v>204809.71875</v>
      </c>
      <c r="CC479" s="58">
        <f t="shared" si="311"/>
        <v>51202.4296875</v>
      </c>
      <c r="CD479" s="58">
        <f t="shared" si="324"/>
        <v>51202.4296875</v>
      </c>
      <c r="CE479" s="58">
        <f t="shared" si="324"/>
        <v>51202.4296875</v>
      </c>
      <c r="CF479" s="58">
        <f t="shared" si="324"/>
        <v>51202.4296875</v>
      </c>
      <c r="CG479" s="58">
        <f t="shared" si="312"/>
        <v>204809.71875</v>
      </c>
      <c r="CH479" s="58">
        <f t="shared" si="295"/>
        <v>51202.4296875</v>
      </c>
      <c r="CI479" s="58">
        <f t="shared" si="329"/>
        <v>51202.4296875</v>
      </c>
      <c r="CJ479" s="58">
        <f t="shared" si="329"/>
        <v>51202.4296875</v>
      </c>
      <c r="CK479" s="58">
        <f t="shared" si="329"/>
        <v>51202.4296875</v>
      </c>
      <c r="CL479" s="58">
        <f t="shared" si="297"/>
        <v>204809.71875</v>
      </c>
      <c r="CP479" s="2">
        <f t="shared" si="315"/>
        <v>1638477.75</v>
      </c>
    </row>
    <row r="480" spans="1:94" hidden="1" x14ac:dyDescent="0.3">
      <c r="A480" s="29">
        <v>475</v>
      </c>
      <c r="B480" s="30" t="s">
        <v>21</v>
      </c>
      <c r="C480" s="30"/>
      <c r="D480" s="30" t="s">
        <v>1041</v>
      </c>
      <c r="E480" s="30" t="s">
        <v>1042</v>
      </c>
      <c r="F480" s="30" t="s">
        <v>1043</v>
      </c>
      <c r="G480" s="30" t="s">
        <v>117</v>
      </c>
      <c r="H480" s="30" t="s">
        <v>1058</v>
      </c>
      <c r="I480" s="30" t="s">
        <v>119</v>
      </c>
      <c r="J480" s="30" t="s">
        <v>1044</v>
      </c>
      <c r="K480" s="30" t="s">
        <v>1044</v>
      </c>
      <c r="L480" s="30" t="s">
        <v>1130</v>
      </c>
      <c r="M480" s="30">
        <v>1005366</v>
      </c>
      <c r="N480" s="30" t="s">
        <v>138</v>
      </c>
      <c r="O480" s="30" t="s">
        <v>1591</v>
      </c>
      <c r="P480" s="30" t="s">
        <v>1179</v>
      </c>
      <c r="Q480" s="30" t="s">
        <v>1180</v>
      </c>
      <c r="R480" s="30" t="s">
        <v>1463</v>
      </c>
      <c r="S480" s="30" t="s">
        <v>1592</v>
      </c>
      <c r="T480" s="30" t="s">
        <v>1183</v>
      </c>
      <c r="U480" s="30" t="s">
        <v>144</v>
      </c>
      <c r="V480" s="30" t="s">
        <v>600</v>
      </c>
      <c r="W480" s="30" t="s">
        <v>1184</v>
      </c>
      <c r="X480" s="30"/>
      <c r="Y480" s="30" t="s">
        <v>457</v>
      </c>
      <c r="Z480" s="30" t="s">
        <v>457</v>
      </c>
      <c r="AA480" s="30" t="s">
        <v>148</v>
      </c>
      <c r="AB480" s="30" t="s">
        <v>1185</v>
      </c>
      <c r="AC480" s="30" t="s">
        <v>1185</v>
      </c>
      <c r="AD480" s="30"/>
      <c r="AE480" s="30"/>
      <c r="AF480" s="30" t="s">
        <v>593</v>
      </c>
      <c r="AG480" s="30" t="s">
        <v>774</v>
      </c>
      <c r="AH480" s="30" t="s">
        <v>1186</v>
      </c>
      <c r="AI480" s="30"/>
      <c r="AJ480" s="50">
        <v>43154</v>
      </c>
      <c r="AK480" s="50">
        <v>43154</v>
      </c>
      <c r="AL480" s="51">
        <f t="shared" si="320"/>
        <v>7.6904109589041099</v>
      </c>
      <c r="AM480" s="30">
        <v>8</v>
      </c>
      <c r="AN480" s="30" t="s">
        <v>1065</v>
      </c>
      <c r="AO480" s="30" t="s">
        <v>1050</v>
      </c>
      <c r="AP480" s="30" t="s">
        <v>1187</v>
      </c>
      <c r="AQ480" s="30">
        <v>3.6</v>
      </c>
      <c r="AR480" s="30">
        <v>2820</v>
      </c>
      <c r="AS480" s="30">
        <v>1154</v>
      </c>
      <c r="AT480" s="30">
        <v>2020</v>
      </c>
      <c r="AU480" s="74">
        <v>439835152</v>
      </c>
      <c r="AV480" s="54"/>
      <c r="AW480" s="54"/>
      <c r="AX480" s="54"/>
      <c r="AY480" s="54">
        <v>399020218</v>
      </c>
      <c r="AZ480" s="54">
        <v>4566381</v>
      </c>
      <c r="BA480" s="74">
        <v>27115791</v>
      </c>
      <c r="BB480" s="55">
        <f>VLOOKUP(M480,[1]Sheet1!$E$6:$F$556,2,FALSE)</f>
        <v>1000</v>
      </c>
      <c r="BC480" s="74"/>
      <c r="BD480" s="74"/>
      <c r="BE480" s="128">
        <v>8.9381359111296224</v>
      </c>
      <c r="BF480" s="30" t="s">
        <v>1134</v>
      </c>
      <c r="BG480" s="30" t="s">
        <v>1074</v>
      </c>
      <c r="BH480" s="30" t="s">
        <v>1054</v>
      </c>
      <c r="BI480" s="30" t="str">
        <f t="shared" si="306"/>
        <v>COF(Assy_FT)</v>
      </c>
      <c r="BJ480" s="30" t="s">
        <v>250</v>
      </c>
      <c r="BK480" s="56">
        <f t="shared" si="321"/>
        <v>28471580.550000001</v>
      </c>
      <c r="BL480" s="57">
        <f t="shared" si="291"/>
        <v>889736.89218750002</v>
      </c>
      <c r="BM480" s="57">
        <f t="shared" si="292"/>
        <v>296578.96406249999</v>
      </c>
      <c r="BU480" s="58">
        <f t="shared" si="325"/>
        <v>889736.89218749991</v>
      </c>
      <c r="BV480" s="58">
        <f t="shared" si="305"/>
        <v>889736.89218749991</v>
      </c>
      <c r="BW480" s="58">
        <f t="shared" si="326"/>
        <v>1779473.7843749998</v>
      </c>
      <c r="BX480" s="58">
        <f t="shared" si="293"/>
        <v>889736.89218749991</v>
      </c>
      <c r="BY480" s="58">
        <f t="shared" si="294"/>
        <v>889736.89218749991</v>
      </c>
      <c r="BZ480" s="58">
        <f t="shared" si="309"/>
        <v>889736.89218749991</v>
      </c>
      <c r="CA480" s="58">
        <f t="shared" si="294"/>
        <v>889736.89218749991</v>
      </c>
      <c r="CB480" s="58">
        <f t="shared" si="310"/>
        <v>3558947.5687499996</v>
      </c>
      <c r="CC480" s="58">
        <f t="shared" si="311"/>
        <v>889736.89218749991</v>
      </c>
      <c r="CD480" s="58">
        <f t="shared" si="324"/>
        <v>889736.89218749991</v>
      </c>
      <c r="CE480" s="58">
        <f t="shared" si="324"/>
        <v>889736.89218749991</v>
      </c>
      <c r="CF480" s="58">
        <f t="shared" si="324"/>
        <v>889736.89218749991</v>
      </c>
      <c r="CG480" s="58">
        <f t="shared" si="312"/>
        <v>3558947.5687499996</v>
      </c>
      <c r="CH480" s="58">
        <f t="shared" si="295"/>
        <v>889736.89218749991</v>
      </c>
      <c r="CI480" s="58">
        <f t="shared" si="329"/>
        <v>889736.89218749991</v>
      </c>
      <c r="CJ480" s="58">
        <f t="shared" si="329"/>
        <v>889736.89218749991</v>
      </c>
      <c r="CK480" s="58">
        <f t="shared" si="329"/>
        <v>889736.89218749991</v>
      </c>
      <c r="CL480" s="58">
        <f t="shared" si="297"/>
        <v>3558947.5687499996</v>
      </c>
      <c r="CP480" s="2">
        <f t="shared" si="315"/>
        <v>28471580.550000001</v>
      </c>
    </row>
    <row r="481" spans="1:94" hidden="1" x14ac:dyDescent="0.3">
      <c r="A481" s="29">
        <v>476</v>
      </c>
      <c r="B481" s="30" t="s">
        <v>21</v>
      </c>
      <c r="C481" s="30"/>
      <c r="D481" s="30" t="s">
        <v>1041</v>
      </c>
      <c r="E481" s="30" t="s">
        <v>1042</v>
      </c>
      <c r="F481" s="30" t="s">
        <v>1043</v>
      </c>
      <c r="G481" s="30" t="s">
        <v>117</v>
      </c>
      <c r="H481" s="30" t="s">
        <v>1058</v>
      </c>
      <c r="I481" s="30" t="s">
        <v>119</v>
      </c>
      <c r="J481" s="30" t="s">
        <v>1044</v>
      </c>
      <c r="K481" s="30" t="s">
        <v>1044</v>
      </c>
      <c r="L481" s="30" t="s">
        <v>1130</v>
      </c>
      <c r="M481" s="30">
        <v>1005365</v>
      </c>
      <c r="N481" s="30" t="s">
        <v>138</v>
      </c>
      <c r="O481" s="30" t="s">
        <v>1593</v>
      </c>
      <c r="P481" s="30" t="s">
        <v>1179</v>
      </c>
      <c r="Q481" s="30" t="s">
        <v>1180</v>
      </c>
      <c r="R481" s="30" t="s">
        <v>1463</v>
      </c>
      <c r="S481" s="30" t="s">
        <v>1594</v>
      </c>
      <c r="T481" s="30" t="s">
        <v>1183</v>
      </c>
      <c r="U481" s="30" t="s">
        <v>144</v>
      </c>
      <c r="V481" s="30" t="s">
        <v>600</v>
      </c>
      <c r="W481" s="30" t="s">
        <v>1184</v>
      </c>
      <c r="X481" s="30"/>
      <c r="Y481" s="30" t="s">
        <v>457</v>
      </c>
      <c r="Z481" s="30" t="s">
        <v>457</v>
      </c>
      <c r="AA481" s="30" t="s">
        <v>148</v>
      </c>
      <c r="AB481" s="30" t="s">
        <v>1185</v>
      </c>
      <c r="AC481" s="30" t="s">
        <v>1185</v>
      </c>
      <c r="AD481" s="30"/>
      <c r="AE481" s="30"/>
      <c r="AF481" s="30" t="s">
        <v>593</v>
      </c>
      <c r="AG481" s="30" t="s">
        <v>774</v>
      </c>
      <c r="AH481" s="30" t="s">
        <v>1186</v>
      </c>
      <c r="AI481" s="30"/>
      <c r="AJ481" s="50">
        <v>43154</v>
      </c>
      <c r="AK481" s="50">
        <v>43154</v>
      </c>
      <c r="AL481" s="51">
        <f t="shared" si="320"/>
        <v>7.6904109589041099</v>
      </c>
      <c r="AM481" s="30">
        <v>8</v>
      </c>
      <c r="AN481" s="30" t="s">
        <v>1065</v>
      </c>
      <c r="AO481" s="30" t="s">
        <v>1050</v>
      </c>
      <c r="AP481" s="30" t="s">
        <v>1187</v>
      </c>
      <c r="AQ481" s="30">
        <v>3.6</v>
      </c>
      <c r="AR481" s="30">
        <v>2820</v>
      </c>
      <c r="AS481" s="30">
        <v>1154</v>
      </c>
      <c r="AT481" s="30">
        <v>2020</v>
      </c>
      <c r="AU481" s="74">
        <v>439835152</v>
      </c>
      <c r="AV481" s="54"/>
      <c r="AW481" s="54"/>
      <c r="AX481" s="54"/>
      <c r="AY481" s="54">
        <v>399020218</v>
      </c>
      <c r="AZ481" s="54">
        <v>4566381</v>
      </c>
      <c r="BA481" s="74">
        <v>27115791</v>
      </c>
      <c r="BB481" s="55">
        <f>VLOOKUP(M481,[1]Sheet1!$E$6:$F$556,2,FALSE)</f>
        <v>1000</v>
      </c>
      <c r="BC481" s="74"/>
      <c r="BD481" s="74"/>
      <c r="BE481" s="128">
        <v>8.9381359111296224</v>
      </c>
      <c r="BF481" s="30" t="s">
        <v>1134</v>
      </c>
      <c r="BG481" s="30" t="s">
        <v>1074</v>
      </c>
      <c r="BH481" s="30" t="s">
        <v>1054</v>
      </c>
      <c r="BI481" s="30" t="str">
        <f t="shared" si="306"/>
        <v>COF(Assy_FT)</v>
      </c>
      <c r="BJ481" s="30" t="s">
        <v>250</v>
      </c>
      <c r="BK481" s="56">
        <f t="shared" si="321"/>
        <v>28471580.550000001</v>
      </c>
      <c r="BL481" s="57">
        <f t="shared" si="291"/>
        <v>889736.89218750002</v>
      </c>
      <c r="BM481" s="57">
        <f t="shared" si="292"/>
        <v>296578.96406249999</v>
      </c>
      <c r="BU481" s="58">
        <f t="shared" si="325"/>
        <v>889736.89218749991</v>
      </c>
      <c r="BV481" s="58">
        <f t="shared" si="305"/>
        <v>889736.89218749991</v>
      </c>
      <c r="BW481" s="58">
        <f t="shared" si="326"/>
        <v>1779473.7843749998</v>
      </c>
      <c r="BX481" s="58">
        <f t="shared" si="293"/>
        <v>889736.89218749991</v>
      </c>
      <c r="BY481" s="58">
        <f t="shared" si="294"/>
        <v>889736.89218749991</v>
      </c>
      <c r="BZ481" s="58">
        <f t="shared" si="309"/>
        <v>889736.89218749991</v>
      </c>
      <c r="CA481" s="58">
        <f>BZ481</f>
        <v>889736.89218749991</v>
      </c>
      <c r="CB481" s="58">
        <f t="shared" si="310"/>
        <v>3558947.5687499996</v>
      </c>
      <c r="CC481" s="58">
        <f t="shared" si="311"/>
        <v>889736.89218749991</v>
      </c>
      <c r="CD481" s="58">
        <f t="shared" si="324"/>
        <v>889736.89218749991</v>
      </c>
      <c r="CE481" s="58">
        <f t="shared" si="324"/>
        <v>889736.89218749991</v>
      </c>
      <c r="CF481" s="58">
        <f t="shared" si="324"/>
        <v>889736.89218749991</v>
      </c>
      <c r="CG481" s="58">
        <f t="shared" si="312"/>
        <v>3558947.5687499996</v>
      </c>
      <c r="CH481" s="58">
        <f t="shared" si="295"/>
        <v>889736.89218749991</v>
      </c>
      <c r="CI481" s="58">
        <f t="shared" si="329"/>
        <v>889736.89218749991</v>
      </c>
      <c r="CJ481" s="58">
        <f t="shared" si="329"/>
        <v>889736.89218749991</v>
      </c>
      <c r="CK481" s="58">
        <f t="shared" si="329"/>
        <v>889736.89218749991</v>
      </c>
      <c r="CL481" s="58">
        <f t="shared" si="297"/>
        <v>3558947.5687499996</v>
      </c>
      <c r="CP481" s="2">
        <f t="shared" si="315"/>
        <v>28471580.550000001</v>
      </c>
    </row>
    <row r="482" spans="1:94" hidden="1" x14ac:dyDescent="0.3">
      <c r="A482" s="29">
        <v>477</v>
      </c>
      <c r="B482" s="30" t="s">
        <v>21</v>
      </c>
      <c r="C482" s="30"/>
      <c r="D482" s="30" t="s">
        <v>1041</v>
      </c>
      <c r="E482" s="30" t="s">
        <v>1042</v>
      </c>
      <c r="F482" s="30" t="s">
        <v>1043</v>
      </c>
      <c r="G482" s="30" t="s">
        <v>117</v>
      </c>
      <c r="H482" s="30" t="s">
        <v>1058</v>
      </c>
      <c r="I482" s="30" t="s">
        <v>119</v>
      </c>
      <c r="J482" s="30" t="s">
        <v>1044</v>
      </c>
      <c r="K482" s="30" t="s">
        <v>1044</v>
      </c>
      <c r="L482" s="30" t="s">
        <v>1130</v>
      </c>
      <c r="M482" s="30">
        <v>1005202</v>
      </c>
      <c r="N482" s="30" t="s">
        <v>138</v>
      </c>
      <c r="O482" s="30" t="s">
        <v>1595</v>
      </c>
      <c r="P482" s="30" t="s">
        <v>1179</v>
      </c>
      <c r="Q482" s="30" t="s">
        <v>1180</v>
      </c>
      <c r="R482" s="30" t="s">
        <v>1463</v>
      </c>
      <c r="S482" s="30" t="s">
        <v>1596</v>
      </c>
      <c r="T482" s="30" t="s">
        <v>1183</v>
      </c>
      <c r="U482" s="30" t="s">
        <v>144</v>
      </c>
      <c r="V482" s="30" t="s">
        <v>600</v>
      </c>
      <c r="W482" s="30" t="s">
        <v>1184</v>
      </c>
      <c r="X482" s="30"/>
      <c r="Y482" s="30" t="s">
        <v>457</v>
      </c>
      <c r="Z482" s="30" t="s">
        <v>457</v>
      </c>
      <c r="AA482" s="30" t="s">
        <v>148</v>
      </c>
      <c r="AB482" s="30" t="s">
        <v>1185</v>
      </c>
      <c r="AC482" s="30" t="s">
        <v>1185</v>
      </c>
      <c r="AD482" s="30"/>
      <c r="AE482" s="30"/>
      <c r="AF482" s="30" t="s">
        <v>593</v>
      </c>
      <c r="AG482" s="30" t="s">
        <v>774</v>
      </c>
      <c r="AH482" s="30" t="s">
        <v>1186</v>
      </c>
      <c r="AI482" s="30"/>
      <c r="AJ482" s="50">
        <v>42997</v>
      </c>
      <c r="AK482" s="50">
        <v>42997</v>
      </c>
      <c r="AL482" s="51">
        <f t="shared" si="320"/>
        <v>8.1205479452054803</v>
      </c>
      <c r="AM482" s="30">
        <v>8</v>
      </c>
      <c r="AN482" s="30" t="s">
        <v>1065</v>
      </c>
      <c r="AO482" s="30" t="s">
        <v>1050</v>
      </c>
      <c r="AP482" s="30" t="s">
        <v>1187</v>
      </c>
      <c r="AQ482" s="30">
        <v>3.6</v>
      </c>
      <c r="AR482" s="30">
        <v>2820</v>
      </c>
      <c r="AS482" s="30">
        <v>1154</v>
      </c>
      <c r="AT482" s="30">
        <v>2020</v>
      </c>
      <c r="AU482" s="74">
        <v>452084746</v>
      </c>
      <c r="AV482" s="54"/>
      <c r="AW482" s="54"/>
      <c r="AX482" s="54"/>
      <c r="AY482" s="54">
        <v>432860291</v>
      </c>
      <c r="AZ482" s="54">
        <v>4609891</v>
      </c>
      <c r="BA482" s="74">
        <v>5394782</v>
      </c>
      <c r="BB482" s="55">
        <f>VLOOKUP(M482,[1]Sheet1!$E$6:$F$556,2,FALSE)</f>
        <v>1000</v>
      </c>
      <c r="BC482" s="74"/>
      <c r="BD482" s="74"/>
      <c r="BE482" s="128">
        <v>4.1702623771364662</v>
      </c>
      <c r="BF482" s="30" t="s">
        <v>1134</v>
      </c>
      <c r="BG482" s="30" t="s">
        <v>1074</v>
      </c>
      <c r="BH482" s="30" t="s">
        <v>1054</v>
      </c>
      <c r="BI482" s="30" t="str">
        <f t="shared" si="306"/>
        <v>COF(Assy_FT)</v>
      </c>
      <c r="BJ482" s="30" t="s">
        <v>250</v>
      </c>
      <c r="BK482" s="56">
        <f t="shared" si="321"/>
        <v>5664521.1000000006</v>
      </c>
      <c r="BL482" s="57">
        <f t="shared" si="291"/>
        <v>177016.28437500002</v>
      </c>
      <c r="BM482" s="57">
        <f t="shared" si="292"/>
        <v>59005.428125000006</v>
      </c>
      <c r="BU482" s="58">
        <f t="shared" si="325"/>
        <v>177016.28437500002</v>
      </c>
      <c r="BV482" s="58">
        <f t="shared" si="305"/>
        <v>177016.28437500002</v>
      </c>
      <c r="BW482" s="58">
        <f t="shared" si="326"/>
        <v>354032.56875000003</v>
      </c>
      <c r="BX482" s="58">
        <f t="shared" si="293"/>
        <v>177016.28437500002</v>
      </c>
      <c r="BY482" s="58">
        <f>BX482</f>
        <v>177016.28437500002</v>
      </c>
      <c r="BZ482" s="58">
        <f t="shared" si="309"/>
        <v>177016.28437500002</v>
      </c>
      <c r="CA482" s="58">
        <f>BZ482</f>
        <v>177016.28437500002</v>
      </c>
      <c r="CB482" s="58">
        <f t="shared" si="310"/>
        <v>708065.13750000007</v>
      </c>
      <c r="CC482" s="58">
        <f t="shared" si="311"/>
        <v>177016.28437500002</v>
      </c>
      <c r="CD482" s="58">
        <f t="shared" si="324"/>
        <v>177016.28437500002</v>
      </c>
      <c r="CE482" s="58">
        <f t="shared" si="324"/>
        <v>177016.28437500002</v>
      </c>
      <c r="CF482" s="58">
        <f t="shared" si="324"/>
        <v>177016.28437500002</v>
      </c>
      <c r="CG482" s="58">
        <f t="shared" si="312"/>
        <v>708065.13750000007</v>
      </c>
      <c r="CH482" s="58">
        <f t="shared" si="295"/>
        <v>177016.28437500002</v>
      </c>
      <c r="CI482" s="58">
        <f t="shared" si="329"/>
        <v>177016.28437500002</v>
      </c>
      <c r="CJ482" s="58">
        <f t="shared" si="329"/>
        <v>177016.28437500002</v>
      </c>
      <c r="CK482" s="58">
        <f t="shared" si="329"/>
        <v>177016.28437500002</v>
      </c>
      <c r="CL482" s="58">
        <f t="shared" si="297"/>
        <v>708065.13750000007</v>
      </c>
      <c r="CP482" s="2">
        <f t="shared" si="315"/>
        <v>5664521.1000000006</v>
      </c>
    </row>
    <row r="483" spans="1:94" hidden="1" x14ac:dyDescent="0.3">
      <c r="A483" s="29">
        <v>478</v>
      </c>
      <c r="B483" s="30" t="s">
        <v>21</v>
      </c>
      <c r="C483" s="30"/>
      <c r="D483" s="30" t="s">
        <v>1041</v>
      </c>
      <c r="E483" s="30" t="s">
        <v>1042</v>
      </c>
      <c r="F483" s="30" t="s">
        <v>1043</v>
      </c>
      <c r="G483" s="30" t="s">
        <v>117</v>
      </c>
      <c r="H483" s="30" t="s">
        <v>1058</v>
      </c>
      <c r="I483" s="30" t="s">
        <v>119</v>
      </c>
      <c r="J483" s="30" t="s">
        <v>1044</v>
      </c>
      <c r="K483" s="30" t="s">
        <v>1044</v>
      </c>
      <c r="L483" s="30" t="s">
        <v>1130</v>
      </c>
      <c r="M483" s="30">
        <v>1005106</v>
      </c>
      <c r="N483" s="30" t="s">
        <v>138</v>
      </c>
      <c r="O483" s="30" t="s">
        <v>1597</v>
      </c>
      <c r="P483" s="30" t="s">
        <v>1179</v>
      </c>
      <c r="Q483" s="30" t="s">
        <v>1180</v>
      </c>
      <c r="R483" s="30" t="s">
        <v>1463</v>
      </c>
      <c r="S483" s="30" t="s">
        <v>1598</v>
      </c>
      <c r="T483" s="30" t="s">
        <v>1183</v>
      </c>
      <c r="U483" s="30" t="s">
        <v>144</v>
      </c>
      <c r="V483" s="30" t="s">
        <v>600</v>
      </c>
      <c r="W483" s="30" t="s">
        <v>1184</v>
      </c>
      <c r="X483" s="30"/>
      <c r="Y483" s="30" t="s">
        <v>457</v>
      </c>
      <c r="Z483" s="30" t="s">
        <v>457</v>
      </c>
      <c r="AA483" s="30" t="s">
        <v>148</v>
      </c>
      <c r="AB483" s="30" t="s">
        <v>1185</v>
      </c>
      <c r="AC483" s="30" t="s">
        <v>1185</v>
      </c>
      <c r="AD483" s="30"/>
      <c r="AE483" s="30"/>
      <c r="AF483" s="30" t="s">
        <v>593</v>
      </c>
      <c r="AG483" s="30" t="s">
        <v>774</v>
      </c>
      <c r="AH483" s="30" t="s">
        <v>1186</v>
      </c>
      <c r="AI483" s="30"/>
      <c r="AJ483" s="50">
        <v>42972</v>
      </c>
      <c r="AK483" s="50">
        <v>42972</v>
      </c>
      <c r="AL483" s="51">
        <f t="shared" si="320"/>
        <v>8.1890410958904116</v>
      </c>
      <c r="AM483" s="30">
        <v>8</v>
      </c>
      <c r="AN483" s="30" t="s">
        <v>1065</v>
      </c>
      <c r="AO483" s="30" t="s">
        <v>1050</v>
      </c>
      <c r="AP483" s="30" t="s">
        <v>1187</v>
      </c>
      <c r="AQ483" s="30">
        <v>3.6</v>
      </c>
      <c r="AR483" s="30">
        <v>2820</v>
      </c>
      <c r="AS483" s="30">
        <v>1154</v>
      </c>
      <c r="AT483" s="30">
        <v>2020</v>
      </c>
      <c r="AU483" s="74">
        <v>447034453</v>
      </c>
      <c r="AV483" s="54"/>
      <c r="AW483" s="54"/>
      <c r="AX483" s="54"/>
      <c r="AY483" s="54">
        <v>432180242</v>
      </c>
      <c r="AZ483" s="54">
        <v>4540806</v>
      </c>
      <c r="BA483" s="74">
        <v>1231793</v>
      </c>
      <c r="BB483" s="55">
        <f>VLOOKUP(M483,[1]Sheet1!$E$6:$F$556,2,FALSE)</f>
        <v>1000</v>
      </c>
      <c r="BC483" s="74"/>
      <c r="BD483" s="74"/>
      <c r="BE483" s="128">
        <v>3.2712718843306674</v>
      </c>
      <c r="BF483" s="30" t="s">
        <v>1134</v>
      </c>
      <c r="BG483" s="30" t="s">
        <v>1074</v>
      </c>
      <c r="BH483" s="30" t="s">
        <v>1054</v>
      </c>
      <c r="BI483" s="30" t="str">
        <f t="shared" si="306"/>
        <v>COF(Assy_FT)</v>
      </c>
      <c r="BJ483" s="30" t="s">
        <v>250</v>
      </c>
      <c r="BK483" s="56">
        <f t="shared" si="321"/>
        <v>1293382.6500000001</v>
      </c>
      <c r="BL483" s="57">
        <f t="shared" si="291"/>
        <v>40418.207812500004</v>
      </c>
      <c r="BM483" s="57">
        <f t="shared" si="292"/>
        <v>13472.735937500001</v>
      </c>
      <c r="BU483" s="58">
        <f t="shared" si="325"/>
        <v>40418.207812500004</v>
      </c>
      <c r="BV483" s="58">
        <f t="shared" si="305"/>
        <v>40418.207812500004</v>
      </c>
      <c r="BW483" s="58">
        <f t="shared" si="326"/>
        <v>80836.415625000009</v>
      </c>
      <c r="BX483" s="58">
        <f t="shared" si="293"/>
        <v>40418.207812500004</v>
      </c>
      <c r="BY483" s="58">
        <f>BX483</f>
        <v>40418.207812500004</v>
      </c>
      <c r="BZ483" s="58">
        <f t="shared" si="309"/>
        <v>40418.207812500004</v>
      </c>
      <c r="CA483" s="58">
        <f>BZ483</f>
        <v>40418.207812500004</v>
      </c>
      <c r="CB483" s="58">
        <f t="shared" si="310"/>
        <v>161672.83125000002</v>
      </c>
      <c r="CC483" s="58">
        <f t="shared" si="311"/>
        <v>40418.207812500004</v>
      </c>
      <c r="CD483" s="58">
        <f t="shared" si="324"/>
        <v>40418.207812500004</v>
      </c>
      <c r="CE483" s="58">
        <f t="shared" si="324"/>
        <v>40418.207812500004</v>
      </c>
      <c r="CF483" s="58">
        <f t="shared" si="324"/>
        <v>40418.207812500004</v>
      </c>
      <c r="CG483" s="58">
        <f t="shared" si="312"/>
        <v>161672.83125000002</v>
      </c>
      <c r="CH483" s="58">
        <f t="shared" si="295"/>
        <v>40418.207812500004</v>
      </c>
      <c r="CI483" s="58">
        <f t="shared" si="329"/>
        <v>40418.207812500004</v>
      </c>
      <c r="CJ483" s="58">
        <f t="shared" si="329"/>
        <v>40418.207812500004</v>
      </c>
      <c r="CK483" s="58">
        <f t="shared" si="329"/>
        <v>40418.207812500004</v>
      </c>
      <c r="CL483" s="58">
        <f t="shared" si="297"/>
        <v>161672.83125000002</v>
      </c>
      <c r="CP483" s="2">
        <f t="shared" si="315"/>
        <v>1293382.6500000001</v>
      </c>
    </row>
    <row r="484" spans="1:94" hidden="1" x14ac:dyDescent="0.3">
      <c r="A484" s="29">
        <v>479</v>
      </c>
      <c r="B484" s="30" t="s">
        <v>21</v>
      </c>
      <c r="C484" s="30"/>
      <c r="D484" s="30" t="s">
        <v>1041</v>
      </c>
      <c r="E484" s="30" t="s">
        <v>1042</v>
      </c>
      <c r="F484" s="30" t="s">
        <v>1043</v>
      </c>
      <c r="G484" s="30" t="s">
        <v>117</v>
      </c>
      <c r="H484" s="30" t="s">
        <v>1058</v>
      </c>
      <c r="I484" s="30" t="s">
        <v>119</v>
      </c>
      <c r="J484" s="30" t="s">
        <v>1044</v>
      </c>
      <c r="K484" s="30" t="s">
        <v>1044</v>
      </c>
      <c r="L484" s="30" t="s">
        <v>1130</v>
      </c>
      <c r="M484" s="30">
        <v>1005023</v>
      </c>
      <c r="N484" s="30" t="s">
        <v>138</v>
      </c>
      <c r="O484" s="30" t="s">
        <v>1599</v>
      </c>
      <c r="P484" s="30" t="s">
        <v>1179</v>
      </c>
      <c r="Q484" s="30" t="s">
        <v>1180</v>
      </c>
      <c r="R484" s="30" t="s">
        <v>1463</v>
      </c>
      <c r="S484" s="30" t="s">
        <v>1600</v>
      </c>
      <c r="T484" s="30" t="s">
        <v>1183</v>
      </c>
      <c r="U484" s="30" t="s">
        <v>144</v>
      </c>
      <c r="V484" s="30" t="s">
        <v>600</v>
      </c>
      <c r="W484" s="30" t="s">
        <v>1184</v>
      </c>
      <c r="X484" s="30"/>
      <c r="Y484" s="30" t="s">
        <v>457</v>
      </c>
      <c r="Z484" s="30" t="s">
        <v>457</v>
      </c>
      <c r="AA484" s="30" t="s">
        <v>148</v>
      </c>
      <c r="AB484" s="30" t="s">
        <v>1185</v>
      </c>
      <c r="AC484" s="30" t="s">
        <v>1185</v>
      </c>
      <c r="AD484" s="30"/>
      <c r="AE484" s="30"/>
      <c r="AF484" s="30" t="s">
        <v>593</v>
      </c>
      <c r="AG484" s="30" t="s">
        <v>774</v>
      </c>
      <c r="AH484" s="30" t="s">
        <v>1186</v>
      </c>
      <c r="AI484" s="30"/>
      <c r="AJ484" s="50">
        <v>42846</v>
      </c>
      <c r="AK484" s="50">
        <v>42846</v>
      </c>
      <c r="AL484" s="51">
        <f t="shared" si="320"/>
        <v>8.5342465753424666</v>
      </c>
      <c r="AM484" s="30">
        <v>8</v>
      </c>
      <c r="AN484" s="30" t="s">
        <v>1065</v>
      </c>
      <c r="AO484" s="30" t="s">
        <v>1050</v>
      </c>
      <c r="AP484" s="30" t="s">
        <v>1187</v>
      </c>
      <c r="AQ484" s="30">
        <v>3.6</v>
      </c>
      <c r="AR484" s="30">
        <v>2820</v>
      </c>
      <c r="AS484" s="30">
        <v>1154</v>
      </c>
      <c r="AT484" s="30">
        <v>2020</v>
      </c>
      <c r="AU484" s="74">
        <v>438492276</v>
      </c>
      <c r="AV484" s="54"/>
      <c r="AW484" s="54"/>
      <c r="AX484" s="54"/>
      <c r="AY484" s="54">
        <v>438491276</v>
      </c>
      <c r="AZ484" s="54">
        <v>2668695</v>
      </c>
      <c r="BA484" s="74">
        <v>1000</v>
      </c>
      <c r="BB484" s="55">
        <f>VLOOKUP(M484,[1]Sheet1!$E$6:$F$556,2,FALSE)</f>
        <v>1000</v>
      </c>
      <c r="BC484" s="74"/>
      <c r="BD484" s="74"/>
      <c r="BE484" s="128"/>
      <c r="BF484" s="30" t="s">
        <v>1052</v>
      </c>
      <c r="BG484" s="30" t="s">
        <v>1074</v>
      </c>
      <c r="BH484" s="30" t="s">
        <v>1054</v>
      </c>
      <c r="BI484" s="30" t="str">
        <f t="shared" si="306"/>
        <v>COF(Assy_FT)</v>
      </c>
      <c r="BJ484" s="30" t="s">
        <v>250</v>
      </c>
      <c r="BK484" s="56">
        <f t="shared" si="321"/>
        <v>8769845.5199999996</v>
      </c>
      <c r="BL484" s="57">
        <f t="shared" si="291"/>
        <v>274057.67249999999</v>
      </c>
      <c r="BM484" s="57">
        <f t="shared" si="292"/>
        <v>91352.557499999995</v>
      </c>
      <c r="BU484" s="58">
        <f t="shared" si="325"/>
        <v>274057.67249999999</v>
      </c>
      <c r="BV484" s="58">
        <f t="shared" si="305"/>
        <v>274057.67249999999</v>
      </c>
      <c r="BW484" s="58">
        <f t="shared" si="326"/>
        <v>548115.34499999997</v>
      </c>
      <c r="BX484" s="58">
        <f t="shared" si="293"/>
        <v>274057.67249999999</v>
      </c>
      <c r="BY484" s="58">
        <f>BX484</f>
        <v>274057.67249999999</v>
      </c>
      <c r="BZ484" s="58">
        <f t="shared" si="309"/>
        <v>274057.67249999999</v>
      </c>
      <c r="CA484" s="58">
        <f>BZ484</f>
        <v>274057.67249999999</v>
      </c>
      <c r="CB484" s="58">
        <f t="shared" si="310"/>
        <v>1096230.69</v>
      </c>
      <c r="CC484" s="58">
        <f t="shared" si="311"/>
        <v>274057.67249999999</v>
      </c>
      <c r="CD484" s="58">
        <f t="shared" si="324"/>
        <v>274057.67249999999</v>
      </c>
      <c r="CE484" s="58">
        <f t="shared" si="324"/>
        <v>274057.67249999999</v>
      </c>
      <c r="CF484" s="58">
        <f t="shared" si="324"/>
        <v>274057.67249999999</v>
      </c>
      <c r="CG484" s="58">
        <f t="shared" si="312"/>
        <v>1096230.69</v>
      </c>
      <c r="CH484" s="58">
        <f t="shared" si="295"/>
        <v>274057.67249999999</v>
      </c>
      <c r="CI484" s="58">
        <f t="shared" si="329"/>
        <v>274057.67249999999</v>
      </c>
      <c r="CJ484" s="58">
        <f t="shared" si="329"/>
        <v>274057.67249999999</v>
      </c>
      <c r="CK484" s="58">
        <f t="shared" si="329"/>
        <v>274057.67249999999</v>
      </c>
      <c r="CL484" s="58">
        <f t="shared" si="297"/>
        <v>1096230.69</v>
      </c>
      <c r="CP484" s="2">
        <f t="shared" si="315"/>
        <v>8769845.5199999996</v>
      </c>
    </row>
    <row r="485" spans="1:94" ht="16.5" hidden="1" x14ac:dyDescent="0.3">
      <c r="A485" s="2">
        <v>480</v>
      </c>
      <c r="B485" s="47" t="s">
        <v>21</v>
      </c>
      <c r="C485" s="47"/>
      <c r="D485" s="30" t="s">
        <v>1041</v>
      </c>
      <c r="E485" s="30" t="s">
        <v>1042</v>
      </c>
      <c r="F485" s="30" t="s">
        <v>1043</v>
      </c>
      <c r="G485" s="30" t="s">
        <v>117</v>
      </c>
      <c r="H485" s="30" t="s">
        <v>1058</v>
      </c>
      <c r="I485" s="30" t="s">
        <v>119</v>
      </c>
      <c r="J485" s="30" t="s">
        <v>1044</v>
      </c>
      <c r="K485" s="30" t="s">
        <v>1044</v>
      </c>
      <c r="L485" s="30" t="s">
        <v>1130</v>
      </c>
      <c r="M485" s="30">
        <v>1004825</v>
      </c>
      <c r="N485" s="30" t="s">
        <v>138</v>
      </c>
      <c r="O485" s="30" t="s">
        <v>1601</v>
      </c>
      <c r="P485" s="30" t="s">
        <v>1179</v>
      </c>
      <c r="Q485" s="30" t="s">
        <v>1180</v>
      </c>
      <c r="R485" s="30" t="s">
        <v>1463</v>
      </c>
      <c r="S485" s="30" t="s">
        <v>1602</v>
      </c>
      <c r="T485" s="30" t="s">
        <v>1183</v>
      </c>
      <c r="U485" s="30" t="s">
        <v>144</v>
      </c>
      <c r="V485" s="30" t="s">
        <v>600</v>
      </c>
      <c r="W485" s="30" t="s">
        <v>1184</v>
      </c>
      <c r="X485" s="30" t="s">
        <v>147</v>
      </c>
      <c r="Y485" s="125" t="s">
        <v>457</v>
      </c>
      <c r="Z485" s="125" t="s">
        <v>457</v>
      </c>
      <c r="AA485" s="30" t="s">
        <v>148</v>
      </c>
      <c r="AB485" s="30" t="s">
        <v>1185</v>
      </c>
      <c r="AC485" s="30" t="s">
        <v>1185</v>
      </c>
      <c r="AD485" s="30"/>
      <c r="AE485" s="30"/>
      <c r="AF485" s="30" t="s">
        <v>593</v>
      </c>
      <c r="AG485" s="30" t="s">
        <v>774</v>
      </c>
      <c r="AH485" s="30" t="s">
        <v>1186</v>
      </c>
      <c r="AI485" s="30"/>
      <c r="AJ485" s="50">
        <v>42566</v>
      </c>
      <c r="AK485" s="50">
        <v>42566</v>
      </c>
      <c r="AL485" s="51">
        <f t="shared" si="320"/>
        <v>9.3013698630136989</v>
      </c>
      <c r="AM485" s="30">
        <v>8</v>
      </c>
      <c r="AN485" s="30" t="s">
        <v>1065</v>
      </c>
      <c r="AO485" s="30" t="s">
        <v>1050</v>
      </c>
      <c r="AP485" s="30" t="s">
        <v>1187</v>
      </c>
      <c r="AQ485" s="30">
        <v>3.6</v>
      </c>
      <c r="AR485" s="30">
        <v>2820</v>
      </c>
      <c r="AS485" s="30">
        <v>1154</v>
      </c>
      <c r="AT485" s="30">
        <v>2020</v>
      </c>
      <c r="AU485" s="54">
        <v>443018889</v>
      </c>
      <c r="AV485" s="54"/>
      <c r="AW485" s="54"/>
      <c r="AX485" s="54"/>
      <c r="AY485" s="54">
        <v>443017889</v>
      </c>
      <c r="AZ485" s="54">
        <v>1033935</v>
      </c>
      <c r="BA485" s="54">
        <v>1000</v>
      </c>
      <c r="BB485" s="55">
        <f>VLOOKUP(M485,[1]Sheet1!$E$6:$F$556,2,FALSE)</f>
        <v>1000</v>
      </c>
      <c r="BC485" s="74"/>
      <c r="BD485" s="74"/>
      <c r="BE485" s="128"/>
      <c r="BF485" s="30" t="s">
        <v>1052</v>
      </c>
      <c r="BG485" s="30" t="s">
        <v>1074</v>
      </c>
      <c r="BH485" s="30" t="s">
        <v>1054</v>
      </c>
      <c r="BI485" s="30" t="str">
        <f t="shared" si="306"/>
        <v>COF(Assy_FT)</v>
      </c>
      <c r="BJ485" s="47" t="s">
        <v>137</v>
      </c>
      <c r="BK485" s="67">
        <f t="shared" si="321"/>
        <v>8860377.7799999993</v>
      </c>
      <c r="BL485" s="68">
        <f t="shared" si="291"/>
        <v>844648.45352777001</v>
      </c>
      <c r="BM485" s="68">
        <f t="shared" si="292"/>
        <v>281549.48450925667</v>
      </c>
      <c r="BP485" s="69">
        <f>BM485*3</f>
        <v>844648.45352777001</v>
      </c>
      <c r="BQ485" s="69">
        <f>BP485</f>
        <v>844648.45352777001</v>
      </c>
      <c r="BR485" s="69">
        <f>SUM(BN485:BQ485)</f>
        <v>1689296.90705554</v>
      </c>
      <c r="BS485" s="69">
        <f>BQ485</f>
        <v>844648.45352777001</v>
      </c>
      <c r="BT485" s="69">
        <f t="shared" ref="BT485:BV500" si="330">BS485</f>
        <v>844648.45352777001</v>
      </c>
      <c r="BU485" s="100">
        <f t="shared" si="330"/>
        <v>844648.45352777001</v>
      </c>
      <c r="BV485" s="100">
        <f t="shared" si="330"/>
        <v>844648.45352777001</v>
      </c>
      <c r="BW485" s="100">
        <f>SUM(BS485:BV485)</f>
        <v>3378593.81411108</v>
      </c>
      <c r="BX485" s="101">
        <f t="shared" si="293"/>
        <v>844648.45352777001</v>
      </c>
      <c r="BY485" s="101">
        <f t="shared" si="294"/>
        <v>844648.45352777001</v>
      </c>
      <c r="BZ485" s="18">
        <f t="shared" si="309"/>
        <v>844648.45352777001</v>
      </c>
      <c r="CA485" s="18">
        <f t="shared" si="294"/>
        <v>844648.45352777001</v>
      </c>
      <c r="CB485" s="70">
        <f t="shared" si="310"/>
        <v>3378593.81411108</v>
      </c>
      <c r="CC485" s="18">
        <f t="shared" si="311"/>
        <v>844648.45352777001</v>
      </c>
      <c r="CD485" s="18">
        <f t="shared" si="324"/>
        <v>844648.45352777001</v>
      </c>
      <c r="CE485" s="18">
        <f t="shared" si="324"/>
        <v>844648.45352777001</v>
      </c>
      <c r="CF485" s="18">
        <f t="shared" si="324"/>
        <v>844648.45352777001</v>
      </c>
      <c r="CG485" s="70">
        <f t="shared" si="312"/>
        <v>3378593.81411108</v>
      </c>
      <c r="CH485" s="18">
        <f t="shared" si="295"/>
        <v>844648.45352777001</v>
      </c>
      <c r="CI485" s="18">
        <f t="shared" si="329"/>
        <v>844648.45352777001</v>
      </c>
      <c r="CJ485" s="18">
        <f t="shared" si="329"/>
        <v>844648.45352777001</v>
      </c>
      <c r="CK485" s="18">
        <f t="shared" si="329"/>
        <v>844648.45352777001</v>
      </c>
      <c r="CL485" s="70">
        <f t="shared" si="297"/>
        <v>3378593.81411108</v>
      </c>
      <c r="CM485" s="71"/>
      <c r="CN485" s="59">
        <f t="shared" ref="CN485:CN486" si="331">BK485/$CN$3</f>
        <v>8.6516060632803055E-4</v>
      </c>
      <c r="CO485" s="64">
        <f t="shared" ref="CO485:CO486" si="332">CN485*$CO$4</f>
        <v>18168372.732888643</v>
      </c>
      <c r="CP485" s="2">
        <f t="shared" si="315"/>
        <v>27028750.51288864</v>
      </c>
    </row>
    <row r="486" spans="1:94" ht="16.5" hidden="1" x14ac:dyDescent="0.3">
      <c r="A486" s="2">
        <v>481</v>
      </c>
      <c r="B486" s="47" t="s">
        <v>21</v>
      </c>
      <c r="C486" s="47"/>
      <c r="D486" s="30" t="s">
        <v>1041</v>
      </c>
      <c r="E486" s="30" t="s">
        <v>1042</v>
      </c>
      <c r="F486" s="30" t="s">
        <v>1043</v>
      </c>
      <c r="G486" s="30" t="s">
        <v>117</v>
      </c>
      <c r="H486" s="30" t="s">
        <v>385</v>
      </c>
      <c r="I486" s="30" t="s">
        <v>119</v>
      </c>
      <c r="J486" s="30" t="s">
        <v>1044</v>
      </c>
      <c r="K486" s="30" t="s">
        <v>1044</v>
      </c>
      <c r="L486" s="30" t="s">
        <v>1130</v>
      </c>
      <c r="M486" s="30">
        <v>1004587</v>
      </c>
      <c r="N486" s="30" t="s">
        <v>138</v>
      </c>
      <c r="O486" s="30" t="s">
        <v>1603</v>
      </c>
      <c r="P486" s="30" t="s">
        <v>1179</v>
      </c>
      <c r="Q486" s="30" t="s">
        <v>1180</v>
      </c>
      <c r="R486" s="30" t="s">
        <v>1463</v>
      </c>
      <c r="S486" s="30" t="s">
        <v>1604</v>
      </c>
      <c r="T486" s="30" t="s">
        <v>1183</v>
      </c>
      <c r="U486" s="30" t="s">
        <v>144</v>
      </c>
      <c r="V486" s="30" t="s">
        <v>600</v>
      </c>
      <c r="W486" s="30" t="s">
        <v>1184</v>
      </c>
      <c r="X486" s="30" t="s">
        <v>147</v>
      </c>
      <c r="Y486" s="125" t="s">
        <v>457</v>
      </c>
      <c r="Z486" s="125" t="s">
        <v>457</v>
      </c>
      <c r="AA486" s="30" t="s">
        <v>148</v>
      </c>
      <c r="AB486" s="30" t="s">
        <v>1185</v>
      </c>
      <c r="AC486" s="30" t="s">
        <v>1185</v>
      </c>
      <c r="AD486" s="30"/>
      <c r="AE486" s="30"/>
      <c r="AF486" s="30" t="s">
        <v>593</v>
      </c>
      <c r="AG486" s="30" t="s">
        <v>774</v>
      </c>
      <c r="AH486" s="30" t="s">
        <v>1186</v>
      </c>
      <c r="AI486" s="30"/>
      <c r="AJ486" s="50">
        <v>42116</v>
      </c>
      <c r="AK486" s="50">
        <v>42116</v>
      </c>
      <c r="AL486" s="51">
        <f t="shared" si="320"/>
        <v>10.534246575342467</v>
      </c>
      <c r="AM486" s="30">
        <v>8</v>
      </c>
      <c r="AN486" s="30" t="s">
        <v>1065</v>
      </c>
      <c r="AO486" s="30" t="s">
        <v>1050</v>
      </c>
      <c r="AP486" s="30" t="s">
        <v>1051</v>
      </c>
      <c r="AQ486" s="30">
        <v>3.6</v>
      </c>
      <c r="AR486" s="30">
        <v>2820</v>
      </c>
      <c r="AS486" s="30">
        <v>1154</v>
      </c>
      <c r="AT486" s="30">
        <v>2020</v>
      </c>
      <c r="AU486" s="54">
        <v>425381508</v>
      </c>
      <c r="AV486" s="54"/>
      <c r="AW486" s="54"/>
      <c r="AX486" s="54"/>
      <c r="AY486" s="54">
        <v>425380508</v>
      </c>
      <c r="AZ486" s="54">
        <v>1590352</v>
      </c>
      <c r="BA486" s="54">
        <v>1000</v>
      </c>
      <c r="BB486" s="55">
        <f>VLOOKUP(M486,[1]Sheet1!$E$6:$F$556,2,FALSE)</f>
        <v>1000</v>
      </c>
      <c r="BC486" s="74"/>
      <c r="BD486" s="74"/>
      <c r="BE486" s="128"/>
      <c r="BF486" s="30" t="s">
        <v>1052</v>
      </c>
      <c r="BG486" s="30" t="s">
        <v>1074</v>
      </c>
      <c r="BH486" s="30" t="s">
        <v>1054</v>
      </c>
      <c r="BI486" s="30" t="str">
        <f t="shared" si="306"/>
        <v>COF(Assy_FT)</v>
      </c>
      <c r="BJ486" s="47" t="s">
        <v>137</v>
      </c>
      <c r="BK486" s="67">
        <f t="shared" si="321"/>
        <v>8507630.1600000001</v>
      </c>
      <c r="BL486" s="68">
        <f t="shared" si="291"/>
        <v>811021.47518479906</v>
      </c>
      <c r="BM486" s="68">
        <f t="shared" si="292"/>
        <v>270340.49172826635</v>
      </c>
      <c r="BP486" s="69">
        <f>BM486*3</f>
        <v>811021.47518479906</v>
      </c>
      <c r="BQ486" s="69">
        <f>BP486</f>
        <v>811021.47518479906</v>
      </c>
      <c r="BR486" s="69">
        <f>SUM(BN486:BQ486)</f>
        <v>1622042.9503695981</v>
      </c>
      <c r="BS486" s="69">
        <f>BQ486</f>
        <v>811021.47518479906</v>
      </c>
      <c r="BT486" s="69">
        <f t="shared" si="330"/>
        <v>811021.47518479906</v>
      </c>
      <c r="BU486" s="100">
        <f t="shared" si="330"/>
        <v>811021.47518479906</v>
      </c>
      <c r="BV486" s="100">
        <f t="shared" si="330"/>
        <v>811021.47518479906</v>
      </c>
      <c r="BW486" s="100">
        <f>SUM(BS486:BV486)</f>
        <v>3244085.9007391962</v>
      </c>
      <c r="BX486" s="101">
        <f t="shared" si="293"/>
        <v>811021.47518479906</v>
      </c>
      <c r="BY486" s="101">
        <f t="shared" si="294"/>
        <v>811021.47518479906</v>
      </c>
      <c r="BZ486" s="18">
        <f t="shared" si="309"/>
        <v>811021.47518479906</v>
      </c>
      <c r="CA486" s="18">
        <f t="shared" si="294"/>
        <v>811021.47518479906</v>
      </c>
      <c r="CB486" s="70">
        <f t="shared" si="310"/>
        <v>3244085.9007391962</v>
      </c>
      <c r="CC486" s="18">
        <f t="shared" si="311"/>
        <v>811021.47518479906</v>
      </c>
      <c r="CD486" s="18">
        <f t="shared" si="324"/>
        <v>811021.47518479906</v>
      </c>
      <c r="CE486" s="18">
        <f t="shared" si="324"/>
        <v>811021.47518479906</v>
      </c>
      <c r="CF486" s="18">
        <f t="shared" si="324"/>
        <v>811021.47518479906</v>
      </c>
      <c r="CG486" s="70">
        <f t="shared" si="312"/>
        <v>3244085.9007391962</v>
      </c>
      <c r="CH486" s="18">
        <f t="shared" si="295"/>
        <v>811021.47518479906</v>
      </c>
      <c r="CI486" s="18">
        <f t="shared" si="329"/>
        <v>811021.47518479906</v>
      </c>
      <c r="CJ486" s="18">
        <f t="shared" si="329"/>
        <v>811021.47518479906</v>
      </c>
      <c r="CK486" s="18">
        <f t="shared" si="329"/>
        <v>811021.47518479906</v>
      </c>
      <c r="CL486" s="70">
        <f t="shared" si="297"/>
        <v>3244085.9007391962</v>
      </c>
      <c r="CM486" s="71"/>
      <c r="CN486" s="59">
        <f t="shared" si="331"/>
        <v>8.3071700218636049E-4</v>
      </c>
      <c r="CO486" s="64">
        <f t="shared" si="332"/>
        <v>17445057.04591357</v>
      </c>
      <c r="CP486" s="2">
        <f t="shared" si="315"/>
        <v>25952687.20591357</v>
      </c>
    </row>
    <row r="487" spans="1:94" hidden="1" x14ac:dyDescent="0.3">
      <c r="A487" s="29">
        <v>482</v>
      </c>
      <c r="B487" s="30" t="s">
        <v>21</v>
      </c>
      <c r="C487" s="30"/>
      <c r="D487" s="30" t="s">
        <v>1041</v>
      </c>
      <c r="E487" s="30" t="s">
        <v>1042</v>
      </c>
      <c r="F487" s="30" t="s">
        <v>1043</v>
      </c>
      <c r="G487" s="30" t="s">
        <v>117</v>
      </c>
      <c r="H487" s="30" t="s">
        <v>1058</v>
      </c>
      <c r="I487" s="30" t="s">
        <v>119</v>
      </c>
      <c r="J487" s="30" t="s">
        <v>1044</v>
      </c>
      <c r="K487" s="30" t="s">
        <v>1044</v>
      </c>
      <c r="L487" s="30" t="s">
        <v>1130</v>
      </c>
      <c r="M487" s="30">
        <v>1007024</v>
      </c>
      <c r="N487" s="30" t="s">
        <v>138</v>
      </c>
      <c r="O487" s="30" t="s">
        <v>1605</v>
      </c>
      <c r="P487" s="30" t="s">
        <v>1179</v>
      </c>
      <c r="Q487" s="30" t="s">
        <v>1180</v>
      </c>
      <c r="R487" s="30" t="s">
        <v>1463</v>
      </c>
      <c r="S487" s="30" t="s">
        <v>1606</v>
      </c>
      <c r="T487" s="30" t="s">
        <v>1183</v>
      </c>
      <c r="U487" s="30" t="s">
        <v>144</v>
      </c>
      <c r="V487" s="30" t="s">
        <v>600</v>
      </c>
      <c r="W487" s="30" t="s">
        <v>1184</v>
      </c>
      <c r="X487" s="30"/>
      <c r="Y487" s="30" t="s">
        <v>457</v>
      </c>
      <c r="Z487" s="30" t="s">
        <v>457</v>
      </c>
      <c r="AA487" s="30" t="s">
        <v>148</v>
      </c>
      <c r="AB487" s="30" t="s">
        <v>1185</v>
      </c>
      <c r="AC487" s="30" t="s">
        <v>1185</v>
      </c>
      <c r="AD487" s="30"/>
      <c r="AE487" s="30"/>
      <c r="AF487" s="30" t="s">
        <v>593</v>
      </c>
      <c r="AG487" s="30" t="s">
        <v>774</v>
      </c>
      <c r="AH487" s="30" t="s">
        <v>1186</v>
      </c>
      <c r="AI487" s="30"/>
      <c r="AJ487" s="50">
        <v>44795</v>
      </c>
      <c r="AK487" s="50">
        <v>44795</v>
      </c>
      <c r="AL487" s="51">
        <f t="shared" si="320"/>
        <v>3.1945205479452055</v>
      </c>
      <c r="AM487" s="30">
        <v>8</v>
      </c>
      <c r="AN487" s="30" t="s">
        <v>1065</v>
      </c>
      <c r="AO487" s="30" t="s">
        <v>1050</v>
      </c>
      <c r="AP487" s="30" t="s">
        <v>1187</v>
      </c>
      <c r="AQ487" s="30">
        <v>3.6</v>
      </c>
      <c r="AR487" s="30">
        <v>2820</v>
      </c>
      <c r="AS487" s="30">
        <v>1154</v>
      </c>
      <c r="AT487" s="30">
        <v>2020</v>
      </c>
      <c r="AU487" s="74">
        <v>407491008</v>
      </c>
      <c r="AV487" s="54"/>
      <c r="AW487" s="54"/>
      <c r="AX487" s="54"/>
      <c r="AY487" s="54">
        <v>152809128</v>
      </c>
      <c r="AZ487" s="54">
        <v>4244698</v>
      </c>
      <c r="BA487" s="74">
        <v>241947786</v>
      </c>
      <c r="BB487" s="55">
        <f>VLOOKUP(M487,[1]Sheet1!$E$6:$F$556,2,FALSE)</f>
        <v>23269232</v>
      </c>
      <c r="BC487" s="74"/>
      <c r="BD487" s="74"/>
      <c r="BE487" s="128">
        <v>60</v>
      </c>
      <c r="BF487" s="30" t="s">
        <v>1134</v>
      </c>
      <c r="BG487" s="30" t="s">
        <v>1074</v>
      </c>
      <c r="BH487" s="30" t="s">
        <v>1054</v>
      </c>
      <c r="BI487" s="30" t="str">
        <f t="shared" si="306"/>
        <v>COF(Assy_FT)</v>
      </c>
      <c r="BJ487" s="30" t="s">
        <v>250</v>
      </c>
      <c r="BK487" s="56">
        <f t="shared" si="321"/>
        <v>254045175.30000001</v>
      </c>
      <c r="BL487" s="57">
        <f t="shared" si="291"/>
        <v>7938911.7281250004</v>
      </c>
      <c r="BM487" s="57">
        <f t="shared" si="292"/>
        <v>2646303.9093750003</v>
      </c>
      <c r="BU487" s="58">
        <f t="shared" ref="BU487:BU495" si="333">BM487*3</f>
        <v>7938911.7281250004</v>
      </c>
      <c r="BV487" s="58">
        <f t="shared" si="330"/>
        <v>7938911.7281250004</v>
      </c>
      <c r="BW487" s="58">
        <f t="shared" ref="BW487:BW495" si="334">SUM(BS487:BV487)</f>
        <v>15877823.456250001</v>
      </c>
      <c r="BX487" s="58">
        <f t="shared" si="293"/>
        <v>7938911.7281250004</v>
      </c>
      <c r="BY487" s="58">
        <f t="shared" ref="BY487:BZ502" si="335">BX487</f>
        <v>7938911.7281250004</v>
      </c>
      <c r="BZ487" s="58">
        <f t="shared" si="309"/>
        <v>7938911.7281250004</v>
      </c>
      <c r="CA487" s="58">
        <f t="shared" ref="CA487:CA550" si="336">BZ487</f>
        <v>7938911.7281250004</v>
      </c>
      <c r="CB487" s="58">
        <f t="shared" si="310"/>
        <v>31755646.912500001</v>
      </c>
      <c r="CC487" s="58">
        <f t="shared" si="311"/>
        <v>7938911.7281250004</v>
      </c>
      <c r="CD487" s="58">
        <f t="shared" si="324"/>
        <v>7938911.7281250004</v>
      </c>
      <c r="CE487" s="58">
        <f t="shared" si="324"/>
        <v>7938911.7281250004</v>
      </c>
      <c r="CF487" s="58">
        <f t="shared" si="324"/>
        <v>7938911.7281250004</v>
      </c>
      <c r="CG487" s="58">
        <f t="shared" si="312"/>
        <v>31755646.912500001</v>
      </c>
      <c r="CH487" s="58">
        <f t="shared" si="295"/>
        <v>7938911.7281250004</v>
      </c>
      <c r="CI487" s="58">
        <f t="shared" si="329"/>
        <v>7938911.7281250004</v>
      </c>
      <c r="CJ487" s="58">
        <f t="shared" si="329"/>
        <v>7938911.7281250004</v>
      </c>
      <c r="CK487" s="58">
        <f t="shared" si="329"/>
        <v>7938911.7281250004</v>
      </c>
      <c r="CL487" s="58">
        <f t="shared" si="297"/>
        <v>31755646.912500001</v>
      </c>
      <c r="CP487" s="2">
        <f t="shared" si="315"/>
        <v>254045175.30000001</v>
      </c>
    </row>
    <row r="488" spans="1:94" hidden="1" x14ac:dyDescent="0.3">
      <c r="A488" s="29">
        <v>483</v>
      </c>
      <c r="B488" s="30" t="s">
        <v>21</v>
      </c>
      <c r="C488" s="30"/>
      <c r="D488" s="30" t="s">
        <v>1041</v>
      </c>
      <c r="E488" s="30" t="s">
        <v>1042</v>
      </c>
      <c r="F488" s="30" t="s">
        <v>1043</v>
      </c>
      <c r="G488" s="30" t="s">
        <v>117</v>
      </c>
      <c r="H488" s="30" t="s">
        <v>926</v>
      </c>
      <c r="I488" s="30" t="s">
        <v>119</v>
      </c>
      <c r="J488" s="30" t="s">
        <v>1044</v>
      </c>
      <c r="K488" s="30" t="s">
        <v>1044</v>
      </c>
      <c r="L488" s="30" t="s">
        <v>1255</v>
      </c>
      <c r="M488" s="30">
        <v>1006022</v>
      </c>
      <c r="N488" s="30" t="s">
        <v>138</v>
      </c>
      <c r="O488" s="30" t="s">
        <v>1607</v>
      </c>
      <c r="P488" s="30" t="s">
        <v>1608</v>
      </c>
      <c r="Q488" s="30" t="s">
        <v>1609</v>
      </c>
      <c r="R488" s="30"/>
      <c r="S488" s="30">
        <v>35020070001</v>
      </c>
      <c r="T488" s="30"/>
      <c r="U488" s="30" t="s">
        <v>144</v>
      </c>
      <c r="V488" s="30" t="s">
        <v>437</v>
      </c>
      <c r="W488" s="30" t="s">
        <v>1610</v>
      </c>
      <c r="X488" s="30"/>
      <c r="Y488" s="30" t="s">
        <v>457</v>
      </c>
      <c r="Z488" s="30" t="s">
        <v>457</v>
      </c>
      <c r="AA488" s="30" t="s">
        <v>129</v>
      </c>
      <c r="AB488" s="126" t="s">
        <v>1611</v>
      </c>
      <c r="AC488" s="30"/>
      <c r="AD488" s="30"/>
      <c r="AE488" s="30"/>
      <c r="AF488" s="30" t="s">
        <v>131</v>
      </c>
      <c r="AG488" s="30" t="s">
        <v>1612</v>
      </c>
      <c r="AH488" s="30"/>
      <c r="AI488" s="30"/>
      <c r="AJ488" s="50">
        <v>43677</v>
      </c>
      <c r="AK488" s="50">
        <v>43677</v>
      </c>
      <c r="AL488" s="51">
        <f t="shared" si="320"/>
        <v>6.2575342465753421</v>
      </c>
      <c r="AM488" s="30">
        <v>8</v>
      </c>
      <c r="AN488" s="30" t="s">
        <v>1057</v>
      </c>
      <c r="AO488" s="30" t="s">
        <v>1050</v>
      </c>
      <c r="AP488" s="30" t="s">
        <v>1051</v>
      </c>
      <c r="AQ488" s="30">
        <v>7.9</v>
      </c>
      <c r="AR488" s="30">
        <v>1360</v>
      </c>
      <c r="AS488" s="30">
        <v>1390</v>
      </c>
      <c r="AT488" s="30">
        <v>1810</v>
      </c>
      <c r="AU488" s="74">
        <v>97000000</v>
      </c>
      <c r="AV488" s="54"/>
      <c r="AW488" s="54"/>
      <c r="AX488" s="54"/>
      <c r="AY488" s="54">
        <v>64656255</v>
      </c>
      <c r="AZ488" s="54">
        <v>1010417</v>
      </c>
      <c r="BA488" s="74">
        <v>29312494</v>
      </c>
      <c r="BB488" s="55">
        <f>VLOOKUP(M488,[1]Sheet1!$E$6:$F$556,2,FALSE)</f>
        <v>2397623</v>
      </c>
      <c r="BC488" s="74"/>
      <c r="BD488" s="74"/>
      <c r="BE488" s="128">
        <v>32.010293769799993</v>
      </c>
      <c r="BF488" s="30" t="s">
        <v>1134</v>
      </c>
      <c r="BG488" s="30" t="s">
        <v>1053</v>
      </c>
      <c r="BH488" s="30" t="s">
        <v>1054</v>
      </c>
      <c r="BI488" s="30" t="str">
        <f t="shared" si="306"/>
        <v>COF(Assy_FT)</v>
      </c>
      <c r="BJ488" s="30" t="s">
        <v>250</v>
      </c>
      <c r="BK488" s="56">
        <f t="shared" si="321"/>
        <v>30778118.700000003</v>
      </c>
      <c r="BL488" s="57">
        <f t="shared" si="291"/>
        <v>961816.20937500009</v>
      </c>
      <c r="BM488" s="57">
        <f t="shared" si="292"/>
        <v>320605.40312500001</v>
      </c>
      <c r="BU488" s="58">
        <f t="shared" si="333"/>
        <v>961816.20937500009</v>
      </c>
      <c r="BV488" s="58">
        <f t="shared" si="330"/>
        <v>961816.20937500009</v>
      </c>
      <c r="BW488" s="58">
        <f t="shared" si="334"/>
        <v>1923632.4187500002</v>
      </c>
      <c r="BX488" s="58">
        <f t="shared" si="293"/>
        <v>961816.20937500009</v>
      </c>
      <c r="BY488" s="58">
        <f t="shared" si="335"/>
        <v>961816.20937500009</v>
      </c>
      <c r="BZ488" s="58">
        <f t="shared" si="309"/>
        <v>961816.20937500009</v>
      </c>
      <c r="CA488" s="58">
        <f t="shared" si="336"/>
        <v>961816.20937500009</v>
      </c>
      <c r="CB488" s="58">
        <f t="shared" si="310"/>
        <v>3847264.8375000004</v>
      </c>
      <c r="CC488" s="58">
        <f t="shared" si="311"/>
        <v>961816.20937500009</v>
      </c>
      <c r="CD488" s="58">
        <f t="shared" si="324"/>
        <v>961816.20937500009</v>
      </c>
      <c r="CE488" s="58">
        <f t="shared" si="324"/>
        <v>961816.20937500009</v>
      </c>
      <c r="CF488" s="58">
        <f t="shared" si="324"/>
        <v>961816.20937500009</v>
      </c>
      <c r="CG488" s="58">
        <f t="shared" si="312"/>
        <v>3847264.8375000004</v>
      </c>
      <c r="CH488" s="58">
        <f t="shared" si="295"/>
        <v>961816.20937500009</v>
      </c>
      <c r="CI488" s="58">
        <f t="shared" si="329"/>
        <v>961816.20937500009</v>
      </c>
      <c r="CJ488" s="58">
        <f t="shared" si="329"/>
        <v>961816.20937500009</v>
      </c>
      <c r="CK488" s="58">
        <f t="shared" si="329"/>
        <v>961816.20937500009</v>
      </c>
      <c r="CL488" s="58">
        <f t="shared" si="297"/>
        <v>3847264.8375000004</v>
      </c>
      <c r="CP488" s="2">
        <f t="shared" si="315"/>
        <v>30778118.700000003</v>
      </c>
    </row>
    <row r="489" spans="1:94" hidden="1" x14ac:dyDescent="0.3">
      <c r="A489" s="29">
        <v>484</v>
      </c>
      <c r="B489" s="30" t="s">
        <v>21</v>
      </c>
      <c r="C489" s="30"/>
      <c r="D489" s="30" t="s">
        <v>1041</v>
      </c>
      <c r="E489" s="30" t="s">
        <v>1042</v>
      </c>
      <c r="F489" s="30" t="s">
        <v>1043</v>
      </c>
      <c r="G489" s="30" t="s">
        <v>117</v>
      </c>
      <c r="H489" s="30" t="s">
        <v>1058</v>
      </c>
      <c r="I489" s="30" t="s">
        <v>119</v>
      </c>
      <c r="J489" s="30" t="s">
        <v>1044</v>
      </c>
      <c r="K489" s="30" t="s">
        <v>1044</v>
      </c>
      <c r="L489" s="30" t="s">
        <v>1109</v>
      </c>
      <c r="M489" s="30">
        <v>1006032</v>
      </c>
      <c r="N489" s="30" t="s">
        <v>138</v>
      </c>
      <c r="O489" s="30" t="s">
        <v>1613</v>
      </c>
      <c r="P489" s="30" t="s">
        <v>1111</v>
      </c>
      <c r="Q489" s="30" t="s">
        <v>585</v>
      </c>
      <c r="R489" s="30"/>
      <c r="S489" s="30" t="s">
        <v>1614</v>
      </c>
      <c r="T489" s="30"/>
      <c r="U489" s="30" t="s">
        <v>144</v>
      </c>
      <c r="V489" s="30" t="s">
        <v>437</v>
      </c>
      <c r="W489" s="30" t="s">
        <v>1113</v>
      </c>
      <c r="X489" s="30"/>
      <c r="Y489" s="30" t="s">
        <v>457</v>
      </c>
      <c r="Z489" s="30" t="s">
        <v>457</v>
      </c>
      <c r="AA489" s="30" t="s">
        <v>129</v>
      </c>
      <c r="AB489" s="30" t="s">
        <v>1114</v>
      </c>
      <c r="AC489" s="30" t="s">
        <v>1114</v>
      </c>
      <c r="AD489" s="30" t="s">
        <v>1115</v>
      </c>
      <c r="AE489" s="30"/>
      <c r="AF489" s="30" t="s">
        <v>131</v>
      </c>
      <c r="AG489" s="30" t="s">
        <v>774</v>
      </c>
      <c r="AH489" s="30" t="s">
        <v>1116</v>
      </c>
      <c r="AI489" s="30"/>
      <c r="AJ489" s="50">
        <v>43671</v>
      </c>
      <c r="AK489" s="50">
        <v>43671</v>
      </c>
      <c r="AL489" s="51">
        <f t="shared" si="320"/>
        <v>6.2739726027397262</v>
      </c>
      <c r="AM489" s="30">
        <v>8</v>
      </c>
      <c r="AN489" s="30" t="s">
        <v>1065</v>
      </c>
      <c r="AO489" s="30" t="s">
        <v>1050</v>
      </c>
      <c r="AP489" s="30" t="s">
        <v>1051</v>
      </c>
      <c r="AQ489" s="30">
        <v>5.28</v>
      </c>
      <c r="AR489" s="30">
        <v>1470</v>
      </c>
      <c r="AS489" s="30">
        <v>960</v>
      </c>
      <c r="AT489" s="30">
        <v>1675</v>
      </c>
      <c r="AU489" s="74">
        <v>8800000</v>
      </c>
      <c r="AV489" s="54"/>
      <c r="AW489" s="54"/>
      <c r="AX489" s="54"/>
      <c r="AY489" s="54">
        <v>6691669</v>
      </c>
      <c r="AZ489" s="54">
        <v>91667</v>
      </c>
      <c r="BA489" s="74">
        <v>1833330</v>
      </c>
      <c r="BB489" s="55">
        <f>VLOOKUP(M489,[1]Sheet1!$E$6:$F$556,2,FALSE)</f>
        <v>144955</v>
      </c>
      <c r="BC489" s="74"/>
      <c r="BD489" s="74"/>
      <c r="BE489" s="128">
        <v>22.999890909487601</v>
      </c>
      <c r="BF489" s="30" t="s">
        <v>1134</v>
      </c>
      <c r="BG489" s="30" t="s">
        <v>1117</v>
      </c>
      <c r="BH489" s="30" t="s">
        <v>1054</v>
      </c>
      <c r="BI489" s="30" t="str">
        <f t="shared" si="306"/>
        <v>COF(Assy_FT)</v>
      </c>
      <c r="BJ489" s="30" t="s">
        <v>250</v>
      </c>
      <c r="BK489" s="56">
        <f t="shared" si="321"/>
        <v>1924996.5</v>
      </c>
      <c r="BL489" s="57">
        <f t="shared" si="291"/>
        <v>60156.140625</v>
      </c>
      <c r="BM489" s="57">
        <f t="shared" si="292"/>
        <v>20052.046875</v>
      </c>
      <c r="BU489" s="58">
        <f t="shared" si="333"/>
        <v>60156.140625</v>
      </c>
      <c r="BV489" s="58">
        <f t="shared" si="330"/>
        <v>60156.140625</v>
      </c>
      <c r="BW489" s="58">
        <f t="shared" si="334"/>
        <v>120312.28125</v>
      </c>
      <c r="BX489" s="58">
        <f t="shared" si="293"/>
        <v>60156.140625</v>
      </c>
      <c r="BY489" s="58">
        <f t="shared" si="335"/>
        <v>60156.140625</v>
      </c>
      <c r="BZ489" s="58">
        <f t="shared" si="309"/>
        <v>60156.140625</v>
      </c>
      <c r="CA489" s="58">
        <f t="shared" si="336"/>
        <v>60156.140625</v>
      </c>
      <c r="CB489" s="58">
        <f t="shared" si="310"/>
        <v>240624.5625</v>
      </c>
      <c r="CC489" s="58">
        <f t="shared" si="311"/>
        <v>60156.140625</v>
      </c>
      <c r="CD489" s="58">
        <f t="shared" si="324"/>
        <v>60156.140625</v>
      </c>
      <c r="CE489" s="58">
        <f t="shared" si="324"/>
        <v>60156.140625</v>
      </c>
      <c r="CF489" s="58">
        <f t="shared" si="324"/>
        <v>60156.140625</v>
      </c>
      <c r="CG489" s="58">
        <f t="shared" si="312"/>
        <v>240624.5625</v>
      </c>
      <c r="CH489" s="58">
        <f t="shared" si="295"/>
        <v>60156.140625</v>
      </c>
      <c r="CI489" s="58">
        <f t="shared" si="329"/>
        <v>60156.140625</v>
      </c>
      <c r="CJ489" s="58">
        <f t="shared" si="329"/>
        <v>60156.140625</v>
      </c>
      <c r="CK489" s="58">
        <f t="shared" si="329"/>
        <v>60156.140625</v>
      </c>
      <c r="CL489" s="58">
        <f t="shared" si="297"/>
        <v>240624.5625</v>
      </c>
      <c r="CP489" s="2">
        <f t="shared" si="315"/>
        <v>1924996.5</v>
      </c>
    </row>
    <row r="490" spans="1:94" hidden="1" x14ac:dyDescent="0.3">
      <c r="A490" s="29">
        <v>485</v>
      </c>
      <c r="B490" s="30" t="s">
        <v>21</v>
      </c>
      <c r="C490" s="30"/>
      <c r="D490" s="30" t="s">
        <v>1041</v>
      </c>
      <c r="E490" s="30" t="s">
        <v>1042</v>
      </c>
      <c r="F490" s="30" t="s">
        <v>1043</v>
      </c>
      <c r="G490" s="30" t="s">
        <v>117</v>
      </c>
      <c r="H490" s="30" t="s">
        <v>1058</v>
      </c>
      <c r="I490" s="30" t="s">
        <v>119</v>
      </c>
      <c r="J490" s="30" t="s">
        <v>1044</v>
      </c>
      <c r="K490" s="30" t="s">
        <v>1044</v>
      </c>
      <c r="L490" s="30" t="s">
        <v>1109</v>
      </c>
      <c r="M490" s="30">
        <v>1006023</v>
      </c>
      <c r="N490" s="30" t="s">
        <v>138</v>
      </c>
      <c r="O490" s="30" t="s">
        <v>1615</v>
      </c>
      <c r="P490" s="30" t="s">
        <v>1111</v>
      </c>
      <c r="Q490" s="30" t="s">
        <v>585</v>
      </c>
      <c r="R490" s="30"/>
      <c r="S490" s="30" t="s">
        <v>1616</v>
      </c>
      <c r="T490" s="30"/>
      <c r="U490" s="30" t="s">
        <v>144</v>
      </c>
      <c r="V490" s="30" t="s">
        <v>437</v>
      </c>
      <c r="W490" s="30" t="s">
        <v>1113</v>
      </c>
      <c r="X490" s="30"/>
      <c r="Y490" s="30" t="s">
        <v>457</v>
      </c>
      <c r="Z490" s="30" t="s">
        <v>457</v>
      </c>
      <c r="AA490" s="30" t="s">
        <v>129</v>
      </c>
      <c r="AB490" s="30" t="s">
        <v>1114</v>
      </c>
      <c r="AC490" s="30" t="s">
        <v>1114</v>
      </c>
      <c r="AD490" s="30" t="s">
        <v>1115</v>
      </c>
      <c r="AE490" s="30"/>
      <c r="AF490" s="30" t="s">
        <v>131</v>
      </c>
      <c r="AG490" s="30" t="s">
        <v>774</v>
      </c>
      <c r="AH490" s="30" t="s">
        <v>1116</v>
      </c>
      <c r="AI490" s="30"/>
      <c r="AJ490" s="50">
        <v>43671</v>
      </c>
      <c r="AK490" s="50">
        <v>43671</v>
      </c>
      <c r="AL490" s="51">
        <f t="shared" si="320"/>
        <v>6.2739726027397262</v>
      </c>
      <c r="AM490" s="30">
        <v>8</v>
      </c>
      <c r="AN490" s="30" t="s">
        <v>1065</v>
      </c>
      <c r="AO490" s="30" t="s">
        <v>1050</v>
      </c>
      <c r="AP490" s="30" t="s">
        <v>1051</v>
      </c>
      <c r="AQ490" s="30">
        <v>5.28</v>
      </c>
      <c r="AR490" s="30">
        <v>1470</v>
      </c>
      <c r="AS490" s="30">
        <v>960</v>
      </c>
      <c r="AT490" s="30">
        <v>1675</v>
      </c>
      <c r="AU490" s="74">
        <v>8800000</v>
      </c>
      <c r="AV490" s="54"/>
      <c r="AW490" s="54"/>
      <c r="AX490" s="54"/>
      <c r="AY490" s="54">
        <v>6691669</v>
      </c>
      <c r="AZ490" s="54">
        <v>91667</v>
      </c>
      <c r="BA490" s="74">
        <v>1833330</v>
      </c>
      <c r="BB490" s="55">
        <f>VLOOKUP(M490,[1]Sheet1!$E$6:$F$556,2,FALSE)</f>
        <v>144955</v>
      </c>
      <c r="BC490" s="74"/>
      <c r="BD490" s="74"/>
      <c r="BE490" s="128">
        <v>22.999890909487601</v>
      </c>
      <c r="BF490" s="30" t="s">
        <v>1134</v>
      </c>
      <c r="BG490" s="30" t="s">
        <v>1117</v>
      </c>
      <c r="BH490" s="30" t="s">
        <v>1054</v>
      </c>
      <c r="BI490" s="30" t="str">
        <f t="shared" si="306"/>
        <v>COF(Assy_FT)</v>
      </c>
      <c r="BJ490" s="30" t="s">
        <v>250</v>
      </c>
      <c r="BK490" s="56">
        <f t="shared" si="321"/>
        <v>1924996.5</v>
      </c>
      <c r="BL490" s="57">
        <f t="shared" si="291"/>
        <v>60156.140625</v>
      </c>
      <c r="BM490" s="57">
        <f t="shared" si="292"/>
        <v>20052.046875</v>
      </c>
      <c r="BU490" s="58">
        <f t="shared" si="333"/>
        <v>60156.140625</v>
      </c>
      <c r="BV490" s="58">
        <f t="shared" si="330"/>
        <v>60156.140625</v>
      </c>
      <c r="BW490" s="58">
        <f t="shared" si="334"/>
        <v>120312.28125</v>
      </c>
      <c r="BX490" s="58">
        <f t="shared" si="293"/>
        <v>60156.140625</v>
      </c>
      <c r="BY490" s="58">
        <f t="shared" si="335"/>
        <v>60156.140625</v>
      </c>
      <c r="BZ490" s="58">
        <f t="shared" si="309"/>
        <v>60156.140625</v>
      </c>
      <c r="CA490" s="58">
        <f t="shared" si="336"/>
        <v>60156.140625</v>
      </c>
      <c r="CB490" s="58">
        <f t="shared" si="310"/>
        <v>240624.5625</v>
      </c>
      <c r="CC490" s="58">
        <f t="shared" si="311"/>
        <v>60156.140625</v>
      </c>
      <c r="CD490" s="58">
        <f t="shared" ref="CD490:CF507" si="337">CC490</f>
        <v>60156.140625</v>
      </c>
      <c r="CE490" s="58">
        <f t="shared" si="337"/>
        <v>60156.140625</v>
      </c>
      <c r="CF490" s="58">
        <f t="shared" si="337"/>
        <v>60156.140625</v>
      </c>
      <c r="CG490" s="58">
        <f t="shared" si="312"/>
        <v>240624.5625</v>
      </c>
      <c r="CH490" s="58">
        <f t="shared" si="295"/>
        <v>60156.140625</v>
      </c>
      <c r="CI490" s="58">
        <f t="shared" si="329"/>
        <v>60156.140625</v>
      </c>
      <c r="CJ490" s="58">
        <f t="shared" si="329"/>
        <v>60156.140625</v>
      </c>
      <c r="CK490" s="58">
        <f t="shared" si="329"/>
        <v>60156.140625</v>
      </c>
      <c r="CL490" s="58">
        <f t="shared" si="297"/>
        <v>240624.5625</v>
      </c>
      <c r="CP490" s="2">
        <f t="shared" si="315"/>
        <v>1924996.5</v>
      </c>
    </row>
    <row r="491" spans="1:94" ht="15" hidden="1" x14ac:dyDescent="0.3">
      <c r="A491" s="29">
        <v>486</v>
      </c>
      <c r="B491" s="30" t="s">
        <v>21</v>
      </c>
      <c r="C491" s="30"/>
      <c r="D491" s="30" t="s">
        <v>1041</v>
      </c>
      <c r="E491" s="30" t="s">
        <v>1042</v>
      </c>
      <c r="F491" s="30" t="s">
        <v>1043</v>
      </c>
      <c r="G491" s="30" t="s">
        <v>117</v>
      </c>
      <c r="H491" s="30" t="s">
        <v>926</v>
      </c>
      <c r="I491" s="30" t="s">
        <v>119</v>
      </c>
      <c r="J491" s="30" t="s">
        <v>1044</v>
      </c>
      <c r="K491" s="30" t="s">
        <v>1044</v>
      </c>
      <c r="L491" s="30" t="s">
        <v>885</v>
      </c>
      <c r="M491" s="30">
        <v>1005322</v>
      </c>
      <c r="N491" s="30" t="s">
        <v>138</v>
      </c>
      <c r="O491" s="30" t="s">
        <v>1617</v>
      </c>
      <c r="P491" s="30" t="s">
        <v>1618</v>
      </c>
      <c r="Q491" s="30" t="s">
        <v>1619</v>
      </c>
      <c r="R491" s="30"/>
      <c r="S491" s="30" t="s">
        <v>1620</v>
      </c>
      <c r="T491" s="30"/>
      <c r="U491" s="30" t="s">
        <v>588</v>
      </c>
      <c r="V491" s="30" t="s">
        <v>415</v>
      </c>
      <c r="W491" s="30" t="s">
        <v>1048</v>
      </c>
      <c r="X491" s="30"/>
      <c r="Y491" s="30" t="s">
        <v>576</v>
      </c>
      <c r="Z491" s="30" t="s">
        <v>576</v>
      </c>
      <c r="AA491" s="126" t="s">
        <v>891</v>
      </c>
      <c r="AB491" s="30" t="s">
        <v>1621</v>
      </c>
      <c r="AC491" s="30" t="s">
        <v>1621</v>
      </c>
      <c r="AD491" s="30"/>
      <c r="AE491" s="30"/>
      <c r="AF491" s="30" t="s">
        <v>604</v>
      </c>
      <c r="AG491" s="30" t="s">
        <v>774</v>
      </c>
      <c r="AH491" s="92" t="s">
        <v>1622</v>
      </c>
      <c r="AI491" s="30"/>
      <c r="AJ491" s="50">
        <v>43190</v>
      </c>
      <c r="AK491" s="50">
        <v>43190</v>
      </c>
      <c r="AL491" s="51">
        <f t="shared" si="320"/>
        <v>7.5917808219178085</v>
      </c>
      <c r="AM491" s="30">
        <v>8</v>
      </c>
      <c r="AN491" s="30" t="s">
        <v>1057</v>
      </c>
      <c r="AO491" s="30" t="s">
        <v>1050</v>
      </c>
      <c r="AP491" s="30" t="s">
        <v>1187</v>
      </c>
      <c r="AQ491" s="30">
        <v>10.8</v>
      </c>
      <c r="AR491" s="30">
        <v>1690</v>
      </c>
      <c r="AS491" s="30">
        <v>3315</v>
      </c>
      <c r="AT491" s="30">
        <v>1800</v>
      </c>
      <c r="AU491" s="74">
        <v>1584346053</v>
      </c>
      <c r="AV491" s="54"/>
      <c r="AW491" s="54"/>
      <c r="AX491" s="54"/>
      <c r="AY491" s="54">
        <v>1416364902</v>
      </c>
      <c r="AZ491" s="54">
        <v>16503605</v>
      </c>
      <c r="BA491" s="74">
        <v>118470336</v>
      </c>
      <c r="BB491" s="55">
        <f>VLOOKUP(M491,[1]Sheet1!$E$6:$F$556,2,FALSE)</f>
        <v>35952311</v>
      </c>
      <c r="BC491" s="74"/>
      <c r="BD491" s="74"/>
      <c r="BE491" s="128">
        <v>10.178451980643016</v>
      </c>
      <c r="BF491" s="30" t="s">
        <v>1134</v>
      </c>
      <c r="BG491" s="30" t="s">
        <v>1623</v>
      </c>
      <c r="BH491" s="30" t="s">
        <v>1054</v>
      </c>
      <c r="BI491" s="30" t="str">
        <f t="shared" si="306"/>
        <v>COF(Assy_FT)</v>
      </c>
      <c r="BJ491" s="30" t="s">
        <v>250</v>
      </c>
      <c r="BK491" s="56">
        <f t="shared" si="321"/>
        <v>124393852.80000001</v>
      </c>
      <c r="BL491" s="57">
        <f t="shared" ref="BL491:BL554" si="338">CP491/$BL$1/4</f>
        <v>3887307.9000000004</v>
      </c>
      <c r="BM491" s="57">
        <f t="shared" ref="BM491:BM554" si="339">CP491/$BL$1/12</f>
        <v>1295769.3</v>
      </c>
      <c r="BU491" s="58">
        <f t="shared" si="333"/>
        <v>3887307.9000000004</v>
      </c>
      <c r="BV491" s="58">
        <f t="shared" si="330"/>
        <v>3887307.9000000004</v>
      </c>
      <c r="BW491" s="58">
        <f t="shared" si="334"/>
        <v>7774615.8000000007</v>
      </c>
      <c r="BX491" s="58">
        <f>BV491</f>
        <v>3887307.9000000004</v>
      </c>
      <c r="BY491" s="58">
        <f t="shared" si="335"/>
        <v>3887307.9000000004</v>
      </c>
      <c r="BZ491" s="58">
        <f t="shared" si="309"/>
        <v>3887307.9000000004</v>
      </c>
      <c r="CA491" s="58">
        <f t="shared" si="336"/>
        <v>3887307.9000000004</v>
      </c>
      <c r="CB491" s="58">
        <f t="shared" si="310"/>
        <v>15549231.600000001</v>
      </c>
      <c r="CC491" s="58">
        <f t="shared" si="311"/>
        <v>3887307.9000000004</v>
      </c>
      <c r="CD491" s="58">
        <f t="shared" si="337"/>
        <v>3887307.9000000004</v>
      </c>
      <c r="CE491" s="58">
        <f t="shared" si="337"/>
        <v>3887307.9000000004</v>
      </c>
      <c r="CF491" s="58">
        <f t="shared" si="337"/>
        <v>3887307.9000000004</v>
      </c>
      <c r="CG491" s="58">
        <f t="shared" si="312"/>
        <v>15549231.600000001</v>
      </c>
      <c r="CH491" s="58">
        <f>CF491</f>
        <v>3887307.9000000004</v>
      </c>
      <c r="CI491" s="58">
        <f t="shared" si="329"/>
        <v>3887307.9000000004</v>
      </c>
      <c r="CJ491" s="58">
        <f t="shared" si="329"/>
        <v>3887307.9000000004</v>
      </c>
      <c r="CK491" s="58">
        <f t="shared" si="329"/>
        <v>3887307.9000000004</v>
      </c>
      <c r="CL491" s="58">
        <f>SUM(CH491:CK491)</f>
        <v>15549231.600000001</v>
      </c>
      <c r="CP491" s="2">
        <f t="shared" si="315"/>
        <v>124393852.80000001</v>
      </c>
    </row>
    <row r="492" spans="1:94" hidden="1" x14ac:dyDescent="0.3">
      <c r="A492" s="29">
        <v>487</v>
      </c>
      <c r="B492" s="30" t="s">
        <v>21</v>
      </c>
      <c r="C492" s="30"/>
      <c r="D492" s="30" t="s">
        <v>1041</v>
      </c>
      <c r="E492" s="30" t="s">
        <v>1042</v>
      </c>
      <c r="F492" s="30" t="s">
        <v>1043</v>
      </c>
      <c r="G492" s="30" t="s">
        <v>117</v>
      </c>
      <c r="H492" s="30" t="s">
        <v>1058</v>
      </c>
      <c r="I492" s="30" t="s">
        <v>119</v>
      </c>
      <c r="J492" s="30" t="s">
        <v>1044</v>
      </c>
      <c r="K492" s="30" t="s">
        <v>1044</v>
      </c>
      <c r="L492" s="30" t="s">
        <v>1130</v>
      </c>
      <c r="M492" s="30">
        <v>1007004</v>
      </c>
      <c r="N492" s="30" t="s">
        <v>138</v>
      </c>
      <c r="O492" s="30" t="s">
        <v>1624</v>
      </c>
      <c r="P492" s="30" t="s">
        <v>1179</v>
      </c>
      <c r="Q492" s="30" t="s">
        <v>1180</v>
      </c>
      <c r="R492" s="30" t="s">
        <v>1463</v>
      </c>
      <c r="S492" s="30" t="s">
        <v>1625</v>
      </c>
      <c r="T492" s="30" t="s">
        <v>1183</v>
      </c>
      <c r="U492" s="30" t="s">
        <v>144</v>
      </c>
      <c r="V492" s="30" t="s">
        <v>600</v>
      </c>
      <c r="W492" s="30" t="s">
        <v>1184</v>
      </c>
      <c r="X492" s="30"/>
      <c r="Y492" s="30" t="s">
        <v>457</v>
      </c>
      <c r="Z492" s="30" t="s">
        <v>457</v>
      </c>
      <c r="AA492" s="30" t="s">
        <v>148</v>
      </c>
      <c r="AB492" s="30" t="s">
        <v>1185</v>
      </c>
      <c r="AC492" s="30" t="s">
        <v>1185</v>
      </c>
      <c r="AD492" s="30"/>
      <c r="AE492" s="30"/>
      <c r="AF492" s="30" t="s">
        <v>593</v>
      </c>
      <c r="AG492" s="30" t="s">
        <v>774</v>
      </c>
      <c r="AH492" s="30" t="s">
        <v>1186</v>
      </c>
      <c r="AI492" s="30"/>
      <c r="AJ492" s="50">
        <v>44795</v>
      </c>
      <c r="AK492" s="50">
        <v>44795</v>
      </c>
      <c r="AL492" s="51">
        <f t="shared" si="320"/>
        <v>3.1945205479452055</v>
      </c>
      <c r="AM492" s="30">
        <v>8</v>
      </c>
      <c r="AN492" s="30" t="s">
        <v>1065</v>
      </c>
      <c r="AO492" s="30" t="s">
        <v>1050</v>
      </c>
      <c r="AP492" s="30" t="s">
        <v>1187</v>
      </c>
      <c r="AQ492" s="30">
        <v>3.6</v>
      </c>
      <c r="AR492" s="30">
        <v>2820</v>
      </c>
      <c r="AS492" s="30">
        <v>1154</v>
      </c>
      <c r="AT492" s="30">
        <v>2020</v>
      </c>
      <c r="AU492" s="74">
        <v>407471136</v>
      </c>
      <c r="AV492" s="54"/>
      <c r="AW492" s="54"/>
      <c r="AX492" s="54"/>
      <c r="AY492" s="54">
        <v>152801676</v>
      </c>
      <c r="AZ492" s="54">
        <v>4244491</v>
      </c>
      <c r="BA492" s="74">
        <v>241935987</v>
      </c>
      <c r="BB492" s="55">
        <f>VLOOKUP(M492,[1]Sheet1!$E$6:$F$556,2,FALSE)</f>
        <v>23268098</v>
      </c>
      <c r="BC492" s="74"/>
      <c r="BD492" s="74"/>
      <c r="BE492" s="128">
        <v>60</v>
      </c>
      <c r="BF492" s="30" t="s">
        <v>1134</v>
      </c>
      <c r="BG492" s="30" t="s">
        <v>1074</v>
      </c>
      <c r="BH492" s="30" t="s">
        <v>1054</v>
      </c>
      <c r="BI492" s="30" t="str">
        <f t="shared" si="306"/>
        <v>COF(Assy_FT)</v>
      </c>
      <c r="BJ492" s="30" t="s">
        <v>250</v>
      </c>
      <c r="BK492" s="56">
        <f t="shared" si="321"/>
        <v>254032786.35000002</v>
      </c>
      <c r="BL492" s="57">
        <f t="shared" si="338"/>
        <v>7938524.5734375007</v>
      </c>
      <c r="BM492" s="57">
        <f t="shared" si="339"/>
        <v>2646174.8578125001</v>
      </c>
      <c r="BU492" s="58">
        <f t="shared" si="333"/>
        <v>7938524.5734375007</v>
      </c>
      <c r="BV492" s="58">
        <f t="shared" si="330"/>
        <v>7938524.5734375007</v>
      </c>
      <c r="BW492" s="58">
        <f t="shared" si="334"/>
        <v>15877049.146875001</v>
      </c>
      <c r="BX492" s="58">
        <f>BV492</f>
        <v>7938524.5734375007</v>
      </c>
      <c r="BY492" s="58">
        <f t="shared" si="335"/>
        <v>7938524.5734375007</v>
      </c>
      <c r="BZ492" s="58">
        <f t="shared" si="309"/>
        <v>7938524.5734375007</v>
      </c>
      <c r="CA492" s="58">
        <f t="shared" si="336"/>
        <v>7938524.5734375007</v>
      </c>
      <c r="CB492" s="58">
        <f t="shared" si="310"/>
        <v>31754098.293750003</v>
      </c>
      <c r="CC492" s="58">
        <f t="shared" si="311"/>
        <v>7938524.5734375007</v>
      </c>
      <c r="CD492" s="58">
        <f t="shared" si="337"/>
        <v>7938524.5734375007</v>
      </c>
      <c r="CE492" s="58">
        <f t="shared" si="337"/>
        <v>7938524.5734375007</v>
      </c>
      <c r="CF492" s="58">
        <f t="shared" si="337"/>
        <v>7938524.5734375007</v>
      </c>
      <c r="CG492" s="58">
        <f t="shared" si="312"/>
        <v>31754098.293750003</v>
      </c>
      <c r="CH492" s="58">
        <f>CF492</f>
        <v>7938524.5734375007</v>
      </c>
      <c r="CI492" s="58">
        <f t="shared" ref="CI492:CK506" si="340">CH492</f>
        <v>7938524.5734375007</v>
      </c>
      <c r="CJ492" s="58">
        <f t="shared" si="340"/>
        <v>7938524.5734375007</v>
      </c>
      <c r="CK492" s="58">
        <f t="shared" si="340"/>
        <v>7938524.5734375007</v>
      </c>
      <c r="CL492" s="58">
        <f>SUM(CH492:CK492)</f>
        <v>31754098.293750003</v>
      </c>
      <c r="CP492" s="2">
        <f t="shared" si="315"/>
        <v>254032786.35000002</v>
      </c>
    </row>
    <row r="493" spans="1:94" hidden="1" x14ac:dyDescent="0.3">
      <c r="A493" s="29">
        <v>488</v>
      </c>
      <c r="B493" s="30" t="s">
        <v>21</v>
      </c>
      <c r="C493" s="30"/>
      <c r="D493" s="30" t="s">
        <v>1041</v>
      </c>
      <c r="E493" s="30" t="s">
        <v>1042</v>
      </c>
      <c r="F493" s="30" t="s">
        <v>1043</v>
      </c>
      <c r="G493" s="30" t="s">
        <v>117</v>
      </c>
      <c r="H493" s="30" t="s">
        <v>926</v>
      </c>
      <c r="I493" s="30" t="s">
        <v>119</v>
      </c>
      <c r="J493" s="30" t="s">
        <v>1044</v>
      </c>
      <c r="K493" s="30" t="s">
        <v>1044</v>
      </c>
      <c r="L493" s="30" t="s">
        <v>1255</v>
      </c>
      <c r="M493" s="30">
        <v>1006352</v>
      </c>
      <c r="N493" s="30" t="s">
        <v>138</v>
      </c>
      <c r="O493" s="30" t="s">
        <v>1626</v>
      </c>
      <c r="P493" s="30" t="s">
        <v>1627</v>
      </c>
      <c r="Q493" s="30" t="s">
        <v>1628</v>
      </c>
      <c r="R493" s="30"/>
      <c r="S493" s="30"/>
      <c r="T493" s="30"/>
      <c r="U493" s="30" t="s">
        <v>144</v>
      </c>
      <c r="V493" s="30" t="s">
        <v>437</v>
      </c>
      <c r="W493" s="30" t="s">
        <v>1610</v>
      </c>
      <c r="X493" s="30"/>
      <c r="Y493" s="30" t="s">
        <v>457</v>
      </c>
      <c r="Z493" s="30" t="s">
        <v>457</v>
      </c>
      <c r="AA493" s="30" t="s">
        <v>129</v>
      </c>
      <c r="AB493" s="126" t="s">
        <v>1611</v>
      </c>
      <c r="AC493" s="30"/>
      <c r="AD493" s="30"/>
      <c r="AE493" s="30"/>
      <c r="AF493" s="30" t="s">
        <v>131</v>
      </c>
      <c r="AG493" s="30" t="s">
        <v>1612</v>
      </c>
      <c r="AH493" s="30"/>
      <c r="AI493" s="30"/>
      <c r="AJ493" s="50">
        <v>43991</v>
      </c>
      <c r="AK493" s="50">
        <v>43991</v>
      </c>
      <c r="AL493" s="51">
        <f t="shared" si="320"/>
        <v>5.397260273972603</v>
      </c>
      <c r="AM493" s="30">
        <v>8</v>
      </c>
      <c r="AN493" s="30" t="s">
        <v>1057</v>
      </c>
      <c r="AO493" s="30" t="s">
        <v>1050</v>
      </c>
      <c r="AP493" s="30" t="s">
        <v>1051</v>
      </c>
      <c r="AQ493" s="30">
        <v>1.8</v>
      </c>
      <c r="AR493" s="30">
        <v>1800</v>
      </c>
      <c r="AS493" s="30">
        <v>1360</v>
      </c>
      <c r="AT493" s="30">
        <v>2030</v>
      </c>
      <c r="AU493" s="74">
        <v>65000000</v>
      </c>
      <c r="AV493" s="54"/>
      <c r="AW493" s="54"/>
      <c r="AX493" s="54"/>
      <c r="AY493" s="54">
        <v>41979164</v>
      </c>
      <c r="AZ493" s="54">
        <v>677083</v>
      </c>
      <c r="BA493" s="74">
        <v>20989587</v>
      </c>
      <c r="BB493" s="55">
        <f>VLOOKUP(M493,[1]Sheet1!$E$6:$F$556,2,FALSE)</f>
        <v>1855868</v>
      </c>
      <c r="BC493" s="74"/>
      <c r="BD493" s="74"/>
      <c r="BE493" s="128">
        <v>34.000020676933254</v>
      </c>
      <c r="BF493" s="30" t="s">
        <v>1134</v>
      </c>
      <c r="BG493" s="30" t="s">
        <v>1053</v>
      </c>
      <c r="BH493" s="30" t="s">
        <v>1054</v>
      </c>
      <c r="BI493" s="30" t="str">
        <f t="shared" si="306"/>
        <v>COF(Assy_FT)</v>
      </c>
      <c r="BJ493" s="30" t="s">
        <v>250</v>
      </c>
      <c r="BK493" s="56">
        <f t="shared" si="321"/>
        <v>22039066.350000001</v>
      </c>
      <c r="BL493" s="57">
        <f t="shared" si="338"/>
        <v>688720.82343750005</v>
      </c>
      <c r="BM493" s="57">
        <f t="shared" si="339"/>
        <v>229573.60781250001</v>
      </c>
      <c r="BU493" s="58">
        <f t="shared" si="333"/>
        <v>688720.82343750005</v>
      </c>
      <c r="BV493" s="58">
        <f t="shared" si="330"/>
        <v>688720.82343750005</v>
      </c>
      <c r="BW493" s="58">
        <f t="shared" si="334"/>
        <v>1377441.6468750001</v>
      </c>
      <c r="BX493" s="58">
        <f>BV493</f>
        <v>688720.82343750005</v>
      </c>
      <c r="BY493" s="58">
        <f t="shared" si="335"/>
        <v>688720.82343750005</v>
      </c>
      <c r="BZ493" s="58">
        <f t="shared" si="309"/>
        <v>688720.82343750005</v>
      </c>
      <c r="CA493" s="58">
        <f t="shared" si="336"/>
        <v>688720.82343750005</v>
      </c>
      <c r="CB493" s="58">
        <f t="shared" si="310"/>
        <v>2754883.2937500002</v>
      </c>
      <c r="CC493" s="58">
        <f t="shared" si="311"/>
        <v>688720.82343750005</v>
      </c>
      <c r="CD493" s="58">
        <f t="shared" si="337"/>
        <v>688720.82343750005</v>
      </c>
      <c r="CE493" s="58">
        <f t="shared" si="337"/>
        <v>688720.82343750005</v>
      </c>
      <c r="CF493" s="58">
        <f t="shared" si="337"/>
        <v>688720.82343750005</v>
      </c>
      <c r="CG493" s="58">
        <f t="shared" si="312"/>
        <v>2754883.2937500002</v>
      </c>
      <c r="CH493" s="58">
        <f>CF493</f>
        <v>688720.82343750005</v>
      </c>
      <c r="CI493" s="58">
        <f t="shared" si="340"/>
        <v>688720.82343750005</v>
      </c>
      <c r="CJ493" s="58">
        <f t="shared" si="340"/>
        <v>688720.82343750005</v>
      </c>
      <c r="CK493" s="58">
        <f t="shared" si="340"/>
        <v>688720.82343750005</v>
      </c>
      <c r="CL493" s="58">
        <f>SUM(CH493:CK493)</f>
        <v>2754883.2937500002</v>
      </c>
      <c r="CP493" s="2">
        <f t="shared" si="315"/>
        <v>22039066.350000001</v>
      </c>
    </row>
    <row r="494" spans="1:94" hidden="1" x14ac:dyDescent="0.3">
      <c r="A494" s="29">
        <v>489</v>
      </c>
      <c r="B494" s="30" t="s">
        <v>21</v>
      </c>
      <c r="C494" s="30"/>
      <c r="D494" s="30" t="s">
        <v>1041</v>
      </c>
      <c r="E494" s="30" t="s">
        <v>1042</v>
      </c>
      <c r="F494" s="30" t="s">
        <v>1043</v>
      </c>
      <c r="G494" s="30" t="s">
        <v>117</v>
      </c>
      <c r="H494" s="30" t="s">
        <v>1058</v>
      </c>
      <c r="I494" s="30" t="s">
        <v>119</v>
      </c>
      <c r="J494" s="30" t="s">
        <v>1044</v>
      </c>
      <c r="K494" s="30" t="s">
        <v>1044</v>
      </c>
      <c r="L494" s="30" t="s">
        <v>1526</v>
      </c>
      <c r="M494" s="30">
        <v>1006388</v>
      </c>
      <c r="N494" s="30" t="s">
        <v>138</v>
      </c>
      <c r="O494" s="30" t="s">
        <v>1629</v>
      </c>
      <c r="P494" s="30" t="s">
        <v>1528</v>
      </c>
      <c r="Q494" s="30" t="str">
        <f>P494</f>
        <v>Reelstar-800LM</v>
      </c>
      <c r="R494" s="30"/>
      <c r="S494" s="30" t="s">
        <v>1630</v>
      </c>
      <c r="T494" s="30"/>
      <c r="U494" s="30" t="s">
        <v>144</v>
      </c>
      <c r="V494" s="30" t="s">
        <v>1530</v>
      </c>
      <c r="W494" s="30" t="s">
        <v>1531</v>
      </c>
      <c r="X494" s="30"/>
      <c r="Y494" s="30" t="s">
        <v>128</v>
      </c>
      <c r="Z494" s="30" t="s">
        <v>128</v>
      </c>
      <c r="AA494" s="30" t="s">
        <v>129</v>
      </c>
      <c r="AB494" s="30" t="s">
        <v>1532</v>
      </c>
      <c r="AC494" s="30" t="s">
        <v>1532</v>
      </c>
      <c r="AD494" s="30"/>
      <c r="AE494" s="30"/>
      <c r="AF494" s="30" t="s">
        <v>131</v>
      </c>
      <c r="AG494" s="30" t="s">
        <v>774</v>
      </c>
      <c r="AH494" s="30"/>
      <c r="AI494" s="30"/>
      <c r="AJ494" s="50">
        <v>44085</v>
      </c>
      <c r="AK494" s="50">
        <v>44085</v>
      </c>
      <c r="AL494" s="51">
        <f t="shared" si="320"/>
        <v>5.13972602739726</v>
      </c>
      <c r="AM494" s="30">
        <v>8</v>
      </c>
      <c r="AN494" s="30" t="s">
        <v>1065</v>
      </c>
      <c r="AO494" s="30" t="s">
        <v>1050</v>
      </c>
      <c r="AP494" s="30" t="s">
        <v>1187</v>
      </c>
      <c r="AQ494" s="30">
        <v>4.22</v>
      </c>
      <c r="AR494" s="30">
        <v>2812</v>
      </c>
      <c r="AS494" s="30">
        <v>1208</v>
      </c>
      <c r="AT494" s="30">
        <v>2208</v>
      </c>
      <c r="AU494" s="74">
        <v>350453371</v>
      </c>
      <c r="AV494" s="54"/>
      <c r="AW494" s="54"/>
      <c r="AX494" s="54"/>
      <c r="AY494" s="54">
        <v>215382799</v>
      </c>
      <c r="AZ494" s="54">
        <v>3650556</v>
      </c>
      <c r="BA494" s="74">
        <v>124118904</v>
      </c>
      <c r="BB494" s="55">
        <f>VLOOKUP(M494,[1]Sheet1!$E$6:$F$556,2,FALSE)</f>
        <v>11160634</v>
      </c>
      <c r="BC494" s="74"/>
      <c r="BD494" s="74"/>
      <c r="BE494" s="128">
        <v>37</v>
      </c>
      <c r="BF494" s="30" t="s">
        <v>1134</v>
      </c>
      <c r="BG494" s="30" t="s">
        <v>1342</v>
      </c>
      <c r="BH494" s="30" t="s">
        <v>1054</v>
      </c>
      <c r="BI494" s="30" t="str">
        <f t="shared" si="306"/>
        <v>COF(Assy_FT)</v>
      </c>
      <c r="BJ494" s="30" t="s">
        <v>250</v>
      </c>
      <c r="BK494" s="56">
        <f t="shared" si="321"/>
        <v>130324849.2</v>
      </c>
      <c r="BL494" s="57">
        <f t="shared" si="338"/>
        <v>4072651.5375000001</v>
      </c>
      <c r="BM494" s="57">
        <f t="shared" si="339"/>
        <v>1357550.5125</v>
      </c>
      <c r="BU494" s="58">
        <f t="shared" si="333"/>
        <v>4072651.5374999996</v>
      </c>
      <c r="BV494" s="58">
        <f t="shared" si="330"/>
        <v>4072651.5374999996</v>
      </c>
      <c r="BW494" s="58">
        <f t="shared" si="334"/>
        <v>8145303.0749999993</v>
      </c>
      <c r="BX494" s="58">
        <f>BV494</f>
        <v>4072651.5374999996</v>
      </c>
      <c r="BY494" s="58">
        <f t="shared" si="335"/>
        <v>4072651.5374999996</v>
      </c>
      <c r="BZ494" s="58">
        <f t="shared" si="309"/>
        <v>4072651.5374999996</v>
      </c>
      <c r="CA494" s="58">
        <f t="shared" si="336"/>
        <v>4072651.5374999996</v>
      </c>
      <c r="CB494" s="58">
        <f t="shared" si="310"/>
        <v>16290606.149999999</v>
      </c>
      <c r="CC494" s="58">
        <f t="shared" si="311"/>
        <v>4072651.5374999996</v>
      </c>
      <c r="CD494" s="58">
        <f t="shared" si="337"/>
        <v>4072651.5374999996</v>
      </c>
      <c r="CE494" s="58">
        <f t="shared" si="337"/>
        <v>4072651.5374999996</v>
      </c>
      <c r="CF494" s="58">
        <f t="shared" si="337"/>
        <v>4072651.5374999996</v>
      </c>
      <c r="CG494" s="58">
        <f t="shared" si="312"/>
        <v>16290606.149999999</v>
      </c>
      <c r="CH494" s="58">
        <f>CF494</f>
        <v>4072651.5374999996</v>
      </c>
      <c r="CI494" s="58">
        <f t="shared" si="340"/>
        <v>4072651.5374999996</v>
      </c>
      <c r="CJ494" s="58">
        <f t="shared" si="340"/>
        <v>4072651.5374999996</v>
      </c>
      <c r="CK494" s="58">
        <f t="shared" si="340"/>
        <v>4072651.5374999996</v>
      </c>
      <c r="CL494" s="58">
        <f>SUM(CH494:CK494)</f>
        <v>16290606.149999999</v>
      </c>
      <c r="CP494" s="2">
        <f t="shared" si="315"/>
        <v>130324849.2</v>
      </c>
    </row>
    <row r="495" spans="1:94" hidden="1" x14ac:dyDescent="0.3">
      <c r="A495" s="29">
        <v>490</v>
      </c>
      <c r="B495" s="30" t="s">
        <v>21</v>
      </c>
      <c r="C495" s="30"/>
      <c r="D495" s="30" t="s">
        <v>1041</v>
      </c>
      <c r="E495" s="30" t="s">
        <v>1042</v>
      </c>
      <c r="F495" s="30" t="s">
        <v>1043</v>
      </c>
      <c r="G495" s="30" t="s">
        <v>117</v>
      </c>
      <c r="H495" s="30" t="s">
        <v>1058</v>
      </c>
      <c r="I495" s="30" t="s">
        <v>119</v>
      </c>
      <c r="J495" s="30" t="s">
        <v>1044</v>
      </c>
      <c r="K495" s="30" t="s">
        <v>1044</v>
      </c>
      <c r="L495" s="30" t="s">
        <v>1059</v>
      </c>
      <c r="M495" s="30">
        <v>1006465</v>
      </c>
      <c r="N495" s="30" t="s">
        <v>138</v>
      </c>
      <c r="O495" s="30" t="s">
        <v>1631</v>
      </c>
      <c r="P495" s="30"/>
      <c r="Q495" s="30" t="s">
        <v>1018</v>
      </c>
      <c r="R495" s="30"/>
      <c r="S495" s="30"/>
      <c r="T495" s="30"/>
      <c r="U495" s="30" t="s">
        <v>144</v>
      </c>
      <c r="V495" s="30" t="s">
        <v>437</v>
      </c>
      <c r="W495" s="30" t="s">
        <v>1632</v>
      </c>
      <c r="X495" s="30"/>
      <c r="Y495" s="30" t="s">
        <v>457</v>
      </c>
      <c r="Z495" s="30" t="s">
        <v>457</v>
      </c>
      <c r="AA495" s="30" t="s">
        <v>129</v>
      </c>
      <c r="AB495" s="30" t="s">
        <v>1132</v>
      </c>
      <c r="AC495" s="30"/>
      <c r="AD495" s="30"/>
      <c r="AE495" s="30"/>
      <c r="AF495" s="30"/>
      <c r="AG495" s="30"/>
      <c r="AH495" s="30"/>
      <c r="AI495" s="30"/>
      <c r="AJ495" s="50">
        <v>44151</v>
      </c>
      <c r="AK495" s="50">
        <v>44151</v>
      </c>
      <c r="AL495" s="51">
        <f t="shared" si="320"/>
        <v>4.9589041095890414</v>
      </c>
      <c r="AM495" s="30">
        <v>8</v>
      </c>
      <c r="AN495" s="30" t="s">
        <v>1065</v>
      </c>
      <c r="AO495" s="30" t="s">
        <v>1050</v>
      </c>
      <c r="AP495" s="30" t="s">
        <v>1051</v>
      </c>
      <c r="AQ495" s="30">
        <v>0</v>
      </c>
      <c r="AR495" s="30"/>
      <c r="AS495" s="30"/>
      <c r="AT495" s="30"/>
      <c r="AU495" s="74">
        <v>55000000</v>
      </c>
      <c r="AV495" s="54"/>
      <c r="AW495" s="54"/>
      <c r="AX495" s="54"/>
      <c r="AY495" s="54">
        <v>32656252</v>
      </c>
      <c r="AZ495" s="54">
        <v>572917</v>
      </c>
      <c r="BA495" s="74">
        <v>20624997</v>
      </c>
      <c r="BB495" s="55">
        <f>VLOOKUP(M495,[1]Sheet1!$E$6:$F$556,2,FALSE)</f>
        <v>1872342</v>
      </c>
      <c r="BC495" s="74"/>
      <c r="BD495" s="74"/>
      <c r="BE495" s="128">
        <v>38.999973818197049</v>
      </c>
      <c r="BF495" s="30" t="s">
        <v>1134</v>
      </c>
      <c r="BG495" s="30" t="s">
        <v>1117</v>
      </c>
      <c r="BH495" s="30" t="s">
        <v>1054</v>
      </c>
      <c r="BI495" s="30" t="str">
        <f t="shared" si="306"/>
        <v>COF(Assy_FT)</v>
      </c>
      <c r="BJ495" s="30" t="s">
        <v>250</v>
      </c>
      <c r="BK495" s="56">
        <f t="shared" si="321"/>
        <v>21656246.850000001</v>
      </c>
      <c r="BL495" s="57">
        <f t="shared" si="338"/>
        <v>676757.71406250005</v>
      </c>
      <c r="BM495" s="57">
        <f t="shared" si="339"/>
        <v>225585.90468750001</v>
      </c>
      <c r="BU495" s="58">
        <f t="shared" si="333"/>
        <v>676757.71406250005</v>
      </c>
      <c r="BV495" s="58">
        <f t="shared" si="330"/>
        <v>676757.71406250005</v>
      </c>
      <c r="BW495" s="58">
        <f t="shared" si="334"/>
        <v>1353515.4281250001</v>
      </c>
      <c r="BX495" s="58">
        <f>BV495</f>
        <v>676757.71406250005</v>
      </c>
      <c r="BY495" s="58">
        <f t="shared" si="335"/>
        <v>676757.71406250005</v>
      </c>
      <c r="BZ495" s="58">
        <f t="shared" si="309"/>
        <v>676757.71406250005</v>
      </c>
      <c r="CA495" s="58">
        <f t="shared" si="336"/>
        <v>676757.71406250005</v>
      </c>
      <c r="CB495" s="58">
        <f t="shared" si="310"/>
        <v>2707030.8562500002</v>
      </c>
      <c r="CC495" s="58">
        <f t="shared" si="311"/>
        <v>676757.71406250005</v>
      </c>
      <c r="CD495" s="58">
        <f t="shared" si="337"/>
        <v>676757.71406250005</v>
      </c>
      <c r="CE495" s="58">
        <f t="shared" si="337"/>
        <v>676757.71406250005</v>
      </c>
      <c r="CF495" s="58">
        <f t="shared" si="337"/>
        <v>676757.71406250005</v>
      </c>
      <c r="CG495" s="58">
        <f t="shared" si="312"/>
        <v>2707030.8562500002</v>
      </c>
      <c r="CH495" s="58">
        <f>CF495</f>
        <v>676757.71406250005</v>
      </c>
      <c r="CI495" s="58">
        <f t="shared" si="340"/>
        <v>676757.71406250005</v>
      </c>
      <c r="CJ495" s="58">
        <f t="shared" si="340"/>
        <v>676757.71406250005</v>
      </c>
      <c r="CK495" s="58">
        <f t="shared" si="340"/>
        <v>676757.71406250005</v>
      </c>
      <c r="CL495" s="58">
        <f>SUM(CH495:CK495)</f>
        <v>2707030.8562500002</v>
      </c>
      <c r="CP495" s="2">
        <f t="shared" si="315"/>
        <v>21656246.850000001</v>
      </c>
    </row>
    <row r="496" spans="1:94" ht="16.5" hidden="1" x14ac:dyDescent="0.3">
      <c r="A496" s="2">
        <v>491</v>
      </c>
      <c r="B496" s="47" t="s">
        <v>21</v>
      </c>
      <c r="C496" s="47"/>
      <c r="D496" s="30" t="s">
        <v>1041</v>
      </c>
      <c r="E496" s="30" t="s">
        <v>1042</v>
      </c>
      <c r="F496" s="30" t="s">
        <v>1043</v>
      </c>
      <c r="G496" s="30" t="s">
        <v>117</v>
      </c>
      <c r="H496" s="30" t="s">
        <v>1058</v>
      </c>
      <c r="I496" s="30" t="s">
        <v>119</v>
      </c>
      <c r="J496" s="30" t="s">
        <v>1044</v>
      </c>
      <c r="K496" s="30" t="s">
        <v>1044</v>
      </c>
      <c r="L496" s="30" t="s">
        <v>1633</v>
      </c>
      <c r="M496" s="30">
        <v>1006493</v>
      </c>
      <c r="N496" s="30" t="s">
        <v>138</v>
      </c>
      <c r="O496" s="30" t="s">
        <v>1634</v>
      </c>
      <c r="P496" s="30" t="s">
        <v>1635</v>
      </c>
      <c r="Q496" s="30" t="s">
        <v>1636</v>
      </c>
      <c r="R496" s="30"/>
      <c r="S496" s="30" t="s">
        <v>1637</v>
      </c>
      <c r="T496" s="30"/>
      <c r="U496" s="30" t="s">
        <v>144</v>
      </c>
      <c r="V496" s="30" t="s">
        <v>437</v>
      </c>
      <c r="W496" s="30" t="s">
        <v>1638</v>
      </c>
      <c r="X496" s="30" t="s">
        <v>127</v>
      </c>
      <c r="Y496" s="125" t="s">
        <v>1639</v>
      </c>
      <c r="Z496" s="125" t="s">
        <v>576</v>
      </c>
      <c r="AA496" s="30" t="s">
        <v>129</v>
      </c>
      <c r="AB496" s="30" t="s">
        <v>1640</v>
      </c>
      <c r="AC496" s="30"/>
      <c r="AD496" s="30"/>
      <c r="AE496" s="30"/>
      <c r="AF496" s="30" t="s">
        <v>131</v>
      </c>
      <c r="AG496" s="30" t="s">
        <v>774</v>
      </c>
      <c r="AH496" s="30"/>
      <c r="AI496" s="30"/>
      <c r="AJ496" s="50">
        <v>44155</v>
      </c>
      <c r="AK496" s="50">
        <v>44155</v>
      </c>
      <c r="AL496" s="51">
        <f t="shared" si="320"/>
        <v>4.9479452054794519</v>
      </c>
      <c r="AM496" s="30">
        <v>8</v>
      </c>
      <c r="AN496" s="30" t="s">
        <v>1065</v>
      </c>
      <c r="AO496" s="30" t="s">
        <v>1050</v>
      </c>
      <c r="AP496" s="30" t="s">
        <v>1187</v>
      </c>
      <c r="AQ496" s="30">
        <v>3.96</v>
      </c>
      <c r="AR496" s="30">
        <v>3225</v>
      </c>
      <c r="AS496" s="30">
        <v>1240</v>
      </c>
      <c r="AT496" s="30">
        <v>2365</v>
      </c>
      <c r="AU496" s="54">
        <v>328505000</v>
      </c>
      <c r="AV496" s="54"/>
      <c r="AW496" s="54"/>
      <c r="AX496" s="54"/>
      <c r="AY496" s="54">
        <v>191429068</v>
      </c>
      <c r="AZ496" s="54">
        <v>3421927</v>
      </c>
      <c r="BA496" s="54">
        <v>126810151</v>
      </c>
      <c r="BB496" s="55">
        <f>VLOOKUP(M496,[1]Sheet1!$E$6:$F$556,2,FALSE)</f>
        <v>11531184</v>
      </c>
      <c r="BC496" s="74"/>
      <c r="BD496" s="74"/>
      <c r="BE496" s="128">
        <v>40.0581111169233</v>
      </c>
      <c r="BF496" s="30" t="s">
        <v>1134</v>
      </c>
      <c r="BG496" s="30" t="s">
        <v>1641</v>
      </c>
      <c r="BH496" s="30" t="s">
        <v>1054</v>
      </c>
      <c r="BI496" s="30" t="str">
        <f t="shared" si="306"/>
        <v>COF(Assy_FT)</v>
      </c>
      <c r="BJ496" s="47" t="s">
        <v>137</v>
      </c>
      <c r="BK496" s="67">
        <f t="shared" si="321"/>
        <v>133150658.55000001</v>
      </c>
      <c r="BL496" s="68">
        <f t="shared" si="338"/>
        <v>12693081.561863344</v>
      </c>
      <c r="BM496" s="68">
        <f t="shared" si="339"/>
        <v>4231027.1872877814</v>
      </c>
      <c r="BP496" s="69"/>
      <c r="BQ496" s="69">
        <f>BP496</f>
        <v>0</v>
      </c>
      <c r="BR496" s="69">
        <f>SUM(BN496:BQ496)</f>
        <v>0</v>
      </c>
      <c r="BS496" s="69"/>
      <c r="BT496" s="69"/>
      <c r="BU496" s="100">
        <v>16837255.82463447</v>
      </c>
      <c r="BV496" s="100">
        <f t="shared" si="330"/>
        <v>16837255.82463447</v>
      </c>
      <c r="BW496" s="100">
        <f>SUM(BS496:BV496)</f>
        <v>33674511.64926894</v>
      </c>
      <c r="BX496" s="101">
        <f t="shared" ref="BX496:BX559" si="341">BV496</f>
        <v>16837255.82463447</v>
      </c>
      <c r="BY496" s="101">
        <f t="shared" si="335"/>
        <v>16837255.82463447</v>
      </c>
      <c r="BZ496" s="18">
        <f t="shared" si="335"/>
        <v>16837255.82463447</v>
      </c>
      <c r="CA496" s="18">
        <f t="shared" si="336"/>
        <v>16837255.82463447</v>
      </c>
      <c r="CB496" s="70">
        <f t="shared" si="310"/>
        <v>67349023.29853788</v>
      </c>
      <c r="CC496" s="18">
        <f t="shared" si="311"/>
        <v>16837255.82463447</v>
      </c>
      <c r="CD496" s="18">
        <f t="shared" si="337"/>
        <v>16837255.82463447</v>
      </c>
      <c r="CE496" s="18">
        <f t="shared" si="337"/>
        <v>16837255.82463447</v>
      </c>
      <c r="CF496" s="18">
        <f t="shared" si="337"/>
        <v>16837255.82463447</v>
      </c>
      <c r="CG496" s="70">
        <f t="shared" si="312"/>
        <v>67349023.29853788</v>
      </c>
      <c r="CH496" s="18">
        <f t="shared" ref="CH496:CH559" si="342">CF496</f>
        <v>16837255.82463447</v>
      </c>
      <c r="CI496" s="18">
        <f t="shared" si="340"/>
        <v>16837255.82463447</v>
      </c>
      <c r="CJ496" s="18">
        <f t="shared" si="340"/>
        <v>16837255.82463447</v>
      </c>
      <c r="CK496" s="18">
        <f t="shared" si="340"/>
        <v>16837255.82463447</v>
      </c>
      <c r="CL496" s="70">
        <f t="shared" ref="CL496:CL559" si="343">SUM(CH496:CK496)</f>
        <v>67349023.29853788</v>
      </c>
      <c r="CM496" s="71"/>
      <c r="CN496" s="59">
        <f t="shared" ref="CN496:CN497" si="344">BK496/$CN$3</f>
        <v>1.3001331020458428E-2</v>
      </c>
      <c r="CO496" s="64">
        <f t="shared" ref="CO496:CO497" si="345">CN496*$CO$4</f>
        <v>273027951.429627</v>
      </c>
      <c r="CP496" s="2">
        <f t="shared" si="315"/>
        <v>406178609.97962701</v>
      </c>
    </row>
    <row r="497" spans="1:94" ht="16.5" hidden="1" x14ac:dyDescent="0.3">
      <c r="A497" s="2">
        <v>492</v>
      </c>
      <c r="B497" s="47" t="s">
        <v>21</v>
      </c>
      <c r="C497" s="47"/>
      <c r="D497" s="30" t="s">
        <v>1041</v>
      </c>
      <c r="E497" s="30" t="s">
        <v>1042</v>
      </c>
      <c r="F497" s="30" t="s">
        <v>1043</v>
      </c>
      <c r="G497" s="30" t="s">
        <v>117</v>
      </c>
      <c r="H497" s="30" t="s">
        <v>1058</v>
      </c>
      <c r="I497" s="30" t="s">
        <v>119</v>
      </c>
      <c r="J497" s="30" t="s">
        <v>1044</v>
      </c>
      <c r="K497" s="30" t="s">
        <v>1044</v>
      </c>
      <c r="L497" s="30" t="s">
        <v>1633</v>
      </c>
      <c r="M497" s="30">
        <v>1006584</v>
      </c>
      <c r="N497" s="30" t="s">
        <v>138</v>
      </c>
      <c r="O497" s="30" t="s">
        <v>1642</v>
      </c>
      <c r="P497" s="30" t="s">
        <v>1643</v>
      </c>
      <c r="Q497" s="30" t="s">
        <v>1644</v>
      </c>
      <c r="R497" s="30"/>
      <c r="S497" s="30" t="s">
        <v>1645</v>
      </c>
      <c r="T497" s="30"/>
      <c r="U497" s="30" t="s">
        <v>144</v>
      </c>
      <c r="V497" s="30" t="s">
        <v>437</v>
      </c>
      <c r="W497" s="30" t="s">
        <v>1638</v>
      </c>
      <c r="X497" s="30" t="s">
        <v>127</v>
      </c>
      <c r="Y497" s="125" t="s">
        <v>1639</v>
      </c>
      <c r="Z497" s="125" t="s">
        <v>576</v>
      </c>
      <c r="AA497" s="30" t="s">
        <v>129</v>
      </c>
      <c r="AB497" s="30" t="s">
        <v>1640</v>
      </c>
      <c r="AC497" s="30"/>
      <c r="AD497" s="30"/>
      <c r="AE497" s="30"/>
      <c r="AF497" s="30" t="s">
        <v>131</v>
      </c>
      <c r="AG497" s="30" t="s">
        <v>774</v>
      </c>
      <c r="AH497" s="30"/>
      <c r="AI497" s="30"/>
      <c r="AJ497" s="50">
        <v>44286</v>
      </c>
      <c r="AK497" s="50">
        <v>44286</v>
      </c>
      <c r="AL497" s="51">
        <f t="shared" si="320"/>
        <v>4.5890410958904111</v>
      </c>
      <c r="AM497" s="30">
        <v>8</v>
      </c>
      <c r="AN497" s="30" t="s">
        <v>1065</v>
      </c>
      <c r="AO497" s="30" t="s">
        <v>1050</v>
      </c>
      <c r="AP497" s="30" t="s">
        <v>1187</v>
      </c>
      <c r="AQ497" s="30">
        <v>6.6</v>
      </c>
      <c r="AR497" s="30">
        <v>4784</v>
      </c>
      <c r="AS497" s="30">
        <v>1986</v>
      </c>
      <c r="AT497" s="30">
        <v>1324</v>
      </c>
      <c r="AU497" s="54">
        <v>420000000</v>
      </c>
      <c r="AV497" s="54"/>
      <c r="AW497" s="54"/>
      <c r="AX497" s="54"/>
      <c r="AY497" s="54">
        <v>231875000</v>
      </c>
      <c r="AZ497" s="54">
        <v>4375000</v>
      </c>
      <c r="BA497" s="54">
        <v>175000000</v>
      </c>
      <c r="BB497" s="55">
        <f>VLOOKUP(M497,[1]Sheet1!$E$6:$F$556,2,FALSE)</f>
        <v>16142768</v>
      </c>
      <c r="BC497" s="74"/>
      <c r="BD497" s="74"/>
      <c r="BE497" s="128">
        <v>43</v>
      </c>
      <c r="BF497" s="30" t="s">
        <v>1134</v>
      </c>
      <c r="BG497" s="30" t="s">
        <v>1641</v>
      </c>
      <c r="BH497" s="30" t="s">
        <v>1054</v>
      </c>
      <c r="BI497" s="30" t="str">
        <f t="shared" si="306"/>
        <v>COF(Assy_FT)</v>
      </c>
      <c r="BJ497" s="47" t="s">
        <v>137</v>
      </c>
      <c r="BK497" s="67">
        <f t="shared" si="321"/>
        <v>183750000</v>
      </c>
      <c r="BL497" s="68">
        <f t="shared" si="338"/>
        <v>17516651.906881534</v>
      </c>
      <c r="BM497" s="68">
        <f t="shared" si="339"/>
        <v>5838883.9689605115</v>
      </c>
      <c r="BP497" s="69"/>
      <c r="BQ497" s="69"/>
      <c r="BR497" s="69">
        <f>SUM(BN497:BQ497)</f>
        <v>0</v>
      </c>
      <c r="BS497" s="69"/>
      <c r="BT497" s="69"/>
      <c r="BU497" s="100">
        <v>23235677.475938275</v>
      </c>
      <c r="BV497" s="100">
        <f t="shared" si="330"/>
        <v>23235677.475938275</v>
      </c>
      <c r="BW497" s="100">
        <f>SUM(BS497:BV497)</f>
        <v>46471354.951876551</v>
      </c>
      <c r="BX497" s="101">
        <f t="shared" si="341"/>
        <v>23235677.475938275</v>
      </c>
      <c r="BY497" s="101">
        <f t="shared" si="335"/>
        <v>23235677.475938275</v>
      </c>
      <c r="BZ497" s="18">
        <f t="shared" si="335"/>
        <v>23235677.475938275</v>
      </c>
      <c r="CA497" s="18">
        <f t="shared" si="336"/>
        <v>23235677.475938275</v>
      </c>
      <c r="CB497" s="70">
        <f t="shared" si="310"/>
        <v>92942709.903753102</v>
      </c>
      <c r="CC497" s="18">
        <f t="shared" si="311"/>
        <v>23235677.475938275</v>
      </c>
      <c r="CD497" s="18">
        <f t="shared" si="337"/>
        <v>23235677.475938275</v>
      </c>
      <c r="CE497" s="18">
        <f t="shared" si="337"/>
        <v>23235677.475938275</v>
      </c>
      <c r="CF497" s="18">
        <f t="shared" si="337"/>
        <v>23235677.475938275</v>
      </c>
      <c r="CG497" s="70">
        <f t="shared" si="312"/>
        <v>92942709.903753102</v>
      </c>
      <c r="CH497" s="18">
        <f t="shared" si="342"/>
        <v>23235677.475938275</v>
      </c>
      <c r="CI497" s="18">
        <f t="shared" si="340"/>
        <v>23235677.475938275</v>
      </c>
      <c r="CJ497" s="18">
        <f t="shared" si="340"/>
        <v>23235677.475938275</v>
      </c>
      <c r="CK497" s="18">
        <f t="shared" si="340"/>
        <v>23235677.475938275</v>
      </c>
      <c r="CL497" s="70">
        <f t="shared" si="343"/>
        <v>92942709.903753102</v>
      </c>
      <c r="CM497" s="71"/>
      <c r="CN497" s="59">
        <f t="shared" si="344"/>
        <v>1.7942041000962333E-2</v>
      </c>
      <c r="CO497" s="64">
        <f t="shared" si="345"/>
        <v>376782861.02020901</v>
      </c>
      <c r="CP497" s="2">
        <f t="shared" si="315"/>
        <v>560532861.02020907</v>
      </c>
    </row>
    <row r="498" spans="1:94" hidden="1" x14ac:dyDescent="0.3">
      <c r="A498" s="29">
        <v>493</v>
      </c>
      <c r="B498" s="30" t="s">
        <v>21</v>
      </c>
      <c r="C498" s="30"/>
      <c r="D498" s="30" t="s">
        <v>1041</v>
      </c>
      <c r="E498" s="30" t="s">
        <v>1042</v>
      </c>
      <c r="F498" s="30" t="s">
        <v>1043</v>
      </c>
      <c r="G498" s="30" t="s">
        <v>117</v>
      </c>
      <c r="H498" s="30" t="s">
        <v>1058</v>
      </c>
      <c r="I498" s="30" t="s">
        <v>119</v>
      </c>
      <c r="J498" s="30" t="s">
        <v>1044</v>
      </c>
      <c r="K498" s="30" t="s">
        <v>1044</v>
      </c>
      <c r="L498" s="30" t="s">
        <v>1633</v>
      </c>
      <c r="M498" s="30">
        <v>1006585</v>
      </c>
      <c r="N498" s="30" t="s">
        <v>138</v>
      </c>
      <c r="O498" s="30" t="s">
        <v>1646</v>
      </c>
      <c r="P498" s="30" t="s">
        <v>1643</v>
      </c>
      <c r="Q498" s="30" t="s">
        <v>1644</v>
      </c>
      <c r="R498" s="30"/>
      <c r="S498" s="30" t="s">
        <v>1647</v>
      </c>
      <c r="T498" s="30"/>
      <c r="U498" s="30" t="s">
        <v>144</v>
      </c>
      <c r="V498" s="30" t="s">
        <v>437</v>
      </c>
      <c r="W498" s="30" t="s">
        <v>1638</v>
      </c>
      <c r="X498" s="129" t="s">
        <v>1648</v>
      </c>
      <c r="Y498" s="125" t="s">
        <v>576</v>
      </c>
      <c r="Z498" s="125" t="s">
        <v>576</v>
      </c>
      <c r="AA498" s="30" t="s">
        <v>129</v>
      </c>
      <c r="AB498" s="30" t="s">
        <v>1640</v>
      </c>
      <c r="AC498" s="30"/>
      <c r="AD498" s="30"/>
      <c r="AE498" s="30"/>
      <c r="AF498" s="30" t="s">
        <v>131</v>
      </c>
      <c r="AG498" s="30" t="s">
        <v>774</v>
      </c>
      <c r="AH498" s="30"/>
      <c r="AI498" s="30"/>
      <c r="AJ498" s="50">
        <v>44286</v>
      </c>
      <c r="AK498" s="50">
        <v>44286</v>
      </c>
      <c r="AL498" s="51">
        <f t="shared" si="320"/>
        <v>4.5890410958904111</v>
      </c>
      <c r="AM498" s="30">
        <v>8</v>
      </c>
      <c r="AN498" s="30" t="s">
        <v>1065</v>
      </c>
      <c r="AO498" s="30" t="s">
        <v>1050</v>
      </c>
      <c r="AP498" s="30" t="s">
        <v>1187</v>
      </c>
      <c r="AQ498" s="30">
        <v>6.6</v>
      </c>
      <c r="AR498" s="30">
        <v>4784</v>
      </c>
      <c r="AS498" s="30">
        <v>1986</v>
      </c>
      <c r="AT498" s="30">
        <v>1324</v>
      </c>
      <c r="AU498" s="74">
        <v>420000000</v>
      </c>
      <c r="AV498" s="54"/>
      <c r="AW498" s="54"/>
      <c r="AX498" s="54"/>
      <c r="AY498" s="54">
        <v>231875000</v>
      </c>
      <c r="AZ498" s="54">
        <v>4375000</v>
      </c>
      <c r="BA498" s="74">
        <v>175000000</v>
      </c>
      <c r="BB498" s="55">
        <f>VLOOKUP(M498,[1]Sheet1!$E$6:$F$556,2,FALSE)</f>
        <v>16142768</v>
      </c>
      <c r="BC498" s="74"/>
      <c r="BD498" s="74"/>
      <c r="BE498" s="128">
        <v>43</v>
      </c>
      <c r="BF498" s="30" t="s">
        <v>1134</v>
      </c>
      <c r="BG498" s="30" t="s">
        <v>1641</v>
      </c>
      <c r="BH498" s="30" t="s">
        <v>1054</v>
      </c>
      <c r="BI498" s="30" t="str">
        <f t="shared" si="306"/>
        <v>COF(Assy_FT)</v>
      </c>
      <c r="BJ498" s="30" t="s">
        <v>250</v>
      </c>
      <c r="BK498" s="67">
        <f t="shared" si="321"/>
        <v>183750000</v>
      </c>
      <c r="BL498" s="68">
        <f t="shared" si="338"/>
        <v>5742187.5</v>
      </c>
      <c r="BM498" s="68">
        <f t="shared" si="339"/>
        <v>1914062.5</v>
      </c>
      <c r="BU498" s="58">
        <f t="shared" ref="BU498:BU519" si="346">BM498*3</f>
        <v>5742187.5</v>
      </c>
      <c r="BV498" s="58">
        <f t="shared" si="330"/>
        <v>5742187.5</v>
      </c>
      <c r="BW498" s="58">
        <f t="shared" ref="BW498:BW519" si="347">SUM(BS498:BV498)</f>
        <v>11484375</v>
      </c>
      <c r="BX498" s="58">
        <f t="shared" si="341"/>
        <v>5742187.5</v>
      </c>
      <c r="BY498" s="58">
        <f t="shared" si="335"/>
        <v>5742187.5</v>
      </c>
      <c r="BZ498" s="58">
        <f t="shared" ref="BZ498:BZ519" si="348">BM498*3</f>
        <v>5742187.5</v>
      </c>
      <c r="CA498" s="58">
        <f t="shared" si="336"/>
        <v>5742187.5</v>
      </c>
      <c r="CB498" s="58">
        <f t="shared" si="310"/>
        <v>22968750</v>
      </c>
      <c r="CC498" s="58">
        <f t="shared" si="311"/>
        <v>5742187.5</v>
      </c>
      <c r="CD498" s="58">
        <f t="shared" si="337"/>
        <v>5742187.5</v>
      </c>
      <c r="CE498" s="58">
        <f t="shared" si="337"/>
        <v>5742187.5</v>
      </c>
      <c r="CF498" s="58">
        <f t="shared" si="337"/>
        <v>5742187.5</v>
      </c>
      <c r="CG498" s="58">
        <f t="shared" si="312"/>
        <v>22968750</v>
      </c>
      <c r="CH498" s="58">
        <f t="shared" si="342"/>
        <v>5742187.5</v>
      </c>
      <c r="CI498" s="58">
        <f t="shared" si="340"/>
        <v>5742187.5</v>
      </c>
      <c r="CJ498" s="58">
        <f t="shared" si="340"/>
        <v>5742187.5</v>
      </c>
      <c r="CK498" s="58">
        <f t="shared" si="340"/>
        <v>5742187.5</v>
      </c>
      <c r="CL498" s="58">
        <f t="shared" si="343"/>
        <v>22968750</v>
      </c>
      <c r="CP498" s="2">
        <f t="shared" si="315"/>
        <v>183750000</v>
      </c>
    </row>
    <row r="499" spans="1:94" hidden="1" x14ac:dyDescent="0.3">
      <c r="A499" s="29">
        <v>494</v>
      </c>
      <c r="B499" s="30" t="s">
        <v>21</v>
      </c>
      <c r="C499" s="30"/>
      <c r="D499" s="30" t="s">
        <v>1041</v>
      </c>
      <c r="E499" s="30" t="s">
        <v>1042</v>
      </c>
      <c r="F499" s="30" t="s">
        <v>1043</v>
      </c>
      <c r="G499" s="30" t="s">
        <v>117</v>
      </c>
      <c r="H499" s="30" t="s">
        <v>1058</v>
      </c>
      <c r="I499" s="30" t="s">
        <v>119</v>
      </c>
      <c r="J499" s="30" t="s">
        <v>1044</v>
      </c>
      <c r="K499" s="30" t="s">
        <v>1044</v>
      </c>
      <c r="L499" s="30" t="s">
        <v>1633</v>
      </c>
      <c r="M499" s="30">
        <v>1006645</v>
      </c>
      <c r="N499" s="30" t="s">
        <v>138</v>
      </c>
      <c r="O499" s="30" t="s">
        <v>1649</v>
      </c>
      <c r="P499" s="30" t="s">
        <v>1643</v>
      </c>
      <c r="Q499" s="30" t="s">
        <v>1644</v>
      </c>
      <c r="R499" s="30"/>
      <c r="S499" s="30" t="s">
        <v>1650</v>
      </c>
      <c r="T499" s="30"/>
      <c r="U499" s="30" t="s">
        <v>144</v>
      </c>
      <c r="V499" s="30" t="s">
        <v>437</v>
      </c>
      <c r="W499" s="30" t="s">
        <v>1638</v>
      </c>
      <c r="X499" s="129" t="s">
        <v>1648</v>
      </c>
      <c r="Y499" s="125" t="s">
        <v>128</v>
      </c>
      <c r="Z499" s="125" t="s">
        <v>128</v>
      </c>
      <c r="AA499" s="30" t="s">
        <v>129</v>
      </c>
      <c r="AB499" s="30" t="s">
        <v>1640</v>
      </c>
      <c r="AC499" s="30"/>
      <c r="AD499" s="30"/>
      <c r="AE499" s="30"/>
      <c r="AF499" s="30" t="s">
        <v>131</v>
      </c>
      <c r="AG499" s="30" t="s">
        <v>774</v>
      </c>
      <c r="AH499" s="30"/>
      <c r="AI499" s="30"/>
      <c r="AJ499" s="50">
        <v>44315</v>
      </c>
      <c r="AK499" s="50">
        <v>44315</v>
      </c>
      <c r="AL499" s="51">
        <f t="shared" si="320"/>
        <v>4.5095890410958903</v>
      </c>
      <c r="AM499" s="30">
        <v>8</v>
      </c>
      <c r="AN499" s="30" t="s">
        <v>1065</v>
      </c>
      <c r="AO499" s="30" t="s">
        <v>1050</v>
      </c>
      <c r="AP499" s="30" t="s">
        <v>1187</v>
      </c>
      <c r="AQ499" s="30">
        <v>6.6</v>
      </c>
      <c r="AR499" s="30">
        <v>4784</v>
      </c>
      <c r="AS499" s="30">
        <v>1986</v>
      </c>
      <c r="AT499" s="30">
        <v>1324</v>
      </c>
      <c r="AU499" s="74">
        <v>420000000</v>
      </c>
      <c r="AV499" s="54"/>
      <c r="AW499" s="54"/>
      <c r="AX499" s="54"/>
      <c r="AY499" s="54">
        <v>227500000</v>
      </c>
      <c r="AZ499" s="54">
        <v>4375000</v>
      </c>
      <c r="BA499" s="74">
        <v>179375000</v>
      </c>
      <c r="BB499" s="55">
        <f>VLOOKUP(M499,[1]Sheet1!$E$6:$F$556,2,FALSE)</f>
        <v>16603990</v>
      </c>
      <c r="BC499" s="74"/>
      <c r="BD499" s="74"/>
      <c r="BE499" s="128">
        <v>44</v>
      </c>
      <c r="BF499" s="30" t="s">
        <v>1134</v>
      </c>
      <c r="BG499" s="30" t="s">
        <v>1641</v>
      </c>
      <c r="BH499" s="30" t="s">
        <v>1054</v>
      </c>
      <c r="BI499" s="30" t="str">
        <f t="shared" si="306"/>
        <v>COF(Assy_FT)</v>
      </c>
      <c r="BJ499" s="30" t="s">
        <v>250</v>
      </c>
      <c r="BK499" s="67">
        <f t="shared" si="321"/>
        <v>188343750</v>
      </c>
      <c r="BL499" s="68">
        <f t="shared" si="338"/>
        <v>5885742.1875</v>
      </c>
      <c r="BM499" s="68">
        <f t="shared" si="339"/>
        <v>1961914.0625</v>
      </c>
      <c r="BU499" s="58">
        <f t="shared" si="346"/>
        <v>5885742.1875</v>
      </c>
      <c r="BV499" s="58">
        <f t="shared" si="330"/>
        <v>5885742.1875</v>
      </c>
      <c r="BW499" s="58">
        <f t="shared" si="347"/>
        <v>11771484.375</v>
      </c>
      <c r="BX499" s="58">
        <f t="shared" si="341"/>
        <v>5885742.1875</v>
      </c>
      <c r="BY499" s="58">
        <f t="shared" si="335"/>
        <v>5885742.1875</v>
      </c>
      <c r="BZ499" s="58">
        <f t="shared" si="348"/>
        <v>5885742.1875</v>
      </c>
      <c r="CA499" s="58">
        <f t="shared" si="336"/>
        <v>5885742.1875</v>
      </c>
      <c r="CB499" s="58">
        <f t="shared" si="310"/>
        <v>23542968.75</v>
      </c>
      <c r="CC499" s="58">
        <f t="shared" si="311"/>
        <v>5885742.1875</v>
      </c>
      <c r="CD499" s="58">
        <f t="shared" si="337"/>
        <v>5885742.1875</v>
      </c>
      <c r="CE499" s="58">
        <f t="shared" si="337"/>
        <v>5885742.1875</v>
      </c>
      <c r="CF499" s="58">
        <f t="shared" si="337"/>
        <v>5885742.1875</v>
      </c>
      <c r="CG499" s="58">
        <f t="shared" si="312"/>
        <v>23542968.75</v>
      </c>
      <c r="CH499" s="58">
        <f t="shared" si="342"/>
        <v>5885742.1875</v>
      </c>
      <c r="CI499" s="58">
        <f t="shared" si="340"/>
        <v>5885742.1875</v>
      </c>
      <c r="CJ499" s="58">
        <f t="shared" si="340"/>
        <v>5885742.1875</v>
      </c>
      <c r="CK499" s="58">
        <f t="shared" si="340"/>
        <v>5885742.1875</v>
      </c>
      <c r="CL499" s="58">
        <f t="shared" si="343"/>
        <v>23542968.75</v>
      </c>
      <c r="CP499" s="2">
        <f t="shared" si="315"/>
        <v>188343750</v>
      </c>
    </row>
    <row r="500" spans="1:94" hidden="1" x14ac:dyDescent="0.3">
      <c r="A500" s="29">
        <v>495</v>
      </c>
      <c r="B500" s="30" t="s">
        <v>21</v>
      </c>
      <c r="C500" s="30"/>
      <c r="D500" s="30" t="s">
        <v>1041</v>
      </c>
      <c r="E500" s="30" t="s">
        <v>1042</v>
      </c>
      <c r="F500" s="30" t="s">
        <v>1043</v>
      </c>
      <c r="G500" s="30" t="s">
        <v>117</v>
      </c>
      <c r="H500" s="30" t="s">
        <v>1058</v>
      </c>
      <c r="I500" s="30" t="s">
        <v>119</v>
      </c>
      <c r="J500" s="30" t="s">
        <v>1044</v>
      </c>
      <c r="K500" s="30" t="s">
        <v>1044</v>
      </c>
      <c r="L500" s="30" t="s">
        <v>1120</v>
      </c>
      <c r="M500" s="30">
        <v>1006650</v>
      </c>
      <c r="N500" s="30" t="s">
        <v>123</v>
      </c>
      <c r="O500" s="30" t="s">
        <v>1651</v>
      </c>
      <c r="P500" s="30"/>
      <c r="Q500" s="30" t="s">
        <v>1018</v>
      </c>
      <c r="R500" s="30"/>
      <c r="S500" s="30"/>
      <c r="T500" s="30"/>
      <c r="U500" s="30" t="s">
        <v>144</v>
      </c>
      <c r="V500" s="30" t="s">
        <v>437</v>
      </c>
      <c r="W500" s="30"/>
      <c r="X500" s="30"/>
      <c r="Y500" s="30" t="s">
        <v>576</v>
      </c>
      <c r="Z500" s="30" t="s">
        <v>576</v>
      </c>
      <c r="AA500" s="30" t="s">
        <v>129</v>
      </c>
      <c r="AB500" s="30" t="s">
        <v>1132</v>
      </c>
      <c r="AC500" s="30"/>
      <c r="AD500" s="30"/>
      <c r="AE500" s="30"/>
      <c r="AF500" s="30" t="s">
        <v>131</v>
      </c>
      <c r="AG500" s="30" t="s">
        <v>774</v>
      </c>
      <c r="AH500" s="30"/>
      <c r="AI500" s="30"/>
      <c r="AJ500" s="50">
        <v>44316</v>
      </c>
      <c r="AK500" s="50">
        <v>44316</v>
      </c>
      <c r="AL500" s="51">
        <f t="shared" si="320"/>
        <v>4.506849315068493</v>
      </c>
      <c r="AM500" s="30">
        <v>8</v>
      </c>
      <c r="AN500" s="30" t="s">
        <v>1065</v>
      </c>
      <c r="AO500" s="30" t="s">
        <v>1050</v>
      </c>
      <c r="AP500" s="30" t="s">
        <v>1051</v>
      </c>
      <c r="AQ500" s="30">
        <v>0</v>
      </c>
      <c r="AR500" s="30"/>
      <c r="AS500" s="30"/>
      <c r="AT500" s="30"/>
      <c r="AU500" s="74">
        <v>34000000</v>
      </c>
      <c r="AV500" s="54"/>
      <c r="AW500" s="54"/>
      <c r="AX500" s="54"/>
      <c r="AY500" s="54">
        <v>18416669</v>
      </c>
      <c r="AZ500" s="54">
        <v>354167</v>
      </c>
      <c r="BA500" s="74">
        <v>14520830</v>
      </c>
      <c r="BB500" s="55">
        <f>VLOOKUP(M500,[1]Sheet1!$E$6:$F$556,2,FALSE)</f>
        <v>1344133</v>
      </c>
      <c r="BC500" s="74"/>
      <c r="BD500" s="74"/>
      <c r="BE500" s="128">
        <v>43.999952000045177</v>
      </c>
      <c r="BF500" s="30" t="s">
        <v>1134</v>
      </c>
      <c r="BG500" s="30" t="s">
        <v>1117</v>
      </c>
      <c r="BH500" s="30" t="s">
        <v>1054</v>
      </c>
      <c r="BI500" s="30" t="str">
        <f t="shared" si="306"/>
        <v>COF(Assy_FT)</v>
      </c>
      <c r="BJ500" s="30" t="s">
        <v>250</v>
      </c>
      <c r="BK500" s="56">
        <f t="shared" si="321"/>
        <v>15246871.5</v>
      </c>
      <c r="BL500" s="57">
        <f t="shared" si="338"/>
        <v>476464.734375</v>
      </c>
      <c r="BM500" s="57">
        <f t="shared" si="339"/>
        <v>158821.578125</v>
      </c>
      <c r="BU500" s="58">
        <f t="shared" si="346"/>
        <v>476464.734375</v>
      </c>
      <c r="BV500" s="58">
        <f t="shared" si="330"/>
        <v>476464.734375</v>
      </c>
      <c r="BW500" s="58">
        <f t="shared" si="347"/>
        <v>952929.46875</v>
      </c>
      <c r="BX500" s="58">
        <f t="shared" si="341"/>
        <v>476464.734375</v>
      </c>
      <c r="BY500" s="58">
        <f t="shared" si="335"/>
        <v>476464.734375</v>
      </c>
      <c r="BZ500" s="58">
        <f t="shared" si="348"/>
        <v>476464.734375</v>
      </c>
      <c r="CA500" s="58">
        <f t="shared" si="336"/>
        <v>476464.734375</v>
      </c>
      <c r="CB500" s="58">
        <f t="shared" si="310"/>
        <v>1905858.9375</v>
      </c>
      <c r="CC500" s="58">
        <f t="shared" si="311"/>
        <v>476464.734375</v>
      </c>
      <c r="CD500" s="58">
        <f t="shared" si="337"/>
        <v>476464.734375</v>
      </c>
      <c r="CE500" s="58">
        <f t="shared" si="337"/>
        <v>476464.734375</v>
      </c>
      <c r="CF500" s="58">
        <f t="shared" si="337"/>
        <v>476464.734375</v>
      </c>
      <c r="CG500" s="58">
        <f t="shared" si="312"/>
        <v>1905858.9375</v>
      </c>
      <c r="CH500" s="58">
        <f t="shared" si="342"/>
        <v>476464.734375</v>
      </c>
      <c r="CI500" s="58">
        <f t="shared" si="340"/>
        <v>476464.734375</v>
      </c>
      <c r="CJ500" s="58">
        <f t="shared" si="340"/>
        <v>476464.734375</v>
      </c>
      <c r="CK500" s="58">
        <f t="shared" si="340"/>
        <v>476464.734375</v>
      </c>
      <c r="CL500" s="58">
        <f t="shared" si="343"/>
        <v>1905858.9375</v>
      </c>
      <c r="CP500" s="2">
        <f t="shared" si="315"/>
        <v>15246871.5</v>
      </c>
    </row>
    <row r="501" spans="1:94" ht="15" hidden="1" x14ac:dyDescent="0.3">
      <c r="A501" s="29">
        <v>496</v>
      </c>
      <c r="B501" s="30" t="s">
        <v>21</v>
      </c>
      <c r="C501" s="30"/>
      <c r="D501" s="30" t="s">
        <v>1041</v>
      </c>
      <c r="E501" s="30" t="s">
        <v>1042</v>
      </c>
      <c r="F501" s="30" t="s">
        <v>1043</v>
      </c>
      <c r="G501" s="30" t="s">
        <v>117</v>
      </c>
      <c r="H501" s="30" t="s">
        <v>926</v>
      </c>
      <c r="I501" s="30" t="s">
        <v>119</v>
      </c>
      <c r="J501" s="30" t="s">
        <v>1044</v>
      </c>
      <c r="K501" s="30" t="s">
        <v>1044</v>
      </c>
      <c r="L501" s="30" t="s">
        <v>1148</v>
      </c>
      <c r="M501" s="30">
        <v>1006703</v>
      </c>
      <c r="N501" s="30" t="s">
        <v>138</v>
      </c>
      <c r="O501" s="30" t="s">
        <v>1652</v>
      </c>
      <c r="P501" s="30" t="s">
        <v>1653</v>
      </c>
      <c r="Q501" s="30" t="s">
        <v>1654</v>
      </c>
      <c r="R501" s="30"/>
      <c r="S501" s="30" t="s">
        <v>1655</v>
      </c>
      <c r="T501" s="30"/>
      <c r="U501" s="30" t="s">
        <v>144</v>
      </c>
      <c r="V501" s="30" t="s">
        <v>437</v>
      </c>
      <c r="W501" s="30" t="s">
        <v>1656</v>
      </c>
      <c r="X501" s="30"/>
      <c r="Y501" s="30" t="s">
        <v>457</v>
      </c>
      <c r="Z501" s="30" t="s">
        <v>457</v>
      </c>
      <c r="AA501" s="30" t="s">
        <v>129</v>
      </c>
      <c r="AB501" s="127" t="s">
        <v>1657</v>
      </c>
      <c r="AC501" s="30"/>
      <c r="AD501" s="30"/>
      <c r="AE501" s="30"/>
      <c r="AF501" s="30" t="s">
        <v>131</v>
      </c>
      <c r="AG501" s="30" t="s">
        <v>1088</v>
      </c>
      <c r="AH501" s="30"/>
      <c r="AI501" s="30"/>
      <c r="AJ501" s="50">
        <v>44368</v>
      </c>
      <c r="AK501" s="50">
        <v>44368</v>
      </c>
      <c r="AL501" s="51">
        <f t="shared" si="320"/>
        <v>4.3643835616438356</v>
      </c>
      <c r="AM501" s="30">
        <v>8</v>
      </c>
      <c r="AN501" s="30" t="s">
        <v>1065</v>
      </c>
      <c r="AO501" s="30" t="s">
        <v>1050</v>
      </c>
      <c r="AP501" s="30" t="s">
        <v>1051</v>
      </c>
      <c r="AQ501" s="30">
        <v>2.11</v>
      </c>
      <c r="AR501" s="30">
        <v>1760</v>
      </c>
      <c r="AS501" s="30">
        <v>700</v>
      </c>
      <c r="AT501" s="30">
        <v>1695</v>
      </c>
      <c r="AU501" s="74">
        <v>34000000</v>
      </c>
      <c r="AV501" s="54"/>
      <c r="AW501" s="54"/>
      <c r="AX501" s="54"/>
      <c r="AY501" s="54">
        <v>17708335</v>
      </c>
      <c r="AZ501" s="54">
        <v>354167</v>
      </c>
      <c r="BA501" s="74">
        <v>15229164</v>
      </c>
      <c r="BB501" s="55">
        <f>VLOOKUP(M501,[1]Sheet1!$E$6:$F$556,2,FALSE)</f>
        <v>1418807</v>
      </c>
      <c r="BC501" s="74"/>
      <c r="BD501" s="74"/>
      <c r="BE501" s="128">
        <v>45.999952000045177</v>
      </c>
      <c r="BF501" s="30" t="s">
        <v>1134</v>
      </c>
      <c r="BG501" s="30" t="s">
        <v>1155</v>
      </c>
      <c r="BH501" s="30" t="s">
        <v>1054</v>
      </c>
      <c r="BI501" s="30" t="str">
        <f t="shared" si="306"/>
        <v>COF(Assy_FT)</v>
      </c>
      <c r="BJ501" s="30" t="s">
        <v>250</v>
      </c>
      <c r="BK501" s="56">
        <f t="shared" si="321"/>
        <v>15990622.200000001</v>
      </c>
      <c r="BL501" s="57">
        <f t="shared" si="338"/>
        <v>499706.94375000003</v>
      </c>
      <c r="BM501" s="57">
        <f t="shared" si="339"/>
        <v>166568.98125000001</v>
      </c>
      <c r="BU501" s="58">
        <f t="shared" si="346"/>
        <v>499706.94375000003</v>
      </c>
      <c r="BV501" s="58">
        <f t="shared" ref="BV501:BV538" si="349">BU501</f>
        <v>499706.94375000003</v>
      </c>
      <c r="BW501" s="58">
        <f t="shared" si="347"/>
        <v>999413.88750000007</v>
      </c>
      <c r="BX501" s="58">
        <f t="shared" si="341"/>
        <v>499706.94375000003</v>
      </c>
      <c r="BY501" s="58">
        <f t="shared" si="335"/>
        <v>499706.94375000003</v>
      </c>
      <c r="BZ501" s="58">
        <f t="shared" si="348"/>
        <v>499706.94375000003</v>
      </c>
      <c r="CA501" s="58">
        <f t="shared" si="336"/>
        <v>499706.94375000003</v>
      </c>
      <c r="CB501" s="58">
        <f t="shared" si="310"/>
        <v>1998827.7750000001</v>
      </c>
      <c r="CC501" s="58">
        <f t="shared" si="311"/>
        <v>499706.94375000003</v>
      </c>
      <c r="CD501" s="58">
        <f t="shared" si="337"/>
        <v>499706.94375000003</v>
      </c>
      <c r="CE501" s="58">
        <f t="shared" si="337"/>
        <v>499706.94375000003</v>
      </c>
      <c r="CF501" s="58">
        <f t="shared" si="337"/>
        <v>499706.94375000003</v>
      </c>
      <c r="CG501" s="58">
        <f t="shared" si="312"/>
        <v>1998827.7750000001</v>
      </c>
      <c r="CH501" s="58">
        <f t="shared" si="342"/>
        <v>499706.94375000003</v>
      </c>
      <c r="CI501" s="58">
        <f t="shared" si="340"/>
        <v>499706.94375000003</v>
      </c>
      <c r="CJ501" s="58">
        <f t="shared" si="340"/>
        <v>499706.94375000003</v>
      </c>
      <c r="CK501" s="58">
        <f t="shared" si="340"/>
        <v>499706.94375000003</v>
      </c>
      <c r="CL501" s="58">
        <f t="shared" si="343"/>
        <v>1998827.7750000001</v>
      </c>
      <c r="CP501" s="2">
        <f t="shared" si="315"/>
        <v>15990622.200000001</v>
      </c>
    </row>
    <row r="502" spans="1:94" hidden="1" x14ac:dyDescent="0.3">
      <c r="A502" s="29">
        <v>497</v>
      </c>
      <c r="B502" s="30" t="s">
        <v>21</v>
      </c>
      <c r="C502" s="30"/>
      <c r="D502" s="30" t="s">
        <v>1041</v>
      </c>
      <c r="E502" s="30" t="s">
        <v>1042</v>
      </c>
      <c r="F502" s="30" t="s">
        <v>1043</v>
      </c>
      <c r="G502" s="30" t="s">
        <v>117</v>
      </c>
      <c r="H502" s="30" t="s">
        <v>1058</v>
      </c>
      <c r="I502" s="30" t="s">
        <v>119</v>
      </c>
      <c r="J502" s="30" t="s">
        <v>1044</v>
      </c>
      <c r="K502" s="30" t="s">
        <v>1044</v>
      </c>
      <c r="L502" s="30" t="s">
        <v>1130</v>
      </c>
      <c r="M502" s="30">
        <v>1006987</v>
      </c>
      <c r="N502" s="30" t="s">
        <v>138</v>
      </c>
      <c r="O502" s="30" t="s">
        <v>1658</v>
      </c>
      <c r="P502" s="30" t="s">
        <v>1179</v>
      </c>
      <c r="Q502" s="30" t="s">
        <v>1179</v>
      </c>
      <c r="R502" s="30" t="s">
        <v>1463</v>
      </c>
      <c r="S502" s="30" t="s">
        <v>1659</v>
      </c>
      <c r="T502" s="30" t="s">
        <v>1183</v>
      </c>
      <c r="U502" s="30" t="s">
        <v>144</v>
      </c>
      <c r="V502" s="30" t="s">
        <v>600</v>
      </c>
      <c r="W502" s="30" t="s">
        <v>1184</v>
      </c>
      <c r="X502" s="30"/>
      <c r="Y502" s="30" t="s">
        <v>457</v>
      </c>
      <c r="Z502" s="30" t="s">
        <v>457</v>
      </c>
      <c r="AA502" s="30" t="s">
        <v>148</v>
      </c>
      <c r="AB502" s="30" t="s">
        <v>1185</v>
      </c>
      <c r="AC502" s="30" t="s">
        <v>1185</v>
      </c>
      <c r="AD502" s="30"/>
      <c r="AE502" s="30"/>
      <c r="AF502" s="30" t="s">
        <v>593</v>
      </c>
      <c r="AG502" s="30" t="s">
        <v>774</v>
      </c>
      <c r="AH502" s="30" t="s">
        <v>1186</v>
      </c>
      <c r="AI502" s="30"/>
      <c r="AJ502" s="50">
        <v>44747</v>
      </c>
      <c r="AK502" s="50">
        <v>44747</v>
      </c>
      <c r="AL502" s="51">
        <f t="shared" si="320"/>
        <v>3.3260273972602739</v>
      </c>
      <c r="AM502" s="30">
        <v>8</v>
      </c>
      <c r="AN502" s="30" t="s">
        <v>1065</v>
      </c>
      <c r="AO502" s="30" t="s">
        <v>1050</v>
      </c>
      <c r="AP502" s="30" t="s">
        <v>1187</v>
      </c>
      <c r="AQ502" s="30">
        <v>3.6</v>
      </c>
      <c r="AR502" s="30">
        <v>2820</v>
      </c>
      <c r="AS502" s="30">
        <v>1154</v>
      </c>
      <c r="AT502" s="30">
        <v>2020</v>
      </c>
      <c r="AU502" s="74">
        <v>404705919</v>
      </c>
      <c r="AV502" s="54"/>
      <c r="AW502" s="54"/>
      <c r="AX502" s="54"/>
      <c r="AY502" s="54">
        <v>155584574</v>
      </c>
      <c r="AZ502" s="54">
        <v>4215687</v>
      </c>
      <c r="BA502" s="74">
        <v>236474284</v>
      </c>
      <c r="BB502" s="55">
        <f>VLOOKUP(M502,[1]Sheet1!$E$6:$F$556,2,FALSE)</f>
        <v>22705176</v>
      </c>
      <c r="BC502" s="74"/>
      <c r="BD502" s="74"/>
      <c r="BE502" s="128">
        <v>59.093890272214232</v>
      </c>
      <c r="BF502" s="30" t="s">
        <v>1134</v>
      </c>
      <c r="BG502" s="30" t="s">
        <v>1074</v>
      </c>
      <c r="BH502" s="30" t="s">
        <v>1054</v>
      </c>
      <c r="BI502" s="30" t="str">
        <f t="shared" si="306"/>
        <v>COF(Assy_FT)</v>
      </c>
      <c r="BJ502" s="30" t="s">
        <v>250</v>
      </c>
      <c r="BK502" s="56">
        <f t="shared" si="321"/>
        <v>248297998.20000002</v>
      </c>
      <c r="BL502" s="57">
        <f t="shared" si="338"/>
        <v>7759312.4437500006</v>
      </c>
      <c r="BM502" s="57">
        <f t="shared" si="339"/>
        <v>2586437.4812500002</v>
      </c>
      <c r="BU502" s="58">
        <f t="shared" si="346"/>
        <v>7759312.4437500006</v>
      </c>
      <c r="BV502" s="58">
        <f t="shared" si="349"/>
        <v>7759312.4437500006</v>
      </c>
      <c r="BW502" s="58">
        <f t="shared" si="347"/>
        <v>15518624.887500001</v>
      </c>
      <c r="BX502" s="58">
        <f t="shared" si="341"/>
        <v>7759312.4437500006</v>
      </c>
      <c r="BY502" s="58">
        <f t="shared" si="335"/>
        <v>7759312.4437500006</v>
      </c>
      <c r="BZ502" s="58">
        <f t="shared" si="348"/>
        <v>7759312.4437500006</v>
      </c>
      <c r="CA502" s="58">
        <f t="shared" si="336"/>
        <v>7759312.4437500006</v>
      </c>
      <c r="CB502" s="58">
        <f t="shared" si="310"/>
        <v>31037249.775000002</v>
      </c>
      <c r="CC502" s="58">
        <f t="shared" si="311"/>
        <v>7759312.4437500006</v>
      </c>
      <c r="CD502" s="58">
        <f t="shared" si="337"/>
        <v>7759312.4437500006</v>
      </c>
      <c r="CE502" s="58">
        <f t="shared" si="337"/>
        <v>7759312.4437500006</v>
      </c>
      <c r="CF502" s="58">
        <f t="shared" si="337"/>
        <v>7759312.4437500006</v>
      </c>
      <c r="CG502" s="58">
        <f t="shared" si="312"/>
        <v>31037249.775000002</v>
      </c>
      <c r="CH502" s="58">
        <f t="shared" si="342"/>
        <v>7759312.4437500006</v>
      </c>
      <c r="CI502" s="58">
        <f t="shared" si="340"/>
        <v>7759312.4437500006</v>
      </c>
      <c r="CJ502" s="58">
        <f t="shared" si="340"/>
        <v>7759312.4437500006</v>
      </c>
      <c r="CK502" s="58">
        <f t="shared" si="340"/>
        <v>7759312.4437500006</v>
      </c>
      <c r="CL502" s="58">
        <f t="shared" si="343"/>
        <v>31037249.775000002</v>
      </c>
      <c r="CP502" s="2">
        <f t="shared" si="315"/>
        <v>248297998.20000002</v>
      </c>
    </row>
    <row r="503" spans="1:94" hidden="1" x14ac:dyDescent="0.3">
      <c r="A503" s="29">
        <v>498</v>
      </c>
      <c r="B503" s="30" t="s">
        <v>21</v>
      </c>
      <c r="C503" s="30"/>
      <c r="D503" s="30" t="s">
        <v>1041</v>
      </c>
      <c r="E503" s="30" t="s">
        <v>1042</v>
      </c>
      <c r="F503" s="30" t="s">
        <v>1043</v>
      </c>
      <c r="G503" s="30" t="s">
        <v>117</v>
      </c>
      <c r="H503" s="30" t="s">
        <v>1058</v>
      </c>
      <c r="I503" s="30" t="s">
        <v>119</v>
      </c>
      <c r="J503" s="30" t="s">
        <v>1044</v>
      </c>
      <c r="K503" s="30" t="s">
        <v>1044</v>
      </c>
      <c r="L503" s="30" t="s">
        <v>1130</v>
      </c>
      <c r="M503" s="30">
        <v>1006973</v>
      </c>
      <c r="N503" s="30" t="s">
        <v>138</v>
      </c>
      <c r="O503" s="30" t="s">
        <v>1660</v>
      </c>
      <c r="P503" s="30" t="s">
        <v>1179</v>
      </c>
      <c r="Q503" s="30" t="s">
        <v>1179</v>
      </c>
      <c r="R503" s="30" t="s">
        <v>1463</v>
      </c>
      <c r="S503" s="30" t="s">
        <v>1661</v>
      </c>
      <c r="T503" s="30" t="s">
        <v>1183</v>
      </c>
      <c r="U503" s="30" t="s">
        <v>144</v>
      </c>
      <c r="V503" s="30" t="s">
        <v>600</v>
      </c>
      <c r="W503" s="30" t="s">
        <v>1184</v>
      </c>
      <c r="X503" s="30"/>
      <c r="Y503" s="30" t="s">
        <v>457</v>
      </c>
      <c r="Z503" s="30" t="s">
        <v>457</v>
      </c>
      <c r="AA503" s="30" t="s">
        <v>148</v>
      </c>
      <c r="AB503" s="30" t="s">
        <v>1185</v>
      </c>
      <c r="AC503" s="30" t="s">
        <v>1185</v>
      </c>
      <c r="AD503" s="30"/>
      <c r="AE503" s="30"/>
      <c r="AF503" s="30" t="s">
        <v>593</v>
      </c>
      <c r="AG503" s="30" t="s">
        <v>774</v>
      </c>
      <c r="AH503" s="30" t="s">
        <v>1186</v>
      </c>
      <c r="AI503" s="30"/>
      <c r="AJ503" s="50">
        <v>44742</v>
      </c>
      <c r="AK503" s="50">
        <v>44742</v>
      </c>
      <c r="AL503" s="51">
        <f t="shared" si="320"/>
        <v>3.3397260273972602</v>
      </c>
      <c r="AM503" s="30">
        <v>8</v>
      </c>
      <c r="AN503" s="30" t="s">
        <v>1065</v>
      </c>
      <c r="AO503" s="30" t="s">
        <v>1050</v>
      </c>
      <c r="AP503" s="30" t="s">
        <v>1187</v>
      </c>
      <c r="AQ503" s="30">
        <v>3.6</v>
      </c>
      <c r="AR503" s="30">
        <v>2820</v>
      </c>
      <c r="AS503" s="30">
        <v>1154</v>
      </c>
      <c r="AT503" s="30">
        <v>2020</v>
      </c>
      <c r="AU503" s="74">
        <v>405648490</v>
      </c>
      <c r="AV503" s="54"/>
      <c r="AW503" s="54"/>
      <c r="AX503" s="54"/>
      <c r="AY503" s="54">
        <v>160569192</v>
      </c>
      <c r="AZ503" s="54">
        <v>4225505</v>
      </c>
      <c r="BA503" s="74">
        <v>232402783</v>
      </c>
      <c r="BB503" s="55">
        <f>VLOOKUP(M503,[1]Sheet1!$E$6:$F$556,2,FALSE)</f>
        <v>22273093</v>
      </c>
      <c r="BC503" s="74"/>
      <c r="BD503" s="74"/>
      <c r="BE503" s="128">
        <v>58.00000189326483</v>
      </c>
      <c r="BF503" s="30" t="s">
        <v>1134</v>
      </c>
      <c r="BG503" s="30" t="s">
        <v>1074</v>
      </c>
      <c r="BH503" s="30" t="s">
        <v>1054</v>
      </c>
      <c r="BI503" s="30" t="str">
        <f t="shared" si="306"/>
        <v>COF(Assy_FT)</v>
      </c>
      <c r="BJ503" s="30" t="s">
        <v>250</v>
      </c>
      <c r="BK503" s="56">
        <f t="shared" si="321"/>
        <v>244022922.15000001</v>
      </c>
      <c r="BL503" s="57">
        <f t="shared" si="338"/>
        <v>7625716.3171875002</v>
      </c>
      <c r="BM503" s="57">
        <f t="shared" si="339"/>
        <v>2541905.4390624999</v>
      </c>
      <c r="BU503" s="58">
        <f t="shared" si="346"/>
        <v>7625716.3171874993</v>
      </c>
      <c r="BV503" s="58">
        <f t="shared" si="349"/>
        <v>7625716.3171874993</v>
      </c>
      <c r="BW503" s="58">
        <f t="shared" si="347"/>
        <v>15251432.634374999</v>
      </c>
      <c r="BX503" s="58">
        <f t="shared" si="341"/>
        <v>7625716.3171874993</v>
      </c>
      <c r="BY503" s="58">
        <f t="shared" ref="BY503:CA561" si="350">BX503</f>
        <v>7625716.3171874993</v>
      </c>
      <c r="BZ503" s="58">
        <f t="shared" si="348"/>
        <v>7625716.3171874993</v>
      </c>
      <c r="CA503" s="58">
        <f t="shared" si="336"/>
        <v>7625716.3171874993</v>
      </c>
      <c r="CB503" s="58">
        <f t="shared" si="310"/>
        <v>30502865.268749997</v>
      </c>
      <c r="CC503" s="58">
        <f t="shared" si="311"/>
        <v>7625716.3171874993</v>
      </c>
      <c r="CD503" s="58">
        <f t="shared" si="337"/>
        <v>7625716.3171874993</v>
      </c>
      <c r="CE503" s="58">
        <f t="shared" si="337"/>
        <v>7625716.3171874993</v>
      </c>
      <c r="CF503" s="58">
        <f t="shared" si="337"/>
        <v>7625716.3171874993</v>
      </c>
      <c r="CG503" s="58">
        <f t="shared" si="312"/>
        <v>30502865.268749997</v>
      </c>
      <c r="CH503" s="58">
        <f t="shared" si="342"/>
        <v>7625716.3171874993</v>
      </c>
      <c r="CI503" s="58">
        <f t="shared" si="340"/>
        <v>7625716.3171874993</v>
      </c>
      <c r="CJ503" s="58">
        <f t="shared" si="340"/>
        <v>7625716.3171874993</v>
      </c>
      <c r="CK503" s="58">
        <f t="shared" si="340"/>
        <v>7625716.3171874993</v>
      </c>
      <c r="CL503" s="58">
        <f t="shared" si="343"/>
        <v>30502865.268749997</v>
      </c>
      <c r="CP503" s="2">
        <f t="shared" si="315"/>
        <v>244022922.15000001</v>
      </c>
    </row>
    <row r="504" spans="1:94" hidden="1" x14ac:dyDescent="0.3">
      <c r="A504" s="29">
        <v>499</v>
      </c>
      <c r="B504" s="30" t="s">
        <v>21</v>
      </c>
      <c r="C504" s="30"/>
      <c r="D504" s="30" t="s">
        <v>1041</v>
      </c>
      <c r="E504" s="30" t="s">
        <v>1042</v>
      </c>
      <c r="F504" s="30" t="s">
        <v>1043</v>
      </c>
      <c r="G504" s="30" t="s">
        <v>117</v>
      </c>
      <c r="H504" s="30" t="s">
        <v>1058</v>
      </c>
      <c r="I504" s="30" t="s">
        <v>119</v>
      </c>
      <c r="J504" s="30" t="s">
        <v>1044</v>
      </c>
      <c r="K504" s="30" t="s">
        <v>1044</v>
      </c>
      <c r="L504" s="30" t="s">
        <v>1130</v>
      </c>
      <c r="M504" s="30">
        <v>1006970</v>
      </c>
      <c r="N504" s="30" t="s">
        <v>138</v>
      </c>
      <c r="O504" s="30" t="s">
        <v>1662</v>
      </c>
      <c r="P504" s="30" t="s">
        <v>1179</v>
      </c>
      <c r="Q504" s="30" t="s">
        <v>1179</v>
      </c>
      <c r="R504" s="30" t="s">
        <v>1463</v>
      </c>
      <c r="S504" s="30" t="s">
        <v>1663</v>
      </c>
      <c r="T504" s="30" t="s">
        <v>1183</v>
      </c>
      <c r="U504" s="30" t="s">
        <v>144</v>
      </c>
      <c r="V504" s="30" t="s">
        <v>600</v>
      </c>
      <c r="W504" s="30" t="s">
        <v>1184</v>
      </c>
      <c r="X504" s="30"/>
      <c r="Y504" s="30" t="s">
        <v>457</v>
      </c>
      <c r="Z504" s="30" t="s">
        <v>457</v>
      </c>
      <c r="AA504" s="30" t="s">
        <v>148</v>
      </c>
      <c r="AB504" s="30" t="s">
        <v>1185</v>
      </c>
      <c r="AC504" s="30" t="s">
        <v>1185</v>
      </c>
      <c r="AD504" s="30"/>
      <c r="AE504" s="30"/>
      <c r="AF504" s="30" t="s">
        <v>593</v>
      </c>
      <c r="AG504" s="30" t="s">
        <v>774</v>
      </c>
      <c r="AH504" s="30" t="s">
        <v>1186</v>
      </c>
      <c r="AI504" s="30"/>
      <c r="AJ504" s="50">
        <v>44715</v>
      </c>
      <c r="AK504" s="50">
        <v>44715</v>
      </c>
      <c r="AL504" s="51">
        <f t="shared" si="320"/>
        <v>3.4136986301369863</v>
      </c>
      <c r="AM504" s="30">
        <v>8</v>
      </c>
      <c r="AN504" s="30" t="s">
        <v>1065</v>
      </c>
      <c r="AO504" s="30" t="s">
        <v>1050</v>
      </c>
      <c r="AP504" s="30" t="s">
        <v>1187</v>
      </c>
      <c r="AQ504" s="30">
        <v>3.6</v>
      </c>
      <c r="AR504" s="30">
        <v>2820</v>
      </c>
      <c r="AS504" s="30">
        <v>1154</v>
      </c>
      <c r="AT504" s="30">
        <v>2020</v>
      </c>
      <c r="AU504" s="74">
        <v>419940320</v>
      </c>
      <c r="AV504" s="54"/>
      <c r="AW504" s="54"/>
      <c r="AX504" s="54"/>
      <c r="AY504" s="54">
        <v>166226372</v>
      </c>
      <c r="AZ504" s="54">
        <v>4374378</v>
      </c>
      <c r="BA504" s="74">
        <v>240590814</v>
      </c>
      <c r="BB504" s="55">
        <f>VLOOKUP(M504,[1]Sheet1!$E$6:$F$556,2,FALSE)</f>
        <v>23057822</v>
      </c>
      <c r="BC504" s="74"/>
      <c r="BD504" s="74"/>
      <c r="BE504" s="128">
        <v>58.00000548649431</v>
      </c>
      <c r="BF504" s="30" t="s">
        <v>1134</v>
      </c>
      <c r="BG504" s="30" t="s">
        <v>1074</v>
      </c>
      <c r="BH504" s="30" t="s">
        <v>1054</v>
      </c>
      <c r="BI504" s="30" t="str">
        <f t="shared" si="306"/>
        <v>COF(Assy_FT)</v>
      </c>
      <c r="BJ504" s="30" t="s">
        <v>250</v>
      </c>
      <c r="BK504" s="56">
        <f t="shared" si="321"/>
        <v>252620354.70000002</v>
      </c>
      <c r="BL504" s="57">
        <f t="shared" si="338"/>
        <v>7894386.0843750006</v>
      </c>
      <c r="BM504" s="57">
        <f t="shared" si="339"/>
        <v>2631462.0281250002</v>
      </c>
      <c r="BU504" s="58">
        <f t="shared" si="346"/>
        <v>7894386.0843750006</v>
      </c>
      <c r="BV504" s="58">
        <f t="shared" si="349"/>
        <v>7894386.0843750006</v>
      </c>
      <c r="BW504" s="58">
        <f t="shared" si="347"/>
        <v>15788772.168750001</v>
      </c>
      <c r="BX504" s="58">
        <f t="shared" si="341"/>
        <v>7894386.0843750006</v>
      </c>
      <c r="BY504" s="58">
        <f t="shared" si="350"/>
        <v>7894386.0843750006</v>
      </c>
      <c r="BZ504" s="58">
        <f t="shared" si="348"/>
        <v>7894386.0843750006</v>
      </c>
      <c r="CA504" s="58">
        <f t="shared" si="336"/>
        <v>7894386.0843750006</v>
      </c>
      <c r="CB504" s="58">
        <f t="shared" si="310"/>
        <v>31577544.337500002</v>
      </c>
      <c r="CC504" s="58">
        <f t="shared" si="311"/>
        <v>7894386.0843750006</v>
      </c>
      <c r="CD504" s="58">
        <f t="shared" si="337"/>
        <v>7894386.0843750006</v>
      </c>
      <c r="CE504" s="58">
        <f t="shared" si="337"/>
        <v>7894386.0843750006</v>
      </c>
      <c r="CF504" s="58">
        <f t="shared" si="337"/>
        <v>7894386.0843750006</v>
      </c>
      <c r="CG504" s="58">
        <f t="shared" si="312"/>
        <v>31577544.337500002</v>
      </c>
      <c r="CH504" s="58">
        <f t="shared" si="342"/>
        <v>7894386.0843750006</v>
      </c>
      <c r="CI504" s="58">
        <f t="shared" si="340"/>
        <v>7894386.0843750006</v>
      </c>
      <c r="CJ504" s="58">
        <f t="shared" si="340"/>
        <v>7894386.0843750006</v>
      </c>
      <c r="CK504" s="58">
        <f t="shared" si="340"/>
        <v>7894386.0843750006</v>
      </c>
      <c r="CL504" s="58">
        <f t="shared" si="343"/>
        <v>31577544.337500002</v>
      </c>
      <c r="CP504" s="2">
        <f t="shared" si="315"/>
        <v>252620354.70000002</v>
      </c>
    </row>
    <row r="505" spans="1:94" hidden="1" x14ac:dyDescent="0.3">
      <c r="A505" s="29">
        <v>500</v>
      </c>
      <c r="B505" s="30" t="s">
        <v>21</v>
      </c>
      <c r="C505" s="30"/>
      <c r="D505" s="30" t="s">
        <v>1041</v>
      </c>
      <c r="E505" s="30" t="s">
        <v>1042</v>
      </c>
      <c r="F505" s="30" t="s">
        <v>1043</v>
      </c>
      <c r="G505" s="30" t="s">
        <v>117</v>
      </c>
      <c r="H505" s="30" t="s">
        <v>1058</v>
      </c>
      <c r="I505" s="30" t="s">
        <v>119</v>
      </c>
      <c r="J505" s="30" t="s">
        <v>1044</v>
      </c>
      <c r="K505" s="30" t="s">
        <v>1044</v>
      </c>
      <c r="L505" s="30" t="s">
        <v>1130</v>
      </c>
      <c r="M505" s="30">
        <v>1006964</v>
      </c>
      <c r="N505" s="30" t="s">
        <v>138</v>
      </c>
      <c r="O505" s="30" t="s">
        <v>1664</v>
      </c>
      <c r="P505" s="30" t="s">
        <v>1179</v>
      </c>
      <c r="Q505" s="30" t="s">
        <v>1179</v>
      </c>
      <c r="R505" s="30" t="s">
        <v>1463</v>
      </c>
      <c r="S505" s="30" t="s">
        <v>1665</v>
      </c>
      <c r="T505" s="30" t="s">
        <v>1183</v>
      </c>
      <c r="U505" s="30" t="s">
        <v>144</v>
      </c>
      <c r="V505" s="30" t="s">
        <v>600</v>
      </c>
      <c r="W505" s="30" t="s">
        <v>1184</v>
      </c>
      <c r="X505" s="30"/>
      <c r="Y505" s="30" t="s">
        <v>457</v>
      </c>
      <c r="Z505" s="30" t="s">
        <v>457</v>
      </c>
      <c r="AA505" s="30" t="s">
        <v>148</v>
      </c>
      <c r="AB505" s="30" t="s">
        <v>1185</v>
      </c>
      <c r="AC505" s="30" t="s">
        <v>1185</v>
      </c>
      <c r="AD505" s="30"/>
      <c r="AE505" s="30"/>
      <c r="AF505" s="30" t="s">
        <v>593</v>
      </c>
      <c r="AG505" s="30" t="s">
        <v>774</v>
      </c>
      <c r="AH505" s="30" t="s">
        <v>1186</v>
      </c>
      <c r="AI505" s="30"/>
      <c r="AJ505" s="50">
        <v>44715</v>
      </c>
      <c r="AK505" s="50">
        <v>44715</v>
      </c>
      <c r="AL505" s="51">
        <f t="shared" si="320"/>
        <v>3.4136986301369863</v>
      </c>
      <c r="AM505" s="30">
        <v>8</v>
      </c>
      <c r="AN505" s="30" t="s">
        <v>1065</v>
      </c>
      <c r="AO505" s="30" t="s">
        <v>1050</v>
      </c>
      <c r="AP505" s="30" t="s">
        <v>1187</v>
      </c>
      <c r="AQ505" s="30">
        <v>3.6</v>
      </c>
      <c r="AR505" s="30">
        <v>2820</v>
      </c>
      <c r="AS505" s="30">
        <v>1154</v>
      </c>
      <c r="AT505" s="30">
        <v>2020</v>
      </c>
      <c r="AU505" s="74">
        <v>419940320</v>
      </c>
      <c r="AV505" s="54"/>
      <c r="AW505" s="54"/>
      <c r="AX505" s="54"/>
      <c r="AY505" s="54">
        <v>166226372</v>
      </c>
      <c r="AZ505" s="54">
        <v>4374378</v>
      </c>
      <c r="BA505" s="74">
        <v>240590814</v>
      </c>
      <c r="BB505" s="55">
        <f>VLOOKUP(M505,[1]Sheet1!$E$6:$F$556,2,FALSE)</f>
        <v>23057822</v>
      </c>
      <c r="BC505" s="74"/>
      <c r="BD505" s="74"/>
      <c r="BE505" s="128">
        <v>58.00000548649431</v>
      </c>
      <c r="BF505" s="30" t="s">
        <v>1134</v>
      </c>
      <c r="BG505" s="30" t="s">
        <v>1074</v>
      </c>
      <c r="BH505" s="30" t="s">
        <v>1054</v>
      </c>
      <c r="BI505" s="30" t="str">
        <f t="shared" si="306"/>
        <v>COF(Assy_FT)</v>
      </c>
      <c r="BJ505" s="30" t="s">
        <v>250</v>
      </c>
      <c r="BK505" s="56">
        <f t="shared" si="321"/>
        <v>252620354.70000002</v>
      </c>
      <c r="BL505" s="57">
        <f t="shared" si="338"/>
        <v>7894386.0843750006</v>
      </c>
      <c r="BM505" s="57">
        <f t="shared" si="339"/>
        <v>2631462.0281250002</v>
      </c>
      <c r="BU505" s="58">
        <f t="shared" si="346"/>
        <v>7894386.0843750006</v>
      </c>
      <c r="BV505" s="58">
        <f t="shared" si="349"/>
        <v>7894386.0843750006</v>
      </c>
      <c r="BW505" s="58">
        <f t="shared" si="347"/>
        <v>15788772.168750001</v>
      </c>
      <c r="BX505" s="58">
        <f t="shared" si="341"/>
        <v>7894386.0843750006</v>
      </c>
      <c r="BY505" s="58">
        <f t="shared" si="350"/>
        <v>7894386.0843750006</v>
      </c>
      <c r="BZ505" s="58">
        <f t="shared" si="348"/>
        <v>7894386.0843750006</v>
      </c>
      <c r="CA505" s="58">
        <f t="shared" si="336"/>
        <v>7894386.0843750006</v>
      </c>
      <c r="CB505" s="58">
        <f t="shared" si="310"/>
        <v>31577544.337500002</v>
      </c>
      <c r="CC505" s="58">
        <f t="shared" si="311"/>
        <v>7894386.0843750006</v>
      </c>
      <c r="CD505" s="58">
        <f t="shared" si="337"/>
        <v>7894386.0843750006</v>
      </c>
      <c r="CE505" s="58">
        <f t="shared" si="337"/>
        <v>7894386.0843750006</v>
      </c>
      <c r="CF505" s="58">
        <f t="shared" si="337"/>
        <v>7894386.0843750006</v>
      </c>
      <c r="CG505" s="58">
        <f t="shared" si="312"/>
        <v>31577544.337500002</v>
      </c>
      <c r="CH505" s="58">
        <f t="shared" si="342"/>
        <v>7894386.0843750006</v>
      </c>
      <c r="CI505" s="58">
        <f t="shared" si="340"/>
        <v>7894386.0843750006</v>
      </c>
      <c r="CJ505" s="58">
        <f t="shared" si="340"/>
        <v>7894386.0843750006</v>
      </c>
      <c r="CK505" s="58">
        <f t="shared" si="340"/>
        <v>7894386.0843750006</v>
      </c>
      <c r="CL505" s="58">
        <f t="shared" si="343"/>
        <v>31577544.337500002</v>
      </c>
      <c r="CP505" s="2">
        <f t="shared" si="315"/>
        <v>252620354.70000002</v>
      </c>
    </row>
    <row r="506" spans="1:94" hidden="1" x14ac:dyDescent="0.3">
      <c r="A506" s="29">
        <v>501</v>
      </c>
      <c r="B506" s="30" t="s">
        <v>21</v>
      </c>
      <c r="C506" s="30"/>
      <c r="D506" s="30" t="s">
        <v>1041</v>
      </c>
      <c r="E506" s="30" t="s">
        <v>1042</v>
      </c>
      <c r="F506" s="30" t="s">
        <v>1043</v>
      </c>
      <c r="G506" s="30" t="s">
        <v>117</v>
      </c>
      <c r="H506" s="30" t="s">
        <v>1058</v>
      </c>
      <c r="I506" s="30" t="s">
        <v>119</v>
      </c>
      <c r="J506" s="30" t="s">
        <v>1044</v>
      </c>
      <c r="K506" s="30" t="s">
        <v>1044</v>
      </c>
      <c r="L506" s="30" t="s">
        <v>1526</v>
      </c>
      <c r="M506" s="30">
        <v>1006751</v>
      </c>
      <c r="N506" s="30" t="s">
        <v>138</v>
      </c>
      <c r="O506" s="30" t="s">
        <v>1666</v>
      </c>
      <c r="P506" s="30" t="s">
        <v>1179</v>
      </c>
      <c r="Q506" s="30" t="s">
        <v>1179</v>
      </c>
      <c r="R506" s="30"/>
      <c r="S506" s="30" t="s">
        <v>1667</v>
      </c>
      <c r="T506" s="30"/>
      <c r="U506" s="30" t="s">
        <v>144</v>
      </c>
      <c r="V506" s="30" t="s">
        <v>1530</v>
      </c>
      <c r="W506" s="30" t="s">
        <v>1531</v>
      </c>
      <c r="X506" s="30"/>
      <c r="Y506" s="30" t="s">
        <v>457</v>
      </c>
      <c r="Z506" s="30" t="s">
        <v>457</v>
      </c>
      <c r="AA506" s="30" t="s">
        <v>129</v>
      </c>
      <c r="AB506" s="30" t="s">
        <v>1532</v>
      </c>
      <c r="AC506" s="30" t="s">
        <v>1532</v>
      </c>
      <c r="AD506" s="30"/>
      <c r="AE506" s="30"/>
      <c r="AF506" s="30" t="s">
        <v>131</v>
      </c>
      <c r="AG506" s="30" t="s">
        <v>774</v>
      </c>
      <c r="AH506" s="30" t="s">
        <v>1186</v>
      </c>
      <c r="AI506" s="30"/>
      <c r="AJ506" s="50">
        <v>44441</v>
      </c>
      <c r="AK506" s="50">
        <v>44441</v>
      </c>
      <c r="AL506" s="51">
        <f t="shared" si="320"/>
        <v>4.1643835616438354</v>
      </c>
      <c r="AM506" s="30">
        <v>8</v>
      </c>
      <c r="AN506" s="30" t="s">
        <v>1065</v>
      </c>
      <c r="AO506" s="30" t="s">
        <v>1050</v>
      </c>
      <c r="AP506" s="30" t="s">
        <v>1187</v>
      </c>
      <c r="AQ506" s="30">
        <v>4.22</v>
      </c>
      <c r="AR506" s="30">
        <v>2812</v>
      </c>
      <c r="AS506" s="30">
        <v>1208</v>
      </c>
      <c r="AT506" s="30">
        <v>2208</v>
      </c>
      <c r="AU506" s="74">
        <v>335972462</v>
      </c>
      <c r="AV506" s="54"/>
      <c r="AW506" s="54"/>
      <c r="AX506" s="54"/>
      <c r="AY506" s="54">
        <v>164486514</v>
      </c>
      <c r="AZ506" s="54">
        <v>3499713</v>
      </c>
      <c r="BA506" s="74">
        <v>160986809</v>
      </c>
      <c r="BB506" s="55">
        <f>VLOOKUP(M506,[1]Sheet1!$E$6:$F$556,2,FALSE)</f>
        <v>15126841</v>
      </c>
      <c r="BC506" s="74"/>
      <c r="BD506" s="74"/>
      <c r="BE506" s="128">
        <v>49.000003143114881</v>
      </c>
      <c r="BF506" s="30" t="s">
        <v>1134</v>
      </c>
      <c r="BG506" s="30" t="s">
        <v>1342</v>
      </c>
      <c r="BH506" s="30" t="s">
        <v>1054</v>
      </c>
      <c r="BI506" s="30" t="str">
        <f t="shared" si="306"/>
        <v>COF(Assy_FT)</v>
      </c>
      <c r="BJ506" s="30" t="s">
        <v>250</v>
      </c>
      <c r="BK506" s="56">
        <f t="shared" si="321"/>
        <v>169036149.45000002</v>
      </c>
      <c r="BL506" s="57">
        <f t="shared" si="338"/>
        <v>5282379.6703125006</v>
      </c>
      <c r="BM506" s="57">
        <f t="shared" si="339"/>
        <v>1760793.2234375002</v>
      </c>
      <c r="BU506" s="58">
        <f t="shared" si="346"/>
        <v>5282379.6703125006</v>
      </c>
      <c r="BV506" s="58">
        <f t="shared" si="349"/>
        <v>5282379.6703125006</v>
      </c>
      <c r="BW506" s="58">
        <f t="shared" si="347"/>
        <v>10564759.340625001</v>
      </c>
      <c r="BX506" s="58">
        <f t="shared" si="341"/>
        <v>5282379.6703125006</v>
      </c>
      <c r="BY506" s="58">
        <f t="shared" si="350"/>
        <v>5282379.6703125006</v>
      </c>
      <c r="BZ506" s="58">
        <f t="shared" si="348"/>
        <v>5282379.6703125006</v>
      </c>
      <c r="CA506" s="58">
        <f t="shared" si="336"/>
        <v>5282379.6703125006</v>
      </c>
      <c r="CB506" s="58">
        <f t="shared" si="310"/>
        <v>21129518.681250002</v>
      </c>
      <c r="CC506" s="58">
        <f t="shared" si="311"/>
        <v>5282379.6703125006</v>
      </c>
      <c r="CD506" s="58">
        <f t="shared" si="337"/>
        <v>5282379.6703125006</v>
      </c>
      <c r="CE506" s="58">
        <f t="shared" si="337"/>
        <v>5282379.6703125006</v>
      </c>
      <c r="CF506" s="58">
        <f t="shared" si="337"/>
        <v>5282379.6703125006</v>
      </c>
      <c r="CG506" s="58">
        <f t="shared" si="312"/>
        <v>21129518.681250002</v>
      </c>
      <c r="CH506" s="58">
        <f t="shared" si="342"/>
        <v>5282379.6703125006</v>
      </c>
      <c r="CI506" s="58">
        <f t="shared" si="340"/>
        <v>5282379.6703125006</v>
      </c>
      <c r="CJ506" s="58">
        <f t="shared" si="340"/>
        <v>5282379.6703125006</v>
      </c>
      <c r="CK506" s="58">
        <f t="shared" si="340"/>
        <v>5282379.6703125006</v>
      </c>
      <c r="CL506" s="58">
        <f t="shared" si="343"/>
        <v>21129518.681250002</v>
      </c>
      <c r="CP506" s="2">
        <f t="shared" si="315"/>
        <v>169036149.45000002</v>
      </c>
    </row>
    <row r="507" spans="1:94" hidden="1" x14ac:dyDescent="0.3">
      <c r="A507" s="29">
        <v>502</v>
      </c>
      <c r="B507" s="30" t="s">
        <v>21</v>
      </c>
      <c r="C507" s="30"/>
      <c r="D507" s="30" t="s">
        <v>1041</v>
      </c>
      <c r="E507" s="30" t="s">
        <v>1042</v>
      </c>
      <c r="F507" s="30" t="s">
        <v>1043</v>
      </c>
      <c r="G507" s="30" t="s">
        <v>117</v>
      </c>
      <c r="H507" s="30" t="s">
        <v>1058</v>
      </c>
      <c r="I507" s="30" t="s">
        <v>119</v>
      </c>
      <c r="J507" s="30" t="s">
        <v>1044</v>
      </c>
      <c r="K507" s="30" t="s">
        <v>1044</v>
      </c>
      <c r="L507" s="30" t="s">
        <v>1120</v>
      </c>
      <c r="M507" s="30">
        <v>1006752</v>
      </c>
      <c r="N507" s="30" t="s">
        <v>138</v>
      </c>
      <c r="O507" s="30" t="s">
        <v>1668</v>
      </c>
      <c r="P507" s="30"/>
      <c r="Q507" s="30" t="s">
        <v>1018</v>
      </c>
      <c r="R507" s="30"/>
      <c r="S507" s="30"/>
      <c r="T507" s="30"/>
      <c r="U507" s="30" t="s">
        <v>144</v>
      </c>
      <c r="V507" s="30" t="s">
        <v>437</v>
      </c>
      <c r="W507" s="30"/>
      <c r="X507" s="30"/>
      <c r="Y507" s="30" t="s">
        <v>576</v>
      </c>
      <c r="Z507" s="30" t="s">
        <v>576</v>
      </c>
      <c r="AA507" s="30" t="s">
        <v>129</v>
      </c>
      <c r="AB507" s="30" t="s">
        <v>1132</v>
      </c>
      <c r="AC507" s="30"/>
      <c r="AD507" s="30"/>
      <c r="AE507" s="30"/>
      <c r="AF507" s="30" t="s">
        <v>131</v>
      </c>
      <c r="AG507" s="30" t="s">
        <v>774</v>
      </c>
      <c r="AH507" s="30"/>
      <c r="AI507" s="30"/>
      <c r="AJ507" s="50">
        <v>44456</v>
      </c>
      <c r="AK507" s="50">
        <v>44456</v>
      </c>
      <c r="AL507" s="51">
        <f t="shared" si="320"/>
        <v>4.1232876712328768</v>
      </c>
      <c r="AM507" s="30">
        <v>8</v>
      </c>
      <c r="AN507" s="30" t="s">
        <v>1065</v>
      </c>
      <c r="AO507" s="30" t="s">
        <v>1050</v>
      </c>
      <c r="AP507" s="30" t="s">
        <v>1051</v>
      </c>
      <c r="AQ507" s="30">
        <v>2.11</v>
      </c>
      <c r="AR507" s="30"/>
      <c r="AS507" s="30"/>
      <c r="AT507" s="30"/>
      <c r="AU507" s="74">
        <v>54897357</v>
      </c>
      <c r="AV507" s="54"/>
      <c r="AW507" s="54"/>
      <c r="AX507" s="54"/>
      <c r="AY507" s="54">
        <v>26876825</v>
      </c>
      <c r="AZ507" s="54">
        <v>571847</v>
      </c>
      <c r="BA507" s="74">
        <v>26304991</v>
      </c>
      <c r="BB507" s="55">
        <f>VLOOKUP(M507,[1]Sheet1!$E$6:$F$556,2,FALSE)</f>
        <v>2471703</v>
      </c>
      <c r="BC507" s="74"/>
      <c r="BD507" s="74"/>
      <c r="BE507" s="128">
        <v>49.000050712865502</v>
      </c>
      <c r="BF507" s="30" t="s">
        <v>1134</v>
      </c>
      <c r="BG507" s="30" t="s">
        <v>1117</v>
      </c>
      <c r="BH507" s="30" t="s">
        <v>1054</v>
      </c>
      <c r="BI507" s="30" t="str">
        <f t="shared" si="306"/>
        <v>COF(Assy_FT)</v>
      </c>
      <c r="BJ507" s="30" t="s">
        <v>250</v>
      </c>
      <c r="BK507" s="56">
        <f t="shared" si="321"/>
        <v>27620240.550000001</v>
      </c>
      <c r="BL507" s="57">
        <f t="shared" si="338"/>
        <v>863132.51718750002</v>
      </c>
      <c r="BM507" s="57">
        <f t="shared" si="339"/>
        <v>287710.83906249999</v>
      </c>
      <c r="BU507" s="58">
        <f t="shared" si="346"/>
        <v>863132.51718749991</v>
      </c>
      <c r="BV507" s="58">
        <f t="shared" si="349"/>
        <v>863132.51718749991</v>
      </c>
      <c r="BW507" s="58">
        <f t="shared" si="347"/>
        <v>1726265.0343749998</v>
      </c>
      <c r="BX507" s="58">
        <f t="shared" si="341"/>
        <v>863132.51718749991</v>
      </c>
      <c r="BY507" s="58">
        <f t="shared" si="350"/>
        <v>863132.51718749991</v>
      </c>
      <c r="BZ507" s="58">
        <f t="shared" si="348"/>
        <v>863132.51718749991</v>
      </c>
      <c r="CA507" s="58">
        <f t="shared" si="336"/>
        <v>863132.51718749991</v>
      </c>
      <c r="CB507" s="58">
        <f t="shared" si="310"/>
        <v>3452530.0687499996</v>
      </c>
      <c r="CC507" s="58">
        <f t="shared" si="311"/>
        <v>863132.51718749991</v>
      </c>
      <c r="CD507" s="58">
        <f t="shared" si="337"/>
        <v>863132.51718749991</v>
      </c>
      <c r="CE507" s="58">
        <f t="shared" si="337"/>
        <v>863132.51718749991</v>
      </c>
      <c r="CF507" s="58">
        <f t="shared" si="337"/>
        <v>863132.51718749991</v>
      </c>
      <c r="CG507" s="58">
        <f t="shared" si="312"/>
        <v>3452530.0687499996</v>
      </c>
      <c r="CH507" s="58">
        <f t="shared" si="342"/>
        <v>863132.51718749991</v>
      </c>
      <c r="CI507" s="58">
        <f>CH507</f>
        <v>863132.51718749991</v>
      </c>
      <c r="CJ507" s="58">
        <f>CI507</f>
        <v>863132.51718749991</v>
      </c>
      <c r="CK507" s="58">
        <f>CJ507</f>
        <v>863132.51718749991</v>
      </c>
      <c r="CL507" s="58">
        <f t="shared" si="343"/>
        <v>3452530.0687499996</v>
      </c>
      <c r="CP507" s="2">
        <f t="shared" si="315"/>
        <v>27620240.550000001</v>
      </c>
    </row>
    <row r="508" spans="1:94" ht="16.5" hidden="1" x14ac:dyDescent="0.3">
      <c r="A508" s="2">
        <v>503</v>
      </c>
      <c r="B508" s="47" t="s">
        <v>21</v>
      </c>
      <c r="C508" s="47"/>
      <c r="D508" s="30" t="s">
        <v>1041</v>
      </c>
      <c r="E508" s="30" t="s">
        <v>1042</v>
      </c>
      <c r="F508" s="30" t="s">
        <v>1043</v>
      </c>
      <c r="G508" s="30" t="s">
        <v>117</v>
      </c>
      <c r="H508" s="30" t="s">
        <v>1058</v>
      </c>
      <c r="I508" s="30" t="s">
        <v>119</v>
      </c>
      <c r="J508" s="30" t="s">
        <v>1044</v>
      </c>
      <c r="K508" s="30" t="s">
        <v>1044</v>
      </c>
      <c r="L508" s="30" t="s">
        <v>1120</v>
      </c>
      <c r="M508" s="30">
        <v>1006753</v>
      </c>
      <c r="N508" s="30" t="s">
        <v>138</v>
      </c>
      <c r="O508" s="30" t="s">
        <v>1669</v>
      </c>
      <c r="P508" s="30" t="s">
        <v>1410</v>
      </c>
      <c r="Q508" s="30" t="s">
        <v>1411</v>
      </c>
      <c r="R508" s="30"/>
      <c r="S508" s="30" t="s">
        <v>1670</v>
      </c>
      <c r="T508" s="30"/>
      <c r="U508" s="30" t="s">
        <v>144</v>
      </c>
      <c r="V508" s="30" t="s">
        <v>437</v>
      </c>
      <c r="W508" s="30" t="s">
        <v>1125</v>
      </c>
      <c r="X508" s="30" t="s">
        <v>127</v>
      </c>
      <c r="Y508" s="30" t="s">
        <v>457</v>
      </c>
      <c r="Z508" s="30" t="s">
        <v>457</v>
      </c>
      <c r="AA508" s="30" t="s">
        <v>129</v>
      </c>
      <c r="AB508" s="127" t="s">
        <v>1129</v>
      </c>
      <c r="AC508" s="30"/>
      <c r="AD508" s="30"/>
      <c r="AE508" s="30"/>
      <c r="AF508" s="30" t="s">
        <v>131</v>
      </c>
      <c r="AG508" s="30" t="s">
        <v>774</v>
      </c>
      <c r="AH508" s="30"/>
      <c r="AI508" s="30"/>
      <c r="AJ508" s="50">
        <v>44452</v>
      </c>
      <c r="AK508" s="50">
        <v>44452</v>
      </c>
      <c r="AL508" s="51">
        <f t="shared" si="320"/>
        <v>4.1342465753424653</v>
      </c>
      <c r="AM508" s="30">
        <v>8</v>
      </c>
      <c r="AN508" s="30" t="s">
        <v>1065</v>
      </c>
      <c r="AO508" s="30" t="s">
        <v>1050</v>
      </c>
      <c r="AP508" s="30" t="s">
        <v>1187</v>
      </c>
      <c r="AQ508" s="30">
        <v>6.6</v>
      </c>
      <c r="AR508" s="30">
        <v>7100</v>
      </c>
      <c r="AS508" s="30">
        <v>820</v>
      </c>
      <c r="AT508" s="30">
        <v>1860</v>
      </c>
      <c r="AU508" s="54">
        <v>260000000</v>
      </c>
      <c r="AV508" s="54"/>
      <c r="AW508" s="54"/>
      <c r="AX508" s="54"/>
      <c r="AY508" s="54">
        <v>127291664</v>
      </c>
      <c r="AZ508" s="54">
        <v>2708333</v>
      </c>
      <c r="BA508" s="54">
        <v>124583337</v>
      </c>
      <c r="BB508" s="55">
        <f>VLOOKUP(M508,[1]Sheet1!$E$6:$F$556,2,FALSE)</f>
        <v>11706253</v>
      </c>
      <c r="BC508" s="74"/>
      <c r="BD508" s="74"/>
      <c r="BE508" s="128">
        <v>49.000007015385478</v>
      </c>
      <c r="BF508" s="30" t="s">
        <v>1134</v>
      </c>
      <c r="BG508" s="30" t="s">
        <v>1117</v>
      </c>
      <c r="BH508" s="30" t="s">
        <v>1054</v>
      </c>
      <c r="BI508" s="30" t="str">
        <f t="shared" si="306"/>
        <v>COF(Assy_FT)</v>
      </c>
      <c r="BJ508" s="47" t="s">
        <v>137</v>
      </c>
      <c r="BK508" s="56">
        <f t="shared" si="321"/>
        <v>130812503.85000001</v>
      </c>
      <c r="BL508" s="57">
        <f t="shared" si="338"/>
        <v>12470188.272152655</v>
      </c>
      <c r="BM508" s="57">
        <f t="shared" si="339"/>
        <v>4156729.4240508848</v>
      </c>
      <c r="BU508" s="58">
        <f t="shared" si="346"/>
        <v>12470188.272152655</v>
      </c>
      <c r="BV508" s="58">
        <f t="shared" si="349"/>
        <v>12470188.272152655</v>
      </c>
      <c r="BW508" s="58">
        <f t="shared" si="347"/>
        <v>24940376.54430531</v>
      </c>
      <c r="BX508" s="58">
        <f t="shared" si="341"/>
        <v>12470188.272152655</v>
      </c>
      <c r="BY508" s="58">
        <f t="shared" si="350"/>
        <v>12470188.272152655</v>
      </c>
      <c r="BZ508" s="58">
        <f t="shared" si="348"/>
        <v>12470188.272152655</v>
      </c>
      <c r="CA508" s="58">
        <f t="shared" si="336"/>
        <v>12470188.272152655</v>
      </c>
      <c r="CB508" s="58">
        <f t="shared" si="310"/>
        <v>49880753.088610619</v>
      </c>
      <c r="CC508" s="58">
        <f t="shared" si="311"/>
        <v>12470188.272152655</v>
      </c>
      <c r="CD508" s="58">
        <f t="shared" ref="CD508:CF512" si="351">CC508</f>
        <v>12470188.272152655</v>
      </c>
      <c r="CE508" s="58">
        <f t="shared" si="351"/>
        <v>12470188.272152655</v>
      </c>
      <c r="CF508" s="58">
        <f t="shared" si="351"/>
        <v>12470188.272152655</v>
      </c>
      <c r="CG508" s="58">
        <f t="shared" si="312"/>
        <v>49880753.088610619</v>
      </c>
      <c r="CH508" s="58">
        <f t="shared" si="342"/>
        <v>12470188.272152655</v>
      </c>
      <c r="CI508" s="58">
        <f t="shared" ref="CI508:CK522" si="352">CH508</f>
        <v>12470188.272152655</v>
      </c>
      <c r="CJ508" s="58">
        <f t="shared" si="352"/>
        <v>12470188.272152655</v>
      </c>
      <c r="CK508" s="58">
        <f t="shared" si="352"/>
        <v>12470188.272152655</v>
      </c>
      <c r="CL508" s="58">
        <f t="shared" si="343"/>
        <v>49880753.088610619</v>
      </c>
      <c r="CN508" s="59">
        <f t="shared" ref="CN508:CN511" si="353">BK508/$CN$3</f>
        <v>1.2773024802804046E-2</v>
      </c>
      <c r="CO508" s="64">
        <f t="shared" ref="CO508:CO511" si="354">CN508*$CO$4</f>
        <v>268233520.85888496</v>
      </c>
      <c r="CP508" s="2">
        <f t="shared" si="315"/>
        <v>399046024.70888495</v>
      </c>
    </row>
    <row r="509" spans="1:94" ht="16.5" hidden="1" x14ac:dyDescent="0.3">
      <c r="A509" s="2">
        <v>504</v>
      </c>
      <c r="B509" s="47" t="s">
        <v>21</v>
      </c>
      <c r="C509" s="47"/>
      <c r="D509" s="30" t="s">
        <v>1041</v>
      </c>
      <c r="E509" s="30" t="s">
        <v>1042</v>
      </c>
      <c r="F509" s="30" t="s">
        <v>1043</v>
      </c>
      <c r="G509" s="30" t="s">
        <v>117</v>
      </c>
      <c r="H509" s="30" t="s">
        <v>1058</v>
      </c>
      <c r="I509" s="30" t="s">
        <v>119</v>
      </c>
      <c r="J509" s="30" t="s">
        <v>1044</v>
      </c>
      <c r="K509" s="30" t="s">
        <v>1044</v>
      </c>
      <c r="L509" s="30" t="s">
        <v>1120</v>
      </c>
      <c r="M509" s="30">
        <v>1006759</v>
      </c>
      <c r="N509" s="30" t="s">
        <v>138</v>
      </c>
      <c r="O509" s="30" t="s">
        <v>1671</v>
      </c>
      <c r="P509" s="30" t="s">
        <v>1410</v>
      </c>
      <c r="Q509" s="30" t="s">
        <v>1411</v>
      </c>
      <c r="R509" s="30"/>
      <c r="S509" s="30" t="s">
        <v>1672</v>
      </c>
      <c r="T509" s="30"/>
      <c r="U509" s="30" t="s">
        <v>144</v>
      </c>
      <c r="V509" s="30" t="s">
        <v>437</v>
      </c>
      <c r="W509" s="30" t="s">
        <v>1125</v>
      </c>
      <c r="X509" s="30" t="s">
        <v>127</v>
      </c>
      <c r="Y509" s="30" t="s">
        <v>457</v>
      </c>
      <c r="Z509" s="30" t="s">
        <v>457</v>
      </c>
      <c r="AA509" s="30" t="s">
        <v>129</v>
      </c>
      <c r="AB509" s="127" t="s">
        <v>1129</v>
      </c>
      <c r="AC509" s="30"/>
      <c r="AD509" s="30"/>
      <c r="AE509" s="30"/>
      <c r="AF509" s="30" t="s">
        <v>131</v>
      </c>
      <c r="AG509" s="30" t="s">
        <v>774</v>
      </c>
      <c r="AH509" s="30"/>
      <c r="AI509" s="30"/>
      <c r="AJ509" s="50">
        <v>44452</v>
      </c>
      <c r="AK509" s="50">
        <v>44452</v>
      </c>
      <c r="AL509" s="51">
        <f t="shared" si="320"/>
        <v>4.1342465753424653</v>
      </c>
      <c r="AM509" s="30">
        <v>8</v>
      </c>
      <c r="AN509" s="30" t="s">
        <v>1065</v>
      </c>
      <c r="AO509" s="30" t="s">
        <v>1050</v>
      </c>
      <c r="AP509" s="30" t="s">
        <v>1187</v>
      </c>
      <c r="AQ509" s="30">
        <v>6.6</v>
      </c>
      <c r="AR509" s="30">
        <v>7100</v>
      </c>
      <c r="AS509" s="30">
        <v>820</v>
      </c>
      <c r="AT509" s="30">
        <v>1860</v>
      </c>
      <c r="AU509" s="54">
        <v>260000000</v>
      </c>
      <c r="AV509" s="54"/>
      <c r="AW509" s="54"/>
      <c r="AX509" s="54"/>
      <c r="AY509" s="54">
        <v>127291664</v>
      </c>
      <c r="AZ509" s="54">
        <v>2708333</v>
      </c>
      <c r="BA509" s="54">
        <v>124583337</v>
      </c>
      <c r="BB509" s="55">
        <f>VLOOKUP(M509,[1]Sheet1!$E$6:$F$556,2,FALSE)</f>
        <v>11706253</v>
      </c>
      <c r="BC509" s="74"/>
      <c r="BD509" s="74"/>
      <c r="BE509" s="128">
        <v>49.000007015385478</v>
      </c>
      <c r="BF509" s="30" t="s">
        <v>1134</v>
      </c>
      <c r="BG509" s="30" t="s">
        <v>1117</v>
      </c>
      <c r="BH509" s="30" t="s">
        <v>1054</v>
      </c>
      <c r="BI509" s="30" t="str">
        <f t="shared" si="306"/>
        <v>COF(Assy_FT)</v>
      </c>
      <c r="BJ509" s="47" t="s">
        <v>137</v>
      </c>
      <c r="BK509" s="56">
        <f t="shared" si="321"/>
        <v>130812503.85000001</v>
      </c>
      <c r="BL509" s="57">
        <f t="shared" si="338"/>
        <v>12470188.272152655</v>
      </c>
      <c r="BM509" s="57">
        <f t="shared" si="339"/>
        <v>4156729.4240508848</v>
      </c>
      <c r="BU509" s="58">
        <f t="shared" si="346"/>
        <v>12470188.272152655</v>
      </c>
      <c r="BV509" s="58">
        <f t="shared" si="349"/>
        <v>12470188.272152655</v>
      </c>
      <c r="BW509" s="58">
        <f t="shared" si="347"/>
        <v>24940376.54430531</v>
      </c>
      <c r="BX509" s="58">
        <f t="shared" si="341"/>
        <v>12470188.272152655</v>
      </c>
      <c r="BY509" s="58">
        <f t="shared" si="350"/>
        <v>12470188.272152655</v>
      </c>
      <c r="BZ509" s="58">
        <f t="shared" si="348"/>
        <v>12470188.272152655</v>
      </c>
      <c r="CA509" s="58">
        <f t="shared" si="336"/>
        <v>12470188.272152655</v>
      </c>
      <c r="CB509" s="58">
        <f t="shared" si="310"/>
        <v>49880753.088610619</v>
      </c>
      <c r="CC509" s="58">
        <f t="shared" si="311"/>
        <v>12470188.272152655</v>
      </c>
      <c r="CD509" s="58">
        <f t="shared" si="351"/>
        <v>12470188.272152655</v>
      </c>
      <c r="CE509" s="58">
        <f t="shared" si="351"/>
        <v>12470188.272152655</v>
      </c>
      <c r="CF509" s="58">
        <f t="shared" si="351"/>
        <v>12470188.272152655</v>
      </c>
      <c r="CG509" s="58">
        <f t="shared" si="312"/>
        <v>49880753.088610619</v>
      </c>
      <c r="CH509" s="58">
        <f t="shared" si="342"/>
        <v>12470188.272152655</v>
      </c>
      <c r="CI509" s="58">
        <f t="shared" si="352"/>
        <v>12470188.272152655</v>
      </c>
      <c r="CJ509" s="58">
        <f t="shared" si="352"/>
        <v>12470188.272152655</v>
      </c>
      <c r="CK509" s="58">
        <f t="shared" si="352"/>
        <v>12470188.272152655</v>
      </c>
      <c r="CL509" s="58">
        <f t="shared" si="343"/>
        <v>49880753.088610619</v>
      </c>
      <c r="CN509" s="59">
        <f t="shared" si="353"/>
        <v>1.2773024802804046E-2</v>
      </c>
      <c r="CO509" s="64">
        <f t="shared" si="354"/>
        <v>268233520.85888496</v>
      </c>
      <c r="CP509" s="2">
        <f t="shared" si="315"/>
        <v>399046024.70888495</v>
      </c>
    </row>
    <row r="510" spans="1:94" ht="16.5" hidden="1" x14ac:dyDescent="0.3">
      <c r="A510" s="2">
        <v>505</v>
      </c>
      <c r="B510" s="47" t="s">
        <v>21</v>
      </c>
      <c r="C510" s="47"/>
      <c r="D510" s="30" t="s">
        <v>1041</v>
      </c>
      <c r="E510" s="30" t="s">
        <v>1042</v>
      </c>
      <c r="F510" s="30" t="s">
        <v>1043</v>
      </c>
      <c r="G510" s="30" t="s">
        <v>117</v>
      </c>
      <c r="H510" s="30" t="s">
        <v>1058</v>
      </c>
      <c r="I510" s="30" t="s">
        <v>119</v>
      </c>
      <c r="J510" s="30" t="s">
        <v>1044</v>
      </c>
      <c r="K510" s="30" t="s">
        <v>1044</v>
      </c>
      <c r="L510" s="30" t="s">
        <v>1120</v>
      </c>
      <c r="M510" s="30">
        <v>1006760</v>
      </c>
      <c r="N510" s="30" t="s">
        <v>138</v>
      </c>
      <c r="O510" s="30" t="s">
        <v>1673</v>
      </c>
      <c r="P510" s="30" t="s">
        <v>1410</v>
      </c>
      <c r="Q510" s="30" t="s">
        <v>1411</v>
      </c>
      <c r="R510" s="30"/>
      <c r="S510" s="30" t="s">
        <v>1674</v>
      </c>
      <c r="T510" s="30"/>
      <c r="U510" s="30" t="s">
        <v>144</v>
      </c>
      <c r="V510" s="30" t="s">
        <v>437</v>
      </c>
      <c r="W510" s="30" t="s">
        <v>1125</v>
      </c>
      <c r="X510" s="30" t="s">
        <v>127</v>
      </c>
      <c r="Y510" s="30" t="s">
        <v>457</v>
      </c>
      <c r="Z510" s="30" t="s">
        <v>457</v>
      </c>
      <c r="AA510" s="30" t="s">
        <v>129</v>
      </c>
      <c r="AB510" s="127" t="s">
        <v>1129</v>
      </c>
      <c r="AC510" s="30"/>
      <c r="AD510" s="30"/>
      <c r="AE510" s="30"/>
      <c r="AF510" s="30" t="s">
        <v>131</v>
      </c>
      <c r="AG510" s="30" t="s">
        <v>774</v>
      </c>
      <c r="AH510" s="30"/>
      <c r="AI510" s="30"/>
      <c r="AJ510" s="50">
        <v>44452</v>
      </c>
      <c r="AK510" s="50">
        <v>44452</v>
      </c>
      <c r="AL510" s="51">
        <f t="shared" si="320"/>
        <v>4.1342465753424653</v>
      </c>
      <c r="AM510" s="30">
        <v>8</v>
      </c>
      <c r="AN510" s="30" t="s">
        <v>1065</v>
      </c>
      <c r="AO510" s="30" t="s">
        <v>1050</v>
      </c>
      <c r="AP510" s="30" t="s">
        <v>1187</v>
      </c>
      <c r="AQ510" s="30">
        <v>6.6</v>
      </c>
      <c r="AR510" s="30">
        <v>7100</v>
      </c>
      <c r="AS510" s="30">
        <v>820</v>
      </c>
      <c r="AT510" s="30">
        <v>1860</v>
      </c>
      <c r="AU510" s="54">
        <v>260000000</v>
      </c>
      <c r="AV510" s="54"/>
      <c r="AW510" s="54"/>
      <c r="AX510" s="54"/>
      <c r="AY510" s="54">
        <v>127291664</v>
      </c>
      <c r="AZ510" s="54">
        <v>2708333</v>
      </c>
      <c r="BA510" s="54">
        <v>124583337</v>
      </c>
      <c r="BB510" s="55">
        <f>VLOOKUP(M510,[1]Sheet1!$E$6:$F$556,2,FALSE)</f>
        <v>11706253</v>
      </c>
      <c r="BC510" s="74"/>
      <c r="BD510" s="74"/>
      <c r="BE510" s="128">
        <v>49.000007015385478</v>
      </c>
      <c r="BF510" s="30" t="s">
        <v>1134</v>
      </c>
      <c r="BG510" s="30" t="s">
        <v>1117</v>
      </c>
      <c r="BH510" s="30" t="s">
        <v>1054</v>
      </c>
      <c r="BI510" s="30" t="str">
        <f t="shared" si="306"/>
        <v>COF(Assy_FT)</v>
      </c>
      <c r="BJ510" s="47" t="s">
        <v>137</v>
      </c>
      <c r="BK510" s="56">
        <f t="shared" si="321"/>
        <v>130812503.85000001</v>
      </c>
      <c r="BL510" s="57">
        <f t="shared" si="338"/>
        <v>12470188.272152655</v>
      </c>
      <c r="BM510" s="57">
        <f t="shared" si="339"/>
        <v>4156729.4240508848</v>
      </c>
      <c r="BU510" s="58">
        <f t="shared" si="346"/>
        <v>12470188.272152655</v>
      </c>
      <c r="BV510" s="58">
        <f t="shared" si="349"/>
        <v>12470188.272152655</v>
      </c>
      <c r="BW510" s="58">
        <f t="shared" si="347"/>
        <v>24940376.54430531</v>
      </c>
      <c r="BX510" s="58">
        <f t="shared" si="341"/>
        <v>12470188.272152655</v>
      </c>
      <c r="BY510" s="58">
        <f t="shared" si="350"/>
        <v>12470188.272152655</v>
      </c>
      <c r="BZ510" s="58">
        <f t="shared" si="348"/>
        <v>12470188.272152655</v>
      </c>
      <c r="CA510" s="58">
        <f t="shared" si="336"/>
        <v>12470188.272152655</v>
      </c>
      <c r="CB510" s="58">
        <f t="shared" si="310"/>
        <v>49880753.088610619</v>
      </c>
      <c r="CC510" s="58">
        <f t="shared" si="311"/>
        <v>12470188.272152655</v>
      </c>
      <c r="CD510" s="58">
        <f t="shared" si="351"/>
        <v>12470188.272152655</v>
      </c>
      <c r="CE510" s="58">
        <f t="shared" si="351"/>
        <v>12470188.272152655</v>
      </c>
      <c r="CF510" s="58">
        <f t="shared" si="351"/>
        <v>12470188.272152655</v>
      </c>
      <c r="CG510" s="58">
        <f t="shared" si="312"/>
        <v>49880753.088610619</v>
      </c>
      <c r="CH510" s="58">
        <f t="shared" si="342"/>
        <v>12470188.272152655</v>
      </c>
      <c r="CI510" s="58">
        <f t="shared" si="352"/>
        <v>12470188.272152655</v>
      </c>
      <c r="CJ510" s="58">
        <f t="shared" si="352"/>
        <v>12470188.272152655</v>
      </c>
      <c r="CK510" s="58">
        <f t="shared" si="352"/>
        <v>12470188.272152655</v>
      </c>
      <c r="CL510" s="58">
        <f t="shared" si="343"/>
        <v>49880753.088610619</v>
      </c>
      <c r="CN510" s="59">
        <f t="shared" si="353"/>
        <v>1.2773024802804046E-2</v>
      </c>
      <c r="CO510" s="64">
        <f t="shared" si="354"/>
        <v>268233520.85888496</v>
      </c>
      <c r="CP510" s="2">
        <f t="shared" si="315"/>
        <v>399046024.70888495</v>
      </c>
    </row>
    <row r="511" spans="1:94" ht="16.5" hidden="1" x14ac:dyDescent="0.3">
      <c r="A511" s="2">
        <v>506</v>
      </c>
      <c r="B511" s="47" t="s">
        <v>21</v>
      </c>
      <c r="C511" s="47"/>
      <c r="D511" s="30" t="s">
        <v>1041</v>
      </c>
      <c r="E511" s="30" t="s">
        <v>1042</v>
      </c>
      <c r="F511" s="30" t="s">
        <v>1043</v>
      </c>
      <c r="G511" s="30" t="s">
        <v>117</v>
      </c>
      <c r="H511" s="30" t="s">
        <v>1058</v>
      </c>
      <c r="I511" s="30" t="s">
        <v>119</v>
      </c>
      <c r="J511" s="30" t="s">
        <v>1044</v>
      </c>
      <c r="K511" s="30" t="s">
        <v>1044</v>
      </c>
      <c r="L511" s="30" t="s">
        <v>1130</v>
      </c>
      <c r="M511" s="30">
        <v>1006768</v>
      </c>
      <c r="N511" s="30" t="s">
        <v>138</v>
      </c>
      <c r="O511" s="30" t="s">
        <v>1675</v>
      </c>
      <c r="P511" s="30" t="s">
        <v>1179</v>
      </c>
      <c r="Q511" s="30" t="s">
        <v>1179</v>
      </c>
      <c r="R511" s="30" t="s">
        <v>1463</v>
      </c>
      <c r="S511" s="30" t="s">
        <v>1676</v>
      </c>
      <c r="T511" s="30" t="s">
        <v>1183</v>
      </c>
      <c r="U511" s="30" t="s">
        <v>144</v>
      </c>
      <c r="V511" s="30" t="s">
        <v>600</v>
      </c>
      <c r="W511" s="30" t="s">
        <v>1184</v>
      </c>
      <c r="X511" s="30" t="s">
        <v>127</v>
      </c>
      <c r="Y511" s="30" t="s">
        <v>457</v>
      </c>
      <c r="Z511" s="30" t="s">
        <v>457</v>
      </c>
      <c r="AA511" s="30" t="s">
        <v>148</v>
      </c>
      <c r="AB511" s="30" t="s">
        <v>1185</v>
      </c>
      <c r="AC511" s="30" t="s">
        <v>1185</v>
      </c>
      <c r="AD511" s="30"/>
      <c r="AE511" s="30"/>
      <c r="AF511" s="30" t="s">
        <v>593</v>
      </c>
      <c r="AG511" s="30" t="s">
        <v>774</v>
      </c>
      <c r="AH511" s="30" t="s">
        <v>1186</v>
      </c>
      <c r="AI511" s="30"/>
      <c r="AJ511" s="50">
        <v>44454</v>
      </c>
      <c r="AK511" s="50">
        <v>44454</v>
      </c>
      <c r="AL511" s="51">
        <f t="shared" si="320"/>
        <v>4.1287671232876715</v>
      </c>
      <c r="AM511" s="30">
        <v>8</v>
      </c>
      <c r="AN511" s="30" t="s">
        <v>1065</v>
      </c>
      <c r="AO511" s="30" t="s">
        <v>1050</v>
      </c>
      <c r="AP511" s="30" t="s">
        <v>1187</v>
      </c>
      <c r="AQ511" s="30">
        <v>3.6</v>
      </c>
      <c r="AR511" s="30">
        <v>2820</v>
      </c>
      <c r="AS511" s="30">
        <v>1154</v>
      </c>
      <c r="AT511" s="30">
        <v>2020</v>
      </c>
      <c r="AU511" s="54">
        <v>433463226</v>
      </c>
      <c r="AV511" s="54"/>
      <c r="AW511" s="54"/>
      <c r="AX511" s="54"/>
      <c r="AY511" s="54">
        <v>209101791</v>
      </c>
      <c r="AZ511" s="54">
        <v>4515242</v>
      </c>
      <c r="BA511" s="54">
        <v>210815709</v>
      </c>
      <c r="BB511" s="55">
        <f>VLOOKUP(M511,[1]Sheet1!$E$6:$F$556,2,FALSE)</f>
        <v>19822227</v>
      </c>
      <c r="BC511" s="74"/>
      <c r="BD511" s="74"/>
      <c r="BE511" s="128">
        <v>49.689791820682039</v>
      </c>
      <c r="BF511" s="30" t="s">
        <v>1134</v>
      </c>
      <c r="BG511" s="30" t="s">
        <v>1074</v>
      </c>
      <c r="BH511" s="30" t="s">
        <v>1054</v>
      </c>
      <c r="BI511" s="30" t="str">
        <f t="shared" si="306"/>
        <v>COF(Assy_FT)</v>
      </c>
      <c r="BJ511" s="47" t="s">
        <v>137</v>
      </c>
      <c r="BK511" s="56">
        <f t="shared" si="321"/>
        <v>221356494.45000002</v>
      </c>
      <c r="BL511" s="57">
        <f t="shared" si="338"/>
        <v>21101630.806031041</v>
      </c>
      <c r="BM511" s="57">
        <f t="shared" si="339"/>
        <v>7033876.93534368</v>
      </c>
      <c r="BU511" s="58">
        <f t="shared" si="346"/>
        <v>21101630.806031041</v>
      </c>
      <c r="BV511" s="58">
        <f t="shared" si="349"/>
        <v>21101630.806031041</v>
      </c>
      <c r="BW511" s="58">
        <f t="shared" si="347"/>
        <v>42203261.612062082</v>
      </c>
      <c r="BX511" s="58">
        <f t="shared" si="341"/>
        <v>21101630.806031041</v>
      </c>
      <c r="BY511" s="58">
        <f t="shared" si="350"/>
        <v>21101630.806031041</v>
      </c>
      <c r="BZ511" s="58">
        <f t="shared" si="348"/>
        <v>21101630.806031041</v>
      </c>
      <c r="CA511" s="58">
        <f t="shared" si="336"/>
        <v>21101630.806031041</v>
      </c>
      <c r="CB511" s="58">
        <f t="shared" si="310"/>
        <v>84406523.224124163</v>
      </c>
      <c r="CC511" s="58">
        <f t="shared" si="311"/>
        <v>21101630.806031041</v>
      </c>
      <c r="CD511" s="58">
        <f t="shared" si="351"/>
        <v>21101630.806031041</v>
      </c>
      <c r="CE511" s="58">
        <f t="shared" si="351"/>
        <v>21101630.806031041</v>
      </c>
      <c r="CF511" s="58">
        <f t="shared" si="351"/>
        <v>21101630.806031041</v>
      </c>
      <c r="CG511" s="58">
        <f t="shared" si="312"/>
        <v>84406523.224124163</v>
      </c>
      <c r="CH511" s="58">
        <f t="shared" si="342"/>
        <v>21101630.806031041</v>
      </c>
      <c r="CI511" s="58">
        <f t="shared" si="352"/>
        <v>21101630.806031041</v>
      </c>
      <c r="CJ511" s="58">
        <f t="shared" si="352"/>
        <v>21101630.806031041</v>
      </c>
      <c r="CK511" s="58">
        <f t="shared" si="352"/>
        <v>21101630.806031041</v>
      </c>
      <c r="CL511" s="58">
        <f t="shared" si="343"/>
        <v>84406523.224124163</v>
      </c>
      <c r="CN511" s="59">
        <f t="shared" si="353"/>
        <v>2.1614080540142539E-2</v>
      </c>
      <c r="CO511" s="64">
        <f t="shared" si="354"/>
        <v>453895691.34299332</v>
      </c>
      <c r="CP511" s="2">
        <f t="shared" si="315"/>
        <v>675252185.79299331</v>
      </c>
    </row>
    <row r="512" spans="1:94" hidden="1" x14ac:dyDescent="0.3">
      <c r="A512" s="29">
        <v>507</v>
      </c>
      <c r="B512" s="30" t="s">
        <v>21</v>
      </c>
      <c r="C512" s="30"/>
      <c r="D512" s="30" t="s">
        <v>1041</v>
      </c>
      <c r="E512" s="30" t="s">
        <v>1042</v>
      </c>
      <c r="F512" s="30" t="s">
        <v>1043</v>
      </c>
      <c r="G512" s="30" t="s">
        <v>117</v>
      </c>
      <c r="H512" s="30" t="s">
        <v>1058</v>
      </c>
      <c r="I512" s="30" t="s">
        <v>119</v>
      </c>
      <c r="J512" s="30" t="s">
        <v>1044</v>
      </c>
      <c r="K512" s="30" t="s">
        <v>1044</v>
      </c>
      <c r="L512" s="30" t="s">
        <v>1526</v>
      </c>
      <c r="M512" s="30">
        <v>1006771</v>
      </c>
      <c r="N512" s="30" t="s">
        <v>138</v>
      </c>
      <c r="O512" s="30" t="s">
        <v>1677</v>
      </c>
      <c r="P512" s="30" t="s">
        <v>1528</v>
      </c>
      <c r="Q512" s="30" t="s">
        <v>1528</v>
      </c>
      <c r="R512" s="30"/>
      <c r="S512" s="30" t="s">
        <v>1678</v>
      </c>
      <c r="T512" s="30"/>
      <c r="U512" s="30" t="s">
        <v>144</v>
      </c>
      <c r="V512" s="30" t="s">
        <v>1530</v>
      </c>
      <c r="W512" s="30" t="s">
        <v>1531</v>
      </c>
      <c r="X512" s="30"/>
      <c r="Y512" s="30" t="s">
        <v>457</v>
      </c>
      <c r="Z512" s="30" t="s">
        <v>457</v>
      </c>
      <c r="AA512" s="30" t="s">
        <v>129</v>
      </c>
      <c r="AB512" s="30" t="s">
        <v>1532</v>
      </c>
      <c r="AC512" s="30" t="s">
        <v>1532</v>
      </c>
      <c r="AD512" s="30"/>
      <c r="AE512" s="30"/>
      <c r="AF512" s="30" t="s">
        <v>131</v>
      </c>
      <c r="AG512" s="30" t="s">
        <v>774</v>
      </c>
      <c r="AH512" s="30"/>
      <c r="AI512" s="30"/>
      <c r="AJ512" s="50">
        <v>44491</v>
      </c>
      <c r="AK512" s="50">
        <v>44491</v>
      </c>
      <c r="AL512" s="51">
        <f t="shared" si="320"/>
        <v>4.0273972602739727</v>
      </c>
      <c r="AM512" s="30">
        <v>8</v>
      </c>
      <c r="AN512" s="30" t="s">
        <v>1065</v>
      </c>
      <c r="AO512" s="30" t="s">
        <v>1050</v>
      </c>
      <c r="AP512" s="30" t="s">
        <v>1187</v>
      </c>
      <c r="AQ512" s="30">
        <v>4.22</v>
      </c>
      <c r="AR512" s="30">
        <v>2812</v>
      </c>
      <c r="AS512" s="30">
        <v>1208</v>
      </c>
      <c r="AT512" s="30">
        <v>2208</v>
      </c>
      <c r="AU512" s="74">
        <v>333929825</v>
      </c>
      <c r="AV512" s="54"/>
      <c r="AW512" s="54"/>
      <c r="AX512" s="54"/>
      <c r="AY512" s="54">
        <v>160008043</v>
      </c>
      <c r="AZ512" s="54">
        <v>3478436</v>
      </c>
      <c r="BA512" s="74">
        <v>163486474</v>
      </c>
      <c r="BB512" s="55">
        <f>VLOOKUP(M512,[1]Sheet1!$E$6:$F$556,2,FALSE)</f>
        <v>15401577</v>
      </c>
      <c r="BC512" s="74"/>
      <c r="BD512" s="74"/>
      <c r="BE512" s="128">
        <v>49.999994825260551</v>
      </c>
      <c r="BF512" s="30" t="s">
        <v>1134</v>
      </c>
      <c r="BG512" s="30" t="s">
        <v>1342</v>
      </c>
      <c r="BH512" s="30" t="s">
        <v>1054</v>
      </c>
      <c r="BI512" s="30" t="str">
        <f t="shared" si="306"/>
        <v>COF(Assy_FT)</v>
      </c>
      <c r="BJ512" s="30" t="s">
        <v>250</v>
      </c>
      <c r="BK512" s="56">
        <f t="shared" si="321"/>
        <v>171660797.70000002</v>
      </c>
      <c r="BL512" s="57">
        <f t="shared" si="338"/>
        <v>5364399.9281250006</v>
      </c>
      <c r="BM512" s="57">
        <f t="shared" si="339"/>
        <v>1788133.3093750002</v>
      </c>
      <c r="BU512" s="58">
        <f t="shared" si="346"/>
        <v>5364399.9281250006</v>
      </c>
      <c r="BV512" s="58">
        <f t="shared" si="349"/>
        <v>5364399.9281250006</v>
      </c>
      <c r="BW512" s="58">
        <f t="shared" si="347"/>
        <v>10728799.856250001</v>
      </c>
      <c r="BX512" s="58">
        <f t="shared" si="341"/>
        <v>5364399.9281250006</v>
      </c>
      <c r="BY512" s="58">
        <f t="shared" si="350"/>
        <v>5364399.9281250006</v>
      </c>
      <c r="BZ512" s="58">
        <f t="shared" si="348"/>
        <v>5364399.9281250006</v>
      </c>
      <c r="CA512" s="58">
        <f t="shared" si="336"/>
        <v>5364399.9281250006</v>
      </c>
      <c r="CB512" s="58">
        <f t="shared" si="310"/>
        <v>21457599.712500002</v>
      </c>
      <c r="CC512" s="58">
        <f t="shared" si="311"/>
        <v>5364399.9281250006</v>
      </c>
      <c r="CD512" s="58">
        <f t="shared" si="351"/>
        <v>5364399.9281250006</v>
      </c>
      <c r="CE512" s="58">
        <f t="shared" si="351"/>
        <v>5364399.9281250006</v>
      </c>
      <c r="CF512" s="58">
        <f t="shared" si="351"/>
        <v>5364399.9281250006</v>
      </c>
      <c r="CG512" s="58">
        <f t="shared" si="312"/>
        <v>21457599.712500002</v>
      </c>
      <c r="CH512" s="58">
        <f t="shared" si="342"/>
        <v>5364399.9281250006</v>
      </c>
      <c r="CI512" s="58">
        <f t="shared" si="352"/>
        <v>5364399.9281250006</v>
      </c>
      <c r="CJ512" s="58">
        <f t="shared" si="352"/>
        <v>5364399.9281250006</v>
      </c>
      <c r="CK512" s="58">
        <f t="shared" si="352"/>
        <v>5364399.9281250006</v>
      </c>
      <c r="CL512" s="58">
        <f t="shared" si="343"/>
        <v>21457599.712500002</v>
      </c>
      <c r="CP512" s="2">
        <f t="shared" si="315"/>
        <v>171660797.70000002</v>
      </c>
    </row>
    <row r="513" spans="1:94" hidden="1" x14ac:dyDescent="0.3">
      <c r="A513" s="29">
        <v>508</v>
      </c>
      <c r="B513" s="30" t="s">
        <v>21</v>
      </c>
      <c r="C513" s="30"/>
      <c r="D513" s="30" t="s">
        <v>1041</v>
      </c>
      <c r="E513" s="30" t="s">
        <v>1042</v>
      </c>
      <c r="F513" s="30" t="s">
        <v>1043</v>
      </c>
      <c r="G513" s="30" t="s">
        <v>117</v>
      </c>
      <c r="H513" s="30" t="s">
        <v>1058</v>
      </c>
      <c r="I513" s="30" t="s">
        <v>119</v>
      </c>
      <c r="J513" s="30" t="s">
        <v>1044</v>
      </c>
      <c r="K513" s="30" t="s">
        <v>1044</v>
      </c>
      <c r="L513" s="30" t="s">
        <v>1130</v>
      </c>
      <c r="M513" s="30">
        <v>1006772</v>
      </c>
      <c r="N513" s="30" t="s">
        <v>138</v>
      </c>
      <c r="O513" s="30" t="s">
        <v>1679</v>
      </c>
      <c r="P513" s="30" t="s">
        <v>1179</v>
      </c>
      <c r="Q513" s="30" t="s">
        <v>1179</v>
      </c>
      <c r="R513" s="30" t="s">
        <v>1463</v>
      </c>
      <c r="S513" s="30" t="s">
        <v>1680</v>
      </c>
      <c r="T513" s="30" t="s">
        <v>1183</v>
      </c>
      <c r="U513" s="30" t="s">
        <v>144</v>
      </c>
      <c r="V513" s="30" t="s">
        <v>600</v>
      </c>
      <c r="W513" s="30" t="s">
        <v>1184</v>
      </c>
      <c r="X513" s="30"/>
      <c r="Y513" s="30" t="s">
        <v>457</v>
      </c>
      <c r="Z513" s="30" t="s">
        <v>457</v>
      </c>
      <c r="AA513" s="30" t="s">
        <v>148</v>
      </c>
      <c r="AB513" s="30" t="s">
        <v>1185</v>
      </c>
      <c r="AC513" s="30" t="s">
        <v>1185</v>
      </c>
      <c r="AD513" s="30"/>
      <c r="AE513" s="30"/>
      <c r="AF513" s="30" t="s">
        <v>593</v>
      </c>
      <c r="AG513" s="30" t="s">
        <v>774</v>
      </c>
      <c r="AH513" s="30" t="s">
        <v>1186</v>
      </c>
      <c r="AI513" s="30"/>
      <c r="AJ513" s="50">
        <v>44454</v>
      </c>
      <c r="AK513" s="50">
        <v>44454</v>
      </c>
      <c r="AL513" s="51">
        <f t="shared" si="320"/>
        <v>4.1287671232876715</v>
      </c>
      <c r="AM513" s="30">
        <v>8</v>
      </c>
      <c r="AN513" s="30" t="s">
        <v>1065</v>
      </c>
      <c r="AO513" s="30" t="s">
        <v>1050</v>
      </c>
      <c r="AP513" s="30" t="s">
        <v>1187</v>
      </c>
      <c r="AQ513" s="30">
        <v>3.6</v>
      </c>
      <c r="AR513" s="30">
        <v>2820</v>
      </c>
      <c r="AS513" s="30">
        <v>1154</v>
      </c>
      <c r="AT513" s="30">
        <v>2020</v>
      </c>
      <c r="AU513" s="74">
        <v>451463226</v>
      </c>
      <c r="AV513" s="54"/>
      <c r="AW513" s="54"/>
      <c r="AX513" s="54"/>
      <c r="AY513" s="54">
        <v>217914291</v>
      </c>
      <c r="AZ513" s="54">
        <v>4702742</v>
      </c>
      <c r="BA513" s="74">
        <v>219440709</v>
      </c>
      <c r="BB513" s="55">
        <f>VLOOKUP(M513,[1]Sheet1!$E$6:$F$556,2,FALSE)</f>
        <v>20632659</v>
      </c>
      <c r="BC513" s="74"/>
      <c r="BD513" s="74"/>
      <c r="BE513" s="128">
        <v>49.662289574890565</v>
      </c>
      <c r="BF513" s="30" t="s">
        <v>1134</v>
      </c>
      <c r="BG513" s="30" t="s">
        <v>1074</v>
      </c>
      <c r="BH513" s="30" t="s">
        <v>1054</v>
      </c>
      <c r="BI513" s="30" t="str">
        <f t="shared" si="306"/>
        <v>COF(Assy_FT)</v>
      </c>
      <c r="BJ513" s="30" t="s">
        <v>250</v>
      </c>
      <c r="BK513" s="56">
        <f t="shared" si="321"/>
        <v>230412744.45000002</v>
      </c>
      <c r="BL513" s="57">
        <f t="shared" si="338"/>
        <v>7200398.2640625006</v>
      </c>
      <c r="BM513" s="57">
        <f t="shared" si="339"/>
        <v>2400132.7546875002</v>
      </c>
      <c r="BU513" s="58">
        <f t="shared" si="346"/>
        <v>7200398.2640625006</v>
      </c>
      <c r="BV513" s="58">
        <f t="shared" si="349"/>
        <v>7200398.2640625006</v>
      </c>
      <c r="BW513" s="58">
        <f t="shared" si="347"/>
        <v>14400796.528125001</v>
      </c>
      <c r="BX513" s="58">
        <f t="shared" si="341"/>
        <v>7200398.2640625006</v>
      </c>
      <c r="BY513" s="58">
        <f t="shared" si="350"/>
        <v>7200398.2640625006</v>
      </c>
      <c r="BZ513" s="58">
        <f t="shared" si="348"/>
        <v>7200398.2640625006</v>
      </c>
      <c r="CA513" s="58">
        <f t="shared" si="336"/>
        <v>7200398.2640625006</v>
      </c>
      <c r="CB513" s="58">
        <f t="shared" si="310"/>
        <v>28801593.056250002</v>
      </c>
      <c r="CC513" s="58">
        <f t="shared" si="311"/>
        <v>7200398.2640625006</v>
      </c>
      <c r="CD513" s="58">
        <f>CC513</f>
        <v>7200398.2640625006</v>
      </c>
      <c r="CE513" s="58">
        <f>CD513</f>
        <v>7200398.2640625006</v>
      </c>
      <c r="CF513" s="58">
        <f>CE513</f>
        <v>7200398.2640625006</v>
      </c>
      <c r="CG513" s="58">
        <f t="shared" si="312"/>
        <v>28801593.056250002</v>
      </c>
      <c r="CH513" s="58">
        <f t="shared" si="342"/>
        <v>7200398.2640625006</v>
      </c>
      <c r="CI513" s="58">
        <f t="shared" si="352"/>
        <v>7200398.2640625006</v>
      </c>
      <c r="CJ513" s="58">
        <f t="shared" si="352"/>
        <v>7200398.2640625006</v>
      </c>
      <c r="CK513" s="58">
        <f t="shared" si="352"/>
        <v>7200398.2640625006</v>
      </c>
      <c r="CL513" s="58">
        <f t="shared" si="343"/>
        <v>28801593.056250002</v>
      </c>
      <c r="CP513" s="2">
        <f t="shared" si="315"/>
        <v>230412744.45000002</v>
      </c>
    </row>
    <row r="514" spans="1:94" ht="16.5" hidden="1" x14ac:dyDescent="0.3">
      <c r="A514" s="2">
        <v>509</v>
      </c>
      <c r="B514" s="47" t="s">
        <v>21</v>
      </c>
      <c r="C514" s="47"/>
      <c r="D514" s="30" t="s">
        <v>1041</v>
      </c>
      <c r="E514" s="30" t="s">
        <v>1042</v>
      </c>
      <c r="F514" s="30" t="s">
        <v>1043</v>
      </c>
      <c r="G514" s="30" t="s">
        <v>117</v>
      </c>
      <c r="H514" s="30" t="s">
        <v>1058</v>
      </c>
      <c r="I514" s="30" t="s">
        <v>119</v>
      </c>
      <c r="J514" s="30" t="s">
        <v>1044</v>
      </c>
      <c r="K514" s="30" t="s">
        <v>1044</v>
      </c>
      <c r="L514" s="30" t="s">
        <v>1526</v>
      </c>
      <c r="M514" s="30">
        <v>1006774</v>
      </c>
      <c r="N514" s="30" t="s">
        <v>138</v>
      </c>
      <c r="O514" s="30" t="s">
        <v>1681</v>
      </c>
      <c r="P514" s="30" t="s">
        <v>1528</v>
      </c>
      <c r="Q514" s="30" t="s">
        <v>1528</v>
      </c>
      <c r="R514" s="30"/>
      <c r="S514" s="30" t="s">
        <v>1682</v>
      </c>
      <c r="T514" s="30"/>
      <c r="U514" s="30" t="s">
        <v>144</v>
      </c>
      <c r="V514" s="30" t="s">
        <v>1530</v>
      </c>
      <c r="W514" s="30" t="s">
        <v>1531</v>
      </c>
      <c r="X514" s="30" t="s">
        <v>127</v>
      </c>
      <c r="Y514" s="30" t="s">
        <v>128</v>
      </c>
      <c r="Z514" s="30" t="s">
        <v>128</v>
      </c>
      <c r="AA514" s="30" t="s">
        <v>129</v>
      </c>
      <c r="AB514" s="30" t="s">
        <v>1532</v>
      </c>
      <c r="AC514" s="30" t="s">
        <v>1532</v>
      </c>
      <c r="AD514" s="30"/>
      <c r="AE514" s="30"/>
      <c r="AF514" s="30" t="s">
        <v>131</v>
      </c>
      <c r="AG514" s="30" t="s">
        <v>774</v>
      </c>
      <c r="AH514" s="30"/>
      <c r="AI514" s="30"/>
      <c r="AJ514" s="50">
        <v>44491</v>
      </c>
      <c r="AK514" s="50">
        <v>44491</v>
      </c>
      <c r="AL514" s="51">
        <f t="shared" si="320"/>
        <v>4.0273972602739727</v>
      </c>
      <c r="AM514" s="30">
        <v>8</v>
      </c>
      <c r="AN514" s="30" t="s">
        <v>1065</v>
      </c>
      <c r="AO514" s="30" t="s">
        <v>1050</v>
      </c>
      <c r="AP514" s="30" t="s">
        <v>1187</v>
      </c>
      <c r="AQ514" s="30">
        <v>4.22</v>
      </c>
      <c r="AR514" s="30">
        <v>2812</v>
      </c>
      <c r="AS514" s="30">
        <v>1208</v>
      </c>
      <c r="AT514" s="30">
        <v>2208</v>
      </c>
      <c r="AU514" s="54">
        <v>333929825</v>
      </c>
      <c r="AV514" s="54"/>
      <c r="AW514" s="54"/>
      <c r="AX514" s="54"/>
      <c r="AY514" s="54">
        <v>160008043</v>
      </c>
      <c r="AZ514" s="54">
        <v>3478436</v>
      </c>
      <c r="BA514" s="54">
        <v>163486474</v>
      </c>
      <c r="BB514" s="55">
        <f>VLOOKUP(M514,[1]Sheet1!$E$6:$F$556,2,FALSE)</f>
        <v>15401577</v>
      </c>
      <c r="BC514" s="74"/>
      <c r="BD514" s="74"/>
      <c r="BE514" s="128">
        <v>49.999994825260551</v>
      </c>
      <c r="BF514" s="30" t="s">
        <v>1134</v>
      </c>
      <c r="BG514" s="30" t="s">
        <v>1342</v>
      </c>
      <c r="BH514" s="30" t="s">
        <v>1054</v>
      </c>
      <c r="BI514" s="30" t="str">
        <f t="shared" si="306"/>
        <v>COF(Assy_FT)</v>
      </c>
      <c r="BJ514" s="47" t="s">
        <v>137</v>
      </c>
      <c r="BK514" s="56">
        <f t="shared" si="321"/>
        <v>171660797.70000002</v>
      </c>
      <c r="BL514" s="57">
        <f t="shared" si="338"/>
        <v>16364203.751665361</v>
      </c>
      <c r="BM514" s="57">
        <f t="shared" si="339"/>
        <v>5454734.5838884534</v>
      </c>
      <c r="BU514" s="58">
        <f t="shared" si="346"/>
        <v>16364203.751665361</v>
      </c>
      <c r="BV514" s="58">
        <f t="shared" si="349"/>
        <v>16364203.751665361</v>
      </c>
      <c r="BW514" s="58">
        <f t="shared" si="347"/>
        <v>32728407.503330722</v>
      </c>
      <c r="BX514" s="58">
        <f t="shared" si="341"/>
        <v>16364203.751665361</v>
      </c>
      <c r="BY514" s="58">
        <f t="shared" si="350"/>
        <v>16364203.751665361</v>
      </c>
      <c r="BZ514" s="58">
        <f t="shared" si="348"/>
        <v>16364203.751665361</v>
      </c>
      <c r="CA514" s="58">
        <f t="shared" si="336"/>
        <v>16364203.751665361</v>
      </c>
      <c r="CB514" s="58">
        <f t="shared" si="310"/>
        <v>65456815.006661445</v>
      </c>
      <c r="CC514" s="58">
        <f t="shared" si="311"/>
        <v>16364203.751665361</v>
      </c>
      <c r="CD514" s="58">
        <f t="shared" ref="CD514:CF532" si="355">CC514</f>
        <v>16364203.751665361</v>
      </c>
      <c r="CE514" s="58">
        <f t="shared" si="355"/>
        <v>16364203.751665361</v>
      </c>
      <c r="CF514" s="58">
        <f t="shared" si="355"/>
        <v>16364203.751665361</v>
      </c>
      <c r="CG514" s="58">
        <f t="shared" si="312"/>
        <v>65456815.006661445</v>
      </c>
      <c r="CH514" s="58">
        <f t="shared" si="342"/>
        <v>16364203.751665361</v>
      </c>
      <c r="CI514" s="58">
        <f t="shared" si="352"/>
        <v>16364203.751665361</v>
      </c>
      <c r="CJ514" s="58">
        <f t="shared" si="352"/>
        <v>16364203.751665361</v>
      </c>
      <c r="CK514" s="58">
        <f t="shared" si="352"/>
        <v>16364203.751665361</v>
      </c>
      <c r="CL514" s="58">
        <f t="shared" si="343"/>
        <v>65456815.006661445</v>
      </c>
      <c r="CN514" s="59">
        <f t="shared" ref="CN514:CN516" si="356">BK514/$CN$3</f>
        <v>1.6761605826347219E-2</v>
      </c>
      <c r="CO514" s="64">
        <f t="shared" ref="CO514:CO516" si="357">CN514*$CO$4</f>
        <v>351993722.35329157</v>
      </c>
      <c r="CP514" s="2">
        <f t="shared" si="315"/>
        <v>523654520.05329156</v>
      </c>
    </row>
    <row r="515" spans="1:94" ht="16.5" hidden="1" x14ac:dyDescent="0.3">
      <c r="A515" s="2">
        <v>510</v>
      </c>
      <c r="B515" s="47" t="s">
        <v>21</v>
      </c>
      <c r="C515" s="47"/>
      <c r="D515" s="30" t="s">
        <v>1041</v>
      </c>
      <c r="E515" s="30" t="s">
        <v>1042</v>
      </c>
      <c r="F515" s="30" t="s">
        <v>1043</v>
      </c>
      <c r="G515" s="30" t="s">
        <v>117</v>
      </c>
      <c r="H515" s="30" t="s">
        <v>1058</v>
      </c>
      <c r="I515" s="30" t="s">
        <v>119</v>
      </c>
      <c r="J515" s="30" t="s">
        <v>1044</v>
      </c>
      <c r="K515" s="30" t="s">
        <v>1044</v>
      </c>
      <c r="L515" s="30" t="s">
        <v>1245</v>
      </c>
      <c r="M515" s="30">
        <v>1006842</v>
      </c>
      <c r="N515" s="30" t="s">
        <v>138</v>
      </c>
      <c r="O515" s="30" t="s">
        <v>1683</v>
      </c>
      <c r="P515" s="30" t="s">
        <v>1318</v>
      </c>
      <c r="Q515" s="30" t="s">
        <v>1319</v>
      </c>
      <c r="R515" s="30"/>
      <c r="S515" s="30" t="s">
        <v>1684</v>
      </c>
      <c r="T515" s="30"/>
      <c r="U515" s="30" t="s">
        <v>144</v>
      </c>
      <c r="V515" s="30" t="s">
        <v>437</v>
      </c>
      <c r="W515" s="30" t="s">
        <v>1321</v>
      </c>
      <c r="X515" s="30" t="s">
        <v>127</v>
      </c>
      <c r="Y515" s="30" t="s">
        <v>457</v>
      </c>
      <c r="Z515" s="30" t="s">
        <v>457</v>
      </c>
      <c r="AA515" s="30" t="s">
        <v>129</v>
      </c>
      <c r="AB515" s="30" t="s">
        <v>416</v>
      </c>
      <c r="AC515" s="30" t="s">
        <v>416</v>
      </c>
      <c r="AD515" s="30"/>
      <c r="AE515" s="30"/>
      <c r="AF515" s="30" t="s">
        <v>131</v>
      </c>
      <c r="AG515" s="30" t="s">
        <v>1250</v>
      </c>
      <c r="AH515" s="30"/>
      <c r="AI515" s="30"/>
      <c r="AJ515" s="50">
        <v>44557</v>
      </c>
      <c r="AK515" s="50">
        <v>44557</v>
      </c>
      <c r="AL515" s="51">
        <f t="shared" si="320"/>
        <v>3.8465753424657536</v>
      </c>
      <c r="AM515" s="30">
        <v>8</v>
      </c>
      <c r="AN515" s="30" t="s">
        <v>1065</v>
      </c>
      <c r="AO515" s="30" t="s">
        <v>1050</v>
      </c>
      <c r="AP515" s="30" t="s">
        <v>1051</v>
      </c>
      <c r="AQ515" s="30">
        <v>2.11</v>
      </c>
      <c r="AR515" s="30">
        <v>2640</v>
      </c>
      <c r="AS515" s="30">
        <v>1050</v>
      </c>
      <c r="AT515" s="30">
        <v>1880</v>
      </c>
      <c r="AU515" s="54">
        <v>30000000</v>
      </c>
      <c r="AV515" s="54"/>
      <c r="AW515" s="54"/>
      <c r="AX515" s="54"/>
      <c r="AY515" s="54">
        <v>13750000</v>
      </c>
      <c r="AZ515" s="54">
        <v>312500</v>
      </c>
      <c r="BA515" s="54">
        <v>15312500</v>
      </c>
      <c r="BB515" s="55">
        <f>VLOOKUP(M515,[1]Sheet1!$E$6:$F$556,2,FALSE)</f>
        <v>1449556</v>
      </c>
      <c r="BC515" s="74"/>
      <c r="BD515" s="74"/>
      <c r="BE515" s="30">
        <v>52</v>
      </c>
      <c r="BF515" s="30" t="s">
        <v>1134</v>
      </c>
      <c r="BG515" s="30" t="s">
        <v>1251</v>
      </c>
      <c r="BH515" s="30" t="s">
        <v>1054</v>
      </c>
      <c r="BI515" s="30" t="str">
        <f t="shared" si="306"/>
        <v>COF(Assy_FT)</v>
      </c>
      <c r="BJ515" s="47" t="s">
        <v>137</v>
      </c>
      <c r="BK515" s="56">
        <f t="shared" si="321"/>
        <v>16078125</v>
      </c>
      <c r="BL515" s="57">
        <f t="shared" si="338"/>
        <v>1532707.041852134</v>
      </c>
      <c r="BM515" s="57">
        <f t="shared" si="339"/>
        <v>510902.34728404466</v>
      </c>
      <c r="BU515" s="58">
        <f t="shared" si="346"/>
        <v>1532707.041852134</v>
      </c>
      <c r="BV515" s="58">
        <f t="shared" si="349"/>
        <v>1532707.041852134</v>
      </c>
      <c r="BW515" s="58">
        <f t="shared" si="347"/>
        <v>3065414.0837042681</v>
      </c>
      <c r="BX515" s="58">
        <f t="shared" si="341"/>
        <v>1532707.041852134</v>
      </c>
      <c r="BY515" s="58">
        <f t="shared" si="350"/>
        <v>1532707.041852134</v>
      </c>
      <c r="BZ515" s="58">
        <f t="shared" si="348"/>
        <v>1532707.041852134</v>
      </c>
      <c r="CA515" s="58">
        <f t="shared" si="336"/>
        <v>1532707.041852134</v>
      </c>
      <c r="CB515" s="58">
        <f t="shared" si="310"/>
        <v>6130828.1674085362</v>
      </c>
      <c r="CC515" s="58">
        <f t="shared" si="311"/>
        <v>1532707.041852134</v>
      </c>
      <c r="CD515" s="58">
        <f t="shared" si="355"/>
        <v>1532707.041852134</v>
      </c>
      <c r="CE515" s="58">
        <f t="shared" si="355"/>
        <v>1532707.041852134</v>
      </c>
      <c r="CF515" s="58">
        <f t="shared" si="355"/>
        <v>1532707.041852134</v>
      </c>
      <c r="CG515" s="58">
        <f t="shared" si="312"/>
        <v>6130828.1674085362</v>
      </c>
      <c r="CH515" s="58">
        <f t="shared" si="342"/>
        <v>1532707.041852134</v>
      </c>
      <c r="CI515" s="58">
        <f t="shared" si="352"/>
        <v>1532707.041852134</v>
      </c>
      <c r="CJ515" s="58">
        <f t="shared" si="352"/>
        <v>1532707.041852134</v>
      </c>
      <c r="CK515" s="58">
        <f t="shared" si="352"/>
        <v>1532707.041852134</v>
      </c>
      <c r="CL515" s="58">
        <f t="shared" si="343"/>
        <v>6130828.1674085362</v>
      </c>
      <c r="CN515" s="59">
        <f t="shared" si="356"/>
        <v>1.5699285875842043E-3</v>
      </c>
      <c r="CO515" s="64">
        <f t="shared" si="357"/>
        <v>32968500.33926829</v>
      </c>
      <c r="CP515" s="2">
        <f t="shared" si="315"/>
        <v>49046625.33926829</v>
      </c>
    </row>
    <row r="516" spans="1:94" ht="16.5" hidden="1" x14ac:dyDescent="0.3">
      <c r="A516" s="2">
        <v>511</v>
      </c>
      <c r="B516" s="47" t="s">
        <v>21</v>
      </c>
      <c r="C516" s="47"/>
      <c r="D516" s="30" t="s">
        <v>1041</v>
      </c>
      <c r="E516" s="30" t="s">
        <v>1042</v>
      </c>
      <c r="F516" s="30" t="s">
        <v>1043</v>
      </c>
      <c r="G516" s="30" t="s">
        <v>117</v>
      </c>
      <c r="H516" s="30" t="s">
        <v>1058</v>
      </c>
      <c r="I516" s="30" t="s">
        <v>119</v>
      </c>
      <c r="J516" s="30" t="s">
        <v>1044</v>
      </c>
      <c r="K516" s="30" t="s">
        <v>1044</v>
      </c>
      <c r="L516" s="30" t="s">
        <v>1245</v>
      </c>
      <c r="M516" s="30">
        <v>1006850</v>
      </c>
      <c r="N516" s="30" t="s">
        <v>138</v>
      </c>
      <c r="O516" s="30" t="s">
        <v>1685</v>
      </c>
      <c r="P516" s="30" t="s">
        <v>1318</v>
      </c>
      <c r="Q516" s="30" t="s">
        <v>1319</v>
      </c>
      <c r="R516" s="30"/>
      <c r="S516" s="30" t="s">
        <v>1686</v>
      </c>
      <c r="T516" s="30"/>
      <c r="U516" s="30" t="s">
        <v>144</v>
      </c>
      <c r="V516" s="30" t="s">
        <v>437</v>
      </c>
      <c r="W516" s="30" t="s">
        <v>1321</v>
      </c>
      <c r="X516" s="30" t="s">
        <v>127</v>
      </c>
      <c r="Y516" s="30" t="s">
        <v>128</v>
      </c>
      <c r="Z516" s="30" t="s">
        <v>128</v>
      </c>
      <c r="AA516" s="30" t="s">
        <v>129</v>
      </c>
      <c r="AB516" s="30" t="s">
        <v>416</v>
      </c>
      <c r="AC516" s="30" t="s">
        <v>416</v>
      </c>
      <c r="AD516" s="30"/>
      <c r="AE516" s="30"/>
      <c r="AF516" s="30" t="s">
        <v>131</v>
      </c>
      <c r="AG516" s="30" t="s">
        <v>1250</v>
      </c>
      <c r="AH516" s="30"/>
      <c r="AI516" s="30"/>
      <c r="AJ516" s="50">
        <v>44557</v>
      </c>
      <c r="AK516" s="50">
        <v>44557</v>
      </c>
      <c r="AL516" s="51">
        <f t="shared" si="320"/>
        <v>3.8465753424657536</v>
      </c>
      <c r="AM516" s="30">
        <v>8</v>
      </c>
      <c r="AN516" s="30" t="s">
        <v>1065</v>
      </c>
      <c r="AO516" s="30" t="s">
        <v>1050</v>
      </c>
      <c r="AP516" s="30" t="s">
        <v>1051</v>
      </c>
      <c r="AQ516" s="30">
        <v>2.11</v>
      </c>
      <c r="AR516" s="30">
        <v>2640</v>
      </c>
      <c r="AS516" s="30">
        <v>1050</v>
      </c>
      <c r="AT516" s="30">
        <v>1880</v>
      </c>
      <c r="AU516" s="54">
        <v>30000000</v>
      </c>
      <c r="AV516" s="54"/>
      <c r="AW516" s="54"/>
      <c r="AX516" s="54"/>
      <c r="AY516" s="54">
        <v>13750000</v>
      </c>
      <c r="AZ516" s="54">
        <v>312500</v>
      </c>
      <c r="BA516" s="54">
        <v>15312500</v>
      </c>
      <c r="BB516" s="55">
        <f>VLOOKUP(M516,[1]Sheet1!$E$6:$F$556,2,FALSE)</f>
        <v>1449556</v>
      </c>
      <c r="BC516" s="74"/>
      <c r="BD516" s="74"/>
      <c r="BE516" s="30">
        <v>52</v>
      </c>
      <c r="BF516" s="30" t="s">
        <v>1134</v>
      </c>
      <c r="BG516" s="30" t="s">
        <v>1251</v>
      </c>
      <c r="BH516" s="30" t="s">
        <v>1054</v>
      </c>
      <c r="BI516" s="30" t="str">
        <f t="shared" si="306"/>
        <v>COF(Assy_FT)</v>
      </c>
      <c r="BJ516" s="47" t="s">
        <v>137</v>
      </c>
      <c r="BK516" s="56">
        <f t="shared" si="321"/>
        <v>16078125</v>
      </c>
      <c r="BL516" s="57">
        <f t="shared" si="338"/>
        <v>1532707.041852134</v>
      </c>
      <c r="BM516" s="57">
        <f t="shared" si="339"/>
        <v>510902.34728404466</v>
      </c>
      <c r="BU516" s="58">
        <f t="shared" si="346"/>
        <v>1532707.041852134</v>
      </c>
      <c r="BV516" s="58">
        <f t="shared" si="349"/>
        <v>1532707.041852134</v>
      </c>
      <c r="BW516" s="58">
        <f t="shared" si="347"/>
        <v>3065414.0837042681</v>
      </c>
      <c r="BX516" s="58">
        <f t="shared" si="341"/>
        <v>1532707.041852134</v>
      </c>
      <c r="BY516" s="58">
        <f t="shared" si="350"/>
        <v>1532707.041852134</v>
      </c>
      <c r="BZ516" s="58">
        <f t="shared" si="348"/>
        <v>1532707.041852134</v>
      </c>
      <c r="CA516" s="58">
        <f t="shared" si="336"/>
        <v>1532707.041852134</v>
      </c>
      <c r="CB516" s="58">
        <f t="shared" si="310"/>
        <v>6130828.1674085362</v>
      </c>
      <c r="CC516" s="58">
        <f t="shared" si="311"/>
        <v>1532707.041852134</v>
      </c>
      <c r="CD516" s="58">
        <f t="shared" si="355"/>
        <v>1532707.041852134</v>
      </c>
      <c r="CE516" s="58">
        <f t="shared" si="355"/>
        <v>1532707.041852134</v>
      </c>
      <c r="CF516" s="58">
        <f t="shared" si="355"/>
        <v>1532707.041852134</v>
      </c>
      <c r="CG516" s="58">
        <f t="shared" si="312"/>
        <v>6130828.1674085362</v>
      </c>
      <c r="CH516" s="58">
        <f t="shared" si="342"/>
        <v>1532707.041852134</v>
      </c>
      <c r="CI516" s="58">
        <f t="shared" si="352"/>
        <v>1532707.041852134</v>
      </c>
      <c r="CJ516" s="58">
        <f t="shared" si="352"/>
        <v>1532707.041852134</v>
      </c>
      <c r="CK516" s="58">
        <f t="shared" si="352"/>
        <v>1532707.041852134</v>
      </c>
      <c r="CL516" s="58">
        <f t="shared" si="343"/>
        <v>6130828.1674085362</v>
      </c>
      <c r="CN516" s="59">
        <f t="shared" si="356"/>
        <v>1.5699285875842043E-3</v>
      </c>
      <c r="CO516" s="64">
        <f t="shared" si="357"/>
        <v>32968500.33926829</v>
      </c>
      <c r="CP516" s="2">
        <f t="shared" si="315"/>
        <v>49046625.33926829</v>
      </c>
    </row>
    <row r="517" spans="1:94" hidden="1" x14ac:dyDescent="0.3">
      <c r="A517" s="29">
        <v>512</v>
      </c>
      <c r="B517" s="30" t="s">
        <v>21</v>
      </c>
      <c r="C517" s="30"/>
      <c r="D517" s="30" t="s">
        <v>1041</v>
      </c>
      <c r="E517" s="30" t="s">
        <v>1042</v>
      </c>
      <c r="F517" s="30" t="s">
        <v>1043</v>
      </c>
      <c r="G517" s="30" t="s">
        <v>117</v>
      </c>
      <c r="H517" s="30" t="s">
        <v>1058</v>
      </c>
      <c r="I517" s="30" t="s">
        <v>119</v>
      </c>
      <c r="J517" s="30" t="s">
        <v>1044</v>
      </c>
      <c r="K517" s="30" t="s">
        <v>1044</v>
      </c>
      <c r="L517" s="30" t="s">
        <v>1633</v>
      </c>
      <c r="M517" s="30">
        <v>1006962</v>
      </c>
      <c r="N517" s="30" t="s">
        <v>138</v>
      </c>
      <c r="O517" s="30" t="s">
        <v>1687</v>
      </c>
      <c r="P517" s="30" t="s">
        <v>1635</v>
      </c>
      <c r="Q517" s="30" t="s">
        <v>1635</v>
      </c>
      <c r="R517" s="30"/>
      <c r="S517" s="30" t="s">
        <v>1688</v>
      </c>
      <c r="T517" s="30"/>
      <c r="U517" s="30" t="s">
        <v>144</v>
      </c>
      <c r="V517" s="30" t="s">
        <v>437</v>
      </c>
      <c r="W517" s="30" t="s">
        <v>1638</v>
      </c>
      <c r="X517" s="129" t="s">
        <v>1648</v>
      </c>
      <c r="Y517" s="125" t="s">
        <v>128</v>
      </c>
      <c r="Z517" s="125" t="s">
        <v>128</v>
      </c>
      <c r="AA517" s="30" t="s">
        <v>129</v>
      </c>
      <c r="AB517" s="30" t="s">
        <v>1640</v>
      </c>
      <c r="AC517" s="30"/>
      <c r="AD517" s="30"/>
      <c r="AE517" s="30"/>
      <c r="AF517" s="30" t="s">
        <v>131</v>
      </c>
      <c r="AG517" s="30" t="s">
        <v>774</v>
      </c>
      <c r="AH517" s="30"/>
      <c r="AI517" s="30"/>
      <c r="AJ517" s="50">
        <v>44711</v>
      </c>
      <c r="AK517" s="50">
        <v>44711</v>
      </c>
      <c r="AL517" s="51">
        <f t="shared" si="320"/>
        <v>3.4246575342465753</v>
      </c>
      <c r="AM517" s="30">
        <v>8</v>
      </c>
      <c r="AN517" s="30" t="s">
        <v>1065</v>
      </c>
      <c r="AO517" s="30" t="s">
        <v>1050</v>
      </c>
      <c r="AP517" s="30" t="s">
        <v>1187</v>
      </c>
      <c r="AQ517" s="30">
        <v>3.96</v>
      </c>
      <c r="AR517" s="30">
        <v>3226</v>
      </c>
      <c r="AS517" s="30">
        <v>2366</v>
      </c>
      <c r="AT517" s="30">
        <v>1240</v>
      </c>
      <c r="AU517" s="74">
        <v>350000000</v>
      </c>
      <c r="AV517" s="54"/>
      <c r="AW517" s="54"/>
      <c r="AX517" s="54"/>
      <c r="AY517" s="54">
        <v>142187497</v>
      </c>
      <c r="AZ517" s="54">
        <v>3645833</v>
      </c>
      <c r="BA517" s="74">
        <v>196875004</v>
      </c>
      <c r="BB517" s="55">
        <f>VLOOKUP(M517,[1]Sheet1!$E$6:$F$556,2,FALSE)</f>
        <v>18833228</v>
      </c>
      <c r="BC517" s="74"/>
      <c r="BD517" s="74"/>
      <c r="BE517" s="128">
        <v>57.000006034286265</v>
      </c>
      <c r="BF517" s="30" t="s">
        <v>1134</v>
      </c>
      <c r="BG517" s="30" t="s">
        <v>1641</v>
      </c>
      <c r="BH517" s="30" t="s">
        <v>1054</v>
      </c>
      <c r="BI517" s="30" t="str">
        <f t="shared" si="306"/>
        <v>COF(Assy_FT)</v>
      </c>
      <c r="BJ517" s="30" t="s">
        <v>250</v>
      </c>
      <c r="BK517" s="67">
        <f t="shared" si="321"/>
        <v>206718754.20000002</v>
      </c>
      <c r="BL517" s="68">
        <f t="shared" si="338"/>
        <v>6459961.0687500006</v>
      </c>
      <c r="BM517" s="68">
        <f t="shared" si="339"/>
        <v>2153320.3562500002</v>
      </c>
      <c r="BU517" s="58">
        <f t="shared" si="346"/>
        <v>6459961.0687500006</v>
      </c>
      <c r="BV517" s="58">
        <f t="shared" si="349"/>
        <v>6459961.0687500006</v>
      </c>
      <c r="BW517" s="58">
        <f t="shared" si="347"/>
        <v>12919922.137500001</v>
      </c>
      <c r="BX517" s="58">
        <f t="shared" si="341"/>
        <v>6459961.0687500006</v>
      </c>
      <c r="BY517" s="58">
        <f t="shared" si="350"/>
        <v>6459961.0687500006</v>
      </c>
      <c r="BZ517" s="58">
        <f t="shared" si="348"/>
        <v>6459961.0687500006</v>
      </c>
      <c r="CA517" s="58">
        <f t="shared" si="336"/>
        <v>6459961.0687500006</v>
      </c>
      <c r="CB517" s="58">
        <f t="shared" si="310"/>
        <v>25839844.275000002</v>
      </c>
      <c r="CC517" s="58">
        <f t="shared" si="311"/>
        <v>6459961.0687500006</v>
      </c>
      <c r="CD517" s="58">
        <f t="shared" si="355"/>
        <v>6459961.0687500006</v>
      </c>
      <c r="CE517" s="58">
        <f t="shared" si="355"/>
        <v>6459961.0687500006</v>
      </c>
      <c r="CF517" s="58">
        <f t="shared" si="355"/>
        <v>6459961.0687500006</v>
      </c>
      <c r="CG517" s="58">
        <f t="shared" si="312"/>
        <v>25839844.275000002</v>
      </c>
      <c r="CH517" s="58">
        <f t="shared" si="342"/>
        <v>6459961.0687500006</v>
      </c>
      <c r="CI517" s="58">
        <f t="shared" si="352"/>
        <v>6459961.0687500006</v>
      </c>
      <c r="CJ517" s="58">
        <f t="shared" si="352"/>
        <v>6459961.0687500006</v>
      </c>
      <c r="CK517" s="58">
        <f t="shared" si="352"/>
        <v>6459961.0687500006</v>
      </c>
      <c r="CL517" s="58">
        <f t="shared" si="343"/>
        <v>25839844.275000002</v>
      </c>
      <c r="CP517" s="2">
        <f t="shared" si="315"/>
        <v>206718754.20000002</v>
      </c>
    </row>
    <row r="518" spans="1:94" hidden="1" x14ac:dyDescent="0.3">
      <c r="A518" s="29">
        <v>513</v>
      </c>
      <c r="B518" s="30" t="s">
        <v>21</v>
      </c>
      <c r="C518" s="30"/>
      <c r="D518" s="30" t="s">
        <v>1041</v>
      </c>
      <c r="E518" s="30" t="s">
        <v>1042</v>
      </c>
      <c r="F518" s="30" t="s">
        <v>1043</v>
      </c>
      <c r="G518" s="30" t="s">
        <v>117</v>
      </c>
      <c r="H518" s="30" t="s">
        <v>1058</v>
      </c>
      <c r="I518" s="30" t="s">
        <v>119</v>
      </c>
      <c r="J518" s="30" t="s">
        <v>1044</v>
      </c>
      <c r="K518" s="30" t="s">
        <v>1044</v>
      </c>
      <c r="L518" s="30" t="s">
        <v>1130</v>
      </c>
      <c r="M518" s="30">
        <v>1006750</v>
      </c>
      <c r="N518" s="30" t="s">
        <v>138</v>
      </c>
      <c r="O518" s="30" t="s">
        <v>1689</v>
      </c>
      <c r="P518" s="30" t="s">
        <v>1179</v>
      </c>
      <c r="Q518" s="30" t="s">
        <v>1179</v>
      </c>
      <c r="R518" s="30" t="s">
        <v>1463</v>
      </c>
      <c r="S518" s="30" t="s">
        <v>1690</v>
      </c>
      <c r="T518" s="30" t="s">
        <v>1183</v>
      </c>
      <c r="U518" s="30" t="s">
        <v>144</v>
      </c>
      <c r="V518" s="30" t="s">
        <v>600</v>
      </c>
      <c r="W518" s="30" t="s">
        <v>1184</v>
      </c>
      <c r="X518" s="30"/>
      <c r="Y518" s="30" t="s">
        <v>457</v>
      </c>
      <c r="Z518" s="30" t="s">
        <v>457</v>
      </c>
      <c r="AA518" s="30" t="s">
        <v>148</v>
      </c>
      <c r="AB518" s="30" t="s">
        <v>1185</v>
      </c>
      <c r="AC518" s="30" t="s">
        <v>1185</v>
      </c>
      <c r="AD518" s="30"/>
      <c r="AE518" s="30"/>
      <c r="AF518" s="30" t="s">
        <v>593</v>
      </c>
      <c r="AG518" s="30" t="s">
        <v>774</v>
      </c>
      <c r="AH518" s="30" t="s">
        <v>1186</v>
      </c>
      <c r="AI518" s="30"/>
      <c r="AJ518" s="50">
        <v>44433</v>
      </c>
      <c r="AK518" s="50">
        <v>44433</v>
      </c>
      <c r="AL518" s="51">
        <f t="shared" si="320"/>
        <v>4.1863013698630134</v>
      </c>
      <c r="AM518" s="30">
        <v>8</v>
      </c>
      <c r="AN518" s="30" t="s">
        <v>1065</v>
      </c>
      <c r="AO518" s="30" t="s">
        <v>1050</v>
      </c>
      <c r="AP518" s="30" t="s">
        <v>1187</v>
      </c>
      <c r="AQ518" s="30">
        <v>3.6</v>
      </c>
      <c r="AR518" s="30">
        <v>2820</v>
      </c>
      <c r="AS518" s="30">
        <v>1154</v>
      </c>
      <c r="AT518" s="30">
        <v>2020</v>
      </c>
      <c r="AU518" s="74">
        <v>454056148</v>
      </c>
      <c r="AV518" s="54"/>
      <c r="AW518" s="54"/>
      <c r="AX518" s="54"/>
      <c r="AY518" s="54">
        <v>223673908</v>
      </c>
      <c r="AZ518" s="54">
        <v>4729752</v>
      </c>
      <c r="BA518" s="74">
        <v>216192984</v>
      </c>
      <c r="BB518" s="55">
        <f>VLOOKUP(M518,[1]Sheet1!$E$6:$F$556,2,FALSE)</f>
        <v>20273758</v>
      </c>
      <c r="BC518" s="74"/>
      <c r="BD518" s="74"/>
      <c r="BE518" s="128">
        <v>48.709158535162096</v>
      </c>
      <c r="BF518" s="30" t="s">
        <v>1134</v>
      </c>
      <c r="BG518" s="30" t="s">
        <v>1074</v>
      </c>
      <c r="BH518" s="30" t="s">
        <v>1054</v>
      </c>
      <c r="BI518" s="30" t="str">
        <f t="shared" si="306"/>
        <v>COF(Assy_FT)</v>
      </c>
      <c r="BJ518" s="30" t="s">
        <v>250</v>
      </c>
      <c r="BK518" s="56">
        <f t="shared" si="321"/>
        <v>227002633.20000002</v>
      </c>
      <c r="BL518" s="57">
        <f t="shared" si="338"/>
        <v>7093832.2875000006</v>
      </c>
      <c r="BM518" s="57">
        <f t="shared" si="339"/>
        <v>2364610.7625000002</v>
      </c>
      <c r="BU518" s="58">
        <f t="shared" si="346"/>
        <v>7093832.2875000006</v>
      </c>
      <c r="BV518" s="58">
        <f t="shared" si="349"/>
        <v>7093832.2875000006</v>
      </c>
      <c r="BW518" s="58">
        <f t="shared" si="347"/>
        <v>14187664.575000001</v>
      </c>
      <c r="BX518" s="58">
        <f t="shared" si="341"/>
        <v>7093832.2875000006</v>
      </c>
      <c r="BY518" s="58">
        <f t="shared" si="350"/>
        <v>7093832.2875000006</v>
      </c>
      <c r="BZ518" s="58">
        <f t="shared" si="348"/>
        <v>7093832.2875000006</v>
      </c>
      <c r="CA518" s="58">
        <f t="shared" si="336"/>
        <v>7093832.2875000006</v>
      </c>
      <c r="CB518" s="58">
        <f>SUM(BX518:CA518)</f>
        <v>28375329.150000002</v>
      </c>
      <c r="CC518" s="58">
        <f>CA518</f>
        <v>7093832.2875000006</v>
      </c>
      <c r="CD518" s="58">
        <f t="shared" si="355"/>
        <v>7093832.2875000006</v>
      </c>
      <c r="CE518" s="58">
        <f t="shared" si="355"/>
        <v>7093832.2875000006</v>
      </c>
      <c r="CF518" s="58">
        <f t="shared" si="355"/>
        <v>7093832.2875000006</v>
      </c>
      <c r="CG518" s="58">
        <f>SUM(CC518:CF518)</f>
        <v>28375329.150000002</v>
      </c>
      <c r="CH518" s="58">
        <f t="shared" si="342"/>
        <v>7093832.2875000006</v>
      </c>
      <c r="CI518" s="58">
        <f t="shared" si="352"/>
        <v>7093832.2875000006</v>
      </c>
      <c r="CJ518" s="58">
        <f t="shared" si="352"/>
        <v>7093832.2875000006</v>
      </c>
      <c r="CK518" s="58">
        <f t="shared" si="352"/>
        <v>7093832.2875000006</v>
      </c>
      <c r="CL518" s="58">
        <f t="shared" si="343"/>
        <v>28375329.150000002</v>
      </c>
      <c r="CP518" s="2">
        <f t="shared" si="315"/>
        <v>227002633.20000002</v>
      </c>
    </row>
    <row r="519" spans="1:94" hidden="1" x14ac:dyDescent="0.3">
      <c r="A519" s="29">
        <v>514</v>
      </c>
      <c r="B519" s="30" t="s">
        <v>21</v>
      </c>
      <c r="C519" s="30"/>
      <c r="D519" s="30" t="s">
        <v>1041</v>
      </c>
      <c r="E519" s="30" t="s">
        <v>1042</v>
      </c>
      <c r="F519" s="30" t="s">
        <v>1043</v>
      </c>
      <c r="G519" s="30" t="s">
        <v>117</v>
      </c>
      <c r="H519" s="30" t="s">
        <v>1058</v>
      </c>
      <c r="I519" s="30" t="s">
        <v>119</v>
      </c>
      <c r="J519" s="30" t="s">
        <v>1044</v>
      </c>
      <c r="K519" s="30" t="s">
        <v>1044</v>
      </c>
      <c r="L519" s="30" t="s">
        <v>1130</v>
      </c>
      <c r="M519" s="30">
        <v>1006748</v>
      </c>
      <c r="N519" s="30" t="s">
        <v>138</v>
      </c>
      <c r="O519" s="30" t="s">
        <v>1691</v>
      </c>
      <c r="P519" s="30" t="s">
        <v>1179</v>
      </c>
      <c r="Q519" s="30" t="s">
        <v>1179</v>
      </c>
      <c r="R519" s="30" t="s">
        <v>1463</v>
      </c>
      <c r="S519" s="30" t="s">
        <v>1692</v>
      </c>
      <c r="T519" s="30" t="s">
        <v>1183</v>
      </c>
      <c r="U519" s="30" t="s">
        <v>144</v>
      </c>
      <c r="V519" s="30" t="s">
        <v>600</v>
      </c>
      <c r="W519" s="30" t="s">
        <v>1184</v>
      </c>
      <c r="X519" s="30"/>
      <c r="Y519" s="30" t="s">
        <v>457</v>
      </c>
      <c r="Z519" s="30" t="s">
        <v>457</v>
      </c>
      <c r="AA519" s="30" t="s">
        <v>148</v>
      </c>
      <c r="AB519" s="30" t="s">
        <v>1185</v>
      </c>
      <c r="AC519" s="30" t="s">
        <v>1185</v>
      </c>
      <c r="AD519" s="30"/>
      <c r="AE519" s="30"/>
      <c r="AF519" s="30" t="s">
        <v>593</v>
      </c>
      <c r="AG519" s="30" t="s">
        <v>774</v>
      </c>
      <c r="AH519" s="30" t="s">
        <v>1186</v>
      </c>
      <c r="AI519" s="30"/>
      <c r="AJ519" s="50">
        <v>44433</v>
      </c>
      <c r="AK519" s="50">
        <v>44433</v>
      </c>
      <c r="AL519" s="51">
        <f t="shared" si="320"/>
        <v>4.1863013698630134</v>
      </c>
      <c r="AM519" s="30">
        <v>8</v>
      </c>
      <c r="AN519" s="30" t="s">
        <v>1065</v>
      </c>
      <c r="AO519" s="30" t="s">
        <v>1050</v>
      </c>
      <c r="AP519" s="30" t="s">
        <v>1187</v>
      </c>
      <c r="AQ519" s="30">
        <v>3.6</v>
      </c>
      <c r="AR519" s="30">
        <v>2820</v>
      </c>
      <c r="AS519" s="30">
        <v>1154</v>
      </c>
      <c r="AT519" s="30">
        <v>2020</v>
      </c>
      <c r="AU519" s="74">
        <v>454056149</v>
      </c>
      <c r="AV519" s="54"/>
      <c r="AW519" s="54"/>
      <c r="AX519" s="54"/>
      <c r="AY519" s="54">
        <v>223673908</v>
      </c>
      <c r="AZ519" s="54">
        <v>4729752</v>
      </c>
      <c r="BA519" s="74">
        <v>216192985</v>
      </c>
      <c r="BB519" s="55">
        <f>VLOOKUP(M519,[1]Sheet1!$E$6:$F$556,2,FALSE)</f>
        <v>20273758</v>
      </c>
      <c r="BC519" s="74"/>
      <c r="BD519" s="74"/>
      <c r="BE519" s="128">
        <v>48.709158746589672</v>
      </c>
      <c r="BF519" s="30" t="s">
        <v>1134</v>
      </c>
      <c r="BG519" s="30" t="s">
        <v>1074</v>
      </c>
      <c r="BH519" s="30" t="s">
        <v>1054</v>
      </c>
      <c r="BI519" s="30" t="str">
        <f t="shared" ref="BI519:BI582" si="358">BH519</f>
        <v>COF(Assy_FT)</v>
      </c>
      <c r="BJ519" s="30" t="s">
        <v>250</v>
      </c>
      <c r="BK519" s="56">
        <f t="shared" si="321"/>
        <v>227002634.25</v>
      </c>
      <c r="BL519" s="57">
        <f t="shared" si="338"/>
        <v>7093832.3203125</v>
      </c>
      <c r="BM519" s="57">
        <f t="shared" si="339"/>
        <v>2364610.7734375</v>
      </c>
      <c r="BU519" s="58">
        <f t="shared" si="346"/>
        <v>7093832.3203125</v>
      </c>
      <c r="BV519" s="58">
        <f t="shared" si="349"/>
        <v>7093832.3203125</v>
      </c>
      <c r="BW519" s="58">
        <f t="shared" si="347"/>
        <v>14187664.640625</v>
      </c>
      <c r="BX519" s="58">
        <f t="shared" si="341"/>
        <v>7093832.3203125</v>
      </c>
      <c r="BY519" s="58">
        <f t="shared" si="350"/>
        <v>7093832.3203125</v>
      </c>
      <c r="BZ519" s="58">
        <f t="shared" si="348"/>
        <v>7093832.3203125</v>
      </c>
      <c r="CA519" s="58">
        <f t="shared" si="336"/>
        <v>7093832.3203125</v>
      </c>
      <c r="CB519" s="58">
        <f>SUM(BX519:CA519)</f>
        <v>28375329.28125</v>
      </c>
      <c r="CC519" s="58">
        <f>CA519</f>
        <v>7093832.3203125</v>
      </c>
      <c r="CD519" s="58">
        <f t="shared" si="355"/>
        <v>7093832.3203125</v>
      </c>
      <c r="CE519" s="58">
        <f t="shared" si="355"/>
        <v>7093832.3203125</v>
      </c>
      <c r="CF519" s="58">
        <f t="shared" si="355"/>
        <v>7093832.3203125</v>
      </c>
      <c r="CG519" s="58">
        <f>SUM(CC519:CF519)</f>
        <v>28375329.28125</v>
      </c>
      <c r="CH519" s="58">
        <f t="shared" si="342"/>
        <v>7093832.3203125</v>
      </c>
      <c r="CI519" s="58">
        <f t="shared" si="352"/>
        <v>7093832.3203125</v>
      </c>
      <c r="CJ519" s="58">
        <f t="shared" si="352"/>
        <v>7093832.3203125</v>
      </c>
      <c r="CK519" s="58">
        <f t="shared" si="352"/>
        <v>7093832.3203125</v>
      </c>
      <c r="CL519" s="58">
        <f t="shared" si="343"/>
        <v>28375329.28125</v>
      </c>
      <c r="CP519" s="2">
        <f t="shared" ref="CP519:CP582" si="359">CO519+BK519</f>
        <v>227002634.25</v>
      </c>
    </row>
    <row r="520" spans="1:94" ht="16.5" hidden="1" x14ac:dyDescent="0.3">
      <c r="A520" s="2">
        <v>515</v>
      </c>
      <c r="B520" s="47" t="s">
        <v>21</v>
      </c>
      <c r="C520" s="47"/>
      <c r="D520" s="30" t="s">
        <v>1041</v>
      </c>
      <c r="E520" s="30" t="s">
        <v>1042</v>
      </c>
      <c r="F520" s="30" t="s">
        <v>1043</v>
      </c>
      <c r="G520" s="30" t="s">
        <v>117</v>
      </c>
      <c r="H520" s="30" t="s">
        <v>1058</v>
      </c>
      <c r="I520" s="30" t="s">
        <v>119</v>
      </c>
      <c r="J520" s="30" t="s">
        <v>1044</v>
      </c>
      <c r="K520" s="30" t="s">
        <v>1044</v>
      </c>
      <c r="L520" s="30" t="s">
        <v>1130</v>
      </c>
      <c r="M520" s="30">
        <v>1005501</v>
      </c>
      <c r="N520" s="30" t="s">
        <v>123</v>
      </c>
      <c r="O520" s="30" t="s">
        <v>1693</v>
      </c>
      <c r="P520" s="30"/>
      <c r="Q520" s="30" t="s">
        <v>1018</v>
      </c>
      <c r="R520" s="30"/>
      <c r="S520" s="30"/>
      <c r="T520" s="30"/>
      <c r="U520" s="30" t="s">
        <v>144</v>
      </c>
      <c r="V520" s="30" t="s">
        <v>437</v>
      </c>
      <c r="W520" s="30"/>
      <c r="X520" s="30" t="s">
        <v>127</v>
      </c>
      <c r="Y520" s="30" t="s">
        <v>576</v>
      </c>
      <c r="Z520" s="30" t="s">
        <v>576</v>
      </c>
      <c r="AA520" s="30" t="s">
        <v>129</v>
      </c>
      <c r="AB520" s="30"/>
      <c r="AC520" s="30"/>
      <c r="AD520" s="30"/>
      <c r="AE520" s="30"/>
      <c r="AF520" s="30"/>
      <c r="AG520" s="30"/>
      <c r="AH520" s="30"/>
      <c r="AI520" s="30"/>
      <c r="AJ520" s="50">
        <v>43279</v>
      </c>
      <c r="AK520" s="50">
        <v>43279</v>
      </c>
      <c r="AL520" s="51">
        <f t="shared" si="320"/>
        <v>7.3479452054794523</v>
      </c>
      <c r="AM520" s="30">
        <v>8</v>
      </c>
      <c r="AN520" s="30" t="s">
        <v>1065</v>
      </c>
      <c r="AO520" s="30" t="s">
        <v>1050</v>
      </c>
      <c r="AP520" s="30" t="s">
        <v>1051</v>
      </c>
      <c r="AQ520" s="30">
        <v>0</v>
      </c>
      <c r="AR520" s="30"/>
      <c r="AS520" s="30"/>
      <c r="AT520" s="30"/>
      <c r="AU520" s="54">
        <v>22100000</v>
      </c>
      <c r="AV520" s="54"/>
      <c r="AW520" s="54"/>
      <c r="AX520" s="54"/>
      <c r="AY520" s="54">
        <v>19797912</v>
      </c>
      <c r="AZ520" s="54">
        <v>230208</v>
      </c>
      <c r="BA520" s="54">
        <v>1611464</v>
      </c>
      <c r="BB520" s="55">
        <f>VLOOKUP(M520,[1]Sheet1!$E$6:$F$556,2,FALSE)</f>
        <v>49139</v>
      </c>
      <c r="BC520" s="74"/>
      <c r="BD520" s="74"/>
      <c r="BE520" s="128">
        <v>10.00003475118154</v>
      </c>
      <c r="BF520" s="30" t="s">
        <v>1134</v>
      </c>
      <c r="BG520" s="30" t="s">
        <v>1074</v>
      </c>
      <c r="BH520" s="30" t="s">
        <v>1054</v>
      </c>
      <c r="BI520" s="30" t="str">
        <f t="shared" si="358"/>
        <v>COF(Assy_FT)</v>
      </c>
      <c r="BJ520" s="47" t="s">
        <v>137</v>
      </c>
      <c r="BK520" s="56">
        <f t="shared" si="321"/>
        <v>1692037.2000000002</v>
      </c>
      <c r="BL520" s="57">
        <f t="shared" si="338"/>
        <v>161299.73684840539</v>
      </c>
      <c r="BM520" s="57">
        <f t="shared" si="339"/>
        <v>53766.578949468465</v>
      </c>
      <c r="BU520" s="58">
        <f>BM520*3</f>
        <v>161299.73684840539</v>
      </c>
      <c r="BV520" s="58">
        <f t="shared" si="349"/>
        <v>161299.73684840539</v>
      </c>
      <c r="BW520" s="58">
        <f>SUM(BS520:BV520)</f>
        <v>322599.47369681078</v>
      </c>
      <c r="BX520" s="58">
        <f t="shared" si="341"/>
        <v>161299.73684840539</v>
      </c>
      <c r="BY520" s="58">
        <f t="shared" si="350"/>
        <v>161299.73684840539</v>
      </c>
      <c r="BZ520" s="58">
        <f>BM520*3</f>
        <v>161299.73684840539</v>
      </c>
      <c r="CA520" s="58">
        <f t="shared" si="336"/>
        <v>161299.73684840539</v>
      </c>
      <c r="CB520" s="58">
        <f t="shared" ref="CB520:CB581" si="360">SUM(BX520:CA520)</f>
        <v>645198.94739362155</v>
      </c>
      <c r="CC520" s="58">
        <f t="shared" ref="CC520:CC581" si="361">CA520</f>
        <v>161299.73684840539</v>
      </c>
      <c r="CD520" s="58">
        <f t="shared" si="355"/>
        <v>161299.73684840539</v>
      </c>
      <c r="CE520" s="58">
        <f t="shared" si="355"/>
        <v>161299.73684840539</v>
      </c>
      <c r="CF520" s="58">
        <f t="shared" si="355"/>
        <v>161299.73684840539</v>
      </c>
      <c r="CG520" s="58">
        <f t="shared" ref="CG520:CG581" si="362">SUM(CC520:CF520)</f>
        <v>645198.94739362155</v>
      </c>
      <c r="CH520" s="58">
        <f t="shared" si="342"/>
        <v>161299.73684840539</v>
      </c>
      <c r="CI520" s="58">
        <f t="shared" si="352"/>
        <v>161299.73684840539</v>
      </c>
      <c r="CJ520" s="58">
        <f t="shared" si="352"/>
        <v>161299.73684840539</v>
      </c>
      <c r="CK520" s="58">
        <f t="shared" si="352"/>
        <v>161299.73684840539</v>
      </c>
      <c r="CL520" s="58">
        <f t="shared" si="343"/>
        <v>645198.94739362155</v>
      </c>
      <c r="CN520" s="59">
        <f t="shared" ref="CN520:CN521" si="363">BK520/$CN$3</f>
        <v>1.6521687519757011E-4</v>
      </c>
      <c r="CO520" s="64">
        <f t="shared" ref="CO520:CO521" si="364">CN520*$CO$4</f>
        <v>3469554.3791489722</v>
      </c>
      <c r="CP520" s="2">
        <f t="shared" si="359"/>
        <v>5161591.5791489724</v>
      </c>
    </row>
    <row r="521" spans="1:94" ht="16.5" hidden="1" x14ac:dyDescent="0.3">
      <c r="A521" s="2">
        <v>516</v>
      </c>
      <c r="B521" s="47" t="s">
        <v>21</v>
      </c>
      <c r="C521" s="47"/>
      <c r="D521" s="30" t="s">
        <v>1041</v>
      </c>
      <c r="E521" s="30" t="s">
        <v>1042</v>
      </c>
      <c r="F521" s="30" t="s">
        <v>1043</v>
      </c>
      <c r="G521" s="30" t="s">
        <v>117</v>
      </c>
      <c r="H521" s="30" t="s">
        <v>1058</v>
      </c>
      <c r="I521" s="30" t="s">
        <v>119</v>
      </c>
      <c r="J521" s="30" t="s">
        <v>1044</v>
      </c>
      <c r="K521" s="30" t="s">
        <v>1044</v>
      </c>
      <c r="L521" s="30" t="s">
        <v>1130</v>
      </c>
      <c r="M521" s="30">
        <v>1005503</v>
      </c>
      <c r="N521" s="30" t="s">
        <v>123</v>
      </c>
      <c r="O521" s="30" t="s">
        <v>1694</v>
      </c>
      <c r="P521" s="30"/>
      <c r="Q521" s="30" t="s">
        <v>1018</v>
      </c>
      <c r="R521" s="30"/>
      <c r="S521" s="30"/>
      <c r="T521" s="30"/>
      <c r="U521" s="30" t="s">
        <v>144</v>
      </c>
      <c r="V521" s="30" t="s">
        <v>437</v>
      </c>
      <c r="W521" s="30"/>
      <c r="X521" s="30" t="s">
        <v>127</v>
      </c>
      <c r="Y521" s="30" t="s">
        <v>576</v>
      </c>
      <c r="Z521" s="30" t="s">
        <v>576</v>
      </c>
      <c r="AA521" s="30" t="s">
        <v>129</v>
      </c>
      <c r="AB521" s="30"/>
      <c r="AC521" s="30"/>
      <c r="AD521" s="30"/>
      <c r="AE521" s="30"/>
      <c r="AF521" s="30"/>
      <c r="AG521" s="30"/>
      <c r="AH521" s="30"/>
      <c r="AI521" s="30"/>
      <c r="AJ521" s="50">
        <v>43279</v>
      </c>
      <c r="AK521" s="50">
        <v>43279</v>
      </c>
      <c r="AL521" s="51">
        <f t="shared" si="320"/>
        <v>7.3479452054794523</v>
      </c>
      <c r="AM521" s="30">
        <v>8</v>
      </c>
      <c r="AN521" s="30" t="s">
        <v>1065</v>
      </c>
      <c r="AO521" s="30" t="s">
        <v>1050</v>
      </c>
      <c r="AP521" s="30" t="s">
        <v>1051</v>
      </c>
      <c r="AQ521" s="30">
        <v>0</v>
      </c>
      <c r="AR521" s="30"/>
      <c r="AS521" s="30"/>
      <c r="AT521" s="30"/>
      <c r="AU521" s="54">
        <v>4320000</v>
      </c>
      <c r="AV521" s="54"/>
      <c r="AW521" s="54"/>
      <c r="AX521" s="54"/>
      <c r="AY521" s="54">
        <v>3870000</v>
      </c>
      <c r="AZ521" s="54">
        <v>45000</v>
      </c>
      <c r="BA521" s="54">
        <v>315000</v>
      </c>
      <c r="BB521" s="55">
        <f>VLOOKUP(M521,[1]Sheet1!$E$6:$F$556,2,FALSE)</f>
        <v>10088</v>
      </c>
      <c r="BC521" s="74"/>
      <c r="BD521" s="74"/>
      <c r="BE521" s="128">
        <v>10</v>
      </c>
      <c r="BF521" s="30" t="s">
        <v>1134</v>
      </c>
      <c r="BG521" s="30" t="s">
        <v>1074</v>
      </c>
      <c r="BH521" s="30" t="s">
        <v>1054</v>
      </c>
      <c r="BI521" s="30" t="str">
        <f t="shared" si="358"/>
        <v>COF(Assy_FT)</v>
      </c>
      <c r="BJ521" s="47" t="s">
        <v>137</v>
      </c>
      <c r="BK521" s="56">
        <f t="shared" si="321"/>
        <v>330750</v>
      </c>
      <c r="BL521" s="57">
        <f t="shared" si="338"/>
        <v>31529.97343238676</v>
      </c>
      <c r="BM521" s="57">
        <f t="shared" si="339"/>
        <v>10509.99114412892</v>
      </c>
      <c r="BU521" s="58">
        <f>BM521*3</f>
        <v>31529.97343238676</v>
      </c>
      <c r="BV521" s="58">
        <f t="shared" si="349"/>
        <v>31529.97343238676</v>
      </c>
      <c r="BW521" s="58">
        <f>SUM(BS521:BV521)</f>
        <v>63059.946864773519</v>
      </c>
      <c r="BX521" s="58">
        <f t="shared" si="341"/>
        <v>31529.97343238676</v>
      </c>
      <c r="BY521" s="58">
        <f t="shared" si="350"/>
        <v>31529.97343238676</v>
      </c>
      <c r="BZ521" s="58">
        <f>BM521*3</f>
        <v>31529.97343238676</v>
      </c>
      <c r="CA521" s="58">
        <f t="shared" si="336"/>
        <v>31529.97343238676</v>
      </c>
      <c r="CB521" s="58">
        <f t="shared" si="360"/>
        <v>126119.89372954704</v>
      </c>
      <c r="CC521" s="58">
        <f t="shared" si="361"/>
        <v>31529.97343238676</v>
      </c>
      <c r="CD521" s="58">
        <f t="shared" si="355"/>
        <v>31529.97343238676</v>
      </c>
      <c r="CE521" s="58">
        <f t="shared" si="355"/>
        <v>31529.97343238676</v>
      </c>
      <c r="CF521" s="58">
        <f t="shared" si="355"/>
        <v>31529.97343238676</v>
      </c>
      <c r="CG521" s="58">
        <f t="shared" si="362"/>
        <v>126119.89372954704</v>
      </c>
      <c r="CH521" s="58">
        <f t="shared" si="342"/>
        <v>31529.97343238676</v>
      </c>
      <c r="CI521" s="58">
        <f t="shared" si="352"/>
        <v>31529.97343238676</v>
      </c>
      <c r="CJ521" s="58">
        <f t="shared" si="352"/>
        <v>31529.97343238676</v>
      </c>
      <c r="CK521" s="58">
        <f t="shared" si="352"/>
        <v>31529.97343238676</v>
      </c>
      <c r="CL521" s="58">
        <f t="shared" si="343"/>
        <v>126119.89372954704</v>
      </c>
      <c r="CN521" s="59">
        <f t="shared" si="363"/>
        <v>3.2295673801732205E-5</v>
      </c>
      <c r="CO521" s="64">
        <f t="shared" si="364"/>
        <v>678209.14983637631</v>
      </c>
      <c r="CP521" s="2">
        <f t="shared" si="359"/>
        <v>1008959.1498363763</v>
      </c>
    </row>
    <row r="522" spans="1:94" hidden="1" x14ac:dyDescent="0.3">
      <c r="A522" s="29">
        <v>517</v>
      </c>
      <c r="B522" s="30" t="s">
        <v>21</v>
      </c>
      <c r="C522" s="30"/>
      <c r="D522" s="30" t="s">
        <v>1041</v>
      </c>
      <c r="E522" s="30" t="s">
        <v>1042</v>
      </c>
      <c r="F522" s="30" t="s">
        <v>1043</v>
      </c>
      <c r="G522" s="30" t="s">
        <v>117</v>
      </c>
      <c r="H522" s="30" t="s">
        <v>1058</v>
      </c>
      <c r="I522" s="30" t="s">
        <v>119</v>
      </c>
      <c r="J522" s="30" t="s">
        <v>1044</v>
      </c>
      <c r="K522" s="30" t="s">
        <v>1044</v>
      </c>
      <c r="L522" s="30" t="s">
        <v>1633</v>
      </c>
      <c r="M522" s="30">
        <v>1007002</v>
      </c>
      <c r="N522" s="30" t="s">
        <v>138</v>
      </c>
      <c r="O522" s="30" t="s">
        <v>1695</v>
      </c>
      <c r="P522" s="30" t="s">
        <v>1643</v>
      </c>
      <c r="Q522" s="30" t="s">
        <v>1643</v>
      </c>
      <c r="R522" s="30"/>
      <c r="S522" s="30" t="s">
        <v>1696</v>
      </c>
      <c r="T522" s="30"/>
      <c r="U522" s="30" t="s">
        <v>144</v>
      </c>
      <c r="V522" s="30" t="s">
        <v>437</v>
      </c>
      <c r="W522" s="30" t="s">
        <v>1638</v>
      </c>
      <c r="X522" s="129" t="s">
        <v>1648</v>
      </c>
      <c r="Y522" s="125" t="s">
        <v>128</v>
      </c>
      <c r="Z522" s="125" t="s">
        <v>128</v>
      </c>
      <c r="AA522" s="30" t="s">
        <v>129</v>
      </c>
      <c r="AB522" s="30" t="s">
        <v>1640</v>
      </c>
      <c r="AC522" s="30"/>
      <c r="AD522" s="30"/>
      <c r="AE522" s="30"/>
      <c r="AF522" s="30" t="s">
        <v>131</v>
      </c>
      <c r="AG522" s="30" t="s">
        <v>774</v>
      </c>
      <c r="AH522" s="30"/>
      <c r="AI522" s="30"/>
      <c r="AJ522" s="50">
        <v>44796</v>
      </c>
      <c r="AK522" s="50">
        <v>44796</v>
      </c>
      <c r="AL522" s="51">
        <f t="shared" si="320"/>
        <v>3.1917808219178081</v>
      </c>
      <c r="AM522" s="30">
        <v>8</v>
      </c>
      <c r="AN522" s="30" t="s">
        <v>1065</v>
      </c>
      <c r="AO522" s="30" t="s">
        <v>1050</v>
      </c>
      <c r="AP522" s="30" t="s">
        <v>1187</v>
      </c>
      <c r="AQ522" s="30">
        <v>6.6</v>
      </c>
      <c r="AR522" s="30">
        <v>4784</v>
      </c>
      <c r="AS522" s="30">
        <v>1986</v>
      </c>
      <c r="AT522" s="30">
        <v>1324</v>
      </c>
      <c r="AU522" s="74">
        <v>421280000</v>
      </c>
      <c r="AV522" s="54"/>
      <c r="AW522" s="54"/>
      <c r="AX522" s="54"/>
      <c r="AY522" s="54">
        <v>157979997</v>
      </c>
      <c r="AZ522" s="54">
        <v>4388333</v>
      </c>
      <c r="BA522" s="74">
        <v>250135004</v>
      </c>
      <c r="BB522" s="55">
        <f>VLOOKUP(M522,[1]Sheet1!$E$6:$F$556,2,FALSE)</f>
        <v>24056632</v>
      </c>
      <c r="BC522" s="74"/>
      <c r="BD522" s="74"/>
      <c r="BE522" s="128">
        <v>60.000005241170165</v>
      </c>
      <c r="BF522" s="30" t="s">
        <v>1134</v>
      </c>
      <c r="BG522" s="30" t="s">
        <v>1641</v>
      </c>
      <c r="BH522" s="30" t="s">
        <v>1054</v>
      </c>
      <c r="BI522" s="30" t="str">
        <f t="shared" si="358"/>
        <v>COF(Assy_FT)</v>
      </c>
      <c r="BJ522" s="30" t="s">
        <v>250</v>
      </c>
      <c r="BK522" s="67">
        <f t="shared" si="321"/>
        <v>262641754.20000002</v>
      </c>
      <c r="BL522" s="68">
        <f t="shared" si="338"/>
        <v>8207554.8187500006</v>
      </c>
      <c r="BM522" s="68">
        <f t="shared" si="339"/>
        <v>2735851.6062500002</v>
      </c>
      <c r="BU522" s="58">
        <f>BM522*3</f>
        <v>8207554.8187500006</v>
      </c>
      <c r="BV522" s="58">
        <f t="shared" si="349"/>
        <v>8207554.8187500006</v>
      </c>
      <c r="BW522" s="58">
        <f>SUM(BS522:BV522)</f>
        <v>16415109.637500001</v>
      </c>
      <c r="BX522" s="58">
        <f t="shared" si="341"/>
        <v>8207554.8187500006</v>
      </c>
      <c r="BY522" s="58">
        <f t="shared" si="350"/>
        <v>8207554.8187500006</v>
      </c>
      <c r="BZ522" s="58">
        <f>BM522*3</f>
        <v>8207554.8187500006</v>
      </c>
      <c r="CA522" s="58">
        <f t="shared" si="336"/>
        <v>8207554.8187500006</v>
      </c>
      <c r="CB522" s="58">
        <f t="shared" si="360"/>
        <v>32830219.275000002</v>
      </c>
      <c r="CC522" s="58">
        <f t="shared" si="361"/>
        <v>8207554.8187500006</v>
      </c>
      <c r="CD522" s="58">
        <f t="shared" si="355"/>
        <v>8207554.8187500006</v>
      </c>
      <c r="CE522" s="58">
        <f t="shared" si="355"/>
        <v>8207554.8187500006</v>
      </c>
      <c r="CF522" s="58">
        <f t="shared" si="355"/>
        <v>8207554.8187500006</v>
      </c>
      <c r="CG522" s="58">
        <f t="shared" si="362"/>
        <v>32830219.275000002</v>
      </c>
      <c r="CH522" s="58">
        <f t="shared" si="342"/>
        <v>8207554.8187500006</v>
      </c>
      <c r="CI522" s="58">
        <f t="shared" si="352"/>
        <v>8207554.8187500006</v>
      </c>
      <c r="CJ522" s="58">
        <f t="shared" si="352"/>
        <v>8207554.8187500006</v>
      </c>
      <c r="CK522" s="58">
        <f t="shared" si="352"/>
        <v>8207554.8187500006</v>
      </c>
      <c r="CL522" s="58">
        <f t="shared" si="343"/>
        <v>32830219.275000002</v>
      </c>
      <c r="CP522" s="2">
        <f t="shared" si="359"/>
        <v>262641754.20000002</v>
      </c>
    </row>
    <row r="523" spans="1:94" hidden="1" x14ac:dyDescent="0.3">
      <c r="A523" s="29">
        <v>518</v>
      </c>
      <c r="B523" s="30" t="s">
        <v>21</v>
      </c>
      <c r="C523" s="30"/>
      <c r="D523" s="30" t="s">
        <v>1041</v>
      </c>
      <c r="E523" s="30" t="s">
        <v>1042</v>
      </c>
      <c r="F523" s="30" t="s">
        <v>1043</v>
      </c>
      <c r="G523" s="30" t="s">
        <v>117</v>
      </c>
      <c r="H523" s="30" t="s">
        <v>1058</v>
      </c>
      <c r="I523" s="30" t="s">
        <v>119</v>
      </c>
      <c r="J523" s="30" t="s">
        <v>1044</v>
      </c>
      <c r="K523" s="30" t="s">
        <v>1044</v>
      </c>
      <c r="L523" s="30" t="s">
        <v>1633</v>
      </c>
      <c r="M523" s="30">
        <v>1007003</v>
      </c>
      <c r="N523" s="30" t="s">
        <v>138</v>
      </c>
      <c r="O523" s="30" t="s">
        <v>1697</v>
      </c>
      <c r="P523" s="30" t="s">
        <v>1643</v>
      </c>
      <c r="Q523" s="30" t="s">
        <v>1643</v>
      </c>
      <c r="R523" s="30"/>
      <c r="S523" s="30" t="s">
        <v>1698</v>
      </c>
      <c r="T523" s="30"/>
      <c r="U523" s="30" t="s">
        <v>144</v>
      </c>
      <c r="V523" s="30" t="s">
        <v>437</v>
      </c>
      <c r="W523" s="30" t="s">
        <v>1638</v>
      </c>
      <c r="X523" s="129" t="s">
        <v>1648</v>
      </c>
      <c r="Y523" s="125" t="s">
        <v>128</v>
      </c>
      <c r="Z523" s="125" t="s">
        <v>128</v>
      </c>
      <c r="AA523" s="30" t="s">
        <v>129</v>
      </c>
      <c r="AB523" s="30" t="s">
        <v>1640</v>
      </c>
      <c r="AC523" s="30"/>
      <c r="AD523" s="30"/>
      <c r="AE523" s="30"/>
      <c r="AF523" s="30" t="s">
        <v>131</v>
      </c>
      <c r="AG523" s="30" t="s">
        <v>774</v>
      </c>
      <c r="AH523" s="30"/>
      <c r="AI523" s="30"/>
      <c r="AJ523" s="50">
        <v>44796</v>
      </c>
      <c r="AK523" s="50">
        <v>44796</v>
      </c>
      <c r="AL523" s="51">
        <f t="shared" si="320"/>
        <v>3.1917808219178081</v>
      </c>
      <c r="AM523" s="30">
        <v>8</v>
      </c>
      <c r="AN523" s="30" t="s">
        <v>1065</v>
      </c>
      <c r="AO523" s="30" t="s">
        <v>1050</v>
      </c>
      <c r="AP523" s="30" t="s">
        <v>1187</v>
      </c>
      <c r="AQ523" s="30">
        <v>6.6</v>
      </c>
      <c r="AR523" s="30">
        <v>4784</v>
      </c>
      <c r="AS523" s="30">
        <v>1986</v>
      </c>
      <c r="AT523" s="30">
        <v>1324</v>
      </c>
      <c r="AU523" s="74">
        <v>421280000</v>
      </c>
      <c r="AV523" s="54"/>
      <c r="AW523" s="54"/>
      <c r="AX523" s="54"/>
      <c r="AY523" s="54">
        <v>157979997</v>
      </c>
      <c r="AZ523" s="54">
        <v>4388333</v>
      </c>
      <c r="BA523" s="74">
        <v>250135004</v>
      </c>
      <c r="BB523" s="55">
        <f>VLOOKUP(M523,[1]Sheet1!$E$6:$F$556,2,FALSE)</f>
        <v>24056632</v>
      </c>
      <c r="BC523" s="74"/>
      <c r="BD523" s="74"/>
      <c r="BE523" s="128">
        <v>60.000005241170165</v>
      </c>
      <c r="BF523" s="30" t="s">
        <v>1134</v>
      </c>
      <c r="BG523" s="30" t="s">
        <v>1641</v>
      </c>
      <c r="BH523" s="30" t="s">
        <v>1054</v>
      </c>
      <c r="BI523" s="30" t="str">
        <f t="shared" si="358"/>
        <v>COF(Assy_FT)</v>
      </c>
      <c r="BJ523" s="30" t="s">
        <v>250</v>
      </c>
      <c r="BK523" s="67">
        <f t="shared" si="321"/>
        <v>262641754.20000002</v>
      </c>
      <c r="BL523" s="68">
        <f t="shared" si="338"/>
        <v>8207554.8187500006</v>
      </c>
      <c r="BM523" s="68">
        <f t="shared" si="339"/>
        <v>2735851.6062500002</v>
      </c>
      <c r="BU523" s="58">
        <f>BM523*3</f>
        <v>8207554.8187500006</v>
      </c>
      <c r="BV523" s="58">
        <f t="shared" si="349"/>
        <v>8207554.8187500006</v>
      </c>
      <c r="BW523" s="58">
        <f>SUM(BS523:BV523)</f>
        <v>16415109.637500001</v>
      </c>
      <c r="BX523" s="58">
        <f t="shared" si="341"/>
        <v>8207554.8187500006</v>
      </c>
      <c r="BY523" s="58">
        <f t="shared" si="350"/>
        <v>8207554.8187500006</v>
      </c>
      <c r="BZ523" s="58">
        <f>BM523*3</f>
        <v>8207554.8187500006</v>
      </c>
      <c r="CA523" s="58">
        <f t="shared" si="336"/>
        <v>8207554.8187500006</v>
      </c>
      <c r="CB523" s="58">
        <f t="shared" si="360"/>
        <v>32830219.275000002</v>
      </c>
      <c r="CC523" s="58">
        <f t="shared" si="361"/>
        <v>8207554.8187500006</v>
      </c>
      <c r="CD523" s="58">
        <f t="shared" si="355"/>
        <v>8207554.8187500006</v>
      </c>
      <c r="CE523" s="58">
        <f t="shared" si="355"/>
        <v>8207554.8187500006</v>
      </c>
      <c r="CF523" s="58">
        <f t="shared" si="355"/>
        <v>8207554.8187500006</v>
      </c>
      <c r="CG523" s="58">
        <f t="shared" si="362"/>
        <v>32830219.275000002</v>
      </c>
      <c r="CH523" s="58">
        <f t="shared" si="342"/>
        <v>8207554.8187500006</v>
      </c>
      <c r="CI523" s="58">
        <f>CH523</f>
        <v>8207554.8187500006</v>
      </c>
      <c r="CJ523" s="58">
        <f>CI523</f>
        <v>8207554.8187500006</v>
      </c>
      <c r="CK523" s="58">
        <f>CJ523</f>
        <v>8207554.8187500006</v>
      </c>
      <c r="CL523" s="58">
        <f t="shared" si="343"/>
        <v>32830219.275000002</v>
      </c>
      <c r="CP523" s="2">
        <f t="shared" si="359"/>
        <v>262641754.20000002</v>
      </c>
    </row>
    <row r="524" spans="1:94" ht="16.5" hidden="1" x14ac:dyDescent="0.3">
      <c r="A524" s="2">
        <v>519</v>
      </c>
      <c r="B524" s="47" t="s">
        <v>21</v>
      </c>
      <c r="C524" s="47"/>
      <c r="D524" s="30" t="s">
        <v>1041</v>
      </c>
      <c r="E524" s="30" t="s">
        <v>1042</v>
      </c>
      <c r="F524" s="30" t="s">
        <v>1043</v>
      </c>
      <c r="G524" s="30" t="s">
        <v>117</v>
      </c>
      <c r="H524" s="30" t="s">
        <v>1058</v>
      </c>
      <c r="I524" s="30" t="s">
        <v>119</v>
      </c>
      <c r="J524" s="30" t="s">
        <v>1044</v>
      </c>
      <c r="K524" s="30" t="s">
        <v>1044</v>
      </c>
      <c r="L524" s="30" t="s">
        <v>1130</v>
      </c>
      <c r="M524" s="30">
        <v>1005502</v>
      </c>
      <c r="N524" s="30" t="s">
        <v>123</v>
      </c>
      <c r="O524" s="30" t="s">
        <v>1699</v>
      </c>
      <c r="P524" s="30"/>
      <c r="Q524" s="30" t="s">
        <v>1018</v>
      </c>
      <c r="R524" s="30"/>
      <c r="S524" s="30"/>
      <c r="T524" s="30"/>
      <c r="U524" s="30" t="s">
        <v>144</v>
      </c>
      <c r="V524" s="30" t="s">
        <v>437</v>
      </c>
      <c r="W524" s="30"/>
      <c r="X524" s="30" t="s">
        <v>127</v>
      </c>
      <c r="Y524" s="30" t="s">
        <v>576</v>
      </c>
      <c r="Z524" s="30" t="s">
        <v>576</v>
      </c>
      <c r="AA524" s="30" t="s">
        <v>129</v>
      </c>
      <c r="AB524" s="30"/>
      <c r="AC524" s="30"/>
      <c r="AD524" s="30"/>
      <c r="AE524" s="30"/>
      <c r="AF524" s="30"/>
      <c r="AG524" s="30"/>
      <c r="AH524" s="30"/>
      <c r="AI524" s="30"/>
      <c r="AJ524" s="50">
        <v>43279</v>
      </c>
      <c r="AK524" s="50">
        <v>43279</v>
      </c>
      <c r="AL524" s="51">
        <f t="shared" si="320"/>
        <v>7.3479452054794523</v>
      </c>
      <c r="AM524" s="30">
        <v>8</v>
      </c>
      <c r="AN524" s="30" t="s">
        <v>1065</v>
      </c>
      <c r="AO524" s="30" t="s">
        <v>1050</v>
      </c>
      <c r="AP524" s="30" t="s">
        <v>1051</v>
      </c>
      <c r="AQ524" s="30">
        <v>0</v>
      </c>
      <c r="AR524" s="30"/>
      <c r="AS524" s="30"/>
      <c r="AT524" s="30"/>
      <c r="AU524" s="54">
        <v>10600000</v>
      </c>
      <c r="AV524" s="54"/>
      <c r="AW524" s="54"/>
      <c r="AX524" s="54"/>
      <c r="AY524" s="54">
        <v>9495838</v>
      </c>
      <c r="AZ524" s="54">
        <v>110417</v>
      </c>
      <c r="BA524" s="54">
        <v>772911</v>
      </c>
      <c r="BB524" s="55">
        <f>VLOOKUP(M524,[1]Sheet1!$E$6:$F$556,2,FALSE)</f>
        <v>23882</v>
      </c>
      <c r="BC524" s="74"/>
      <c r="BD524" s="74"/>
      <c r="BE524" s="128">
        <v>9.9999275473885358</v>
      </c>
      <c r="BF524" s="30" t="s">
        <v>1134</v>
      </c>
      <c r="BG524" s="30" t="s">
        <v>1074</v>
      </c>
      <c r="BH524" s="30" t="s">
        <v>1054</v>
      </c>
      <c r="BI524" s="30" t="str">
        <f t="shared" si="358"/>
        <v>COF(Assy_FT)</v>
      </c>
      <c r="BJ524" s="47" t="s">
        <v>137</v>
      </c>
      <c r="BK524" s="56">
        <f t="shared" si="321"/>
        <v>811556.55</v>
      </c>
      <c r="BL524" s="57">
        <f t="shared" si="338"/>
        <v>77364.645382855495</v>
      </c>
      <c r="BM524" s="57">
        <f t="shared" si="339"/>
        <v>25788.2151276185</v>
      </c>
      <c r="BU524" s="58">
        <f t="shared" ref="BU524:BU537" si="365">BM524*3</f>
        <v>77364.645382855495</v>
      </c>
      <c r="BV524" s="58">
        <f t="shared" si="349"/>
        <v>77364.645382855495</v>
      </c>
      <c r="BW524" s="58">
        <f t="shared" ref="BW524:BW587" si="366">SUM(BS524:BV524)</f>
        <v>154729.29076571099</v>
      </c>
      <c r="BX524" s="58">
        <f t="shared" si="341"/>
        <v>77364.645382855495</v>
      </c>
      <c r="BY524" s="58">
        <f t="shared" si="350"/>
        <v>77364.645382855495</v>
      </c>
      <c r="BZ524" s="58">
        <f t="shared" ref="BZ524:BZ537" si="367">BM524*3</f>
        <v>77364.645382855495</v>
      </c>
      <c r="CA524" s="58">
        <f t="shared" si="336"/>
        <v>77364.645382855495</v>
      </c>
      <c r="CB524" s="58">
        <f t="shared" si="360"/>
        <v>309458.58153142198</v>
      </c>
      <c r="CC524" s="58">
        <f t="shared" si="361"/>
        <v>77364.645382855495</v>
      </c>
      <c r="CD524" s="58">
        <f t="shared" si="355"/>
        <v>77364.645382855495</v>
      </c>
      <c r="CE524" s="58">
        <f t="shared" si="355"/>
        <v>77364.645382855495</v>
      </c>
      <c r="CF524" s="58">
        <f t="shared" si="355"/>
        <v>77364.645382855495</v>
      </c>
      <c r="CG524" s="58">
        <f t="shared" si="362"/>
        <v>309458.58153142198</v>
      </c>
      <c r="CH524" s="58">
        <f t="shared" si="342"/>
        <v>77364.645382855495</v>
      </c>
      <c r="CI524" s="58">
        <f t="shared" ref="CI524:CK539" si="368">CH524</f>
        <v>77364.645382855495</v>
      </c>
      <c r="CJ524" s="58">
        <f t="shared" si="368"/>
        <v>77364.645382855495</v>
      </c>
      <c r="CK524" s="58">
        <f t="shared" si="368"/>
        <v>77364.645382855495</v>
      </c>
      <c r="CL524" s="58">
        <f t="shared" si="343"/>
        <v>309458.58153142198</v>
      </c>
      <c r="CN524" s="59">
        <f t="shared" ref="CN524:CN525" si="369">BK524/$CN$3</f>
        <v>7.9243433440541719E-5</v>
      </c>
      <c r="CO524" s="64">
        <f t="shared" ref="CO524:CO525" si="370">CN524*$CO$4</f>
        <v>1664112.102251376</v>
      </c>
      <c r="CP524" s="2">
        <f t="shared" si="359"/>
        <v>2475668.6522513758</v>
      </c>
    </row>
    <row r="525" spans="1:94" ht="16.5" hidden="1" x14ac:dyDescent="0.3">
      <c r="A525" s="2">
        <v>520</v>
      </c>
      <c r="B525" s="47" t="s">
        <v>21</v>
      </c>
      <c r="C525" s="47"/>
      <c r="D525" s="30" t="s">
        <v>1041</v>
      </c>
      <c r="E525" s="30" t="s">
        <v>1042</v>
      </c>
      <c r="F525" s="30" t="s">
        <v>1043</v>
      </c>
      <c r="G525" s="30" t="s">
        <v>117</v>
      </c>
      <c r="H525" s="30" t="s">
        <v>1058</v>
      </c>
      <c r="I525" s="30" t="s">
        <v>119</v>
      </c>
      <c r="J525" s="30" t="s">
        <v>1044</v>
      </c>
      <c r="K525" s="30" t="s">
        <v>1044</v>
      </c>
      <c r="L525" s="30" t="s">
        <v>1130</v>
      </c>
      <c r="M525" s="30">
        <v>1007384</v>
      </c>
      <c r="N525" s="30" t="s">
        <v>369</v>
      </c>
      <c r="O525" s="30" t="s">
        <v>1700</v>
      </c>
      <c r="P525" s="30"/>
      <c r="Q525" s="30" t="s">
        <v>1018</v>
      </c>
      <c r="R525" s="30"/>
      <c r="S525" s="30"/>
      <c r="T525" s="30"/>
      <c r="U525" s="30" t="s">
        <v>144</v>
      </c>
      <c r="V525" s="30" t="s">
        <v>415</v>
      </c>
      <c r="W525" s="30"/>
      <c r="X525" s="30" t="s">
        <v>127</v>
      </c>
      <c r="Y525" s="30" t="s">
        <v>576</v>
      </c>
      <c r="Z525" s="30" t="s">
        <v>576</v>
      </c>
      <c r="AA525" s="30" t="s">
        <v>129</v>
      </c>
      <c r="AB525" s="30"/>
      <c r="AC525" s="30"/>
      <c r="AD525" s="30"/>
      <c r="AE525" s="30"/>
      <c r="AF525" s="30"/>
      <c r="AG525" s="30"/>
      <c r="AH525" s="30"/>
      <c r="AI525" s="30"/>
      <c r="AJ525" s="50">
        <v>45169</v>
      </c>
      <c r="AK525" s="50">
        <v>45169</v>
      </c>
      <c r="AL525" s="51">
        <f t="shared" si="320"/>
        <v>2.1698630136986301</v>
      </c>
      <c r="AM525" s="30">
        <v>8</v>
      </c>
      <c r="AN525" s="30" t="s">
        <v>1065</v>
      </c>
      <c r="AO525" s="30" t="s">
        <v>1050</v>
      </c>
      <c r="AP525" s="30" t="s">
        <v>1051</v>
      </c>
      <c r="AQ525" s="30">
        <v>0</v>
      </c>
      <c r="AR525" s="30"/>
      <c r="AS525" s="30"/>
      <c r="AT525" s="30"/>
      <c r="AU525" s="54">
        <v>49800000</v>
      </c>
      <c r="AV525" s="54"/>
      <c r="AW525" s="54"/>
      <c r="AX525" s="54"/>
      <c r="AY525" s="54">
        <v>12450000</v>
      </c>
      <c r="AZ525" s="54">
        <v>518750</v>
      </c>
      <c r="BA525" s="54">
        <v>35793750</v>
      </c>
      <c r="BB525" s="55">
        <f>VLOOKUP(M525,[1]Sheet1!$E$6:$F$556,2,FALSE)</f>
        <v>3500015</v>
      </c>
      <c r="BC525" s="74"/>
      <c r="BD525" s="74"/>
      <c r="BE525" s="128">
        <v>72</v>
      </c>
      <c r="BF525" s="30" t="s">
        <v>1134</v>
      </c>
      <c r="BG525" s="30" t="s">
        <v>1074</v>
      </c>
      <c r="BH525" s="30" t="s">
        <v>1054</v>
      </c>
      <c r="BI525" s="30" t="str">
        <f t="shared" si="358"/>
        <v>COF(Assy_FT)</v>
      </c>
      <c r="BJ525" s="47" t="s">
        <v>137</v>
      </c>
      <c r="BK525" s="56">
        <f t="shared" si="321"/>
        <v>37583437.5</v>
      </c>
      <c r="BL525" s="57">
        <f t="shared" si="338"/>
        <v>3582780.9096682332</v>
      </c>
      <c r="BM525" s="57">
        <f t="shared" si="339"/>
        <v>1194260.3032227445</v>
      </c>
      <c r="BU525" s="58">
        <f t="shared" si="365"/>
        <v>3582780.9096682332</v>
      </c>
      <c r="BV525" s="58">
        <f t="shared" si="349"/>
        <v>3582780.9096682332</v>
      </c>
      <c r="BW525" s="58">
        <f t="shared" si="366"/>
        <v>7165561.8193364665</v>
      </c>
      <c r="BX525" s="58">
        <f t="shared" si="341"/>
        <v>3582780.9096682332</v>
      </c>
      <c r="BY525" s="58">
        <f t="shared" si="350"/>
        <v>3582780.9096682332</v>
      </c>
      <c r="BZ525" s="58">
        <f t="shared" si="367"/>
        <v>3582780.9096682332</v>
      </c>
      <c r="CA525" s="58">
        <f t="shared" si="336"/>
        <v>3582780.9096682332</v>
      </c>
      <c r="CB525" s="58">
        <f t="shared" si="360"/>
        <v>14331123.638672933</v>
      </c>
      <c r="CC525" s="58">
        <f t="shared" si="361"/>
        <v>3582780.9096682332</v>
      </c>
      <c r="CD525" s="58">
        <f t="shared" si="355"/>
        <v>3582780.9096682332</v>
      </c>
      <c r="CE525" s="58">
        <f t="shared" si="355"/>
        <v>3582780.9096682332</v>
      </c>
      <c r="CF525" s="58">
        <f t="shared" si="355"/>
        <v>3582780.9096682332</v>
      </c>
      <c r="CG525" s="58">
        <f t="shared" si="362"/>
        <v>14331123.638672933</v>
      </c>
      <c r="CH525" s="58">
        <f t="shared" si="342"/>
        <v>3582780.9096682332</v>
      </c>
      <c r="CI525" s="58">
        <f t="shared" si="368"/>
        <v>3582780.9096682332</v>
      </c>
      <c r="CJ525" s="58">
        <f t="shared" si="368"/>
        <v>3582780.9096682332</v>
      </c>
      <c r="CK525" s="58">
        <f t="shared" si="368"/>
        <v>3582780.9096682332</v>
      </c>
      <c r="CL525" s="58">
        <f t="shared" si="343"/>
        <v>14331123.638672933</v>
      </c>
      <c r="CN525" s="59">
        <f t="shared" si="369"/>
        <v>3.669788171875403E-3</v>
      </c>
      <c r="CO525" s="64">
        <f t="shared" si="370"/>
        <v>77065551.609383464</v>
      </c>
      <c r="CP525" s="2">
        <f t="shared" si="359"/>
        <v>114648989.10938346</v>
      </c>
    </row>
    <row r="526" spans="1:94" hidden="1" x14ac:dyDescent="0.3">
      <c r="A526" s="29">
        <v>521</v>
      </c>
      <c r="B526" s="30" t="s">
        <v>21</v>
      </c>
      <c r="C526" s="30"/>
      <c r="D526" s="30" t="s">
        <v>1041</v>
      </c>
      <c r="E526" s="30" t="s">
        <v>1042</v>
      </c>
      <c r="F526" s="30" t="s">
        <v>1043</v>
      </c>
      <c r="G526" s="30" t="s">
        <v>117</v>
      </c>
      <c r="H526" s="30" t="s">
        <v>1058</v>
      </c>
      <c r="I526" s="30" t="s">
        <v>119</v>
      </c>
      <c r="J526" s="30" t="s">
        <v>1044</v>
      </c>
      <c r="K526" s="30" t="s">
        <v>1044</v>
      </c>
      <c r="L526" s="30" t="s">
        <v>1633</v>
      </c>
      <c r="M526" s="30">
        <v>1007025</v>
      </c>
      <c r="N526" s="30" t="s">
        <v>138</v>
      </c>
      <c r="O526" s="30" t="s">
        <v>1701</v>
      </c>
      <c r="P526" s="30" t="s">
        <v>1643</v>
      </c>
      <c r="Q526" s="30" t="s">
        <v>1643</v>
      </c>
      <c r="R526" s="30"/>
      <c r="S526" s="30" t="s">
        <v>1702</v>
      </c>
      <c r="T526" s="30"/>
      <c r="U526" s="30" t="s">
        <v>144</v>
      </c>
      <c r="V526" s="30" t="s">
        <v>437</v>
      </c>
      <c r="W526" s="30" t="s">
        <v>1638</v>
      </c>
      <c r="X526" s="30"/>
      <c r="Y526" s="30" t="s">
        <v>457</v>
      </c>
      <c r="Z526" s="30" t="s">
        <v>457</v>
      </c>
      <c r="AA526" s="30" t="s">
        <v>129</v>
      </c>
      <c r="AB526" s="30" t="s">
        <v>1640</v>
      </c>
      <c r="AC526" s="30"/>
      <c r="AD526" s="30"/>
      <c r="AE526" s="30"/>
      <c r="AF526" s="30" t="s">
        <v>131</v>
      </c>
      <c r="AG526" s="30" t="s">
        <v>774</v>
      </c>
      <c r="AH526" s="30"/>
      <c r="AI526" s="30"/>
      <c r="AJ526" s="50">
        <v>44796</v>
      </c>
      <c r="AK526" s="50">
        <v>44796</v>
      </c>
      <c r="AL526" s="51">
        <f t="shared" si="320"/>
        <v>3.1917808219178081</v>
      </c>
      <c r="AM526" s="30">
        <v>8</v>
      </c>
      <c r="AN526" s="30" t="s">
        <v>1065</v>
      </c>
      <c r="AO526" s="30" t="s">
        <v>1050</v>
      </c>
      <c r="AP526" s="30" t="s">
        <v>1187</v>
      </c>
      <c r="AQ526" s="30">
        <v>6.6</v>
      </c>
      <c r="AR526" s="30">
        <v>4784</v>
      </c>
      <c r="AS526" s="30">
        <v>1986</v>
      </c>
      <c r="AT526" s="30">
        <v>1324</v>
      </c>
      <c r="AU526" s="74">
        <v>421280000</v>
      </c>
      <c r="AV526" s="54"/>
      <c r="AW526" s="54"/>
      <c r="AX526" s="54"/>
      <c r="AY526" s="54">
        <v>157979997</v>
      </c>
      <c r="AZ526" s="54">
        <v>4388333</v>
      </c>
      <c r="BA526" s="74">
        <v>250135004</v>
      </c>
      <c r="BB526" s="55">
        <f>VLOOKUP(M526,[1]Sheet1!$E$6:$F$556,2,FALSE)</f>
        <v>24056632</v>
      </c>
      <c r="BC526" s="74"/>
      <c r="BD526" s="74"/>
      <c r="BE526" s="128">
        <v>60.000005241170165</v>
      </c>
      <c r="BF526" s="30" t="s">
        <v>1134</v>
      </c>
      <c r="BG526" s="30" t="s">
        <v>1641</v>
      </c>
      <c r="BH526" s="30" t="s">
        <v>1054</v>
      </c>
      <c r="BI526" s="30" t="str">
        <f t="shared" si="358"/>
        <v>COF(Assy_FT)</v>
      </c>
      <c r="BJ526" s="30" t="s">
        <v>250</v>
      </c>
      <c r="BK526" s="56">
        <f t="shared" si="321"/>
        <v>262641754.20000002</v>
      </c>
      <c r="BL526" s="57">
        <f t="shared" si="338"/>
        <v>8207554.8187500006</v>
      </c>
      <c r="BM526" s="57">
        <f t="shared" si="339"/>
        <v>2735851.6062500002</v>
      </c>
      <c r="BU526" s="58">
        <f t="shared" si="365"/>
        <v>8207554.8187500006</v>
      </c>
      <c r="BV526" s="58">
        <f t="shared" si="349"/>
        <v>8207554.8187500006</v>
      </c>
      <c r="BW526" s="58">
        <f t="shared" si="366"/>
        <v>16415109.637500001</v>
      </c>
      <c r="BX526" s="58">
        <f t="shared" si="341"/>
        <v>8207554.8187500006</v>
      </c>
      <c r="BY526" s="58">
        <f t="shared" si="350"/>
        <v>8207554.8187500006</v>
      </c>
      <c r="BZ526" s="58">
        <f t="shared" si="367"/>
        <v>8207554.8187500006</v>
      </c>
      <c r="CA526" s="58">
        <f t="shared" si="336"/>
        <v>8207554.8187500006</v>
      </c>
      <c r="CB526" s="58">
        <f t="shared" si="360"/>
        <v>32830219.275000002</v>
      </c>
      <c r="CC526" s="58">
        <f t="shared" si="361"/>
        <v>8207554.8187500006</v>
      </c>
      <c r="CD526" s="58">
        <f t="shared" si="355"/>
        <v>8207554.8187500006</v>
      </c>
      <c r="CE526" s="58">
        <f t="shared" si="355"/>
        <v>8207554.8187500006</v>
      </c>
      <c r="CF526" s="58">
        <f t="shared" si="355"/>
        <v>8207554.8187500006</v>
      </c>
      <c r="CG526" s="58">
        <f t="shared" si="362"/>
        <v>32830219.275000002</v>
      </c>
      <c r="CH526" s="58">
        <f t="shared" si="342"/>
        <v>8207554.8187500006</v>
      </c>
      <c r="CI526" s="58">
        <f t="shared" si="368"/>
        <v>8207554.8187500006</v>
      </c>
      <c r="CJ526" s="58">
        <f t="shared" si="368"/>
        <v>8207554.8187500006</v>
      </c>
      <c r="CK526" s="58">
        <f t="shared" si="368"/>
        <v>8207554.8187500006</v>
      </c>
      <c r="CL526" s="58">
        <f t="shared" si="343"/>
        <v>32830219.275000002</v>
      </c>
      <c r="CP526" s="2">
        <f t="shared" si="359"/>
        <v>262641754.20000002</v>
      </c>
    </row>
    <row r="527" spans="1:94" hidden="1" x14ac:dyDescent="0.3">
      <c r="A527" s="29">
        <v>522</v>
      </c>
      <c r="B527" s="30" t="s">
        <v>21</v>
      </c>
      <c r="C527" s="30"/>
      <c r="D527" s="30" t="s">
        <v>1041</v>
      </c>
      <c r="E527" s="30" t="s">
        <v>1042</v>
      </c>
      <c r="F527" s="30" t="s">
        <v>1043</v>
      </c>
      <c r="G527" s="30" t="s">
        <v>117</v>
      </c>
      <c r="H527" s="30" t="s">
        <v>1058</v>
      </c>
      <c r="I527" s="30" t="s">
        <v>119</v>
      </c>
      <c r="J527" s="30" t="s">
        <v>1044</v>
      </c>
      <c r="K527" s="30" t="s">
        <v>1044</v>
      </c>
      <c r="L527" s="30" t="s">
        <v>1633</v>
      </c>
      <c r="M527" s="30">
        <v>1007026</v>
      </c>
      <c r="N527" s="30" t="s">
        <v>138</v>
      </c>
      <c r="O527" s="30" t="s">
        <v>1703</v>
      </c>
      <c r="P527" s="30" t="s">
        <v>1643</v>
      </c>
      <c r="Q527" s="30" t="s">
        <v>1643</v>
      </c>
      <c r="R527" s="30"/>
      <c r="S527" s="30" t="s">
        <v>1704</v>
      </c>
      <c r="T527" s="30"/>
      <c r="U527" s="30" t="s">
        <v>144</v>
      </c>
      <c r="V527" s="30" t="s">
        <v>437</v>
      </c>
      <c r="W527" s="30" t="s">
        <v>1638</v>
      </c>
      <c r="X527" s="30"/>
      <c r="Y527" s="30" t="s">
        <v>457</v>
      </c>
      <c r="Z527" s="30" t="s">
        <v>457</v>
      </c>
      <c r="AA527" s="30" t="s">
        <v>129</v>
      </c>
      <c r="AB527" s="30" t="s">
        <v>1640</v>
      </c>
      <c r="AC527" s="30"/>
      <c r="AD527" s="30"/>
      <c r="AE527" s="30"/>
      <c r="AF527" s="30" t="s">
        <v>131</v>
      </c>
      <c r="AG527" s="30" t="s">
        <v>774</v>
      </c>
      <c r="AH527" s="30"/>
      <c r="AI527" s="30"/>
      <c r="AJ527" s="50">
        <v>44796</v>
      </c>
      <c r="AK527" s="50">
        <v>44796</v>
      </c>
      <c r="AL527" s="51">
        <f t="shared" si="320"/>
        <v>3.1917808219178081</v>
      </c>
      <c r="AM527" s="30">
        <v>8</v>
      </c>
      <c r="AN527" s="30" t="s">
        <v>1065</v>
      </c>
      <c r="AO527" s="30" t="s">
        <v>1050</v>
      </c>
      <c r="AP527" s="30" t="s">
        <v>1187</v>
      </c>
      <c r="AQ527" s="30">
        <v>6.6</v>
      </c>
      <c r="AR527" s="30">
        <v>4784</v>
      </c>
      <c r="AS527" s="30">
        <v>1986</v>
      </c>
      <c r="AT527" s="30">
        <v>1324</v>
      </c>
      <c r="AU527" s="74">
        <v>421280000</v>
      </c>
      <c r="AV527" s="54"/>
      <c r="AW527" s="54"/>
      <c r="AX527" s="54"/>
      <c r="AY527" s="54">
        <v>157979997</v>
      </c>
      <c r="AZ527" s="54">
        <v>4388333</v>
      </c>
      <c r="BA527" s="74">
        <v>250135004</v>
      </c>
      <c r="BB527" s="55">
        <f>VLOOKUP(M527,[1]Sheet1!$E$6:$F$556,2,FALSE)</f>
        <v>24056632</v>
      </c>
      <c r="BC527" s="74"/>
      <c r="BD527" s="74"/>
      <c r="BE527" s="128">
        <v>60.000005241170165</v>
      </c>
      <c r="BF527" s="30" t="s">
        <v>1134</v>
      </c>
      <c r="BG527" s="30" t="s">
        <v>1641</v>
      </c>
      <c r="BH527" s="30" t="s">
        <v>1054</v>
      </c>
      <c r="BI527" s="30" t="str">
        <f t="shared" si="358"/>
        <v>COF(Assy_FT)</v>
      </c>
      <c r="BJ527" s="30" t="s">
        <v>250</v>
      </c>
      <c r="BK527" s="56">
        <f t="shared" si="321"/>
        <v>262641754.20000002</v>
      </c>
      <c r="BL527" s="57">
        <f t="shared" si="338"/>
        <v>8207554.8187500006</v>
      </c>
      <c r="BM527" s="57">
        <f t="shared" si="339"/>
        <v>2735851.6062500002</v>
      </c>
      <c r="BU527" s="58">
        <f t="shared" si="365"/>
        <v>8207554.8187500006</v>
      </c>
      <c r="BV527" s="58">
        <f t="shared" si="349"/>
        <v>8207554.8187500006</v>
      </c>
      <c r="BW527" s="58">
        <f t="shared" si="366"/>
        <v>16415109.637500001</v>
      </c>
      <c r="BX527" s="58">
        <f t="shared" si="341"/>
        <v>8207554.8187500006</v>
      </c>
      <c r="BY527" s="58">
        <f t="shared" si="350"/>
        <v>8207554.8187500006</v>
      </c>
      <c r="BZ527" s="58">
        <f t="shared" si="367"/>
        <v>8207554.8187500006</v>
      </c>
      <c r="CA527" s="58">
        <f t="shared" si="336"/>
        <v>8207554.8187500006</v>
      </c>
      <c r="CB527" s="58">
        <f t="shared" si="360"/>
        <v>32830219.275000002</v>
      </c>
      <c r="CC527" s="58">
        <f t="shared" si="361"/>
        <v>8207554.8187500006</v>
      </c>
      <c r="CD527" s="58">
        <f t="shared" si="355"/>
        <v>8207554.8187500006</v>
      </c>
      <c r="CE527" s="58">
        <f t="shared" si="355"/>
        <v>8207554.8187500006</v>
      </c>
      <c r="CF527" s="58">
        <f t="shared" si="355"/>
        <v>8207554.8187500006</v>
      </c>
      <c r="CG527" s="58">
        <f t="shared" si="362"/>
        <v>32830219.275000002</v>
      </c>
      <c r="CH527" s="58">
        <f t="shared" si="342"/>
        <v>8207554.8187500006</v>
      </c>
      <c r="CI527" s="58">
        <f t="shared" si="368"/>
        <v>8207554.8187500006</v>
      </c>
      <c r="CJ527" s="58">
        <f t="shared" si="368"/>
        <v>8207554.8187500006</v>
      </c>
      <c r="CK527" s="58">
        <f t="shared" si="368"/>
        <v>8207554.8187500006</v>
      </c>
      <c r="CL527" s="58">
        <f t="shared" si="343"/>
        <v>32830219.275000002</v>
      </c>
      <c r="CP527" s="2">
        <f t="shared" si="359"/>
        <v>262641754.20000002</v>
      </c>
    </row>
    <row r="528" spans="1:94" ht="15" hidden="1" x14ac:dyDescent="0.3">
      <c r="A528" s="29">
        <v>523</v>
      </c>
      <c r="B528" s="30" t="s">
        <v>21</v>
      </c>
      <c r="C528" s="30"/>
      <c r="D528" s="30" t="s">
        <v>1041</v>
      </c>
      <c r="E528" s="30" t="s">
        <v>1042</v>
      </c>
      <c r="F528" s="30" t="s">
        <v>1043</v>
      </c>
      <c r="G528" s="30" t="s">
        <v>117</v>
      </c>
      <c r="H528" s="30" t="s">
        <v>926</v>
      </c>
      <c r="I528" s="30" t="s">
        <v>119</v>
      </c>
      <c r="J528" s="30" t="s">
        <v>1044</v>
      </c>
      <c r="K528" s="30" t="s">
        <v>1044</v>
      </c>
      <c r="L528" s="30" t="s">
        <v>1255</v>
      </c>
      <c r="M528" s="30">
        <v>1007055</v>
      </c>
      <c r="N528" s="30" t="s">
        <v>138</v>
      </c>
      <c r="O528" s="30" t="s">
        <v>1705</v>
      </c>
      <c r="P528" s="30" t="s">
        <v>1706</v>
      </c>
      <c r="Q528" s="30" t="s">
        <v>1706</v>
      </c>
      <c r="R528" s="30"/>
      <c r="S528" s="30"/>
      <c r="T528" s="30"/>
      <c r="U528" s="30" t="s">
        <v>144</v>
      </c>
      <c r="V528" s="30" t="s">
        <v>437</v>
      </c>
      <c r="W528" s="30" t="s">
        <v>1610</v>
      </c>
      <c r="X528" s="30"/>
      <c r="Y528" s="30" t="s">
        <v>457</v>
      </c>
      <c r="Z528" s="30" t="s">
        <v>457</v>
      </c>
      <c r="AA528" s="30" t="s">
        <v>129</v>
      </c>
      <c r="AB528" s="92" t="s">
        <v>1707</v>
      </c>
      <c r="AC528" s="30"/>
      <c r="AD528" s="30"/>
      <c r="AE528" s="30"/>
      <c r="AF528" s="30" t="s">
        <v>131</v>
      </c>
      <c r="AG528" s="30" t="s">
        <v>1708</v>
      </c>
      <c r="AH528" s="30"/>
      <c r="AI528" s="30"/>
      <c r="AJ528" s="50">
        <v>44804</v>
      </c>
      <c r="AK528" s="50">
        <v>44804</v>
      </c>
      <c r="AL528" s="51">
        <f t="shared" si="320"/>
        <v>3.1698630136986301</v>
      </c>
      <c r="AM528" s="30">
        <v>8</v>
      </c>
      <c r="AN528" s="30" t="s">
        <v>1057</v>
      </c>
      <c r="AO528" s="30" t="s">
        <v>1050</v>
      </c>
      <c r="AP528" s="30" t="s">
        <v>1187</v>
      </c>
      <c r="AQ528" s="30">
        <v>6</v>
      </c>
      <c r="AR528" s="30">
        <v>2200</v>
      </c>
      <c r="AS528" s="30">
        <v>1200</v>
      </c>
      <c r="AT528" s="30">
        <v>1750</v>
      </c>
      <c r="AU528" s="74">
        <v>115000000</v>
      </c>
      <c r="AV528" s="54"/>
      <c r="AW528" s="54"/>
      <c r="AX528" s="54"/>
      <c r="AY528" s="54">
        <v>43125002</v>
      </c>
      <c r="AZ528" s="54">
        <v>1197917</v>
      </c>
      <c r="BA528" s="74">
        <v>68281247</v>
      </c>
      <c r="BB528" s="55">
        <f>VLOOKUP(M528,[1]Sheet1!$E$6:$F$556,2,FALSE)</f>
        <v>6566922</v>
      </c>
      <c r="BC528" s="74"/>
      <c r="BD528" s="74"/>
      <c r="BE528" s="128">
        <v>59.999981634787716</v>
      </c>
      <c r="BF528" s="30" t="s">
        <v>1134</v>
      </c>
      <c r="BG528" s="30" t="s">
        <v>1053</v>
      </c>
      <c r="BH528" s="30" t="s">
        <v>1054</v>
      </c>
      <c r="BI528" s="30" t="str">
        <f t="shared" si="358"/>
        <v>COF(Assy_FT)</v>
      </c>
      <c r="BJ528" s="30" t="s">
        <v>250</v>
      </c>
      <c r="BK528" s="56">
        <f t="shared" si="321"/>
        <v>71695309.350000009</v>
      </c>
      <c r="BL528" s="57">
        <f t="shared" si="338"/>
        <v>2240478.4171875003</v>
      </c>
      <c r="BM528" s="57">
        <f t="shared" si="339"/>
        <v>746826.13906250009</v>
      </c>
      <c r="BU528" s="58">
        <f t="shared" si="365"/>
        <v>2240478.4171875003</v>
      </c>
      <c r="BV528" s="58">
        <f t="shared" si="349"/>
        <v>2240478.4171875003</v>
      </c>
      <c r="BW528" s="58">
        <f t="shared" si="366"/>
        <v>4480956.8343750006</v>
      </c>
      <c r="BX528" s="58">
        <f t="shared" si="341"/>
        <v>2240478.4171875003</v>
      </c>
      <c r="BY528" s="58">
        <f t="shared" si="350"/>
        <v>2240478.4171875003</v>
      </c>
      <c r="BZ528" s="58">
        <f t="shared" si="367"/>
        <v>2240478.4171875003</v>
      </c>
      <c r="CA528" s="58">
        <f t="shared" si="336"/>
        <v>2240478.4171875003</v>
      </c>
      <c r="CB528" s="58">
        <f t="shared" si="360"/>
        <v>8961913.6687500011</v>
      </c>
      <c r="CC528" s="58">
        <f t="shared" si="361"/>
        <v>2240478.4171875003</v>
      </c>
      <c r="CD528" s="58">
        <f t="shared" si="355"/>
        <v>2240478.4171875003</v>
      </c>
      <c r="CE528" s="58">
        <f t="shared" si="355"/>
        <v>2240478.4171875003</v>
      </c>
      <c r="CF528" s="58">
        <f t="shared" si="355"/>
        <v>2240478.4171875003</v>
      </c>
      <c r="CG528" s="58">
        <f t="shared" si="362"/>
        <v>8961913.6687500011</v>
      </c>
      <c r="CH528" s="58">
        <f t="shared" si="342"/>
        <v>2240478.4171875003</v>
      </c>
      <c r="CI528" s="58">
        <f t="shared" si="368"/>
        <v>2240478.4171875003</v>
      </c>
      <c r="CJ528" s="58">
        <f t="shared" si="368"/>
        <v>2240478.4171875003</v>
      </c>
      <c r="CK528" s="58">
        <f t="shared" si="368"/>
        <v>2240478.4171875003</v>
      </c>
      <c r="CL528" s="58">
        <f t="shared" si="343"/>
        <v>8961913.6687500011</v>
      </c>
      <c r="CP528" s="2">
        <f t="shared" si="359"/>
        <v>71695309.350000009</v>
      </c>
    </row>
    <row r="529" spans="1:94" hidden="1" x14ac:dyDescent="0.3">
      <c r="A529" s="29">
        <v>524</v>
      </c>
      <c r="B529" s="30" t="s">
        <v>21</v>
      </c>
      <c r="C529" s="30"/>
      <c r="D529" s="30" t="s">
        <v>1041</v>
      </c>
      <c r="E529" s="30" t="s">
        <v>1042</v>
      </c>
      <c r="F529" s="30" t="s">
        <v>1043</v>
      </c>
      <c r="G529" s="30" t="s">
        <v>117</v>
      </c>
      <c r="H529" s="30" t="s">
        <v>1058</v>
      </c>
      <c r="I529" s="30" t="s">
        <v>119</v>
      </c>
      <c r="J529" s="30" t="s">
        <v>1044</v>
      </c>
      <c r="K529" s="30" t="s">
        <v>1044</v>
      </c>
      <c r="L529" s="30" t="s">
        <v>1059</v>
      </c>
      <c r="M529" s="30">
        <v>1007095</v>
      </c>
      <c r="N529" s="30" t="s">
        <v>369</v>
      </c>
      <c r="O529" s="30" t="s">
        <v>1709</v>
      </c>
      <c r="P529" s="30"/>
      <c r="Q529" s="30" t="s">
        <v>1018</v>
      </c>
      <c r="R529" s="30"/>
      <c r="S529" s="30"/>
      <c r="T529" s="30"/>
      <c r="U529" s="30" t="s">
        <v>144</v>
      </c>
      <c r="V529" s="30" t="s">
        <v>437</v>
      </c>
      <c r="W529" s="30" t="s">
        <v>1435</v>
      </c>
      <c r="X529" s="30"/>
      <c r="Y529" s="30" t="s">
        <v>457</v>
      </c>
      <c r="Z529" s="30" t="s">
        <v>457</v>
      </c>
      <c r="AA529" s="30" t="s">
        <v>129</v>
      </c>
      <c r="AB529" s="30"/>
      <c r="AC529" s="30"/>
      <c r="AD529" s="30"/>
      <c r="AE529" s="30"/>
      <c r="AF529" s="30"/>
      <c r="AG529" s="30"/>
      <c r="AH529" s="30"/>
      <c r="AI529" s="30"/>
      <c r="AJ529" s="50">
        <v>44909</v>
      </c>
      <c r="AK529" s="50">
        <v>44909</v>
      </c>
      <c r="AL529" s="51">
        <f t="shared" ref="AL529:AL592" si="371">($AL$1-AK529)/365</f>
        <v>2.882191780821918</v>
      </c>
      <c r="AM529" s="30">
        <v>8</v>
      </c>
      <c r="AN529" s="30" t="s">
        <v>1065</v>
      </c>
      <c r="AO529" s="30" t="s">
        <v>1050</v>
      </c>
      <c r="AP529" s="30" t="s">
        <v>1187</v>
      </c>
      <c r="AQ529" s="30">
        <v>0</v>
      </c>
      <c r="AR529" s="30"/>
      <c r="AS529" s="30"/>
      <c r="AT529" s="30"/>
      <c r="AU529" s="74">
        <v>280800000</v>
      </c>
      <c r="AV529" s="54"/>
      <c r="AW529" s="54"/>
      <c r="AX529" s="54"/>
      <c r="AY529" s="54">
        <v>93600000</v>
      </c>
      <c r="AZ529" s="54">
        <v>2925000</v>
      </c>
      <c r="BA529" s="74">
        <v>178425000</v>
      </c>
      <c r="BB529" s="55">
        <f>VLOOKUP(M529,[1]Sheet1!$E$6:$F$556,2,FALSE)</f>
        <v>17268149</v>
      </c>
      <c r="BC529" s="74"/>
      <c r="BD529" s="74"/>
      <c r="BE529" s="128">
        <v>64</v>
      </c>
      <c r="BF529" s="30" t="s">
        <v>1134</v>
      </c>
      <c r="BG529" s="30" t="s">
        <v>1074</v>
      </c>
      <c r="BH529" s="30" t="s">
        <v>1054</v>
      </c>
      <c r="BI529" s="30" t="str">
        <f t="shared" si="358"/>
        <v>COF(Assy_FT)</v>
      </c>
      <c r="BJ529" s="30" t="s">
        <v>250</v>
      </c>
      <c r="BK529" s="56">
        <f t="shared" ref="BK529:BK592" si="372">IF(OR(BA529=1000, BA529=0), AU529*$BQ$1, BA529*(1+$BL$2))</f>
        <v>187346250</v>
      </c>
      <c r="BL529" s="57">
        <f t="shared" si="338"/>
        <v>5854570.3125</v>
      </c>
      <c r="BM529" s="57">
        <f t="shared" si="339"/>
        <v>1951523.4375</v>
      </c>
      <c r="BU529" s="58">
        <f t="shared" si="365"/>
        <v>5854570.3125</v>
      </c>
      <c r="BV529" s="58">
        <f t="shared" si="349"/>
        <v>5854570.3125</v>
      </c>
      <c r="BW529" s="58">
        <f t="shared" si="366"/>
        <v>11709140.625</v>
      </c>
      <c r="BX529" s="58">
        <f t="shared" si="341"/>
        <v>5854570.3125</v>
      </c>
      <c r="BY529" s="58">
        <f t="shared" si="350"/>
        <v>5854570.3125</v>
      </c>
      <c r="BZ529" s="58">
        <f t="shared" si="367"/>
        <v>5854570.3125</v>
      </c>
      <c r="CA529" s="58">
        <f t="shared" si="336"/>
        <v>5854570.3125</v>
      </c>
      <c r="CB529" s="58">
        <f t="shared" si="360"/>
        <v>23418281.25</v>
      </c>
      <c r="CC529" s="58">
        <f t="shared" si="361"/>
        <v>5854570.3125</v>
      </c>
      <c r="CD529" s="58">
        <f t="shared" si="355"/>
        <v>5854570.3125</v>
      </c>
      <c r="CE529" s="58">
        <f t="shared" si="355"/>
        <v>5854570.3125</v>
      </c>
      <c r="CF529" s="58">
        <f t="shared" si="355"/>
        <v>5854570.3125</v>
      </c>
      <c r="CG529" s="58">
        <f t="shared" si="362"/>
        <v>23418281.25</v>
      </c>
      <c r="CH529" s="58">
        <f t="shared" si="342"/>
        <v>5854570.3125</v>
      </c>
      <c r="CI529" s="58">
        <f t="shared" si="368"/>
        <v>5854570.3125</v>
      </c>
      <c r="CJ529" s="58">
        <f t="shared" si="368"/>
        <v>5854570.3125</v>
      </c>
      <c r="CK529" s="58">
        <f t="shared" si="368"/>
        <v>5854570.3125</v>
      </c>
      <c r="CL529" s="58">
        <f t="shared" si="343"/>
        <v>23418281.25</v>
      </c>
      <c r="CP529" s="2">
        <f t="shared" si="359"/>
        <v>187346250</v>
      </c>
    </row>
    <row r="530" spans="1:94" ht="16.5" hidden="1" x14ac:dyDescent="0.3">
      <c r="A530" s="2">
        <v>525</v>
      </c>
      <c r="B530" s="47" t="s">
        <v>21</v>
      </c>
      <c r="C530" s="47"/>
      <c r="D530" s="30" t="s">
        <v>1041</v>
      </c>
      <c r="E530" s="30" t="s">
        <v>1042</v>
      </c>
      <c r="F530" s="30" t="s">
        <v>1043</v>
      </c>
      <c r="G530" s="30" t="s">
        <v>117</v>
      </c>
      <c r="H530" s="30" t="s">
        <v>1058</v>
      </c>
      <c r="I530" s="30" t="s">
        <v>119</v>
      </c>
      <c r="J530" s="30" t="s">
        <v>1044</v>
      </c>
      <c r="K530" s="30" t="s">
        <v>1044</v>
      </c>
      <c r="L530" s="30" t="s">
        <v>1130</v>
      </c>
      <c r="M530" s="30">
        <v>1007684</v>
      </c>
      <c r="N530" s="30" t="s">
        <v>369</v>
      </c>
      <c r="O530" s="30" t="s">
        <v>1700</v>
      </c>
      <c r="P530" s="30"/>
      <c r="Q530" s="30" t="s">
        <v>1018</v>
      </c>
      <c r="R530" s="30"/>
      <c r="S530" s="30"/>
      <c r="T530" s="30"/>
      <c r="U530" s="30" t="s">
        <v>144</v>
      </c>
      <c r="V530" s="30" t="s">
        <v>415</v>
      </c>
      <c r="W530" s="30"/>
      <c r="X530" s="30" t="s">
        <v>127</v>
      </c>
      <c r="Y530" s="30" t="s">
        <v>576</v>
      </c>
      <c r="Z530" s="30" t="s">
        <v>576</v>
      </c>
      <c r="AA530" s="30" t="s">
        <v>129</v>
      </c>
      <c r="AB530" s="30"/>
      <c r="AC530" s="30"/>
      <c r="AD530" s="30"/>
      <c r="AE530" s="30"/>
      <c r="AF530" s="30"/>
      <c r="AG530" s="30"/>
      <c r="AH530" s="30"/>
      <c r="AI530" s="30"/>
      <c r="AJ530" s="50">
        <v>45504</v>
      </c>
      <c r="AK530" s="50">
        <v>45504</v>
      </c>
      <c r="AL530" s="51">
        <f t="shared" si="371"/>
        <v>1.252054794520548</v>
      </c>
      <c r="AM530" s="30">
        <v>8</v>
      </c>
      <c r="AN530" s="30" t="s">
        <v>1065</v>
      </c>
      <c r="AO530" s="30" t="s">
        <v>1050</v>
      </c>
      <c r="AP530" s="30" t="s">
        <v>1051</v>
      </c>
      <c r="AQ530" s="30">
        <v>0</v>
      </c>
      <c r="AR530" s="30"/>
      <c r="AS530" s="30"/>
      <c r="AT530" s="30"/>
      <c r="AU530" s="54">
        <v>20550000</v>
      </c>
      <c r="AV530" s="54"/>
      <c r="AW530" s="54"/>
      <c r="AX530" s="54"/>
      <c r="AY530" s="54">
        <v>2782809</v>
      </c>
      <c r="AZ530" s="54">
        <v>214062</v>
      </c>
      <c r="BA530" s="54">
        <v>17125005</v>
      </c>
      <c r="BB530" s="55">
        <f>VLOOKUP(M530,[1]Sheet1!$E$6:$F$556,2,FALSE)</f>
        <v>1692520</v>
      </c>
      <c r="BC530" s="74"/>
      <c r="BD530" s="74"/>
      <c r="BE530" s="128">
        <v>83.000210219469125</v>
      </c>
      <c r="BF530" s="30" t="s">
        <v>1134</v>
      </c>
      <c r="BG530" s="30" t="s">
        <v>1074</v>
      </c>
      <c r="BH530" s="30" t="s">
        <v>1054</v>
      </c>
      <c r="BI530" s="30" t="str">
        <f t="shared" si="358"/>
        <v>COF(Assy_FT)</v>
      </c>
      <c r="BJ530" s="47" t="s">
        <v>137</v>
      </c>
      <c r="BK530" s="56">
        <f t="shared" si="372"/>
        <v>17981255.25</v>
      </c>
      <c r="BL530" s="57">
        <f t="shared" si="338"/>
        <v>1714130.0085063188</v>
      </c>
      <c r="BM530" s="57">
        <f t="shared" si="339"/>
        <v>571376.66950210626</v>
      </c>
      <c r="BU530" s="58">
        <f t="shared" si="365"/>
        <v>1714130.0085063188</v>
      </c>
      <c r="BV530" s="58">
        <f t="shared" si="349"/>
        <v>1714130.0085063188</v>
      </c>
      <c r="BW530" s="58">
        <f t="shared" si="366"/>
        <v>3428260.0170126376</v>
      </c>
      <c r="BX530" s="58">
        <f t="shared" si="341"/>
        <v>1714130.0085063188</v>
      </c>
      <c r="BY530" s="58">
        <f t="shared" si="350"/>
        <v>1714130.0085063188</v>
      </c>
      <c r="BZ530" s="58">
        <f t="shared" si="367"/>
        <v>1714130.0085063188</v>
      </c>
      <c r="CA530" s="58">
        <f t="shared" si="336"/>
        <v>1714130.0085063188</v>
      </c>
      <c r="CB530" s="58">
        <f t="shared" si="360"/>
        <v>6856520.0340252751</v>
      </c>
      <c r="CC530" s="58">
        <f t="shared" si="361"/>
        <v>1714130.0085063188</v>
      </c>
      <c r="CD530" s="58">
        <f t="shared" si="355"/>
        <v>1714130.0085063188</v>
      </c>
      <c r="CE530" s="58">
        <f t="shared" si="355"/>
        <v>1714130.0085063188</v>
      </c>
      <c r="CF530" s="58">
        <f t="shared" si="355"/>
        <v>1714130.0085063188</v>
      </c>
      <c r="CG530" s="58">
        <f t="shared" si="362"/>
        <v>6856520.0340252751</v>
      </c>
      <c r="CH530" s="58">
        <f t="shared" si="342"/>
        <v>1714130.0085063188</v>
      </c>
      <c r="CI530" s="58">
        <f t="shared" si="368"/>
        <v>1714130.0085063188</v>
      </c>
      <c r="CJ530" s="58">
        <f t="shared" si="368"/>
        <v>1714130.0085063188</v>
      </c>
      <c r="CK530" s="58">
        <f t="shared" si="368"/>
        <v>1714130.0085063188</v>
      </c>
      <c r="CL530" s="58">
        <f t="shared" si="343"/>
        <v>6856520.0340252751</v>
      </c>
      <c r="CN530" s="59">
        <f>BK530/$CN$3</f>
        <v>1.7557573820096285E-3</v>
      </c>
      <c r="CO530" s="64">
        <f>CN530*$CO$4</f>
        <v>36870905.022202201</v>
      </c>
      <c r="CP530" s="2">
        <f t="shared" si="359"/>
        <v>54852160.272202201</v>
      </c>
    </row>
    <row r="531" spans="1:94" hidden="1" x14ac:dyDescent="0.3">
      <c r="A531" s="29">
        <v>526</v>
      </c>
      <c r="B531" s="30" t="s">
        <v>21</v>
      </c>
      <c r="C531" s="30"/>
      <c r="D531" s="30" t="s">
        <v>1041</v>
      </c>
      <c r="E531" s="30" t="s">
        <v>1042</v>
      </c>
      <c r="F531" s="30" t="s">
        <v>1043</v>
      </c>
      <c r="G531" s="30" t="s">
        <v>117</v>
      </c>
      <c r="H531" s="30" t="s">
        <v>1058</v>
      </c>
      <c r="I531" s="30" t="s">
        <v>119</v>
      </c>
      <c r="J531" s="30" t="s">
        <v>1044</v>
      </c>
      <c r="K531" s="30" t="s">
        <v>1044</v>
      </c>
      <c r="L531" s="30" t="s">
        <v>1059</v>
      </c>
      <c r="M531" s="30">
        <v>1007402</v>
      </c>
      <c r="N531" s="30" t="s">
        <v>369</v>
      </c>
      <c r="O531" s="30" t="s">
        <v>1710</v>
      </c>
      <c r="P531" s="30"/>
      <c r="Q531" s="30" t="s">
        <v>1018</v>
      </c>
      <c r="R531" s="30"/>
      <c r="S531" s="30"/>
      <c r="T531" s="30"/>
      <c r="U531" s="30" t="s">
        <v>144</v>
      </c>
      <c r="V531" s="30" t="s">
        <v>437</v>
      </c>
      <c r="W531" s="30" t="s">
        <v>1632</v>
      </c>
      <c r="X531" s="30"/>
      <c r="Y531" s="30" t="s">
        <v>457</v>
      </c>
      <c r="Z531" s="30" t="s">
        <v>457</v>
      </c>
      <c r="AA531" s="30" t="s">
        <v>129</v>
      </c>
      <c r="AB531" s="30"/>
      <c r="AC531" s="30"/>
      <c r="AD531" s="30"/>
      <c r="AE531" s="30"/>
      <c r="AF531" s="30"/>
      <c r="AG531" s="30"/>
      <c r="AH531" s="30"/>
      <c r="AI531" s="30"/>
      <c r="AJ531" s="50">
        <v>45199</v>
      </c>
      <c r="AK531" s="50">
        <v>45199</v>
      </c>
      <c r="AL531" s="51">
        <f t="shared" si="371"/>
        <v>2.0876712328767124</v>
      </c>
      <c r="AM531" s="30">
        <v>8</v>
      </c>
      <c r="AN531" s="30" t="s">
        <v>1065</v>
      </c>
      <c r="AO531" s="30" t="s">
        <v>1050</v>
      </c>
      <c r="AP531" s="30" t="s">
        <v>1051</v>
      </c>
      <c r="AQ531" s="30">
        <v>0</v>
      </c>
      <c r="AR531" s="30"/>
      <c r="AS531" s="30"/>
      <c r="AT531" s="30"/>
      <c r="AU531" s="74">
        <v>22500000</v>
      </c>
      <c r="AV531" s="54"/>
      <c r="AW531" s="54"/>
      <c r="AX531" s="54"/>
      <c r="AY531" s="54">
        <v>5390625</v>
      </c>
      <c r="AZ531" s="54">
        <v>234375</v>
      </c>
      <c r="BA531" s="74">
        <v>16406250</v>
      </c>
      <c r="BB531" s="55">
        <f>VLOOKUP(M531,[1]Sheet1!$E$6:$F$556,2,FALSE)</f>
        <v>1606042</v>
      </c>
      <c r="BC531" s="74"/>
      <c r="BD531" s="74"/>
      <c r="BE531" s="128">
        <v>73</v>
      </c>
      <c r="BF531" s="30" t="s">
        <v>1134</v>
      </c>
      <c r="BG531" s="30" t="s">
        <v>1117</v>
      </c>
      <c r="BH531" s="30" t="s">
        <v>1054</v>
      </c>
      <c r="BI531" s="30" t="str">
        <f t="shared" si="358"/>
        <v>COF(Assy_FT)</v>
      </c>
      <c r="BJ531" s="30" t="s">
        <v>250</v>
      </c>
      <c r="BK531" s="56">
        <f t="shared" si="372"/>
        <v>17226562.5</v>
      </c>
      <c r="BL531" s="57">
        <f t="shared" si="338"/>
        <v>538330.078125</v>
      </c>
      <c r="BM531" s="57">
        <f t="shared" si="339"/>
        <v>179443.359375</v>
      </c>
      <c r="BU531" s="58">
        <f t="shared" si="365"/>
        <v>538330.078125</v>
      </c>
      <c r="BV531" s="58">
        <f t="shared" si="349"/>
        <v>538330.078125</v>
      </c>
      <c r="BW531" s="58">
        <f t="shared" si="366"/>
        <v>1076660.15625</v>
      </c>
      <c r="BX531" s="58">
        <f t="shared" si="341"/>
        <v>538330.078125</v>
      </c>
      <c r="BY531" s="58">
        <f t="shared" si="350"/>
        <v>538330.078125</v>
      </c>
      <c r="BZ531" s="58">
        <f t="shared" si="367"/>
        <v>538330.078125</v>
      </c>
      <c r="CA531" s="58">
        <f t="shared" si="336"/>
        <v>538330.078125</v>
      </c>
      <c r="CB531" s="58">
        <f t="shared" si="360"/>
        <v>2153320.3125</v>
      </c>
      <c r="CC531" s="58">
        <f t="shared" si="361"/>
        <v>538330.078125</v>
      </c>
      <c r="CD531" s="58">
        <f t="shared" si="355"/>
        <v>538330.078125</v>
      </c>
      <c r="CE531" s="58">
        <f t="shared" si="355"/>
        <v>538330.078125</v>
      </c>
      <c r="CF531" s="58">
        <f t="shared" si="355"/>
        <v>538330.078125</v>
      </c>
      <c r="CG531" s="58">
        <f t="shared" si="362"/>
        <v>2153320.3125</v>
      </c>
      <c r="CH531" s="58">
        <f t="shared" si="342"/>
        <v>538330.078125</v>
      </c>
      <c r="CI531" s="58">
        <f t="shared" si="368"/>
        <v>538330.078125</v>
      </c>
      <c r="CJ531" s="58">
        <f t="shared" si="368"/>
        <v>538330.078125</v>
      </c>
      <c r="CK531" s="58">
        <f t="shared" si="368"/>
        <v>538330.078125</v>
      </c>
      <c r="CL531" s="58">
        <f t="shared" si="343"/>
        <v>2153320.3125</v>
      </c>
      <c r="CP531" s="2">
        <f t="shared" si="359"/>
        <v>17226562.5</v>
      </c>
    </row>
    <row r="532" spans="1:94" hidden="1" x14ac:dyDescent="0.3">
      <c r="A532" s="29">
        <v>527</v>
      </c>
      <c r="B532" s="30" t="s">
        <v>21</v>
      </c>
      <c r="C532" s="30"/>
      <c r="D532" s="30" t="s">
        <v>1041</v>
      </c>
      <c r="E532" s="30" t="s">
        <v>1042</v>
      </c>
      <c r="F532" s="30" t="s">
        <v>1043</v>
      </c>
      <c r="G532" s="30" t="s">
        <v>117</v>
      </c>
      <c r="H532" s="30" t="s">
        <v>1058</v>
      </c>
      <c r="I532" s="30" t="s">
        <v>119</v>
      </c>
      <c r="J532" s="30" t="s">
        <v>1044</v>
      </c>
      <c r="K532" s="30" t="s">
        <v>1044</v>
      </c>
      <c r="L532" s="30" t="s">
        <v>1059</v>
      </c>
      <c r="M532" s="30">
        <v>1007423</v>
      </c>
      <c r="N532" s="30" t="s">
        <v>138</v>
      </c>
      <c r="O532" s="30" t="s">
        <v>1711</v>
      </c>
      <c r="P532" s="30" t="s">
        <v>1712</v>
      </c>
      <c r="Q532" s="30" t="s">
        <v>1713</v>
      </c>
      <c r="R532" s="30"/>
      <c r="S532" s="30"/>
      <c r="T532" s="30"/>
      <c r="U532" s="30" t="s">
        <v>144</v>
      </c>
      <c r="V532" s="30" t="s">
        <v>437</v>
      </c>
      <c r="W532" s="30" t="s">
        <v>1714</v>
      </c>
      <c r="X532" s="30"/>
      <c r="Y532" s="30" t="s">
        <v>457</v>
      </c>
      <c r="Z532" s="30" t="s">
        <v>457</v>
      </c>
      <c r="AA532" s="30" t="s">
        <v>129</v>
      </c>
      <c r="AB532" s="30" t="s">
        <v>1715</v>
      </c>
      <c r="AC532" s="30"/>
      <c r="AD532" s="30"/>
      <c r="AE532" s="30"/>
      <c r="AF532" s="30" t="s">
        <v>131</v>
      </c>
      <c r="AG532" s="30" t="s">
        <v>1014</v>
      </c>
      <c r="AH532" s="30"/>
      <c r="AI532" s="30"/>
      <c r="AJ532" s="50">
        <v>45258</v>
      </c>
      <c r="AK532" s="50">
        <v>45258</v>
      </c>
      <c r="AL532" s="51">
        <f t="shared" si="371"/>
        <v>1.9260273972602739</v>
      </c>
      <c r="AM532" s="30">
        <v>8</v>
      </c>
      <c r="AN532" s="30" t="s">
        <v>1065</v>
      </c>
      <c r="AO532" s="30" t="s">
        <v>1050</v>
      </c>
      <c r="AP532" s="30" t="s">
        <v>1051</v>
      </c>
      <c r="AQ532" s="30">
        <v>0</v>
      </c>
      <c r="AR532" s="30"/>
      <c r="AS532" s="30"/>
      <c r="AT532" s="30"/>
      <c r="AU532" s="74">
        <v>180000000</v>
      </c>
      <c r="AV532" s="54"/>
      <c r="AW532" s="54"/>
      <c r="AX532" s="54"/>
      <c r="AY532" s="54">
        <v>39375000</v>
      </c>
      <c r="AZ532" s="54">
        <v>1875000</v>
      </c>
      <c r="BA532" s="74">
        <v>135000000</v>
      </c>
      <c r="BB532" s="55">
        <f>VLOOKUP(M532,[1]Sheet1!$E$6:$F$556,2,FALSE)</f>
        <v>13243657</v>
      </c>
      <c r="BC532" s="74"/>
      <c r="BD532" s="74"/>
      <c r="BE532" s="128">
        <v>75</v>
      </c>
      <c r="BF532" s="30" t="s">
        <v>1134</v>
      </c>
      <c r="BG532" s="30" t="s">
        <v>1117</v>
      </c>
      <c r="BH532" s="30" t="s">
        <v>1054</v>
      </c>
      <c r="BI532" s="30" t="str">
        <f t="shared" si="358"/>
        <v>COF(Assy_FT)</v>
      </c>
      <c r="BJ532" s="30" t="s">
        <v>250</v>
      </c>
      <c r="BK532" s="56">
        <f t="shared" si="372"/>
        <v>141750000</v>
      </c>
      <c r="BL532" s="57">
        <f t="shared" si="338"/>
        <v>4429687.5</v>
      </c>
      <c r="BM532" s="57">
        <f t="shared" si="339"/>
        <v>1476562.5</v>
      </c>
      <c r="BU532" s="58">
        <f t="shared" si="365"/>
        <v>4429687.5</v>
      </c>
      <c r="BV532" s="58">
        <f t="shared" si="349"/>
        <v>4429687.5</v>
      </c>
      <c r="BW532" s="58">
        <f t="shared" si="366"/>
        <v>8859375</v>
      </c>
      <c r="BX532" s="58">
        <f t="shared" si="341"/>
        <v>4429687.5</v>
      </c>
      <c r="BY532" s="58">
        <f t="shared" si="350"/>
        <v>4429687.5</v>
      </c>
      <c r="BZ532" s="58">
        <f t="shared" si="367"/>
        <v>4429687.5</v>
      </c>
      <c r="CA532" s="58">
        <f t="shared" si="336"/>
        <v>4429687.5</v>
      </c>
      <c r="CB532" s="58">
        <f t="shared" si="360"/>
        <v>17718750</v>
      </c>
      <c r="CC532" s="58">
        <f t="shared" si="361"/>
        <v>4429687.5</v>
      </c>
      <c r="CD532" s="58">
        <f t="shared" si="355"/>
        <v>4429687.5</v>
      </c>
      <c r="CE532" s="58">
        <f t="shared" si="355"/>
        <v>4429687.5</v>
      </c>
      <c r="CF532" s="58">
        <f t="shared" si="355"/>
        <v>4429687.5</v>
      </c>
      <c r="CG532" s="58">
        <f t="shared" si="362"/>
        <v>17718750</v>
      </c>
      <c r="CH532" s="58">
        <f t="shared" si="342"/>
        <v>4429687.5</v>
      </c>
      <c r="CI532" s="58">
        <f t="shared" si="368"/>
        <v>4429687.5</v>
      </c>
      <c r="CJ532" s="58">
        <f t="shared" si="368"/>
        <v>4429687.5</v>
      </c>
      <c r="CK532" s="58">
        <f t="shared" si="368"/>
        <v>4429687.5</v>
      </c>
      <c r="CL532" s="58">
        <f t="shared" si="343"/>
        <v>17718750</v>
      </c>
      <c r="CP532" s="2">
        <f t="shared" si="359"/>
        <v>141750000</v>
      </c>
    </row>
    <row r="533" spans="1:94" ht="16.5" hidden="1" x14ac:dyDescent="0.3">
      <c r="A533" s="2">
        <v>528</v>
      </c>
      <c r="B533" s="47" t="s">
        <v>21</v>
      </c>
      <c r="C533" s="47"/>
      <c r="D533" s="30" t="s">
        <v>1041</v>
      </c>
      <c r="E533" s="30" t="s">
        <v>1042</v>
      </c>
      <c r="F533" s="30" t="s">
        <v>1043</v>
      </c>
      <c r="G533" s="30" t="s">
        <v>117</v>
      </c>
      <c r="H533" s="30" t="s">
        <v>1058</v>
      </c>
      <c r="I533" s="30" t="s">
        <v>119</v>
      </c>
      <c r="J533" s="30" t="s">
        <v>1044</v>
      </c>
      <c r="K533" s="30" t="s">
        <v>1044</v>
      </c>
      <c r="L533" s="30" t="s">
        <v>1130</v>
      </c>
      <c r="M533" s="30">
        <v>1007825</v>
      </c>
      <c r="N533" s="30" t="s">
        <v>369</v>
      </c>
      <c r="O533" s="30" t="s">
        <v>1716</v>
      </c>
      <c r="P533" s="30"/>
      <c r="Q533" s="30" t="s">
        <v>1018</v>
      </c>
      <c r="R533" s="30"/>
      <c r="S533" s="30"/>
      <c r="T533" s="30"/>
      <c r="U533" s="30" t="s">
        <v>144</v>
      </c>
      <c r="V533" s="30" t="s">
        <v>415</v>
      </c>
      <c r="W533" s="30"/>
      <c r="X533" s="30" t="s">
        <v>127</v>
      </c>
      <c r="Y533" s="30" t="s">
        <v>576</v>
      </c>
      <c r="Z533" s="30" t="s">
        <v>576</v>
      </c>
      <c r="AA533" s="30" t="s">
        <v>129</v>
      </c>
      <c r="AB533" s="30"/>
      <c r="AC533" s="30"/>
      <c r="AD533" s="30"/>
      <c r="AE533" s="30"/>
      <c r="AF533" s="30"/>
      <c r="AG533" s="30"/>
      <c r="AH533" s="30"/>
      <c r="AI533" s="30"/>
      <c r="AJ533" s="50">
        <v>45653</v>
      </c>
      <c r="AK533" s="50">
        <v>45653</v>
      </c>
      <c r="AL533" s="51">
        <f t="shared" si="371"/>
        <v>0.84383561643835614</v>
      </c>
      <c r="AM533" s="30">
        <v>8</v>
      </c>
      <c r="AN533" s="30" t="s">
        <v>1065</v>
      </c>
      <c r="AO533" s="30" t="s">
        <v>1050</v>
      </c>
      <c r="AP533" s="30" t="s">
        <v>1051</v>
      </c>
      <c r="AQ533" s="30">
        <v>0</v>
      </c>
      <c r="AR533" s="30"/>
      <c r="AS533" s="30"/>
      <c r="AT533" s="30"/>
      <c r="AU533" s="54">
        <v>80000000</v>
      </c>
      <c r="AV533" s="54"/>
      <c r="AW533" s="54"/>
      <c r="AX533" s="54"/>
      <c r="AY533" s="54">
        <v>6666664</v>
      </c>
      <c r="AZ533" s="54">
        <v>833333</v>
      </c>
      <c r="BA533" s="54">
        <v>70833337</v>
      </c>
      <c r="BB533" s="55">
        <f>VLOOKUP(M533,[1]Sheet1!$E$6:$F$556,2,FALSE)</f>
        <v>7028143</v>
      </c>
      <c r="BC533" s="74"/>
      <c r="BD533" s="74"/>
      <c r="BE533" s="128">
        <v>88.000038400015356</v>
      </c>
      <c r="BF533" s="30" t="s">
        <v>1134</v>
      </c>
      <c r="BG533" s="30" t="s">
        <v>1074</v>
      </c>
      <c r="BH533" s="30" t="s">
        <v>1054</v>
      </c>
      <c r="BI533" s="30" t="str">
        <f t="shared" si="358"/>
        <v>COF(Assy_FT)</v>
      </c>
      <c r="BJ533" s="47" t="s">
        <v>137</v>
      </c>
      <c r="BK533" s="56">
        <f t="shared" si="372"/>
        <v>74375003.850000009</v>
      </c>
      <c r="BL533" s="57">
        <f t="shared" si="338"/>
        <v>7090073.7578961849</v>
      </c>
      <c r="BM533" s="57">
        <f t="shared" si="339"/>
        <v>2363357.9192987285</v>
      </c>
      <c r="BU533" s="58">
        <f t="shared" si="365"/>
        <v>7090073.7578961849</v>
      </c>
      <c r="BV533" s="58">
        <f t="shared" si="349"/>
        <v>7090073.7578961849</v>
      </c>
      <c r="BW533" s="58">
        <f t="shared" si="366"/>
        <v>14180147.51579237</v>
      </c>
      <c r="BX533" s="58">
        <f t="shared" si="341"/>
        <v>7090073.7578961849</v>
      </c>
      <c r="BY533" s="58">
        <f t="shared" si="350"/>
        <v>7090073.7578961849</v>
      </c>
      <c r="BZ533" s="58">
        <f t="shared" si="367"/>
        <v>7090073.7578961849</v>
      </c>
      <c r="CA533" s="58">
        <f t="shared" si="336"/>
        <v>7090073.7578961849</v>
      </c>
      <c r="CB533" s="58">
        <f t="shared" si="360"/>
        <v>28360295.03158474</v>
      </c>
      <c r="CC533" s="58">
        <f t="shared" si="361"/>
        <v>7090073.7578961849</v>
      </c>
      <c r="CD533" s="58">
        <f t="shared" ref="CD533:CF548" si="373">CC533</f>
        <v>7090073.7578961849</v>
      </c>
      <c r="CE533" s="58">
        <f t="shared" si="373"/>
        <v>7090073.7578961849</v>
      </c>
      <c r="CF533" s="58">
        <f t="shared" si="373"/>
        <v>7090073.7578961849</v>
      </c>
      <c r="CG533" s="58">
        <f t="shared" si="362"/>
        <v>28360295.03158474</v>
      </c>
      <c r="CH533" s="58">
        <f t="shared" si="342"/>
        <v>7090073.7578961849</v>
      </c>
      <c r="CI533" s="58">
        <f t="shared" si="368"/>
        <v>7090073.7578961849</v>
      </c>
      <c r="CJ533" s="58">
        <f t="shared" si="368"/>
        <v>7090073.7578961849</v>
      </c>
      <c r="CK533" s="58">
        <f t="shared" si="368"/>
        <v>7090073.7578961849</v>
      </c>
      <c r="CL533" s="58">
        <f t="shared" si="343"/>
        <v>28360295.03158474</v>
      </c>
      <c r="CN533" s="59">
        <f t="shared" ref="CN533:CN534" si="374">BK533/$CN$3</f>
        <v>7.2622550667941861E-3</v>
      </c>
      <c r="CO533" s="64">
        <f t="shared" ref="CO533:CO534" si="375">CN533*$CO$4</f>
        <v>152507356.40267789</v>
      </c>
      <c r="CP533" s="2">
        <f t="shared" si="359"/>
        <v>226882360.25267792</v>
      </c>
    </row>
    <row r="534" spans="1:94" ht="16.5" hidden="1" x14ac:dyDescent="0.3">
      <c r="A534" s="2">
        <v>529</v>
      </c>
      <c r="B534" s="47" t="s">
        <v>21</v>
      </c>
      <c r="C534" s="47"/>
      <c r="D534" s="30" t="s">
        <v>1041</v>
      </c>
      <c r="E534" s="30" t="s">
        <v>1042</v>
      </c>
      <c r="F534" s="30" t="s">
        <v>1043</v>
      </c>
      <c r="G534" s="30" t="s">
        <v>117</v>
      </c>
      <c r="H534" s="30" t="s">
        <v>1058</v>
      </c>
      <c r="I534" s="30" t="s">
        <v>119</v>
      </c>
      <c r="J534" s="30" t="s">
        <v>1044</v>
      </c>
      <c r="K534" s="30" t="s">
        <v>1044</v>
      </c>
      <c r="L534" s="30" t="s">
        <v>1130</v>
      </c>
      <c r="M534" s="30">
        <v>1005505</v>
      </c>
      <c r="N534" s="30" t="s">
        <v>123</v>
      </c>
      <c r="O534" s="30" t="s">
        <v>1717</v>
      </c>
      <c r="P534" s="30"/>
      <c r="Q534" s="30" t="s">
        <v>1018</v>
      </c>
      <c r="R534" s="30"/>
      <c r="S534" s="30"/>
      <c r="T534" s="30"/>
      <c r="U534" s="30" t="s">
        <v>144</v>
      </c>
      <c r="V534" s="30" t="s">
        <v>437</v>
      </c>
      <c r="W534" s="30"/>
      <c r="X534" s="30" t="s">
        <v>127</v>
      </c>
      <c r="Y534" s="30" t="s">
        <v>576</v>
      </c>
      <c r="Z534" s="30" t="s">
        <v>576</v>
      </c>
      <c r="AA534" s="30" t="s">
        <v>129</v>
      </c>
      <c r="AB534" s="30"/>
      <c r="AC534" s="30"/>
      <c r="AD534" s="30"/>
      <c r="AE534" s="30"/>
      <c r="AF534" s="30"/>
      <c r="AG534" s="30"/>
      <c r="AH534" s="30"/>
      <c r="AI534" s="30"/>
      <c r="AJ534" s="50">
        <v>43279</v>
      </c>
      <c r="AK534" s="50">
        <v>43279</v>
      </c>
      <c r="AL534" s="51">
        <f t="shared" si="371"/>
        <v>7.3479452054794523</v>
      </c>
      <c r="AM534" s="30">
        <v>8</v>
      </c>
      <c r="AN534" s="30" t="s">
        <v>1065</v>
      </c>
      <c r="AO534" s="30" t="s">
        <v>1050</v>
      </c>
      <c r="AP534" s="30" t="s">
        <v>1051</v>
      </c>
      <c r="AQ534" s="30">
        <v>0</v>
      </c>
      <c r="AR534" s="30"/>
      <c r="AS534" s="30"/>
      <c r="AT534" s="30"/>
      <c r="AU534" s="54">
        <v>21080000</v>
      </c>
      <c r="AV534" s="54"/>
      <c r="AW534" s="54"/>
      <c r="AX534" s="54"/>
      <c r="AY534" s="54">
        <v>18884162</v>
      </c>
      <c r="AZ534" s="54">
        <v>219583</v>
      </c>
      <c r="BA534" s="54">
        <v>1537089</v>
      </c>
      <c r="BB534" s="55">
        <f>VLOOKUP(M534,[1]Sheet1!$E$6:$F$556,2,FALSE)</f>
        <v>46898</v>
      </c>
      <c r="BC534" s="74"/>
      <c r="BD534" s="74"/>
      <c r="BE534" s="128">
        <v>10.000036432692877</v>
      </c>
      <c r="BF534" s="30" t="s">
        <v>1134</v>
      </c>
      <c r="BG534" s="30" t="s">
        <v>1074</v>
      </c>
      <c r="BH534" s="30" t="s">
        <v>1054</v>
      </c>
      <c r="BI534" s="30" t="str">
        <f t="shared" si="358"/>
        <v>COF(Assy_FT)</v>
      </c>
      <c r="BJ534" s="47" t="s">
        <v>137</v>
      </c>
      <c r="BK534" s="56">
        <f t="shared" si="372"/>
        <v>1613943.45</v>
      </c>
      <c r="BL534" s="57">
        <f t="shared" si="338"/>
        <v>153855.15978798072</v>
      </c>
      <c r="BM534" s="57">
        <f t="shared" si="339"/>
        <v>51285.053262660243</v>
      </c>
      <c r="BU534" s="58">
        <f t="shared" si="365"/>
        <v>153855.15978798072</v>
      </c>
      <c r="BV534" s="58">
        <f t="shared" si="349"/>
        <v>153855.15978798072</v>
      </c>
      <c r="BW534" s="58">
        <f t="shared" si="366"/>
        <v>307710.31957596145</v>
      </c>
      <c r="BX534" s="58">
        <f t="shared" si="341"/>
        <v>153855.15978798072</v>
      </c>
      <c r="BY534" s="58">
        <f t="shared" si="350"/>
        <v>153855.15978798072</v>
      </c>
      <c r="BZ534" s="58">
        <f t="shared" si="367"/>
        <v>153855.15978798072</v>
      </c>
      <c r="CA534" s="58">
        <f t="shared" si="336"/>
        <v>153855.15978798072</v>
      </c>
      <c r="CB534" s="58">
        <f t="shared" si="360"/>
        <v>615420.63915192289</v>
      </c>
      <c r="CC534" s="58">
        <f t="shared" si="361"/>
        <v>153855.15978798072</v>
      </c>
      <c r="CD534" s="58">
        <f t="shared" si="373"/>
        <v>153855.15978798072</v>
      </c>
      <c r="CE534" s="58">
        <f t="shared" si="373"/>
        <v>153855.15978798072</v>
      </c>
      <c r="CF534" s="58">
        <f t="shared" si="373"/>
        <v>153855.15978798072</v>
      </c>
      <c r="CG534" s="58">
        <f t="shared" si="362"/>
        <v>615420.63915192289</v>
      </c>
      <c r="CH534" s="58">
        <f t="shared" si="342"/>
        <v>153855.15978798072</v>
      </c>
      <c r="CI534" s="58">
        <f t="shared" si="368"/>
        <v>153855.15978798072</v>
      </c>
      <c r="CJ534" s="58">
        <f t="shared" si="368"/>
        <v>153855.15978798072</v>
      </c>
      <c r="CK534" s="58">
        <f t="shared" si="368"/>
        <v>153855.15978798072</v>
      </c>
      <c r="CL534" s="58">
        <f t="shared" si="343"/>
        <v>615420.63915192289</v>
      </c>
      <c r="CN534" s="59">
        <f t="shared" si="374"/>
        <v>1.575915077721611E-4</v>
      </c>
      <c r="CO534" s="64">
        <f t="shared" si="375"/>
        <v>3309421.663215383</v>
      </c>
      <c r="CP534" s="2">
        <f t="shared" si="359"/>
        <v>4923365.1132153831</v>
      </c>
    </row>
    <row r="535" spans="1:94" hidden="1" x14ac:dyDescent="0.3">
      <c r="A535" s="29">
        <v>530</v>
      </c>
      <c r="B535" s="30" t="s">
        <v>21</v>
      </c>
      <c r="C535" s="30"/>
      <c r="D535" s="30" t="s">
        <v>1041</v>
      </c>
      <c r="E535" s="30" t="s">
        <v>1042</v>
      </c>
      <c r="F535" s="30" t="s">
        <v>1043</v>
      </c>
      <c r="G535" s="30" t="s">
        <v>117</v>
      </c>
      <c r="H535" s="30" t="s">
        <v>926</v>
      </c>
      <c r="I535" s="30" t="s">
        <v>119</v>
      </c>
      <c r="J535" s="30" t="s">
        <v>1044</v>
      </c>
      <c r="K535" s="30" t="s">
        <v>1044</v>
      </c>
      <c r="L535" s="30" t="s">
        <v>1255</v>
      </c>
      <c r="M535" s="30">
        <v>1007704</v>
      </c>
      <c r="N535" s="30" t="s">
        <v>138</v>
      </c>
      <c r="O535" s="30" t="s">
        <v>1718</v>
      </c>
      <c r="P535" s="30" t="s">
        <v>1301</v>
      </c>
      <c r="Q535" s="30" t="s">
        <v>1301</v>
      </c>
      <c r="R535" s="30"/>
      <c r="S535" s="30" t="s">
        <v>1719</v>
      </c>
      <c r="T535" s="30" t="s">
        <v>1720</v>
      </c>
      <c r="U535" s="30" t="s">
        <v>144</v>
      </c>
      <c r="V535" s="30" t="s">
        <v>437</v>
      </c>
      <c r="W535" s="30" t="s">
        <v>1086</v>
      </c>
      <c r="X535" s="30"/>
      <c r="Y535" s="30" t="s">
        <v>457</v>
      </c>
      <c r="Z535" s="30" t="s">
        <v>457</v>
      </c>
      <c r="AA535" s="30" t="s">
        <v>129</v>
      </c>
      <c r="AB535" s="30" t="s">
        <v>1132</v>
      </c>
      <c r="AC535" s="30"/>
      <c r="AD535" s="30"/>
      <c r="AE535" s="30"/>
      <c r="AF535" s="30" t="s">
        <v>131</v>
      </c>
      <c r="AG535" s="30" t="s">
        <v>1721</v>
      </c>
      <c r="AH535" s="30"/>
      <c r="AI535" s="30"/>
      <c r="AJ535" s="50">
        <v>45530</v>
      </c>
      <c r="AK535" s="50">
        <v>45537</v>
      </c>
      <c r="AL535" s="51">
        <f t="shared" si="371"/>
        <v>1.1616438356164382</v>
      </c>
      <c r="AM535" s="30">
        <v>8</v>
      </c>
      <c r="AN535" s="30" t="s">
        <v>1057</v>
      </c>
      <c r="AO535" s="30" t="s">
        <v>1050</v>
      </c>
      <c r="AP535" s="30" t="s">
        <v>1051</v>
      </c>
      <c r="AQ535" s="30">
        <v>2.4</v>
      </c>
      <c r="AR535" s="30">
        <v>2269</v>
      </c>
      <c r="AS535" s="30">
        <v>1124</v>
      </c>
      <c r="AT535" s="30">
        <v>1986</v>
      </c>
      <c r="AU535" s="74">
        <v>21300000</v>
      </c>
      <c r="AV535" s="54"/>
      <c r="AW535" s="54"/>
      <c r="AX535" s="54"/>
      <c r="AY535" s="54">
        <v>2440625</v>
      </c>
      <c r="AZ535" s="54">
        <v>221875</v>
      </c>
      <c r="BA535" s="74">
        <v>18193750</v>
      </c>
      <c r="BB535" s="55">
        <f>VLOOKUP(M535,[1]Sheet1!$E$6:$F$556,2,FALSE)</f>
        <v>1801070</v>
      </c>
      <c r="BC535" s="74"/>
      <c r="BD535" s="74"/>
      <c r="BE535" s="128">
        <v>85</v>
      </c>
      <c r="BF535" s="30" t="s">
        <v>1134</v>
      </c>
      <c r="BG535" s="30" t="s">
        <v>1053</v>
      </c>
      <c r="BH535" s="30" t="s">
        <v>1054</v>
      </c>
      <c r="BI535" s="30" t="str">
        <f t="shared" si="358"/>
        <v>COF(Assy_FT)</v>
      </c>
      <c r="BJ535" s="30" t="s">
        <v>250</v>
      </c>
      <c r="BK535" s="56">
        <f t="shared" si="372"/>
        <v>19103437.5</v>
      </c>
      <c r="BL535" s="57">
        <f t="shared" si="338"/>
        <v>596982.421875</v>
      </c>
      <c r="BM535" s="57">
        <f t="shared" si="339"/>
        <v>198994.140625</v>
      </c>
      <c r="BU535" s="58">
        <f t="shared" si="365"/>
        <v>596982.421875</v>
      </c>
      <c r="BV535" s="58">
        <f t="shared" si="349"/>
        <v>596982.421875</v>
      </c>
      <c r="BW535" s="58">
        <f t="shared" si="366"/>
        <v>1193964.84375</v>
      </c>
      <c r="BX535" s="58">
        <f t="shared" si="341"/>
        <v>596982.421875</v>
      </c>
      <c r="BY535" s="58">
        <f t="shared" si="350"/>
        <v>596982.421875</v>
      </c>
      <c r="BZ535" s="58">
        <f t="shared" si="367"/>
        <v>596982.421875</v>
      </c>
      <c r="CA535" s="58">
        <f t="shared" si="336"/>
        <v>596982.421875</v>
      </c>
      <c r="CB535" s="58">
        <f t="shared" si="360"/>
        <v>2387929.6875</v>
      </c>
      <c r="CC535" s="58">
        <f t="shared" si="361"/>
        <v>596982.421875</v>
      </c>
      <c r="CD535" s="58">
        <f t="shared" si="373"/>
        <v>596982.421875</v>
      </c>
      <c r="CE535" s="58">
        <f t="shared" si="373"/>
        <v>596982.421875</v>
      </c>
      <c r="CF535" s="58">
        <f t="shared" si="373"/>
        <v>596982.421875</v>
      </c>
      <c r="CG535" s="58">
        <f t="shared" si="362"/>
        <v>2387929.6875</v>
      </c>
      <c r="CH535" s="58">
        <f t="shared" si="342"/>
        <v>596982.421875</v>
      </c>
      <c r="CI535" s="58">
        <f t="shared" si="368"/>
        <v>596982.421875</v>
      </c>
      <c r="CJ535" s="58">
        <f t="shared" si="368"/>
        <v>596982.421875</v>
      </c>
      <c r="CK535" s="58">
        <f t="shared" si="368"/>
        <v>596982.421875</v>
      </c>
      <c r="CL535" s="58">
        <f t="shared" si="343"/>
        <v>2387929.6875</v>
      </c>
      <c r="CP535" s="2">
        <f t="shared" si="359"/>
        <v>19103437.5</v>
      </c>
    </row>
    <row r="536" spans="1:94" hidden="1" x14ac:dyDescent="0.3">
      <c r="A536" s="29">
        <v>531</v>
      </c>
      <c r="B536" s="30" t="s">
        <v>21</v>
      </c>
      <c r="C536" s="30"/>
      <c r="D536" s="30" t="s">
        <v>1041</v>
      </c>
      <c r="E536" s="30" t="s">
        <v>1042</v>
      </c>
      <c r="F536" s="30" t="s">
        <v>1043</v>
      </c>
      <c r="G536" s="30" t="s">
        <v>117</v>
      </c>
      <c r="H536" s="30" t="s">
        <v>1058</v>
      </c>
      <c r="I536" s="30" t="s">
        <v>119</v>
      </c>
      <c r="J536" s="30" t="s">
        <v>1044</v>
      </c>
      <c r="K536" s="30" t="s">
        <v>1044</v>
      </c>
      <c r="L536" s="30" t="s">
        <v>1633</v>
      </c>
      <c r="M536" s="30">
        <v>1007705</v>
      </c>
      <c r="N536" s="30" t="s">
        <v>138</v>
      </c>
      <c r="O536" s="30" t="s">
        <v>1722</v>
      </c>
      <c r="P536" s="30" t="s">
        <v>1643</v>
      </c>
      <c r="Q536" s="30" t="s">
        <v>1643</v>
      </c>
      <c r="R536" s="30"/>
      <c r="S536" s="30" t="s">
        <v>1723</v>
      </c>
      <c r="T536" s="30"/>
      <c r="U536" s="30" t="s">
        <v>144</v>
      </c>
      <c r="V536" s="30" t="s">
        <v>437</v>
      </c>
      <c r="W536" s="30" t="s">
        <v>1638</v>
      </c>
      <c r="X536" s="97"/>
      <c r="Y536" s="30" t="s">
        <v>457</v>
      </c>
      <c r="Z536" s="30" t="s">
        <v>457</v>
      </c>
      <c r="AA536" s="30" t="s">
        <v>129</v>
      </c>
      <c r="AB536" s="30" t="s">
        <v>1640</v>
      </c>
      <c r="AC536" s="30"/>
      <c r="AD536" s="30"/>
      <c r="AE536" s="30"/>
      <c r="AF536" s="30" t="s">
        <v>131</v>
      </c>
      <c r="AG536" s="30" t="s">
        <v>774</v>
      </c>
      <c r="AH536" s="30"/>
      <c r="AI536" s="30"/>
      <c r="AJ536" s="50">
        <v>45558</v>
      </c>
      <c r="AK536" s="50">
        <v>45558</v>
      </c>
      <c r="AL536" s="51">
        <f t="shared" si="371"/>
        <v>1.1041095890410959</v>
      </c>
      <c r="AM536" s="30">
        <v>8</v>
      </c>
      <c r="AN536" s="30" t="s">
        <v>1065</v>
      </c>
      <c r="AO536" s="30" t="s">
        <v>1050</v>
      </c>
      <c r="AP536" s="30" t="s">
        <v>1051</v>
      </c>
      <c r="AQ536" s="30">
        <v>6.6</v>
      </c>
      <c r="AR536" s="30">
        <v>4784</v>
      </c>
      <c r="AS536" s="30">
        <v>1986</v>
      </c>
      <c r="AT536" s="30">
        <v>1324</v>
      </c>
      <c r="AU536" s="74">
        <v>602000000</v>
      </c>
      <c r="AV536" s="54"/>
      <c r="AW536" s="54"/>
      <c r="AX536" s="54"/>
      <c r="AY536" s="54">
        <v>63479165</v>
      </c>
      <c r="AZ536" s="54">
        <v>6270833</v>
      </c>
      <c r="BA536" s="74">
        <v>519708336</v>
      </c>
      <c r="BB536" s="55">
        <f>VLOOKUP(M536,[1]Sheet1!$E$6:$F$556,2,FALSE)</f>
        <v>51461606</v>
      </c>
      <c r="BC536" s="74"/>
      <c r="BD536" s="74"/>
      <c r="BE536" s="128">
        <v>85.877081242635555</v>
      </c>
      <c r="BF536" s="30" t="s">
        <v>1134</v>
      </c>
      <c r="BG536" s="30" t="s">
        <v>1641</v>
      </c>
      <c r="BH536" s="30" t="s">
        <v>1054</v>
      </c>
      <c r="BI536" s="30" t="str">
        <f t="shared" si="358"/>
        <v>COF(Assy_FT)</v>
      </c>
      <c r="BJ536" s="30" t="s">
        <v>250</v>
      </c>
      <c r="BK536" s="56">
        <f t="shared" si="372"/>
        <v>545693752.80000007</v>
      </c>
      <c r="BL536" s="57">
        <f t="shared" si="338"/>
        <v>17052929.775000002</v>
      </c>
      <c r="BM536" s="57">
        <f t="shared" si="339"/>
        <v>5684309.9250000007</v>
      </c>
      <c r="BU536" s="58">
        <f t="shared" si="365"/>
        <v>17052929.775000002</v>
      </c>
      <c r="BV536" s="58">
        <f t="shared" si="349"/>
        <v>17052929.775000002</v>
      </c>
      <c r="BW536" s="58">
        <f t="shared" si="366"/>
        <v>34105859.550000004</v>
      </c>
      <c r="BX536" s="58">
        <f t="shared" si="341"/>
        <v>17052929.775000002</v>
      </c>
      <c r="BY536" s="58">
        <f t="shared" si="350"/>
        <v>17052929.775000002</v>
      </c>
      <c r="BZ536" s="58">
        <f t="shared" si="367"/>
        <v>17052929.775000002</v>
      </c>
      <c r="CA536" s="58">
        <f t="shared" si="336"/>
        <v>17052929.775000002</v>
      </c>
      <c r="CB536" s="58">
        <f t="shared" si="360"/>
        <v>68211719.100000009</v>
      </c>
      <c r="CC536" s="58">
        <f t="shared" si="361"/>
        <v>17052929.775000002</v>
      </c>
      <c r="CD536" s="58">
        <f t="shared" si="373"/>
        <v>17052929.775000002</v>
      </c>
      <c r="CE536" s="58">
        <f t="shared" si="373"/>
        <v>17052929.775000002</v>
      </c>
      <c r="CF536" s="58">
        <f t="shared" si="373"/>
        <v>17052929.775000002</v>
      </c>
      <c r="CG536" s="58">
        <f t="shared" si="362"/>
        <v>68211719.100000009</v>
      </c>
      <c r="CH536" s="58">
        <f t="shared" si="342"/>
        <v>17052929.775000002</v>
      </c>
      <c r="CI536" s="58">
        <f t="shared" si="368"/>
        <v>17052929.775000002</v>
      </c>
      <c r="CJ536" s="58">
        <f t="shared" si="368"/>
        <v>17052929.775000002</v>
      </c>
      <c r="CK536" s="58">
        <f t="shared" si="368"/>
        <v>17052929.775000002</v>
      </c>
      <c r="CL536" s="58">
        <f t="shared" si="343"/>
        <v>68211719.100000009</v>
      </c>
      <c r="CP536" s="2">
        <f t="shared" si="359"/>
        <v>545693752.80000007</v>
      </c>
    </row>
    <row r="537" spans="1:94" ht="16.5" hidden="1" x14ac:dyDescent="0.3">
      <c r="A537" s="2">
        <v>532</v>
      </c>
      <c r="B537" s="47" t="s">
        <v>21</v>
      </c>
      <c r="C537" s="47"/>
      <c r="D537" s="30" t="s">
        <v>1041</v>
      </c>
      <c r="E537" s="30" t="s">
        <v>1042</v>
      </c>
      <c r="F537" s="30" t="s">
        <v>1043</v>
      </c>
      <c r="G537" s="30" t="s">
        <v>117</v>
      </c>
      <c r="H537" s="30" t="s">
        <v>1058</v>
      </c>
      <c r="I537" s="30" t="s">
        <v>119</v>
      </c>
      <c r="J537" s="30" t="s">
        <v>1044</v>
      </c>
      <c r="K537" s="30" t="s">
        <v>1044</v>
      </c>
      <c r="L537" s="30" t="s">
        <v>1130</v>
      </c>
      <c r="M537" s="30">
        <v>1005504</v>
      </c>
      <c r="N537" s="30" t="s">
        <v>123</v>
      </c>
      <c r="O537" s="30" t="s">
        <v>1724</v>
      </c>
      <c r="P537" s="30"/>
      <c r="Q537" s="30" t="s">
        <v>1018</v>
      </c>
      <c r="R537" s="30"/>
      <c r="S537" s="30"/>
      <c r="T537" s="30"/>
      <c r="U537" s="30" t="s">
        <v>144</v>
      </c>
      <c r="V537" s="30" t="s">
        <v>437</v>
      </c>
      <c r="W537" s="30"/>
      <c r="X537" s="30" t="s">
        <v>127</v>
      </c>
      <c r="Y537" s="30" t="s">
        <v>576</v>
      </c>
      <c r="Z537" s="30" t="s">
        <v>576</v>
      </c>
      <c r="AA537" s="30" t="s">
        <v>129</v>
      </c>
      <c r="AB537" s="30"/>
      <c r="AC537" s="30"/>
      <c r="AD537" s="30"/>
      <c r="AE537" s="30"/>
      <c r="AF537" s="30"/>
      <c r="AG537" s="30"/>
      <c r="AH537" s="30"/>
      <c r="AI537" s="30"/>
      <c r="AJ537" s="50">
        <v>43279</v>
      </c>
      <c r="AK537" s="50">
        <v>43279</v>
      </c>
      <c r="AL537" s="51">
        <f t="shared" si="371"/>
        <v>7.3479452054794523</v>
      </c>
      <c r="AM537" s="30">
        <v>8</v>
      </c>
      <c r="AN537" s="30" t="s">
        <v>1065</v>
      </c>
      <c r="AO537" s="30" t="s">
        <v>1050</v>
      </c>
      <c r="AP537" s="30" t="s">
        <v>1051</v>
      </c>
      <c r="AQ537" s="30">
        <v>0</v>
      </c>
      <c r="AR537" s="30"/>
      <c r="AS537" s="30"/>
      <c r="AT537" s="30"/>
      <c r="AU537" s="54">
        <v>7344000</v>
      </c>
      <c r="AV537" s="54"/>
      <c r="AW537" s="54"/>
      <c r="AX537" s="54"/>
      <c r="AY537" s="54">
        <v>6579000</v>
      </c>
      <c r="AZ537" s="54">
        <v>76500</v>
      </c>
      <c r="BA537" s="54">
        <v>535500</v>
      </c>
      <c r="BB537" s="55">
        <f>VLOOKUP(M537,[1]Sheet1!$E$6:$F$556,2,FALSE)</f>
        <v>16729</v>
      </c>
      <c r="BC537" s="74"/>
      <c r="BD537" s="74"/>
      <c r="BE537" s="128">
        <v>10</v>
      </c>
      <c r="BF537" s="30" t="s">
        <v>1134</v>
      </c>
      <c r="BG537" s="30" t="s">
        <v>1074</v>
      </c>
      <c r="BH537" s="30" t="s">
        <v>1054</v>
      </c>
      <c r="BI537" s="30" t="str">
        <f t="shared" si="358"/>
        <v>COF(Assy_FT)</v>
      </c>
      <c r="BJ537" s="47" t="s">
        <v>137</v>
      </c>
      <c r="BK537" s="56">
        <f t="shared" si="372"/>
        <v>562275</v>
      </c>
      <c r="BL537" s="57">
        <f t="shared" si="338"/>
        <v>53600.954835057484</v>
      </c>
      <c r="BM537" s="57">
        <f t="shared" si="339"/>
        <v>17866.984945019161</v>
      </c>
      <c r="BU537" s="58">
        <f t="shared" si="365"/>
        <v>53600.954835057484</v>
      </c>
      <c r="BV537" s="58">
        <f t="shared" si="349"/>
        <v>53600.954835057484</v>
      </c>
      <c r="BW537" s="58">
        <f t="shared" si="366"/>
        <v>107201.90967011497</v>
      </c>
      <c r="BX537" s="58">
        <f t="shared" si="341"/>
        <v>53600.954835057484</v>
      </c>
      <c r="BY537" s="58">
        <f t="shared" si="350"/>
        <v>53600.954835057484</v>
      </c>
      <c r="BZ537" s="58">
        <f t="shared" si="367"/>
        <v>53600.954835057484</v>
      </c>
      <c r="CA537" s="58">
        <f t="shared" si="336"/>
        <v>53600.954835057484</v>
      </c>
      <c r="CB537" s="58">
        <f t="shared" si="360"/>
        <v>214403.81934022994</v>
      </c>
      <c r="CC537" s="58">
        <f t="shared" si="361"/>
        <v>53600.954835057484</v>
      </c>
      <c r="CD537" s="58">
        <f t="shared" si="373"/>
        <v>53600.954835057484</v>
      </c>
      <c r="CE537" s="58">
        <f t="shared" si="373"/>
        <v>53600.954835057484</v>
      </c>
      <c r="CF537" s="58">
        <f t="shared" si="373"/>
        <v>53600.954835057484</v>
      </c>
      <c r="CG537" s="58">
        <f t="shared" si="362"/>
        <v>214403.81934022994</v>
      </c>
      <c r="CH537" s="58">
        <f t="shared" si="342"/>
        <v>53600.954835057484</v>
      </c>
      <c r="CI537" s="58">
        <f t="shared" si="368"/>
        <v>53600.954835057484</v>
      </c>
      <c r="CJ537" s="58">
        <f t="shared" si="368"/>
        <v>53600.954835057484</v>
      </c>
      <c r="CK537" s="58">
        <f t="shared" si="368"/>
        <v>53600.954835057484</v>
      </c>
      <c r="CL537" s="58">
        <f t="shared" si="343"/>
        <v>214403.81934022994</v>
      </c>
      <c r="CN537" s="59">
        <f t="shared" ref="CN537:CN540" si="376">BK537/$CN$3</f>
        <v>5.4902645462944741E-5</v>
      </c>
      <c r="CO537" s="64">
        <f t="shared" ref="CO537:CO540" si="377">CN537*$CO$4</f>
        <v>1152955.5547218395</v>
      </c>
      <c r="CP537" s="2">
        <f t="shared" si="359"/>
        <v>1715230.5547218395</v>
      </c>
    </row>
    <row r="538" spans="1:94" ht="16.5" hidden="1" x14ac:dyDescent="0.3">
      <c r="A538" s="2">
        <v>533</v>
      </c>
      <c r="B538" s="47" t="s">
        <v>21</v>
      </c>
      <c r="C538" s="47"/>
      <c r="D538" s="30" t="s">
        <v>1725</v>
      </c>
      <c r="E538" s="89" t="s">
        <v>1726</v>
      </c>
      <c r="F538" s="30" t="s">
        <v>1043</v>
      </c>
      <c r="G538" s="89" t="s">
        <v>117</v>
      </c>
      <c r="H538" s="89"/>
      <c r="I538" s="30" t="s">
        <v>119</v>
      </c>
      <c r="J538" s="30" t="s">
        <v>1727</v>
      </c>
      <c r="K538" s="30" t="s">
        <v>913</v>
      </c>
      <c r="L538" s="30" t="s">
        <v>1728</v>
      </c>
      <c r="M538" s="89">
        <v>1007171</v>
      </c>
      <c r="N538" s="89" t="s">
        <v>1729</v>
      </c>
      <c r="O538" s="89" t="s">
        <v>1730</v>
      </c>
      <c r="P538" s="89" t="s">
        <v>1731</v>
      </c>
      <c r="Q538" s="89" t="s">
        <v>1732</v>
      </c>
      <c r="R538" s="89"/>
      <c r="S538" s="89" t="s">
        <v>1733</v>
      </c>
      <c r="T538" s="89"/>
      <c r="U538" s="89" t="s">
        <v>1734</v>
      </c>
      <c r="V538" s="30" t="s">
        <v>589</v>
      </c>
      <c r="W538" s="89" t="s">
        <v>1735</v>
      </c>
      <c r="X538" s="48" t="s">
        <v>576</v>
      </c>
      <c r="Y538" s="143" t="s">
        <v>576</v>
      </c>
      <c r="Z538" s="143" t="s">
        <v>576</v>
      </c>
      <c r="AA538" s="30" t="s">
        <v>129</v>
      </c>
      <c r="AB538" s="126" t="s">
        <v>1736</v>
      </c>
      <c r="AC538" s="30"/>
      <c r="AD538" s="30"/>
      <c r="AE538" s="30"/>
      <c r="AF538" s="30" t="s">
        <v>131</v>
      </c>
      <c r="AG538" s="30" t="s">
        <v>661</v>
      </c>
      <c r="AH538" s="30"/>
      <c r="AI538" s="30"/>
      <c r="AJ538" s="89"/>
      <c r="AK538" s="144">
        <v>45009</v>
      </c>
      <c r="AL538" s="51">
        <f t="shared" si="371"/>
        <v>2.6082191780821917</v>
      </c>
      <c r="AM538" s="89">
        <v>8</v>
      </c>
      <c r="AN538" s="89"/>
      <c r="AO538" s="89" t="s">
        <v>1737</v>
      </c>
      <c r="AP538" s="89" t="s">
        <v>1738</v>
      </c>
      <c r="AQ538" s="89"/>
      <c r="AR538" s="89">
        <v>2000</v>
      </c>
      <c r="AS538" s="89">
        <v>500</v>
      </c>
      <c r="AT538" s="89">
        <v>1700</v>
      </c>
      <c r="AU538" s="110">
        <v>451300000</v>
      </c>
      <c r="AV538" s="110"/>
      <c r="AW538" s="110"/>
      <c r="AX538" s="110"/>
      <c r="AY538" s="110">
        <v>136330210</v>
      </c>
      <c r="AZ538" s="110">
        <v>4701042</v>
      </c>
      <c r="BA538" s="110">
        <v>300866664</v>
      </c>
      <c r="BB538" s="55">
        <f>VLOOKUP(M538,[1]Sheet1!$E$6:$F$556,2,FALSE)</f>
        <v>29240043</v>
      </c>
      <c r="BC538" s="121"/>
      <c r="BD538" s="121"/>
      <c r="BE538" s="89"/>
      <c r="BF538" s="30" t="s">
        <v>1739</v>
      </c>
      <c r="BG538" s="89" t="s">
        <v>1740</v>
      </c>
      <c r="BH538" s="30" t="s">
        <v>569</v>
      </c>
      <c r="BI538" s="30" t="str">
        <f t="shared" si="358"/>
        <v>Bump</v>
      </c>
      <c r="BJ538" s="47" t="s">
        <v>137</v>
      </c>
      <c r="BK538" s="67">
        <f t="shared" si="372"/>
        <v>315909997.19999999</v>
      </c>
      <c r="BL538" s="68">
        <f t="shared" si="338"/>
        <v>30115294.992415346</v>
      </c>
      <c r="BM538" s="68">
        <f t="shared" si="339"/>
        <v>10038431.664138449</v>
      </c>
      <c r="BP538" s="69">
        <f>BM538*3</f>
        <v>30115294.992415346</v>
      </c>
      <c r="BQ538" s="69">
        <f>BP538</f>
        <v>30115294.992415346</v>
      </c>
      <c r="BR538" s="69">
        <f>SUM(BN538:BQ538)</f>
        <v>60230589.984830692</v>
      </c>
      <c r="BS538" s="69">
        <f>BQ538</f>
        <v>30115294.992415346</v>
      </c>
      <c r="BT538" s="69">
        <f>BS538</f>
        <v>30115294.992415346</v>
      </c>
      <c r="BU538" s="100">
        <f>BT538</f>
        <v>30115294.992415346</v>
      </c>
      <c r="BV538" s="100">
        <f t="shared" si="349"/>
        <v>30115294.992415346</v>
      </c>
      <c r="BW538" s="100">
        <f t="shared" si="366"/>
        <v>120461179.96966138</v>
      </c>
      <c r="BX538" s="101">
        <f t="shared" si="341"/>
        <v>30115294.992415346</v>
      </c>
      <c r="BY538" s="101">
        <f t="shared" si="350"/>
        <v>30115294.992415346</v>
      </c>
      <c r="BZ538" s="18">
        <f t="shared" si="350"/>
        <v>30115294.992415346</v>
      </c>
      <c r="CA538" s="18">
        <f t="shared" si="336"/>
        <v>30115294.992415346</v>
      </c>
      <c r="CB538" s="70">
        <f t="shared" si="360"/>
        <v>120461179.96966138</v>
      </c>
      <c r="CC538" s="18">
        <f t="shared" si="361"/>
        <v>30115294.992415346</v>
      </c>
      <c r="CD538" s="18">
        <f t="shared" si="373"/>
        <v>30115294.992415346</v>
      </c>
      <c r="CE538" s="18">
        <f t="shared" si="373"/>
        <v>30115294.992415346</v>
      </c>
      <c r="CF538" s="18">
        <f t="shared" si="373"/>
        <v>30115294.992415346</v>
      </c>
      <c r="CG538" s="70">
        <f t="shared" si="362"/>
        <v>120461179.96966138</v>
      </c>
      <c r="CH538" s="18">
        <f t="shared" si="342"/>
        <v>30115294.992415346</v>
      </c>
      <c r="CI538" s="18">
        <f t="shared" si="368"/>
        <v>30115294.992415346</v>
      </c>
      <c r="CJ538" s="18">
        <f t="shared" si="368"/>
        <v>30115294.992415346</v>
      </c>
      <c r="CK538" s="18">
        <f t="shared" si="368"/>
        <v>30115294.992415346</v>
      </c>
      <c r="CL538" s="70">
        <f t="shared" si="343"/>
        <v>120461179.96966138</v>
      </c>
      <c r="CM538" s="71"/>
      <c r="CN538" s="59">
        <f t="shared" si="376"/>
        <v>3.0846640121775761E-2</v>
      </c>
      <c r="CO538" s="64">
        <f t="shared" si="377"/>
        <v>647779442.55729103</v>
      </c>
      <c r="CP538" s="2">
        <f t="shared" si="359"/>
        <v>963689439.75729108</v>
      </c>
    </row>
    <row r="539" spans="1:94" ht="16.5" hidden="1" x14ac:dyDescent="0.3">
      <c r="A539" s="2">
        <v>534</v>
      </c>
      <c r="B539" s="47" t="s">
        <v>21</v>
      </c>
      <c r="C539" s="47"/>
      <c r="D539" s="30" t="s">
        <v>1725</v>
      </c>
      <c r="E539" s="30" t="s">
        <v>1042</v>
      </c>
      <c r="F539" s="30" t="s">
        <v>1043</v>
      </c>
      <c r="G539" s="30" t="s">
        <v>117</v>
      </c>
      <c r="H539" s="30"/>
      <c r="I539" s="30" t="s">
        <v>119</v>
      </c>
      <c r="J539" s="30" t="s">
        <v>120</v>
      </c>
      <c r="K539" s="30" t="s">
        <v>121</v>
      </c>
      <c r="L539" s="30" t="s">
        <v>1741</v>
      </c>
      <c r="M539" s="30">
        <v>1003965</v>
      </c>
      <c r="N539" s="30" t="s">
        <v>138</v>
      </c>
      <c r="O539" s="30" t="s">
        <v>1742</v>
      </c>
      <c r="P539" s="30" t="s">
        <v>453</v>
      </c>
      <c r="Q539" s="30" t="s">
        <v>453</v>
      </c>
      <c r="R539" s="30" t="s">
        <v>173</v>
      </c>
      <c r="S539" s="30" t="s">
        <v>1743</v>
      </c>
      <c r="T539" s="30"/>
      <c r="U539" s="30" t="s">
        <v>588</v>
      </c>
      <c r="V539" s="30" t="s">
        <v>415</v>
      </c>
      <c r="W539" s="30" t="s">
        <v>456</v>
      </c>
      <c r="X539" s="129" t="s">
        <v>1744</v>
      </c>
      <c r="Y539" s="30" t="s">
        <v>576</v>
      </c>
      <c r="Z539" s="30" t="s">
        <v>576</v>
      </c>
      <c r="AA539" s="20" t="s">
        <v>148</v>
      </c>
      <c r="AB539" s="72" t="s">
        <v>177</v>
      </c>
      <c r="AC539" s="48" t="s">
        <v>150</v>
      </c>
      <c r="AD539" s="30"/>
      <c r="AE539" s="30"/>
      <c r="AF539" s="48" t="s">
        <v>179</v>
      </c>
      <c r="AG539" s="48" t="s">
        <v>152</v>
      </c>
      <c r="AH539" s="30"/>
      <c r="AI539" s="30"/>
      <c r="AJ539" s="30"/>
      <c r="AK539" s="50">
        <v>41493</v>
      </c>
      <c r="AL539" s="51">
        <f t="shared" si="371"/>
        <v>12.241095890410959</v>
      </c>
      <c r="AM539" s="30">
        <v>8</v>
      </c>
      <c r="AN539" s="30"/>
      <c r="AO539" s="30" t="s">
        <v>1050</v>
      </c>
      <c r="AP539" s="30" t="s">
        <v>1051</v>
      </c>
      <c r="AQ539" s="30">
        <v>0.66</v>
      </c>
      <c r="AR539" s="30">
        <v>1487</v>
      </c>
      <c r="AS539" s="30">
        <v>1622</v>
      </c>
      <c r="AT539" s="30">
        <v>1423</v>
      </c>
      <c r="AU539" s="54">
        <v>142580096</v>
      </c>
      <c r="AV539" s="54"/>
      <c r="AW539" s="54"/>
      <c r="AX539" s="54"/>
      <c r="AY539" s="54">
        <v>142579096</v>
      </c>
      <c r="AZ539" s="54">
        <v>0</v>
      </c>
      <c r="BA539" s="54">
        <v>1000</v>
      </c>
      <c r="BB539" s="55">
        <f>VLOOKUP(M539,[1]Sheet1!$E$6:$F$556,2,FALSE)</f>
        <v>1000</v>
      </c>
      <c r="BC539" s="74"/>
      <c r="BD539" s="74"/>
      <c r="BE539" s="30"/>
      <c r="BF539" s="30" t="s">
        <v>1745</v>
      </c>
      <c r="BG539" s="30" t="s">
        <v>1746</v>
      </c>
      <c r="BH539" s="30" t="s">
        <v>136</v>
      </c>
      <c r="BI539" s="30" t="str">
        <f t="shared" si="358"/>
        <v>Test</v>
      </c>
      <c r="BJ539" s="47" t="s">
        <v>137</v>
      </c>
      <c r="BK539" s="56">
        <f t="shared" si="372"/>
        <v>2851601.92</v>
      </c>
      <c r="BL539" s="57">
        <f t="shared" si="338"/>
        <v>271839.55488236749</v>
      </c>
      <c r="BM539" s="57">
        <f t="shared" si="339"/>
        <v>90613.184960789164</v>
      </c>
      <c r="BP539" s="69">
        <f>BM539*3</f>
        <v>271839.55488236749</v>
      </c>
      <c r="BQ539" s="69">
        <f>BP539</f>
        <v>271839.55488236749</v>
      </c>
      <c r="BR539" s="69">
        <f>SUM(BN539:BQ539)</f>
        <v>543679.10976473498</v>
      </c>
      <c r="BS539" s="69">
        <f>BQ539</f>
        <v>271839.55488236749</v>
      </c>
      <c r="BT539" s="69">
        <f t="shared" ref="BT539:BV554" si="378">BS539</f>
        <v>271839.55488236749</v>
      </c>
      <c r="BU539" s="100">
        <f t="shared" si="378"/>
        <v>271839.55488236749</v>
      </c>
      <c r="BV539" s="100">
        <f t="shared" si="378"/>
        <v>271839.55488236749</v>
      </c>
      <c r="BW539" s="100">
        <f t="shared" si="366"/>
        <v>1087358.21952947</v>
      </c>
      <c r="BX539" s="101">
        <f t="shared" si="341"/>
        <v>271839.55488236749</v>
      </c>
      <c r="BY539" s="101">
        <f t="shared" si="350"/>
        <v>271839.55488236749</v>
      </c>
      <c r="BZ539" s="58">
        <f t="shared" si="350"/>
        <v>271839.55488236749</v>
      </c>
      <c r="CA539" s="58">
        <f t="shared" si="336"/>
        <v>271839.55488236749</v>
      </c>
      <c r="CB539" s="76">
        <f t="shared" si="360"/>
        <v>1087358.21952947</v>
      </c>
      <c r="CC539" s="58">
        <f t="shared" si="361"/>
        <v>271839.55488236749</v>
      </c>
      <c r="CD539" s="58">
        <f t="shared" si="373"/>
        <v>271839.55488236749</v>
      </c>
      <c r="CE539" s="58">
        <f t="shared" si="373"/>
        <v>271839.55488236749</v>
      </c>
      <c r="CF539" s="58">
        <f t="shared" si="373"/>
        <v>271839.55488236749</v>
      </c>
      <c r="CG539" s="76">
        <f t="shared" si="362"/>
        <v>1087358.21952947</v>
      </c>
      <c r="CH539" s="58">
        <f t="shared" si="342"/>
        <v>271839.55488236749</v>
      </c>
      <c r="CI539" s="58">
        <f t="shared" si="368"/>
        <v>271839.55488236749</v>
      </c>
      <c r="CJ539" s="58">
        <f t="shared" si="368"/>
        <v>271839.55488236749</v>
      </c>
      <c r="CK539" s="58">
        <f t="shared" si="368"/>
        <v>271839.55488236749</v>
      </c>
      <c r="CL539" s="76">
        <f t="shared" si="343"/>
        <v>1087358.21952947</v>
      </c>
      <c r="CM539" s="71"/>
      <c r="CN539" s="59">
        <f t="shared" si="376"/>
        <v>2.7844113505884577E-4</v>
      </c>
      <c r="CO539" s="64">
        <f t="shared" si="377"/>
        <v>5847263.8362357607</v>
      </c>
      <c r="CP539" s="2">
        <f t="shared" si="359"/>
        <v>8698865.7562357597</v>
      </c>
    </row>
    <row r="540" spans="1:94" ht="16.5" hidden="1" x14ac:dyDescent="0.3">
      <c r="A540" s="2">
        <v>535</v>
      </c>
      <c r="B540" s="47" t="s">
        <v>21</v>
      </c>
      <c r="C540" s="47"/>
      <c r="D540" s="30" t="s">
        <v>1725</v>
      </c>
      <c r="E540" s="30" t="s">
        <v>1042</v>
      </c>
      <c r="F540" s="30" t="s">
        <v>1043</v>
      </c>
      <c r="G540" s="30" t="s">
        <v>117</v>
      </c>
      <c r="H540" s="30"/>
      <c r="I540" s="30" t="s">
        <v>119</v>
      </c>
      <c r="J540" s="30" t="s">
        <v>120</v>
      </c>
      <c r="K540" s="30" t="s">
        <v>121</v>
      </c>
      <c r="L540" s="30" t="s">
        <v>1741</v>
      </c>
      <c r="M540" s="30">
        <v>1004325</v>
      </c>
      <c r="N540" s="30" t="s">
        <v>138</v>
      </c>
      <c r="O540" s="30" t="s">
        <v>1747</v>
      </c>
      <c r="P540" s="30" t="s">
        <v>453</v>
      </c>
      <c r="Q540" s="30" t="s">
        <v>453</v>
      </c>
      <c r="R540" s="30" t="s">
        <v>173</v>
      </c>
      <c r="S540" s="30" t="s">
        <v>1748</v>
      </c>
      <c r="T540" s="30"/>
      <c r="U540" s="30" t="s">
        <v>588</v>
      </c>
      <c r="V540" s="30" t="s">
        <v>600</v>
      </c>
      <c r="W540" s="30" t="s">
        <v>456</v>
      </c>
      <c r="X540" s="129" t="s">
        <v>1744</v>
      </c>
      <c r="Y540" s="30" t="s">
        <v>576</v>
      </c>
      <c r="Z540" s="30" t="s">
        <v>576</v>
      </c>
      <c r="AA540" s="20" t="s">
        <v>148</v>
      </c>
      <c r="AB540" s="72" t="s">
        <v>177</v>
      </c>
      <c r="AC540" s="48" t="s">
        <v>150</v>
      </c>
      <c r="AD540" s="30"/>
      <c r="AE540" s="30"/>
      <c r="AF540" s="48" t="s">
        <v>179</v>
      </c>
      <c r="AG540" s="48" t="s">
        <v>152</v>
      </c>
      <c r="AH540" s="30"/>
      <c r="AI540" s="30"/>
      <c r="AJ540" s="30"/>
      <c r="AK540" s="50">
        <v>41773</v>
      </c>
      <c r="AL540" s="51">
        <f t="shared" si="371"/>
        <v>11.473972602739726</v>
      </c>
      <c r="AM540" s="30">
        <v>8</v>
      </c>
      <c r="AN540" s="30"/>
      <c r="AO540" s="30" t="s">
        <v>1050</v>
      </c>
      <c r="AP540" s="30" t="s">
        <v>1051</v>
      </c>
      <c r="AQ540" s="30">
        <v>0.66</v>
      </c>
      <c r="AR540" s="30">
        <v>1487</v>
      </c>
      <c r="AS540" s="30">
        <v>1622</v>
      </c>
      <c r="AT540" s="30">
        <v>1423</v>
      </c>
      <c r="AU540" s="54">
        <v>121761491</v>
      </c>
      <c r="AV540" s="54"/>
      <c r="AW540" s="54"/>
      <c r="AX540" s="54"/>
      <c r="AY540" s="54">
        <v>121760491</v>
      </c>
      <c r="AZ540" s="54">
        <v>100466</v>
      </c>
      <c r="BA540" s="54">
        <v>1000</v>
      </c>
      <c r="BB540" s="55">
        <f>VLOOKUP(M540,[1]Sheet1!$E$6:$F$556,2,FALSE)</f>
        <v>1000</v>
      </c>
      <c r="BC540" s="74"/>
      <c r="BD540" s="74"/>
      <c r="BE540" s="30"/>
      <c r="BF540" s="30" t="s">
        <v>1745</v>
      </c>
      <c r="BG540" s="30" t="s">
        <v>1746</v>
      </c>
      <c r="BH540" s="30" t="s">
        <v>136</v>
      </c>
      <c r="BI540" s="30" t="str">
        <f t="shared" si="358"/>
        <v>Test</v>
      </c>
      <c r="BJ540" s="47" t="s">
        <v>137</v>
      </c>
      <c r="BK540" s="56">
        <f t="shared" si="372"/>
        <v>2435229.8199999998</v>
      </c>
      <c r="BL540" s="57">
        <f t="shared" si="338"/>
        <v>232147.33643645042</v>
      </c>
      <c r="BM540" s="57">
        <f t="shared" si="339"/>
        <v>77382.445478816808</v>
      </c>
      <c r="BP540" s="69">
        <f>BM540*3</f>
        <v>232147.33643645042</v>
      </c>
      <c r="BQ540" s="69">
        <f>BP540</f>
        <v>232147.33643645042</v>
      </c>
      <c r="BR540" s="69">
        <f>SUM(BN540:BQ540)</f>
        <v>464294.67287290085</v>
      </c>
      <c r="BS540" s="69">
        <f>BQ540</f>
        <v>232147.33643645042</v>
      </c>
      <c r="BT540" s="69">
        <f t="shared" si="378"/>
        <v>232147.33643645042</v>
      </c>
      <c r="BU540" s="100">
        <f t="shared" si="378"/>
        <v>232147.33643645042</v>
      </c>
      <c r="BV540" s="100">
        <f t="shared" si="378"/>
        <v>232147.33643645042</v>
      </c>
      <c r="BW540" s="100">
        <f t="shared" si="366"/>
        <v>928589.34574580169</v>
      </c>
      <c r="BX540" s="101">
        <f t="shared" si="341"/>
        <v>232147.33643645042</v>
      </c>
      <c r="BY540" s="101">
        <f t="shared" si="350"/>
        <v>232147.33643645042</v>
      </c>
      <c r="BZ540" s="58">
        <f t="shared" si="350"/>
        <v>232147.33643645042</v>
      </c>
      <c r="CA540" s="58">
        <f t="shared" si="336"/>
        <v>232147.33643645042</v>
      </c>
      <c r="CB540" s="76">
        <f t="shared" si="360"/>
        <v>928589.34574580169</v>
      </c>
      <c r="CC540" s="58">
        <f t="shared" si="361"/>
        <v>232147.33643645042</v>
      </c>
      <c r="CD540" s="58">
        <f t="shared" si="373"/>
        <v>232147.33643645042</v>
      </c>
      <c r="CE540" s="58">
        <f t="shared" si="373"/>
        <v>232147.33643645042</v>
      </c>
      <c r="CF540" s="58">
        <f t="shared" si="373"/>
        <v>232147.33643645042</v>
      </c>
      <c r="CG540" s="76">
        <f t="shared" si="362"/>
        <v>928589.34574580169</v>
      </c>
      <c r="CH540" s="58">
        <f t="shared" si="342"/>
        <v>232147.33643645042</v>
      </c>
      <c r="CI540" s="58">
        <f t="shared" ref="CI540:CK555" si="379">CH540</f>
        <v>232147.33643645042</v>
      </c>
      <c r="CJ540" s="58">
        <f t="shared" si="379"/>
        <v>232147.33643645042</v>
      </c>
      <c r="CK540" s="58">
        <f t="shared" si="379"/>
        <v>232147.33643645042</v>
      </c>
      <c r="CL540" s="76">
        <f t="shared" si="343"/>
        <v>928589.34574580169</v>
      </c>
      <c r="CM540" s="71"/>
      <c r="CN540" s="59">
        <f t="shared" si="376"/>
        <v>2.377849974269721E-4</v>
      </c>
      <c r="CO540" s="64">
        <f t="shared" si="377"/>
        <v>4993484.9459664142</v>
      </c>
      <c r="CP540" s="2">
        <f t="shared" si="359"/>
        <v>7428714.7659664135</v>
      </c>
    </row>
    <row r="541" spans="1:94" hidden="1" x14ac:dyDescent="0.3">
      <c r="A541" s="29">
        <v>536</v>
      </c>
      <c r="B541" s="30" t="s">
        <v>21</v>
      </c>
      <c r="C541" s="30"/>
      <c r="D541" s="30" t="s">
        <v>1725</v>
      </c>
      <c r="E541" s="30" t="s">
        <v>1042</v>
      </c>
      <c r="F541" s="30" t="s">
        <v>1043</v>
      </c>
      <c r="G541" s="30" t="s">
        <v>117</v>
      </c>
      <c r="H541" s="30"/>
      <c r="I541" s="30" t="s">
        <v>119</v>
      </c>
      <c r="J541" s="30" t="s">
        <v>120</v>
      </c>
      <c r="K541" s="30" t="s">
        <v>121</v>
      </c>
      <c r="L541" s="30" t="s">
        <v>1741</v>
      </c>
      <c r="M541" s="30">
        <v>1002882</v>
      </c>
      <c r="N541" s="30" t="s">
        <v>138</v>
      </c>
      <c r="O541" s="30" t="s">
        <v>1749</v>
      </c>
      <c r="P541" s="30" t="s">
        <v>1750</v>
      </c>
      <c r="Q541" s="30" t="s">
        <v>1750</v>
      </c>
      <c r="R541" s="30" t="s">
        <v>173</v>
      </c>
      <c r="S541" s="30" t="s">
        <v>1751</v>
      </c>
      <c r="T541" s="30" t="s">
        <v>1752</v>
      </c>
      <c r="U541" s="30" t="s">
        <v>1753</v>
      </c>
      <c r="V541" s="30" t="s">
        <v>600</v>
      </c>
      <c r="W541" s="30" t="s">
        <v>456</v>
      </c>
      <c r="X541" s="89"/>
      <c r="Y541" s="30" t="s">
        <v>576</v>
      </c>
      <c r="Z541" s="30" t="s">
        <v>576</v>
      </c>
      <c r="AA541" s="20" t="s">
        <v>148</v>
      </c>
      <c r="AB541" s="72" t="s">
        <v>177</v>
      </c>
      <c r="AC541" s="48" t="s">
        <v>150</v>
      </c>
      <c r="AD541" s="30"/>
      <c r="AE541" s="30"/>
      <c r="AF541" s="48" t="s">
        <v>179</v>
      </c>
      <c r="AG541" s="48" t="s">
        <v>152</v>
      </c>
      <c r="AH541" s="48" t="s">
        <v>180</v>
      </c>
      <c r="AI541" s="30"/>
      <c r="AJ541" s="30"/>
      <c r="AK541" s="50">
        <v>41067</v>
      </c>
      <c r="AL541" s="51">
        <f t="shared" si="371"/>
        <v>13.408219178082192</v>
      </c>
      <c r="AM541" s="30">
        <v>8</v>
      </c>
      <c r="AN541" s="30"/>
      <c r="AO541" s="30" t="s">
        <v>1050</v>
      </c>
      <c r="AP541" s="30" t="s">
        <v>1051</v>
      </c>
      <c r="AQ541" s="30">
        <v>0.56320000000000003</v>
      </c>
      <c r="AR541" s="30">
        <v>1229</v>
      </c>
      <c r="AS541" s="30">
        <v>1142</v>
      </c>
      <c r="AT541" s="30">
        <v>933</v>
      </c>
      <c r="AU541" s="74">
        <v>194614122</v>
      </c>
      <c r="AV541" s="54"/>
      <c r="AW541" s="54"/>
      <c r="AX541" s="54"/>
      <c r="AY541" s="54">
        <v>194613122</v>
      </c>
      <c r="AZ541" s="54">
        <v>0</v>
      </c>
      <c r="BA541" s="74">
        <v>1000</v>
      </c>
      <c r="BB541" s="55">
        <f>VLOOKUP(M541,[1]Sheet1!$E$6:$F$556,2,FALSE)</f>
        <v>1000</v>
      </c>
      <c r="BC541" s="74"/>
      <c r="BD541" s="74"/>
      <c r="BE541" s="30"/>
      <c r="BF541" s="30" t="s">
        <v>1745</v>
      </c>
      <c r="BG541" s="30" t="s">
        <v>1746</v>
      </c>
      <c r="BH541" s="30" t="s">
        <v>136</v>
      </c>
      <c r="BI541" s="30" t="str">
        <f t="shared" si="358"/>
        <v>Test</v>
      </c>
      <c r="BJ541" s="30" t="s">
        <v>250</v>
      </c>
      <c r="BK541" s="56">
        <f t="shared" si="372"/>
        <v>3892282.44</v>
      </c>
      <c r="BL541" s="57">
        <f t="shared" si="338"/>
        <v>121633.82625</v>
      </c>
      <c r="BM541" s="57">
        <f t="shared" si="339"/>
        <v>40544.608749999999</v>
      </c>
      <c r="BU541" s="58">
        <f>BM541*3</f>
        <v>121633.82625</v>
      </c>
      <c r="BV541" s="58">
        <f t="shared" si="378"/>
        <v>121633.82625</v>
      </c>
      <c r="BW541" s="58">
        <f t="shared" si="366"/>
        <v>243267.6525</v>
      </c>
      <c r="BX541" s="58">
        <f t="shared" si="341"/>
        <v>121633.82625</v>
      </c>
      <c r="BY541" s="58">
        <f t="shared" si="350"/>
        <v>121633.82625</v>
      </c>
      <c r="BZ541" s="58">
        <f>BM541*3</f>
        <v>121633.82625</v>
      </c>
      <c r="CA541" s="58">
        <f t="shared" si="336"/>
        <v>121633.82625</v>
      </c>
      <c r="CB541" s="58">
        <f t="shared" si="360"/>
        <v>486535.30499999999</v>
      </c>
      <c r="CC541" s="58">
        <f t="shared" si="361"/>
        <v>121633.82625</v>
      </c>
      <c r="CD541" s="58">
        <f t="shared" si="373"/>
        <v>121633.82625</v>
      </c>
      <c r="CE541" s="58">
        <f t="shared" si="373"/>
        <v>121633.82625</v>
      </c>
      <c r="CF541" s="58">
        <f t="shared" si="373"/>
        <v>121633.82625</v>
      </c>
      <c r="CG541" s="58">
        <f t="shared" si="362"/>
        <v>486535.30499999999</v>
      </c>
      <c r="CH541" s="58">
        <f t="shared" si="342"/>
        <v>121633.82625</v>
      </c>
      <c r="CI541" s="58">
        <f t="shared" si="379"/>
        <v>121633.82625</v>
      </c>
      <c r="CJ541" s="58">
        <f t="shared" si="379"/>
        <v>121633.82625</v>
      </c>
      <c r="CK541" s="58">
        <f t="shared" si="379"/>
        <v>121633.82625</v>
      </c>
      <c r="CL541" s="58">
        <f t="shared" si="343"/>
        <v>486535.30499999999</v>
      </c>
      <c r="CP541" s="2">
        <f t="shared" si="359"/>
        <v>3892282.44</v>
      </c>
    </row>
    <row r="542" spans="1:94" ht="16.5" hidden="1" x14ac:dyDescent="0.3">
      <c r="A542" s="2">
        <v>537</v>
      </c>
      <c r="B542" s="47" t="s">
        <v>21</v>
      </c>
      <c r="C542" s="47"/>
      <c r="D542" s="30" t="s">
        <v>1725</v>
      </c>
      <c r="E542" s="30" t="s">
        <v>1042</v>
      </c>
      <c r="F542" s="30" t="s">
        <v>1043</v>
      </c>
      <c r="G542" s="30" t="s">
        <v>117</v>
      </c>
      <c r="H542" s="30"/>
      <c r="I542" s="30" t="s">
        <v>119</v>
      </c>
      <c r="J542" s="30" t="s">
        <v>120</v>
      </c>
      <c r="K542" s="30" t="s">
        <v>121</v>
      </c>
      <c r="L542" s="30" t="s">
        <v>1741</v>
      </c>
      <c r="M542" s="30">
        <v>1003850</v>
      </c>
      <c r="N542" s="30" t="s">
        <v>138</v>
      </c>
      <c r="O542" s="30" t="s">
        <v>1754</v>
      </c>
      <c r="P542" s="30" t="s">
        <v>453</v>
      </c>
      <c r="Q542" s="30" t="s">
        <v>453</v>
      </c>
      <c r="R542" s="30" t="s">
        <v>173</v>
      </c>
      <c r="S542" s="30" t="s">
        <v>1755</v>
      </c>
      <c r="T542" s="30" t="s">
        <v>1756</v>
      </c>
      <c r="U542" s="30" t="s">
        <v>588</v>
      </c>
      <c r="V542" s="30" t="s">
        <v>600</v>
      </c>
      <c r="W542" s="30" t="s">
        <v>456</v>
      </c>
      <c r="X542" s="89" t="s">
        <v>1757</v>
      </c>
      <c r="Y542" s="30" t="s">
        <v>576</v>
      </c>
      <c r="Z542" s="30" t="s">
        <v>576</v>
      </c>
      <c r="AA542" s="20" t="s">
        <v>148</v>
      </c>
      <c r="AB542" s="72" t="s">
        <v>177</v>
      </c>
      <c r="AC542" s="48" t="s">
        <v>150</v>
      </c>
      <c r="AD542" s="30"/>
      <c r="AE542" s="30"/>
      <c r="AF542" s="48" t="s">
        <v>179</v>
      </c>
      <c r="AG542" s="48" t="s">
        <v>152</v>
      </c>
      <c r="AH542" s="30"/>
      <c r="AI542" s="30"/>
      <c r="AJ542" s="30"/>
      <c r="AK542" s="50">
        <v>41380</v>
      </c>
      <c r="AL542" s="51">
        <f t="shared" si="371"/>
        <v>12.550684931506849</v>
      </c>
      <c r="AM542" s="30">
        <v>8</v>
      </c>
      <c r="AN542" s="30"/>
      <c r="AO542" s="30" t="s">
        <v>1050</v>
      </c>
      <c r="AP542" s="30" t="s">
        <v>1051</v>
      </c>
      <c r="AQ542" s="30">
        <v>0.66</v>
      </c>
      <c r="AR542" s="30">
        <v>1487</v>
      </c>
      <c r="AS542" s="30">
        <v>1622</v>
      </c>
      <c r="AT542" s="30">
        <v>1423</v>
      </c>
      <c r="AU542" s="54">
        <v>162628035</v>
      </c>
      <c r="AV542" s="54"/>
      <c r="AW542" s="54"/>
      <c r="AX542" s="54"/>
      <c r="AY542" s="54">
        <v>162627035</v>
      </c>
      <c r="AZ542" s="54">
        <v>0</v>
      </c>
      <c r="BA542" s="54">
        <v>1000</v>
      </c>
      <c r="BB542" s="55">
        <f>VLOOKUP(M542,[1]Sheet1!$E$6:$F$556,2,FALSE)</f>
        <v>1000</v>
      </c>
      <c r="BC542" s="74"/>
      <c r="BD542" s="74"/>
      <c r="BE542" s="30"/>
      <c r="BF542" s="30" t="s">
        <v>1745</v>
      </c>
      <c r="BG542" s="30" t="s">
        <v>1746</v>
      </c>
      <c r="BH542" s="30" t="s">
        <v>136</v>
      </c>
      <c r="BI542" s="30" t="str">
        <f t="shared" si="358"/>
        <v>Test</v>
      </c>
      <c r="BJ542" s="47" t="s">
        <v>137</v>
      </c>
      <c r="BK542" s="56">
        <f t="shared" si="372"/>
        <v>3252560.7</v>
      </c>
      <c r="BL542" s="57">
        <f t="shared" si="338"/>
        <v>310062.4412947098</v>
      </c>
      <c r="BM542" s="57">
        <f t="shared" si="339"/>
        <v>103354.1470982366</v>
      </c>
      <c r="BU542" s="58">
        <f>BM542*3</f>
        <v>310062.4412947098</v>
      </c>
      <c r="BV542" s="58">
        <f t="shared" si="378"/>
        <v>310062.4412947098</v>
      </c>
      <c r="BW542" s="58">
        <f t="shared" si="366"/>
        <v>620124.88258941961</v>
      </c>
      <c r="BX542" s="58">
        <f t="shared" si="341"/>
        <v>310062.4412947098</v>
      </c>
      <c r="BY542" s="58">
        <f t="shared" si="350"/>
        <v>310062.4412947098</v>
      </c>
      <c r="BZ542" s="58">
        <f>BM542*3</f>
        <v>310062.4412947098</v>
      </c>
      <c r="CA542" s="58">
        <f t="shared" si="336"/>
        <v>310062.4412947098</v>
      </c>
      <c r="CB542" s="58">
        <f t="shared" si="360"/>
        <v>1240249.7651788392</v>
      </c>
      <c r="CC542" s="58">
        <f t="shared" si="361"/>
        <v>310062.4412947098</v>
      </c>
      <c r="CD542" s="58">
        <f t="shared" si="373"/>
        <v>310062.4412947098</v>
      </c>
      <c r="CE542" s="58">
        <f t="shared" si="373"/>
        <v>310062.4412947098</v>
      </c>
      <c r="CF542" s="58">
        <f t="shared" si="373"/>
        <v>310062.4412947098</v>
      </c>
      <c r="CG542" s="58">
        <f t="shared" si="362"/>
        <v>1240249.7651788392</v>
      </c>
      <c r="CH542" s="58">
        <f t="shared" si="342"/>
        <v>310062.4412947098</v>
      </c>
      <c r="CI542" s="58">
        <f t="shared" si="379"/>
        <v>310062.4412947098</v>
      </c>
      <c r="CJ542" s="58">
        <f t="shared" si="379"/>
        <v>310062.4412947098</v>
      </c>
      <c r="CK542" s="58">
        <f t="shared" si="379"/>
        <v>310062.4412947098</v>
      </c>
      <c r="CL542" s="58">
        <f t="shared" si="343"/>
        <v>1240249.7651788392</v>
      </c>
      <c r="CN542" s="59">
        <f>BK542/$CN$3</f>
        <v>3.1759225816336737E-4</v>
      </c>
      <c r="CO542" s="64">
        <f>CN542*$CO$4</f>
        <v>6669437.4214307144</v>
      </c>
      <c r="CP542" s="2">
        <f t="shared" si="359"/>
        <v>9921998.1214307137</v>
      </c>
    </row>
    <row r="543" spans="1:94" hidden="1" x14ac:dyDescent="0.3">
      <c r="A543" s="29">
        <v>538</v>
      </c>
      <c r="B543" s="30" t="s">
        <v>21</v>
      </c>
      <c r="C543" s="30"/>
      <c r="D543" s="30" t="s">
        <v>1725</v>
      </c>
      <c r="E543" s="30" t="s">
        <v>1042</v>
      </c>
      <c r="F543" s="30" t="s">
        <v>1043</v>
      </c>
      <c r="G543" s="30" t="s">
        <v>117</v>
      </c>
      <c r="H543" s="30"/>
      <c r="I543" s="30" t="s">
        <v>119</v>
      </c>
      <c r="J543" s="30" t="s">
        <v>120</v>
      </c>
      <c r="K543" s="30" t="s">
        <v>121</v>
      </c>
      <c r="L543" s="30" t="s">
        <v>1741</v>
      </c>
      <c r="M543" s="30">
        <v>1002892</v>
      </c>
      <c r="N543" s="30" t="s">
        <v>138</v>
      </c>
      <c r="O543" s="30" t="s">
        <v>1758</v>
      </c>
      <c r="P543" s="30" t="s">
        <v>1750</v>
      </c>
      <c r="Q543" s="30" t="s">
        <v>1750</v>
      </c>
      <c r="R543" s="30" t="s">
        <v>173</v>
      </c>
      <c r="S543" s="30" t="s">
        <v>1759</v>
      </c>
      <c r="T543" s="30"/>
      <c r="U543" s="30" t="s">
        <v>1760</v>
      </c>
      <c r="V543" s="30" t="s">
        <v>600</v>
      </c>
      <c r="W543" s="30" t="s">
        <v>456</v>
      </c>
      <c r="X543" s="89"/>
      <c r="Y543" s="30" t="s">
        <v>576</v>
      </c>
      <c r="Z543" s="30" t="s">
        <v>576</v>
      </c>
      <c r="AA543" s="20" t="s">
        <v>148</v>
      </c>
      <c r="AB543" s="72" t="s">
        <v>177</v>
      </c>
      <c r="AC543" s="48" t="s">
        <v>150</v>
      </c>
      <c r="AD543" s="30"/>
      <c r="AE543" s="30"/>
      <c r="AF543" s="48" t="s">
        <v>179</v>
      </c>
      <c r="AG543" s="48" t="s">
        <v>152</v>
      </c>
      <c r="AH543" s="48" t="s">
        <v>180</v>
      </c>
      <c r="AI543" s="30"/>
      <c r="AJ543" s="30"/>
      <c r="AK543" s="50">
        <v>41067</v>
      </c>
      <c r="AL543" s="51">
        <f t="shared" si="371"/>
        <v>13.408219178082192</v>
      </c>
      <c r="AM543" s="30">
        <v>8</v>
      </c>
      <c r="AN543" s="30"/>
      <c r="AO543" s="30" t="s">
        <v>1050</v>
      </c>
      <c r="AP543" s="30" t="s">
        <v>1051</v>
      </c>
      <c r="AQ543" s="30">
        <v>0.56320000000000003</v>
      </c>
      <c r="AR543" s="30">
        <v>1229</v>
      </c>
      <c r="AS543" s="30">
        <v>1142</v>
      </c>
      <c r="AT543" s="30">
        <v>933</v>
      </c>
      <c r="AU543" s="74">
        <v>172509649</v>
      </c>
      <c r="AV543" s="54"/>
      <c r="AW543" s="54"/>
      <c r="AX543" s="54"/>
      <c r="AY543" s="54">
        <v>172508649</v>
      </c>
      <c r="AZ543" s="54">
        <v>0</v>
      </c>
      <c r="BA543" s="74">
        <v>1000</v>
      </c>
      <c r="BB543" s="55">
        <f>VLOOKUP(M543,[1]Sheet1!$E$6:$F$556,2,FALSE)</f>
        <v>1000</v>
      </c>
      <c r="BC543" s="74"/>
      <c r="BD543" s="74"/>
      <c r="BE543" s="30"/>
      <c r="BF543" s="30" t="s">
        <v>1745</v>
      </c>
      <c r="BG543" s="30" t="s">
        <v>1761</v>
      </c>
      <c r="BH543" s="30" t="s">
        <v>136</v>
      </c>
      <c r="BI543" s="30" t="str">
        <f t="shared" si="358"/>
        <v>Test</v>
      </c>
      <c r="BJ543" s="30" t="s">
        <v>250</v>
      </c>
      <c r="BK543" s="56">
        <f t="shared" si="372"/>
        <v>3450192.98</v>
      </c>
      <c r="BL543" s="57">
        <f t="shared" si="338"/>
        <v>107818.530625</v>
      </c>
      <c r="BM543" s="57">
        <f t="shared" si="339"/>
        <v>35939.510208333333</v>
      </c>
      <c r="BU543" s="58">
        <f>BM543*3</f>
        <v>107818.530625</v>
      </c>
      <c r="BV543" s="58">
        <f t="shared" si="378"/>
        <v>107818.530625</v>
      </c>
      <c r="BW543" s="58">
        <f t="shared" si="366"/>
        <v>215637.06125</v>
      </c>
      <c r="BX543" s="58">
        <f t="shared" si="341"/>
        <v>107818.530625</v>
      </c>
      <c r="BY543" s="58">
        <f t="shared" si="350"/>
        <v>107818.530625</v>
      </c>
      <c r="BZ543" s="58">
        <f>BM543*3</f>
        <v>107818.530625</v>
      </c>
      <c r="CA543" s="58">
        <f t="shared" si="336"/>
        <v>107818.530625</v>
      </c>
      <c r="CB543" s="58">
        <f t="shared" si="360"/>
        <v>431274.1225</v>
      </c>
      <c r="CC543" s="58">
        <f t="shared" si="361"/>
        <v>107818.530625</v>
      </c>
      <c r="CD543" s="58">
        <f t="shared" si="373"/>
        <v>107818.530625</v>
      </c>
      <c r="CE543" s="58">
        <f t="shared" si="373"/>
        <v>107818.530625</v>
      </c>
      <c r="CF543" s="58">
        <f t="shared" si="373"/>
        <v>107818.530625</v>
      </c>
      <c r="CG543" s="58">
        <f t="shared" si="362"/>
        <v>431274.1225</v>
      </c>
      <c r="CH543" s="58">
        <f t="shared" si="342"/>
        <v>107818.530625</v>
      </c>
      <c r="CI543" s="58">
        <f t="shared" si="379"/>
        <v>107818.530625</v>
      </c>
      <c r="CJ543" s="58">
        <f t="shared" si="379"/>
        <v>107818.530625</v>
      </c>
      <c r="CK543" s="58">
        <f t="shared" si="379"/>
        <v>107818.530625</v>
      </c>
      <c r="CL543" s="58">
        <f t="shared" si="343"/>
        <v>431274.1225</v>
      </c>
      <c r="CP543" s="2">
        <f t="shared" si="359"/>
        <v>3450192.98</v>
      </c>
    </row>
    <row r="544" spans="1:94" ht="16.5" hidden="1" x14ac:dyDescent="0.3">
      <c r="A544" s="2">
        <v>539</v>
      </c>
      <c r="B544" s="47" t="s">
        <v>21</v>
      </c>
      <c r="C544" s="47"/>
      <c r="D544" s="30" t="s">
        <v>1725</v>
      </c>
      <c r="E544" s="30" t="s">
        <v>1042</v>
      </c>
      <c r="F544" s="30" t="s">
        <v>1043</v>
      </c>
      <c r="G544" s="30" t="s">
        <v>117</v>
      </c>
      <c r="H544" s="30"/>
      <c r="I544" s="30" t="s">
        <v>119</v>
      </c>
      <c r="J544" s="30" t="s">
        <v>120</v>
      </c>
      <c r="K544" s="30" t="s">
        <v>121</v>
      </c>
      <c r="L544" s="30" t="s">
        <v>1741</v>
      </c>
      <c r="M544" s="30">
        <v>1003925</v>
      </c>
      <c r="N544" s="30" t="s">
        <v>138</v>
      </c>
      <c r="O544" s="30" t="s">
        <v>1762</v>
      </c>
      <c r="P544" s="30" t="s">
        <v>453</v>
      </c>
      <c r="Q544" s="30" t="s">
        <v>453</v>
      </c>
      <c r="R544" s="30" t="s">
        <v>173</v>
      </c>
      <c r="S544" s="30" t="s">
        <v>1763</v>
      </c>
      <c r="T544" s="30" t="s">
        <v>209</v>
      </c>
      <c r="U544" s="30" t="s">
        <v>588</v>
      </c>
      <c r="V544" s="30" t="s">
        <v>600</v>
      </c>
      <c r="W544" s="30" t="s">
        <v>456</v>
      </c>
      <c r="X544" s="89" t="s">
        <v>1764</v>
      </c>
      <c r="Y544" s="143" t="s">
        <v>576</v>
      </c>
      <c r="Z544" s="143" t="s">
        <v>576</v>
      </c>
      <c r="AA544" s="20" t="s">
        <v>148</v>
      </c>
      <c r="AB544" s="72" t="s">
        <v>177</v>
      </c>
      <c r="AC544" s="48" t="s">
        <v>150</v>
      </c>
      <c r="AD544" s="30"/>
      <c r="AE544" s="30"/>
      <c r="AF544" s="48" t="s">
        <v>179</v>
      </c>
      <c r="AG544" s="48" t="s">
        <v>152</v>
      </c>
      <c r="AH544" s="30"/>
      <c r="AI544" s="30"/>
      <c r="AJ544" s="30"/>
      <c r="AK544" s="50">
        <v>41464</v>
      </c>
      <c r="AL544" s="51">
        <f t="shared" si="371"/>
        <v>12.32054794520548</v>
      </c>
      <c r="AM544" s="30">
        <v>8</v>
      </c>
      <c r="AN544" s="30"/>
      <c r="AO544" s="30" t="s">
        <v>1050</v>
      </c>
      <c r="AP544" s="30" t="s">
        <v>1051</v>
      </c>
      <c r="AQ544" s="30">
        <v>0.66</v>
      </c>
      <c r="AR544" s="30">
        <v>1487</v>
      </c>
      <c r="AS544" s="30">
        <v>1622</v>
      </c>
      <c r="AT544" s="30">
        <v>1423</v>
      </c>
      <c r="AU544" s="54">
        <v>160053504</v>
      </c>
      <c r="AV544" s="54"/>
      <c r="AW544" s="54"/>
      <c r="AX544" s="54"/>
      <c r="AY544" s="54">
        <v>160052504</v>
      </c>
      <c r="AZ544" s="54">
        <v>0</v>
      </c>
      <c r="BA544" s="54">
        <v>1000</v>
      </c>
      <c r="BB544" s="55">
        <f>VLOOKUP(M544,[1]Sheet1!$E$6:$F$556,2,FALSE)</f>
        <v>1000</v>
      </c>
      <c r="BC544" s="74"/>
      <c r="BD544" s="74"/>
      <c r="BE544" s="30"/>
      <c r="BF544" s="30" t="s">
        <v>1745</v>
      </c>
      <c r="BG544" s="30" t="s">
        <v>1746</v>
      </c>
      <c r="BH544" s="30" t="s">
        <v>136</v>
      </c>
      <c r="BI544" s="30" t="str">
        <f t="shared" si="358"/>
        <v>Test</v>
      </c>
      <c r="BJ544" s="47" t="s">
        <v>137</v>
      </c>
      <c r="BK544" s="67">
        <f t="shared" si="372"/>
        <v>3201070.08</v>
      </c>
      <c r="BL544" s="68">
        <f t="shared" si="338"/>
        <v>305153.90650826349</v>
      </c>
      <c r="BM544" s="68">
        <f t="shared" si="339"/>
        <v>101717.96883608784</v>
      </c>
      <c r="BP544" s="69">
        <f>BM544*3</f>
        <v>305153.90650826349</v>
      </c>
      <c r="BQ544" s="69">
        <f>BP544</f>
        <v>305153.90650826349</v>
      </c>
      <c r="BR544" s="69">
        <f>SUM(BN544:BQ544)</f>
        <v>610307.81301652698</v>
      </c>
      <c r="BS544" s="69">
        <f>BQ544</f>
        <v>305153.90650826349</v>
      </c>
      <c r="BT544" s="69">
        <f t="shared" si="378"/>
        <v>305153.90650826349</v>
      </c>
      <c r="BU544" s="100">
        <f t="shared" si="378"/>
        <v>305153.90650826349</v>
      </c>
      <c r="BV544" s="100">
        <f t="shared" si="378"/>
        <v>305153.90650826349</v>
      </c>
      <c r="BW544" s="100">
        <f t="shared" si="366"/>
        <v>1220615.626033054</v>
      </c>
      <c r="BX544" s="101">
        <f t="shared" si="341"/>
        <v>305153.90650826349</v>
      </c>
      <c r="BY544" s="101">
        <f t="shared" si="350"/>
        <v>305153.90650826349</v>
      </c>
      <c r="BZ544" s="18">
        <f t="shared" si="350"/>
        <v>305153.90650826349</v>
      </c>
      <c r="CA544" s="18">
        <f t="shared" si="336"/>
        <v>305153.90650826349</v>
      </c>
      <c r="CB544" s="70">
        <f t="shared" si="360"/>
        <v>1220615.626033054</v>
      </c>
      <c r="CC544" s="18">
        <f t="shared" si="361"/>
        <v>305153.90650826349</v>
      </c>
      <c r="CD544" s="18">
        <f t="shared" si="373"/>
        <v>305153.90650826349</v>
      </c>
      <c r="CE544" s="18">
        <f t="shared" si="373"/>
        <v>305153.90650826349</v>
      </c>
      <c r="CF544" s="18">
        <f t="shared" si="373"/>
        <v>305153.90650826349</v>
      </c>
      <c r="CG544" s="70">
        <f t="shared" si="362"/>
        <v>1220615.626033054</v>
      </c>
      <c r="CH544" s="18">
        <f t="shared" si="342"/>
        <v>305153.90650826349</v>
      </c>
      <c r="CI544" s="18">
        <f t="shared" si="379"/>
        <v>305153.90650826349</v>
      </c>
      <c r="CJ544" s="18">
        <f t="shared" si="379"/>
        <v>305153.90650826349</v>
      </c>
      <c r="CK544" s="18">
        <f t="shared" si="379"/>
        <v>305153.90650826349</v>
      </c>
      <c r="CL544" s="70">
        <f t="shared" si="343"/>
        <v>1220615.626033054</v>
      </c>
      <c r="CM544" s="71"/>
      <c r="CN544" s="59">
        <f t="shared" ref="CN544:CN548" si="380">BK544/$CN$3</f>
        <v>3.1256452039354438E-4</v>
      </c>
      <c r="CO544" s="64">
        <f t="shared" ref="CO544:CO548" si="381">CN544*$CO$4</f>
        <v>6563854.9282644317</v>
      </c>
      <c r="CP544" s="2">
        <f t="shared" si="359"/>
        <v>9764925.0082644317</v>
      </c>
    </row>
    <row r="545" spans="1:94" ht="16.5" hidden="1" x14ac:dyDescent="0.3">
      <c r="A545" s="2">
        <v>540</v>
      </c>
      <c r="B545" s="47" t="s">
        <v>21</v>
      </c>
      <c r="C545" s="47"/>
      <c r="D545" s="30" t="s">
        <v>1725</v>
      </c>
      <c r="E545" s="30" t="s">
        <v>1042</v>
      </c>
      <c r="F545" s="30" t="s">
        <v>1043</v>
      </c>
      <c r="G545" s="30" t="s">
        <v>117</v>
      </c>
      <c r="H545" s="30"/>
      <c r="I545" s="30" t="s">
        <v>119</v>
      </c>
      <c r="J545" s="30" t="s">
        <v>120</v>
      </c>
      <c r="K545" s="30" t="s">
        <v>121</v>
      </c>
      <c r="L545" s="30" t="s">
        <v>1741</v>
      </c>
      <c r="M545" s="30">
        <v>1003966</v>
      </c>
      <c r="N545" s="30" t="s">
        <v>138</v>
      </c>
      <c r="O545" s="30" t="s">
        <v>1765</v>
      </c>
      <c r="P545" s="30" t="s">
        <v>453</v>
      </c>
      <c r="Q545" s="30" t="s">
        <v>453</v>
      </c>
      <c r="R545" s="30" t="s">
        <v>173</v>
      </c>
      <c r="S545" s="30" t="s">
        <v>1766</v>
      </c>
      <c r="T545" s="30" t="s">
        <v>1752</v>
      </c>
      <c r="U545" s="30" t="s">
        <v>588</v>
      </c>
      <c r="V545" s="30" t="s">
        <v>415</v>
      </c>
      <c r="W545" s="30" t="s">
        <v>456</v>
      </c>
      <c r="X545" s="89" t="s">
        <v>1757</v>
      </c>
      <c r="Y545" s="30" t="s">
        <v>576</v>
      </c>
      <c r="Z545" s="30" t="s">
        <v>576</v>
      </c>
      <c r="AA545" s="20" t="s">
        <v>148</v>
      </c>
      <c r="AB545" s="72" t="s">
        <v>177</v>
      </c>
      <c r="AC545" s="48" t="s">
        <v>150</v>
      </c>
      <c r="AD545" s="30"/>
      <c r="AE545" s="30"/>
      <c r="AF545" s="48" t="s">
        <v>179</v>
      </c>
      <c r="AG545" s="48" t="s">
        <v>152</v>
      </c>
      <c r="AH545" s="30"/>
      <c r="AI545" s="30"/>
      <c r="AJ545" s="30"/>
      <c r="AK545" s="50">
        <v>41493</v>
      </c>
      <c r="AL545" s="51">
        <f t="shared" si="371"/>
        <v>12.241095890410959</v>
      </c>
      <c r="AM545" s="30">
        <v>8</v>
      </c>
      <c r="AN545" s="30"/>
      <c r="AO545" s="30" t="s">
        <v>1050</v>
      </c>
      <c r="AP545" s="30" t="s">
        <v>1051</v>
      </c>
      <c r="AQ545" s="30">
        <v>0.66</v>
      </c>
      <c r="AR545" s="30">
        <v>1487</v>
      </c>
      <c r="AS545" s="30">
        <v>1622</v>
      </c>
      <c r="AT545" s="30">
        <v>1423</v>
      </c>
      <c r="AU545" s="54">
        <v>160930647</v>
      </c>
      <c r="AV545" s="54"/>
      <c r="AW545" s="54"/>
      <c r="AX545" s="54"/>
      <c r="AY545" s="54">
        <v>160929647</v>
      </c>
      <c r="AZ545" s="54">
        <v>0</v>
      </c>
      <c r="BA545" s="54">
        <v>1000</v>
      </c>
      <c r="BB545" s="55">
        <f>VLOOKUP(M545,[1]Sheet1!$E$6:$F$556,2,FALSE)</f>
        <v>1000</v>
      </c>
      <c r="BC545" s="74"/>
      <c r="BD545" s="74"/>
      <c r="BE545" s="30"/>
      <c r="BF545" s="30" t="s">
        <v>1745</v>
      </c>
      <c r="BG545" s="30" t="s">
        <v>1746</v>
      </c>
      <c r="BH545" s="30" t="s">
        <v>136</v>
      </c>
      <c r="BI545" s="30" t="str">
        <f t="shared" si="358"/>
        <v>Test</v>
      </c>
      <c r="BJ545" s="47" t="s">
        <v>137</v>
      </c>
      <c r="BK545" s="56">
        <f t="shared" si="372"/>
        <v>3218612.94</v>
      </c>
      <c r="BL545" s="57">
        <f t="shared" si="338"/>
        <v>306826.24485967116</v>
      </c>
      <c r="BM545" s="57">
        <f t="shared" si="339"/>
        <v>102275.41495322372</v>
      </c>
      <c r="BU545" s="58">
        <f>BM545*3</f>
        <v>306826.24485967116</v>
      </c>
      <c r="BV545" s="58">
        <f t="shared" si="378"/>
        <v>306826.24485967116</v>
      </c>
      <c r="BW545" s="58">
        <f t="shared" si="366"/>
        <v>613652.48971934232</v>
      </c>
      <c r="BX545" s="58">
        <f t="shared" si="341"/>
        <v>306826.24485967116</v>
      </c>
      <c r="BY545" s="58">
        <f t="shared" si="350"/>
        <v>306826.24485967116</v>
      </c>
      <c r="BZ545" s="58">
        <f>BM545*3</f>
        <v>306826.24485967116</v>
      </c>
      <c r="CA545" s="58">
        <f t="shared" si="336"/>
        <v>306826.24485967116</v>
      </c>
      <c r="CB545" s="58">
        <f t="shared" si="360"/>
        <v>1227304.9794386846</v>
      </c>
      <c r="CC545" s="58">
        <f t="shared" si="361"/>
        <v>306826.24485967116</v>
      </c>
      <c r="CD545" s="58">
        <f t="shared" si="373"/>
        <v>306826.24485967116</v>
      </c>
      <c r="CE545" s="58">
        <f t="shared" si="373"/>
        <v>306826.24485967116</v>
      </c>
      <c r="CF545" s="58">
        <f t="shared" si="373"/>
        <v>306826.24485967116</v>
      </c>
      <c r="CG545" s="58">
        <f t="shared" si="362"/>
        <v>1227304.9794386846</v>
      </c>
      <c r="CH545" s="58">
        <f t="shared" si="342"/>
        <v>306826.24485967116</v>
      </c>
      <c r="CI545" s="58">
        <f t="shared" si="379"/>
        <v>306826.24485967116</v>
      </c>
      <c r="CJ545" s="58">
        <f t="shared" si="379"/>
        <v>306826.24485967116</v>
      </c>
      <c r="CK545" s="58">
        <f t="shared" si="379"/>
        <v>306826.24485967116</v>
      </c>
      <c r="CL545" s="58">
        <f t="shared" si="343"/>
        <v>1227304.9794386846</v>
      </c>
      <c r="CN545" s="59">
        <f t="shared" si="380"/>
        <v>3.14277471214737E-4</v>
      </c>
      <c r="CO545" s="64">
        <f t="shared" si="381"/>
        <v>6599826.8955094768</v>
      </c>
      <c r="CP545" s="2">
        <f t="shared" si="359"/>
        <v>9818439.8355094772</v>
      </c>
    </row>
    <row r="546" spans="1:94" ht="16.5" hidden="1" x14ac:dyDescent="0.3">
      <c r="A546" s="2">
        <v>541</v>
      </c>
      <c r="B546" s="47" t="s">
        <v>21</v>
      </c>
      <c r="C546" s="47"/>
      <c r="D546" s="30" t="s">
        <v>1725</v>
      </c>
      <c r="E546" s="30" t="s">
        <v>1042</v>
      </c>
      <c r="F546" s="30" t="s">
        <v>1043</v>
      </c>
      <c r="G546" s="30" t="s">
        <v>117</v>
      </c>
      <c r="H546" s="30"/>
      <c r="I546" s="30" t="s">
        <v>119</v>
      </c>
      <c r="J546" s="30" t="s">
        <v>120</v>
      </c>
      <c r="K546" s="30" t="s">
        <v>121</v>
      </c>
      <c r="L546" s="30" t="s">
        <v>1741</v>
      </c>
      <c r="M546" s="30">
        <v>1003967</v>
      </c>
      <c r="N546" s="30" t="s">
        <v>138</v>
      </c>
      <c r="O546" s="30" t="s">
        <v>1767</v>
      </c>
      <c r="P546" s="30" t="s">
        <v>453</v>
      </c>
      <c r="Q546" s="30" t="s">
        <v>453</v>
      </c>
      <c r="R546" s="30" t="s">
        <v>173</v>
      </c>
      <c r="S546" s="30" t="s">
        <v>1768</v>
      </c>
      <c r="T546" s="30" t="s">
        <v>1752</v>
      </c>
      <c r="U546" s="30" t="s">
        <v>588</v>
      </c>
      <c r="V546" s="30" t="s">
        <v>415</v>
      </c>
      <c r="W546" s="30" t="s">
        <v>456</v>
      </c>
      <c r="X546" s="89" t="s">
        <v>1757</v>
      </c>
      <c r="Y546" s="30" t="s">
        <v>576</v>
      </c>
      <c r="Z546" s="30" t="s">
        <v>576</v>
      </c>
      <c r="AA546" s="20" t="s">
        <v>148</v>
      </c>
      <c r="AB546" s="72" t="s">
        <v>177</v>
      </c>
      <c r="AC546" s="48" t="s">
        <v>150</v>
      </c>
      <c r="AD546" s="30"/>
      <c r="AE546" s="30"/>
      <c r="AF546" s="48" t="s">
        <v>179</v>
      </c>
      <c r="AG546" s="48" t="s">
        <v>152</v>
      </c>
      <c r="AH546" s="30"/>
      <c r="AI546" s="30"/>
      <c r="AJ546" s="30"/>
      <c r="AK546" s="50">
        <v>41493</v>
      </c>
      <c r="AL546" s="51">
        <f t="shared" si="371"/>
        <v>12.241095890410959</v>
      </c>
      <c r="AM546" s="30">
        <v>8</v>
      </c>
      <c r="AN546" s="30"/>
      <c r="AO546" s="30" t="s">
        <v>1050</v>
      </c>
      <c r="AP546" s="30" t="s">
        <v>1051</v>
      </c>
      <c r="AQ546" s="30">
        <v>0.66</v>
      </c>
      <c r="AR546" s="30">
        <v>1487</v>
      </c>
      <c r="AS546" s="30">
        <v>1622</v>
      </c>
      <c r="AT546" s="30">
        <v>1423</v>
      </c>
      <c r="AU546" s="54">
        <v>160930647</v>
      </c>
      <c r="AV546" s="54"/>
      <c r="AW546" s="54"/>
      <c r="AX546" s="54"/>
      <c r="AY546" s="54">
        <v>160929647</v>
      </c>
      <c r="AZ546" s="54">
        <v>0</v>
      </c>
      <c r="BA546" s="54">
        <v>1000</v>
      </c>
      <c r="BB546" s="55">
        <f>VLOOKUP(M546,[1]Sheet1!$E$6:$F$556,2,FALSE)</f>
        <v>1000</v>
      </c>
      <c r="BC546" s="74"/>
      <c r="BD546" s="74"/>
      <c r="BE546" s="30"/>
      <c r="BF546" s="30" t="s">
        <v>1745</v>
      </c>
      <c r="BG546" s="30" t="s">
        <v>1746</v>
      </c>
      <c r="BH546" s="30" t="s">
        <v>136</v>
      </c>
      <c r="BI546" s="30" t="str">
        <f t="shared" si="358"/>
        <v>Test</v>
      </c>
      <c r="BJ546" s="47" t="s">
        <v>137</v>
      </c>
      <c r="BK546" s="56">
        <f t="shared" si="372"/>
        <v>3218612.94</v>
      </c>
      <c r="BL546" s="57">
        <f t="shared" si="338"/>
        <v>306826.24485967116</v>
      </c>
      <c r="BM546" s="57">
        <f t="shared" si="339"/>
        <v>102275.41495322372</v>
      </c>
      <c r="BU546" s="58">
        <f>BM546*3</f>
        <v>306826.24485967116</v>
      </c>
      <c r="BV546" s="58">
        <f t="shared" si="378"/>
        <v>306826.24485967116</v>
      </c>
      <c r="BW546" s="58">
        <f t="shared" si="366"/>
        <v>613652.48971934232</v>
      </c>
      <c r="BX546" s="58">
        <f t="shared" si="341"/>
        <v>306826.24485967116</v>
      </c>
      <c r="BY546" s="58">
        <f t="shared" si="350"/>
        <v>306826.24485967116</v>
      </c>
      <c r="BZ546" s="58">
        <f>BM546*3</f>
        <v>306826.24485967116</v>
      </c>
      <c r="CA546" s="58">
        <f t="shared" si="336"/>
        <v>306826.24485967116</v>
      </c>
      <c r="CB546" s="58">
        <f t="shared" si="360"/>
        <v>1227304.9794386846</v>
      </c>
      <c r="CC546" s="58">
        <f t="shared" si="361"/>
        <v>306826.24485967116</v>
      </c>
      <c r="CD546" s="58">
        <f t="shared" si="373"/>
        <v>306826.24485967116</v>
      </c>
      <c r="CE546" s="58">
        <f t="shared" si="373"/>
        <v>306826.24485967116</v>
      </c>
      <c r="CF546" s="58">
        <f t="shared" si="373"/>
        <v>306826.24485967116</v>
      </c>
      <c r="CG546" s="58">
        <f t="shared" si="362"/>
        <v>1227304.9794386846</v>
      </c>
      <c r="CH546" s="58">
        <f t="shared" si="342"/>
        <v>306826.24485967116</v>
      </c>
      <c r="CI546" s="58">
        <f t="shared" si="379"/>
        <v>306826.24485967116</v>
      </c>
      <c r="CJ546" s="58">
        <f t="shared" si="379"/>
        <v>306826.24485967116</v>
      </c>
      <c r="CK546" s="58">
        <f t="shared" si="379"/>
        <v>306826.24485967116</v>
      </c>
      <c r="CL546" s="58">
        <f t="shared" si="343"/>
        <v>1227304.9794386846</v>
      </c>
      <c r="CN546" s="59">
        <f t="shared" si="380"/>
        <v>3.14277471214737E-4</v>
      </c>
      <c r="CO546" s="64">
        <f t="shared" si="381"/>
        <v>6599826.8955094768</v>
      </c>
      <c r="CP546" s="2">
        <f t="shared" si="359"/>
        <v>9818439.8355094772</v>
      </c>
    </row>
    <row r="547" spans="1:94" ht="16.5" hidden="1" x14ac:dyDescent="0.3">
      <c r="A547" s="2">
        <v>542</v>
      </c>
      <c r="B547" s="47" t="s">
        <v>21</v>
      </c>
      <c r="C547" s="47"/>
      <c r="D547" s="30" t="s">
        <v>1725</v>
      </c>
      <c r="E547" s="30" t="s">
        <v>1042</v>
      </c>
      <c r="F547" s="30" t="s">
        <v>1043</v>
      </c>
      <c r="G547" s="30" t="s">
        <v>117</v>
      </c>
      <c r="H547" s="30"/>
      <c r="I547" s="30" t="s">
        <v>119</v>
      </c>
      <c r="J547" s="30" t="s">
        <v>120</v>
      </c>
      <c r="K547" s="30" t="s">
        <v>121</v>
      </c>
      <c r="L547" s="30" t="s">
        <v>1741</v>
      </c>
      <c r="M547" s="30">
        <v>1003924</v>
      </c>
      <c r="N547" s="30" t="s">
        <v>138</v>
      </c>
      <c r="O547" s="30" t="s">
        <v>1769</v>
      </c>
      <c r="P547" s="30" t="s">
        <v>453</v>
      </c>
      <c r="Q547" s="30" t="s">
        <v>453</v>
      </c>
      <c r="R547" s="30" t="s">
        <v>173</v>
      </c>
      <c r="S547" s="30" t="s">
        <v>1770</v>
      </c>
      <c r="T547" s="30" t="s">
        <v>1771</v>
      </c>
      <c r="U547" s="30" t="s">
        <v>588</v>
      </c>
      <c r="V547" s="30" t="s">
        <v>600</v>
      </c>
      <c r="W547" s="30" t="s">
        <v>456</v>
      </c>
      <c r="X547" s="89" t="s">
        <v>1757</v>
      </c>
      <c r="Y547" s="30" t="s">
        <v>576</v>
      </c>
      <c r="Z547" s="30" t="s">
        <v>576</v>
      </c>
      <c r="AA547" s="20" t="s">
        <v>148</v>
      </c>
      <c r="AB547" s="72" t="s">
        <v>177</v>
      </c>
      <c r="AC547" s="48" t="s">
        <v>150</v>
      </c>
      <c r="AD547" s="30"/>
      <c r="AE547" s="30"/>
      <c r="AF547" s="48" t="s">
        <v>179</v>
      </c>
      <c r="AG547" s="48" t="s">
        <v>152</v>
      </c>
      <c r="AH547" s="30"/>
      <c r="AI547" s="30"/>
      <c r="AJ547" s="30"/>
      <c r="AK547" s="50">
        <v>41467</v>
      </c>
      <c r="AL547" s="51">
        <f t="shared" si="371"/>
        <v>12.312328767123288</v>
      </c>
      <c r="AM547" s="30">
        <v>8</v>
      </c>
      <c r="AN547" s="30"/>
      <c r="AO547" s="30" t="s">
        <v>1050</v>
      </c>
      <c r="AP547" s="30" t="s">
        <v>1051</v>
      </c>
      <c r="AQ547" s="30">
        <v>0.66</v>
      </c>
      <c r="AR547" s="30">
        <v>1487</v>
      </c>
      <c r="AS547" s="30">
        <v>1622</v>
      </c>
      <c r="AT547" s="30">
        <v>1423</v>
      </c>
      <c r="AU547" s="54">
        <v>159285452</v>
      </c>
      <c r="AV547" s="54"/>
      <c r="AW547" s="54"/>
      <c r="AX547" s="54"/>
      <c r="AY547" s="54">
        <v>159284452</v>
      </c>
      <c r="AZ547" s="54">
        <v>0</v>
      </c>
      <c r="BA547" s="54">
        <v>1000</v>
      </c>
      <c r="BB547" s="55">
        <f>VLOOKUP(M547,[1]Sheet1!$E$6:$F$556,2,FALSE)</f>
        <v>1000</v>
      </c>
      <c r="BC547" s="74"/>
      <c r="BD547" s="74"/>
      <c r="BE547" s="30"/>
      <c r="BF547" s="30" t="s">
        <v>1745</v>
      </c>
      <c r="BG547" s="30" t="s">
        <v>1746</v>
      </c>
      <c r="BH547" s="30" t="s">
        <v>136</v>
      </c>
      <c r="BI547" s="30" t="str">
        <f t="shared" si="358"/>
        <v>Test</v>
      </c>
      <c r="BJ547" s="47" t="s">
        <v>137</v>
      </c>
      <c r="BK547" s="56">
        <f t="shared" si="372"/>
        <v>3185709.04</v>
      </c>
      <c r="BL547" s="57">
        <f t="shared" si="338"/>
        <v>303689.5582600584</v>
      </c>
      <c r="BM547" s="57">
        <f t="shared" si="339"/>
        <v>101229.8527533528</v>
      </c>
      <c r="BU547" s="58">
        <f>BM547*3</f>
        <v>303689.5582600584</v>
      </c>
      <c r="BV547" s="58">
        <f t="shared" si="378"/>
        <v>303689.5582600584</v>
      </c>
      <c r="BW547" s="58">
        <f t="shared" si="366"/>
        <v>607379.1165201168</v>
      </c>
      <c r="BX547" s="58">
        <f t="shared" si="341"/>
        <v>303689.5582600584</v>
      </c>
      <c r="BY547" s="58">
        <f t="shared" si="350"/>
        <v>303689.5582600584</v>
      </c>
      <c r="BZ547" s="58">
        <f>BM547*3</f>
        <v>303689.5582600584</v>
      </c>
      <c r="CA547" s="58">
        <f t="shared" si="336"/>
        <v>303689.5582600584</v>
      </c>
      <c r="CB547" s="58">
        <f t="shared" si="360"/>
        <v>1214758.2330402336</v>
      </c>
      <c r="CC547" s="58">
        <f t="shared" si="361"/>
        <v>303689.5582600584</v>
      </c>
      <c r="CD547" s="58">
        <f t="shared" si="373"/>
        <v>303689.5582600584</v>
      </c>
      <c r="CE547" s="58">
        <f t="shared" si="373"/>
        <v>303689.5582600584</v>
      </c>
      <c r="CF547" s="58">
        <f t="shared" si="373"/>
        <v>303689.5582600584</v>
      </c>
      <c r="CG547" s="58">
        <f t="shared" si="362"/>
        <v>1214758.2330402336</v>
      </c>
      <c r="CH547" s="58">
        <f t="shared" si="342"/>
        <v>303689.5582600584</v>
      </c>
      <c r="CI547" s="58">
        <f t="shared" si="379"/>
        <v>303689.5582600584</v>
      </c>
      <c r="CJ547" s="58">
        <f t="shared" si="379"/>
        <v>303689.5582600584</v>
      </c>
      <c r="CK547" s="58">
        <f t="shared" si="379"/>
        <v>303689.5582600584</v>
      </c>
      <c r="CL547" s="58">
        <f t="shared" si="343"/>
        <v>1214758.2330402336</v>
      </c>
      <c r="CN547" s="59">
        <f t="shared" si="380"/>
        <v>3.110646106819938E-4</v>
      </c>
      <c r="CO547" s="64">
        <f t="shared" si="381"/>
        <v>6532356.8243218698</v>
      </c>
      <c r="CP547" s="2">
        <f t="shared" si="359"/>
        <v>9718065.8643218689</v>
      </c>
    </row>
    <row r="548" spans="1:94" ht="16.5" hidden="1" x14ac:dyDescent="0.3">
      <c r="A548" s="2">
        <v>543</v>
      </c>
      <c r="B548" s="47" t="s">
        <v>21</v>
      </c>
      <c r="C548" s="47"/>
      <c r="D548" s="30" t="s">
        <v>1725</v>
      </c>
      <c r="E548" s="30" t="s">
        <v>1042</v>
      </c>
      <c r="F548" s="30" t="s">
        <v>1043</v>
      </c>
      <c r="G548" s="30" t="s">
        <v>117</v>
      </c>
      <c r="H548" s="30"/>
      <c r="I548" s="30" t="s">
        <v>119</v>
      </c>
      <c r="J548" s="30" t="s">
        <v>120</v>
      </c>
      <c r="K548" s="30" t="s">
        <v>121</v>
      </c>
      <c r="L548" s="30" t="s">
        <v>1741</v>
      </c>
      <c r="M548" s="30">
        <v>1004522</v>
      </c>
      <c r="N548" s="30" t="s">
        <v>138</v>
      </c>
      <c r="O548" s="30" t="s">
        <v>1772</v>
      </c>
      <c r="P548" s="30" t="s">
        <v>453</v>
      </c>
      <c r="Q548" s="30" t="s">
        <v>453</v>
      </c>
      <c r="R548" s="30" t="s">
        <v>173</v>
      </c>
      <c r="S548" s="30" t="s">
        <v>1773</v>
      </c>
      <c r="T548" s="30" t="s">
        <v>1752</v>
      </c>
      <c r="U548" s="30" t="s">
        <v>588</v>
      </c>
      <c r="V548" s="30" t="s">
        <v>600</v>
      </c>
      <c r="W548" s="30" t="s">
        <v>456</v>
      </c>
      <c r="X548" s="89" t="s">
        <v>1764</v>
      </c>
      <c r="Y548" s="143" t="s">
        <v>576</v>
      </c>
      <c r="Z548" s="143" t="s">
        <v>576</v>
      </c>
      <c r="AA548" s="20" t="s">
        <v>148</v>
      </c>
      <c r="AB548" s="72" t="s">
        <v>177</v>
      </c>
      <c r="AC548" s="48" t="s">
        <v>150</v>
      </c>
      <c r="AD548" s="30"/>
      <c r="AE548" s="30"/>
      <c r="AF548" s="48" t="s">
        <v>179</v>
      </c>
      <c r="AG548" s="48" t="s">
        <v>152</v>
      </c>
      <c r="AH548" s="30"/>
      <c r="AI548" s="30"/>
      <c r="AJ548" s="30"/>
      <c r="AK548" s="50">
        <v>42033</v>
      </c>
      <c r="AL548" s="51">
        <f t="shared" si="371"/>
        <v>10.761643835616438</v>
      </c>
      <c r="AM548" s="30">
        <v>8</v>
      </c>
      <c r="AN548" s="30"/>
      <c r="AO548" s="30" t="s">
        <v>1050</v>
      </c>
      <c r="AP548" s="30" t="s">
        <v>1051</v>
      </c>
      <c r="AQ548" s="30">
        <v>0.66</v>
      </c>
      <c r="AR548" s="30">
        <v>1487</v>
      </c>
      <c r="AS548" s="30">
        <v>1622</v>
      </c>
      <c r="AT548" s="30">
        <v>1423</v>
      </c>
      <c r="AU548" s="54">
        <v>126206983</v>
      </c>
      <c r="AV548" s="54"/>
      <c r="AW548" s="54"/>
      <c r="AX548" s="54"/>
      <c r="AY548" s="54">
        <v>126205983</v>
      </c>
      <c r="AZ548" s="54">
        <v>452316</v>
      </c>
      <c r="BA548" s="54">
        <v>1000</v>
      </c>
      <c r="BB548" s="55">
        <f>VLOOKUP(M548,[1]Sheet1!$E$6:$F$556,2,FALSE)</f>
        <v>1000</v>
      </c>
      <c r="BC548" s="74"/>
      <c r="BD548" s="74"/>
      <c r="BE548" s="30"/>
      <c r="BF548" s="30" t="s">
        <v>1745</v>
      </c>
      <c r="BG548" s="30" t="s">
        <v>1746</v>
      </c>
      <c r="BH548" s="30" t="s">
        <v>136</v>
      </c>
      <c r="BI548" s="30" t="str">
        <f t="shared" si="358"/>
        <v>Test</v>
      </c>
      <c r="BJ548" s="47" t="s">
        <v>137</v>
      </c>
      <c r="BK548" s="67">
        <f t="shared" si="372"/>
        <v>2524139.66</v>
      </c>
      <c r="BL548" s="68">
        <f t="shared" si="338"/>
        <v>240622.99748883976</v>
      </c>
      <c r="BM548" s="68">
        <f t="shared" si="339"/>
        <v>80207.665829613252</v>
      </c>
      <c r="BP548" s="69">
        <f>BM548*3</f>
        <v>240622.99748883976</v>
      </c>
      <c r="BQ548" s="69">
        <f>BP548</f>
        <v>240622.99748883976</v>
      </c>
      <c r="BR548" s="69">
        <f>SUM(BN548:BQ548)</f>
        <v>481245.99497767951</v>
      </c>
      <c r="BS548" s="69">
        <f>BQ548</f>
        <v>240622.99748883976</v>
      </c>
      <c r="BT548" s="69">
        <f t="shared" si="378"/>
        <v>240622.99748883976</v>
      </c>
      <c r="BU548" s="100">
        <f t="shared" si="378"/>
        <v>240622.99748883976</v>
      </c>
      <c r="BV548" s="100">
        <f t="shared" si="378"/>
        <v>240622.99748883976</v>
      </c>
      <c r="BW548" s="100">
        <f t="shared" si="366"/>
        <v>962491.98995535902</v>
      </c>
      <c r="BX548" s="101">
        <f t="shared" si="341"/>
        <v>240622.99748883976</v>
      </c>
      <c r="BY548" s="101">
        <f t="shared" si="350"/>
        <v>240622.99748883976</v>
      </c>
      <c r="BZ548" s="18">
        <f t="shared" si="350"/>
        <v>240622.99748883976</v>
      </c>
      <c r="CA548" s="18">
        <f t="shared" si="336"/>
        <v>240622.99748883976</v>
      </c>
      <c r="CB548" s="70">
        <f t="shared" si="360"/>
        <v>962491.98995535902</v>
      </c>
      <c r="CC548" s="18">
        <f t="shared" si="361"/>
        <v>240622.99748883976</v>
      </c>
      <c r="CD548" s="18">
        <f t="shared" si="373"/>
        <v>240622.99748883976</v>
      </c>
      <c r="CE548" s="18">
        <f t="shared" si="373"/>
        <v>240622.99748883976</v>
      </c>
      <c r="CF548" s="18">
        <f t="shared" si="373"/>
        <v>240622.99748883976</v>
      </c>
      <c r="CG548" s="70">
        <f t="shared" si="362"/>
        <v>962491.98995535902</v>
      </c>
      <c r="CH548" s="18">
        <f t="shared" si="342"/>
        <v>240622.99748883976</v>
      </c>
      <c r="CI548" s="18">
        <f t="shared" si="379"/>
        <v>240622.99748883976</v>
      </c>
      <c r="CJ548" s="18">
        <f t="shared" si="379"/>
        <v>240622.99748883976</v>
      </c>
      <c r="CK548" s="18">
        <f t="shared" si="379"/>
        <v>240622.99748883976</v>
      </c>
      <c r="CL548" s="70">
        <f t="shared" si="343"/>
        <v>962491.98995535902</v>
      </c>
      <c r="CM548" s="71"/>
      <c r="CN548" s="59">
        <f t="shared" si="380"/>
        <v>2.4646648855442248E-4</v>
      </c>
      <c r="CO548" s="64">
        <f t="shared" si="381"/>
        <v>5175796.259642872</v>
      </c>
      <c r="CP548" s="2">
        <f t="shared" si="359"/>
        <v>7699935.9196428722</v>
      </c>
    </row>
    <row r="549" spans="1:94" hidden="1" x14ac:dyDescent="0.3">
      <c r="A549" s="29">
        <v>544</v>
      </c>
      <c r="B549" s="30" t="s">
        <v>21</v>
      </c>
      <c r="C549" s="30"/>
      <c r="D549" s="30" t="s">
        <v>1725</v>
      </c>
      <c r="E549" s="30" t="s">
        <v>1042</v>
      </c>
      <c r="F549" s="30" t="s">
        <v>1043</v>
      </c>
      <c r="G549" s="30" t="s">
        <v>117</v>
      </c>
      <c r="H549" s="30"/>
      <c r="I549" s="30" t="s">
        <v>119</v>
      </c>
      <c r="J549" s="30" t="s">
        <v>120</v>
      </c>
      <c r="K549" s="30" t="s">
        <v>121</v>
      </c>
      <c r="L549" s="30" t="s">
        <v>1741</v>
      </c>
      <c r="M549" s="30">
        <v>1004163</v>
      </c>
      <c r="N549" s="30" t="s">
        <v>138</v>
      </c>
      <c r="O549" s="30" t="s">
        <v>1774</v>
      </c>
      <c r="P549" s="30" t="s">
        <v>1750</v>
      </c>
      <c r="Q549" s="30" t="s">
        <v>1750</v>
      </c>
      <c r="R549" s="30" t="s">
        <v>173</v>
      </c>
      <c r="S549" s="30" t="s">
        <v>1775</v>
      </c>
      <c r="T549" s="30" t="s">
        <v>1752</v>
      </c>
      <c r="U549" s="30" t="s">
        <v>1753</v>
      </c>
      <c r="V549" s="30" t="s">
        <v>415</v>
      </c>
      <c r="W549" s="30" t="s">
        <v>456</v>
      </c>
      <c r="X549" s="89"/>
      <c r="Y549" s="30" t="s">
        <v>576</v>
      </c>
      <c r="Z549" s="30" t="s">
        <v>576</v>
      </c>
      <c r="AA549" s="20" t="s">
        <v>148</v>
      </c>
      <c r="AB549" s="72" t="s">
        <v>177</v>
      </c>
      <c r="AC549" s="48" t="s">
        <v>150</v>
      </c>
      <c r="AD549" s="30"/>
      <c r="AE549" s="30"/>
      <c r="AF549" s="48" t="s">
        <v>179</v>
      </c>
      <c r="AG549" s="48" t="s">
        <v>152</v>
      </c>
      <c r="AH549" s="48" t="s">
        <v>180</v>
      </c>
      <c r="AI549" s="30"/>
      <c r="AJ549" s="30"/>
      <c r="AK549" s="50">
        <v>41668</v>
      </c>
      <c r="AL549" s="51">
        <f t="shared" si="371"/>
        <v>11.761643835616438</v>
      </c>
      <c r="AM549" s="30">
        <v>8</v>
      </c>
      <c r="AN549" s="30"/>
      <c r="AO549" s="30" t="s">
        <v>1050</v>
      </c>
      <c r="AP549" s="30" t="s">
        <v>1051</v>
      </c>
      <c r="AQ549" s="30">
        <v>0.56320000000000003</v>
      </c>
      <c r="AR549" s="30">
        <v>1229</v>
      </c>
      <c r="AS549" s="30">
        <v>1142</v>
      </c>
      <c r="AT549" s="30">
        <v>933</v>
      </c>
      <c r="AU549" s="74">
        <v>130501250</v>
      </c>
      <c r="AV549" s="54"/>
      <c r="AW549" s="54"/>
      <c r="AX549" s="54"/>
      <c r="AY549" s="54">
        <v>130500250</v>
      </c>
      <c r="AZ549" s="54">
        <v>0</v>
      </c>
      <c r="BA549" s="74">
        <v>1000</v>
      </c>
      <c r="BB549" s="55">
        <f>VLOOKUP(M549,[1]Sheet1!$E$6:$F$556,2,FALSE)</f>
        <v>1000</v>
      </c>
      <c r="BC549" s="74"/>
      <c r="BD549" s="74"/>
      <c r="BE549" s="30"/>
      <c r="BF549" s="30" t="s">
        <v>1745</v>
      </c>
      <c r="BG549" s="30" t="s">
        <v>1746</v>
      </c>
      <c r="BH549" s="30" t="s">
        <v>136</v>
      </c>
      <c r="BI549" s="30" t="str">
        <f t="shared" si="358"/>
        <v>Test</v>
      </c>
      <c r="BJ549" s="30" t="s">
        <v>250</v>
      </c>
      <c r="BK549" s="56">
        <f t="shared" si="372"/>
        <v>2610025</v>
      </c>
      <c r="BL549" s="57">
        <f t="shared" si="338"/>
        <v>81563.28125</v>
      </c>
      <c r="BM549" s="57">
        <f t="shared" si="339"/>
        <v>27187.760416666668</v>
      </c>
      <c r="BU549" s="58">
        <f>BM549*3</f>
        <v>81563.28125</v>
      </c>
      <c r="BV549" s="58">
        <f t="shared" si="378"/>
        <v>81563.28125</v>
      </c>
      <c r="BW549" s="58">
        <f t="shared" si="366"/>
        <v>163126.5625</v>
      </c>
      <c r="BX549" s="58">
        <f t="shared" si="341"/>
        <v>81563.28125</v>
      </c>
      <c r="BY549" s="58">
        <f t="shared" si="350"/>
        <v>81563.28125</v>
      </c>
      <c r="BZ549" s="58">
        <f>BM549*3</f>
        <v>81563.28125</v>
      </c>
      <c r="CA549" s="58">
        <f t="shared" si="336"/>
        <v>81563.28125</v>
      </c>
      <c r="CB549" s="58">
        <f t="shared" si="360"/>
        <v>326253.125</v>
      </c>
      <c r="CC549" s="58">
        <f t="shared" si="361"/>
        <v>81563.28125</v>
      </c>
      <c r="CD549" s="58">
        <f>CC549</f>
        <v>81563.28125</v>
      </c>
      <c r="CE549" s="58">
        <f>CD549</f>
        <v>81563.28125</v>
      </c>
      <c r="CF549" s="58">
        <f>CE549</f>
        <v>81563.28125</v>
      </c>
      <c r="CG549" s="58">
        <f t="shared" si="362"/>
        <v>326253.125</v>
      </c>
      <c r="CH549" s="58">
        <f t="shared" si="342"/>
        <v>81563.28125</v>
      </c>
      <c r="CI549" s="58">
        <f t="shared" si="379"/>
        <v>81563.28125</v>
      </c>
      <c r="CJ549" s="58">
        <f t="shared" si="379"/>
        <v>81563.28125</v>
      </c>
      <c r="CK549" s="58">
        <f t="shared" si="379"/>
        <v>81563.28125</v>
      </c>
      <c r="CL549" s="58">
        <f t="shared" si="343"/>
        <v>326253.125</v>
      </c>
      <c r="CP549" s="2">
        <f t="shared" si="359"/>
        <v>2610025</v>
      </c>
    </row>
    <row r="550" spans="1:94" ht="16.5" hidden="1" x14ac:dyDescent="0.3">
      <c r="A550" s="2">
        <v>545</v>
      </c>
      <c r="B550" s="47" t="s">
        <v>21</v>
      </c>
      <c r="C550" s="47"/>
      <c r="D550" s="30" t="s">
        <v>1725</v>
      </c>
      <c r="E550" s="30" t="s">
        <v>1042</v>
      </c>
      <c r="F550" s="30" t="s">
        <v>1043</v>
      </c>
      <c r="G550" s="30" t="s">
        <v>117</v>
      </c>
      <c r="H550" s="30"/>
      <c r="I550" s="30" t="s">
        <v>119</v>
      </c>
      <c r="J550" s="30" t="s">
        <v>120</v>
      </c>
      <c r="K550" s="30" t="s">
        <v>121</v>
      </c>
      <c r="L550" s="30" t="s">
        <v>1741</v>
      </c>
      <c r="M550" s="30">
        <v>1004164</v>
      </c>
      <c r="N550" s="30" t="s">
        <v>138</v>
      </c>
      <c r="O550" s="30" t="s">
        <v>1776</v>
      </c>
      <c r="P550" s="30" t="s">
        <v>453</v>
      </c>
      <c r="Q550" s="30" t="s">
        <v>453</v>
      </c>
      <c r="R550" s="30" t="s">
        <v>173</v>
      </c>
      <c r="S550" s="30" t="s">
        <v>1777</v>
      </c>
      <c r="T550" s="30" t="s">
        <v>1752</v>
      </c>
      <c r="U550" s="30" t="s">
        <v>588</v>
      </c>
      <c r="V550" s="30" t="s">
        <v>415</v>
      </c>
      <c r="W550" s="30" t="s">
        <v>456</v>
      </c>
      <c r="X550" s="89" t="s">
        <v>1764</v>
      </c>
      <c r="Y550" s="143" t="s">
        <v>576</v>
      </c>
      <c r="Z550" s="143" t="s">
        <v>576</v>
      </c>
      <c r="AA550" s="20" t="s">
        <v>148</v>
      </c>
      <c r="AB550" s="72" t="s">
        <v>177</v>
      </c>
      <c r="AC550" s="48" t="s">
        <v>150</v>
      </c>
      <c r="AD550" s="30"/>
      <c r="AE550" s="30"/>
      <c r="AF550" s="48" t="s">
        <v>179</v>
      </c>
      <c r="AG550" s="48" t="s">
        <v>152</v>
      </c>
      <c r="AH550" s="30"/>
      <c r="AI550" s="30"/>
      <c r="AJ550" s="30"/>
      <c r="AK550" s="50">
        <v>41677</v>
      </c>
      <c r="AL550" s="51">
        <f t="shared" si="371"/>
        <v>11.736986301369862</v>
      </c>
      <c r="AM550" s="30">
        <v>8</v>
      </c>
      <c r="AN550" s="30"/>
      <c r="AO550" s="30" t="s">
        <v>1050</v>
      </c>
      <c r="AP550" s="30" t="s">
        <v>1051</v>
      </c>
      <c r="AQ550" s="30">
        <v>0.66</v>
      </c>
      <c r="AR550" s="30">
        <v>1487</v>
      </c>
      <c r="AS550" s="30">
        <v>1622</v>
      </c>
      <c r="AT550" s="30">
        <v>1423</v>
      </c>
      <c r="AU550" s="54">
        <v>213381987</v>
      </c>
      <c r="AV550" s="54"/>
      <c r="AW550" s="54"/>
      <c r="AX550" s="54"/>
      <c r="AY550" s="54">
        <v>213380987</v>
      </c>
      <c r="AZ550" s="54">
        <v>0</v>
      </c>
      <c r="BA550" s="54">
        <v>1000</v>
      </c>
      <c r="BB550" s="55">
        <f>VLOOKUP(M550,[1]Sheet1!$E$6:$F$556,2,FALSE)</f>
        <v>1000</v>
      </c>
      <c r="BC550" s="74"/>
      <c r="BD550" s="74"/>
      <c r="BE550" s="30"/>
      <c r="BF550" s="30" t="s">
        <v>1745</v>
      </c>
      <c r="BG550" s="30" t="s">
        <v>1746</v>
      </c>
      <c r="BH550" s="30" t="s">
        <v>136</v>
      </c>
      <c r="BI550" s="30" t="str">
        <f t="shared" si="358"/>
        <v>Test</v>
      </c>
      <c r="BJ550" s="47" t="s">
        <v>137</v>
      </c>
      <c r="BK550" s="67">
        <f t="shared" si="372"/>
        <v>4267639.74</v>
      </c>
      <c r="BL550" s="68">
        <f t="shared" si="338"/>
        <v>406828.624705058</v>
      </c>
      <c r="BM550" s="68">
        <f t="shared" si="339"/>
        <v>135609.54156835267</v>
      </c>
      <c r="BP550" s="69">
        <f>BM550*3</f>
        <v>406828.624705058</v>
      </c>
      <c r="BQ550" s="69">
        <f>BP550</f>
        <v>406828.624705058</v>
      </c>
      <c r="BR550" s="69">
        <f>SUM(BN550:BQ550)</f>
        <v>813657.249410116</v>
      </c>
      <c r="BS550" s="69">
        <f>BQ550</f>
        <v>406828.624705058</v>
      </c>
      <c r="BT550" s="69">
        <f t="shared" si="378"/>
        <v>406828.624705058</v>
      </c>
      <c r="BU550" s="100">
        <f t="shared" si="378"/>
        <v>406828.624705058</v>
      </c>
      <c r="BV550" s="100">
        <f t="shared" si="378"/>
        <v>406828.624705058</v>
      </c>
      <c r="BW550" s="100">
        <f t="shared" si="366"/>
        <v>1627314.498820232</v>
      </c>
      <c r="BX550" s="101">
        <f t="shared" si="341"/>
        <v>406828.624705058</v>
      </c>
      <c r="BY550" s="101">
        <f t="shared" si="350"/>
        <v>406828.624705058</v>
      </c>
      <c r="BZ550" s="18">
        <f t="shared" si="350"/>
        <v>406828.624705058</v>
      </c>
      <c r="CA550" s="18">
        <f t="shared" si="336"/>
        <v>406828.624705058</v>
      </c>
      <c r="CB550" s="70">
        <f t="shared" si="360"/>
        <v>1627314.498820232</v>
      </c>
      <c r="CC550" s="18">
        <f t="shared" si="361"/>
        <v>406828.624705058</v>
      </c>
      <c r="CD550" s="18">
        <f t="shared" ref="CD550:CF568" si="382">CC550</f>
        <v>406828.624705058</v>
      </c>
      <c r="CE550" s="18">
        <f t="shared" si="382"/>
        <v>406828.624705058</v>
      </c>
      <c r="CF550" s="18">
        <f t="shared" si="382"/>
        <v>406828.624705058</v>
      </c>
      <c r="CG550" s="70">
        <f t="shared" si="362"/>
        <v>1627314.498820232</v>
      </c>
      <c r="CH550" s="18">
        <f t="shared" si="342"/>
        <v>406828.624705058</v>
      </c>
      <c r="CI550" s="18">
        <f t="shared" si="379"/>
        <v>406828.624705058</v>
      </c>
      <c r="CJ550" s="18">
        <f t="shared" si="379"/>
        <v>406828.624705058</v>
      </c>
      <c r="CK550" s="18">
        <f t="shared" si="379"/>
        <v>406828.624705058</v>
      </c>
      <c r="CL550" s="70">
        <f t="shared" si="343"/>
        <v>1627314.498820232</v>
      </c>
      <c r="CM550" s="71"/>
      <c r="CN550" s="59">
        <f t="shared" ref="CN550:CN562" si="383">BK550/$CN$3</f>
        <v>4.167083928838979E-4</v>
      </c>
      <c r="CO550" s="64">
        <f t="shared" ref="CO550:CO562" si="384">CN550*$CO$4</f>
        <v>8750876.2505618557</v>
      </c>
      <c r="CP550" s="2">
        <f t="shared" si="359"/>
        <v>13018515.990561856</v>
      </c>
    </row>
    <row r="551" spans="1:94" ht="16.5" hidden="1" x14ac:dyDescent="0.3">
      <c r="A551" s="2">
        <v>546</v>
      </c>
      <c r="B551" s="47" t="s">
        <v>21</v>
      </c>
      <c r="C551" s="47"/>
      <c r="D551" s="30" t="s">
        <v>1725</v>
      </c>
      <c r="E551" s="30" t="s">
        <v>1042</v>
      </c>
      <c r="F551" s="30" t="s">
        <v>1043</v>
      </c>
      <c r="G551" s="30" t="s">
        <v>117</v>
      </c>
      <c r="H551" s="30"/>
      <c r="I551" s="30" t="s">
        <v>119</v>
      </c>
      <c r="J551" s="30" t="s">
        <v>120</v>
      </c>
      <c r="K551" s="30" t="s">
        <v>121</v>
      </c>
      <c r="L551" s="30" t="s">
        <v>1741</v>
      </c>
      <c r="M551" s="30">
        <v>1006665</v>
      </c>
      <c r="N551" s="30" t="s">
        <v>138</v>
      </c>
      <c r="O551" s="30" t="s">
        <v>1778</v>
      </c>
      <c r="P551" s="30" t="s">
        <v>453</v>
      </c>
      <c r="Q551" s="30" t="s">
        <v>453</v>
      </c>
      <c r="R551" s="30" t="s">
        <v>173</v>
      </c>
      <c r="S551" s="30" t="s">
        <v>1779</v>
      </c>
      <c r="T551" s="30" t="s">
        <v>1780</v>
      </c>
      <c r="U551" s="30" t="s">
        <v>588</v>
      </c>
      <c r="V551" s="30" t="s">
        <v>600</v>
      </c>
      <c r="W551" s="30" t="s">
        <v>456</v>
      </c>
      <c r="X551" s="89" t="s">
        <v>1764</v>
      </c>
      <c r="Y551" s="143" t="s">
        <v>576</v>
      </c>
      <c r="Z551" s="143" t="s">
        <v>576</v>
      </c>
      <c r="AA551" s="20" t="s">
        <v>148</v>
      </c>
      <c r="AB551" s="72" t="s">
        <v>177</v>
      </c>
      <c r="AC551" s="48" t="s">
        <v>150</v>
      </c>
      <c r="AD551" s="30"/>
      <c r="AE551" s="30"/>
      <c r="AF551" s="48" t="s">
        <v>179</v>
      </c>
      <c r="AG551" s="48" t="s">
        <v>152</v>
      </c>
      <c r="AH551" s="30"/>
      <c r="AI551" s="30"/>
      <c r="AJ551" s="30"/>
      <c r="AK551" s="50">
        <v>44446</v>
      </c>
      <c r="AL551" s="51">
        <f t="shared" si="371"/>
        <v>4.1506849315068495</v>
      </c>
      <c r="AM551" s="30">
        <v>8</v>
      </c>
      <c r="AN551" s="30"/>
      <c r="AO551" s="30" t="s">
        <v>1050</v>
      </c>
      <c r="AP551" s="30" t="s">
        <v>1187</v>
      </c>
      <c r="AQ551" s="30">
        <v>0.66</v>
      </c>
      <c r="AR551" s="30">
        <v>1487</v>
      </c>
      <c r="AS551" s="30">
        <v>1622</v>
      </c>
      <c r="AT551" s="30">
        <v>1423</v>
      </c>
      <c r="AU551" s="54">
        <v>166295808</v>
      </c>
      <c r="AV551" s="54"/>
      <c r="AW551" s="54"/>
      <c r="AX551" s="54"/>
      <c r="AY551" s="54">
        <v>81415656</v>
      </c>
      <c r="AZ551" s="54">
        <v>1732248</v>
      </c>
      <c r="BA551" s="54">
        <v>79683408</v>
      </c>
      <c r="BB551" s="55">
        <f>VLOOKUP(M551,[1]Sheet1!$E$6:$F$556,2,FALSE)</f>
        <v>16382328</v>
      </c>
      <c r="BC551" s="74"/>
      <c r="BD551" s="74"/>
      <c r="BE551" s="30"/>
      <c r="BF551" s="30" t="s">
        <v>1739</v>
      </c>
      <c r="BG551" s="30" t="s">
        <v>1746</v>
      </c>
      <c r="BH551" s="30" t="s">
        <v>136</v>
      </c>
      <c r="BI551" s="30" t="str">
        <f t="shared" si="358"/>
        <v>Test</v>
      </c>
      <c r="BJ551" s="47" t="s">
        <v>137</v>
      </c>
      <c r="BK551" s="67">
        <f t="shared" si="372"/>
        <v>83667578.400000006</v>
      </c>
      <c r="BL551" s="68">
        <f t="shared" si="338"/>
        <v>7975922.9753715387</v>
      </c>
      <c r="BM551" s="68">
        <f t="shared" si="339"/>
        <v>2658640.991790513</v>
      </c>
      <c r="BP551" s="69">
        <f>BM551*3</f>
        <v>7975922.9753715396</v>
      </c>
      <c r="BQ551" s="69">
        <f>BP551</f>
        <v>7975922.9753715396</v>
      </c>
      <c r="BR551" s="69">
        <f>SUM(BN551:BQ551)</f>
        <v>15951845.950743079</v>
      </c>
      <c r="BS551" s="69">
        <f>BQ551</f>
        <v>7975922.9753715396</v>
      </c>
      <c r="BT551" s="69">
        <f t="shared" si="378"/>
        <v>7975922.9753715396</v>
      </c>
      <c r="BU551" s="100">
        <f t="shared" si="378"/>
        <v>7975922.9753715396</v>
      </c>
      <c r="BV551" s="100">
        <f t="shared" si="378"/>
        <v>7975922.9753715396</v>
      </c>
      <c r="BW551" s="100">
        <f t="shared" si="366"/>
        <v>31903691.901486158</v>
      </c>
      <c r="BX551" s="101">
        <f t="shared" si="341"/>
        <v>7975922.9753715396</v>
      </c>
      <c r="BY551" s="101">
        <f t="shared" si="350"/>
        <v>7975922.9753715396</v>
      </c>
      <c r="BZ551" s="18">
        <f t="shared" si="350"/>
        <v>7975922.9753715396</v>
      </c>
      <c r="CA551" s="18">
        <f t="shared" si="350"/>
        <v>7975922.9753715396</v>
      </c>
      <c r="CB551" s="70">
        <f t="shared" si="360"/>
        <v>31903691.901486158</v>
      </c>
      <c r="CC551" s="18">
        <f t="shared" si="361"/>
        <v>7975922.9753715396</v>
      </c>
      <c r="CD551" s="18">
        <f t="shared" si="382"/>
        <v>7975922.9753715396</v>
      </c>
      <c r="CE551" s="18">
        <f t="shared" si="382"/>
        <v>7975922.9753715396</v>
      </c>
      <c r="CF551" s="18">
        <f t="shared" si="382"/>
        <v>7975922.9753715396</v>
      </c>
      <c r="CG551" s="70">
        <f t="shared" si="362"/>
        <v>31903691.901486158</v>
      </c>
      <c r="CH551" s="18">
        <f t="shared" si="342"/>
        <v>7975922.9753715396</v>
      </c>
      <c r="CI551" s="18">
        <f t="shared" si="379"/>
        <v>7975922.9753715396</v>
      </c>
      <c r="CJ551" s="18">
        <f t="shared" si="379"/>
        <v>7975922.9753715396</v>
      </c>
      <c r="CK551" s="18">
        <f t="shared" si="379"/>
        <v>7975922.9753715396</v>
      </c>
      <c r="CL551" s="70">
        <f t="shared" si="343"/>
        <v>31903691.901486158</v>
      </c>
      <c r="CM551" s="71"/>
      <c r="CN551" s="59">
        <f t="shared" si="383"/>
        <v>8.1696169910423447E-3</v>
      </c>
      <c r="CO551" s="64">
        <f t="shared" si="384"/>
        <v>171561956.81188923</v>
      </c>
      <c r="CP551" s="2">
        <f t="shared" si="359"/>
        <v>255229535.21188924</v>
      </c>
    </row>
    <row r="552" spans="1:94" ht="16.5" hidden="1" x14ac:dyDescent="0.3">
      <c r="A552" s="2">
        <v>547</v>
      </c>
      <c r="B552" s="47" t="s">
        <v>21</v>
      </c>
      <c r="C552" s="47"/>
      <c r="D552" s="30" t="s">
        <v>1725</v>
      </c>
      <c r="E552" s="30" t="s">
        <v>1042</v>
      </c>
      <c r="F552" s="30" t="s">
        <v>1043</v>
      </c>
      <c r="G552" s="30" t="s">
        <v>117</v>
      </c>
      <c r="H552" s="30"/>
      <c r="I552" s="30" t="s">
        <v>119</v>
      </c>
      <c r="J552" s="30" t="s">
        <v>120</v>
      </c>
      <c r="K552" s="30" t="s">
        <v>121</v>
      </c>
      <c r="L552" s="30" t="s">
        <v>1741</v>
      </c>
      <c r="M552" s="30">
        <v>1005162</v>
      </c>
      <c r="N552" s="30" t="s">
        <v>138</v>
      </c>
      <c r="O552" s="30" t="s">
        <v>1781</v>
      </c>
      <c r="P552" s="30" t="s">
        <v>453</v>
      </c>
      <c r="Q552" s="30" t="s">
        <v>453</v>
      </c>
      <c r="R552" s="30" t="s">
        <v>173</v>
      </c>
      <c r="S552" s="30" t="s">
        <v>1782</v>
      </c>
      <c r="T552" s="30" t="s">
        <v>1780</v>
      </c>
      <c r="U552" s="30" t="s">
        <v>588</v>
      </c>
      <c r="V552" s="30" t="s">
        <v>600</v>
      </c>
      <c r="W552" s="30" t="s">
        <v>456</v>
      </c>
      <c r="X552" s="89" t="s">
        <v>1757</v>
      </c>
      <c r="Y552" s="30" t="s">
        <v>576</v>
      </c>
      <c r="Z552" s="30" t="s">
        <v>576</v>
      </c>
      <c r="AA552" s="20" t="s">
        <v>148</v>
      </c>
      <c r="AB552" s="72" t="s">
        <v>177</v>
      </c>
      <c r="AC552" s="48" t="s">
        <v>150</v>
      </c>
      <c r="AD552" s="30"/>
      <c r="AE552" s="30"/>
      <c r="AF552" s="48" t="s">
        <v>179</v>
      </c>
      <c r="AG552" s="48" t="s">
        <v>152</v>
      </c>
      <c r="AH552" s="30"/>
      <c r="AI552" s="30"/>
      <c r="AJ552" s="30"/>
      <c r="AK552" s="50">
        <v>42964</v>
      </c>
      <c r="AL552" s="51">
        <f t="shared" si="371"/>
        <v>8.2109589041095887</v>
      </c>
      <c r="AM552" s="30">
        <v>8</v>
      </c>
      <c r="AN552" s="30"/>
      <c r="AO552" s="30" t="s">
        <v>1050</v>
      </c>
      <c r="AP552" s="30" t="s">
        <v>1051</v>
      </c>
      <c r="AQ552" s="30">
        <v>0.66</v>
      </c>
      <c r="AR552" s="30">
        <v>1487</v>
      </c>
      <c r="AS552" s="30">
        <v>1622</v>
      </c>
      <c r="AT552" s="30">
        <v>1423</v>
      </c>
      <c r="AU552" s="54">
        <v>195424482</v>
      </c>
      <c r="AV552" s="54"/>
      <c r="AW552" s="54"/>
      <c r="AX552" s="54"/>
      <c r="AY552" s="54">
        <v>180555930</v>
      </c>
      <c r="AZ552" s="54">
        <v>1990776</v>
      </c>
      <c r="BA552" s="54">
        <v>8896224</v>
      </c>
      <c r="BB552" s="55">
        <f>VLOOKUP(M552,[1]Sheet1!$E$6:$F$556,2,FALSE)</f>
        <v>1000</v>
      </c>
      <c r="BC552" s="74"/>
      <c r="BD552" s="74"/>
      <c r="BE552" s="30"/>
      <c r="BF552" s="30" t="s">
        <v>1739</v>
      </c>
      <c r="BG552" s="30" t="s">
        <v>1746</v>
      </c>
      <c r="BH552" s="30" t="s">
        <v>136</v>
      </c>
      <c r="BI552" s="30" t="str">
        <f t="shared" si="358"/>
        <v>Test</v>
      </c>
      <c r="BJ552" s="47" t="s">
        <v>137</v>
      </c>
      <c r="BK552" s="56">
        <f t="shared" si="372"/>
        <v>9341035.2000000011</v>
      </c>
      <c r="BL552" s="57">
        <f t="shared" si="338"/>
        <v>890468.90910654445</v>
      </c>
      <c r="BM552" s="57">
        <f t="shared" si="339"/>
        <v>296822.96970218146</v>
      </c>
      <c r="BU552" s="58">
        <f>BM552*3</f>
        <v>890468.90910654445</v>
      </c>
      <c r="BV552" s="58">
        <f t="shared" si="378"/>
        <v>890468.90910654445</v>
      </c>
      <c r="BW552" s="58">
        <f t="shared" si="366"/>
        <v>1780937.8182130889</v>
      </c>
      <c r="BX552" s="58">
        <f t="shared" si="341"/>
        <v>890468.90910654445</v>
      </c>
      <c r="BY552" s="58">
        <f t="shared" si="350"/>
        <v>890468.90910654445</v>
      </c>
      <c r="BZ552" s="58">
        <f>BM552*3</f>
        <v>890468.90910654445</v>
      </c>
      <c r="CA552" s="58">
        <f t="shared" si="350"/>
        <v>890468.90910654445</v>
      </c>
      <c r="CB552" s="58">
        <f t="shared" si="360"/>
        <v>3561875.6364261778</v>
      </c>
      <c r="CC552" s="58">
        <f t="shared" si="361"/>
        <v>890468.90910654445</v>
      </c>
      <c r="CD552" s="58">
        <f t="shared" si="382"/>
        <v>890468.90910654445</v>
      </c>
      <c r="CE552" s="58">
        <f t="shared" si="382"/>
        <v>890468.90910654445</v>
      </c>
      <c r="CF552" s="58">
        <f t="shared" si="382"/>
        <v>890468.90910654445</v>
      </c>
      <c r="CG552" s="58">
        <f t="shared" si="362"/>
        <v>3561875.6364261778</v>
      </c>
      <c r="CH552" s="58">
        <f t="shared" si="342"/>
        <v>890468.90910654445</v>
      </c>
      <c r="CI552" s="58">
        <f t="shared" si="379"/>
        <v>890468.90910654445</v>
      </c>
      <c r="CJ552" s="58">
        <f t="shared" si="379"/>
        <v>890468.90910654445</v>
      </c>
      <c r="CK552" s="58">
        <f t="shared" si="379"/>
        <v>890468.90910654445</v>
      </c>
      <c r="CL552" s="58">
        <f t="shared" si="343"/>
        <v>3561875.6364261778</v>
      </c>
      <c r="CN552" s="59">
        <f t="shared" si="383"/>
        <v>9.1209380435282946E-4</v>
      </c>
      <c r="CO552" s="64">
        <f t="shared" si="384"/>
        <v>19153969.891409419</v>
      </c>
      <c r="CP552" s="2">
        <f t="shared" si="359"/>
        <v>28495005.091409422</v>
      </c>
    </row>
    <row r="553" spans="1:94" ht="16.5" hidden="1" x14ac:dyDescent="0.3">
      <c r="A553" s="2">
        <v>548</v>
      </c>
      <c r="B553" s="47" t="s">
        <v>21</v>
      </c>
      <c r="C553" s="47"/>
      <c r="D553" s="30" t="s">
        <v>1725</v>
      </c>
      <c r="E553" s="30" t="s">
        <v>1042</v>
      </c>
      <c r="F553" s="30" t="s">
        <v>1043</v>
      </c>
      <c r="G553" s="30" t="s">
        <v>117</v>
      </c>
      <c r="H553" s="30"/>
      <c r="I553" s="30" t="s">
        <v>119</v>
      </c>
      <c r="J553" s="30" t="s">
        <v>120</v>
      </c>
      <c r="K553" s="30" t="s">
        <v>121</v>
      </c>
      <c r="L553" s="30" t="s">
        <v>1741</v>
      </c>
      <c r="M553" s="30">
        <v>1004523</v>
      </c>
      <c r="N553" s="30" t="s">
        <v>138</v>
      </c>
      <c r="O553" s="30" t="s">
        <v>1783</v>
      </c>
      <c r="P553" s="30" t="s">
        <v>453</v>
      </c>
      <c r="Q553" s="30" t="s">
        <v>453</v>
      </c>
      <c r="R553" s="30" t="s">
        <v>173</v>
      </c>
      <c r="S553" s="30" t="s">
        <v>1784</v>
      </c>
      <c r="T553" s="30" t="s">
        <v>1780</v>
      </c>
      <c r="U553" s="30" t="s">
        <v>588</v>
      </c>
      <c r="V553" s="30" t="s">
        <v>600</v>
      </c>
      <c r="W553" s="30" t="s">
        <v>456</v>
      </c>
      <c r="X553" s="89" t="s">
        <v>1764</v>
      </c>
      <c r="Y553" s="143" t="s">
        <v>576</v>
      </c>
      <c r="Z553" s="143" t="s">
        <v>576</v>
      </c>
      <c r="AA553" s="20" t="s">
        <v>148</v>
      </c>
      <c r="AB553" s="72" t="s">
        <v>177</v>
      </c>
      <c r="AC553" s="48" t="s">
        <v>150</v>
      </c>
      <c r="AD553" s="30"/>
      <c r="AE553" s="30"/>
      <c r="AF553" s="48" t="s">
        <v>179</v>
      </c>
      <c r="AG553" s="48" t="s">
        <v>152</v>
      </c>
      <c r="AH553" s="30"/>
      <c r="AI553" s="30"/>
      <c r="AJ553" s="30"/>
      <c r="AK553" s="50">
        <v>42033</v>
      </c>
      <c r="AL553" s="51">
        <f t="shared" si="371"/>
        <v>10.761643835616438</v>
      </c>
      <c r="AM553" s="30">
        <v>8</v>
      </c>
      <c r="AN553" s="30"/>
      <c r="AO553" s="30" t="s">
        <v>1050</v>
      </c>
      <c r="AP553" s="30" t="s">
        <v>1051</v>
      </c>
      <c r="AQ553" s="30">
        <v>0.66</v>
      </c>
      <c r="AR553" s="30">
        <v>1487</v>
      </c>
      <c r="AS553" s="30">
        <v>1622</v>
      </c>
      <c r="AT553" s="30">
        <v>1423</v>
      </c>
      <c r="AU553" s="54">
        <v>126206983</v>
      </c>
      <c r="AV553" s="54"/>
      <c r="AW553" s="54"/>
      <c r="AX553" s="54"/>
      <c r="AY553" s="54">
        <v>126205983</v>
      </c>
      <c r="AZ553" s="54">
        <v>452316</v>
      </c>
      <c r="BA553" s="54">
        <v>1000</v>
      </c>
      <c r="BB553" s="55">
        <f>VLOOKUP(M553,[1]Sheet1!$E$6:$F$556,2,FALSE)</f>
        <v>1000</v>
      </c>
      <c r="BC553" s="74"/>
      <c r="BD553" s="74"/>
      <c r="BE553" s="30"/>
      <c r="BF553" s="30" t="s">
        <v>1745</v>
      </c>
      <c r="BG553" s="30" t="s">
        <v>1746</v>
      </c>
      <c r="BH553" s="30" t="s">
        <v>136</v>
      </c>
      <c r="BI553" s="30" t="str">
        <f t="shared" si="358"/>
        <v>Test</v>
      </c>
      <c r="BJ553" s="47" t="s">
        <v>137</v>
      </c>
      <c r="BK553" s="67">
        <f t="shared" si="372"/>
        <v>2524139.66</v>
      </c>
      <c r="BL553" s="68">
        <f t="shared" si="338"/>
        <v>240622.99748883976</v>
      </c>
      <c r="BM553" s="68">
        <f t="shared" si="339"/>
        <v>80207.665829613252</v>
      </c>
      <c r="BP553" s="69">
        <f>BM553*3</f>
        <v>240622.99748883976</v>
      </c>
      <c r="BQ553" s="69">
        <f>BP553</f>
        <v>240622.99748883976</v>
      </c>
      <c r="BR553" s="69">
        <f>SUM(BN553:BQ553)</f>
        <v>481245.99497767951</v>
      </c>
      <c r="BS553" s="69">
        <f>BQ553</f>
        <v>240622.99748883976</v>
      </c>
      <c r="BT553" s="69">
        <f t="shared" si="378"/>
        <v>240622.99748883976</v>
      </c>
      <c r="BU553" s="100">
        <f t="shared" si="378"/>
        <v>240622.99748883976</v>
      </c>
      <c r="BV553" s="100">
        <f t="shared" si="378"/>
        <v>240622.99748883976</v>
      </c>
      <c r="BW553" s="100">
        <f t="shared" si="366"/>
        <v>962491.98995535902</v>
      </c>
      <c r="BX553" s="101">
        <f t="shared" si="341"/>
        <v>240622.99748883976</v>
      </c>
      <c r="BY553" s="101">
        <f t="shared" si="350"/>
        <v>240622.99748883976</v>
      </c>
      <c r="BZ553" s="18">
        <f t="shared" si="350"/>
        <v>240622.99748883976</v>
      </c>
      <c r="CA553" s="18">
        <f t="shared" si="350"/>
        <v>240622.99748883976</v>
      </c>
      <c r="CB553" s="70">
        <f t="shared" si="360"/>
        <v>962491.98995535902</v>
      </c>
      <c r="CC553" s="18">
        <f t="shared" si="361"/>
        <v>240622.99748883976</v>
      </c>
      <c r="CD553" s="18">
        <f t="shared" si="382"/>
        <v>240622.99748883976</v>
      </c>
      <c r="CE553" s="18">
        <f t="shared" si="382"/>
        <v>240622.99748883976</v>
      </c>
      <c r="CF553" s="18">
        <f t="shared" si="382"/>
        <v>240622.99748883976</v>
      </c>
      <c r="CG553" s="70">
        <f t="shared" si="362"/>
        <v>962491.98995535902</v>
      </c>
      <c r="CH553" s="18">
        <f t="shared" si="342"/>
        <v>240622.99748883976</v>
      </c>
      <c r="CI553" s="18">
        <f t="shared" si="379"/>
        <v>240622.99748883976</v>
      </c>
      <c r="CJ553" s="18">
        <f t="shared" si="379"/>
        <v>240622.99748883976</v>
      </c>
      <c r="CK553" s="18">
        <f t="shared" si="379"/>
        <v>240622.99748883976</v>
      </c>
      <c r="CL553" s="70">
        <f t="shared" si="343"/>
        <v>962491.98995535902</v>
      </c>
      <c r="CM553" s="71"/>
      <c r="CN553" s="59">
        <f t="shared" si="383"/>
        <v>2.4646648855442248E-4</v>
      </c>
      <c r="CO553" s="64">
        <f t="shared" si="384"/>
        <v>5175796.259642872</v>
      </c>
      <c r="CP553" s="2">
        <f t="shared" si="359"/>
        <v>7699935.9196428722</v>
      </c>
    </row>
    <row r="554" spans="1:94" ht="16.5" hidden="1" x14ac:dyDescent="0.3">
      <c r="A554" s="2">
        <v>549</v>
      </c>
      <c r="B554" s="47" t="s">
        <v>21</v>
      </c>
      <c r="C554" s="47"/>
      <c r="D554" s="30" t="s">
        <v>1725</v>
      </c>
      <c r="E554" s="30" t="s">
        <v>1042</v>
      </c>
      <c r="F554" s="30" t="s">
        <v>1043</v>
      </c>
      <c r="G554" s="30" t="s">
        <v>117</v>
      </c>
      <c r="H554" s="30"/>
      <c r="I554" s="30" t="s">
        <v>119</v>
      </c>
      <c r="J554" s="30" t="s">
        <v>120</v>
      </c>
      <c r="K554" s="30" t="s">
        <v>121</v>
      </c>
      <c r="L554" s="30" t="s">
        <v>1741</v>
      </c>
      <c r="M554" s="30">
        <v>1004236</v>
      </c>
      <c r="N554" s="30" t="s">
        <v>138</v>
      </c>
      <c r="O554" s="30" t="s">
        <v>1785</v>
      </c>
      <c r="P554" s="30" t="s">
        <v>453</v>
      </c>
      <c r="Q554" s="30" t="s">
        <v>453</v>
      </c>
      <c r="R554" s="30" t="s">
        <v>173</v>
      </c>
      <c r="S554" s="30" t="s">
        <v>1786</v>
      </c>
      <c r="T554" s="30" t="s">
        <v>1780</v>
      </c>
      <c r="U554" s="30" t="s">
        <v>588</v>
      </c>
      <c r="V554" s="30" t="s">
        <v>415</v>
      </c>
      <c r="W554" s="30" t="s">
        <v>456</v>
      </c>
      <c r="X554" s="89" t="s">
        <v>1764</v>
      </c>
      <c r="Y554" s="143" t="s">
        <v>576</v>
      </c>
      <c r="Z554" s="143" t="s">
        <v>576</v>
      </c>
      <c r="AA554" s="20" t="s">
        <v>148</v>
      </c>
      <c r="AB554" s="72" t="s">
        <v>177</v>
      </c>
      <c r="AC554" s="48" t="s">
        <v>150</v>
      </c>
      <c r="AD554" s="30"/>
      <c r="AE554" s="30"/>
      <c r="AF554" s="48" t="s">
        <v>179</v>
      </c>
      <c r="AG554" s="48" t="s">
        <v>152</v>
      </c>
      <c r="AH554" s="30"/>
      <c r="AI554" s="30"/>
      <c r="AJ554" s="30"/>
      <c r="AK554" s="50">
        <v>41716</v>
      </c>
      <c r="AL554" s="51">
        <f t="shared" si="371"/>
        <v>11.63013698630137</v>
      </c>
      <c r="AM554" s="30">
        <v>8</v>
      </c>
      <c r="AN554" s="30"/>
      <c r="AO554" s="30" t="s">
        <v>1050</v>
      </c>
      <c r="AP554" s="30" t="s">
        <v>1051</v>
      </c>
      <c r="AQ554" s="30">
        <v>0.66</v>
      </c>
      <c r="AR554" s="30">
        <v>1487</v>
      </c>
      <c r="AS554" s="30">
        <v>1622</v>
      </c>
      <c r="AT554" s="30">
        <v>1423</v>
      </c>
      <c r="AU554" s="54">
        <v>223010685</v>
      </c>
      <c r="AV554" s="54"/>
      <c r="AW554" s="54"/>
      <c r="AX554" s="54"/>
      <c r="AY554" s="54">
        <v>223009685</v>
      </c>
      <c r="AZ554" s="54">
        <v>1660165</v>
      </c>
      <c r="BA554" s="54">
        <v>1000</v>
      </c>
      <c r="BB554" s="55">
        <f>VLOOKUP(M554,[1]Sheet1!$E$6:$F$556,2,FALSE)</f>
        <v>1000</v>
      </c>
      <c r="BC554" s="74"/>
      <c r="BD554" s="74"/>
      <c r="BE554" s="30"/>
      <c r="BF554" s="30" t="s">
        <v>1745</v>
      </c>
      <c r="BG554" s="30" t="s">
        <v>1746</v>
      </c>
      <c r="BH554" s="30" t="s">
        <v>136</v>
      </c>
      <c r="BI554" s="30" t="str">
        <f t="shared" si="358"/>
        <v>Test</v>
      </c>
      <c r="BJ554" s="47" t="s">
        <v>137</v>
      </c>
      <c r="BK554" s="67">
        <f t="shared" si="372"/>
        <v>4460213.7</v>
      </c>
      <c r="BL554" s="68">
        <f t="shared" si="338"/>
        <v>425186.45340519259</v>
      </c>
      <c r="BM554" s="68">
        <f t="shared" si="339"/>
        <v>141728.81780173085</v>
      </c>
      <c r="BP554" s="69">
        <f>BM554*3</f>
        <v>425186.45340519259</v>
      </c>
      <c r="BQ554" s="69">
        <f>BP554</f>
        <v>425186.45340519259</v>
      </c>
      <c r="BR554" s="69">
        <f>SUM(BN554:BQ554)</f>
        <v>850372.90681038518</v>
      </c>
      <c r="BS554" s="69">
        <f>BQ554</f>
        <v>425186.45340519259</v>
      </c>
      <c r="BT554" s="69">
        <f t="shared" si="378"/>
        <v>425186.45340519259</v>
      </c>
      <c r="BU554" s="100">
        <f t="shared" si="378"/>
        <v>425186.45340519259</v>
      </c>
      <c r="BV554" s="100">
        <f t="shared" si="378"/>
        <v>425186.45340519259</v>
      </c>
      <c r="BW554" s="100">
        <f t="shared" si="366"/>
        <v>1700745.8136207704</v>
      </c>
      <c r="BX554" s="101">
        <f t="shared" si="341"/>
        <v>425186.45340519259</v>
      </c>
      <c r="BY554" s="101">
        <f t="shared" si="350"/>
        <v>425186.45340519259</v>
      </c>
      <c r="BZ554" s="18">
        <f t="shared" si="350"/>
        <v>425186.45340519259</v>
      </c>
      <c r="CA554" s="18">
        <f t="shared" si="350"/>
        <v>425186.45340519259</v>
      </c>
      <c r="CB554" s="70">
        <f t="shared" si="360"/>
        <v>1700745.8136207704</v>
      </c>
      <c r="CC554" s="18">
        <f t="shared" si="361"/>
        <v>425186.45340519259</v>
      </c>
      <c r="CD554" s="18">
        <f t="shared" si="382"/>
        <v>425186.45340519259</v>
      </c>
      <c r="CE554" s="18">
        <f t="shared" si="382"/>
        <v>425186.45340519259</v>
      </c>
      <c r="CF554" s="18">
        <f t="shared" si="382"/>
        <v>425186.45340519259</v>
      </c>
      <c r="CG554" s="70">
        <f t="shared" si="362"/>
        <v>1700745.8136207704</v>
      </c>
      <c r="CH554" s="18">
        <f t="shared" si="342"/>
        <v>425186.45340519259</v>
      </c>
      <c r="CI554" s="18">
        <f t="shared" si="379"/>
        <v>425186.45340519259</v>
      </c>
      <c r="CJ554" s="18">
        <f t="shared" si="379"/>
        <v>425186.45340519259</v>
      </c>
      <c r="CK554" s="18">
        <f t="shared" si="379"/>
        <v>425186.45340519259</v>
      </c>
      <c r="CL554" s="70">
        <f t="shared" si="343"/>
        <v>1700745.8136207704</v>
      </c>
      <c r="CM554" s="71"/>
      <c r="CN554" s="59">
        <f t="shared" si="383"/>
        <v>4.3551203852219822E-4</v>
      </c>
      <c r="CO554" s="64">
        <f t="shared" si="384"/>
        <v>9145752.8089661635</v>
      </c>
      <c r="CP554" s="2">
        <f t="shared" si="359"/>
        <v>13605966.508966163</v>
      </c>
    </row>
    <row r="555" spans="1:94" ht="16.5" hidden="1" x14ac:dyDescent="0.3">
      <c r="A555" s="2">
        <v>550</v>
      </c>
      <c r="B555" s="47" t="s">
        <v>21</v>
      </c>
      <c r="C555" s="47"/>
      <c r="D555" s="30" t="s">
        <v>1725</v>
      </c>
      <c r="E555" s="30" t="s">
        <v>1042</v>
      </c>
      <c r="F555" s="30" t="s">
        <v>1043</v>
      </c>
      <c r="G555" s="30" t="s">
        <v>117</v>
      </c>
      <c r="H555" s="30"/>
      <c r="I555" s="30" t="s">
        <v>119</v>
      </c>
      <c r="J555" s="30" t="s">
        <v>120</v>
      </c>
      <c r="K555" s="30" t="s">
        <v>121</v>
      </c>
      <c r="L555" s="30" t="s">
        <v>1741</v>
      </c>
      <c r="M555" s="30">
        <v>1004524</v>
      </c>
      <c r="N555" s="30" t="s">
        <v>138</v>
      </c>
      <c r="O555" s="30" t="s">
        <v>1787</v>
      </c>
      <c r="P555" s="30" t="s">
        <v>453</v>
      </c>
      <c r="Q555" s="30" t="s">
        <v>453</v>
      </c>
      <c r="R555" s="30" t="s">
        <v>173</v>
      </c>
      <c r="S555" s="30" t="s">
        <v>1788</v>
      </c>
      <c r="T555" s="30" t="s">
        <v>1780</v>
      </c>
      <c r="U555" s="30" t="s">
        <v>588</v>
      </c>
      <c r="V555" s="30" t="s">
        <v>600</v>
      </c>
      <c r="W555" s="30" t="s">
        <v>456</v>
      </c>
      <c r="X555" s="89" t="s">
        <v>1764</v>
      </c>
      <c r="Y555" s="143" t="s">
        <v>576</v>
      </c>
      <c r="Z555" s="143" t="s">
        <v>576</v>
      </c>
      <c r="AA555" s="20" t="s">
        <v>148</v>
      </c>
      <c r="AB555" s="72" t="s">
        <v>177</v>
      </c>
      <c r="AC555" s="48" t="s">
        <v>150</v>
      </c>
      <c r="AD555" s="30"/>
      <c r="AE555" s="30"/>
      <c r="AF555" s="48" t="s">
        <v>179</v>
      </c>
      <c r="AG555" s="48" t="s">
        <v>152</v>
      </c>
      <c r="AH555" s="30"/>
      <c r="AI555" s="30"/>
      <c r="AJ555" s="30"/>
      <c r="AK555" s="50">
        <v>42063</v>
      </c>
      <c r="AL555" s="51">
        <f t="shared" si="371"/>
        <v>10.67945205479452</v>
      </c>
      <c r="AM555" s="30">
        <v>8</v>
      </c>
      <c r="AN555" s="30"/>
      <c r="AO555" s="30" t="s">
        <v>1050</v>
      </c>
      <c r="AP555" s="30" t="s">
        <v>1051</v>
      </c>
      <c r="AQ555" s="30">
        <v>0.66</v>
      </c>
      <c r="AR555" s="30">
        <v>1487</v>
      </c>
      <c r="AS555" s="30">
        <v>1622</v>
      </c>
      <c r="AT555" s="30">
        <v>1423</v>
      </c>
      <c r="AU555" s="54">
        <v>194456302</v>
      </c>
      <c r="AV555" s="54"/>
      <c r="AW555" s="54"/>
      <c r="AX555" s="54"/>
      <c r="AY555" s="54">
        <v>194455302</v>
      </c>
      <c r="AZ555" s="54">
        <v>1645974</v>
      </c>
      <c r="BA555" s="54">
        <v>1000</v>
      </c>
      <c r="BB555" s="55">
        <f>VLOOKUP(M555,[1]Sheet1!$E$6:$F$556,2,FALSE)</f>
        <v>1000</v>
      </c>
      <c r="BC555" s="74"/>
      <c r="BD555" s="74"/>
      <c r="BE555" s="30"/>
      <c r="BF555" s="30" t="s">
        <v>1745</v>
      </c>
      <c r="BG555" s="30" t="s">
        <v>1746</v>
      </c>
      <c r="BH555" s="30" t="s">
        <v>136</v>
      </c>
      <c r="BI555" s="30" t="str">
        <f t="shared" si="358"/>
        <v>Test</v>
      </c>
      <c r="BJ555" s="47" t="s">
        <v>137</v>
      </c>
      <c r="BK555" s="67">
        <f t="shared" si="372"/>
        <v>3889126.04</v>
      </c>
      <c r="BL555" s="68">
        <f t="shared" ref="BL555:BL618" si="385">CP555/$BL$1/4</f>
        <v>370745.39899139386</v>
      </c>
      <c r="BM555" s="68">
        <f t="shared" ref="BM555:BM618" si="386">CP555/$BL$1/12</f>
        <v>123581.79966379795</v>
      </c>
      <c r="BP555" s="69">
        <f t="shared" ref="BP555:BP607" si="387">BM555*3</f>
        <v>370745.39899139386</v>
      </c>
      <c r="BQ555" s="69">
        <f t="shared" ref="BQ555:BQ607" si="388">BP555</f>
        <v>370745.39899139386</v>
      </c>
      <c r="BR555" s="69">
        <f>SUM(BN555:BQ555)</f>
        <v>741490.79798278771</v>
      </c>
      <c r="BS555" s="69">
        <f t="shared" ref="BS555:BS607" si="389">BQ555</f>
        <v>370745.39899139386</v>
      </c>
      <c r="BT555" s="69">
        <f t="shared" ref="BT555:BV570" si="390">BS555</f>
        <v>370745.39899139386</v>
      </c>
      <c r="BU555" s="100">
        <f t="shared" si="390"/>
        <v>370745.39899139386</v>
      </c>
      <c r="BV555" s="100">
        <f t="shared" si="390"/>
        <v>370745.39899139386</v>
      </c>
      <c r="BW555" s="100">
        <f t="shared" si="366"/>
        <v>1482981.5959655754</v>
      </c>
      <c r="BX555" s="101">
        <f t="shared" si="341"/>
        <v>370745.39899139386</v>
      </c>
      <c r="BY555" s="101">
        <f t="shared" si="350"/>
        <v>370745.39899139386</v>
      </c>
      <c r="BZ555" s="18">
        <f t="shared" si="350"/>
        <v>370745.39899139386</v>
      </c>
      <c r="CA555" s="18">
        <f t="shared" si="350"/>
        <v>370745.39899139386</v>
      </c>
      <c r="CB555" s="70">
        <f t="shared" si="360"/>
        <v>1482981.5959655754</v>
      </c>
      <c r="CC555" s="18">
        <f t="shared" si="361"/>
        <v>370745.39899139386</v>
      </c>
      <c r="CD555" s="18">
        <f t="shared" si="382"/>
        <v>370745.39899139386</v>
      </c>
      <c r="CE555" s="18">
        <f t="shared" si="382"/>
        <v>370745.39899139386</v>
      </c>
      <c r="CF555" s="18">
        <f t="shared" si="382"/>
        <v>370745.39899139386</v>
      </c>
      <c r="CG555" s="70">
        <f t="shared" si="362"/>
        <v>1482981.5959655754</v>
      </c>
      <c r="CH555" s="18">
        <f t="shared" si="342"/>
        <v>370745.39899139386</v>
      </c>
      <c r="CI555" s="18">
        <f t="shared" si="379"/>
        <v>370745.39899139386</v>
      </c>
      <c r="CJ555" s="18">
        <f t="shared" si="379"/>
        <v>370745.39899139386</v>
      </c>
      <c r="CK555" s="18">
        <f t="shared" si="379"/>
        <v>370745.39899139386</v>
      </c>
      <c r="CL555" s="70">
        <f t="shared" si="343"/>
        <v>1482981.5959655754</v>
      </c>
      <c r="CM555" s="71"/>
      <c r="CN555" s="59">
        <f t="shared" si="383"/>
        <v>3.7974889179640968E-4</v>
      </c>
      <c r="CO555" s="64">
        <f t="shared" si="384"/>
        <v>7974726.7277246034</v>
      </c>
      <c r="CP555" s="2">
        <f t="shared" si="359"/>
        <v>11863852.767724603</v>
      </c>
    </row>
    <row r="556" spans="1:94" ht="16.5" hidden="1" x14ac:dyDescent="0.3">
      <c r="A556" s="2">
        <v>551</v>
      </c>
      <c r="B556" s="47" t="s">
        <v>21</v>
      </c>
      <c r="C556" s="47"/>
      <c r="D556" s="30" t="s">
        <v>1725</v>
      </c>
      <c r="E556" s="30" t="s">
        <v>1042</v>
      </c>
      <c r="F556" s="30" t="s">
        <v>1043</v>
      </c>
      <c r="G556" s="30" t="s">
        <v>117</v>
      </c>
      <c r="H556" s="30"/>
      <c r="I556" s="30" t="s">
        <v>119</v>
      </c>
      <c r="J556" s="30" t="s">
        <v>120</v>
      </c>
      <c r="K556" s="30" t="s">
        <v>121</v>
      </c>
      <c r="L556" s="30" t="s">
        <v>1741</v>
      </c>
      <c r="M556" s="30">
        <v>1004282</v>
      </c>
      <c r="N556" s="30" t="s">
        <v>138</v>
      </c>
      <c r="O556" s="30" t="s">
        <v>1789</v>
      </c>
      <c r="P556" s="30" t="s">
        <v>453</v>
      </c>
      <c r="Q556" s="30" t="s">
        <v>453</v>
      </c>
      <c r="R556" s="30" t="s">
        <v>173</v>
      </c>
      <c r="S556" s="30" t="s">
        <v>1790</v>
      </c>
      <c r="T556" s="30" t="s">
        <v>1780</v>
      </c>
      <c r="U556" s="30" t="s">
        <v>588</v>
      </c>
      <c r="V556" s="30" t="s">
        <v>600</v>
      </c>
      <c r="W556" s="30" t="s">
        <v>456</v>
      </c>
      <c r="X556" s="89" t="s">
        <v>1764</v>
      </c>
      <c r="Y556" s="143" t="s">
        <v>576</v>
      </c>
      <c r="Z556" s="143" t="s">
        <v>576</v>
      </c>
      <c r="AA556" s="20" t="s">
        <v>148</v>
      </c>
      <c r="AB556" s="72" t="s">
        <v>177</v>
      </c>
      <c r="AC556" s="48" t="s">
        <v>150</v>
      </c>
      <c r="AD556" s="30"/>
      <c r="AE556" s="30"/>
      <c r="AF556" s="48" t="s">
        <v>179</v>
      </c>
      <c r="AG556" s="48" t="s">
        <v>152</v>
      </c>
      <c r="AH556" s="30"/>
      <c r="AI556" s="30"/>
      <c r="AJ556" s="30"/>
      <c r="AK556" s="50">
        <v>41751</v>
      </c>
      <c r="AL556" s="51">
        <f t="shared" si="371"/>
        <v>11.534246575342467</v>
      </c>
      <c r="AM556" s="30">
        <v>8</v>
      </c>
      <c r="AN556" s="30"/>
      <c r="AO556" s="30" t="s">
        <v>1050</v>
      </c>
      <c r="AP556" s="30" t="s">
        <v>1051</v>
      </c>
      <c r="AQ556" s="30">
        <v>0.66</v>
      </c>
      <c r="AR556" s="30">
        <v>1487</v>
      </c>
      <c r="AS556" s="30">
        <v>1622</v>
      </c>
      <c r="AT556" s="30">
        <v>1423</v>
      </c>
      <c r="AU556" s="54">
        <v>206254510</v>
      </c>
      <c r="AV556" s="54"/>
      <c r="AW556" s="54"/>
      <c r="AX556" s="54"/>
      <c r="AY556" s="54">
        <v>206253510</v>
      </c>
      <c r="AZ556" s="54">
        <v>1450518</v>
      </c>
      <c r="BA556" s="54">
        <v>1000</v>
      </c>
      <c r="BB556" s="55">
        <f>VLOOKUP(M556,[1]Sheet1!$E$6:$F$556,2,FALSE)</f>
        <v>1000</v>
      </c>
      <c r="BC556" s="74"/>
      <c r="BD556" s="74"/>
      <c r="BE556" s="30"/>
      <c r="BF556" s="30" t="s">
        <v>1745</v>
      </c>
      <c r="BG556" s="30" t="s">
        <v>1746</v>
      </c>
      <c r="BH556" s="30" t="s">
        <v>136</v>
      </c>
      <c r="BI556" s="30" t="str">
        <f t="shared" si="358"/>
        <v>Test</v>
      </c>
      <c r="BJ556" s="47" t="s">
        <v>137</v>
      </c>
      <c r="BK556" s="67">
        <f t="shared" si="372"/>
        <v>4125090.2</v>
      </c>
      <c r="BL556" s="68">
        <f t="shared" si="385"/>
        <v>393239.55982524261</v>
      </c>
      <c r="BM556" s="68">
        <f t="shared" si="386"/>
        <v>131079.85327508088</v>
      </c>
      <c r="BP556" s="69">
        <f t="shared" si="387"/>
        <v>393239.55982524261</v>
      </c>
      <c r="BQ556" s="69">
        <f t="shared" si="388"/>
        <v>393239.55982524261</v>
      </c>
      <c r="BR556" s="69">
        <f>SUM(BN556:BQ556)</f>
        <v>786479.11965048523</v>
      </c>
      <c r="BS556" s="69">
        <f t="shared" si="389"/>
        <v>393239.55982524261</v>
      </c>
      <c r="BT556" s="69">
        <f t="shared" si="390"/>
        <v>393239.55982524261</v>
      </c>
      <c r="BU556" s="100">
        <f t="shared" si="390"/>
        <v>393239.55982524261</v>
      </c>
      <c r="BV556" s="100">
        <f t="shared" si="390"/>
        <v>393239.55982524261</v>
      </c>
      <c r="BW556" s="100">
        <f t="shared" si="366"/>
        <v>1572958.2393009705</v>
      </c>
      <c r="BX556" s="101">
        <f t="shared" si="341"/>
        <v>393239.55982524261</v>
      </c>
      <c r="BY556" s="101">
        <f t="shared" si="350"/>
        <v>393239.55982524261</v>
      </c>
      <c r="BZ556" s="18">
        <f t="shared" si="350"/>
        <v>393239.55982524261</v>
      </c>
      <c r="CA556" s="18">
        <f t="shared" si="350"/>
        <v>393239.55982524261</v>
      </c>
      <c r="CB556" s="70">
        <f t="shared" si="360"/>
        <v>1572958.2393009705</v>
      </c>
      <c r="CC556" s="18">
        <f t="shared" si="361"/>
        <v>393239.55982524261</v>
      </c>
      <c r="CD556" s="18">
        <f t="shared" si="382"/>
        <v>393239.55982524261</v>
      </c>
      <c r="CE556" s="18">
        <f t="shared" si="382"/>
        <v>393239.55982524261</v>
      </c>
      <c r="CF556" s="18">
        <f t="shared" si="382"/>
        <v>393239.55982524261</v>
      </c>
      <c r="CG556" s="70">
        <f t="shared" si="362"/>
        <v>1572958.2393009705</v>
      </c>
      <c r="CH556" s="18">
        <f t="shared" si="342"/>
        <v>393239.55982524261</v>
      </c>
      <c r="CI556" s="18">
        <f t="shared" ref="CI556:CK612" si="391">CH556</f>
        <v>393239.55982524261</v>
      </c>
      <c r="CJ556" s="18">
        <f t="shared" si="391"/>
        <v>393239.55982524261</v>
      </c>
      <c r="CK556" s="18">
        <f t="shared" si="391"/>
        <v>393239.55982524261</v>
      </c>
      <c r="CL556" s="70">
        <f t="shared" si="343"/>
        <v>1572958.2393009705</v>
      </c>
      <c r="CM556" s="71"/>
      <c r="CN556" s="59">
        <f t="shared" si="383"/>
        <v>4.0278931973370297E-4</v>
      </c>
      <c r="CO556" s="64">
        <f t="shared" si="384"/>
        <v>8458575.7144077625</v>
      </c>
      <c r="CP556" s="2">
        <f t="shared" si="359"/>
        <v>12583665.914407764</v>
      </c>
    </row>
    <row r="557" spans="1:94" ht="16.5" hidden="1" x14ac:dyDescent="0.3">
      <c r="A557" s="2">
        <v>552</v>
      </c>
      <c r="B557" s="47" t="s">
        <v>21</v>
      </c>
      <c r="C557" s="47"/>
      <c r="D557" s="30" t="s">
        <v>1725</v>
      </c>
      <c r="E557" s="30" t="s">
        <v>1042</v>
      </c>
      <c r="F557" s="30" t="s">
        <v>1043</v>
      </c>
      <c r="G557" s="30" t="s">
        <v>117</v>
      </c>
      <c r="H557" s="30"/>
      <c r="I557" s="30" t="s">
        <v>119</v>
      </c>
      <c r="J557" s="30" t="s">
        <v>120</v>
      </c>
      <c r="K557" s="30" t="s">
        <v>121</v>
      </c>
      <c r="L557" s="30" t="s">
        <v>1741</v>
      </c>
      <c r="M557" s="30">
        <v>1004232</v>
      </c>
      <c r="N557" s="30" t="s">
        <v>138</v>
      </c>
      <c r="O557" s="30" t="s">
        <v>1791</v>
      </c>
      <c r="P557" s="30" t="s">
        <v>453</v>
      </c>
      <c r="Q557" s="30" t="s">
        <v>453</v>
      </c>
      <c r="R557" s="30" t="s">
        <v>173</v>
      </c>
      <c r="S557" s="30" t="s">
        <v>1792</v>
      </c>
      <c r="T557" s="30" t="s">
        <v>1780</v>
      </c>
      <c r="U557" s="30" t="s">
        <v>588</v>
      </c>
      <c r="V557" s="30" t="s">
        <v>415</v>
      </c>
      <c r="W557" s="30" t="s">
        <v>456</v>
      </c>
      <c r="X557" s="89" t="s">
        <v>1764</v>
      </c>
      <c r="Y557" s="143" t="s">
        <v>576</v>
      </c>
      <c r="Z557" s="143" t="s">
        <v>576</v>
      </c>
      <c r="AA557" s="20" t="s">
        <v>148</v>
      </c>
      <c r="AB557" s="72" t="s">
        <v>177</v>
      </c>
      <c r="AC557" s="48" t="s">
        <v>150</v>
      </c>
      <c r="AD557" s="30"/>
      <c r="AE557" s="30"/>
      <c r="AF557" s="48" t="s">
        <v>179</v>
      </c>
      <c r="AG557" s="48" t="s">
        <v>152</v>
      </c>
      <c r="AH557" s="30"/>
      <c r="AI557" s="30"/>
      <c r="AJ557" s="30"/>
      <c r="AK557" s="50">
        <v>41716</v>
      </c>
      <c r="AL557" s="51">
        <f t="shared" si="371"/>
        <v>11.63013698630137</v>
      </c>
      <c r="AM557" s="30">
        <v>8</v>
      </c>
      <c r="AN557" s="30"/>
      <c r="AO557" s="30" t="s">
        <v>1050</v>
      </c>
      <c r="AP557" s="30" t="s">
        <v>1051</v>
      </c>
      <c r="AQ557" s="30">
        <v>0.66</v>
      </c>
      <c r="AR557" s="30">
        <v>1487</v>
      </c>
      <c r="AS557" s="30">
        <v>1622</v>
      </c>
      <c r="AT557" s="30">
        <v>1423</v>
      </c>
      <c r="AU557" s="54">
        <v>212756467</v>
      </c>
      <c r="AV557" s="54"/>
      <c r="AW557" s="54"/>
      <c r="AX557" s="54"/>
      <c r="AY557" s="54">
        <v>212755467</v>
      </c>
      <c r="AZ557" s="54">
        <v>0</v>
      </c>
      <c r="BA557" s="54">
        <v>1000</v>
      </c>
      <c r="BB557" s="55">
        <f>VLOOKUP(M557,[1]Sheet1!$E$6:$F$556,2,FALSE)</f>
        <v>1000</v>
      </c>
      <c r="BC557" s="74"/>
      <c r="BD557" s="74"/>
      <c r="BE557" s="30"/>
      <c r="BF557" s="30" t="s">
        <v>1745</v>
      </c>
      <c r="BG557" s="30" t="s">
        <v>1746</v>
      </c>
      <c r="BH557" s="30" t="s">
        <v>136</v>
      </c>
      <c r="BI557" s="30" t="str">
        <f t="shared" si="358"/>
        <v>Test</v>
      </c>
      <c r="BJ557" s="47" t="s">
        <v>137</v>
      </c>
      <c r="BK557" s="67">
        <f t="shared" si="372"/>
        <v>4255129.34</v>
      </c>
      <c r="BL557" s="68">
        <f t="shared" si="385"/>
        <v>405636.02431313496</v>
      </c>
      <c r="BM557" s="68">
        <f t="shared" si="386"/>
        <v>135212.00810437833</v>
      </c>
      <c r="BP557" s="69">
        <f t="shared" si="387"/>
        <v>405636.02431313496</v>
      </c>
      <c r="BQ557" s="69">
        <f t="shared" si="388"/>
        <v>405636.02431313496</v>
      </c>
      <c r="BR557" s="69">
        <f>SUM(BN557:BQ557)</f>
        <v>811272.04862626991</v>
      </c>
      <c r="BS557" s="69">
        <f t="shared" si="389"/>
        <v>405636.02431313496</v>
      </c>
      <c r="BT557" s="69">
        <f t="shared" si="390"/>
        <v>405636.02431313496</v>
      </c>
      <c r="BU557" s="100">
        <f t="shared" si="390"/>
        <v>405636.02431313496</v>
      </c>
      <c r="BV557" s="100">
        <f t="shared" si="390"/>
        <v>405636.02431313496</v>
      </c>
      <c r="BW557" s="100">
        <f t="shared" si="366"/>
        <v>1622544.0972525398</v>
      </c>
      <c r="BX557" s="101">
        <f t="shared" si="341"/>
        <v>405636.02431313496</v>
      </c>
      <c r="BY557" s="101">
        <f t="shared" si="350"/>
        <v>405636.02431313496</v>
      </c>
      <c r="BZ557" s="18">
        <f t="shared" si="350"/>
        <v>405636.02431313496</v>
      </c>
      <c r="CA557" s="18">
        <f t="shared" si="350"/>
        <v>405636.02431313496</v>
      </c>
      <c r="CB557" s="70">
        <f t="shared" si="360"/>
        <v>1622544.0972525398</v>
      </c>
      <c r="CC557" s="18">
        <f t="shared" si="361"/>
        <v>405636.02431313496</v>
      </c>
      <c r="CD557" s="18">
        <f t="shared" si="382"/>
        <v>405636.02431313496</v>
      </c>
      <c r="CE557" s="18">
        <f t="shared" si="382"/>
        <v>405636.02431313496</v>
      </c>
      <c r="CF557" s="18">
        <f t="shared" si="382"/>
        <v>405636.02431313496</v>
      </c>
      <c r="CG557" s="70">
        <f t="shared" si="362"/>
        <v>1622544.0972525398</v>
      </c>
      <c r="CH557" s="18">
        <f t="shared" si="342"/>
        <v>405636.02431313496</v>
      </c>
      <c r="CI557" s="18">
        <f t="shared" si="391"/>
        <v>405636.02431313496</v>
      </c>
      <c r="CJ557" s="18">
        <f t="shared" si="391"/>
        <v>405636.02431313496</v>
      </c>
      <c r="CK557" s="18">
        <f t="shared" si="391"/>
        <v>405636.02431313496</v>
      </c>
      <c r="CL557" s="70">
        <f t="shared" si="343"/>
        <v>1622544.0972525398</v>
      </c>
      <c r="CM557" s="71"/>
      <c r="CN557" s="59">
        <f t="shared" si="383"/>
        <v>4.1548683038191998E-4</v>
      </c>
      <c r="CO557" s="64">
        <f t="shared" si="384"/>
        <v>8725223.4380203187</v>
      </c>
      <c r="CP557" s="2">
        <f t="shared" si="359"/>
        <v>12980352.778020319</v>
      </c>
    </row>
    <row r="558" spans="1:94" ht="16.5" hidden="1" x14ac:dyDescent="0.3">
      <c r="A558" s="2">
        <v>553</v>
      </c>
      <c r="B558" s="47" t="s">
        <v>21</v>
      </c>
      <c r="C558" s="47"/>
      <c r="D558" s="30" t="s">
        <v>1725</v>
      </c>
      <c r="E558" s="30" t="s">
        <v>1042</v>
      </c>
      <c r="F558" s="30" t="s">
        <v>1043</v>
      </c>
      <c r="G558" s="30" t="s">
        <v>117</v>
      </c>
      <c r="H558" s="30"/>
      <c r="I558" s="30" t="s">
        <v>119</v>
      </c>
      <c r="J558" s="30" t="s">
        <v>120</v>
      </c>
      <c r="K558" s="30" t="s">
        <v>121</v>
      </c>
      <c r="L558" s="30" t="s">
        <v>1741</v>
      </c>
      <c r="M558" s="30">
        <v>1004237</v>
      </c>
      <c r="N558" s="30" t="s">
        <v>138</v>
      </c>
      <c r="O558" s="30" t="s">
        <v>1793</v>
      </c>
      <c r="P558" s="30" t="s">
        <v>453</v>
      </c>
      <c r="Q558" s="30" t="s">
        <v>453</v>
      </c>
      <c r="R558" s="30" t="s">
        <v>173</v>
      </c>
      <c r="S558" s="30" t="s">
        <v>1794</v>
      </c>
      <c r="T558" s="30" t="s">
        <v>1780</v>
      </c>
      <c r="U558" s="30" t="s">
        <v>588</v>
      </c>
      <c r="V558" s="30" t="s">
        <v>600</v>
      </c>
      <c r="W558" s="30" t="s">
        <v>456</v>
      </c>
      <c r="X558" s="89" t="s">
        <v>1764</v>
      </c>
      <c r="Y558" s="143" t="s">
        <v>576</v>
      </c>
      <c r="Z558" s="143" t="s">
        <v>576</v>
      </c>
      <c r="AA558" s="20" t="s">
        <v>148</v>
      </c>
      <c r="AB558" s="72" t="s">
        <v>177</v>
      </c>
      <c r="AC558" s="48" t="s">
        <v>150</v>
      </c>
      <c r="AD558" s="30"/>
      <c r="AE558" s="30"/>
      <c r="AF558" s="48" t="s">
        <v>179</v>
      </c>
      <c r="AG558" s="48" t="s">
        <v>152</v>
      </c>
      <c r="AH558" s="30"/>
      <c r="AI558" s="30"/>
      <c r="AJ558" s="30"/>
      <c r="AK558" s="50">
        <v>41716</v>
      </c>
      <c r="AL558" s="51">
        <f t="shared" si="371"/>
        <v>11.63013698630137</v>
      </c>
      <c r="AM558" s="30">
        <v>8</v>
      </c>
      <c r="AN558" s="30"/>
      <c r="AO558" s="30" t="s">
        <v>1050</v>
      </c>
      <c r="AP558" s="30" t="s">
        <v>1051</v>
      </c>
      <c r="AQ558" s="30">
        <v>0.66</v>
      </c>
      <c r="AR558" s="30">
        <v>1487</v>
      </c>
      <c r="AS558" s="30">
        <v>1622</v>
      </c>
      <c r="AT558" s="30">
        <v>1423</v>
      </c>
      <c r="AU558" s="54">
        <v>212756468</v>
      </c>
      <c r="AV558" s="54"/>
      <c r="AW558" s="54"/>
      <c r="AX558" s="54"/>
      <c r="AY558" s="54">
        <v>212755468</v>
      </c>
      <c r="AZ558" s="54">
        <v>1446554</v>
      </c>
      <c r="BA558" s="54">
        <v>1000</v>
      </c>
      <c r="BB558" s="55">
        <f>VLOOKUP(M558,[1]Sheet1!$E$6:$F$556,2,FALSE)</f>
        <v>1000</v>
      </c>
      <c r="BC558" s="74"/>
      <c r="BD558" s="74"/>
      <c r="BE558" s="30"/>
      <c r="BF558" s="30" t="s">
        <v>1745</v>
      </c>
      <c r="BG558" s="30" t="s">
        <v>1746</v>
      </c>
      <c r="BH558" s="30" t="s">
        <v>136</v>
      </c>
      <c r="BI558" s="30" t="str">
        <f t="shared" si="358"/>
        <v>Test</v>
      </c>
      <c r="BJ558" s="47" t="s">
        <v>137</v>
      </c>
      <c r="BK558" s="67">
        <f t="shared" si="372"/>
        <v>4255129.3600000003</v>
      </c>
      <c r="BL558" s="68">
        <f t="shared" si="385"/>
        <v>405636.02621970943</v>
      </c>
      <c r="BM558" s="68">
        <f t="shared" si="386"/>
        <v>135212.00873990313</v>
      </c>
      <c r="BP558" s="69">
        <f t="shared" si="387"/>
        <v>405636.02621970943</v>
      </c>
      <c r="BQ558" s="69">
        <f t="shared" si="388"/>
        <v>405636.02621970943</v>
      </c>
      <c r="BR558" s="69">
        <f t="shared" ref="BR558:BR607" si="392">SUM(BN558:BQ558)</f>
        <v>811272.05243941885</v>
      </c>
      <c r="BS558" s="69">
        <f t="shared" si="389"/>
        <v>405636.02621970943</v>
      </c>
      <c r="BT558" s="69">
        <f t="shared" si="390"/>
        <v>405636.02621970943</v>
      </c>
      <c r="BU558" s="100">
        <f t="shared" si="390"/>
        <v>405636.02621970943</v>
      </c>
      <c r="BV558" s="100">
        <f t="shared" si="390"/>
        <v>405636.02621970943</v>
      </c>
      <c r="BW558" s="100">
        <f t="shared" si="366"/>
        <v>1622544.1048788377</v>
      </c>
      <c r="BX558" s="101">
        <f t="shared" si="341"/>
        <v>405636.02621970943</v>
      </c>
      <c r="BY558" s="101">
        <f t="shared" si="350"/>
        <v>405636.02621970943</v>
      </c>
      <c r="BZ558" s="18">
        <f t="shared" si="350"/>
        <v>405636.02621970943</v>
      </c>
      <c r="CA558" s="18">
        <f t="shared" si="350"/>
        <v>405636.02621970943</v>
      </c>
      <c r="CB558" s="70">
        <f t="shared" si="360"/>
        <v>1622544.1048788377</v>
      </c>
      <c r="CC558" s="18">
        <f t="shared" si="361"/>
        <v>405636.02621970943</v>
      </c>
      <c r="CD558" s="18">
        <f t="shared" si="382"/>
        <v>405636.02621970943</v>
      </c>
      <c r="CE558" s="18">
        <f t="shared" si="382"/>
        <v>405636.02621970943</v>
      </c>
      <c r="CF558" s="18">
        <f t="shared" si="382"/>
        <v>405636.02621970943</v>
      </c>
      <c r="CG558" s="70">
        <f t="shared" si="362"/>
        <v>1622544.1048788377</v>
      </c>
      <c r="CH558" s="18">
        <f t="shared" si="342"/>
        <v>405636.02621970943</v>
      </c>
      <c r="CI558" s="18">
        <f t="shared" si="391"/>
        <v>405636.02621970943</v>
      </c>
      <c r="CJ558" s="18">
        <f t="shared" si="391"/>
        <v>405636.02621970943</v>
      </c>
      <c r="CK558" s="18">
        <f t="shared" si="391"/>
        <v>405636.02621970943</v>
      </c>
      <c r="CL558" s="70">
        <f t="shared" si="343"/>
        <v>1622544.1048788377</v>
      </c>
      <c r="CM558" s="71"/>
      <c r="CN558" s="59">
        <f t="shared" si="383"/>
        <v>4.1548683233479523E-4</v>
      </c>
      <c r="CO558" s="64">
        <f t="shared" si="384"/>
        <v>8725223.4790307004</v>
      </c>
      <c r="CP558" s="2">
        <f t="shared" si="359"/>
        <v>12980352.839030702</v>
      </c>
    </row>
    <row r="559" spans="1:94" ht="16.5" hidden="1" x14ac:dyDescent="0.3">
      <c r="A559" s="2">
        <v>554</v>
      </c>
      <c r="B559" s="47" t="s">
        <v>21</v>
      </c>
      <c r="C559" s="47"/>
      <c r="D559" s="30" t="s">
        <v>1725</v>
      </c>
      <c r="E559" s="30" t="s">
        <v>1042</v>
      </c>
      <c r="F559" s="30" t="s">
        <v>1043</v>
      </c>
      <c r="G559" s="30" t="s">
        <v>117</v>
      </c>
      <c r="H559" s="30"/>
      <c r="I559" s="30" t="s">
        <v>119</v>
      </c>
      <c r="J559" s="30" t="s">
        <v>120</v>
      </c>
      <c r="K559" s="30" t="s">
        <v>121</v>
      </c>
      <c r="L559" s="30" t="s">
        <v>1741</v>
      </c>
      <c r="M559" s="30">
        <v>1004231</v>
      </c>
      <c r="N559" s="30" t="s">
        <v>138</v>
      </c>
      <c r="O559" s="30" t="s">
        <v>1795</v>
      </c>
      <c r="P559" s="30" t="s">
        <v>453</v>
      </c>
      <c r="Q559" s="30" t="s">
        <v>453</v>
      </c>
      <c r="R559" s="30" t="s">
        <v>173</v>
      </c>
      <c r="S559" s="30" t="s">
        <v>1796</v>
      </c>
      <c r="T559" s="30" t="s">
        <v>1780</v>
      </c>
      <c r="U559" s="30" t="s">
        <v>588</v>
      </c>
      <c r="V559" s="30" t="s">
        <v>415</v>
      </c>
      <c r="W559" s="30" t="s">
        <v>456</v>
      </c>
      <c r="X559" s="89" t="s">
        <v>1764</v>
      </c>
      <c r="Y559" s="143" t="s">
        <v>576</v>
      </c>
      <c r="Z559" s="143" t="s">
        <v>576</v>
      </c>
      <c r="AA559" s="20" t="s">
        <v>148</v>
      </c>
      <c r="AB559" s="72" t="s">
        <v>177</v>
      </c>
      <c r="AC559" s="48" t="s">
        <v>150</v>
      </c>
      <c r="AD559" s="30"/>
      <c r="AE559" s="30"/>
      <c r="AF559" s="48" t="s">
        <v>179</v>
      </c>
      <c r="AG559" s="48" t="s">
        <v>152</v>
      </c>
      <c r="AH559" s="30"/>
      <c r="AI559" s="30"/>
      <c r="AJ559" s="30"/>
      <c r="AK559" s="50">
        <v>41716</v>
      </c>
      <c r="AL559" s="51">
        <f t="shared" si="371"/>
        <v>11.63013698630137</v>
      </c>
      <c r="AM559" s="30">
        <v>8</v>
      </c>
      <c r="AN559" s="30"/>
      <c r="AO559" s="30" t="s">
        <v>1050</v>
      </c>
      <c r="AP559" s="30" t="s">
        <v>1187</v>
      </c>
      <c r="AQ559" s="30">
        <v>0.66</v>
      </c>
      <c r="AR559" s="30">
        <v>1487</v>
      </c>
      <c r="AS559" s="30">
        <v>1622</v>
      </c>
      <c r="AT559" s="30">
        <v>1423</v>
      </c>
      <c r="AU559" s="54">
        <v>367051028</v>
      </c>
      <c r="AV559" s="54"/>
      <c r="AW559" s="54"/>
      <c r="AX559" s="54"/>
      <c r="AY559" s="54">
        <v>323635466</v>
      </c>
      <c r="AZ559" s="54">
        <v>3823448</v>
      </c>
      <c r="BA559" s="54">
        <v>31945218</v>
      </c>
      <c r="BB559" s="55">
        <f>VLOOKUP(M559,[1]Sheet1!$E$6:$F$556,2,FALSE)</f>
        <v>1000</v>
      </c>
      <c r="BC559" s="74"/>
      <c r="BD559" s="74"/>
      <c r="BE559" s="30"/>
      <c r="BF559" s="30" t="s">
        <v>1739</v>
      </c>
      <c r="BG559" s="30" t="s">
        <v>1746</v>
      </c>
      <c r="BH559" s="30" t="s">
        <v>136</v>
      </c>
      <c r="BI559" s="30" t="str">
        <f t="shared" si="358"/>
        <v>Test</v>
      </c>
      <c r="BJ559" s="47" t="s">
        <v>137</v>
      </c>
      <c r="BK559" s="67">
        <f t="shared" si="372"/>
        <v>33542478.900000002</v>
      </c>
      <c r="BL559" s="68">
        <f t="shared" si="385"/>
        <v>3197561.5074025504</v>
      </c>
      <c r="BM559" s="68">
        <f t="shared" si="386"/>
        <v>1065853.8358008501</v>
      </c>
      <c r="BP559" s="69">
        <f t="shared" si="387"/>
        <v>3197561.5074025504</v>
      </c>
      <c r="BQ559" s="69">
        <f t="shared" si="388"/>
        <v>3197561.5074025504</v>
      </c>
      <c r="BR559" s="69">
        <f t="shared" si="392"/>
        <v>6395123.0148051009</v>
      </c>
      <c r="BS559" s="69">
        <f t="shared" si="389"/>
        <v>3197561.5074025504</v>
      </c>
      <c r="BT559" s="69">
        <f t="shared" si="390"/>
        <v>3197561.5074025504</v>
      </c>
      <c r="BU559" s="100">
        <f t="shared" si="390"/>
        <v>3197561.5074025504</v>
      </c>
      <c r="BV559" s="100">
        <f t="shared" si="390"/>
        <v>3197561.5074025504</v>
      </c>
      <c r="BW559" s="100">
        <f t="shared" si="366"/>
        <v>12790246.029610202</v>
      </c>
      <c r="BX559" s="101">
        <f t="shared" si="341"/>
        <v>3197561.5074025504</v>
      </c>
      <c r="BY559" s="101">
        <f t="shared" si="350"/>
        <v>3197561.5074025504</v>
      </c>
      <c r="BZ559" s="18">
        <f t="shared" si="350"/>
        <v>3197561.5074025504</v>
      </c>
      <c r="CA559" s="18">
        <f t="shared" si="350"/>
        <v>3197561.5074025504</v>
      </c>
      <c r="CB559" s="70">
        <f t="shared" si="360"/>
        <v>12790246.029610202</v>
      </c>
      <c r="CC559" s="18">
        <f t="shared" si="361"/>
        <v>3197561.5074025504</v>
      </c>
      <c r="CD559" s="18">
        <f t="shared" si="382"/>
        <v>3197561.5074025504</v>
      </c>
      <c r="CE559" s="18">
        <f t="shared" si="382"/>
        <v>3197561.5074025504</v>
      </c>
      <c r="CF559" s="18">
        <f t="shared" si="382"/>
        <v>3197561.5074025504</v>
      </c>
      <c r="CG559" s="70">
        <f t="shared" si="362"/>
        <v>12790246.029610202</v>
      </c>
      <c r="CH559" s="18">
        <f t="shared" si="342"/>
        <v>3197561.5074025504</v>
      </c>
      <c r="CI559" s="18">
        <f t="shared" si="391"/>
        <v>3197561.5074025504</v>
      </c>
      <c r="CJ559" s="18">
        <f t="shared" si="391"/>
        <v>3197561.5074025504</v>
      </c>
      <c r="CK559" s="18">
        <f t="shared" si="391"/>
        <v>3197561.5074025504</v>
      </c>
      <c r="CL559" s="70">
        <f t="shared" si="343"/>
        <v>12790246.029610202</v>
      </c>
      <c r="CM559" s="71"/>
      <c r="CN559" s="59">
        <f t="shared" si="383"/>
        <v>3.275213777946743E-3</v>
      </c>
      <c r="CO559" s="64">
        <f t="shared" si="384"/>
        <v>68779489.336881608</v>
      </c>
      <c r="CP559" s="2">
        <f t="shared" si="359"/>
        <v>102321968.23688161</v>
      </c>
    </row>
    <row r="560" spans="1:94" ht="16.5" hidden="1" x14ac:dyDescent="0.3">
      <c r="A560" s="2">
        <v>555</v>
      </c>
      <c r="B560" s="47" t="s">
        <v>21</v>
      </c>
      <c r="C560" s="47"/>
      <c r="D560" s="30" t="s">
        <v>1725</v>
      </c>
      <c r="E560" s="30" t="s">
        <v>1042</v>
      </c>
      <c r="F560" s="30" t="s">
        <v>1043</v>
      </c>
      <c r="G560" s="30" t="s">
        <v>117</v>
      </c>
      <c r="H560" s="30"/>
      <c r="I560" s="30" t="s">
        <v>119</v>
      </c>
      <c r="J560" s="30" t="s">
        <v>120</v>
      </c>
      <c r="K560" s="30" t="s">
        <v>121</v>
      </c>
      <c r="L560" s="30" t="s">
        <v>1741</v>
      </c>
      <c r="M560" s="30">
        <v>1003884</v>
      </c>
      <c r="N560" s="30" t="s">
        <v>138</v>
      </c>
      <c r="O560" s="30" t="s">
        <v>1797</v>
      </c>
      <c r="P560" s="30" t="s">
        <v>453</v>
      </c>
      <c r="Q560" s="30" t="s">
        <v>453</v>
      </c>
      <c r="R560" s="30" t="s">
        <v>173</v>
      </c>
      <c r="S560" s="30" t="s">
        <v>1798</v>
      </c>
      <c r="T560" s="30" t="s">
        <v>1780</v>
      </c>
      <c r="U560" s="30" t="s">
        <v>588</v>
      </c>
      <c r="V560" s="30" t="s">
        <v>415</v>
      </c>
      <c r="W560" s="30" t="s">
        <v>456</v>
      </c>
      <c r="X560" s="89" t="s">
        <v>1764</v>
      </c>
      <c r="Y560" s="143" t="s">
        <v>576</v>
      </c>
      <c r="Z560" s="143" t="s">
        <v>576</v>
      </c>
      <c r="AA560" s="20" t="s">
        <v>148</v>
      </c>
      <c r="AB560" s="72" t="s">
        <v>177</v>
      </c>
      <c r="AC560" s="48" t="s">
        <v>150</v>
      </c>
      <c r="AD560" s="30"/>
      <c r="AE560" s="30"/>
      <c r="AF560" s="48" t="s">
        <v>179</v>
      </c>
      <c r="AG560" s="48" t="s">
        <v>152</v>
      </c>
      <c r="AH560" s="30"/>
      <c r="AI560" s="30"/>
      <c r="AJ560" s="30"/>
      <c r="AK560" s="50">
        <v>41439</v>
      </c>
      <c r="AL560" s="51">
        <f t="shared" si="371"/>
        <v>12.389041095890411</v>
      </c>
      <c r="AM560" s="30">
        <v>8</v>
      </c>
      <c r="AN560" s="30"/>
      <c r="AO560" s="30" t="s">
        <v>1050</v>
      </c>
      <c r="AP560" s="30" t="s">
        <v>1051</v>
      </c>
      <c r="AQ560" s="30">
        <v>0.66</v>
      </c>
      <c r="AR560" s="30">
        <v>1487</v>
      </c>
      <c r="AS560" s="30">
        <v>1622</v>
      </c>
      <c r="AT560" s="30">
        <v>1423</v>
      </c>
      <c r="AU560" s="54">
        <v>233986676</v>
      </c>
      <c r="AV560" s="54"/>
      <c r="AW560" s="54"/>
      <c r="AX560" s="54"/>
      <c r="AY560" s="54">
        <v>233985676</v>
      </c>
      <c r="AZ560" s="54">
        <v>0</v>
      </c>
      <c r="BA560" s="54">
        <v>1000</v>
      </c>
      <c r="BB560" s="55">
        <f>VLOOKUP(M560,[1]Sheet1!$E$6:$F$556,2,FALSE)</f>
        <v>1000</v>
      </c>
      <c r="BC560" s="74"/>
      <c r="BD560" s="74"/>
      <c r="BE560" s="30"/>
      <c r="BF560" s="30" t="s">
        <v>1745</v>
      </c>
      <c r="BG560" s="30" t="s">
        <v>1746</v>
      </c>
      <c r="BH560" s="30" t="s">
        <v>136</v>
      </c>
      <c r="BI560" s="30" t="str">
        <f t="shared" si="358"/>
        <v>Test</v>
      </c>
      <c r="BJ560" s="47" t="s">
        <v>137</v>
      </c>
      <c r="BK560" s="67">
        <f t="shared" si="372"/>
        <v>4679733.5200000005</v>
      </c>
      <c r="BL560" s="68">
        <f t="shared" si="385"/>
        <v>446112.99639077787</v>
      </c>
      <c r="BM560" s="68">
        <f t="shared" si="386"/>
        <v>148704.33213025928</v>
      </c>
      <c r="BP560" s="69">
        <f t="shared" si="387"/>
        <v>446112.99639077787</v>
      </c>
      <c r="BQ560" s="69">
        <f t="shared" si="388"/>
        <v>446112.99639077787</v>
      </c>
      <c r="BR560" s="69">
        <f t="shared" si="392"/>
        <v>892225.99278155575</v>
      </c>
      <c r="BS560" s="69">
        <f t="shared" si="389"/>
        <v>446112.99639077787</v>
      </c>
      <c r="BT560" s="69">
        <f t="shared" si="390"/>
        <v>446112.99639077787</v>
      </c>
      <c r="BU560" s="100">
        <f t="shared" si="390"/>
        <v>446112.99639077787</v>
      </c>
      <c r="BV560" s="100">
        <f t="shared" si="390"/>
        <v>446112.99639077787</v>
      </c>
      <c r="BW560" s="100">
        <f t="shared" si="366"/>
        <v>1784451.9855631115</v>
      </c>
      <c r="BX560" s="101">
        <f t="shared" ref="BX560:BX618" si="393">BV560</f>
        <v>446112.99639077787</v>
      </c>
      <c r="BY560" s="101">
        <f t="shared" si="350"/>
        <v>446112.99639077787</v>
      </c>
      <c r="BZ560" s="18">
        <f t="shared" si="350"/>
        <v>446112.99639077787</v>
      </c>
      <c r="CA560" s="18">
        <f t="shared" si="350"/>
        <v>446112.99639077787</v>
      </c>
      <c r="CB560" s="70">
        <f t="shared" si="360"/>
        <v>1784451.9855631115</v>
      </c>
      <c r="CC560" s="18">
        <f t="shared" si="361"/>
        <v>446112.99639077787</v>
      </c>
      <c r="CD560" s="18">
        <f t="shared" si="382"/>
        <v>446112.99639077787</v>
      </c>
      <c r="CE560" s="18">
        <f t="shared" si="382"/>
        <v>446112.99639077787</v>
      </c>
      <c r="CF560" s="18">
        <f t="shared" si="382"/>
        <v>446112.99639077787</v>
      </c>
      <c r="CG560" s="70">
        <f t="shared" si="362"/>
        <v>1784451.9855631115</v>
      </c>
      <c r="CH560" s="18">
        <f t="shared" ref="CH560:CH618" si="394">CF560</f>
        <v>446112.99639077787</v>
      </c>
      <c r="CI560" s="18">
        <f t="shared" si="391"/>
        <v>446112.99639077787</v>
      </c>
      <c r="CJ560" s="18">
        <f t="shared" si="391"/>
        <v>446112.99639077787</v>
      </c>
      <c r="CK560" s="18">
        <f t="shared" si="391"/>
        <v>446112.99639077787</v>
      </c>
      <c r="CL560" s="70">
        <f t="shared" ref="CL560:CL618" si="395">SUM(CH560:CK560)</f>
        <v>1784451.9855631115</v>
      </c>
      <c r="CM560" s="71"/>
      <c r="CN560" s="59">
        <f t="shared" si="383"/>
        <v>4.5694677926213769E-4</v>
      </c>
      <c r="CO560" s="64">
        <f t="shared" si="384"/>
        <v>9595882.3645048905</v>
      </c>
      <c r="CP560" s="2">
        <f t="shared" si="359"/>
        <v>14275615.884504892</v>
      </c>
    </row>
    <row r="561" spans="1:94" ht="16.5" hidden="1" x14ac:dyDescent="0.3">
      <c r="A561" s="2">
        <v>556</v>
      </c>
      <c r="B561" s="47" t="s">
        <v>21</v>
      </c>
      <c r="C561" s="47"/>
      <c r="D561" s="30" t="s">
        <v>1725</v>
      </c>
      <c r="E561" s="30" t="s">
        <v>1042</v>
      </c>
      <c r="F561" s="30" t="s">
        <v>1043</v>
      </c>
      <c r="G561" s="30" t="s">
        <v>117</v>
      </c>
      <c r="H561" s="30"/>
      <c r="I561" s="30" t="s">
        <v>119</v>
      </c>
      <c r="J561" s="30" t="s">
        <v>120</v>
      </c>
      <c r="K561" s="30" t="s">
        <v>121</v>
      </c>
      <c r="L561" s="30" t="s">
        <v>1741</v>
      </c>
      <c r="M561" s="30">
        <v>1004746</v>
      </c>
      <c r="N561" s="30" t="s">
        <v>138</v>
      </c>
      <c r="O561" s="30" t="s">
        <v>1799</v>
      </c>
      <c r="P561" s="30" t="s">
        <v>453</v>
      </c>
      <c r="Q561" s="30" t="s">
        <v>453</v>
      </c>
      <c r="R561" s="30" t="s">
        <v>173</v>
      </c>
      <c r="S561" s="30" t="s">
        <v>1800</v>
      </c>
      <c r="T561" s="30" t="s">
        <v>1780</v>
      </c>
      <c r="U561" s="30" t="s">
        <v>588</v>
      </c>
      <c r="V561" s="30" t="s">
        <v>600</v>
      </c>
      <c r="W561" s="30" t="s">
        <v>456</v>
      </c>
      <c r="X561" s="89" t="s">
        <v>1764</v>
      </c>
      <c r="Y561" s="143" t="s">
        <v>576</v>
      </c>
      <c r="Z561" s="143" t="s">
        <v>576</v>
      </c>
      <c r="AA561" s="20" t="s">
        <v>148</v>
      </c>
      <c r="AB561" s="72" t="s">
        <v>177</v>
      </c>
      <c r="AC561" s="48" t="s">
        <v>150</v>
      </c>
      <c r="AD561" s="30"/>
      <c r="AE561" s="30"/>
      <c r="AF561" s="48" t="s">
        <v>179</v>
      </c>
      <c r="AG561" s="48" t="s">
        <v>152</v>
      </c>
      <c r="AH561" s="30"/>
      <c r="AI561" s="30"/>
      <c r="AJ561" s="30"/>
      <c r="AK561" s="50">
        <v>42461</v>
      </c>
      <c r="AL561" s="51">
        <f t="shared" si="371"/>
        <v>9.5890410958904102</v>
      </c>
      <c r="AM561" s="30">
        <v>8</v>
      </c>
      <c r="AN561" s="30"/>
      <c r="AO561" s="30" t="s">
        <v>1050</v>
      </c>
      <c r="AP561" s="30" t="s">
        <v>1051</v>
      </c>
      <c r="AQ561" s="30">
        <v>0.66</v>
      </c>
      <c r="AR561" s="30">
        <v>1487</v>
      </c>
      <c r="AS561" s="30">
        <v>1622</v>
      </c>
      <c r="AT561" s="30">
        <v>1423</v>
      </c>
      <c r="AU561" s="54">
        <v>196938700</v>
      </c>
      <c r="AV561" s="54"/>
      <c r="AW561" s="54"/>
      <c r="AX561" s="54"/>
      <c r="AY561" s="54">
        <v>196937700</v>
      </c>
      <c r="AZ561" s="54">
        <v>1339753</v>
      </c>
      <c r="BA561" s="54">
        <v>1000</v>
      </c>
      <c r="BB561" s="55">
        <f>VLOOKUP(M561,[1]Sheet1!$E$6:$F$556,2,FALSE)</f>
        <v>1000</v>
      </c>
      <c r="BC561" s="74"/>
      <c r="BD561" s="74"/>
      <c r="BE561" s="30"/>
      <c r="BF561" s="30" t="s">
        <v>1745</v>
      </c>
      <c r="BG561" s="30" t="s">
        <v>1746</v>
      </c>
      <c r="BH561" s="30" t="s">
        <v>136</v>
      </c>
      <c r="BI561" s="30" t="str">
        <f t="shared" si="358"/>
        <v>Test</v>
      </c>
      <c r="BJ561" s="47" t="s">
        <v>137</v>
      </c>
      <c r="BK561" s="67">
        <f t="shared" si="372"/>
        <v>3938774</v>
      </c>
      <c r="BL561" s="68">
        <f t="shared" si="385"/>
        <v>375478.27536258718</v>
      </c>
      <c r="BM561" s="68">
        <f t="shared" si="386"/>
        <v>125159.42512086239</v>
      </c>
      <c r="BP561" s="69">
        <f t="shared" si="387"/>
        <v>375478.27536258718</v>
      </c>
      <c r="BQ561" s="69">
        <f t="shared" si="388"/>
        <v>375478.27536258718</v>
      </c>
      <c r="BR561" s="69">
        <f t="shared" si="392"/>
        <v>750956.55072517437</v>
      </c>
      <c r="BS561" s="69">
        <f t="shared" si="389"/>
        <v>375478.27536258718</v>
      </c>
      <c r="BT561" s="69">
        <f t="shared" si="390"/>
        <v>375478.27536258718</v>
      </c>
      <c r="BU561" s="100">
        <f t="shared" si="390"/>
        <v>375478.27536258718</v>
      </c>
      <c r="BV561" s="100">
        <f t="shared" si="390"/>
        <v>375478.27536258718</v>
      </c>
      <c r="BW561" s="100">
        <f t="shared" si="366"/>
        <v>1501913.1014503487</v>
      </c>
      <c r="BX561" s="101">
        <f t="shared" si="393"/>
        <v>375478.27536258718</v>
      </c>
      <c r="BY561" s="101">
        <f t="shared" si="350"/>
        <v>375478.27536258718</v>
      </c>
      <c r="BZ561" s="18">
        <f t="shared" si="350"/>
        <v>375478.27536258718</v>
      </c>
      <c r="CA561" s="18">
        <f t="shared" si="350"/>
        <v>375478.27536258718</v>
      </c>
      <c r="CB561" s="70">
        <f t="shared" si="360"/>
        <v>1501913.1014503487</v>
      </c>
      <c r="CC561" s="18">
        <f t="shared" si="361"/>
        <v>375478.27536258718</v>
      </c>
      <c r="CD561" s="18">
        <f t="shared" si="382"/>
        <v>375478.27536258718</v>
      </c>
      <c r="CE561" s="18">
        <f t="shared" si="382"/>
        <v>375478.27536258718</v>
      </c>
      <c r="CF561" s="18">
        <f t="shared" si="382"/>
        <v>375478.27536258718</v>
      </c>
      <c r="CG561" s="70">
        <f t="shared" si="362"/>
        <v>1501913.1014503487</v>
      </c>
      <c r="CH561" s="18">
        <f t="shared" si="394"/>
        <v>375478.27536258718</v>
      </c>
      <c r="CI561" s="18">
        <f t="shared" si="391"/>
        <v>375478.27536258718</v>
      </c>
      <c r="CJ561" s="18">
        <f t="shared" si="391"/>
        <v>375478.27536258718</v>
      </c>
      <c r="CK561" s="18">
        <f t="shared" si="391"/>
        <v>375478.27536258718</v>
      </c>
      <c r="CL561" s="70">
        <f t="shared" si="395"/>
        <v>1501913.1014503487</v>
      </c>
      <c r="CM561" s="71"/>
      <c r="CN561" s="59">
        <f t="shared" si="383"/>
        <v>3.8459670531441859E-4</v>
      </c>
      <c r="CO561" s="64">
        <f t="shared" si="384"/>
        <v>8076530.8116027908</v>
      </c>
      <c r="CP561" s="2">
        <f t="shared" si="359"/>
        <v>12015304.81160279</v>
      </c>
    </row>
    <row r="562" spans="1:94" ht="16.5" hidden="1" x14ac:dyDescent="0.3">
      <c r="A562" s="2">
        <v>557</v>
      </c>
      <c r="B562" s="47" t="s">
        <v>21</v>
      </c>
      <c r="C562" s="47"/>
      <c r="D562" s="30" t="s">
        <v>1725</v>
      </c>
      <c r="E562" s="30" t="s">
        <v>1042</v>
      </c>
      <c r="F562" s="30" t="s">
        <v>1043</v>
      </c>
      <c r="G562" s="30" t="s">
        <v>117</v>
      </c>
      <c r="H562" s="30"/>
      <c r="I562" s="30" t="s">
        <v>119</v>
      </c>
      <c r="J562" s="30" t="s">
        <v>120</v>
      </c>
      <c r="K562" s="30" t="s">
        <v>121</v>
      </c>
      <c r="L562" s="30" t="s">
        <v>1741</v>
      </c>
      <c r="M562" s="30">
        <v>1004525</v>
      </c>
      <c r="N562" s="30" t="s">
        <v>138</v>
      </c>
      <c r="O562" s="30" t="s">
        <v>1801</v>
      </c>
      <c r="P562" s="30" t="s">
        <v>453</v>
      </c>
      <c r="Q562" s="30" t="s">
        <v>453</v>
      </c>
      <c r="R562" s="30" t="s">
        <v>173</v>
      </c>
      <c r="S562" s="30" t="s">
        <v>1802</v>
      </c>
      <c r="T562" s="30" t="s">
        <v>1780</v>
      </c>
      <c r="U562" s="30" t="s">
        <v>588</v>
      </c>
      <c r="V562" s="30" t="s">
        <v>600</v>
      </c>
      <c r="W562" s="30" t="s">
        <v>456</v>
      </c>
      <c r="X562" s="89" t="s">
        <v>1757</v>
      </c>
      <c r="Y562" s="30" t="s">
        <v>576</v>
      </c>
      <c r="Z562" s="30" t="s">
        <v>576</v>
      </c>
      <c r="AA562" s="20" t="s">
        <v>148</v>
      </c>
      <c r="AB562" s="72" t="s">
        <v>177</v>
      </c>
      <c r="AC562" s="48" t="s">
        <v>150</v>
      </c>
      <c r="AD562" s="30"/>
      <c r="AE562" s="30"/>
      <c r="AF562" s="48" t="s">
        <v>179</v>
      </c>
      <c r="AG562" s="48" t="s">
        <v>152</v>
      </c>
      <c r="AH562" s="30"/>
      <c r="AI562" s="30"/>
      <c r="AJ562" s="30"/>
      <c r="AK562" s="50">
        <v>42063</v>
      </c>
      <c r="AL562" s="51">
        <f t="shared" si="371"/>
        <v>10.67945205479452</v>
      </c>
      <c r="AM562" s="30">
        <v>8</v>
      </c>
      <c r="AN562" s="30"/>
      <c r="AO562" s="30" t="s">
        <v>1050</v>
      </c>
      <c r="AP562" s="30" t="s">
        <v>1051</v>
      </c>
      <c r="AQ562" s="30">
        <v>0.66</v>
      </c>
      <c r="AR562" s="30">
        <v>1487</v>
      </c>
      <c r="AS562" s="30">
        <v>1622</v>
      </c>
      <c r="AT562" s="30">
        <v>1423</v>
      </c>
      <c r="AU562" s="54">
        <v>208970696</v>
      </c>
      <c r="AV562" s="54"/>
      <c r="AW562" s="54"/>
      <c r="AX562" s="54"/>
      <c r="AY562" s="54">
        <v>208969696</v>
      </c>
      <c r="AZ562" s="54">
        <v>1877422</v>
      </c>
      <c r="BA562" s="54">
        <v>1000</v>
      </c>
      <c r="BB562" s="55">
        <f>VLOOKUP(M562,[1]Sheet1!$E$6:$F$556,2,FALSE)</f>
        <v>1000</v>
      </c>
      <c r="BC562" s="74"/>
      <c r="BD562" s="74"/>
      <c r="BE562" s="30"/>
      <c r="BF562" s="30" t="s">
        <v>1745</v>
      </c>
      <c r="BG562" s="30" t="s">
        <v>1746</v>
      </c>
      <c r="BH562" s="30" t="s">
        <v>136</v>
      </c>
      <c r="BI562" s="30" t="str">
        <f t="shared" si="358"/>
        <v>Test</v>
      </c>
      <c r="BJ562" s="47" t="s">
        <v>137</v>
      </c>
      <c r="BK562" s="56">
        <f t="shared" si="372"/>
        <v>4179413.92</v>
      </c>
      <c r="BL562" s="57">
        <f t="shared" si="385"/>
        <v>398418.17040225968</v>
      </c>
      <c r="BM562" s="57">
        <f t="shared" si="386"/>
        <v>132806.05680075323</v>
      </c>
      <c r="BU562" s="58">
        <f>BM562*3</f>
        <v>398418.17040225968</v>
      </c>
      <c r="BV562" s="58">
        <f t="shared" si="390"/>
        <v>398418.17040225968</v>
      </c>
      <c r="BW562" s="58">
        <f>SUM(BS562:BV562)</f>
        <v>796836.34080451936</v>
      </c>
      <c r="BX562" s="58">
        <f t="shared" si="393"/>
        <v>398418.17040225968</v>
      </c>
      <c r="BY562" s="58">
        <f t="shared" ref="BY562:CA618" si="396">BX562</f>
        <v>398418.17040225968</v>
      </c>
      <c r="BZ562" s="58">
        <f>BM562*3</f>
        <v>398418.17040225968</v>
      </c>
      <c r="CA562" s="58">
        <f t="shared" si="396"/>
        <v>398418.17040225968</v>
      </c>
      <c r="CB562" s="58">
        <f t="shared" si="360"/>
        <v>1593672.6816090387</v>
      </c>
      <c r="CC562" s="58">
        <f t="shared" si="361"/>
        <v>398418.17040225968</v>
      </c>
      <c r="CD562" s="58">
        <f t="shared" si="382"/>
        <v>398418.17040225968</v>
      </c>
      <c r="CE562" s="58">
        <f t="shared" si="382"/>
        <v>398418.17040225968</v>
      </c>
      <c r="CF562" s="58">
        <f t="shared" si="382"/>
        <v>398418.17040225968</v>
      </c>
      <c r="CG562" s="58">
        <f t="shared" si="362"/>
        <v>1593672.6816090387</v>
      </c>
      <c r="CH562" s="58">
        <f t="shared" si="394"/>
        <v>398418.17040225968</v>
      </c>
      <c r="CI562" s="58">
        <f t="shared" si="391"/>
        <v>398418.17040225968</v>
      </c>
      <c r="CJ562" s="58">
        <f t="shared" si="391"/>
        <v>398418.17040225968</v>
      </c>
      <c r="CK562" s="58">
        <f t="shared" si="391"/>
        <v>398418.17040225968</v>
      </c>
      <c r="CL562" s="58">
        <f t="shared" si="395"/>
        <v>1593672.6816090387</v>
      </c>
      <c r="CN562" s="59">
        <f t="shared" si="383"/>
        <v>4.0809369204153855E-4</v>
      </c>
      <c r="CO562" s="64">
        <f t="shared" si="384"/>
        <v>8569967.5328723099</v>
      </c>
      <c r="CP562" s="2">
        <f t="shared" si="359"/>
        <v>12749381.45287231</v>
      </c>
    </row>
    <row r="563" spans="1:94" hidden="1" x14ac:dyDescent="0.3">
      <c r="A563" s="29">
        <v>558</v>
      </c>
      <c r="B563" s="30" t="s">
        <v>21</v>
      </c>
      <c r="C563" s="30"/>
      <c r="D563" s="30" t="s">
        <v>1725</v>
      </c>
      <c r="E563" s="30" t="s">
        <v>1042</v>
      </c>
      <c r="F563" s="30" t="s">
        <v>1043</v>
      </c>
      <c r="G563" s="30" t="s">
        <v>117</v>
      </c>
      <c r="H563" s="30"/>
      <c r="I563" s="30" t="s">
        <v>119</v>
      </c>
      <c r="J563" s="30" t="s">
        <v>120</v>
      </c>
      <c r="K563" s="30" t="s">
        <v>121</v>
      </c>
      <c r="L563" s="30" t="s">
        <v>1741</v>
      </c>
      <c r="M563" s="30">
        <v>1004162</v>
      </c>
      <c r="N563" s="30" t="s">
        <v>138</v>
      </c>
      <c r="O563" s="30" t="s">
        <v>1803</v>
      </c>
      <c r="P563" s="30" t="s">
        <v>1750</v>
      </c>
      <c r="Q563" s="30" t="s">
        <v>1750</v>
      </c>
      <c r="R563" s="30" t="s">
        <v>173</v>
      </c>
      <c r="S563" s="30" t="s">
        <v>1804</v>
      </c>
      <c r="T563" s="30" t="s">
        <v>1805</v>
      </c>
      <c r="U563" s="30" t="s">
        <v>1753</v>
      </c>
      <c r="V563" s="30" t="s">
        <v>600</v>
      </c>
      <c r="W563" s="30" t="s">
        <v>456</v>
      </c>
      <c r="X563" s="89"/>
      <c r="Y563" s="30" t="s">
        <v>576</v>
      </c>
      <c r="Z563" s="30" t="s">
        <v>576</v>
      </c>
      <c r="AA563" s="20" t="s">
        <v>148</v>
      </c>
      <c r="AB563" s="72" t="s">
        <v>177</v>
      </c>
      <c r="AC563" s="48" t="s">
        <v>150</v>
      </c>
      <c r="AD563" s="30"/>
      <c r="AE563" s="30"/>
      <c r="AF563" s="48" t="s">
        <v>179</v>
      </c>
      <c r="AG563" s="48" t="s">
        <v>152</v>
      </c>
      <c r="AH563" s="48" t="s">
        <v>180</v>
      </c>
      <c r="AI563" s="30"/>
      <c r="AJ563" s="30"/>
      <c r="AK563" s="50">
        <v>41668</v>
      </c>
      <c r="AL563" s="51">
        <f t="shared" si="371"/>
        <v>11.761643835616438</v>
      </c>
      <c r="AM563" s="30">
        <v>8</v>
      </c>
      <c r="AN563" s="30"/>
      <c r="AO563" s="30" t="s">
        <v>1050</v>
      </c>
      <c r="AP563" s="30" t="s">
        <v>1051</v>
      </c>
      <c r="AQ563" s="30">
        <v>0.56320000000000003</v>
      </c>
      <c r="AR563" s="30">
        <v>1229</v>
      </c>
      <c r="AS563" s="30">
        <v>1142</v>
      </c>
      <c r="AT563" s="30">
        <v>933</v>
      </c>
      <c r="AU563" s="74">
        <v>139336250</v>
      </c>
      <c r="AV563" s="54"/>
      <c r="AW563" s="54"/>
      <c r="AX563" s="54"/>
      <c r="AY563" s="54">
        <v>139335250</v>
      </c>
      <c r="AZ563" s="54">
        <v>126486</v>
      </c>
      <c r="BA563" s="74">
        <v>1000</v>
      </c>
      <c r="BB563" s="55">
        <f>VLOOKUP(M563,[1]Sheet1!$E$6:$F$556,2,FALSE)</f>
        <v>66261188</v>
      </c>
      <c r="BC563" s="74"/>
      <c r="BD563" s="74"/>
      <c r="BE563" s="30"/>
      <c r="BF563" s="30" t="s">
        <v>1745</v>
      </c>
      <c r="BG563" s="30" t="s">
        <v>1746</v>
      </c>
      <c r="BH563" s="30" t="s">
        <v>136</v>
      </c>
      <c r="BI563" s="30" t="str">
        <f t="shared" si="358"/>
        <v>Test</v>
      </c>
      <c r="BJ563" s="30" t="s">
        <v>250</v>
      </c>
      <c r="BK563" s="56">
        <f t="shared" si="372"/>
        <v>2786725</v>
      </c>
      <c r="BL563" s="57">
        <f t="shared" si="385"/>
        <v>87085.15625</v>
      </c>
      <c r="BM563" s="57">
        <f t="shared" si="386"/>
        <v>29028.385416666668</v>
      </c>
      <c r="BU563" s="58">
        <f>BM563*3</f>
        <v>87085.15625</v>
      </c>
      <c r="BV563" s="58">
        <f t="shared" si="390"/>
        <v>87085.15625</v>
      </c>
      <c r="BW563" s="58">
        <f>SUM(BS563:BV563)</f>
        <v>174170.3125</v>
      </c>
      <c r="BX563" s="58">
        <f t="shared" si="393"/>
        <v>87085.15625</v>
      </c>
      <c r="BY563" s="58">
        <f t="shared" si="396"/>
        <v>87085.15625</v>
      </c>
      <c r="BZ563" s="58">
        <f>BM563*3</f>
        <v>87085.15625</v>
      </c>
      <c r="CA563" s="58">
        <f t="shared" si="396"/>
        <v>87085.15625</v>
      </c>
      <c r="CB563" s="58">
        <f t="shared" si="360"/>
        <v>348340.625</v>
      </c>
      <c r="CC563" s="58">
        <f t="shared" si="361"/>
        <v>87085.15625</v>
      </c>
      <c r="CD563" s="58">
        <f t="shared" si="382"/>
        <v>87085.15625</v>
      </c>
      <c r="CE563" s="58">
        <f t="shared" si="382"/>
        <v>87085.15625</v>
      </c>
      <c r="CF563" s="58">
        <f t="shared" si="382"/>
        <v>87085.15625</v>
      </c>
      <c r="CG563" s="58">
        <f t="shared" si="362"/>
        <v>348340.625</v>
      </c>
      <c r="CH563" s="58">
        <f t="shared" si="394"/>
        <v>87085.15625</v>
      </c>
      <c r="CI563" s="58">
        <f t="shared" si="391"/>
        <v>87085.15625</v>
      </c>
      <c r="CJ563" s="58">
        <f t="shared" si="391"/>
        <v>87085.15625</v>
      </c>
      <c r="CK563" s="58">
        <f t="shared" si="391"/>
        <v>87085.15625</v>
      </c>
      <c r="CL563" s="58">
        <f t="shared" si="395"/>
        <v>348340.625</v>
      </c>
      <c r="CP563" s="2">
        <f t="shared" si="359"/>
        <v>2786725</v>
      </c>
    </row>
    <row r="564" spans="1:94" ht="16.5" hidden="1" x14ac:dyDescent="0.3">
      <c r="A564" s="2">
        <v>559</v>
      </c>
      <c r="B564" s="47" t="s">
        <v>21</v>
      </c>
      <c r="C564" s="47"/>
      <c r="D564" s="30" t="s">
        <v>1725</v>
      </c>
      <c r="E564" s="30" t="s">
        <v>1042</v>
      </c>
      <c r="F564" s="30" t="s">
        <v>1043</v>
      </c>
      <c r="G564" s="30" t="s">
        <v>117</v>
      </c>
      <c r="H564" s="30"/>
      <c r="I564" s="30" t="s">
        <v>119</v>
      </c>
      <c r="J564" s="30" t="s">
        <v>120</v>
      </c>
      <c r="K564" s="30" t="s">
        <v>121</v>
      </c>
      <c r="L564" s="30" t="s">
        <v>1741</v>
      </c>
      <c r="M564" s="30">
        <v>1006660</v>
      </c>
      <c r="N564" s="30" t="s">
        <v>138</v>
      </c>
      <c r="O564" s="30" t="s">
        <v>1806</v>
      </c>
      <c r="P564" s="30" t="s">
        <v>453</v>
      </c>
      <c r="Q564" s="30" t="s">
        <v>453</v>
      </c>
      <c r="R564" s="30" t="s">
        <v>173</v>
      </c>
      <c r="S564" s="30" t="s">
        <v>1807</v>
      </c>
      <c r="T564" s="30" t="s">
        <v>1780</v>
      </c>
      <c r="U564" s="30" t="s">
        <v>588</v>
      </c>
      <c r="V564" s="30" t="s">
        <v>600</v>
      </c>
      <c r="W564" s="30" t="s">
        <v>456</v>
      </c>
      <c r="X564" s="89" t="s">
        <v>1764</v>
      </c>
      <c r="Y564" s="143" t="s">
        <v>576</v>
      </c>
      <c r="Z564" s="143" t="s">
        <v>576</v>
      </c>
      <c r="AA564" s="20" t="s">
        <v>148</v>
      </c>
      <c r="AB564" s="72" t="s">
        <v>177</v>
      </c>
      <c r="AC564" s="48" t="s">
        <v>150</v>
      </c>
      <c r="AD564" s="30"/>
      <c r="AE564" s="30"/>
      <c r="AF564" s="48" t="s">
        <v>179</v>
      </c>
      <c r="AG564" s="48" t="s">
        <v>152</v>
      </c>
      <c r="AH564" s="30"/>
      <c r="AI564" s="30"/>
      <c r="AJ564" s="30"/>
      <c r="AK564" s="50">
        <v>44446</v>
      </c>
      <c r="AL564" s="51">
        <f t="shared" si="371"/>
        <v>4.1506849315068495</v>
      </c>
      <c r="AM564" s="30">
        <v>8</v>
      </c>
      <c r="AN564" s="30"/>
      <c r="AO564" s="30" t="s">
        <v>1050</v>
      </c>
      <c r="AP564" s="30" t="s">
        <v>1187</v>
      </c>
      <c r="AQ564" s="30">
        <v>0.66</v>
      </c>
      <c r="AR564" s="30">
        <v>1487</v>
      </c>
      <c r="AS564" s="30">
        <v>1622</v>
      </c>
      <c r="AT564" s="30">
        <v>1423</v>
      </c>
      <c r="AU564" s="54">
        <v>165106042</v>
      </c>
      <c r="AV564" s="54"/>
      <c r="AW564" s="54"/>
      <c r="AX564" s="54"/>
      <c r="AY564" s="54">
        <v>80833168</v>
      </c>
      <c r="AZ564" s="54">
        <v>1719855</v>
      </c>
      <c r="BA564" s="54">
        <v>79113309</v>
      </c>
      <c r="BB564" s="55">
        <f>VLOOKUP(M564,[1]Sheet1!$E$6:$F$556,2,FALSE)</f>
        <v>16265122</v>
      </c>
      <c r="BC564" s="74"/>
      <c r="BD564" s="74"/>
      <c r="BE564" s="30"/>
      <c r="BF564" s="30" t="s">
        <v>1739</v>
      </c>
      <c r="BG564" s="30" t="s">
        <v>1746</v>
      </c>
      <c r="BH564" s="30" t="s">
        <v>136</v>
      </c>
      <c r="BI564" s="30" t="str">
        <f t="shared" si="358"/>
        <v>Test</v>
      </c>
      <c r="BJ564" s="47" t="s">
        <v>137</v>
      </c>
      <c r="BK564" s="67">
        <f t="shared" si="372"/>
        <v>83068974.450000003</v>
      </c>
      <c r="BL564" s="68">
        <f t="shared" si="385"/>
        <v>7918858.82831176</v>
      </c>
      <c r="BM564" s="68">
        <f t="shared" si="386"/>
        <v>2639619.6094372533</v>
      </c>
      <c r="BP564" s="69">
        <f t="shared" si="387"/>
        <v>7918858.82831176</v>
      </c>
      <c r="BQ564" s="69">
        <f t="shared" si="388"/>
        <v>7918858.82831176</v>
      </c>
      <c r="BR564" s="69">
        <f t="shared" si="392"/>
        <v>15837717.65662352</v>
      </c>
      <c r="BS564" s="69">
        <f t="shared" si="389"/>
        <v>7918858.82831176</v>
      </c>
      <c r="BT564" s="69">
        <f t="shared" si="390"/>
        <v>7918858.82831176</v>
      </c>
      <c r="BU564" s="100">
        <f t="shared" si="390"/>
        <v>7918858.82831176</v>
      </c>
      <c r="BV564" s="100">
        <f t="shared" si="390"/>
        <v>7918858.82831176</v>
      </c>
      <c r="BW564" s="100">
        <f t="shared" si="366"/>
        <v>31675435.31324704</v>
      </c>
      <c r="BX564" s="101">
        <f t="shared" si="393"/>
        <v>7918858.82831176</v>
      </c>
      <c r="BY564" s="101">
        <f t="shared" si="396"/>
        <v>7918858.82831176</v>
      </c>
      <c r="BZ564" s="18">
        <f t="shared" si="396"/>
        <v>7918858.82831176</v>
      </c>
      <c r="CA564" s="18">
        <f t="shared" si="396"/>
        <v>7918858.82831176</v>
      </c>
      <c r="CB564" s="70">
        <f t="shared" si="360"/>
        <v>31675435.31324704</v>
      </c>
      <c r="CC564" s="18">
        <f t="shared" si="361"/>
        <v>7918858.82831176</v>
      </c>
      <c r="CD564" s="18">
        <f t="shared" si="382"/>
        <v>7918858.82831176</v>
      </c>
      <c r="CE564" s="18">
        <f t="shared" si="382"/>
        <v>7918858.82831176</v>
      </c>
      <c r="CF564" s="18">
        <f t="shared" si="382"/>
        <v>7918858.82831176</v>
      </c>
      <c r="CG564" s="70">
        <f t="shared" si="362"/>
        <v>31675435.31324704</v>
      </c>
      <c r="CH564" s="18">
        <f t="shared" si="394"/>
        <v>7918858.82831176</v>
      </c>
      <c r="CI564" s="18">
        <f t="shared" si="391"/>
        <v>7918858.82831176</v>
      </c>
      <c r="CJ564" s="18">
        <f t="shared" si="391"/>
        <v>7918858.82831176</v>
      </c>
      <c r="CK564" s="18">
        <f t="shared" si="391"/>
        <v>7918858.82831176</v>
      </c>
      <c r="CL564" s="70">
        <f t="shared" si="395"/>
        <v>31675435.31324704</v>
      </c>
      <c r="CM564" s="71"/>
      <c r="CN564" s="59">
        <f t="shared" ref="CN564:CN570" si="397">BK564/$CN$3</f>
        <v>8.1111670502845862E-3</v>
      </c>
      <c r="CO564" s="64">
        <f t="shared" ref="CO564:CO570" si="398">CN564*$CO$4</f>
        <v>170334508.0559763</v>
      </c>
      <c r="CP564" s="2">
        <f t="shared" si="359"/>
        <v>253403482.50597632</v>
      </c>
    </row>
    <row r="565" spans="1:94" ht="16.5" hidden="1" x14ac:dyDescent="0.3">
      <c r="A565" s="2">
        <v>560</v>
      </c>
      <c r="B565" s="47" t="s">
        <v>21</v>
      </c>
      <c r="C565" s="47"/>
      <c r="D565" s="30" t="s">
        <v>1725</v>
      </c>
      <c r="E565" s="30" t="s">
        <v>1042</v>
      </c>
      <c r="F565" s="30" t="s">
        <v>1043</v>
      </c>
      <c r="G565" s="30" t="s">
        <v>117</v>
      </c>
      <c r="H565" s="30"/>
      <c r="I565" s="30" t="s">
        <v>119</v>
      </c>
      <c r="J565" s="30" t="s">
        <v>120</v>
      </c>
      <c r="K565" s="30" t="s">
        <v>121</v>
      </c>
      <c r="L565" s="30" t="s">
        <v>1741</v>
      </c>
      <c r="M565" s="30">
        <v>1006662</v>
      </c>
      <c r="N565" s="30" t="s">
        <v>138</v>
      </c>
      <c r="O565" s="30" t="s">
        <v>1808</v>
      </c>
      <c r="P565" s="30" t="s">
        <v>453</v>
      </c>
      <c r="Q565" s="30" t="s">
        <v>453</v>
      </c>
      <c r="R565" s="30" t="s">
        <v>173</v>
      </c>
      <c r="S565" s="30" t="s">
        <v>1809</v>
      </c>
      <c r="T565" s="30" t="s">
        <v>1780</v>
      </c>
      <c r="U565" s="30" t="s">
        <v>588</v>
      </c>
      <c r="V565" s="30" t="s">
        <v>600</v>
      </c>
      <c r="W565" s="30" t="s">
        <v>456</v>
      </c>
      <c r="X565" s="89" t="s">
        <v>1764</v>
      </c>
      <c r="Y565" s="143" t="s">
        <v>576</v>
      </c>
      <c r="Z565" s="143" t="s">
        <v>576</v>
      </c>
      <c r="AA565" s="20" t="s">
        <v>148</v>
      </c>
      <c r="AB565" s="72" t="s">
        <v>177</v>
      </c>
      <c r="AC565" s="48" t="s">
        <v>150</v>
      </c>
      <c r="AD565" s="30"/>
      <c r="AE565" s="30"/>
      <c r="AF565" s="48" t="s">
        <v>179</v>
      </c>
      <c r="AG565" s="48" t="s">
        <v>152</v>
      </c>
      <c r="AH565" s="30"/>
      <c r="AI565" s="30"/>
      <c r="AJ565" s="30"/>
      <c r="AK565" s="50">
        <v>44446</v>
      </c>
      <c r="AL565" s="51">
        <f t="shared" si="371"/>
        <v>4.1506849315068495</v>
      </c>
      <c r="AM565" s="30">
        <v>8</v>
      </c>
      <c r="AN565" s="30"/>
      <c r="AO565" s="30" t="s">
        <v>1050</v>
      </c>
      <c r="AP565" s="30" t="s">
        <v>1187</v>
      </c>
      <c r="AQ565" s="30">
        <v>0.66</v>
      </c>
      <c r="AR565" s="30">
        <v>1487</v>
      </c>
      <c r="AS565" s="30">
        <v>1622</v>
      </c>
      <c r="AT565" s="30">
        <v>1423</v>
      </c>
      <c r="AU565" s="54">
        <v>166281563</v>
      </c>
      <c r="AV565" s="54"/>
      <c r="AW565" s="54"/>
      <c r="AX565" s="54"/>
      <c r="AY565" s="54">
        <v>81408683</v>
      </c>
      <c r="AZ565" s="54">
        <v>1732100</v>
      </c>
      <c r="BA565" s="54">
        <v>79676580</v>
      </c>
      <c r="BB565" s="55">
        <f>VLOOKUP(M565,[1]Sheet1!$E$6:$F$556,2,FALSE)</f>
        <v>16380924</v>
      </c>
      <c r="BC565" s="74"/>
      <c r="BD565" s="74"/>
      <c r="BE565" s="30"/>
      <c r="BF565" s="30" t="s">
        <v>1739</v>
      </c>
      <c r="BG565" s="30" t="s">
        <v>1746</v>
      </c>
      <c r="BH565" s="30" t="s">
        <v>136</v>
      </c>
      <c r="BI565" s="30" t="str">
        <f t="shared" si="358"/>
        <v>Test</v>
      </c>
      <c r="BJ565" s="47" t="s">
        <v>137</v>
      </c>
      <c r="BK565" s="67">
        <f t="shared" si="372"/>
        <v>83660409</v>
      </c>
      <c r="BL565" s="68">
        <f t="shared" si="385"/>
        <v>7975239.5256617079</v>
      </c>
      <c r="BM565" s="68">
        <f t="shared" si="386"/>
        <v>2658413.1752205691</v>
      </c>
      <c r="BP565" s="69">
        <f t="shared" si="387"/>
        <v>7975239.5256617069</v>
      </c>
      <c r="BQ565" s="69">
        <f t="shared" si="388"/>
        <v>7975239.5256617069</v>
      </c>
      <c r="BR565" s="69">
        <f t="shared" si="392"/>
        <v>15950479.051323414</v>
      </c>
      <c r="BS565" s="69">
        <f t="shared" si="389"/>
        <v>7975239.5256617069</v>
      </c>
      <c r="BT565" s="69">
        <f t="shared" si="390"/>
        <v>7975239.5256617069</v>
      </c>
      <c r="BU565" s="100">
        <f t="shared" si="390"/>
        <v>7975239.5256617069</v>
      </c>
      <c r="BV565" s="100">
        <f t="shared" si="390"/>
        <v>7975239.5256617069</v>
      </c>
      <c r="BW565" s="100">
        <f t="shared" si="366"/>
        <v>31900958.102646828</v>
      </c>
      <c r="BX565" s="101">
        <f t="shared" si="393"/>
        <v>7975239.5256617069</v>
      </c>
      <c r="BY565" s="101">
        <f t="shared" si="396"/>
        <v>7975239.5256617069</v>
      </c>
      <c r="BZ565" s="18">
        <f t="shared" si="396"/>
        <v>7975239.5256617069</v>
      </c>
      <c r="CA565" s="18">
        <f t="shared" si="396"/>
        <v>7975239.5256617069</v>
      </c>
      <c r="CB565" s="70">
        <f t="shared" si="360"/>
        <v>31900958.102646828</v>
      </c>
      <c r="CC565" s="18">
        <f t="shared" si="361"/>
        <v>7975239.5256617069</v>
      </c>
      <c r="CD565" s="18">
        <f t="shared" si="382"/>
        <v>7975239.5256617069</v>
      </c>
      <c r="CE565" s="18">
        <f t="shared" si="382"/>
        <v>7975239.5256617069</v>
      </c>
      <c r="CF565" s="18">
        <f t="shared" si="382"/>
        <v>7975239.5256617069</v>
      </c>
      <c r="CG565" s="70">
        <f t="shared" si="362"/>
        <v>31900958.102646828</v>
      </c>
      <c r="CH565" s="18">
        <f t="shared" si="394"/>
        <v>7975239.5256617069</v>
      </c>
      <c r="CI565" s="18">
        <f t="shared" si="391"/>
        <v>7975239.5256617069</v>
      </c>
      <c r="CJ565" s="18">
        <f t="shared" si="391"/>
        <v>7975239.5256617069</v>
      </c>
      <c r="CK565" s="18">
        <f t="shared" si="391"/>
        <v>7975239.5256617069</v>
      </c>
      <c r="CL565" s="70">
        <f t="shared" si="395"/>
        <v>31900958.102646828</v>
      </c>
      <c r="CM565" s="71"/>
      <c r="CN565" s="59">
        <f t="shared" si="397"/>
        <v>8.1689169438654598E-3</v>
      </c>
      <c r="CO565" s="64">
        <f t="shared" si="398"/>
        <v>171547255.82117465</v>
      </c>
      <c r="CP565" s="2">
        <f t="shared" si="359"/>
        <v>255207664.82117465</v>
      </c>
    </row>
    <row r="566" spans="1:94" ht="16.5" hidden="1" x14ac:dyDescent="0.3">
      <c r="A566" s="2">
        <v>561</v>
      </c>
      <c r="B566" s="47" t="s">
        <v>21</v>
      </c>
      <c r="C566" s="47"/>
      <c r="D566" s="30" t="s">
        <v>1725</v>
      </c>
      <c r="E566" s="30" t="s">
        <v>1042</v>
      </c>
      <c r="F566" s="30" t="s">
        <v>1043</v>
      </c>
      <c r="G566" s="30" t="s">
        <v>117</v>
      </c>
      <c r="H566" s="30"/>
      <c r="I566" s="30" t="s">
        <v>119</v>
      </c>
      <c r="J566" s="30" t="s">
        <v>120</v>
      </c>
      <c r="K566" s="30" t="s">
        <v>121</v>
      </c>
      <c r="L566" s="30" t="s">
        <v>1741</v>
      </c>
      <c r="M566" s="30">
        <v>1006677</v>
      </c>
      <c r="N566" s="30" t="s">
        <v>138</v>
      </c>
      <c r="O566" s="30" t="s">
        <v>1810</v>
      </c>
      <c r="P566" s="30" t="s">
        <v>453</v>
      </c>
      <c r="Q566" s="30" t="s">
        <v>453</v>
      </c>
      <c r="R566" s="30" t="s">
        <v>173</v>
      </c>
      <c r="S566" s="30" t="s">
        <v>1811</v>
      </c>
      <c r="T566" s="30" t="s">
        <v>1780</v>
      </c>
      <c r="U566" s="30" t="s">
        <v>588</v>
      </c>
      <c r="V566" s="30" t="s">
        <v>600</v>
      </c>
      <c r="W566" s="30" t="s">
        <v>456</v>
      </c>
      <c r="X566" s="89" t="s">
        <v>1764</v>
      </c>
      <c r="Y566" s="143" t="s">
        <v>576</v>
      </c>
      <c r="Z566" s="143" t="s">
        <v>576</v>
      </c>
      <c r="AA566" s="20" t="s">
        <v>148</v>
      </c>
      <c r="AB566" s="72" t="s">
        <v>177</v>
      </c>
      <c r="AC566" s="48" t="s">
        <v>150</v>
      </c>
      <c r="AD566" s="30"/>
      <c r="AE566" s="30"/>
      <c r="AF566" s="48" t="s">
        <v>179</v>
      </c>
      <c r="AG566" s="48" t="s">
        <v>152</v>
      </c>
      <c r="AH566" s="30"/>
      <c r="AI566" s="30"/>
      <c r="AJ566" s="30"/>
      <c r="AK566" s="50">
        <v>44446</v>
      </c>
      <c r="AL566" s="51">
        <f t="shared" si="371"/>
        <v>4.1506849315068495</v>
      </c>
      <c r="AM566" s="30">
        <v>8</v>
      </c>
      <c r="AN566" s="30"/>
      <c r="AO566" s="30" t="s">
        <v>1050</v>
      </c>
      <c r="AP566" s="30" t="s">
        <v>1187</v>
      </c>
      <c r="AQ566" s="30">
        <v>0.66</v>
      </c>
      <c r="AR566" s="30">
        <v>1487</v>
      </c>
      <c r="AS566" s="30">
        <v>1622</v>
      </c>
      <c r="AT566" s="30">
        <v>1423</v>
      </c>
      <c r="AU566" s="54">
        <v>166281563</v>
      </c>
      <c r="AV566" s="54"/>
      <c r="AW566" s="54"/>
      <c r="AX566" s="54"/>
      <c r="AY566" s="54">
        <v>81408683</v>
      </c>
      <c r="AZ566" s="54">
        <v>1732100</v>
      </c>
      <c r="BA566" s="54">
        <v>79676580</v>
      </c>
      <c r="BB566" s="55">
        <f>VLOOKUP(M566,[1]Sheet1!$E$6:$F$556,2,FALSE)</f>
        <v>16380924</v>
      </c>
      <c r="BC566" s="74"/>
      <c r="BD566" s="74"/>
      <c r="BE566" s="30"/>
      <c r="BF566" s="30" t="s">
        <v>1739</v>
      </c>
      <c r="BG566" s="30" t="s">
        <v>1746</v>
      </c>
      <c r="BH566" s="30" t="s">
        <v>136</v>
      </c>
      <c r="BI566" s="30" t="str">
        <f t="shared" si="358"/>
        <v>Test</v>
      </c>
      <c r="BJ566" s="47" t="s">
        <v>137</v>
      </c>
      <c r="BK566" s="67">
        <f t="shared" si="372"/>
        <v>83660409</v>
      </c>
      <c r="BL566" s="68">
        <f t="shared" si="385"/>
        <v>7975239.5256617079</v>
      </c>
      <c r="BM566" s="68">
        <f t="shared" si="386"/>
        <v>2658413.1752205691</v>
      </c>
      <c r="BP566" s="69">
        <f t="shared" si="387"/>
        <v>7975239.5256617069</v>
      </c>
      <c r="BQ566" s="69">
        <f t="shared" si="388"/>
        <v>7975239.5256617069</v>
      </c>
      <c r="BR566" s="69">
        <f t="shared" si="392"/>
        <v>15950479.051323414</v>
      </c>
      <c r="BS566" s="69">
        <f t="shared" si="389"/>
        <v>7975239.5256617069</v>
      </c>
      <c r="BT566" s="69">
        <f t="shared" si="390"/>
        <v>7975239.5256617069</v>
      </c>
      <c r="BU566" s="100">
        <f t="shared" si="390"/>
        <v>7975239.5256617069</v>
      </c>
      <c r="BV566" s="100">
        <f t="shared" si="390"/>
        <v>7975239.5256617069</v>
      </c>
      <c r="BW566" s="100">
        <f t="shared" si="366"/>
        <v>31900958.102646828</v>
      </c>
      <c r="BX566" s="101">
        <f t="shared" si="393"/>
        <v>7975239.5256617069</v>
      </c>
      <c r="BY566" s="101">
        <f t="shared" si="396"/>
        <v>7975239.5256617069</v>
      </c>
      <c r="BZ566" s="18">
        <f t="shared" si="396"/>
        <v>7975239.5256617069</v>
      </c>
      <c r="CA566" s="18">
        <f t="shared" si="396"/>
        <v>7975239.5256617069</v>
      </c>
      <c r="CB566" s="70">
        <f t="shared" si="360"/>
        <v>31900958.102646828</v>
      </c>
      <c r="CC566" s="18">
        <f t="shared" si="361"/>
        <v>7975239.5256617069</v>
      </c>
      <c r="CD566" s="18">
        <f t="shared" si="382"/>
        <v>7975239.5256617069</v>
      </c>
      <c r="CE566" s="18">
        <f t="shared" si="382"/>
        <v>7975239.5256617069</v>
      </c>
      <c r="CF566" s="18">
        <f t="shared" si="382"/>
        <v>7975239.5256617069</v>
      </c>
      <c r="CG566" s="70">
        <f t="shared" si="362"/>
        <v>31900958.102646828</v>
      </c>
      <c r="CH566" s="18">
        <f t="shared" si="394"/>
        <v>7975239.5256617069</v>
      </c>
      <c r="CI566" s="18">
        <f t="shared" si="391"/>
        <v>7975239.5256617069</v>
      </c>
      <c r="CJ566" s="18">
        <f t="shared" si="391"/>
        <v>7975239.5256617069</v>
      </c>
      <c r="CK566" s="18">
        <f t="shared" si="391"/>
        <v>7975239.5256617069</v>
      </c>
      <c r="CL566" s="70">
        <f t="shared" si="395"/>
        <v>31900958.102646828</v>
      </c>
      <c r="CM566" s="71"/>
      <c r="CN566" s="59">
        <f t="shared" si="397"/>
        <v>8.1689169438654598E-3</v>
      </c>
      <c r="CO566" s="64">
        <f t="shared" si="398"/>
        <v>171547255.82117465</v>
      </c>
      <c r="CP566" s="2">
        <f t="shared" si="359"/>
        <v>255207664.82117465</v>
      </c>
    </row>
    <row r="567" spans="1:94" ht="16.5" hidden="1" x14ac:dyDescent="0.3">
      <c r="A567" s="2">
        <v>562</v>
      </c>
      <c r="B567" s="47" t="s">
        <v>21</v>
      </c>
      <c r="C567" s="47"/>
      <c r="D567" s="30" t="s">
        <v>1725</v>
      </c>
      <c r="E567" s="30" t="s">
        <v>1042</v>
      </c>
      <c r="F567" s="30" t="s">
        <v>1043</v>
      </c>
      <c r="G567" s="30" t="s">
        <v>117</v>
      </c>
      <c r="H567" s="30"/>
      <c r="I567" s="30" t="s">
        <v>119</v>
      </c>
      <c r="J567" s="30" t="s">
        <v>120</v>
      </c>
      <c r="K567" s="30" t="s">
        <v>121</v>
      </c>
      <c r="L567" s="30" t="s">
        <v>1741</v>
      </c>
      <c r="M567" s="30">
        <v>1006679</v>
      </c>
      <c r="N567" s="30" t="s">
        <v>138</v>
      </c>
      <c r="O567" s="30" t="s">
        <v>1812</v>
      </c>
      <c r="P567" s="30" t="s">
        <v>453</v>
      </c>
      <c r="Q567" s="30" t="s">
        <v>453</v>
      </c>
      <c r="R567" s="30" t="s">
        <v>173</v>
      </c>
      <c r="S567" s="30" t="s">
        <v>1813</v>
      </c>
      <c r="T567" s="30" t="s">
        <v>1780</v>
      </c>
      <c r="U567" s="30" t="s">
        <v>588</v>
      </c>
      <c r="V567" s="30" t="s">
        <v>600</v>
      </c>
      <c r="W567" s="30" t="s">
        <v>456</v>
      </c>
      <c r="X567" s="89" t="s">
        <v>1757</v>
      </c>
      <c r="Y567" s="30" t="s">
        <v>576</v>
      </c>
      <c r="Z567" s="30" t="s">
        <v>576</v>
      </c>
      <c r="AA567" s="20" t="s">
        <v>148</v>
      </c>
      <c r="AB567" s="72" t="s">
        <v>177</v>
      </c>
      <c r="AC567" s="48" t="s">
        <v>150</v>
      </c>
      <c r="AD567" s="30"/>
      <c r="AE567" s="30"/>
      <c r="AF567" s="48" t="s">
        <v>179</v>
      </c>
      <c r="AG567" s="48" t="s">
        <v>152</v>
      </c>
      <c r="AH567" s="30"/>
      <c r="AI567" s="30"/>
      <c r="AJ567" s="30"/>
      <c r="AK567" s="50">
        <v>44446</v>
      </c>
      <c r="AL567" s="51">
        <f t="shared" si="371"/>
        <v>4.1506849315068495</v>
      </c>
      <c r="AM567" s="30">
        <v>8</v>
      </c>
      <c r="AN567" s="30"/>
      <c r="AO567" s="30" t="s">
        <v>1050</v>
      </c>
      <c r="AP567" s="30" t="s">
        <v>1187</v>
      </c>
      <c r="AQ567" s="30">
        <v>0.66</v>
      </c>
      <c r="AR567" s="30">
        <v>1487</v>
      </c>
      <c r="AS567" s="30">
        <v>1622</v>
      </c>
      <c r="AT567" s="30">
        <v>1423</v>
      </c>
      <c r="AU567" s="54">
        <v>166768203</v>
      </c>
      <c r="AV567" s="54"/>
      <c r="AW567" s="54"/>
      <c r="AX567" s="54"/>
      <c r="AY567" s="54">
        <v>81646933</v>
      </c>
      <c r="AZ567" s="54">
        <v>1737169</v>
      </c>
      <c r="BA567" s="54">
        <v>79909763</v>
      </c>
      <c r="BB567" s="55">
        <f>VLOOKUP(M567,[1]Sheet1!$E$6:$F$556,2,FALSE)</f>
        <v>16428866</v>
      </c>
      <c r="BC567" s="74"/>
      <c r="BD567" s="74"/>
      <c r="BE567" s="30"/>
      <c r="BF567" s="30" t="s">
        <v>1739</v>
      </c>
      <c r="BG567" s="30" t="s">
        <v>1746</v>
      </c>
      <c r="BH567" s="30" t="s">
        <v>136</v>
      </c>
      <c r="BI567" s="30" t="str">
        <f t="shared" si="358"/>
        <v>Test</v>
      </c>
      <c r="BJ567" s="47" t="s">
        <v>137</v>
      </c>
      <c r="BK567" s="56">
        <f t="shared" si="372"/>
        <v>83905251.150000006</v>
      </c>
      <c r="BL567" s="57">
        <f t="shared" si="385"/>
        <v>7998580.0138994362</v>
      </c>
      <c r="BM567" s="57">
        <f t="shared" si="386"/>
        <v>2666193.3379664789</v>
      </c>
      <c r="BU567" s="58">
        <f>BM567*3</f>
        <v>7998580.0138994362</v>
      </c>
      <c r="BV567" s="58">
        <f t="shared" si="390"/>
        <v>7998580.0138994362</v>
      </c>
      <c r="BW567" s="58">
        <f>SUM(BS567:BV567)</f>
        <v>15997160.027798872</v>
      </c>
      <c r="BX567" s="58">
        <f t="shared" si="393"/>
        <v>7998580.0138994362</v>
      </c>
      <c r="BY567" s="58">
        <f t="shared" si="396"/>
        <v>7998580.0138994362</v>
      </c>
      <c r="BZ567" s="58">
        <f>BM567*3</f>
        <v>7998580.0138994362</v>
      </c>
      <c r="CA567" s="58">
        <f t="shared" si="396"/>
        <v>7998580.0138994362</v>
      </c>
      <c r="CB567" s="58">
        <f t="shared" si="360"/>
        <v>31994320.055597745</v>
      </c>
      <c r="CC567" s="58">
        <f t="shared" si="361"/>
        <v>7998580.0138994362</v>
      </c>
      <c r="CD567" s="58">
        <f t="shared" si="382"/>
        <v>7998580.0138994362</v>
      </c>
      <c r="CE567" s="58">
        <f t="shared" si="382"/>
        <v>7998580.0138994362</v>
      </c>
      <c r="CF567" s="58">
        <f t="shared" si="382"/>
        <v>7998580.0138994362</v>
      </c>
      <c r="CG567" s="58">
        <f t="shared" si="362"/>
        <v>31994320.055597745</v>
      </c>
      <c r="CH567" s="58">
        <f t="shared" si="394"/>
        <v>7998580.0138994362</v>
      </c>
      <c r="CI567" s="58">
        <f t="shared" si="391"/>
        <v>7998580.0138994362</v>
      </c>
      <c r="CJ567" s="58">
        <f t="shared" si="391"/>
        <v>7998580.0138994362</v>
      </c>
      <c r="CK567" s="58">
        <f t="shared" si="391"/>
        <v>7998580.0138994362</v>
      </c>
      <c r="CL567" s="58">
        <f t="shared" si="395"/>
        <v>31994320.055597745</v>
      </c>
      <c r="CN567" s="59">
        <f t="shared" si="397"/>
        <v>8.1928242521324742E-3</v>
      </c>
      <c r="CO567" s="64">
        <f t="shared" si="398"/>
        <v>172049309.29478195</v>
      </c>
      <c r="CP567" s="2">
        <f t="shared" si="359"/>
        <v>255954560.44478196</v>
      </c>
    </row>
    <row r="568" spans="1:94" ht="16.5" hidden="1" x14ac:dyDescent="0.3">
      <c r="A568" s="2">
        <v>563</v>
      </c>
      <c r="B568" s="47" t="s">
        <v>21</v>
      </c>
      <c r="C568" s="47"/>
      <c r="D568" s="30" t="s">
        <v>1725</v>
      </c>
      <c r="E568" s="30" t="s">
        <v>1042</v>
      </c>
      <c r="F568" s="30" t="s">
        <v>1043</v>
      </c>
      <c r="G568" s="30" t="s">
        <v>117</v>
      </c>
      <c r="H568" s="30"/>
      <c r="I568" s="30" t="s">
        <v>119</v>
      </c>
      <c r="J568" s="30" t="s">
        <v>120</v>
      </c>
      <c r="K568" s="30" t="s">
        <v>121</v>
      </c>
      <c r="L568" s="30" t="s">
        <v>1741</v>
      </c>
      <c r="M568" s="30">
        <v>1007938</v>
      </c>
      <c r="N568" s="30" t="s">
        <v>138</v>
      </c>
      <c r="O568" s="30" t="s">
        <v>1814</v>
      </c>
      <c r="P568" s="30" t="s">
        <v>453</v>
      </c>
      <c r="Q568" s="30" t="s">
        <v>453</v>
      </c>
      <c r="R568" s="30" t="s">
        <v>173</v>
      </c>
      <c r="S568" s="30" t="s">
        <v>1815</v>
      </c>
      <c r="T568" s="30" t="s">
        <v>1780</v>
      </c>
      <c r="U568" s="30" t="s">
        <v>588</v>
      </c>
      <c r="V568" s="30" t="s">
        <v>600</v>
      </c>
      <c r="W568" s="30" t="s">
        <v>456</v>
      </c>
      <c r="X568" s="89" t="s">
        <v>1764</v>
      </c>
      <c r="Y568" s="143" t="s">
        <v>576</v>
      </c>
      <c r="Z568" s="143" t="s">
        <v>576</v>
      </c>
      <c r="AA568" s="20" t="s">
        <v>148</v>
      </c>
      <c r="AB568" s="72" t="s">
        <v>177</v>
      </c>
      <c r="AC568" s="48" t="s">
        <v>150</v>
      </c>
      <c r="AD568" s="30"/>
      <c r="AE568" s="30"/>
      <c r="AF568" s="48" t="s">
        <v>179</v>
      </c>
      <c r="AG568" s="48" t="s">
        <v>152</v>
      </c>
      <c r="AH568" s="30"/>
      <c r="AI568" s="30"/>
      <c r="AJ568" s="30"/>
      <c r="AK568" s="50">
        <v>43220</v>
      </c>
      <c r="AL568" s="51">
        <f t="shared" si="371"/>
        <v>7.5095890410958903</v>
      </c>
      <c r="AM568" s="30">
        <v>8</v>
      </c>
      <c r="AN568" s="30"/>
      <c r="AO568" s="30" t="s">
        <v>1050</v>
      </c>
      <c r="AP568" s="30" t="s">
        <v>1187</v>
      </c>
      <c r="AQ568" s="30">
        <v>0.66</v>
      </c>
      <c r="AR568" s="30">
        <v>1487</v>
      </c>
      <c r="AS568" s="30">
        <v>1622</v>
      </c>
      <c r="AT568" s="30">
        <v>1423</v>
      </c>
      <c r="AU568" s="54">
        <v>156857552</v>
      </c>
      <c r="AV568" s="54"/>
      <c r="AW568" s="54"/>
      <c r="AX568" s="54"/>
      <c r="AY568" s="54">
        <v>142940490</v>
      </c>
      <c r="AZ568" s="54">
        <v>1630630</v>
      </c>
      <c r="BA568" s="54">
        <v>9025172</v>
      </c>
      <c r="BB568" s="55">
        <f>VLOOKUP(M568,[1]Sheet1!$E$6:$F$556,2,FALSE)</f>
        <v>1000</v>
      </c>
      <c r="BC568" s="74"/>
      <c r="BD568" s="74"/>
      <c r="BE568" s="30"/>
      <c r="BF568" s="30" t="s">
        <v>1739</v>
      </c>
      <c r="BG568" s="30" t="s">
        <v>1746</v>
      </c>
      <c r="BH568" s="30" t="s">
        <v>136</v>
      </c>
      <c r="BI568" s="30" t="str">
        <f t="shared" si="358"/>
        <v>Test</v>
      </c>
      <c r="BJ568" s="47" t="s">
        <v>137</v>
      </c>
      <c r="BK568" s="67">
        <f t="shared" si="372"/>
        <v>9476430.5999999996</v>
      </c>
      <c r="BL568" s="68">
        <f t="shared" si="385"/>
        <v>903375.97899276461</v>
      </c>
      <c r="BM568" s="68">
        <f t="shared" si="386"/>
        <v>301125.32633092155</v>
      </c>
      <c r="BP568" s="69">
        <f t="shared" si="387"/>
        <v>903375.97899276461</v>
      </c>
      <c r="BQ568" s="69">
        <f t="shared" si="388"/>
        <v>903375.97899276461</v>
      </c>
      <c r="BR568" s="69">
        <f t="shared" si="392"/>
        <v>1806751.9579855292</v>
      </c>
      <c r="BS568" s="69">
        <f t="shared" si="389"/>
        <v>903375.97899276461</v>
      </c>
      <c r="BT568" s="69">
        <f t="shared" si="390"/>
        <v>903375.97899276461</v>
      </c>
      <c r="BU568" s="100">
        <f t="shared" si="390"/>
        <v>903375.97899276461</v>
      </c>
      <c r="BV568" s="100">
        <f t="shared" si="390"/>
        <v>903375.97899276461</v>
      </c>
      <c r="BW568" s="100">
        <f t="shared" si="366"/>
        <v>3613503.9159710584</v>
      </c>
      <c r="BX568" s="101">
        <f t="shared" si="393"/>
        <v>903375.97899276461</v>
      </c>
      <c r="BY568" s="101">
        <f t="shared" si="396"/>
        <v>903375.97899276461</v>
      </c>
      <c r="BZ568" s="18">
        <f t="shared" si="396"/>
        <v>903375.97899276461</v>
      </c>
      <c r="CA568" s="18">
        <f t="shared" si="396"/>
        <v>903375.97899276461</v>
      </c>
      <c r="CB568" s="70">
        <f t="shared" si="360"/>
        <v>3613503.9159710584</v>
      </c>
      <c r="CC568" s="18">
        <f t="shared" si="361"/>
        <v>903375.97899276461</v>
      </c>
      <c r="CD568" s="18">
        <f t="shared" si="382"/>
        <v>903375.97899276461</v>
      </c>
      <c r="CE568" s="18">
        <f t="shared" si="382"/>
        <v>903375.97899276461</v>
      </c>
      <c r="CF568" s="18">
        <f t="shared" si="382"/>
        <v>903375.97899276461</v>
      </c>
      <c r="CG568" s="70">
        <f t="shared" si="362"/>
        <v>3613503.9159710584</v>
      </c>
      <c r="CH568" s="18">
        <f t="shared" si="394"/>
        <v>903375.97899276461</v>
      </c>
      <c r="CI568" s="18">
        <f t="shared" si="391"/>
        <v>903375.97899276461</v>
      </c>
      <c r="CJ568" s="18">
        <f t="shared" si="391"/>
        <v>903375.97899276461</v>
      </c>
      <c r="CK568" s="18">
        <f t="shared" si="391"/>
        <v>903375.97899276461</v>
      </c>
      <c r="CL568" s="70">
        <f t="shared" si="395"/>
        <v>3613503.9159710584</v>
      </c>
      <c r="CM568" s="71"/>
      <c r="CN568" s="59">
        <f t="shared" si="397"/>
        <v>9.2531432036992698E-4</v>
      </c>
      <c r="CO568" s="64">
        <f t="shared" si="398"/>
        <v>19431600.727768466</v>
      </c>
      <c r="CP568" s="2">
        <f t="shared" si="359"/>
        <v>28908031.327768467</v>
      </c>
    </row>
    <row r="569" spans="1:94" ht="16.5" hidden="1" x14ac:dyDescent="0.3">
      <c r="A569" s="2">
        <v>564</v>
      </c>
      <c r="B569" s="47" t="s">
        <v>21</v>
      </c>
      <c r="C569" s="47"/>
      <c r="D569" s="30" t="s">
        <v>1725</v>
      </c>
      <c r="E569" s="30" t="s">
        <v>1042</v>
      </c>
      <c r="F569" s="30" t="s">
        <v>1043</v>
      </c>
      <c r="G569" s="30" t="s">
        <v>117</v>
      </c>
      <c r="H569" s="30"/>
      <c r="I569" s="30" t="s">
        <v>119</v>
      </c>
      <c r="J569" s="30" t="s">
        <v>120</v>
      </c>
      <c r="K569" s="30" t="s">
        <v>121</v>
      </c>
      <c r="L569" s="30" t="s">
        <v>1741</v>
      </c>
      <c r="M569" s="30">
        <v>1004283</v>
      </c>
      <c r="N569" s="30" t="s">
        <v>138</v>
      </c>
      <c r="O569" s="30" t="s">
        <v>1816</v>
      </c>
      <c r="P569" s="30" t="s">
        <v>453</v>
      </c>
      <c r="Q569" s="30" t="s">
        <v>453</v>
      </c>
      <c r="R569" s="30" t="s">
        <v>173</v>
      </c>
      <c r="S569" s="30" t="s">
        <v>1817</v>
      </c>
      <c r="T569" s="30" t="s">
        <v>1780</v>
      </c>
      <c r="U569" s="30" t="s">
        <v>588</v>
      </c>
      <c r="V569" s="30" t="s">
        <v>600</v>
      </c>
      <c r="W569" s="30" t="s">
        <v>456</v>
      </c>
      <c r="X569" s="89" t="s">
        <v>1764</v>
      </c>
      <c r="Y569" s="143" t="s">
        <v>576</v>
      </c>
      <c r="Z569" s="143" t="s">
        <v>576</v>
      </c>
      <c r="AA569" s="20" t="s">
        <v>148</v>
      </c>
      <c r="AB569" s="72" t="s">
        <v>177</v>
      </c>
      <c r="AC569" s="48" t="s">
        <v>150</v>
      </c>
      <c r="AD569" s="30"/>
      <c r="AE569" s="30"/>
      <c r="AF569" s="48" t="s">
        <v>179</v>
      </c>
      <c r="AG569" s="48" t="s">
        <v>152</v>
      </c>
      <c r="AH569" s="30"/>
      <c r="AI569" s="30"/>
      <c r="AJ569" s="30"/>
      <c r="AK569" s="50">
        <v>41751</v>
      </c>
      <c r="AL569" s="51">
        <f t="shared" si="371"/>
        <v>11.534246575342467</v>
      </c>
      <c r="AM569" s="30">
        <v>8</v>
      </c>
      <c r="AN569" s="30"/>
      <c r="AO569" s="30" t="s">
        <v>1050</v>
      </c>
      <c r="AP569" s="30" t="s">
        <v>1051</v>
      </c>
      <c r="AQ569" s="30">
        <v>0.66</v>
      </c>
      <c r="AR569" s="30">
        <v>1487</v>
      </c>
      <c r="AS569" s="30">
        <v>1622</v>
      </c>
      <c r="AT569" s="30">
        <v>1423</v>
      </c>
      <c r="AU569" s="54">
        <v>217740485</v>
      </c>
      <c r="AV569" s="54"/>
      <c r="AW569" s="54"/>
      <c r="AX569" s="54"/>
      <c r="AY569" s="54">
        <v>217739485</v>
      </c>
      <c r="AZ569" s="54">
        <v>1684912</v>
      </c>
      <c r="BA569" s="54">
        <v>1000</v>
      </c>
      <c r="BB569" s="55">
        <f>VLOOKUP(M569,[1]Sheet1!$E$6:$F$556,2,FALSE)</f>
        <v>1000</v>
      </c>
      <c r="BC569" s="74"/>
      <c r="BD569" s="74"/>
      <c r="BE569" s="30"/>
      <c r="BF569" s="30" t="s">
        <v>1745</v>
      </c>
      <c r="BG569" s="30" t="s">
        <v>1746</v>
      </c>
      <c r="BH569" s="30" t="s">
        <v>136</v>
      </c>
      <c r="BI569" s="30" t="str">
        <f t="shared" si="358"/>
        <v>Test</v>
      </c>
      <c r="BJ569" s="47" t="s">
        <v>137</v>
      </c>
      <c r="BK569" s="67">
        <f t="shared" si="372"/>
        <v>4354809.7</v>
      </c>
      <c r="BL569" s="68">
        <f t="shared" si="385"/>
        <v>415138.4252278161</v>
      </c>
      <c r="BM569" s="68">
        <f t="shared" si="386"/>
        <v>138379.47507593871</v>
      </c>
      <c r="BP569" s="69">
        <f t="shared" si="387"/>
        <v>415138.4252278161</v>
      </c>
      <c r="BQ569" s="69">
        <f t="shared" si="388"/>
        <v>415138.4252278161</v>
      </c>
      <c r="BR569" s="69">
        <f t="shared" si="392"/>
        <v>830276.8504556322</v>
      </c>
      <c r="BS569" s="69">
        <f t="shared" si="389"/>
        <v>415138.4252278161</v>
      </c>
      <c r="BT569" s="69">
        <f t="shared" si="390"/>
        <v>415138.4252278161</v>
      </c>
      <c r="BU569" s="100">
        <f t="shared" si="390"/>
        <v>415138.4252278161</v>
      </c>
      <c r="BV569" s="100">
        <f t="shared" si="390"/>
        <v>415138.4252278161</v>
      </c>
      <c r="BW569" s="100">
        <f t="shared" si="366"/>
        <v>1660553.7009112644</v>
      </c>
      <c r="BX569" s="101">
        <f t="shared" si="393"/>
        <v>415138.4252278161</v>
      </c>
      <c r="BY569" s="101">
        <f t="shared" si="396"/>
        <v>415138.4252278161</v>
      </c>
      <c r="BZ569" s="18">
        <f t="shared" si="396"/>
        <v>415138.4252278161</v>
      </c>
      <c r="CA569" s="18">
        <f t="shared" si="396"/>
        <v>415138.4252278161</v>
      </c>
      <c r="CB569" s="70">
        <f t="shared" si="360"/>
        <v>1660553.7009112644</v>
      </c>
      <c r="CC569" s="18">
        <f t="shared" si="361"/>
        <v>415138.4252278161</v>
      </c>
      <c r="CD569" s="18">
        <f t="shared" ref="CD569:CF588" si="399">CC569</f>
        <v>415138.4252278161</v>
      </c>
      <c r="CE569" s="18">
        <f t="shared" si="399"/>
        <v>415138.4252278161</v>
      </c>
      <c r="CF569" s="18">
        <f t="shared" si="399"/>
        <v>415138.4252278161</v>
      </c>
      <c r="CG569" s="70">
        <f t="shared" si="362"/>
        <v>1660553.7009112644</v>
      </c>
      <c r="CH569" s="18">
        <f t="shared" si="394"/>
        <v>415138.4252278161</v>
      </c>
      <c r="CI569" s="18">
        <f t="shared" si="391"/>
        <v>415138.4252278161</v>
      </c>
      <c r="CJ569" s="18">
        <f t="shared" si="391"/>
        <v>415138.4252278161</v>
      </c>
      <c r="CK569" s="18">
        <f t="shared" si="391"/>
        <v>415138.4252278161</v>
      </c>
      <c r="CL569" s="70">
        <f t="shared" si="395"/>
        <v>1660553.7009112644</v>
      </c>
      <c r="CM569" s="71"/>
      <c r="CN569" s="59">
        <f t="shared" si="397"/>
        <v>4.2521999558524349E-4</v>
      </c>
      <c r="CO569" s="64">
        <f t="shared" si="398"/>
        <v>8929619.9072901141</v>
      </c>
      <c r="CP569" s="2">
        <f t="shared" si="359"/>
        <v>13284429.607290115</v>
      </c>
    </row>
    <row r="570" spans="1:94" ht="16.5" hidden="1" x14ac:dyDescent="0.3">
      <c r="A570" s="2">
        <v>565</v>
      </c>
      <c r="B570" s="47" t="s">
        <v>21</v>
      </c>
      <c r="C570" s="47"/>
      <c r="D570" s="30" t="s">
        <v>1725</v>
      </c>
      <c r="E570" s="30" t="s">
        <v>1042</v>
      </c>
      <c r="F570" s="30" t="s">
        <v>1043</v>
      </c>
      <c r="G570" s="30" t="s">
        <v>117</v>
      </c>
      <c r="H570" s="30"/>
      <c r="I570" s="30" t="s">
        <v>119</v>
      </c>
      <c r="J570" s="30" t="s">
        <v>120</v>
      </c>
      <c r="K570" s="30" t="s">
        <v>121</v>
      </c>
      <c r="L570" s="30" t="s">
        <v>1741</v>
      </c>
      <c r="M570" s="30">
        <v>1007939</v>
      </c>
      <c r="N570" s="30" t="s">
        <v>138</v>
      </c>
      <c r="O570" s="30" t="s">
        <v>1818</v>
      </c>
      <c r="P570" s="30" t="s">
        <v>453</v>
      </c>
      <c r="Q570" s="30" t="s">
        <v>453</v>
      </c>
      <c r="R570" s="30" t="s">
        <v>173</v>
      </c>
      <c r="S570" s="30" t="s">
        <v>1819</v>
      </c>
      <c r="T570" s="30" t="s">
        <v>1780</v>
      </c>
      <c r="U570" s="30" t="s">
        <v>588</v>
      </c>
      <c r="V570" s="30" t="s">
        <v>600</v>
      </c>
      <c r="W570" s="30" t="s">
        <v>456</v>
      </c>
      <c r="X570" s="89" t="s">
        <v>1757</v>
      </c>
      <c r="Y570" s="30" t="s">
        <v>576</v>
      </c>
      <c r="Z570" s="30" t="s">
        <v>576</v>
      </c>
      <c r="AA570" s="20" t="s">
        <v>148</v>
      </c>
      <c r="AB570" s="72" t="s">
        <v>177</v>
      </c>
      <c r="AC570" s="48" t="s">
        <v>150</v>
      </c>
      <c r="AD570" s="30"/>
      <c r="AE570" s="30"/>
      <c r="AF570" s="48" t="s">
        <v>179</v>
      </c>
      <c r="AG570" s="48" t="s">
        <v>152</v>
      </c>
      <c r="AH570" s="30"/>
      <c r="AI570" s="30"/>
      <c r="AJ570" s="30"/>
      <c r="AK570" s="50">
        <v>41820</v>
      </c>
      <c r="AL570" s="51">
        <f t="shared" si="371"/>
        <v>11.345205479452055</v>
      </c>
      <c r="AM570" s="30">
        <v>8</v>
      </c>
      <c r="AN570" s="30"/>
      <c r="AO570" s="30" t="s">
        <v>1050</v>
      </c>
      <c r="AP570" s="30" t="s">
        <v>1187</v>
      </c>
      <c r="AQ570" s="30">
        <v>0.66</v>
      </c>
      <c r="AR570" s="30">
        <v>1487</v>
      </c>
      <c r="AS570" s="30">
        <v>1622</v>
      </c>
      <c r="AT570" s="30">
        <v>1423</v>
      </c>
      <c r="AU570" s="54">
        <v>169732704</v>
      </c>
      <c r="AV570" s="54"/>
      <c r="AW570" s="54"/>
      <c r="AX570" s="54"/>
      <c r="AY570" s="54">
        <v>156035851</v>
      </c>
      <c r="AZ570" s="54">
        <v>1768049</v>
      </c>
      <c r="BA570" s="54">
        <v>8392706</v>
      </c>
      <c r="BB570" s="55">
        <f>VLOOKUP(M570,[1]Sheet1!$E$6:$F$556,2,FALSE)</f>
        <v>1000</v>
      </c>
      <c r="BC570" s="74"/>
      <c r="BD570" s="74"/>
      <c r="BE570" s="30"/>
      <c r="BF570" s="30" t="s">
        <v>1739</v>
      </c>
      <c r="BG570" s="30" t="s">
        <v>1746</v>
      </c>
      <c r="BH570" s="30" t="s">
        <v>136</v>
      </c>
      <c r="BI570" s="30" t="str">
        <f t="shared" si="358"/>
        <v>Test</v>
      </c>
      <c r="BJ570" s="47" t="s">
        <v>137</v>
      </c>
      <c r="BK570" s="56">
        <f t="shared" si="372"/>
        <v>8812341.3000000007</v>
      </c>
      <c r="BL570" s="57">
        <f t="shared" si="385"/>
        <v>840069.19747883477</v>
      </c>
      <c r="BM570" s="57">
        <f t="shared" si="386"/>
        <v>280023.06582627824</v>
      </c>
      <c r="BU570" s="58">
        <f>BM570*3</f>
        <v>840069.19747883477</v>
      </c>
      <c r="BV570" s="58">
        <f t="shared" si="390"/>
        <v>840069.19747883477</v>
      </c>
      <c r="BW570" s="58">
        <f>SUM(BS570:BV570)</f>
        <v>1680138.3949576695</v>
      </c>
      <c r="BX570" s="58">
        <f t="shared" si="393"/>
        <v>840069.19747883477</v>
      </c>
      <c r="BY570" s="58">
        <f t="shared" si="396"/>
        <v>840069.19747883477</v>
      </c>
      <c r="BZ570" s="58">
        <f>BM570*3</f>
        <v>840069.19747883477</v>
      </c>
      <c r="CA570" s="58">
        <f t="shared" si="396"/>
        <v>840069.19747883477</v>
      </c>
      <c r="CB570" s="58">
        <f t="shared" si="360"/>
        <v>3360276.7899153391</v>
      </c>
      <c r="CC570" s="58">
        <f t="shared" si="361"/>
        <v>840069.19747883477</v>
      </c>
      <c r="CD570" s="58">
        <f t="shared" si="399"/>
        <v>840069.19747883477</v>
      </c>
      <c r="CE570" s="58">
        <f t="shared" si="399"/>
        <v>840069.19747883477</v>
      </c>
      <c r="CF570" s="58">
        <f t="shared" si="399"/>
        <v>840069.19747883477</v>
      </c>
      <c r="CG570" s="58">
        <f t="shared" si="362"/>
        <v>3360276.7899153391</v>
      </c>
      <c r="CH570" s="58">
        <f t="shared" si="394"/>
        <v>840069.19747883477</v>
      </c>
      <c r="CI570" s="58">
        <f t="shared" si="391"/>
        <v>840069.19747883477</v>
      </c>
      <c r="CJ570" s="58">
        <f t="shared" si="391"/>
        <v>840069.19747883477</v>
      </c>
      <c r="CK570" s="58">
        <f t="shared" si="391"/>
        <v>840069.19747883477</v>
      </c>
      <c r="CL570" s="58">
        <f t="shared" si="395"/>
        <v>3360276.7899153391</v>
      </c>
      <c r="CN570" s="59">
        <f t="shared" si="397"/>
        <v>8.60470143777272E-4</v>
      </c>
      <c r="CO570" s="64">
        <f t="shared" si="398"/>
        <v>18069873.019322712</v>
      </c>
      <c r="CP570" s="2">
        <f t="shared" si="359"/>
        <v>26882214.319322713</v>
      </c>
    </row>
    <row r="571" spans="1:94" hidden="1" x14ac:dyDescent="0.3">
      <c r="A571" s="29">
        <v>566</v>
      </c>
      <c r="B571" s="30" t="s">
        <v>21</v>
      </c>
      <c r="C571" s="30"/>
      <c r="D571" s="30" t="s">
        <v>1725</v>
      </c>
      <c r="E571" s="30" t="s">
        <v>1042</v>
      </c>
      <c r="F571" s="30" t="s">
        <v>1043</v>
      </c>
      <c r="G571" s="30" t="s">
        <v>117</v>
      </c>
      <c r="H571" s="30"/>
      <c r="I571" s="30" t="s">
        <v>119</v>
      </c>
      <c r="J571" s="30" t="s">
        <v>120</v>
      </c>
      <c r="K571" s="30" t="s">
        <v>121</v>
      </c>
      <c r="L571" s="30" t="s">
        <v>1741</v>
      </c>
      <c r="M571" s="30">
        <v>1007940</v>
      </c>
      <c r="N571" s="30" t="s">
        <v>138</v>
      </c>
      <c r="O571" s="30" t="s">
        <v>1820</v>
      </c>
      <c r="P571" s="30" t="s">
        <v>453</v>
      </c>
      <c r="Q571" s="30" t="s">
        <v>453</v>
      </c>
      <c r="R571" s="30" t="s">
        <v>173</v>
      </c>
      <c r="S571" s="30" t="s">
        <v>1821</v>
      </c>
      <c r="T571" s="30" t="s">
        <v>1780</v>
      </c>
      <c r="U571" s="30" t="s">
        <v>588</v>
      </c>
      <c r="V571" s="30" t="s">
        <v>600</v>
      </c>
      <c r="W571" s="30" t="s">
        <v>456</v>
      </c>
      <c r="X571" s="89"/>
      <c r="Y571" s="30" t="s">
        <v>576</v>
      </c>
      <c r="Z571" s="30" t="s">
        <v>576</v>
      </c>
      <c r="AA571" s="20" t="s">
        <v>148</v>
      </c>
      <c r="AB571" s="72" t="s">
        <v>177</v>
      </c>
      <c r="AC571" s="48" t="s">
        <v>150</v>
      </c>
      <c r="AD571" s="30"/>
      <c r="AE571" s="30"/>
      <c r="AF571" s="48" t="s">
        <v>179</v>
      </c>
      <c r="AG571" s="48" t="s">
        <v>152</v>
      </c>
      <c r="AH571" s="30"/>
      <c r="AI571" s="30"/>
      <c r="AJ571" s="30"/>
      <c r="AK571" s="50">
        <v>41820</v>
      </c>
      <c r="AL571" s="51">
        <f t="shared" si="371"/>
        <v>11.345205479452055</v>
      </c>
      <c r="AM571" s="30">
        <v>8</v>
      </c>
      <c r="AN571" s="30"/>
      <c r="AO571" s="30" t="s">
        <v>1050</v>
      </c>
      <c r="AP571" s="30" t="s">
        <v>1187</v>
      </c>
      <c r="AQ571" s="30">
        <v>0.66</v>
      </c>
      <c r="AR571" s="30">
        <v>1487</v>
      </c>
      <c r="AS571" s="30">
        <v>1622</v>
      </c>
      <c r="AT571" s="30">
        <v>1423</v>
      </c>
      <c r="AU571" s="74">
        <v>169732704</v>
      </c>
      <c r="AV571" s="54"/>
      <c r="AW571" s="54"/>
      <c r="AX571" s="54"/>
      <c r="AY571" s="54">
        <v>156035851</v>
      </c>
      <c r="AZ571" s="54">
        <v>1768049</v>
      </c>
      <c r="BA571" s="74">
        <v>8392706</v>
      </c>
      <c r="BB571" s="55">
        <f>VLOOKUP(M571,[1]Sheet1!$E$6:$F$556,2,FALSE)</f>
        <v>1000</v>
      </c>
      <c r="BC571" s="74"/>
      <c r="BD571" s="74"/>
      <c r="BE571" s="30"/>
      <c r="BF571" s="30" t="s">
        <v>1739</v>
      </c>
      <c r="BG571" s="30" t="s">
        <v>1746</v>
      </c>
      <c r="BH571" s="30" t="s">
        <v>136</v>
      </c>
      <c r="BI571" s="30" t="str">
        <f t="shared" si="358"/>
        <v>Test</v>
      </c>
      <c r="BJ571" s="30" t="s">
        <v>250</v>
      </c>
      <c r="BK571" s="56">
        <f t="shared" si="372"/>
        <v>8812341.3000000007</v>
      </c>
      <c r="BL571" s="57">
        <f t="shared" si="385"/>
        <v>275385.66562500002</v>
      </c>
      <c r="BM571" s="57">
        <f t="shared" si="386"/>
        <v>91795.221875000003</v>
      </c>
      <c r="BU571" s="58">
        <f>BM571*3</f>
        <v>275385.66562500002</v>
      </c>
      <c r="BV571" s="58">
        <f>BU571</f>
        <v>275385.66562500002</v>
      </c>
      <c r="BW571" s="58">
        <f>SUM(BS571:BV571)</f>
        <v>550771.33125000005</v>
      </c>
      <c r="BX571" s="58">
        <f t="shared" si="393"/>
        <v>275385.66562500002</v>
      </c>
      <c r="BY571" s="58">
        <f t="shared" si="396"/>
        <v>275385.66562500002</v>
      </c>
      <c r="BZ571" s="58">
        <f>BM571*3</f>
        <v>275385.66562500002</v>
      </c>
      <c r="CA571" s="58">
        <f t="shared" si="396"/>
        <v>275385.66562500002</v>
      </c>
      <c r="CB571" s="58">
        <f t="shared" si="360"/>
        <v>1101542.6625000001</v>
      </c>
      <c r="CC571" s="58">
        <f t="shared" si="361"/>
        <v>275385.66562500002</v>
      </c>
      <c r="CD571" s="58">
        <f t="shared" si="399"/>
        <v>275385.66562500002</v>
      </c>
      <c r="CE571" s="58">
        <f t="shared" si="399"/>
        <v>275385.66562500002</v>
      </c>
      <c r="CF571" s="58">
        <f t="shared" si="399"/>
        <v>275385.66562500002</v>
      </c>
      <c r="CG571" s="58">
        <f t="shared" si="362"/>
        <v>1101542.6625000001</v>
      </c>
      <c r="CH571" s="58">
        <f t="shared" si="394"/>
        <v>275385.66562500002</v>
      </c>
      <c r="CI571" s="58">
        <f t="shared" si="391"/>
        <v>275385.66562500002</v>
      </c>
      <c r="CJ571" s="58">
        <f t="shared" si="391"/>
        <v>275385.66562500002</v>
      </c>
      <c r="CK571" s="58">
        <f t="shared" si="391"/>
        <v>275385.66562500002</v>
      </c>
      <c r="CL571" s="58">
        <f t="shared" si="395"/>
        <v>1101542.6625000001</v>
      </c>
      <c r="CP571" s="2">
        <f t="shared" si="359"/>
        <v>8812341.3000000007</v>
      </c>
    </row>
    <row r="572" spans="1:94" hidden="1" x14ac:dyDescent="0.3">
      <c r="A572" s="29">
        <v>567</v>
      </c>
      <c r="B572" s="30" t="s">
        <v>21</v>
      </c>
      <c r="C572" s="30"/>
      <c r="D572" s="30" t="s">
        <v>1725</v>
      </c>
      <c r="E572" s="30" t="s">
        <v>1042</v>
      </c>
      <c r="F572" s="30" t="s">
        <v>1043</v>
      </c>
      <c r="G572" s="30" t="s">
        <v>117</v>
      </c>
      <c r="H572" s="30"/>
      <c r="I572" s="30" t="s">
        <v>119</v>
      </c>
      <c r="J572" s="30" t="s">
        <v>120</v>
      </c>
      <c r="K572" s="30" t="s">
        <v>121</v>
      </c>
      <c r="L572" s="30" t="s">
        <v>1741</v>
      </c>
      <c r="M572" s="30">
        <v>1003483</v>
      </c>
      <c r="N572" s="30" t="s">
        <v>138</v>
      </c>
      <c r="O572" s="30" t="s">
        <v>1822</v>
      </c>
      <c r="P572" s="30" t="s">
        <v>1823</v>
      </c>
      <c r="Q572" s="30" t="s">
        <v>232</v>
      </c>
      <c r="R572" s="30" t="s">
        <v>142</v>
      </c>
      <c r="S572" s="30">
        <v>310597715</v>
      </c>
      <c r="T572" s="30" t="s">
        <v>1752</v>
      </c>
      <c r="U572" s="30" t="s">
        <v>1753</v>
      </c>
      <c r="V572" s="30" t="s">
        <v>145</v>
      </c>
      <c r="W572" s="30" t="s">
        <v>146</v>
      </c>
      <c r="X572" s="48"/>
      <c r="Y572" s="30" t="s">
        <v>576</v>
      </c>
      <c r="Z572" s="30" t="s">
        <v>576</v>
      </c>
      <c r="AA572" s="20" t="s">
        <v>148</v>
      </c>
      <c r="AB572" s="48" t="s">
        <v>149</v>
      </c>
      <c r="AC572" s="48" t="s">
        <v>150</v>
      </c>
      <c r="AD572" s="30"/>
      <c r="AE572" s="30"/>
      <c r="AF572" s="48" t="s">
        <v>151</v>
      </c>
      <c r="AG572" s="48" t="s">
        <v>152</v>
      </c>
      <c r="AH572" s="48" t="s">
        <v>153</v>
      </c>
      <c r="AI572" s="30"/>
      <c r="AJ572" s="30"/>
      <c r="AK572" s="50">
        <v>41116</v>
      </c>
      <c r="AL572" s="51">
        <f t="shared" si="371"/>
        <v>13.273972602739725</v>
      </c>
      <c r="AM572" s="30">
        <v>8</v>
      </c>
      <c r="AN572" s="30"/>
      <c r="AO572" s="30" t="s">
        <v>1050</v>
      </c>
      <c r="AP572" s="30" t="s">
        <v>1051</v>
      </c>
      <c r="AQ572" s="30">
        <v>9.83</v>
      </c>
      <c r="AR572" s="30">
        <v>1250</v>
      </c>
      <c r="AS572" s="30">
        <v>950</v>
      </c>
      <c r="AT572" s="30">
        <v>1800</v>
      </c>
      <c r="AU572" s="74">
        <v>830435902</v>
      </c>
      <c r="AV572" s="54"/>
      <c r="AW572" s="54"/>
      <c r="AX572" s="54"/>
      <c r="AY572" s="54">
        <v>830434902</v>
      </c>
      <c r="AZ572" s="54">
        <v>0</v>
      </c>
      <c r="BA572" s="74">
        <v>1000</v>
      </c>
      <c r="BB572" s="55">
        <f>VLOOKUP(M572,[1]Sheet1!$E$6:$F$556,2,FALSE)</f>
        <v>1000</v>
      </c>
      <c r="BC572" s="74"/>
      <c r="BD572" s="74"/>
      <c r="BE572" s="30"/>
      <c r="BF572" s="30" t="s">
        <v>1745</v>
      </c>
      <c r="BG572" s="30" t="s">
        <v>1746</v>
      </c>
      <c r="BH572" s="30" t="s">
        <v>136</v>
      </c>
      <c r="BI572" s="30" t="str">
        <f t="shared" si="358"/>
        <v>Test</v>
      </c>
      <c r="BJ572" s="30" t="s">
        <v>250</v>
      </c>
      <c r="BK572" s="56">
        <f t="shared" si="372"/>
        <v>16608718.040000001</v>
      </c>
      <c r="BL572" s="57">
        <f t="shared" si="385"/>
        <v>519022.43875000003</v>
      </c>
      <c r="BM572" s="57">
        <f t="shared" si="386"/>
        <v>173007.47958333333</v>
      </c>
      <c r="BU572" s="58">
        <f>BM572*3</f>
        <v>519022.43874999997</v>
      </c>
      <c r="BV572" s="58">
        <f>BU572</f>
        <v>519022.43874999997</v>
      </c>
      <c r="BW572" s="58">
        <f>SUM(BS572:BV572)</f>
        <v>1038044.8774999999</v>
      </c>
      <c r="BX572" s="58">
        <f t="shared" si="393"/>
        <v>519022.43874999997</v>
      </c>
      <c r="BY572" s="58">
        <f t="shared" si="396"/>
        <v>519022.43874999997</v>
      </c>
      <c r="BZ572" s="58">
        <f>BM572*3</f>
        <v>519022.43874999997</v>
      </c>
      <c r="CA572" s="58">
        <f t="shared" si="396"/>
        <v>519022.43874999997</v>
      </c>
      <c r="CB572" s="58">
        <f t="shared" si="360"/>
        <v>2076089.7549999999</v>
      </c>
      <c r="CC572" s="58">
        <f t="shared" si="361"/>
        <v>519022.43874999997</v>
      </c>
      <c r="CD572" s="58">
        <f t="shared" si="399"/>
        <v>519022.43874999997</v>
      </c>
      <c r="CE572" s="58">
        <f t="shared" si="399"/>
        <v>519022.43874999997</v>
      </c>
      <c r="CF572" s="58">
        <f t="shared" si="399"/>
        <v>519022.43874999997</v>
      </c>
      <c r="CG572" s="58">
        <f t="shared" si="362"/>
        <v>2076089.7549999999</v>
      </c>
      <c r="CH572" s="58">
        <f t="shared" si="394"/>
        <v>519022.43874999997</v>
      </c>
      <c r="CI572" s="58">
        <f t="shared" si="391"/>
        <v>519022.43874999997</v>
      </c>
      <c r="CJ572" s="58">
        <f t="shared" si="391"/>
        <v>519022.43874999997</v>
      </c>
      <c r="CK572" s="58">
        <f t="shared" si="391"/>
        <v>519022.43874999997</v>
      </c>
      <c r="CL572" s="58">
        <f t="shared" si="395"/>
        <v>2076089.7549999999</v>
      </c>
      <c r="CP572" s="2">
        <f t="shared" si="359"/>
        <v>16608718.040000001</v>
      </c>
    </row>
    <row r="573" spans="1:94" ht="16.5" hidden="1" x14ac:dyDescent="0.3">
      <c r="A573" s="2">
        <v>568</v>
      </c>
      <c r="B573" s="47" t="s">
        <v>21</v>
      </c>
      <c r="C573" s="47"/>
      <c r="D573" s="30" t="s">
        <v>1725</v>
      </c>
      <c r="E573" s="30" t="s">
        <v>1042</v>
      </c>
      <c r="F573" s="30" t="s">
        <v>1043</v>
      </c>
      <c r="G573" s="30" t="s">
        <v>117</v>
      </c>
      <c r="H573" s="30"/>
      <c r="I573" s="30" t="s">
        <v>119</v>
      </c>
      <c r="J573" s="30" t="s">
        <v>120</v>
      </c>
      <c r="K573" s="30" t="s">
        <v>121</v>
      </c>
      <c r="L573" s="30" t="s">
        <v>1741</v>
      </c>
      <c r="M573" s="30">
        <v>1000588</v>
      </c>
      <c r="N573" s="30" t="s">
        <v>138</v>
      </c>
      <c r="O573" s="30" t="s">
        <v>1824</v>
      </c>
      <c r="P573" s="30" t="s">
        <v>1825</v>
      </c>
      <c r="Q573" s="30" t="s">
        <v>141</v>
      </c>
      <c r="R573" s="30" t="s">
        <v>142</v>
      </c>
      <c r="S573" s="30">
        <v>310277436</v>
      </c>
      <c r="T573" s="30" t="s">
        <v>1756</v>
      </c>
      <c r="U573" s="30" t="s">
        <v>588</v>
      </c>
      <c r="V573" s="30" t="s">
        <v>600</v>
      </c>
      <c r="W573" s="30" t="s">
        <v>146</v>
      </c>
      <c r="X573" s="89" t="s">
        <v>1757</v>
      </c>
      <c r="Y573" s="30" t="s">
        <v>576</v>
      </c>
      <c r="Z573" s="30" t="s">
        <v>576</v>
      </c>
      <c r="AA573" s="20" t="s">
        <v>148</v>
      </c>
      <c r="AB573" s="48" t="s">
        <v>149</v>
      </c>
      <c r="AC573" s="48" t="s">
        <v>150</v>
      </c>
      <c r="AD573" s="48"/>
      <c r="AE573" s="48"/>
      <c r="AF573" s="48" t="s">
        <v>151</v>
      </c>
      <c r="AG573" s="48" t="s">
        <v>152</v>
      </c>
      <c r="AH573" s="48" t="s">
        <v>153</v>
      </c>
      <c r="AI573" s="30"/>
      <c r="AJ573" s="30"/>
      <c r="AK573" s="50">
        <v>38837</v>
      </c>
      <c r="AL573" s="51">
        <f t="shared" si="371"/>
        <v>19.517808219178082</v>
      </c>
      <c r="AM573" s="30">
        <v>8</v>
      </c>
      <c r="AN573" s="30"/>
      <c r="AO573" s="30" t="s">
        <v>1050</v>
      </c>
      <c r="AP573" s="30" t="s">
        <v>1051</v>
      </c>
      <c r="AQ573" s="30">
        <v>9.9451440000000009</v>
      </c>
      <c r="AR573" s="30">
        <v>950</v>
      </c>
      <c r="AS573" s="30">
        <v>1250</v>
      </c>
      <c r="AT573" s="30">
        <v>1800</v>
      </c>
      <c r="AU573" s="54">
        <v>489119878</v>
      </c>
      <c r="AV573" s="54"/>
      <c r="AW573" s="54"/>
      <c r="AX573" s="54"/>
      <c r="AY573" s="54">
        <v>489118878</v>
      </c>
      <c r="AZ573" s="54">
        <v>0</v>
      </c>
      <c r="BA573" s="54">
        <v>1000</v>
      </c>
      <c r="BB573" s="55">
        <f>VLOOKUP(M573,[1]Sheet1!$E$6:$F$556,2,FALSE)</f>
        <v>1000</v>
      </c>
      <c r="BC573" s="74"/>
      <c r="BD573" s="74"/>
      <c r="BE573" s="30"/>
      <c r="BF573" s="30" t="s">
        <v>1745</v>
      </c>
      <c r="BG573" s="30" t="s">
        <v>1746</v>
      </c>
      <c r="BH573" s="30" t="s">
        <v>136</v>
      </c>
      <c r="BI573" s="30" t="str">
        <f t="shared" si="358"/>
        <v>Test</v>
      </c>
      <c r="BJ573" s="47" t="s">
        <v>137</v>
      </c>
      <c r="BK573" s="56">
        <f t="shared" si="372"/>
        <v>9782397.5600000005</v>
      </c>
      <c r="BL573" s="57">
        <f t="shared" si="385"/>
        <v>932543.41699726391</v>
      </c>
      <c r="BM573" s="57">
        <f t="shared" si="386"/>
        <v>310847.80566575465</v>
      </c>
      <c r="BU573" s="58">
        <f>BM573*3</f>
        <v>932543.41699726391</v>
      </c>
      <c r="BV573" s="58">
        <f t="shared" ref="BT573:BV588" si="400">BU573</f>
        <v>932543.41699726391</v>
      </c>
      <c r="BW573" s="58">
        <f>SUM(BS573:BV573)</f>
        <v>1865086.8339945278</v>
      </c>
      <c r="BX573" s="58">
        <f t="shared" si="393"/>
        <v>932543.41699726391</v>
      </c>
      <c r="BY573" s="58">
        <f t="shared" si="396"/>
        <v>932543.41699726391</v>
      </c>
      <c r="BZ573" s="58">
        <f>BM573*3</f>
        <v>932543.41699726391</v>
      </c>
      <c r="CA573" s="58">
        <f t="shared" si="396"/>
        <v>932543.41699726391</v>
      </c>
      <c r="CB573" s="58">
        <f t="shared" si="360"/>
        <v>3730173.6679890556</v>
      </c>
      <c r="CC573" s="58">
        <f t="shared" si="361"/>
        <v>932543.41699726391</v>
      </c>
      <c r="CD573" s="58">
        <f t="shared" si="399"/>
        <v>932543.41699726391</v>
      </c>
      <c r="CE573" s="58">
        <f t="shared" si="399"/>
        <v>932543.41699726391</v>
      </c>
      <c r="CF573" s="58">
        <f t="shared" si="399"/>
        <v>932543.41699726391</v>
      </c>
      <c r="CG573" s="58">
        <f t="shared" si="362"/>
        <v>3730173.6679890556</v>
      </c>
      <c r="CH573" s="58">
        <f t="shared" si="394"/>
        <v>932543.41699726391</v>
      </c>
      <c r="CI573" s="58">
        <f t="shared" si="391"/>
        <v>932543.41699726391</v>
      </c>
      <c r="CJ573" s="58">
        <f t="shared" si="391"/>
        <v>932543.41699726391</v>
      </c>
      <c r="CK573" s="58">
        <f t="shared" si="391"/>
        <v>932543.41699726391</v>
      </c>
      <c r="CL573" s="58">
        <f t="shared" si="395"/>
        <v>3730173.6679890556</v>
      </c>
      <c r="CN573" s="59">
        <f t="shared" ref="CN573:CN574" si="401">BK573/$CN$3</f>
        <v>9.5519008494821173E-4</v>
      </c>
      <c r="CO573" s="64">
        <f t="shared" ref="CO573:CO574" si="402">CN573*$CO$4</f>
        <v>20058991.783912446</v>
      </c>
      <c r="CP573" s="2">
        <f t="shared" si="359"/>
        <v>29841389.343912445</v>
      </c>
    </row>
    <row r="574" spans="1:94" ht="16.5" hidden="1" x14ac:dyDescent="0.3">
      <c r="A574" s="2">
        <v>569</v>
      </c>
      <c r="B574" s="47" t="s">
        <v>21</v>
      </c>
      <c r="C574" s="47"/>
      <c r="D574" s="30" t="s">
        <v>1725</v>
      </c>
      <c r="E574" s="30" t="s">
        <v>1042</v>
      </c>
      <c r="F574" s="30" t="s">
        <v>1043</v>
      </c>
      <c r="G574" s="30" t="s">
        <v>117</v>
      </c>
      <c r="H574" s="30" t="s">
        <v>1826</v>
      </c>
      <c r="I574" s="30" t="s">
        <v>119</v>
      </c>
      <c r="J574" s="30" t="s">
        <v>120</v>
      </c>
      <c r="K574" s="30" t="s">
        <v>121</v>
      </c>
      <c r="L574" s="30" t="s">
        <v>1741</v>
      </c>
      <c r="M574" s="30">
        <v>1001964</v>
      </c>
      <c r="N574" s="30" t="s">
        <v>138</v>
      </c>
      <c r="O574" s="30" t="s">
        <v>1827</v>
      </c>
      <c r="P574" s="30" t="s">
        <v>209</v>
      </c>
      <c r="Q574" s="30" t="s">
        <v>164</v>
      </c>
      <c r="R574" s="30" t="s">
        <v>142</v>
      </c>
      <c r="S574" s="30" t="s">
        <v>1828</v>
      </c>
      <c r="T574" s="30" t="s">
        <v>209</v>
      </c>
      <c r="U574" s="30" t="s">
        <v>588</v>
      </c>
      <c r="V574" s="30" t="s">
        <v>600</v>
      </c>
      <c r="W574" s="30" t="s">
        <v>167</v>
      </c>
      <c r="X574" s="89" t="s">
        <v>1764</v>
      </c>
      <c r="Y574" s="143" t="s">
        <v>576</v>
      </c>
      <c r="Z574" s="143" t="s">
        <v>576</v>
      </c>
      <c r="AA574" s="30" t="s">
        <v>148</v>
      </c>
      <c r="AB574" s="48" t="s">
        <v>149</v>
      </c>
      <c r="AC574" s="48" t="s">
        <v>150</v>
      </c>
      <c r="AD574" s="48" t="s">
        <v>168</v>
      </c>
      <c r="AE574" s="30"/>
      <c r="AF574" s="48" t="s">
        <v>151</v>
      </c>
      <c r="AG574" s="48" t="s">
        <v>152</v>
      </c>
      <c r="AH574" s="48" t="s">
        <v>153</v>
      </c>
      <c r="AI574" s="30"/>
      <c r="AJ574" s="30"/>
      <c r="AK574" s="50">
        <v>40245</v>
      </c>
      <c r="AL574" s="51">
        <f t="shared" si="371"/>
        <v>15.66027397260274</v>
      </c>
      <c r="AM574" s="30">
        <v>8</v>
      </c>
      <c r="AN574" s="30"/>
      <c r="AO574" s="30" t="s">
        <v>1050</v>
      </c>
      <c r="AP574" s="30" t="s">
        <v>1051</v>
      </c>
      <c r="AQ574" s="30">
        <v>6.1347440000000004</v>
      </c>
      <c r="AR574" s="30">
        <v>960</v>
      </c>
      <c r="AS574" s="30">
        <v>840</v>
      </c>
      <c r="AT574" s="30">
        <v>1860</v>
      </c>
      <c r="AU574" s="54">
        <v>522439580</v>
      </c>
      <c r="AV574" s="54"/>
      <c r="AW574" s="54"/>
      <c r="AX574" s="54"/>
      <c r="AY574" s="54">
        <v>522438580</v>
      </c>
      <c r="AZ574" s="54">
        <v>0</v>
      </c>
      <c r="BA574" s="54">
        <v>1000</v>
      </c>
      <c r="BB574" s="55">
        <f>VLOOKUP(M574,[1]Sheet1!$E$6:$F$556,2,FALSE)</f>
        <v>1000</v>
      </c>
      <c r="BC574" s="74"/>
      <c r="BD574" s="74"/>
      <c r="BE574" s="30"/>
      <c r="BF574" s="30" t="s">
        <v>1745</v>
      </c>
      <c r="BG574" s="30" t="s">
        <v>1746</v>
      </c>
      <c r="BH574" s="30" t="s">
        <v>136</v>
      </c>
      <c r="BI574" s="30" t="str">
        <f t="shared" si="358"/>
        <v>Test</v>
      </c>
      <c r="BJ574" s="47" t="s">
        <v>137</v>
      </c>
      <c r="BK574" s="67">
        <f t="shared" si="372"/>
        <v>10448791.6</v>
      </c>
      <c r="BL574" s="68">
        <f t="shared" si="385"/>
        <v>996069.90642039571</v>
      </c>
      <c r="BM574" s="68">
        <f t="shared" si="386"/>
        <v>332023.30214013188</v>
      </c>
      <c r="BP574" s="69">
        <f t="shared" si="387"/>
        <v>996069.90642039571</v>
      </c>
      <c r="BQ574" s="69">
        <f t="shared" si="388"/>
        <v>996069.90642039571</v>
      </c>
      <c r="BR574" s="69">
        <f t="shared" si="392"/>
        <v>1992139.8128407914</v>
      </c>
      <c r="BS574" s="69">
        <f t="shared" si="389"/>
        <v>996069.90642039571</v>
      </c>
      <c r="BT574" s="69">
        <f t="shared" si="400"/>
        <v>996069.90642039571</v>
      </c>
      <c r="BU574" s="100">
        <f t="shared" si="400"/>
        <v>996069.90642039571</v>
      </c>
      <c r="BV574" s="100">
        <f t="shared" si="400"/>
        <v>996069.90642039571</v>
      </c>
      <c r="BW574" s="100">
        <f t="shared" si="366"/>
        <v>3984279.6256815828</v>
      </c>
      <c r="BX574" s="101">
        <f t="shared" si="393"/>
        <v>996069.90642039571</v>
      </c>
      <c r="BY574" s="101">
        <f t="shared" si="396"/>
        <v>996069.90642039571</v>
      </c>
      <c r="BZ574" s="18">
        <f t="shared" si="396"/>
        <v>996069.90642039571</v>
      </c>
      <c r="CA574" s="18">
        <f t="shared" si="396"/>
        <v>996069.90642039571</v>
      </c>
      <c r="CB574" s="70">
        <f t="shared" si="360"/>
        <v>3984279.6256815828</v>
      </c>
      <c r="CC574" s="18">
        <f t="shared" si="361"/>
        <v>996069.90642039571</v>
      </c>
      <c r="CD574" s="18">
        <f t="shared" si="399"/>
        <v>996069.90642039571</v>
      </c>
      <c r="CE574" s="18">
        <f t="shared" si="399"/>
        <v>996069.90642039571</v>
      </c>
      <c r="CF574" s="18">
        <f t="shared" si="399"/>
        <v>996069.90642039571</v>
      </c>
      <c r="CG574" s="70">
        <f t="shared" si="362"/>
        <v>3984279.6256815828</v>
      </c>
      <c r="CH574" s="18">
        <f t="shared" si="394"/>
        <v>996069.90642039571</v>
      </c>
      <c r="CI574" s="18">
        <f t="shared" si="391"/>
        <v>996069.90642039571</v>
      </c>
      <c r="CJ574" s="18">
        <f t="shared" si="391"/>
        <v>996069.90642039571</v>
      </c>
      <c r="CK574" s="18">
        <f t="shared" si="391"/>
        <v>996069.90642039571</v>
      </c>
      <c r="CL574" s="70">
        <f t="shared" si="395"/>
        <v>3984279.6256815828</v>
      </c>
      <c r="CM574" s="71"/>
      <c r="CN574" s="59">
        <f t="shared" si="401"/>
        <v>1.0202593050215555E-3</v>
      </c>
      <c r="CO574" s="64">
        <f t="shared" si="402"/>
        <v>21425445.405452665</v>
      </c>
      <c r="CP574" s="2">
        <f t="shared" si="359"/>
        <v>31874237.005452663</v>
      </c>
    </row>
    <row r="575" spans="1:94" hidden="1" x14ac:dyDescent="0.3">
      <c r="A575" s="29">
        <v>570</v>
      </c>
      <c r="B575" s="30" t="s">
        <v>21</v>
      </c>
      <c r="C575" s="30"/>
      <c r="D575" s="30" t="s">
        <v>1725</v>
      </c>
      <c r="E575" s="30" t="s">
        <v>1042</v>
      </c>
      <c r="F575" s="30" t="s">
        <v>1043</v>
      </c>
      <c r="G575" s="30" t="s">
        <v>117</v>
      </c>
      <c r="H575" s="30"/>
      <c r="I575" s="30" t="s">
        <v>119</v>
      </c>
      <c r="J575" s="30" t="s">
        <v>120</v>
      </c>
      <c r="K575" s="30" t="s">
        <v>121</v>
      </c>
      <c r="L575" s="30" t="s">
        <v>1741</v>
      </c>
      <c r="M575" s="30">
        <v>1003962</v>
      </c>
      <c r="N575" s="30" t="s">
        <v>138</v>
      </c>
      <c r="O575" s="30" t="s">
        <v>1829</v>
      </c>
      <c r="P575" s="30" t="s">
        <v>1823</v>
      </c>
      <c r="Q575" s="30" t="s">
        <v>232</v>
      </c>
      <c r="R575" s="30" t="s">
        <v>142</v>
      </c>
      <c r="S575" s="30">
        <v>310646162</v>
      </c>
      <c r="T575" s="30" t="s">
        <v>1752</v>
      </c>
      <c r="U575" s="30" t="s">
        <v>588</v>
      </c>
      <c r="V575" s="30" t="s">
        <v>600</v>
      </c>
      <c r="W575" s="30" t="s">
        <v>146</v>
      </c>
      <c r="X575" s="48"/>
      <c r="Y575" s="30" t="s">
        <v>576</v>
      </c>
      <c r="Z575" s="30" t="s">
        <v>576</v>
      </c>
      <c r="AA575" s="20" t="s">
        <v>148</v>
      </c>
      <c r="AB575" s="48" t="s">
        <v>149</v>
      </c>
      <c r="AC575" s="48" t="s">
        <v>150</v>
      </c>
      <c r="AD575" s="30"/>
      <c r="AE575" s="30"/>
      <c r="AF575" s="48" t="s">
        <v>151</v>
      </c>
      <c r="AG575" s="48" t="s">
        <v>152</v>
      </c>
      <c r="AH575" s="48" t="s">
        <v>153</v>
      </c>
      <c r="AI575" s="30"/>
      <c r="AJ575" s="30"/>
      <c r="AK575" s="50">
        <v>41498</v>
      </c>
      <c r="AL575" s="51">
        <f t="shared" si="371"/>
        <v>12.227397260273973</v>
      </c>
      <c r="AM575" s="30">
        <v>8</v>
      </c>
      <c r="AN575" s="30"/>
      <c r="AO575" s="30" t="s">
        <v>1050</v>
      </c>
      <c r="AP575" s="30" t="s">
        <v>1051</v>
      </c>
      <c r="AQ575" s="30">
        <v>9.83</v>
      </c>
      <c r="AR575" s="30">
        <v>1250</v>
      </c>
      <c r="AS575" s="30">
        <v>950</v>
      </c>
      <c r="AT575" s="30">
        <v>1800</v>
      </c>
      <c r="AU575" s="74">
        <v>683670711</v>
      </c>
      <c r="AV575" s="54"/>
      <c r="AW575" s="54"/>
      <c r="AX575" s="54"/>
      <c r="AY575" s="54">
        <v>683669711</v>
      </c>
      <c r="AZ575" s="54">
        <v>0</v>
      </c>
      <c r="BA575" s="74">
        <v>1000</v>
      </c>
      <c r="BB575" s="55">
        <f>VLOOKUP(M575,[1]Sheet1!$E$6:$F$556,2,FALSE)</f>
        <v>1000</v>
      </c>
      <c r="BC575" s="74"/>
      <c r="BD575" s="74"/>
      <c r="BE575" s="30"/>
      <c r="BF575" s="30" t="s">
        <v>1745</v>
      </c>
      <c r="BG575" s="30" t="s">
        <v>1746</v>
      </c>
      <c r="BH575" s="30" t="s">
        <v>136</v>
      </c>
      <c r="BI575" s="30" t="str">
        <f t="shared" si="358"/>
        <v>Test</v>
      </c>
      <c r="BJ575" s="30" t="s">
        <v>250</v>
      </c>
      <c r="BK575" s="56">
        <f t="shared" si="372"/>
        <v>13673414.220000001</v>
      </c>
      <c r="BL575" s="57">
        <f t="shared" si="385"/>
        <v>427294.19437500002</v>
      </c>
      <c r="BM575" s="57">
        <f t="shared" si="386"/>
        <v>142431.39812500001</v>
      </c>
      <c r="BU575" s="58">
        <f>BM575*3</f>
        <v>427294.19437500002</v>
      </c>
      <c r="BV575" s="58">
        <f t="shared" si="400"/>
        <v>427294.19437500002</v>
      </c>
      <c r="BW575" s="58">
        <f>SUM(BS575:BV575)</f>
        <v>854588.38875000004</v>
      </c>
      <c r="BX575" s="58">
        <f t="shared" si="393"/>
        <v>427294.19437500002</v>
      </c>
      <c r="BY575" s="58">
        <f t="shared" si="396"/>
        <v>427294.19437500002</v>
      </c>
      <c r="BZ575" s="58">
        <f>BM575*3</f>
        <v>427294.19437500002</v>
      </c>
      <c r="CA575" s="58">
        <f t="shared" si="396"/>
        <v>427294.19437500002</v>
      </c>
      <c r="CB575" s="58">
        <f t="shared" si="360"/>
        <v>1709176.7775000001</v>
      </c>
      <c r="CC575" s="58">
        <f t="shared" si="361"/>
        <v>427294.19437500002</v>
      </c>
      <c r="CD575" s="58">
        <f t="shared" si="399"/>
        <v>427294.19437500002</v>
      </c>
      <c r="CE575" s="58">
        <f t="shared" si="399"/>
        <v>427294.19437500002</v>
      </c>
      <c r="CF575" s="58">
        <f t="shared" si="399"/>
        <v>427294.19437500002</v>
      </c>
      <c r="CG575" s="58">
        <f t="shared" si="362"/>
        <v>1709176.7775000001</v>
      </c>
      <c r="CH575" s="58">
        <f t="shared" si="394"/>
        <v>427294.19437500002</v>
      </c>
      <c r="CI575" s="58">
        <f t="shared" si="391"/>
        <v>427294.19437500002</v>
      </c>
      <c r="CJ575" s="58">
        <f t="shared" si="391"/>
        <v>427294.19437500002</v>
      </c>
      <c r="CK575" s="58">
        <f t="shared" si="391"/>
        <v>427294.19437500002</v>
      </c>
      <c r="CL575" s="58">
        <f t="shared" si="395"/>
        <v>1709176.7775000001</v>
      </c>
      <c r="CP575" s="2">
        <f t="shared" si="359"/>
        <v>13673414.220000001</v>
      </c>
    </row>
    <row r="576" spans="1:94" hidden="1" x14ac:dyDescent="0.3">
      <c r="A576" s="29">
        <v>571</v>
      </c>
      <c r="B576" s="30" t="s">
        <v>21</v>
      </c>
      <c r="C576" s="30"/>
      <c r="D576" s="30" t="s">
        <v>1725</v>
      </c>
      <c r="E576" s="30" t="s">
        <v>1042</v>
      </c>
      <c r="F576" s="30" t="s">
        <v>1043</v>
      </c>
      <c r="G576" s="30" t="s">
        <v>117</v>
      </c>
      <c r="H576" s="30"/>
      <c r="I576" s="30" t="s">
        <v>119</v>
      </c>
      <c r="J576" s="30" t="s">
        <v>120</v>
      </c>
      <c r="K576" s="30" t="s">
        <v>121</v>
      </c>
      <c r="L576" s="30" t="s">
        <v>1741</v>
      </c>
      <c r="M576" s="30">
        <v>1003963</v>
      </c>
      <c r="N576" s="30" t="s">
        <v>138</v>
      </c>
      <c r="O576" s="30" t="s">
        <v>1830</v>
      </c>
      <c r="P576" s="30" t="s">
        <v>1823</v>
      </c>
      <c r="Q576" s="30" t="s">
        <v>232</v>
      </c>
      <c r="R576" s="30" t="s">
        <v>142</v>
      </c>
      <c r="S576" s="30">
        <v>310646163</v>
      </c>
      <c r="T576" s="30" t="s">
        <v>1752</v>
      </c>
      <c r="U576" s="30" t="s">
        <v>588</v>
      </c>
      <c r="V576" s="30" t="s">
        <v>600</v>
      </c>
      <c r="W576" s="30" t="s">
        <v>146</v>
      </c>
      <c r="X576" s="48"/>
      <c r="Y576" s="30" t="s">
        <v>576</v>
      </c>
      <c r="Z576" s="30" t="s">
        <v>576</v>
      </c>
      <c r="AA576" s="20" t="s">
        <v>148</v>
      </c>
      <c r="AB576" s="48" t="s">
        <v>149</v>
      </c>
      <c r="AC576" s="48" t="s">
        <v>150</v>
      </c>
      <c r="AD576" s="30"/>
      <c r="AE576" s="30"/>
      <c r="AF576" s="48" t="s">
        <v>151</v>
      </c>
      <c r="AG576" s="48" t="s">
        <v>152</v>
      </c>
      <c r="AH576" s="48" t="s">
        <v>153</v>
      </c>
      <c r="AI576" s="30"/>
      <c r="AJ576" s="30"/>
      <c r="AK576" s="50">
        <v>41498</v>
      </c>
      <c r="AL576" s="51">
        <f t="shared" si="371"/>
        <v>12.227397260273973</v>
      </c>
      <c r="AM576" s="30">
        <v>8</v>
      </c>
      <c r="AN576" s="30"/>
      <c r="AO576" s="30" t="s">
        <v>1050</v>
      </c>
      <c r="AP576" s="30" t="s">
        <v>1051</v>
      </c>
      <c r="AQ576" s="30">
        <v>9.83</v>
      </c>
      <c r="AR576" s="30">
        <v>1250</v>
      </c>
      <c r="AS576" s="30">
        <v>950</v>
      </c>
      <c r="AT576" s="30">
        <v>1800</v>
      </c>
      <c r="AU576" s="74">
        <v>683670710</v>
      </c>
      <c r="AV576" s="54"/>
      <c r="AW576" s="54"/>
      <c r="AX576" s="54"/>
      <c r="AY576" s="54">
        <v>683669710</v>
      </c>
      <c r="AZ576" s="54">
        <v>0</v>
      </c>
      <c r="BA576" s="74">
        <v>1000</v>
      </c>
      <c r="BB576" s="55">
        <f>VLOOKUP(M576,[1]Sheet1!$E$6:$F$556,2,FALSE)</f>
        <v>1000</v>
      </c>
      <c r="BC576" s="74"/>
      <c r="BD576" s="74"/>
      <c r="BE576" s="30"/>
      <c r="BF576" s="30" t="s">
        <v>1745</v>
      </c>
      <c r="BG576" s="30" t="s">
        <v>1746</v>
      </c>
      <c r="BH576" s="30" t="s">
        <v>136</v>
      </c>
      <c r="BI576" s="30" t="str">
        <f t="shared" si="358"/>
        <v>Test</v>
      </c>
      <c r="BJ576" s="30" t="s">
        <v>250</v>
      </c>
      <c r="BK576" s="56">
        <f t="shared" si="372"/>
        <v>13673414.200000001</v>
      </c>
      <c r="BL576" s="57">
        <f t="shared" si="385"/>
        <v>427294.19375000003</v>
      </c>
      <c r="BM576" s="57">
        <f t="shared" si="386"/>
        <v>142431.39791666667</v>
      </c>
      <c r="BU576" s="58">
        <f>BM576*3</f>
        <v>427294.19374999998</v>
      </c>
      <c r="BV576" s="58">
        <f t="shared" si="400"/>
        <v>427294.19374999998</v>
      </c>
      <c r="BW576" s="58">
        <f>SUM(BS576:BV576)</f>
        <v>854588.38749999995</v>
      </c>
      <c r="BX576" s="58">
        <f t="shared" si="393"/>
        <v>427294.19374999998</v>
      </c>
      <c r="BY576" s="58">
        <f t="shared" si="396"/>
        <v>427294.19374999998</v>
      </c>
      <c r="BZ576" s="58">
        <f>BM576*3</f>
        <v>427294.19374999998</v>
      </c>
      <c r="CA576" s="58">
        <f t="shared" si="396"/>
        <v>427294.19374999998</v>
      </c>
      <c r="CB576" s="58">
        <f t="shared" si="360"/>
        <v>1709176.7749999999</v>
      </c>
      <c r="CC576" s="58">
        <f t="shared" si="361"/>
        <v>427294.19374999998</v>
      </c>
      <c r="CD576" s="58">
        <f t="shared" si="399"/>
        <v>427294.19374999998</v>
      </c>
      <c r="CE576" s="58">
        <f t="shared" si="399"/>
        <v>427294.19374999998</v>
      </c>
      <c r="CF576" s="58">
        <f t="shared" si="399"/>
        <v>427294.19374999998</v>
      </c>
      <c r="CG576" s="58">
        <f t="shared" si="362"/>
        <v>1709176.7749999999</v>
      </c>
      <c r="CH576" s="58">
        <f t="shared" si="394"/>
        <v>427294.19374999998</v>
      </c>
      <c r="CI576" s="58">
        <f t="shared" si="391"/>
        <v>427294.19374999998</v>
      </c>
      <c r="CJ576" s="58">
        <f t="shared" si="391"/>
        <v>427294.19374999998</v>
      </c>
      <c r="CK576" s="58">
        <f t="shared" si="391"/>
        <v>427294.19374999998</v>
      </c>
      <c r="CL576" s="58">
        <f t="shared" si="395"/>
        <v>1709176.7749999999</v>
      </c>
      <c r="CP576" s="2">
        <f t="shared" si="359"/>
        <v>13673414.200000001</v>
      </c>
    </row>
    <row r="577" spans="1:94" ht="16.5" hidden="1" x14ac:dyDescent="0.3">
      <c r="A577" s="2">
        <v>572</v>
      </c>
      <c r="B577" s="47" t="s">
        <v>21</v>
      </c>
      <c r="C577" s="47"/>
      <c r="D577" s="30" t="s">
        <v>1725</v>
      </c>
      <c r="E577" s="30" t="s">
        <v>1042</v>
      </c>
      <c r="F577" s="30" t="s">
        <v>1043</v>
      </c>
      <c r="G577" s="30" t="s">
        <v>117</v>
      </c>
      <c r="H577" s="30" t="s">
        <v>1826</v>
      </c>
      <c r="I577" s="30" t="s">
        <v>119</v>
      </c>
      <c r="J577" s="30" t="s">
        <v>120</v>
      </c>
      <c r="K577" s="30" t="s">
        <v>121</v>
      </c>
      <c r="L577" s="30" t="s">
        <v>1741</v>
      </c>
      <c r="M577" s="30">
        <v>1002887</v>
      </c>
      <c r="N577" s="30" t="s">
        <v>138</v>
      </c>
      <c r="O577" s="30" t="s">
        <v>1831</v>
      </c>
      <c r="P577" s="30" t="s">
        <v>1771</v>
      </c>
      <c r="Q577" s="30" t="s">
        <v>226</v>
      </c>
      <c r="R577" s="30" t="s">
        <v>142</v>
      </c>
      <c r="S577" s="30" t="s">
        <v>1832</v>
      </c>
      <c r="T577" s="30" t="s">
        <v>1771</v>
      </c>
      <c r="U577" s="30" t="s">
        <v>588</v>
      </c>
      <c r="V577" s="30" t="s">
        <v>145</v>
      </c>
      <c r="W577" s="30" t="s">
        <v>167</v>
      </c>
      <c r="X577" s="89" t="s">
        <v>1757</v>
      </c>
      <c r="Y577" s="30" t="s">
        <v>576</v>
      </c>
      <c r="Z577" s="30" t="s">
        <v>576</v>
      </c>
      <c r="AA577" s="30" t="s">
        <v>148</v>
      </c>
      <c r="AB577" s="48" t="s">
        <v>149</v>
      </c>
      <c r="AC577" s="48" t="s">
        <v>150</v>
      </c>
      <c r="AD577" s="48" t="s">
        <v>229</v>
      </c>
      <c r="AE577" s="30"/>
      <c r="AF577" s="48" t="s">
        <v>151</v>
      </c>
      <c r="AG577" s="48" t="s">
        <v>152</v>
      </c>
      <c r="AH577" s="48" t="s">
        <v>153</v>
      </c>
      <c r="AI577" s="30"/>
      <c r="AJ577" s="30"/>
      <c r="AK577" s="50">
        <v>41067</v>
      </c>
      <c r="AL577" s="51">
        <f t="shared" si="371"/>
        <v>13.408219178082192</v>
      </c>
      <c r="AM577" s="30">
        <v>8</v>
      </c>
      <c r="AN577" s="30"/>
      <c r="AO577" s="30" t="s">
        <v>1050</v>
      </c>
      <c r="AP577" s="30" t="s">
        <v>1051</v>
      </c>
      <c r="AQ577" s="30">
        <v>6.1347440000000004</v>
      </c>
      <c r="AR577" s="30">
        <v>960</v>
      </c>
      <c r="AS577" s="30">
        <v>840</v>
      </c>
      <c r="AT577" s="30">
        <v>1860</v>
      </c>
      <c r="AU577" s="54">
        <v>652197895</v>
      </c>
      <c r="AV577" s="54"/>
      <c r="AW577" s="54"/>
      <c r="AX577" s="54"/>
      <c r="AY577" s="54">
        <v>652196895</v>
      </c>
      <c r="AZ577" s="54">
        <v>0</v>
      </c>
      <c r="BA577" s="54">
        <v>1000</v>
      </c>
      <c r="BB577" s="55">
        <f>VLOOKUP(M577,[1]Sheet1!$E$6:$F$556,2,FALSE)</f>
        <v>1000</v>
      </c>
      <c r="BC577" s="74"/>
      <c r="BD577" s="74"/>
      <c r="BE577" s="30"/>
      <c r="BF577" s="30" t="s">
        <v>1745</v>
      </c>
      <c r="BG577" s="30" t="s">
        <v>1746</v>
      </c>
      <c r="BH577" s="30" t="s">
        <v>136</v>
      </c>
      <c r="BI577" s="30" t="str">
        <f t="shared" si="358"/>
        <v>Test</v>
      </c>
      <c r="BJ577" s="47" t="s">
        <v>137</v>
      </c>
      <c r="BK577" s="56">
        <f t="shared" si="372"/>
        <v>13043957.9</v>
      </c>
      <c r="BL577" s="57">
        <f t="shared" si="385"/>
        <v>1243463.7824343806</v>
      </c>
      <c r="BM577" s="57">
        <f t="shared" si="386"/>
        <v>414487.92747812689</v>
      </c>
      <c r="BU577" s="58">
        <f>BM577*3</f>
        <v>1243463.7824343806</v>
      </c>
      <c r="BV577" s="58">
        <f t="shared" si="400"/>
        <v>1243463.7824343806</v>
      </c>
      <c r="BW577" s="58">
        <f>SUM(BS577:BV577)</f>
        <v>2486927.5648687612</v>
      </c>
      <c r="BX577" s="58">
        <f t="shared" si="393"/>
        <v>1243463.7824343806</v>
      </c>
      <c r="BY577" s="58">
        <f t="shared" si="396"/>
        <v>1243463.7824343806</v>
      </c>
      <c r="BZ577" s="58">
        <f>BM577*3</f>
        <v>1243463.7824343806</v>
      </c>
      <c r="CA577" s="58">
        <f t="shared" si="396"/>
        <v>1243463.7824343806</v>
      </c>
      <c r="CB577" s="58">
        <f t="shared" si="360"/>
        <v>4973855.1297375225</v>
      </c>
      <c r="CC577" s="58">
        <f t="shared" si="361"/>
        <v>1243463.7824343806</v>
      </c>
      <c r="CD577" s="58">
        <f t="shared" si="399"/>
        <v>1243463.7824343806</v>
      </c>
      <c r="CE577" s="58">
        <f t="shared" si="399"/>
        <v>1243463.7824343806</v>
      </c>
      <c r="CF577" s="58">
        <f t="shared" si="399"/>
        <v>1243463.7824343806</v>
      </c>
      <c r="CG577" s="58">
        <f t="shared" si="362"/>
        <v>4973855.1297375225</v>
      </c>
      <c r="CH577" s="58">
        <f t="shared" si="394"/>
        <v>1243463.7824343806</v>
      </c>
      <c r="CI577" s="58">
        <f t="shared" si="391"/>
        <v>1243463.7824343806</v>
      </c>
      <c r="CJ577" s="58">
        <f t="shared" si="391"/>
        <v>1243463.7824343806</v>
      </c>
      <c r="CK577" s="58">
        <f t="shared" si="391"/>
        <v>1243463.7824343806</v>
      </c>
      <c r="CL577" s="58">
        <f t="shared" si="395"/>
        <v>4973855.1297375225</v>
      </c>
      <c r="CN577" s="59">
        <f>BK577/$CN$3</f>
        <v>1.2736611018047703E-3</v>
      </c>
      <c r="CO577" s="64">
        <f>CN577*$CO$4</f>
        <v>26746883.137900177</v>
      </c>
      <c r="CP577" s="2">
        <f t="shared" si="359"/>
        <v>39790841.03790018</v>
      </c>
    </row>
    <row r="578" spans="1:94" ht="16.5" hidden="1" x14ac:dyDescent="0.3">
      <c r="A578" s="2">
        <v>573</v>
      </c>
      <c r="B578" s="47" t="s">
        <v>21</v>
      </c>
      <c r="C578" s="47"/>
      <c r="D578" s="30" t="s">
        <v>1725</v>
      </c>
      <c r="E578" s="30" t="s">
        <v>1042</v>
      </c>
      <c r="F578" s="30" t="s">
        <v>1043</v>
      </c>
      <c r="G578" s="30" t="s">
        <v>117</v>
      </c>
      <c r="H578" s="30"/>
      <c r="I578" s="30" t="s">
        <v>119</v>
      </c>
      <c r="J578" s="30" t="s">
        <v>120</v>
      </c>
      <c r="K578" s="30" t="s">
        <v>121</v>
      </c>
      <c r="L578" s="30" t="s">
        <v>1741</v>
      </c>
      <c r="M578" s="30">
        <v>1004527</v>
      </c>
      <c r="N578" s="30" t="s">
        <v>138</v>
      </c>
      <c r="O578" s="30" t="s">
        <v>1833</v>
      </c>
      <c r="P578" s="30" t="s">
        <v>1823</v>
      </c>
      <c r="Q578" s="30" t="s">
        <v>232</v>
      </c>
      <c r="R578" s="30" t="s">
        <v>142</v>
      </c>
      <c r="S578" s="30">
        <v>310703460</v>
      </c>
      <c r="T578" s="30" t="s">
        <v>1752</v>
      </c>
      <c r="U578" s="30" t="s">
        <v>588</v>
      </c>
      <c r="V578" s="30" t="s">
        <v>145</v>
      </c>
      <c r="W578" s="30" t="s">
        <v>146</v>
      </c>
      <c r="X578" s="89"/>
      <c r="Y578" s="143" t="s">
        <v>576</v>
      </c>
      <c r="Z578" s="143" t="s">
        <v>576</v>
      </c>
      <c r="AA578" s="20" t="s">
        <v>148</v>
      </c>
      <c r="AB578" s="48" t="s">
        <v>149</v>
      </c>
      <c r="AC578" s="48" t="s">
        <v>150</v>
      </c>
      <c r="AD578" s="30"/>
      <c r="AE578" s="30"/>
      <c r="AF578" s="48" t="s">
        <v>151</v>
      </c>
      <c r="AG578" s="48" t="s">
        <v>152</v>
      </c>
      <c r="AH578" s="48" t="s">
        <v>153</v>
      </c>
      <c r="AI578" s="30"/>
      <c r="AJ578" s="30"/>
      <c r="AK578" s="50">
        <v>42033</v>
      </c>
      <c r="AL578" s="51">
        <f t="shared" si="371"/>
        <v>10.761643835616438</v>
      </c>
      <c r="AM578" s="30">
        <v>8</v>
      </c>
      <c r="AN578" s="30"/>
      <c r="AO578" s="30" t="s">
        <v>1050</v>
      </c>
      <c r="AP578" s="30" t="s">
        <v>1051</v>
      </c>
      <c r="AQ578" s="30">
        <v>9.83</v>
      </c>
      <c r="AR578" s="30">
        <v>1250</v>
      </c>
      <c r="AS578" s="30">
        <v>950</v>
      </c>
      <c r="AT578" s="30">
        <v>1800</v>
      </c>
      <c r="AU578" s="54">
        <v>518768803</v>
      </c>
      <c r="AV578" s="54"/>
      <c r="AW578" s="54"/>
      <c r="AX578" s="54"/>
      <c r="AY578" s="54">
        <v>518767803</v>
      </c>
      <c r="AZ578" s="54">
        <v>1862381</v>
      </c>
      <c r="BA578" s="54">
        <v>1000</v>
      </c>
      <c r="BB578" s="55">
        <f>VLOOKUP(M578,[1]Sheet1!$E$6:$F$556,2,FALSE)</f>
        <v>1000</v>
      </c>
      <c r="BC578" s="74"/>
      <c r="BD578" s="74"/>
      <c r="BE578" s="30"/>
      <c r="BF578" s="30" t="s">
        <v>1745</v>
      </c>
      <c r="BG578" s="30" t="s">
        <v>1746</v>
      </c>
      <c r="BH578" s="30" t="s">
        <v>136</v>
      </c>
      <c r="BI578" s="30" t="str">
        <f t="shared" si="358"/>
        <v>Test</v>
      </c>
      <c r="BJ578" s="47" t="s">
        <v>137</v>
      </c>
      <c r="BK578" s="67">
        <f t="shared" si="372"/>
        <v>10375376.060000001</v>
      </c>
      <c r="BL578" s="68">
        <f t="shared" si="385"/>
        <v>324230.50187500002</v>
      </c>
      <c r="BM578" s="68">
        <f t="shared" si="386"/>
        <v>108076.83395833334</v>
      </c>
      <c r="BP578" s="69">
        <f t="shared" si="387"/>
        <v>324230.50187500002</v>
      </c>
      <c r="BQ578" s="69">
        <f t="shared" si="388"/>
        <v>324230.50187500002</v>
      </c>
      <c r="BR578" s="69">
        <f t="shared" si="392"/>
        <v>648461.00375000003</v>
      </c>
      <c r="BS578" s="69">
        <f t="shared" si="389"/>
        <v>324230.50187500002</v>
      </c>
      <c r="BT578" s="69">
        <f t="shared" si="400"/>
        <v>324230.50187500002</v>
      </c>
      <c r="BU578" s="100">
        <f t="shared" si="400"/>
        <v>324230.50187500002</v>
      </c>
      <c r="BV578" s="100">
        <f t="shared" si="400"/>
        <v>324230.50187500002</v>
      </c>
      <c r="BW578" s="100">
        <f t="shared" si="366"/>
        <v>1296922.0075000001</v>
      </c>
      <c r="BX578" s="101">
        <f t="shared" si="393"/>
        <v>324230.50187500002</v>
      </c>
      <c r="BY578" s="101">
        <f t="shared" si="396"/>
        <v>324230.50187500002</v>
      </c>
      <c r="BZ578" s="18">
        <f t="shared" si="396"/>
        <v>324230.50187500002</v>
      </c>
      <c r="CA578" s="18">
        <f t="shared" si="396"/>
        <v>324230.50187500002</v>
      </c>
      <c r="CB578" s="70">
        <f t="shared" si="360"/>
        <v>1296922.0075000001</v>
      </c>
      <c r="CC578" s="18">
        <f t="shared" si="361"/>
        <v>324230.50187500002</v>
      </c>
      <c r="CD578" s="18">
        <f t="shared" si="399"/>
        <v>324230.50187500002</v>
      </c>
      <c r="CE578" s="18">
        <f t="shared" si="399"/>
        <v>324230.50187500002</v>
      </c>
      <c r="CF578" s="18">
        <f t="shared" si="399"/>
        <v>324230.50187500002</v>
      </c>
      <c r="CG578" s="70">
        <f t="shared" si="362"/>
        <v>1296922.0075000001</v>
      </c>
      <c r="CH578" s="18">
        <f t="shared" si="394"/>
        <v>324230.50187500002</v>
      </c>
      <c r="CI578" s="18">
        <f t="shared" si="391"/>
        <v>324230.50187500002</v>
      </c>
      <c r="CJ578" s="18">
        <f t="shared" si="391"/>
        <v>324230.50187500002</v>
      </c>
      <c r="CK578" s="18">
        <f t="shared" si="391"/>
        <v>324230.50187500002</v>
      </c>
      <c r="CL578" s="70">
        <f t="shared" si="395"/>
        <v>1296922.0075000001</v>
      </c>
      <c r="CM578" s="71"/>
      <c r="CN578" s="71"/>
      <c r="CP578" s="2">
        <f t="shared" si="359"/>
        <v>10375376.060000001</v>
      </c>
    </row>
    <row r="579" spans="1:94" hidden="1" x14ac:dyDescent="0.3">
      <c r="A579" s="29">
        <v>574</v>
      </c>
      <c r="B579" s="30" t="s">
        <v>21</v>
      </c>
      <c r="C579" s="30"/>
      <c r="D579" s="30" t="s">
        <v>1725</v>
      </c>
      <c r="E579" s="30" t="s">
        <v>1042</v>
      </c>
      <c r="F579" s="30" t="s">
        <v>1043</v>
      </c>
      <c r="G579" s="30" t="s">
        <v>117</v>
      </c>
      <c r="H579" s="30"/>
      <c r="I579" s="30" t="s">
        <v>119</v>
      </c>
      <c r="J579" s="30" t="s">
        <v>120</v>
      </c>
      <c r="K579" s="30" t="s">
        <v>121</v>
      </c>
      <c r="L579" s="30" t="s">
        <v>1741</v>
      </c>
      <c r="M579" s="30">
        <v>1004167</v>
      </c>
      <c r="N579" s="30" t="s">
        <v>138</v>
      </c>
      <c r="O579" s="30" t="s">
        <v>1834</v>
      </c>
      <c r="P579" s="30" t="s">
        <v>1823</v>
      </c>
      <c r="Q579" s="30" t="s">
        <v>232</v>
      </c>
      <c r="R579" s="30" t="s">
        <v>142</v>
      </c>
      <c r="S579" s="30">
        <v>310653463</v>
      </c>
      <c r="T579" s="30" t="s">
        <v>1752</v>
      </c>
      <c r="U579" s="30" t="s">
        <v>1753</v>
      </c>
      <c r="V579" s="30" t="s">
        <v>145</v>
      </c>
      <c r="W579" s="30" t="s">
        <v>146</v>
      </c>
      <c r="X579" s="48"/>
      <c r="Y579" s="30" t="s">
        <v>576</v>
      </c>
      <c r="Z579" s="30" t="s">
        <v>576</v>
      </c>
      <c r="AA579" s="20" t="s">
        <v>148</v>
      </c>
      <c r="AB579" s="48" t="s">
        <v>149</v>
      </c>
      <c r="AC579" s="48" t="s">
        <v>150</v>
      </c>
      <c r="AD579" s="30"/>
      <c r="AE579" s="30"/>
      <c r="AF579" s="48" t="s">
        <v>151</v>
      </c>
      <c r="AG579" s="48" t="s">
        <v>152</v>
      </c>
      <c r="AH579" s="48" t="s">
        <v>153</v>
      </c>
      <c r="AI579" s="30"/>
      <c r="AJ579" s="30"/>
      <c r="AK579" s="50">
        <v>41670</v>
      </c>
      <c r="AL579" s="51">
        <f t="shared" si="371"/>
        <v>11.756164383561643</v>
      </c>
      <c r="AM579" s="30">
        <v>8</v>
      </c>
      <c r="AN579" s="30"/>
      <c r="AO579" s="30" t="s">
        <v>1050</v>
      </c>
      <c r="AP579" s="30" t="s">
        <v>1051</v>
      </c>
      <c r="AQ579" s="30">
        <v>9.83</v>
      </c>
      <c r="AR579" s="30">
        <v>1250</v>
      </c>
      <c r="AS579" s="30">
        <v>950</v>
      </c>
      <c r="AT579" s="30">
        <v>1800</v>
      </c>
      <c r="AU579" s="74">
        <v>616361521</v>
      </c>
      <c r="AV579" s="54"/>
      <c r="AW579" s="54"/>
      <c r="AX579" s="54"/>
      <c r="AY579" s="54">
        <v>616360521</v>
      </c>
      <c r="AZ579" s="54">
        <v>0</v>
      </c>
      <c r="BA579" s="74">
        <v>1000</v>
      </c>
      <c r="BB579" s="55">
        <f>VLOOKUP(M579,[1]Sheet1!$E$6:$F$556,2,FALSE)</f>
        <v>1000</v>
      </c>
      <c r="BC579" s="74"/>
      <c r="BD579" s="74"/>
      <c r="BE579" s="30"/>
      <c r="BF579" s="30" t="s">
        <v>1745</v>
      </c>
      <c r="BG579" s="30" t="s">
        <v>1746</v>
      </c>
      <c r="BH579" s="30" t="s">
        <v>136</v>
      </c>
      <c r="BI579" s="30" t="str">
        <f t="shared" si="358"/>
        <v>Test</v>
      </c>
      <c r="BJ579" s="30" t="s">
        <v>250</v>
      </c>
      <c r="BK579" s="56">
        <f t="shared" si="372"/>
        <v>12327230.42</v>
      </c>
      <c r="BL579" s="57">
        <f t="shared" si="385"/>
        <v>385225.950625</v>
      </c>
      <c r="BM579" s="57">
        <f t="shared" si="386"/>
        <v>128408.65020833333</v>
      </c>
      <c r="BU579" s="58">
        <f>BM579*3</f>
        <v>385225.950625</v>
      </c>
      <c r="BV579" s="58">
        <f t="shared" si="400"/>
        <v>385225.950625</v>
      </c>
      <c r="BW579" s="58">
        <f>SUM(BS579:BV579)</f>
        <v>770451.90125</v>
      </c>
      <c r="BX579" s="58">
        <f t="shared" si="393"/>
        <v>385225.950625</v>
      </c>
      <c r="BY579" s="58">
        <f t="shared" si="396"/>
        <v>385225.950625</v>
      </c>
      <c r="BZ579" s="58">
        <f>BM579*3</f>
        <v>385225.950625</v>
      </c>
      <c r="CA579" s="58">
        <f t="shared" si="396"/>
        <v>385225.950625</v>
      </c>
      <c r="CB579" s="58">
        <f t="shared" si="360"/>
        <v>1540903.8025</v>
      </c>
      <c r="CC579" s="58">
        <f t="shared" si="361"/>
        <v>385225.950625</v>
      </c>
      <c r="CD579" s="58">
        <f t="shared" si="399"/>
        <v>385225.950625</v>
      </c>
      <c r="CE579" s="58">
        <f t="shared" si="399"/>
        <v>385225.950625</v>
      </c>
      <c r="CF579" s="58">
        <f t="shared" si="399"/>
        <v>385225.950625</v>
      </c>
      <c r="CG579" s="58">
        <f t="shared" si="362"/>
        <v>1540903.8025</v>
      </c>
      <c r="CH579" s="58">
        <f t="shared" si="394"/>
        <v>385225.950625</v>
      </c>
      <c r="CI579" s="58">
        <f t="shared" si="391"/>
        <v>385225.950625</v>
      </c>
      <c r="CJ579" s="58">
        <f t="shared" si="391"/>
        <v>385225.950625</v>
      </c>
      <c r="CK579" s="58">
        <f t="shared" si="391"/>
        <v>385225.950625</v>
      </c>
      <c r="CL579" s="58">
        <f t="shared" si="395"/>
        <v>1540903.8025</v>
      </c>
      <c r="CP579" s="2">
        <f t="shared" si="359"/>
        <v>12327230.42</v>
      </c>
    </row>
    <row r="580" spans="1:94" ht="16.5" hidden="1" x14ac:dyDescent="0.3">
      <c r="A580" s="2">
        <v>575</v>
      </c>
      <c r="B580" s="47" t="s">
        <v>21</v>
      </c>
      <c r="C580" s="47"/>
      <c r="D580" s="30" t="s">
        <v>1725</v>
      </c>
      <c r="E580" s="30" t="s">
        <v>1042</v>
      </c>
      <c r="F580" s="30" t="s">
        <v>1043</v>
      </c>
      <c r="G580" s="30" t="s">
        <v>117</v>
      </c>
      <c r="H580" s="30"/>
      <c r="I580" s="30" t="s">
        <v>119</v>
      </c>
      <c r="J580" s="30" t="s">
        <v>120</v>
      </c>
      <c r="K580" s="30" t="s">
        <v>121</v>
      </c>
      <c r="L580" s="30" t="s">
        <v>1741</v>
      </c>
      <c r="M580" s="30">
        <v>1003488</v>
      </c>
      <c r="N580" s="30" t="s">
        <v>138</v>
      </c>
      <c r="O580" s="30" t="s">
        <v>1835</v>
      </c>
      <c r="P580" s="30" t="s">
        <v>1823</v>
      </c>
      <c r="Q580" s="30" t="s">
        <v>232</v>
      </c>
      <c r="R580" s="30" t="s">
        <v>142</v>
      </c>
      <c r="S580" s="30">
        <v>310602700</v>
      </c>
      <c r="T580" s="30" t="s">
        <v>1752</v>
      </c>
      <c r="U580" s="30" t="s">
        <v>588</v>
      </c>
      <c r="V580" s="30" t="s">
        <v>145</v>
      </c>
      <c r="W580" s="30" t="s">
        <v>146</v>
      </c>
      <c r="X580" s="89"/>
      <c r="Y580" s="143" t="s">
        <v>576</v>
      </c>
      <c r="Z580" s="143" t="s">
        <v>576</v>
      </c>
      <c r="AA580" s="20" t="s">
        <v>148</v>
      </c>
      <c r="AB580" s="48" t="s">
        <v>149</v>
      </c>
      <c r="AC580" s="48" t="s">
        <v>150</v>
      </c>
      <c r="AD580" s="30"/>
      <c r="AE580" s="30"/>
      <c r="AF580" s="48" t="s">
        <v>151</v>
      </c>
      <c r="AG580" s="48" t="s">
        <v>152</v>
      </c>
      <c r="AH580" s="48" t="s">
        <v>153</v>
      </c>
      <c r="AI580" s="30"/>
      <c r="AJ580" s="30"/>
      <c r="AK580" s="50">
        <v>41127</v>
      </c>
      <c r="AL580" s="51">
        <f t="shared" si="371"/>
        <v>13.243835616438357</v>
      </c>
      <c r="AM580" s="30">
        <v>8</v>
      </c>
      <c r="AN580" s="30"/>
      <c r="AO580" s="30" t="s">
        <v>1050</v>
      </c>
      <c r="AP580" s="30" t="s">
        <v>1051</v>
      </c>
      <c r="AQ580" s="30">
        <v>9.83</v>
      </c>
      <c r="AR580" s="30">
        <v>1250</v>
      </c>
      <c r="AS580" s="30">
        <v>950</v>
      </c>
      <c r="AT580" s="30">
        <v>1800</v>
      </c>
      <c r="AU580" s="54">
        <v>865819615</v>
      </c>
      <c r="AV580" s="54"/>
      <c r="AW580" s="54"/>
      <c r="AX580" s="54"/>
      <c r="AY580" s="54">
        <v>865818615</v>
      </c>
      <c r="AZ580" s="54">
        <v>0</v>
      </c>
      <c r="BA580" s="54">
        <v>1000</v>
      </c>
      <c r="BB580" s="55">
        <f>VLOOKUP(M580,[1]Sheet1!$E$6:$F$556,2,FALSE)</f>
        <v>1000</v>
      </c>
      <c r="BC580" s="74"/>
      <c r="BD580" s="74"/>
      <c r="BE580" s="30"/>
      <c r="BF580" s="30" t="s">
        <v>1745</v>
      </c>
      <c r="BG580" s="30" t="s">
        <v>1746</v>
      </c>
      <c r="BH580" s="30" t="s">
        <v>136</v>
      </c>
      <c r="BI580" s="30" t="str">
        <f t="shared" si="358"/>
        <v>Test</v>
      </c>
      <c r="BJ580" s="47" t="s">
        <v>137</v>
      </c>
      <c r="BK580" s="67">
        <f t="shared" si="372"/>
        <v>17316392.300000001</v>
      </c>
      <c r="BL580" s="68">
        <f t="shared" si="385"/>
        <v>541137.25937500002</v>
      </c>
      <c r="BM580" s="68">
        <f t="shared" si="386"/>
        <v>180379.08645833333</v>
      </c>
      <c r="BP580" s="69">
        <f t="shared" si="387"/>
        <v>541137.25937500002</v>
      </c>
      <c r="BQ580" s="69">
        <f t="shared" si="388"/>
        <v>541137.25937500002</v>
      </c>
      <c r="BR580" s="69">
        <f t="shared" si="392"/>
        <v>1082274.51875</v>
      </c>
      <c r="BS580" s="69">
        <f t="shared" si="389"/>
        <v>541137.25937500002</v>
      </c>
      <c r="BT580" s="69">
        <f t="shared" si="400"/>
        <v>541137.25937500002</v>
      </c>
      <c r="BU580" s="100">
        <f t="shared" si="400"/>
        <v>541137.25937500002</v>
      </c>
      <c r="BV580" s="100">
        <f t="shared" si="400"/>
        <v>541137.25937500002</v>
      </c>
      <c r="BW580" s="100">
        <f t="shared" si="366"/>
        <v>2164549.0375000001</v>
      </c>
      <c r="BX580" s="101">
        <f t="shared" si="393"/>
        <v>541137.25937500002</v>
      </c>
      <c r="BY580" s="101">
        <f t="shared" si="396"/>
        <v>541137.25937500002</v>
      </c>
      <c r="BZ580" s="18">
        <f t="shared" si="396"/>
        <v>541137.25937500002</v>
      </c>
      <c r="CA580" s="18">
        <f t="shared" si="396"/>
        <v>541137.25937500002</v>
      </c>
      <c r="CB580" s="70">
        <f t="shared" si="360"/>
        <v>2164549.0375000001</v>
      </c>
      <c r="CC580" s="18">
        <f t="shared" si="361"/>
        <v>541137.25937500002</v>
      </c>
      <c r="CD580" s="18">
        <f t="shared" si="399"/>
        <v>541137.25937500002</v>
      </c>
      <c r="CE580" s="18">
        <f t="shared" si="399"/>
        <v>541137.25937500002</v>
      </c>
      <c r="CF580" s="18">
        <f t="shared" si="399"/>
        <v>541137.25937500002</v>
      </c>
      <c r="CG580" s="70">
        <f t="shared" si="362"/>
        <v>2164549.0375000001</v>
      </c>
      <c r="CH580" s="18">
        <f t="shared" si="394"/>
        <v>541137.25937500002</v>
      </c>
      <c r="CI580" s="18">
        <f t="shared" si="391"/>
        <v>541137.25937500002</v>
      </c>
      <c r="CJ580" s="18">
        <f t="shared" si="391"/>
        <v>541137.25937500002</v>
      </c>
      <c r="CK580" s="18">
        <f t="shared" si="391"/>
        <v>541137.25937500002</v>
      </c>
      <c r="CL580" s="70">
        <f t="shared" si="395"/>
        <v>2164549.0375000001</v>
      </c>
      <c r="CM580" s="71"/>
      <c r="CN580" s="71"/>
      <c r="CP580" s="2">
        <f t="shared" si="359"/>
        <v>17316392.300000001</v>
      </c>
    </row>
    <row r="581" spans="1:94" ht="16.5" hidden="1" x14ac:dyDescent="0.3">
      <c r="A581" s="2">
        <v>576</v>
      </c>
      <c r="B581" s="47" t="s">
        <v>21</v>
      </c>
      <c r="C581" s="47"/>
      <c r="D581" s="30" t="s">
        <v>1725</v>
      </c>
      <c r="E581" s="30" t="s">
        <v>1042</v>
      </c>
      <c r="F581" s="30" t="s">
        <v>1043</v>
      </c>
      <c r="G581" s="30" t="s">
        <v>117</v>
      </c>
      <c r="H581" s="30"/>
      <c r="I581" s="30" t="s">
        <v>119</v>
      </c>
      <c r="J581" s="30" t="s">
        <v>120</v>
      </c>
      <c r="K581" s="30" t="s">
        <v>121</v>
      </c>
      <c r="L581" s="30" t="s">
        <v>1741</v>
      </c>
      <c r="M581" s="30">
        <v>1004745</v>
      </c>
      <c r="N581" s="30" t="s">
        <v>138</v>
      </c>
      <c r="O581" s="30" t="s">
        <v>1836</v>
      </c>
      <c r="P581" s="30" t="s">
        <v>1837</v>
      </c>
      <c r="Q581" s="30" t="s">
        <v>537</v>
      </c>
      <c r="R581" s="30" t="s">
        <v>142</v>
      </c>
      <c r="S581" s="30">
        <v>310745903</v>
      </c>
      <c r="T581" s="30" t="s">
        <v>1780</v>
      </c>
      <c r="U581" s="30" t="s">
        <v>588</v>
      </c>
      <c r="V581" s="30" t="s">
        <v>145</v>
      </c>
      <c r="W581" s="30" t="s">
        <v>146</v>
      </c>
      <c r="X581" s="89" t="s">
        <v>1838</v>
      </c>
      <c r="Y581" s="143" t="s">
        <v>576</v>
      </c>
      <c r="Z581" s="143" t="s">
        <v>576</v>
      </c>
      <c r="AA581" s="20" t="s">
        <v>148</v>
      </c>
      <c r="AB581" s="48" t="s">
        <v>149</v>
      </c>
      <c r="AC581" s="48" t="s">
        <v>538</v>
      </c>
      <c r="AD581" s="30"/>
      <c r="AE581" s="30"/>
      <c r="AF581" s="30" t="s">
        <v>151</v>
      </c>
      <c r="AG581" s="30" t="s">
        <v>152</v>
      </c>
      <c r="AH581" s="30" t="s">
        <v>1839</v>
      </c>
      <c r="AI581" s="30"/>
      <c r="AJ581" s="30"/>
      <c r="AK581" s="50">
        <v>42461</v>
      </c>
      <c r="AL581" s="51">
        <f t="shared" si="371"/>
        <v>9.5890410958904102</v>
      </c>
      <c r="AM581" s="30">
        <v>8</v>
      </c>
      <c r="AN581" s="30"/>
      <c r="AO581" s="30" t="s">
        <v>1050</v>
      </c>
      <c r="AP581" s="30" t="s">
        <v>1051</v>
      </c>
      <c r="AQ581" s="30">
        <v>13.3</v>
      </c>
      <c r="AR581" s="30">
        <v>1050</v>
      </c>
      <c r="AS581" s="30">
        <v>800</v>
      </c>
      <c r="AT581" s="30">
        <v>1600</v>
      </c>
      <c r="AU581" s="54">
        <v>781860327</v>
      </c>
      <c r="AV581" s="54"/>
      <c r="AW581" s="54"/>
      <c r="AX581" s="54"/>
      <c r="AY581" s="54">
        <v>781859327</v>
      </c>
      <c r="AZ581" s="54">
        <v>7288017</v>
      </c>
      <c r="BA581" s="54">
        <v>1000</v>
      </c>
      <c r="BB581" s="55">
        <f>VLOOKUP(M581,[1]Sheet1!$E$6:$F$556,2,FALSE)</f>
        <v>1000</v>
      </c>
      <c r="BC581" s="74"/>
      <c r="BD581" s="74"/>
      <c r="BE581" s="30"/>
      <c r="BF581" s="30" t="s">
        <v>1745</v>
      </c>
      <c r="BG581" s="30" t="s">
        <v>1746</v>
      </c>
      <c r="BH581" s="30" t="s">
        <v>136</v>
      </c>
      <c r="BI581" s="30" t="str">
        <f t="shared" si="358"/>
        <v>Test</v>
      </c>
      <c r="BJ581" s="47" t="s">
        <v>137</v>
      </c>
      <c r="BK581" s="67">
        <f t="shared" si="372"/>
        <v>15637206.540000001</v>
      </c>
      <c r="BL581" s="68">
        <f t="shared" si="385"/>
        <v>1490674.8503792728</v>
      </c>
      <c r="BM581" s="68">
        <f t="shared" si="386"/>
        <v>496891.61679309094</v>
      </c>
      <c r="BP581" s="69">
        <f t="shared" si="387"/>
        <v>1490674.8503792728</v>
      </c>
      <c r="BQ581" s="69">
        <f t="shared" si="388"/>
        <v>1490674.8503792728</v>
      </c>
      <c r="BR581" s="69">
        <f t="shared" si="392"/>
        <v>2981349.7007585457</v>
      </c>
      <c r="BS581" s="69">
        <f t="shared" si="389"/>
        <v>1490674.8503792728</v>
      </c>
      <c r="BT581" s="69">
        <f t="shared" si="400"/>
        <v>1490674.8503792728</v>
      </c>
      <c r="BU581" s="100">
        <f t="shared" si="400"/>
        <v>1490674.8503792728</v>
      </c>
      <c r="BV581" s="100">
        <f t="shared" si="400"/>
        <v>1490674.8503792728</v>
      </c>
      <c r="BW581" s="100">
        <f t="shared" si="366"/>
        <v>5962699.4015170913</v>
      </c>
      <c r="BX581" s="101">
        <f t="shared" si="393"/>
        <v>1490674.8503792728</v>
      </c>
      <c r="BY581" s="101">
        <f t="shared" si="396"/>
        <v>1490674.8503792728</v>
      </c>
      <c r="BZ581" s="18">
        <f t="shared" si="396"/>
        <v>1490674.8503792728</v>
      </c>
      <c r="CA581" s="18">
        <f t="shared" si="396"/>
        <v>1490674.8503792728</v>
      </c>
      <c r="CB581" s="70">
        <f t="shared" si="360"/>
        <v>5962699.4015170913</v>
      </c>
      <c r="CC581" s="18">
        <f t="shared" si="361"/>
        <v>1490674.8503792728</v>
      </c>
      <c r="CD581" s="18">
        <f t="shared" si="399"/>
        <v>1490674.8503792728</v>
      </c>
      <c r="CE581" s="18">
        <f t="shared" si="399"/>
        <v>1490674.8503792728</v>
      </c>
      <c r="CF581" s="18">
        <f t="shared" si="399"/>
        <v>1490674.8503792728</v>
      </c>
      <c r="CG581" s="70">
        <f t="shared" si="362"/>
        <v>5962699.4015170913</v>
      </c>
      <c r="CH581" s="18">
        <f t="shared" si="394"/>
        <v>1490674.8503792728</v>
      </c>
      <c r="CI581" s="18">
        <f t="shared" si="391"/>
        <v>1490674.8503792728</v>
      </c>
      <c r="CJ581" s="18">
        <f t="shared" si="391"/>
        <v>1490674.8503792728</v>
      </c>
      <c r="CK581" s="18">
        <f t="shared" si="391"/>
        <v>1490674.8503792728</v>
      </c>
      <c r="CL581" s="70">
        <f t="shared" si="395"/>
        <v>5962699.4015170913</v>
      </c>
      <c r="CM581" s="71"/>
      <c r="CN581" s="59">
        <f>BK581/$CN$3</f>
        <v>1.5268756510541299E-3</v>
      </c>
      <c r="CO581" s="64">
        <f>CN581*$CO$4</f>
        <v>32064388.672136728</v>
      </c>
      <c r="CP581" s="2">
        <f t="shared" si="359"/>
        <v>47701595.212136731</v>
      </c>
    </row>
    <row r="582" spans="1:94" hidden="1" x14ac:dyDescent="0.3">
      <c r="A582" s="29">
        <v>577</v>
      </c>
      <c r="B582" s="30" t="s">
        <v>21</v>
      </c>
      <c r="C582" s="30"/>
      <c r="D582" s="30" t="s">
        <v>1725</v>
      </c>
      <c r="E582" s="30" t="s">
        <v>1042</v>
      </c>
      <c r="F582" s="30" t="s">
        <v>1043</v>
      </c>
      <c r="G582" s="30" t="s">
        <v>117</v>
      </c>
      <c r="H582" s="30"/>
      <c r="I582" s="30" t="s">
        <v>119</v>
      </c>
      <c r="J582" s="30" t="s">
        <v>120</v>
      </c>
      <c r="K582" s="30" t="s">
        <v>121</v>
      </c>
      <c r="L582" s="30" t="s">
        <v>1741</v>
      </c>
      <c r="M582" s="30">
        <v>1005164</v>
      </c>
      <c r="N582" s="30" t="s">
        <v>138</v>
      </c>
      <c r="O582" s="30" t="s">
        <v>1840</v>
      </c>
      <c r="P582" s="30" t="s">
        <v>1837</v>
      </c>
      <c r="Q582" s="30" t="s">
        <v>537</v>
      </c>
      <c r="R582" s="30" t="s">
        <v>142</v>
      </c>
      <c r="S582" s="30">
        <v>310843593</v>
      </c>
      <c r="T582" s="30" t="s">
        <v>1780</v>
      </c>
      <c r="U582" s="30" t="s">
        <v>588</v>
      </c>
      <c r="V582" s="30" t="s">
        <v>145</v>
      </c>
      <c r="W582" s="30" t="s">
        <v>146</v>
      </c>
      <c r="X582" s="89"/>
      <c r="Y582" s="30" t="s">
        <v>576</v>
      </c>
      <c r="Z582" s="30" t="s">
        <v>576</v>
      </c>
      <c r="AA582" s="20" t="s">
        <v>148</v>
      </c>
      <c r="AB582" s="48" t="s">
        <v>149</v>
      </c>
      <c r="AC582" s="48" t="s">
        <v>538</v>
      </c>
      <c r="AD582" s="30"/>
      <c r="AE582" s="30"/>
      <c r="AF582" s="30" t="s">
        <v>151</v>
      </c>
      <c r="AG582" s="30" t="s">
        <v>152</v>
      </c>
      <c r="AH582" s="30" t="s">
        <v>1839</v>
      </c>
      <c r="AI582" s="30"/>
      <c r="AJ582" s="30"/>
      <c r="AK582" s="50">
        <v>42964</v>
      </c>
      <c r="AL582" s="51">
        <f t="shared" si="371"/>
        <v>8.2109589041095887</v>
      </c>
      <c r="AM582" s="30">
        <v>8</v>
      </c>
      <c r="AN582" s="30"/>
      <c r="AO582" s="30" t="s">
        <v>1050</v>
      </c>
      <c r="AP582" s="30" t="s">
        <v>1187</v>
      </c>
      <c r="AQ582" s="30">
        <v>13.3</v>
      </c>
      <c r="AR582" s="30">
        <v>1050</v>
      </c>
      <c r="AS582" s="30">
        <v>800</v>
      </c>
      <c r="AT582" s="30">
        <v>1600</v>
      </c>
      <c r="AU582" s="74">
        <v>836164314</v>
      </c>
      <c r="AV582" s="54"/>
      <c r="AW582" s="54"/>
      <c r="AX582" s="54"/>
      <c r="AY582" s="54">
        <v>799478988</v>
      </c>
      <c r="AZ582" s="54">
        <v>8497993</v>
      </c>
      <c r="BA582" s="74">
        <v>11191347</v>
      </c>
      <c r="BB582" s="55">
        <f>VLOOKUP(M582,[1]Sheet1!$E$6:$F$556,2,FALSE)</f>
        <v>1000</v>
      </c>
      <c r="BC582" s="74"/>
      <c r="BD582" s="74"/>
      <c r="BE582" s="30"/>
      <c r="BF582" s="30" t="s">
        <v>1739</v>
      </c>
      <c r="BG582" s="30" t="s">
        <v>1746</v>
      </c>
      <c r="BH582" s="30" t="s">
        <v>136</v>
      </c>
      <c r="BI582" s="30" t="str">
        <f t="shared" si="358"/>
        <v>Test</v>
      </c>
      <c r="BJ582" s="30" t="s">
        <v>250</v>
      </c>
      <c r="BK582" s="56">
        <f t="shared" si="372"/>
        <v>11750914.35</v>
      </c>
      <c r="BL582" s="57">
        <f t="shared" si="385"/>
        <v>367216.07343749999</v>
      </c>
      <c r="BM582" s="57">
        <f t="shared" si="386"/>
        <v>122405.35781249999</v>
      </c>
      <c r="BU582" s="58">
        <f>BM582*3</f>
        <v>367216.07343749999</v>
      </c>
      <c r="BV582" s="58">
        <f t="shared" si="400"/>
        <v>367216.07343749999</v>
      </c>
      <c r="BW582" s="58">
        <f>SUM(BS582:BV582)</f>
        <v>734432.14687499998</v>
      </c>
      <c r="BX582" s="58">
        <f t="shared" si="393"/>
        <v>367216.07343749999</v>
      </c>
      <c r="BY582" s="58">
        <f t="shared" si="396"/>
        <v>367216.07343749999</v>
      </c>
      <c r="BZ582" s="58">
        <f>BM582*3</f>
        <v>367216.07343749999</v>
      </c>
      <c r="CA582" s="58">
        <f t="shared" si="396"/>
        <v>367216.07343749999</v>
      </c>
      <c r="CB582" s="58">
        <f>SUM(BX582:CA582)</f>
        <v>1468864.29375</v>
      </c>
      <c r="CC582" s="58">
        <f>CA582</f>
        <v>367216.07343749999</v>
      </c>
      <c r="CD582" s="58">
        <f t="shared" si="399"/>
        <v>367216.07343749999</v>
      </c>
      <c r="CE582" s="58">
        <f t="shared" si="399"/>
        <v>367216.07343749999</v>
      </c>
      <c r="CF582" s="58">
        <f t="shared" si="399"/>
        <v>367216.07343749999</v>
      </c>
      <c r="CG582" s="58">
        <f>SUM(CC582:CF582)</f>
        <v>1468864.29375</v>
      </c>
      <c r="CH582" s="58">
        <f t="shared" si="394"/>
        <v>367216.07343749999</v>
      </c>
      <c r="CI582" s="58">
        <f t="shared" si="391"/>
        <v>367216.07343749999</v>
      </c>
      <c r="CJ582" s="58">
        <f t="shared" si="391"/>
        <v>367216.07343749999</v>
      </c>
      <c r="CK582" s="58">
        <f t="shared" si="391"/>
        <v>367216.07343749999</v>
      </c>
      <c r="CL582" s="58">
        <f t="shared" si="395"/>
        <v>1468864.29375</v>
      </c>
      <c r="CP582" s="2">
        <f t="shared" si="359"/>
        <v>11750914.35</v>
      </c>
    </row>
    <row r="583" spans="1:94" ht="16.5" hidden="1" x14ac:dyDescent="0.3">
      <c r="A583" s="2">
        <v>578</v>
      </c>
      <c r="B583" s="47" t="s">
        <v>21</v>
      </c>
      <c r="C583" s="47"/>
      <c r="D583" s="30" t="s">
        <v>1725</v>
      </c>
      <c r="E583" s="30" t="s">
        <v>1042</v>
      </c>
      <c r="F583" s="30" t="s">
        <v>1043</v>
      </c>
      <c r="G583" s="30" t="s">
        <v>117</v>
      </c>
      <c r="H583" s="30"/>
      <c r="I583" s="30" t="s">
        <v>119</v>
      </c>
      <c r="J583" s="30" t="s">
        <v>120</v>
      </c>
      <c r="K583" s="30" t="s">
        <v>121</v>
      </c>
      <c r="L583" s="30" t="s">
        <v>1741</v>
      </c>
      <c r="M583" s="30">
        <v>1005467</v>
      </c>
      <c r="N583" s="30" t="s">
        <v>138</v>
      </c>
      <c r="O583" s="30" t="s">
        <v>1841</v>
      </c>
      <c r="P583" s="30" t="s">
        <v>1837</v>
      </c>
      <c r="Q583" s="30" t="s">
        <v>537</v>
      </c>
      <c r="R583" s="30" t="s">
        <v>142</v>
      </c>
      <c r="S583" s="30">
        <v>310940682</v>
      </c>
      <c r="T583" s="30" t="s">
        <v>1780</v>
      </c>
      <c r="U583" s="30" t="s">
        <v>588</v>
      </c>
      <c r="V583" s="30" t="s">
        <v>145</v>
      </c>
      <c r="W583" s="30" t="s">
        <v>146</v>
      </c>
      <c r="X583" s="89" t="s">
        <v>1838</v>
      </c>
      <c r="Y583" s="143" t="s">
        <v>576</v>
      </c>
      <c r="Z583" s="143" t="s">
        <v>576</v>
      </c>
      <c r="AA583" s="20" t="s">
        <v>148</v>
      </c>
      <c r="AB583" s="48" t="s">
        <v>149</v>
      </c>
      <c r="AC583" s="48" t="s">
        <v>538</v>
      </c>
      <c r="AD583" s="30"/>
      <c r="AE583" s="30"/>
      <c r="AF583" s="30" t="s">
        <v>151</v>
      </c>
      <c r="AG583" s="30" t="s">
        <v>152</v>
      </c>
      <c r="AH583" s="30" t="s">
        <v>1839</v>
      </c>
      <c r="AI583" s="30"/>
      <c r="AJ583" s="30"/>
      <c r="AK583" s="50">
        <v>43271</v>
      </c>
      <c r="AL583" s="51">
        <f t="shared" si="371"/>
        <v>7.3698630136986303</v>
      </c>
      <c r="AM583" s="30">
        <v>8</v>
      </c>
      <c r="AN583" s="30"/>
      <c r="AO583" s="30" t="s">
        <v>1050</v>
      </c>
      <c r="AP583" s="30" t="s">
        <v>1187</v>
      </c>
      <c r="AQ583" s="30">
        <v>13.3</v>
      </c>
      <c r="AR583" s="30">
        <v>1050</v>
      </c>
      <c r="AS583" s="30">
        <v>800</v>
      </c>
      <c r="AT583" s="30">
        <v>1600</v>
      </c>
      <c r="AU583" s="54">
        <v>772399860</v>
      </c>
      <c r="AV583" s="54"/>
      <c r="AW583" s="54"/>
      <c r="AX583" s="54"/>
      <c r="AY583" s="54">
        <v>688719398</v>
      </c>
      <c r="AZ583" s="54">
        <v>8045832</v>
      </c>
      <c r="BA583" s="54">
        <v>59542966</v>
      </c>
      <c r="BB583" s="55">
        <f>VLOOKUP(M583,[1]Sheet1!$E$6:$F$556,2,FALSE)</f>
        <v>4009678</v>
      </c>
      <c r="BC583" s="74"/>
      <c r="BD583" s="74"/>
      <c r="BE583" s="30"/>
      <c r="BF583" s="30" t="s">
        <v>1739</v>
      </c>
      <c r="BG583" s="30" t="s">
        <v>1746</v>
      </c>
      <c r="BH583" s="30" t="s">
        <v>136</v>
      </c>
      <c r="BI583" s="30" t="str">
        <f t="shared" ref="BI583:BI646" si="403">BH583</f>
        <v>Test</v>
      </c>
      <c r="BJ583" s="47" t="s">
        <v>137</v>
      </c>
      <c r="BK583" s="67">
        <f t="shared" si="372"/>
        <v>62520114.300000004</v>
      </c>
      <c r="BL583" s="68">
        <f t="shared" si="385"/>
        <v>5959962.3367158985</v>
      </c>
      <c r="BM583" s="68">
        <f t="shared" si="386"/>
        <v>1986654.1122386327</v>
      </c>
      <c r="BP583" s="69">
        <f t="shared" si="387"/>
        <v>5959962.3367158985</v>
      </c>
      <c r="BQ583" s="69">
        <f t="shared" si="388"/>
        <v>5959962.3367158985</v>
      </c>
      <c r="BR583" s="69">
        <f t="shared" si="392"/>
        <v>11919924.673431797</v>
      </c>
      <c r="BS583" s="69">
        <f t="shared" si="389"/>
        <v>5959962.3367158985</v>
      </c>
      <c r="BT583" s="69">
        <f t="shared" si="400"/>
        <v>5959962.3367158985</v>
      </c>
      <c r="BU583" s="100">
        <f t="shared" si="400"/>
        <v>5959962.3367158985</v>
      </c>
      <c r="BV583" s="100">
        <f t="shared" si="400"/>
        <v>5959962.3367158985</v>
      </c>
      <c r="BW583" s="100">
        <f t="shared" si="366"/>
        <v>23839849.346863594</v>
      </c>
      <c r="BX583" s="101">
        <f t="shared" si="393"/>
        <v>5959962.3367158985</v>
      </c>
      <c r="BY583" s="101">
        <f t="shared" si="396"/>
        <v>5959962.3367158985</v>
      </c>
      <c r="BZ583" s="18">
        <f t="shared" si="396"/>
        <v>5959962.3367158985</v>
      </c>
      <c r="CA583" s="18">
        <f t="shared" si="396"/>
        <v>5959962.3367158985</v>
      </c>
      <c r="CB583" s="70">
        <f t="shared" ref="CB583:CB646" si="404">SUM(BX583:CA583)</f>
        <v>23839849.346863594</v>
      </c>
      <c r="CC583" s="18">
        <f t="shared" ref="CC583:CC646" si="405">CA583</f>
        <v>5959962.3367158985</v>
      </c>
      <c r="CD583" s="18">
        <f t="shared" si="399"/>
        <v>5959962.3367158985</v>
      </c>
      <c r="CE583" s="18">
        <f t="shared" si="399"/>
        <v>5959962.3367158985</v>
      </c>
      <c r="CF583" s="18">
        <f t="shared" si="399"/>
        <v>5959962.3367158985</v>
      </c>
      <c r="CG583" s="70">
        <f t="shared" ref="CG583:CG646" si="406">SUM(CC583:CF583)</f>
        <v>23839849.346863594</v>
      </c>
      <c r="CH583" s="18">
        <f t="shared" si="394"/>
        <v>5959962.3367158985</v>
      </c>
      <c r="CI583" s="18">
        <f t="shared" si="391"/>
        <v>5959962.3367158985</v>
      </c>
      <c r="CJ583" s="18">
        <f t="shared" si="391"/>
        <v>5959962.3367158985</v>
      </c>
      <c r="CK583" s="18">
        <f t="shared" si="391"/>
        <v>5959962.3367158985</v>
      </c>
      <c r="CL583" s="70">
        <f t="shared" si="395"/>
        <v>23839849.346863594</v>
      </c>
      <c r="CM583" s="71"/>
      <c r="CN583" s="59">
        <f t="shared" ref="CN583:CN585" si="407">BK583/$CN$3</f>
        <v>6.1046990702337501E-3</v>
      </c>
      <c r="CO583" s="64">
        <f t="shared" ref="CO583:CO585" si="408">CN583*$CO$4</f>
        <v>128198680.47490875</v>
      </c>
      <c r="CP583" s="2">
        <f t="shared" ref="CP583:CP646" si="409">CO583+BK583</f>
        <v>190718794.77490875</v>
      </c>
    </row>
    <row r="584" spans="1:94" ht="16.5" hidden="1" x14ac:dyDescent="0.3">
      <c r="A584" s="2">
        <v>579</v>
      </c>
      <c r="B584" s="47" t="s">
        <v>21</v>
      </c>
      <c r="C584" s="47"/>
      <c r="D584" s="30" t="s">
        <v>1725</v>
      </c>
      <c r="E584" s="30" t="s">
        <v>1042</v>
      </c>
      <c r="F584" s="30" t="s">
        <v>1043</v>
      </c>
      <c r="G584" s="30" t="s">
        <v>117</v>
      </c>
      <c r="H584" s="30"/>
      <c r="I584" s="30" t="s">
        <v>119</v>
      </c>
      <c r="J584" s="30" t="s">
        <v>120</v>
      </c>
      <c r="K584" s="30" t="s">
        <v>121</v>
      </c>
      <c r="L584" s="30" t="s">
        <v>1741</v>
      </c>
      <c r="M584" s="30">
        <v>1005522</v>
      </c>
      <c r="N584" s="30" t="s">
        <v>138</v>
      </c>
      <c r="O584" s="30" t="s">
        <v>1842</v>
      </c>
      <c r="P584" s="30" t="s">
        <v>1837</v>
      </c>
      <c r="Q584" s="30" t="s">
        <v>537</v>
      </c>
      <c r="R584" s="30" t="s">
        <v>142</v>
      </c>
      <c r="S584" s="30">
        <v>310953138</v>
      </c>
      <c r="T584" s="30" t="s">
        <v>1780</v>
      </c>
      <c r="U584" s="30" t="s">
        <v>588</v>
      </c>
      <c r="V584" s="30" t="s">
        <v>145</v>
      </c>
      <c r="W584" s="30" t="s">
        <v>146</v>
      </c>
      <c r="X584" s="89" t="s">
        <v>1838</v>
      </c>
      <c r="Y584" s="143" t="s">
        <v>576</v>
      </c>
      <c r="Z584" s="143" t="s">
        <v>576</v>
      </c>
      <c r="AA584" s="20" t="s">
        <v>148</v>
      </c>
      <c r="AB584" s="48" t="s">
        <v>149</v>
      </c>
      <c r="AC584" s="48" t="s">
        <v>538</v>
      </c>
      <c r="AD584" s="30"/>
      <c r="AE584" s="30"/>
      <c r="AF584" s="30" t="s">
        <v>151</v>
      </c>
      <c r="AG584" s="30" t="s">
        <v>152</v>
      </c>
      <c r="AH584" s="30" t="s">
        <v>1839</v>
      </c>
      <c r="AI584" s="30"/>
      <c r="AJ584" s="30"/>
      <c r="AK584" s="50">
        <v>43304</v>
      </c>
      <c r="AL584" s="51">
        <f t="shared" si="371"/>
        <v>7.279452054794521</v>
      </c>
      <c r="AM584" s="30">
        <v>8</v>
      </c>
      <c r="AN584" s="30"/>
      <c r="AO584" s="30" t="s">
        <v>1050</v>
      </c>
      <c r="AP584" s="30" t="s">
        <v>1187</v>
      </c>
      <c r="AQ584" s="30">
        <v>13.3</v>
      </c>
      <c r="AR584" s="30">
        <v>1050</v>
      </c>
      <c r="AS584" s="30">
        <v>800</v>
      </c>
      <c r="AT584" s="30">
        <v>1600</v>
      </c>
      <c r="AU584" s="54">
        <v>708187271</v>
      </c>
      <c r="AV584" s="54"/>
      <c r="AW584" s="54"/>
      <c r="AX584" s="54"/>
      <c r="AY584" s="54">
        <v>627040811</v>
      </c>
      <c r="AZ584" s="54">
        <v>7376951</v>
      </c>
      <c r="BA584" s="54">
        <v>59015607</v>
      </c>
      <c r="BB584" s="55">
        <f>VLOOKUP(M584,[1]Sheet1!$E$6:$F$556,2,FALSE)</f>
        <v>5105313</v>
      </c>
      <c r="BC584" s="74"/>
      <c r="BD584" s="74"/>
      <c r="BE584" s="30"/>
      <c r="BF584" s="30" t="s">
        <v>1739</v>
      </c>
      <c r="BG584" s="30" t="s">
        <v>1746</v>
      </c>
      <c r="BH584" s="30" t="s">
        <v>136</v>
      </c>
      <c r="BI584" s="30" t="str">
        <f t="shared" si="403"/>
        <v>Test</v>
      </c>
      <c r="BJ584" s="47" t="s">
        <v>137</v>
      </c>
      <c r="BK584" s="67">
        <f t="shared" si="372"/>
        <v>61966387.350000001</v>
      </c>
      <c r="BL584" s="68">
        <f t="shared" si="385"/>
        <v>5907176.2565275496</v>
      </c>
      <c r="BM584" s="68">
        <f t="shared" si="386"/>
        <v>1969058.7521758499</v>
      </c>
      <c r="BP584" s="69">
        <f t="shared" si="387"/>
        <v>5907176.2565275496</v>
      </c>
      <c r="BQ584" s="69">
        <f t="shared" si="388"/>
        <v>5907176.2565275496</v>
      </c>
      <c r="BR584" s="69">
        <f t="shared" si="392"/>
        <v>11814352.513055099</v>
      </c>
      <c r="BS584" s="69">
        <f t="shared" si="389"/>
        <v>5907176.2565275496</v>
      </c>
      <c r="BT584" s="69">
        <f t="shared" si="400"/>
        <v>5907176.2565275496</v>
      </c>
      <c r="BU584" s="100">
        <f t="shared" si="400"/>
        <v>5907176.2565275496</v>
      </c>
      <c r="BV584" s="100">
        <f t="shared" si="400"/>
        <v>5907176.2565275496</v>
      </c>
      <c r="BW584" s="100">
        <f t="shared" si="366"/>
        <v>23628705.026110198</v>
      </c>
      <c r="BX584" s="101">
        <f t="shared" si="393"/>
        <v>5907176.2565275496</v>
      </c>
      <c r="BY584" s="101">
        <f t="shared" si="396"/>
        <v>5907176.2565275496</v>
      </c>
      <c r="BZ584" s="18">
        <f t="shared" si="396"/>
        <v>5907176.2565275496</v>
      </c>
      <c r="CA584" s="18">
        <f t="shared" si="396"/>
        <v>5907176.2565275496</v>
      </c>
      <c r="CB584" s="70">
        <f t="shared" si="404"/>
        <v>23628705.026110198</v>
      </c>
      <c r="CC584" s="18">
        <f t="shared" si="405"/>
        <v>5907176.2565275496</v>
      </c>
      <c r="CD584" s="18">
        <f t="shared" si="399"/>
        <v>5907176.2565275496</v>
      </c>
      <c r="CE584" s="18">
        <f t="shared" si="399"/>
        <v>5907176.2565275496</v>
      </c>
      <c r="CF584" s="18">
        <f t="shared" si="399"/>
        <v>5907176.2565275496</v>
      </c>
      <c r="CG584" s="70">
        <f t="shared" si="406"/>
        <v>23628705.026110198</v>
      </c>
      <c r="CH584" s="18">
        <f t="shared" si="394"/>
        <v>5907176.2565275496</v>
      </c>
      <c r="CI584" s="18">
        <f t="shared" si="391"/>
        <v>5907176.2565275496</v>
      </c>
      <c r="CJ584" s="18">
        <f t="shared" si="391"/>
        <v>5907176.2565275496</v>
      </c>
      <c r="CK584" s="18">
        <f t="shared" si="391"/>
        <v>5907176.2565275496</v>
      </c>
      <c r="CL584" s="70">
        <f t="shared" si="395"/>
        <v>23628705.026110198</v>
      </c>
      <c r="CM584" s="71"/>
      <c r="CN584" s="59">
        <f t="shared" si="407"/>
        <v>6.0506310885181701E-3</v>
      </c>
      <c r="CO584" s="64">
        <f t="shared" si="408"/>
        <v>127063252.85888158</v>
      </c>
      <c r="CP584" s="2">
        <f t="shared" si="409"/>
        <v>189029640.20888159</v>
      </c>
    </row>
    <row r="585" spans="1:94" ht="16.5" hidden="1" x14ac:dyDescent="0.3">
      <c r="A585" s="2">
        <v>580</v>
      </c>
      <c r="B585" s="47" t="s">
        <v>21</v>
      </c>
      <c r="C585" s="47"/>
      <c r="D585" s="30" t="s">
        <v>1725</v>
      </c>
      <c r="E585" s="30" t="s">
        <v>1042</v>
      </c>
      <c r="F585" s="30" t="s">
        <v>1043</v>
      </c>
      <c r="G585" s="30" t="s">
        <v>117</v>
      </c>
      <c r="H585" s="30"/>
      <c r="I585" s="30" t="s">
        <v>119</v>
      </c>
      <c r="J585" s="30" t="s">
        <v>120</v>
      </c>
      <c r="K585" s="30" t="s">
        <v>121</v>
      </c>
      <c r="L585" s="30" t="s">
        <v>1741</v>
      </c>
      <c r="M585" s="30">
        <v>1005524</v>
      </c>
      <c r="N585" s="30" t="s">
        <v>138</v>
      </c>
      <c r="O585" s="30" t="s">
        <v>1843</v>
      </c>
      <c r="P585" s="30" t="s">
        <v>1837</v>
      </c>
      <c r="Q585" s="30" t="s">
        <v>537</v>
      </c>
      <c r="R585" s="30" t="s">
        <v>142</v>
      </c>
      <c r="S585" s="30">
        <v>310953194</v>
      </c>
      <c r="T585" s="30" t="s">
        <v>1780</v>
      </c>
      <c r="U585" s="30" t="s">
        <v>588</v>
      </c>
      <c r="V585" s="30" t="s">
        <v>145</v>
      </c>
      <c r="W585" s="30" t="s">
        <v>146</v>
      </c>
      <c r="X585" s="89" t="s">
        <v>1838</v>
      </c>
      <c r="Y585" s="143" t="s">
        <v>576</v>
      </c>
      <c r="Z585" s="143" t="s">
        <v>576</v>
      </c>
      <c r="AA585" s="20" t="s">
        <v>148</v>
      </c>
      <c r="AB585" s="48" t="s">
        <v>149</v>
      </c>
      <c r="AC585" s="48" t="s">
        <v>538</v>
      </c>
      <c r="AD585" s="30"/>
      <c r="AE585" s="30"/>
      <c r="AF585" s="30" t="s">
        <v>151</v>
      </c>
      <c r="AG585" s="30" t="s">
        <v>152</v>
      </c>
      <c r="AH585" s="30" t="s">
        <v>1839</v>
      </c>
      <c r="AI585" s="30"/>
      <c r="AJ585" s="30"/>
      <c r="AK585" s="50">
        <v>43304</v>
      </c>
      <c r="AL585" s="51">
        <f t="shared" si="371"/>
        <v>7.279452054794521</v>
      </c>
      <c r="AM585" s="30">
        <v>8</v>
      </c>
      <c r="AN585" s="30"/>
      <c r="AO585" s="30" t="s">
        <v>1050</v>
      </c>
      <c r="AP585" s="30" t="s">
        <v>1187</v>
      </c>
      <c r="AQ585" s="30">
        <v>13.3</v>
      </c>
      <c r="AR585" s="30">
        <v>1050</v>
      </c>
      <c r="AS585" s="30">
        <v>800</v>
      </c>
      <c r="AT585" s="30">
        <v>1600</v>
      </c>
      <c r="AU585" s="54">
        <v>708679271</v>
      </c>
      <c r="AV585" s="54"/>
      <c r="AW585" s="54"/>
      <c r="AX585" s="54"/>
      <c r="AY585" s="54">
        <v>627476436</v>
      </c>
      <c r="AZ585" s="54">
        <v>7382076</v>
      </c>
      <c r="BA585" s="54">
        <v>59056607</v>
      </c>
      <c r="BB585" s="55">
        <f>VLOOKUP(M585,[1]Sheet1!$E$6:$F$556,2,FALSE)</f>
        <v>5108860</v>
      </c>
      <c r="BC585" s="74"/>
      <c r="BD585" s="74"/>
      <c r="BE585" s="30"/>
      <c r="BF585" s="30" t="s">
        <v>1739</v>
      </c>
      <c r="BG585" s="30" t="s">
        <v>1746</v>
      </c>
      <c r="BH585" s="30" t="s">
        <v>136</v>
      </c>
      <c r="BI585" s="30" t="str">
        <f t="shared" si="403"/>
        <v>Test</v>
      </c>
      <c r="BJ585" s="47" t="s">
        <v>137</v>
      </c>
      <c r="BK585" s="67">
        <f t="shared" si="372"/>
        <v>62009437.350000001</v>
      </c>
      <c r="BL585" s="68">
        <f t="shared" si="385"/>
        <v>5911280.1578314472</v>
      </c>
      <c r="BM585" s="68">
        <f t="shared" si="386"/>
        <v>1970426.7192771491</v>
      </c>
      <c r="BP585" s="69">
        <f t="shared" si="387"/>
        <v>5911280.1578314472</v>
      </c>
      <c r="BQ585" s="69">
        <f t="shared" si="388"/>
        <v>5911280.1578314472</v>
      </c>
      <c r="BR585" s="69">
        <f t="shared" si="392"/>
        <v>11822560.315662894</v>
      </c>
      <c r="BS585" s="69">
        <f t="shared" si="389"/>
        <v>5911280.1578314472</v>
      </c>
      <c r="BT585" s="69">
        <f t="shared" si="400"/>
        <v>5911280.1578314472</v>
      </c>
      <c r="BU585" s="100">
        <f t="shared" si="400"/>
        <v>5911280.1578314472</v>
      </c>
      <c r="BV585" s="100">
        <f t="shared" si="400"/>
        <v>5911280.1578314472</v>
      </c>
      <c r="BW585" s="100">
        <f t="shared" si="366"/>
        <v>23645120.631325789</v>
      </c>
      <c r="BX585" s="101">
        <f t="shared" si="393"/>
        <v>5911280.1578314472</v>
      </c>
      <c r="BY585" s="101">
        <f t="shared" si="396"/>
        <v>5911280.1578314472</v>
      </c>
      <c r="BZ585" s="18">
        <f t="shared" si="396"/>
        <v>5911280.1578314472</v>
      </c>
      <c r="CA585" s="18">
        <f t="shared" si="396"/>
        <v>5911280.1578314472</v>
      </c>
      <c r="CB585" s="70">
        <f t="shared" si="404"/>
        <v>23645120.631325789</v>
      </c>
      <c r="CC585" s="18">
        <f t="shared" si="405"/>
        <v>5911280.1578314472</v>
      </c>
      <c r="CD585" s="18">
        <f t="shared" si="399"/>
        <v>5911280.1578314472</v>
      </c>
      <c r="CE585" s="18">
        <f t="shared" si="399"/>
        <v>5911280.1578314472</v>
      </c>
      <c r="CF585" s="18">
        <f t="shared" si="399"/>
        <v>5911280.1578314472</v>
      </c>
      <c r="CG585" s="70">
        <f t="shared" si="406"/>
        <v>23645120.631325789</v>
      </c>
      <c r="CH585" s="18">
        <f t="shared" si="394"/>
        <v>5911280.1578314472</v>
      </c>
      <c r="CI585" s="18">
        <f t="shared" si="391"/>
        <v>5911280.1578314472</v>
      </c>
      <c r="CJ585" s="18">
        <f t="shared" si="391"/>
        <v>5911280.1578314472</v>
      </c>
      <c r="CK585" s="18">
        <f t="shared" si="391"/>
        <v>5911280.1578314472</v>
      </c>
      <c r="CL585" s="70">
        <f t="shared" si="395"/>
        <v>23645120.631325789</v>
      </c>
      <c r="CM585" s="71"/>
      <c r="CN585" s="59">
        <f t="shared" si="407"/>
        <v>6.0548346524098243E-3</v>
      </c>
      <c r="CO585" s="64">
        <f t="shared" si="408"/>
        <v>127151527.70060632</v>
      </c>
      <c r="CP585" s="2">
        <f t="shared" si="409"/>
        <v>189160965.05060631</v>
      </c>
    </row>
    <row r="586" spans="1:94" ht="16.5" hidden="1" x14ac:dyDescent="0.3">
      <c r="A586" s="2">
        <v>581</v>
      </c>
      <c r="B586" s="47" t="s">
        <v>21</v>
      </c>
      <c r="C586" s="47"/>
      <c r="D586" s="30" t="s">
        <v>1725</v>
      </c>
      <c r="E586" s="30" t="s">
        <v>1042</v>
      </c>
      <c r="F586" s="30" t="s">
        <v>1043</v>
      </c>
      <c r="G586" s="30" t="s">
        <v>117</v>
      </c>
      <c r="H586" s="30"/>
      <c r="I586" s="30" t="s">
        <v>119</v>
      </c>
      <c r="J586" s="30" t="s">
        <v>120</v>
      </c>
      <c r="K586" s="30" t="s">
        <v>121</v>
      </c>
      <c r="L586" s="30" t="s">
        <v>1741</v>
      </c>
      <c r="M586" s="30">
        <v>1005525</v>
      </c>
      <c r="N586" s="30" t="s">
        <v>138</v>
      </c>
      <c r="O586" s="30" t="s">
        <v>1844</v>
      </c>
      <c r="P586" s="30" t="s">
        <v>1837</v>
      </c>
      <c r="Q586" s="30" t="s">
        <v>537</v>
      </c>
      <c r="R586" s="30" t="s">
        <v>142</v>
      </c>
      <c r="S586" s="30">
        <v>310953207</v>
      </c>
      <c r="T586" s="30" t="s">
        <v>1780</v>
      </c>
      <c r="U586" s="30" t="s">
        <v>588</v>
      </c>
      <c r="V586" s="30" t="s">
        <v>145</v>
      </c>
      <c r="W586" s="30" t="s">
        <v>146</v>
      </c>
      <c r="X586" s="89"/>
      <c r="Y586" s="143" t="s">
        <v>576</v>
      </c>
      <c r="Z586" s="143" t="s">
        <v>576</v>
      </c>
      <c r="AA586" s="20" t="s">
        <v>148</v>
      </c>
      <c r="AB586" s="48" t="s">
        <v>149</v>
      </c>
      <c r="AC586" s="48" t="s">
        <v>538</v>
      </c>
      <c r="AD586" s="30"/>
      <c r="AE586" s="30"/>
      <c r="AF586" s="30" t="s">
        <v>151</v>
      </c>
      <c r="AG586" s="30" t="s">
        <v>152</v>
      </c>
      <c r="AH586" s="30" t="s">
        <v>1839</v>
      </c>
      <c r="AI586" s="30"/>
      <c r="AJ586" s="30"/>
      <c r="AK586" s="50">
        <v>43304</v>
      </c>
      <c r="AL586" s="51">
        <f t="shared" si="371"/>
        <v>7.279452054794521</v>
      </c>
      <c r="AM586" s="30">
        <v>8</v>
      </c>
      <c r="AN586" s="30"/>
      <c r="AO586" s="30" t="s">
        <v>1050</v>
      </c>
      <c r="AP586" s="30" t="s">
        <v>1187</v>
      </c>
      <c r="AQ586" s="30">
        <v>13.3</v>
      </c>
      <c r="AR586" s="30">
        <v>1050</v>
      </c>
      <c r="AS586" s="30">
        <v>800</v>
      </c>
      <c r="AT586" s="30">
        <v>1600</v>
      </c>
      <c r="AU586" s="54">
        <v>708679271</v>
      </c>
      <c r="AV586" s="54"/>
      <c r="AW586" s="54"/>
      <c r="AX586" s="54"/>
      <c r="AY586" s="54">
        <v>627476436</v>
      </c>
      <c r="AZ586" s="54">
        <v>7382076</v>
      </c>
      <c r="BA586" s="54">
        <v>59056607</v>
      </c>
      <c r="BB586" s="55">
        <f>VLOOKUP(M586,[1]Sheet1!$E$6:$F$556,2,FALSE)</f>
        <v>5108860</v>
      </c>
      <c r="BC586" s="74"/>
      <c r="BD586" s="74"/>
      <c r="BE586" s="30"/>
      <c r="BF586" s="30" t="s">
        <v>1739</v>
      </c>
      <c r="BG586" s="30" t="s">
        <v>1746</v>
      </c>
      <c r="BH586" s="30" t="s">
        <v>136</v>
      </c>
      <c r="BI586" s="30" t="str">
        <f t="shared" si="403"/>
        <v>Test</v>
      </c>
      <c r="BJ586" s="47" t="s">
        <v>137</v>
      </c>
      <c r="BK586" s="67">
        <f t="shared" si="372"/>
        <v>62009437.350000001</v>
      </c>
      <c r="BL586" s="68">
        <f t="shared" si="385"/>
        <v>1937794.9171875</v>
      </c>
      <c r="BM586" s="68">
        <f t="shared" si="386"/>
        <v>645931.63906249998</v>
      </c>
      <c r="BP586" s="69">
        <f t="shared" si="387"/>
        <v>1937794.9171874998</v>
      </c>
      <c r="BQ586" s="69">
        <f t="shared" si="388"/>
        <v>1937794.9171874998</v>
      </c>
      <c r="BR586" s="69">
        <f t="shared" si="392"/>
        <v>3875589.8343749996</v>
      </c>
      <c r="BS586" s="69">
        <f t="shared" si="389"/>
        <v>1937794.9171874998</v>
      </c>
      <c r="BT586" s="69">
        <f t="shared" si="400"/>
        <v>1937794.9171874998</v>
      </c>
      <c r="BU586" s="100">
        <f t="shared" si="400"/>
        <v>1937794.9171874998</v>
      </c>
      <c r="BV586" s="100">
        <f t="shared" si="400"/>
        <v>1937794.9171874998</v>
      </c>
      <c r="BW586" s="100">
        <f t="shared" si="366"/>
        <v>7751179.6687499993</v>
      </c>
      <c r="BX586" s="101">
        <f t="shared" si="393"/>
        <v>1937794.9171874998</v>
      </c>
      <c r="BY586" s="101">
        <f t="shared" si="396"/>
        <v>1937794.9171874998</v>
      </c>
      <c r="BZ586" s="18">
        <f t="shared" si="396"/>
        <v>1937794.9171874998</v>
      </c>
      <c r="CA586" s="18">
        <f t="shared" si="396"/>
        <v>1937794.9171874998</v>
      </c>
      <c r="CB586" s="70">
        <f t="shared" si="404"/>
        <v>7751179.6687499993</v>
      </c>
      <c r="CC586" s="18">
        <f t="shared" si="405"/>
        <v>1937794.9171874998</v>
      </c>
      <c r="CD586" s="18">
        <f t="shared" si="399"/>
        <v>1937794.9171874998</v>
      </c>
      <c r="CE586" s="18">
        <f t="shared" si="399"/>
        <v>1937794.9171874998</v>
      </c>
      <c r="CF586" s="18">
        <f t="shared" si="399"/>
        <v>1937794.9171874998</v>
      </c>
      <c r="CG586" s="70">
        <f t="shared" si="406"/>
        <v>7751179.6687499993</v>
      </c>
      <c r="CH586" s="18">
        <f t="shared" si="394"/>
        <v>1937794.9171874998</v>
      </c>
      <c r="CI586" s="18">
        <f t="shared" si="391"/>
        <v>1937794.9171874998</v>
      </c>
      <c r="CJ586" s="18">
        <f t="shared" si="391"/>
        <v>1937794.9171874998</v>
      </c>
      <c r="CK586" s="18">
        <f t="shared" si="391"/>
        <v>1937794.9171874998</v>
      </c>
      <c r="CL586" s="70">
        <f t="shared" si="395"/>
        <v>7751179.6687499993</v>
      </c>
      <c r="CM586" s="71"/>
      <c r="CN586" s="71"/>
      <c r="CP586" s="2">
        <f t="shared" si="409"/>
        <v>62009437.350000001</v>
      </c>
    </row>
    <row r="587" spans="1:94" ht="16.5" hidden="1" x14ac:dyDescent="0.3">
      <c r="A587" s="2">
        <v>582</v>
      </c>
      <c r="B587" s="47" t="s">
        <v>21</v>
      </c>
      <c r="C587" s="47"/>
      <c r="D587" s="30" t="s">
        <v>1725</v>
      </c>
      <c r="E587" s="30" t="s">
        <v>1042</v>
      </c>
      <c r="F587" s="30" t="s">
        <v>1043</v>
      </c>
      <c r="G587" s="30" t="s">
        <v>117</v>
      </c>
      <c r="H587" s="30"/>
      <c r="I587" s="30" t="s">
        <v>119</v>
      </c>
      <c r="J587" s="30" t="s">
        <v>120</v>
      </c>
      <c r="K587" s="30" t="s">
        <v>121</v>
      </c>
      <c r="L587" s="30" t="s">
        <v>1741</v>
      </c>
      <c r="M587" s="30">
        <v>1005557</v>
      </c>
      <c r="N587" s="30" t="s">
        <v>138</v>
      </c>
      <c r="O587" s="30" t="s">
        <v>1845</v>
      </c>
      <c r="P587" s="30" t="s">
        <v>1837</v>
      </c>
      <c r="Q587" s="30" t="s">
        <v>537</v>
      </c>
      <c r="R587" s="30" t="s">
        <v>142</v>
      </c>
      <c r="S587" s="30">
        <v>310959629</v>
      </c>
      <c r="T587" s="30" t="s">
        <v>1780</v>
      </c>
      <c r="U587" s="30" t="s">
        <v>588</v>
      </c>
      <c r="V587" s="30" t="s">
        <v>145</v>
      </c>
      <c r="W587" s="30" t="s">
        <v>146</v>
      </c>
      <c r="X587" s="89"/>
      <c r="Y587" s="143" t="s">
        <v>576</v>
      </c>
      <c r="Z587" s="143" t="s">
        <v>576</v>
      </c>
      <c r="AA587" s="20" t="s">
        <v>148</v>
      </c>
      <c r="AB587" s="48" t="s">
        <v>149</v>
      </c>
      <c r="AC587" s="48" t="s">
        <v>538</v>
      </c>
      <c r="AD587" s="30"/>
      <c r="AE587" s="30"/>
      <c r="AF587" s="30" t="s">
        <v>151</v>
      </c>
      <c r="AG587" s="30" t="s">
        <v>152</v>
      </c>
      <c r="AH587" s="30" t="s">
        <v>1839</v>
      </c>
      <c r="AI587" s="30"/>
      <c r="AJ587" s="30"/>
      <c r="AK587" s="50">
        <v>43312</v>
      </c>
      <c r="AL587" s="51">
        <f t="shared" si="371"/>
        <v>7.2575342465753421</v>
      </c>
      <c r="AM587" s="30">
        <v>8</v>
      </c>
      <c r="AN587" s="30"/>
      <c r="AO587" s="30" t="s">
        <v>1050</v>
      </c>
      <c r="AP587" s="30" t="s">
        <v>1187</v>
      </c>
      <c r="AQ587" s="30">
        <v>13.3</v>
      </c>
      <c r="AR587" s="30">
        <v>1050</v>
      </c>
      <c r="AS587" s="30">
        <v>800</v>
      </c>
      <c r="AT587" s="30">
        <v>1600</v>
      </c>
      <c r="AU587" s="54">
        <v>702963326</v>
      </c>
      <c r="AV587" s="54"/>
      <c r="AW587" s="54"/>
      <c r="AX587" s="54"/>
      <c r="AY587" s="54">
        <v>622415445</v>
      </c>
      <c r="AZ587" s="54">
        <v>7322535</v>
      </c>
      <c r="BA587" s="54">
        <v>58580276</v>
      </c>
      <c r="BB587" s="55">
        <f>VLOOKUP(M587,[1]Sheet1!$E$6:$F$556,2,FALSE)</f>
        <v>5067657</v>
      </c>
      <c r="BC587" s="74"/>
      <c r="BD587" s="74"/>
      <c r="BE587" s="30"/>
      <c r="BF587" s="30" t="s">
        <v>1739</v>
      </c>
      <c r="BG587" s="30" t="s">
        <v>1746</v>
      </c>
      <c r="BH587" s="30" t="s">
        <v>136</v>
      </c>
      <c r="BI587" s="30" t="str">
        <f t="shared" si="403"/>
        <v>Test</v>
      </c>
      <c r="BJ587" s="47" t="s">
        <v>137</v>
      </c>
      <c r="BK587" s="67">
        <f t="shared" si="372"/>
        <v>61509289.800000004</v>
      </c>
      <c r="BL587" s="68">
        <f t="shared" si="385"/>
        <v>1922165.3062500001</v>
      </c>
      <c r="BM587" s="68">
        <f t="shared" si="386"/>
        <v>640721.76875000005</v>
      </c>
      <c r="BP587" s="69">
        <f t="shared" si="387"/>
        <v>1922165.3062500001</v>
      </c>
      <c r="BQ587" s="69">
        <f t="shared" si="388"/>
        <v>1922165.3062500001</v>
      </c>
      <c r="BR587" s="69">
        <f t="shared" si="392"/>
        <v>3844330.6125000003</v>
      </c>
      <c r="BS587" s="69">
        <f t="shared" si="389"/>
        <v>1922165.3062500001</v>
      </c>
      <c r="BT587" s="69">
        <f t="shared" si="400"/>
        <v>1922165.3062500001</v>
      </c>
      <c r="BU587" s="100">
        <f t="shared" si="400"/>
        <v>1922165.3062500001</v>
      </c>
      <c r="BV587" s="100">
        <f t="shared" si="400"/>
        <v>1922165.3062500001</v>
      </c>
      <c r="BW587" s="100">
        <f t="shared" si="366"/>
        <v>7688661.2250000006</v>
      </c>
      <c r="BX587" s="101">
        <f t="shared" si="393"/>
        <v>1922165.3062500001</v>
      </c>
      <c r="BY587" s="101">
        <f t="shared" si="396"/>
        <v>1922165.3062500001</v>
      </c>
      <c r="BZ587" s="18">
        <f t="shared" si="396"/>
        <v>1922165.3062500001</v>
      </c>
      <c r="CA587" s="18">
        <f t="shared" si="396"/>
        <v>1922165.3062500001</v>
      </c>
      <c r="CB587" s="70">
        <f t="shared" si="404"/>
        <v>7688661.2250000006</v>
      </c>
      <c r="CC587" s="18">
        <f t="shared" si="405"/>
        <v>1922165.3062500001</v>
      </c>
      <c r="CD587" s="18">
        <f t="shared" si="399"/>
        <v>1922165.3062500001</v>
      </c>
      <c r="CE587" s="18">
        <f t="shared" si="399"/>
        <v>1922165.3062500001</v>
      </c>
      <c r="CF587" s="18">
        <f t="shared" si="399"/>
        <v>1922165.3062500001</v>
      </c>
      <c r="CG587" s="70">
        <f t="shared" si="406"/>
        <v>7688661.2250000006</v>
      </c>
      <c r="CH587" s="18">
        <f t="shared" si="394"/>
        <v>1922165.3062500001</v>
      </c>
      <c r="CI587" s="18">
        <f t="shared" si="391"/>
        <v>1922165.3062500001</v>
      </c>
      <c r="CJ587" s="18">
        <f t="shared" si="391"/>
        <v>1922165.3062500001</v>
      </c>
      <c r="CK587" s="18">
        <f t="shared" si="391"/>
        <v>1922165.3062500001</v>
      </c>
      <c r="CL587" s="70">
        <f t="shared" si="395"/>
        <v>7688661.2250000006</v>
      </c>
      <c r="CM587" s="71"/>
      <c r="CN587" s="71"/>
      <c r="CP587" s="2">
        <f t="shared" si="409"/>
        <v>61509289.800000004</v>
      </c>
    </row>
    <row r="588" spans="1:94" ht="16.5" hidden="1" x14ac:dyDescent="0.3">
      <c r="A588" s="2">
        <v>583</v>
      </c>
      <c r="B588" s="47" t="s">
        <v>21</v>
      </c>
      <c r="C588" s="47"/>
      <c r="D588" s="30" t="s">
        <v>1725</v>
      </c>
      <c r="E588" s="30" t="s">
        <v>1042</v>
      </c>
      <c r="F588" s="30" t="s">
        <v>1043</v>
      </c>
      <c r="G588" s="30" t="s">
        <v>117</v>
      </c>
      <c r="H588" s="30"/>
      <c r="I588" s="30" t="s">
        <v>119</v>
      </c>
      <c r="J588" s="30" t="s">
        <v>120</v>
      </c>
      <c r="K588" s="30" t="s">
        <v>121</v>
      </c>
      <c r="L588" s="30" t="s">
        <v>1741</v>
      </c>
      <c r="M588" s="30">
        <v>1005558</v>
      </c>
      <c r="N588" s="30" t="s">
        <v>138</v>
      </c>
      <c r="O588" s="30" t="s">
        <v>1846</v>
      </c>
      <c r="P588" s="30" t="s">
        <v>1837</v>
      </c>
      <c r="Q588" s="30" t="s">
        <v>537</v>
      </c>
      <c r="R588" s="30" t="s">
        <v>142</v>
      </c>
      <c r="S588" s="30">
        <v>310973304</v>
      </c>
      <c r="T588" s="30" t="s">
        <v>1780</v>
      </c>
      <c r="U588" s="30" t="s">
        <v>588</v>
      </c>
      <c r="V588" s="30" t="s">
        <v>145</v>
      </c>
      <c r="W588" s="30" t="s">
        <v>146</v>
      </c>
      <c r="X588" s="89"/>
      <c r="Y588" s="143" t="s">
        <v>576</v>
      </c>
      <c r="Z588" s="143" t="s">
        <v>576</v>
      </c>
      <c r="AA588" s="20" t="s">
        <v>148</v>
      </c>
      <c r="AB588" s="48" t="s">
        <v>149</v>
      </c>
      <c r="AC588" s="48" t="s">
        <v>538</v>
      </c>
      <c r="AD588" s="30"/>
      <c r="AE588" s="30"/>
      <c r="AF588" s="30" t="s">
        <v>151</v>
      </c>
      <c r="AG588" s="30" t="s">
        <v>152</v>
      </c>
      <c r="AH588" s="30" t="s">
        <v>1839</v>
      </c>
      <c r="AI588" s="30"/>
      <c r="AJ588" s="30"/>
      <c r="AK588" s="50">
        <v>43312</v>
      </c>
      <c r="AL588" s="51">
        <f t="shared" si="371"/>
        <v>7.2575342465753421</v>
      </c>
      <c r="AM588" s="30">
        <v>8</v>
      </c>
      <c r="AN588" s="30"/>
      <c r="AO588" s="30" t="s">
        <v>1050</v>
      </c>
      <c r="AP588" s="30" t="s">
        <v>1187</v>
      </c>
      <c r="AQ588" s="30">
        <v>13.3</v>
      </c>
      <c r="AR588" s="30">
        <v>1050</v>
      </c>
      <c r="AS588" s="30">
        <v>800</v>
      </c>
      <c r="AT588" s="30">
        <v>1600</v>
      </c>
      <c r="AU588" s="54">
        <v>764789098</v>
      </c>
      <c r="AV588" s="54"/>
      <c r="AW588" s="54"/>
      <c r="AX588" s="54"/>
      <c r="AY588" s="54">
        <v>642521588</v>
      </c>
      <c r="AZ588" s="54">
        <v>7966553</v>
      </c>
      <c r="BA588" s="54">
        <v>98367851</v>
      </c>
      <c r="BB588" s="55">
        <f>VLOOKUP(M588,[1]Sheet1!$E$6:$F$556,2,FALSE)</f>
        <v>9507906</v>
      </c>
      <c r="BC588" s="74"/>
      <c r="BD588" s="74"/>
      <c r="BE588" s="30"/>
      <c r="BF588" s="30" t="s">
        <v>1739</v>
      </c>
      <c r="BG588" s="30" t="s">
        <v>1746</v>
      </c>
      <c r="BH588" s="30" t="s">
        <v>136</v>
      </c>
      <c r="BI588" s="30" t="str">
        <f t="shared" si="403"/>
        <v>Test</v>
      </c>
      <c r="BJ588" s="47" t="s">
        <v>137</v>
      </c>
      <c r="BK588" s="67">
        <f t="shared" si="372"/>
        <v>103286243.55</v>
      </c>
      <c r="BL588" s="68">
        <f t="shared" si="385"/>
        <v>3227695.1109374999</v>
      </c>
      <c r="BM588" s="68">
        <f t="shared" si="386"/>
        <v>1075898.3703125</v>
      </c>
      <c r="BP588" s="69">
        <f t="shared" si="387"/>
        <v>3227695.1109375004</v>
      </c>
      <c r="BQ588" s="69">
        <f t="shared" si="388"/>
        <v>3227695.1109375004</v>
      </c>
      <c r="BR588" s="69">
        <f t="shared" si="392"/>
        <v>6455390.2218750007</v>
      </c>
      <c r="BS588" s="69">
        <f t="shared" si="389"/>
        <v>3227695.1109375004</v>
      </c>
      <c r="BT588" s="69">
        <f t="shared" si="400"/>
        <v>3227695.1109375004</v>
      </c>
      <c r="BU588" s="100">
        <f t="shared" si="400"/>
        <v>3227695.1109375004</v>
      </c>
      <c r="BV588" s="100">
        <f t="shared" si="400"/>
        <v>3227695.1109375004</v>
      </c>
      <c r="BW588" s="100">
        <f t="shared" ref="BW588:BW621" si="410">SUM(BS588:BV588)</f>
        <v>12910780.443750001</v>
      </c>
      <c r="BX588" s="101">
        <f t="shared" si="393"/>
        <v>3227695.1109375004</v>
      </c>
      <c r="BY588" s="101">
        <f t="shared" si="396"/>
        <v>3227695.1109375004</v>
      </c>
      <c r="BZ588" s="18">
        <f t="shared" si="396"/>
        <v>3227695.1109375004</v>
      </c>
      <c r="CA588" s="18">
        <f t="shared" si="396"/>
        <v>3227695.1109375004</v>
      </c>
      <c r="CB588" s="70">
        <f t="shared" si="404"/>
        <v>12910780.443750001</v>
      </c>
      <c r="CC588" s="18">
        <f t="shared" si="405"/>
        <v>3227695.1109375004</v>
      </c>
      <c r="CD588" s="18">
        <f t="shared" si="399"/>
        <v>3227695.1109375004</v>
      </c>
      <c r="CE588" s="18">
        <f t="shared" si="399"/>
        <v>3227695.1109375004</v>
      </c>
      <c r="CF588" s="18">
        <f t="shared" si="399"/>
        <v>3227695.1109375004</v>
      </c>
      <c r="CG588" s="70">
        <f t="shared" si="406"/>
        <v>12910780.443750001</v>
      </c>
      <c r="CH588" s="18">
        <f t="shared" si="394"/>
        <v>3227695.1109375004</v>
      </c>
      <c r="CI588" s="18">
        <f t="shared" si="391"/>
        <v>3227695.1109375004</v>
      </c>
      <c r="CJ588" s="18">
        <f t="shared" si="391"/>
        <v>3227695.1109375004</v>
      </c>
      <c r="CK588" s="18">
        <f t="shared" si="391"/>
        <v>3227695.1109375004</v>
      </c>
      <c r="CL588" s="70">
        <f t="shared" si="395"/>
        <v>12910780.443750001</v>
      </c>
      <c r="CM588" s="71"/>
      <c r="CN588" s="71"/>
      <c r="CP588" s="2">
        <f t="shared" si="409"/>
        <v>103286243.55</v>
      </c>
    </row>
    <row r="589" spans="1:94" ht="16.5" hidden="1" x14ac:dyDescent="0.3">
      <c r="A589" s="2">
        <v>584</v>
      </c>
      <c r="B589" s="47" t="s">
        <v>21</v>
      </c>
      <c r="C589" s="47"/>
      <c r="D589" s="30" t="s">
        <v>1725</v>
      </c>
      <c r="E589" s="30" t="s">
        <v>1042</v>
      </c>
      <c r="F589" s="30" t="s">
        <v>1043</v>
      </c>
      <c r="G589" s="30" t="s">
        <v>117</v>
      </c>
      <c r="H589" s="30"/>
      <c r="I589" s="30" t="s">
        <v>119</v>
      </c>
      <c r="J589" s="30" t="s">
        <v>120</v>
      </c>
      <c r="K589" s="30" t="s">
        <v>121</v>
      </c>
      <c r="L589" s="30" t="s">
        <v>1741</v>
      </c>
      <c r="M589" s="30">
        <v>1005608</v>
      </c>
      <c r="N589" s="30" t="s">
        <v>138</v>
      </c>
      <c r="O589" s="30" t="s">
        <v>1847</v>
      </c>
      <c r="P589" s="30" t="s">
        <v>1837</v>
      </c>
      <c r="Q589" s="30" t="s">
        <v>537</v>
      </c>
      <c r="R589" s="30" t="s">
        <v>142</v>
      </c>
      <c r="S589" s="30">
        <v>310973320</v>
      </c>
      <c r="T589" s="30" t="s">
        <v>1780</v>
      </c>
      <c r="U589" s="30" t="s">
        <v>588</v>
      </c>
      <c r="V589" s="30" t="s">
        <v>145</v>
      </c>
      <c r="W589" s="30" t="s">
        <v>146</v>
      </c>
      <c r="X589" s="89"/>
      <c r="Y589" s="143" t="s">
        <v>576</v>
      </c>
      <c r="Z589" s="143" t="s">
        <v>576</v>
      </c>
      <c r="AA589" s="20" t="s">
        <v>148</v>
      </c>
      <c r="AB589" s="48" t="s">
        <v>149</v>
      </c>
      <c r="AC589" s="48" t="s">
        <v>538</v>
      </c>
      <c r="AD589" s="30"/>
      <c r="AE589" s="30"/>
      <c r="AF589" s="30" t="s">
        <v>151</v>
      </c>
      <c r="AG589" s="30" t="s">
        <v>152</v>
      </c>
      <c r="AH589" s="30" t="s">
        <v>1839</v>
      </c>
      <c r="AI589" s="30"/>
      <c r="AJ589" s="30"/>
      <c r="AK589" s="50">
        <v>43313</v>
      </c>
      <c r="AL589" s="51">
        <f t="shared" si="371"/>
        <v>7.2547945205479456</v>
      </c>
      <c r="AM589" s="30">
        <v>8</v>
      </c>
      <c r="AN589" s="30"/>
      <c r="AO589" s="30" t="s">
        <v>1050</v>
      </c>
      <c r="AP589" s="30" t="s">
        <v>1187</v>
      </c>
      <c r="AQ589" s="30">
        <v>13.3</v>
      </c>
      <c r="AR589" s="30">
        <v>1050</v>
      </c>
      <c r="AS589" s="30">
        <v>800</v>
      </c>
      <c r="AT589" s="30">
        <v>1600</v>
      </c>
      <c r="AU589" s="54">
        <v>729447160</v>
      </c>
      <c r="AV589" s="54"/>
      <c r="AW589" s="54"/>
      <c r="AX589" s="54"/>
      <c r="AY589" s="54">
        <v>633324293</v>
      </c>
      <c r="AZ589" s="54">
        <v>7598408</v>
      </c>
      <c r="BA589" s="54">
        <v>73327643</v>
      </c>
      <c r="BB589" s="55">
        <f>VLOOKUP(M589,[1]Sheet1!$E$6:$F$556,2,FALSE)</f>
        <v>7662571</v>
      </c>
      <c r="BC589" s="74"/>
      <c r="BD589" s="74"/>
      <c r="BE589" s="30"/>
      <c r="BF589" s="30" t="s">
        <v>1739</v>
      </c>
      <c r="BG589" s="30" t="s">
        <v>1746</v>
      </c>
      <c r="BH589" s="30" t="s">
        <v>136</v>
      </c>
      <c r="BI589" s="30" t="str">
        <f t="shared" si="403"/>
        <v>Test</v>
      </c>
      <c r="BJ589" s="47" t="s">
        <v>137</v>
      </c>
      <c r="BK589" s="67">
        <f t="shared" si="372"/>
        <v>76994025.150000006</v>
      </c>
      <c r="BL589" s="68">
        <f t="shared" si="385"/>
        <v>2406063.2859375002</v>
      </c>
      <c r="BM589" s="68">
        <f t="shared" si="386"/>
        <v>802021.09531250002</v>
      </c>
      <c r="BP589" s="69">
        <f t="shared" si="387"/>
        <v>2406063.2859375002</v>
      </c>
      <c r="BQ589" s="69">
        <f t="shared" si="388"/>
        <v>2406063.2859375002</v>
      </c>
      <c r="BR589" s="69">
        <f t="shared" si="392"/>
        <v>4812126.5718750004</v>
      </c>
      <c r="BS589" s="69">
        <f t="shared" si="389"/>
        <v>2406063.2859375002</v>
      </c>
      <c r="BT589" s="69">
        <f t="shared" ref="BT589:BV602" si="411">BS589</f>
        <v>2406063.2859375002</v>
      </c>
      <c r="BU589" s="100">
        <f t="shared" si="411"/>
        <v>2406063.2859375002</v>
      </c>
      <c r="BV589" s="100">
        <f t="shared" si="411"/>
        <v>2406063.2859375002</v>
      </c>
      <c r="BW589" s="100">
        <f t="shared" si="410"/>
        <v>9624253.1437500007</v>
      </c>
      <c r="BX589" s="101">
        <f t="shared" si="393"/>
        <v>2406063.2859375002</v>
      </c>
      <c r="BY589" s="101">
        <f t="shared" si="396"/>
        <v>2406063.2859375002</v>
      </c>
      <c r="BZ589" s="18">
        <f t="shared" si="396"/>
        <v>2406063.2859375002</v>
      </c>
      <c r="CA589" s="18">
        <f t="shared" si="396"/>
        <v>2406063.2859375002</v>
      </c>
      <c r="CB589" s="70">
        <f t="shared" si="404"/>
        <v>9624253.1437500007</v>
      </c>
      <c r="CC589" s="18">
        <f t="shared" si="405"/>
        <v>2406063.2859375002</v>
      </c>
      <c r="CD589" s="18">
        <f t="shared" ref="CD589:CF608" si="412">CC589</f>
        <v>2406063.2859375002</v>
      </c>
      <c r="CE589" s="18">
        <f t="shared" si="412"/>
        <v>2406063.2859375002</v>
      </c>
      <c r="CF589" s="18">
        <f t="shared" si="412"/>
        <v>2406063.2859375002</v>
      </c>
      <c r="CG589" s="70">
        <f t="shared" si="406"/>
        <v>9624253.1437500007</v>
      </c>
      <c r="CH589" s="18">
        <f t="shared" si="394"/>
        <v>2406063.2859375002</v>
      </c>
      <c r="CI589" s="18">
        <f t="shared" si="391"/>
        <v>2406063.2859375002</v>
      </c>
      <c r="CJ589" s="18">
        <f t="shared" si="391"/>
        <v>2406063.2859375002</v>
      </c>
      <c r="CK589" s="18">
        <f t="shared" si="391"/>
        <v>2406063.2859375002</v>
      </c>
      <c r="CL589" s="70">
        <f t="shared" si="395"/>
        <v>9624253.1437500007</v>
      </c>
      <c r="CM589" s="71"/>
      <c r="CN589" s="71"/>
      <c r="CP589" s="2">
        <f t="shared" si="409"/>
        <v>76994025.150000006</v>
      </c>
    </row>
    <row r="590" spans="1:94" ht="16.5" hidden="1" x14ac:dyDescent="0.3">
      <c r="A590" s="2">
        <v>585</v>
      </c>
      <c r="B590" s="47" t="s">
        <v>21</v>
      </c>
      <c r="C590" s="47"/>
      <c r="D590" s="30" t="s">
        <v>1725</v>
      </c>
      <c r="E590" s="30" t="s">
        <v>1042</v>
      </c>
      <c r="F590" s="30" t="s">
        <v>1043</v>
      </c>
      <c r="G590" s="30" t="s">
        <v>117</v>
      </c>
      <c r="H590" s="30"/>
      <c r="I590" s="30" t="s">
        <v>119</v>
      </c>
      <c r="J590" s="30" t="s">
        <v>120</v>
      </c>
      <c r="K590" s="30" t="s">
        <v>121</v>
      </c>
      <c r="L590" s="30" t="s">
        <v>1741</v>
      </c>
      <c r="M590" s="30">
        <v>1005619</v>
      </c>
      <c r="N590" s="30" t="s">
        <v>138</v>
      </c>
      <c r="O590" s="30" t="s">
        <v>1848</v>
      </c>
      <c r="P590" s="30" t="s">
        <v>1837</v>
      </c>
      <c r="Q590" s="30" t="s">
        <v>537</v>
      </c>
      <c r="R590" s="30" t="s">
        <v>142</v>
      </c>
      <c r="S590" s="30">
        <v>310911282</v>
      </c>
      <c r="T590" s="30" t="s">
        <v>1780</v>
      </c>
      <c r="U590" s="30" t="s">
        <v>588</v>
      </c>
      <c r="V590" s="30" t="s">
        <v>145</v>
      </c>
      <c r="W590" s="30" t="s">
        <v>146</v>
      </c>
      <c r="X590" s="89"/>
      <c r="Y590" s="143" t="s">
        <v>576</v>
      </c>
      <c r="Z590" s="143" t="s">
        <v>576</v>
      </c>
      <c r="AA590" s="20" t="s">
        <v>148</v>
      </c>
      <c r="AB590" s="48" t="s">
        <v>149</v>
      </c>
      <c r="AC590" s="48" t="s">
        <v>538</v>
      </c>
      <c r="AD590" s="30"/>
      <c r="AE590" s="30"/>
      <c r="AF590" s="30" t="s">
        <v>151</v>
      </c>
      <c r="AG590" s="30" t="s">
        <v>152</v>
      </c>
      <c r="AH590" s="30" t="s">
        <v>1839</v>
      </c>
      <c r="AI590" s="30"/>
      <c r="AJ590" s="30"/>
      <c r="AK590" s="50">
        <v>43327</v>
      </c>
      <c r="AL590" s="51">
        <f t="shared" si="371"/>
        <v>7.2164383561643834</v>
      </c>
      <c r="AM590" s="30">
        <v>8</v>
      </c>
      <c r="AN590" s="30"/>
      <c r="AO590" s="30" t="s">
        <v>1050</v>
      </c>
      <c r="AP590" s="30" t="s">
        <v>1187</v>
      </c>
      <c r="AQ590" s="30">
        <v>13.3</v>
      </c>
      <c r="AR590" s="30">
        <v>1050</v>
      </c>
      <c r="AS590" s="30">
        <v>800</v>
      </c>
      <c r="AT590" s="30">
        <v>1600</v>
      </c>
      <c r="AU590" s="54">
        <v>708903187</v>
      </c>
      <c r="AV590" s="54"/>
      <c r="AW590" s="54"/>
      <c r="AX590" s="54"/>
      <c r="AY590" s="54">
        <v>620290284</v>
      </c>
      <c r="AZ590" s="54">
        <v>7384408</v>
      </c>
      <c r="BA590" s="54">
        <v>66459679</v>
      </c>
      <c r="BB590" s="55">
        <f>VLOOKUP(M590,[1]Sheet1!$E$6:$F$556,2,FALSE)</f>
        <v>6813726</v>
      </c>
      <c r="BC590" s="74"/>
      <c r="BD590" s="74"/>
      <c r="BE590" s="30"/>
      <c r="BF590" s="30" t="s">
        <v>1739</v>
      </c>
      <c r="BG590" s="30" t="s">
        <v>1746</v>
      </c>
      <c r="BH590" s="30" t="s">
        <v>136</v>
      </c>
      <c r="BI590" s="30" t="str">
        <f t="shared" si="403"/>
        <v>Test</v>
      </c>
      <c r="BJ590" s="47" t="s">
        <v>137</v>
      </c>
      <c r="BK590" s="67">
        <f t="shared" si="372"/>
        <v>69782662.950000003</v>
      </c>
      <c r="BL590" s="68">
        <f t="shared" si="385"/>
        <v>2180708.2171875001</v>
      </c>
      <c r="BM590" s="68">
        <f t="shared" si="386"/>
        <v>726902.73906250007</v>
      </c>
      <c r="BP590" s="69">
        <f t="shared" si="387"/>
        <v>2180708.2171875001</v>
      </c>
      <c r="BQ590" s="69">
        <f t="shared" si="388"/>
        <v>2180708.2171875001</v>
      </c>
      <c r="BR590" s="69">
        <f t="shared" si="392"/>
        <v>4361416.4343750002</v>
      </c>
      <c r="BS590" s="69">
        <f t="shared" si="389"/>
        <v>2180708.2171875001</v>
      </c>
      <c r="BT590" s="69">
        <f t="shared" si="411"/>
        <v>2180708.2171875001</v>
      </c>
      <c r="BU590" s="100">
        <f t="shared" si="411"/>
        <v>2180708.2171875001</v>
      </c>
      <c r="BV590" s="100">
        <f t="shared" si="411"/>
        <v>2180708.2171875001</v>
      </c>
      <c r="BW590" s="100">
        <f t="shared" si="410"/>
        <v>8722832.8687500004</v>
      </c>
      <c r="BX590" s="101">
        <f t="shared" si="393"/>
        <v>2180708.2171875001</v>
      </c>
      <c r="BY590" s="101">
        <f t="shared" si="396"/>
        <v>2180708.2171875001</v>
      </c>
      <c r="BZ590" s="18">
        <f t="shared" si="396"/>
        <v>2180708.2171875001</v>
      </c>
      <c r="CA590" s="18">
        <f t="shared" si="396"/>
        <v>2180708.2171875001</v>
      </c>
      <c r="CB590" s="70">
        <f t="shared" si="404"/>
        <v>8722832.8687500004</v>
      </c>
      <c r="CC590" s="18">
        <f t="shared" si="405"/>
        <v>2180708.2171875001</v>
      </c>
      <c r="CD590" s="18">
        <f t="shared" si="412"/>
        <v>2180708.2171875001</v>
      </c>
      <c r="CE590" s="18">
        <f t="shared" si="412"/>
        <v>2180708.2171875001</v>
      </c>
      <c r="CF590" s="18">
        <f t="shared" si="412"/>
        <v>2180708.2171875001</v>
      </c>
      <c r="CG590" s="70">
        <f t="shared" si="406"/>
        <v>8722832.8687500004</v>
      </c>
      <c r="CH590" s="18">
        <f t="shared" si="394"/>
        <v>2180708.2171875001</v>
      </c>
      <c r="CI590" s="18">
        <f t="shared" si="391"/>
        <v>2180708.2171875001</v>
      </c>
      <c r="CJ590" s="18">
        <f t="shared" si="391"/>
        <v>2180708.2171875001</v>
      </c>
      <c r="CK590" s="18">
        <f t="shared" si="391"/>
        <v>2180708.2171875001</v>
      </c>
      <c r="CL590" s="70">
        <f t="shared" si="395"/>
        <v>8722832.8687500004</v>
      </c>
      <c r="CM590" s="71"/>
      <c r="CN590" s="71"/>
      <c r="CP590" s="2">
        <f t="shared" si="409"/>
        <v>69782662.950000003</v>
      </c>
    </row>
    <row r="591" spans="1:94" ht="16.5" hidden="1" x14ac:dyDescent="0.3">
      <c r="A591" s="2">
        <v>586</v>
      </c>
      <c r="B591" s="47" t="s">
        <v>21</v>
      </c>
      <c r="C591" s="47"/>
      <c r="D591" s="30" t="s">
        <v>1725</v>
      </c>
      <c r="E591" s="30" t="s">
        <v>1042</v>
      </c>
      <c r="F591" s="30" t="s">
        <v>1043</v>
      </c>
      <c r="G591" s="30" t="s">
        <v>117</v>
      </c>
      <c r="H591" s="30"/>
      <c r="I591" s="30" t="s">
        <v>119</v>
      </c>
      <c r="J591" s="30" t="s">
        <v>120</v>
      </c>
      <c r="K591" s="30" t="s">
        <v>121</v>
      </c>
      <c r="L591" s="30" t="s">
        <v>1741</v>
      </c>
      <c r="M591" s="30">
        <v>1005649</v>
      </c>
      <c r="N591" s="30" t="s">
        <v>138</v>
      </c>
      <c r="O591" s="30" t="s">
        <v>1849</v>
      </c>
      <c r="P591" s="30" t="s">
        <v>1837</v>
      </c>
      <c r="Q591" s="30" t="s">
        <v>537</v>
      </c>
      <c r="R591" s="30" t="s">
        <v>142</v>
      </c>
      <c r="S591" s="30">
        <v>310990955</v>
      </c>
      <c r="T591" s="30" t="s">
        <v>1780</v>
      </c>
      <c r="U591" s="30" t="s">
        <v>588</v>
      </c>
      <c r="V591" s="30" t="s">
        <v>145</v>
      </c>
      <c r="W591" s="30" t="s">
        <v>146</v>
      </c>
      <c r="X591" s="89"/>
      <c r="Y591" s="143" t="s">
        <v>576</v>
      </c>
      <c r="Z591" s="143" t="s">
        <v>576</v>
      </c>
      <c r="AA591" s="20" t="s">
        <v>148</v>
      </c>
      <c r="AB591" s="48" t="s">
        <v>149</v>
      </c>
      <c r="AC591" s="48" t="s">
        <v>538</v>
      </c>
      <c r="AD591" s="30"/>
      <c r="AE591" s="30"/>
      <c r="AF591" s="30" t="s">
        <v>151</v>
      </c>
      <c r="AG591" s="30" t="s">
        <v>152</v>
      </c>
      <c r="AH591" s="30" t="s">
        <v>1839</v>
      </c>
      <c r="AI591" s="30"/>
      <c r="AJ591" s="30"/>
      <c r="AK591" s="50">
        <v>43358</v>
      </c>
      <c r="AL591" s="51">
        <f t="shared" si="371"/>
        <v>7.1315068493150688</v>
      </c>
      <c r="AM591" s="30">
        <v>8</v>
      </c>
      <c r="AN591" s="30"/>
      <c r="AO591" s="30" t="s">
        <v>1050</v>
      </c>
      <c r="AP591" s="30" t="s">
        <v>1187</v>
      </c>
      <c r="AQ591" s="30">
        <v>13.3</v>
      </c>
      <c r="AR591" s="30">
        <v>1050</v>
      </c>
      <c r="AS591" s="30">
        <v>800</v>
      </c>
      <c r="AT591" s="30">
        <v>1600</v>
      </c>
      <c r="AU591" s="54">
        <v>738817772</v>
      </c>
      <c r="AV591" s="54"/>
      <c r="AW591" s="54"/>
      <c r="AX591" s="54"/>
      <c r="AY591" s="54">
        <v>626727905</v>
      </c>
      <c r="AZ591" s="54">
        <v>7696018</v>
      </c>
      <c r="BA591" s="54">
        <v>89001813</v>
      </c>
      <c r="BB591" s="55">
        <f>VLOOKUP(M591,[1]Sheet1!$E$6:$F$556,2,FALSE)</f>
        <v>10612373</v>
      </c>
      <c r="BC591" s="74"/>
      <c r="BD591" s="74"/>
      <c r="BE591" s="30"/>
      <c r="BF591" s="30" t="s">
        <v>1739</v>
      </c>
      <c r="BG591" s="30" t="s">
        <v>1746</v>
      </c>
      <c r="BH591" s="30" t="s">
        <v>136</v>
      </c>
      <c r="BI591" s="30" t="str">
        <f t="shared" si="403"/>
        <v>Test</v>
      </c>
      <c r="BJ591" s="47" t="s">
        <v>137</v>
      </c>
      <c r="BK591" s="67">
        <f t="shared" si="372"/>
        <v>93451903.650000006</v>
      </c>
      <c r="BL591" s="68">
        <f t="shared" si="385"/>
        <v>2920371.9890625002</v>
      </c>
      <c r="BM591" s="68">
        <f t="shared" si="386"/>
        <v>973457.32968750002</v>
      </c>
      <c r="BP591" s="69">
        <f t="shared" si="387"/>
        <v>2920371.9890625002</v>
      </c>
      <c r="BQ591" s="69">
        <f t="shared" si="388"/>
        <v>2920371.9890625002</v>
      </c>
      <c r="BR591" s="69">
        <f t="shared" si="392"/>
        <v>5840743.9781250004</v>
      </c>
      <c r="BS591" s="69">
        <f t="shared" si="389"/>
        <v>2920371.9890625002</v>
      </c>
      <c r="BT591" s="69">
        <f t="shared" si="411"/>
        <v>2920371.9890625002</v>
      </c>
      <c r="BU591" s="100">
        <f t="shared" si="411"/>
        <v>2920371.9890625002</v>
      </c>
      <c r="BV591" s="100">
        <f t="shared" si="411"/>
        <v>2920371.9890625002</v>
      </c>
      <c r="BW591" s="100">
        <f t="shared" si="410"/>
        <v>11681487.956250001</v>
      </c>
      <c r="BX591" s="101">
        <f t="shared" si="393"/>
        <v>2920371.9890625002</v>
      </c>
      <c r="BY591" s="101">
        <f t="shared" si="396"/>
        <v>2920371.9890625002</v>
      </c>
      <c r="BZ591" s="18">
        <f t="shared" si="396"/>
        <v>2920371.9890625002</v>
      </c>
      <c r="CA591" s="18">
        <f t="shared" si="396"/>
        <v>2920371.9890625002</v>
      </c>
      <c r="CB591" s="70">
        <f t="shared" si="404"/>
        <v>11681487.956250001</v>
      </c>
      <c r="CC591" s="18">
        <f t="shared" si="405"/>
        <v>2920371.9890625002</v>
      </c>
      <c r="CD591" s="18">
        <f t="shared" si="412"/>
        <v>2920371.9890625002</v>
      </c>
      <c r="CE591" s="18">
        <f t="shared" si="412"/>
        <v>2920371.9890625002</v>
      </c>
      <c r="CF591" s="18">
        <f t="shared" si="412"/>
        <v>2920371.9890625002</v>
      </c>
      <c r="CG591" s="70">
        <f t="shared" si="406"/>
        <v>11681487.956250001</v>
      </c>
      <c r="CH591" s="18">
        <f t="shared" si="394"/>
        <v>2920371.9890625002</v>
      </c>
      <c r="CI591" s="18">
        <f t="shared" si="391"/>
        <v>2920371.9890625002</v>
      </c>
      <c r="CJ591" s="18">
        <f t="shared" si="391"/>
        <v>2920371.9890625002</v>
      </c>
      <c r="CK591" s="18">
        <f t="shared" si="391"/>
        <v>2920371.9890625002</v>
      </c>
      <c r="CL591" s="70">
        <f t="shared" si="395"/>
        <v>11681487.956250001</v>
      </c>
      <c r="CM591" s="71"/>
      <c r="CN591" s="71"/>
      <c r="CP591" s="2">
        <f t="shared" si="409"/>
        <v>93451903.650000006</v>
      </c>
    </row>
    <row r="592" spans="1:94" hidden="1" x14ac:dyDescent="0.3">
      <c r="A592" s="29">
        <v>587</v>
      </c>
      <c r="B592" s="30" t="s">
        <v>21</v>
      </c>
      <c r="C592" s="30"/>
      <c r="D592" s="30" t="s">
        <v>1725</v>
      </c>
      <c r="E592" s="30" t="s">
        <v>1042</v>
      </c>
      <c r="F592" s="30" t="s">
        <v>1043</v>
      </c>
      <c r="G592" s="30" t="s">
        <v>117</v>
      </c>
      <c r="H592" s="30"/>
      <c r="I592" s="30" t="s">
        <v>119</v>
      </c>
      <c r="J592" s="30" t="s">
        <v>120</v>
      </c>
      <c r="K592" s="30" t="s">
        <v>121</v>
      </c>
      <c r="L592" s="30" t="s">
        <v>1741</v>
      </c>
      <c r="M592" s="30">
        <v>1005697</v>
      </c>
      <c r="N592" s="30" t="s">
        <v>138</v>
      </c>
      <c r="O592" s="30" t="s">
        <v>1850</v>
      </c>
      <c r="P592" s="30" t="s">
        <v>1837</v>
      </c>
      <c r="Q592" s="30" t="s">
        <v>537</v>
      </c>
      <c r="R592" s="30" t="s">
        <v>142</v>
      </c>
      <c r="S592" s="30">
        <v>311002249</v>
      </c>
      <c r="T592" s="30" t="s">
        <v>1780</v>
      </c>
      <c r="U592" s="30" t="s">
        <v>588</v>
      </c>
      <c r="V592" s="30" t="s">
        <v>145</v>
      </c>
      <c r="W592" s="30" t="s">
        <v>146</v>
      </c>
      <c r="X592" s="89"/>
      <c r="Y592" s="30" t="s">
        <v>576</v>
      </c>
      <c r="Z592" s="30" t="s">
        <v>576</v>
      </c>
      <c r="AA592" s="20" t="s">
        <v>148</v>
      </c>
      <c r="AB592" s="48" t="s">
        <v>149</v>
      </c>
      <c r="AC592" s="48" t="s">
        <v>538</v>
      </c>
      <c r="AD592" s="30"/>
      <c r="AE592" s="30"/>
      <c r="AF592" s="30" t="s">
        <v>151</v>
      </c>
      <c r="AG592" s="30" t="s">
        <v>152</v>
      </c>
      <c r="AH592" s="30" t="s">
        <v>1839</v>
      </c>
      <c r="AI592" s="30"/>
      <c r="AJ592" s="30"/>
      <c r="AK592" s="50">
        <v>43385</v>
      </c>
      <c r="AL592" s="51">
        <f t="shared" si="371"/>
        <v>7.0575342465753428</v>
      </c>
      <c r="AM592" s="30">
        <v>8</v>
      </c>
      <c r="AN592" s="30"/>
      <c r="AO592" s="30" t="s">
        <v>1050</v>
      </c>
      <c r="AP592" s="30" t="s">
        <v>1187</v>
      </c>
      <c r="AQ592" s="30">
        <v>13.3</v>
      </c>
      <c r="AR592" s="30">
        <v>1050</v>
      </c>
      <c r="AS592" s="30">
        <v>800</v>
      </c>
      <c r="AT592" s="30">
        <v>1600</v>
      </c>
      <c r="AU592" s="74">
        <v>737625788</v>
      </c>
      <c r="AV592" s="54"/>
      <c r="AW592" s="54"/>
      <c r="AX592" s="54"/>
      <c r="AY592" s="54">
        <v>618378633</v>
      </c>
      <c r="AZ592" s="54">
        <v>7683602</v>
      </c>
      <c r="BA592" s="74">
        <v>96196349</v>
      </c>
      <c r="BB592" s="55">
        <f>VLOOKUP(M592,[1]Sheet1!$E$6:$F$556,2,FALSE)</f>
        <v>12429970</v>
      </c>
      <c r="BC592" s="74"/>
      <c r="BD592" s="74"/>
      <c r="BE592" s="30"/>
      <c r="BF592" s="30" t="s">
        <v>1739</v>
      </c>
      <c r="BG592" s="30" t="s">
        <v>1746</v>
      </c>
      <c r="BH592" s="30" t="s">
        <v>136</v>
      </c>
      <c r="BI592" s="30" t="str">
        <f t="shared" si="403"/>
        <v>Test</v>
      </c>
      <c r="BJ592" s="30" t="s">
        <v>250</v>
      </c>
      <c r="BK592" s="56">
        <f t="shared" si="372"/>
        <v>101006166.45</v>
      </c>
      <c r="BL592" s="57">
        <f t="shared" si="385"/>
        <v>3156442.7015625001</v>
      </c>
      <c r="BM592" s="57">
        <f t="shared" si="386"/>
        <v>1052147.5671875</v>
      </c>
      <c r="BU592" s="58">
        <f>BM592*3</f>
        <v>3156442.7015624996</v>
      </c>
      <c r="BV592" s="58">
        <f t="shared" si="411"/>
        <v>3156442.7015624996</v>
      </c>
      <c r="BW592" s="58">
        <f>SUM(BS592:BV592)</f>
        <v>6312885.4031249993</v>
      </c>
      <c r="BX592" s="58">
        <f t="shared" si="393"/>
        <v>3156442.7015624996</v>
      </c>
      <c r="BY592" s="58">
        <f t="shared" si="396"/>
        <v>3156442.7015624996</v>
      </c>
      <c r="BZ592" s="58">
        <f>BM592*3</f>
        <v>3156442.7015624996</v>
      </c>
      <c r="CA592" s="58">
        <f t="shared" si="396"/>
        <v>3156442.7015624996</v>
      </c>
      <c r="CB592" s="58">
        <f t="shared" si="404"/>
        <v>12625770.806249999</v>
      </c>
      <c r="CC592" s="58">
        <f t="shared" si="405"/>
        <v>3156442.7015624996</v>
      </c>
      <c r="CD592" s="58">
        <f t="shared" si="412"/>
        <v>3156442.7015624996</v>
      </c>
      <c r="CE592" s="58">
        <f t="shared" si="412"/>
        <v>3156442.7015624996</v>
      </c>
      <c r="CF592" s="58">
        <f t="shared" si="412"/>
        <v>3156442.7015624996</v>
      </c>
      <c r="CG592" s="58">
        <f t="shared" si="406"/>
        <v>12625770.806249999</v>
      </c>
      <c r="CH592" s="58">
        <f t="shared" si="394"/>
        <v>3156442.7015624996</v>
      </c>
      <c r="CI592" s="58">
        <f t="shared" si="391"/>
        <v>3156442.7015624996</v>
      </c>
      <c r="CJ592" s="58">
        <f t="shared" si="391"/>
        <v>3156442.7015624996</v>
      </c>
      <c r="CK592" s="58">
        <f t="shared" si="391"/>
        <v>3156442.7015624996</v>
      </c>
      <c r="CL592" s="58">
        <f t="shared" si="395"/>
        <v>12625770.806249999</v>
      </c>
      <c r="CP592" s="2">
        <f t="shared" si="409"/>
        <v>101006166.45</v>
      </c>
    </row>
    <row r="593" spans="1:94" ht="16.5" hidden="1" x14ac:dyDescent="0.3">
      <c r="A593" s="2">
        <v>588</v>
      </c>
      <c r="B593" s="47" t="s">
        <v>21</v>
      </c>
      <c r="C593" s="47"/>
      <c r="D593" s="30" t="s">
        <v>1725</v>
      </c>
      <c r="E593" s="30" t="s">
        <v>1042</v>
      </c>
      <c r="F593" s="30" t="s">
        <v>1043</v>
      </c>
      <c r="G593" s="30" t="s">
        <v>117</v>
      </c>
      <c r="H593" s="30"/>
      <c r="I593" s="30" t="s">
        <v>119</v>
      </c>
      <c r="J593" s="30" t="s">
        <v>120</v>
      </c>
      <c r="K593" s="30" t="s">
        <v>121</v>
      </c>
      <c r="L593" s="30" t="s">
        <v>1741</v>
      </c>
      <c r="M593" s="30">
        <v>1006658</v>
      </c>
      <c r="N593" s="30" t="s">
        <v>138</v>
      </c>
      <c r="O593" s="30" t="s">
        <v>1851</v>
      </c>
      <c r="P593" s="30" t="s">
        <v>1837</v>
      </c>
      <c r="Q593" s="30" t="s">
        <v>537</v>
      </c>
      <c r="R593" s="30" t="s">
        <v>142</v>
      </c>
      <c r="S593" s="30">
        <v>311278890</v>
      </c>
      <c r="T593" s="30" t="s">
        <v>1780</v>
      </c>
      <c r="U593" s="30" t="s">
        <v>588</v>
      </c>
      <c r="V593" s="30" t="s">
        <v>145</v>
      </c>
      <c r="W593" s="30" t="s">
        <v>146</v>
      </c>
      <c r="X593" s="89"/>
      <c r="Y593" s="143" t="s">
        <v>576</v>
      </c>
      <c r="Z593" s="143" t="s">
        <v>576</v>
      </c>
      <c r="AA593" s="20" t="s">
        <v>148</v>
      </c>
      <c r="AB593" s="48" t="s">
        <v>149</v>
      </c>
      <c r="AC593" s="48" t="s">
        <v>538</v>
      </c>
      <c r="AD593" s="30"/>
      <c r="AE593" s="30"/>
      <c r="AF593" s="30" t="s">
        <v>151</v>
      </c>
      <c r="AG593" s="30" t="s">
        <v>152</v>
      </c>
      <c r="AH593" s="30" t="s">
        <v>1839</v>
      </c>
      <c r="AI593" s="30"/>
      <c r="AJ593" s="30"/>
      <c r="AK593" s="50">
        <v>44446</v>
      </c>
      <c r="AL593" s="51">
        <f t="shared" ref="AL593:AL656" si="413">($AL$1-AK593)/365</f>
        <v>4.1506849315068495</v>
      </c>
      <c r="AM593" s="30">
        <v>8</v>
      </c>
      <c r="AN593" s="30"/>
      <c r="AO593" s="30" t="s">
        <v>1050</v>
      </c>
      <c r="AP593" s="30" t="s">
        <v>1187</v>
      </c>
      <c r="AQ593" s="30">
        <v>13.3</v>
      </c>
      <c r="AR593" s="30">
        <v>1050</v>
      </c>
      <c r="AS593" s="30">
        <v>800</v>
      </c>
      <c r="AT593" s="30">
        <v>1600</v>
      </c>
      <c r="AU593" s="54">
        <v>919739946</v>
      </c>
      <c r="AV593" s="54"/>
      <c r="AW593" s="54"/>
      <c r="AX593" s="54"/>
      <c r="AY593" s="54">
        <v>448748877</v>
      </c>
      <c r="AZ593" s="54">
        <v>9580624</v>
      </c>
      <c r="BA593" s="54">
        <v>442249197</v>
      </c>
      <c r="BB593" s="55">
        <f>VLOOKUP(M593,[1]Sheet1!$E$6:$F$556,2,FALSE)</f>
        <v>90937609</v>
      </c>
      <c r="BC593" s="74"/>
      <c r="BD593" s="74"/>
      <c r="BE593" s="30"/>
      <c r="BF593" s="30" t="s">
        <v>1739</v>
      </c>
      <c r="BG593" s="30" t="s">
        <v>1746</v>
      </c>
      <c r="BH593" s="30" t="s">
        <v>136</v>
      </c>
      <c r="BI593" s="30" t="str">
        <f t="shared" si="403"/>
        <v>Test</v>
      </c>
      <c r="BJ593" s="47" t="s">
        <v>137</v>
      </c>
      <c r="BK593" s="67">
        <f t="shared" ref="BK593:BK656" si="414">IF(OR(BA593=1000, BA593=0), AU593*$BQ$1, BA593*(1+$BL$2))</f>
        <v>464361656.85000002</v>
      </c>
      <c r="BL593" s="68">
        <f t="shared" si="385"/>
        <v>14511301.776562501</v>
      </c>
      <c r="BM593" s="68">
        <f t="shared" si="386"/>
        <v>4837100.5921875006</v>
      </c>
      <c r="BP593" s="69">
        <f t="shared" si="387"/>
        <v>14511301.776562501</v>
      </c>
      <c r="BQ593" s="69">
        <f t="shared" si="388"/>
        <v>14511301.776562501</v>
      </c>
      <c r="BR593" s="69">
        <f t="shared" si="392"/>
        <v>29022603.553125001</v>
      </c>
      <c r="BS593" s="69">
        <f t="shared" si="389"/>
        <v>14511301.776562501</v>
      </c>
      <c r="BT593" s="69">
        <f t="shared" si="411"/>
        <v>14511301.776562501</v>
      </c>
      <c r="BU593" s="100">
        <f t="shared" si="411"/>
        <v>14511301.776562501</v>
      </c>
      <c r="BV593" s="100">
        <f t="shared" si="411"/>
        <v>14511301.776562501</v>
      </c>
      <c r="BW593" s="100">
        <f t="shared" si="410"/>
        <v>58045207.106250003</v>
      </c>
      <c r="BX593" s="101">
        <f t="shared" si="393"/>
        <v>14511301.776562501</v>
      </c>
      <c r="BY593" s="101">
        <f t="shared" si="396"/>
        <v>14511301.776562501</v>
      </c>
      <c r="BZ593" s="18">
        <f t="shared" si="396"/>
        <v>14511301.776562501</v>
      </c>
      <c r="CA593" s="18">
        <f t="shared" si="396"/>
        <v>14511301.776562501</v>
      </c>
      <c r="CB593" s="70">
        <f t="shared" si="404"/>
        <v>58045207.106250003</v>
      </c>
      <c r="CC593" s="18">
        <f t="shared" si="405"/>
        <v>14511301.776562501</v>
      </c>
      <c r="CD593" s="18">
        <f t="shared" si="412"/>
        <v>14511301.776562501</v>
      </c>
      <c r="CE593" s="18">
        <f t="shared" si="412"/>
        <v>14511301.776562501</v>
      </c>
      <c r="CF593" s="18">
        <f t="shared" si="412"/>
        <v>14511301.776562501</v>
      </c>
      <c r="CG593" s="70">
        <f t="shared" si="406"/>
        <v>58045207.106250003</v>
      </c>
      <c r="CH593" s="18">
        <f t="shared" si="394"/>
        <v>14511301.776562501</v>
      </c>
      <c r="CI593" s="18">
        <f t="shared" si="391"/>
        <v>14511301.776562501</v>
      </c>
      <c r="CJ593" s="18">
        <f t="shared" si="391"/>
        <v>14511301.776562501</v>
      </c>
      <c r="CK593" s="18">
        <f t="shared" si="391"/>
        <v>14511301.776562501</v>
      </c>
      <c r="CL593" s="70">
        <f t="shared" si="395"/>
        <v>58045207.106250003</v>
      </c>
      <c r="CM593" s="71"/>
      <c r="CN593" s="71"/>
      <c r="CP593" s="2">
        <f t="shared" si="409"/>
        <v>464361656.85000002</v>
      </c>
    </row>
    <row r="594" spans="1:94" ht="16.5" hidden="1" x14ac:dyDescent="0.3">
      <c r="A594" s="2">
        <v>589</v>
      </c>
      <c r="B594" s="47" t="s">
        <v>21</v>
      </c>
      <c r="C594" s="47"/>
      <c r="D594" s="30" t="s">
        <v>1725</v>
      </c>
      <c r="E594" s="30" t="s">
        <v>1042</v>
      </c>
      <c r="F594" s="30" t="s">
        <v>1043</v>
      </c>
      <c r="G594" s="30" t="s">
        <v>117</v>
      </c>
      <c r="H594" s="30"/>
      <c r="I594" s="30" t="s">
        <v>119</v>
      </c>
      <c r="J594" s="30" t="s">
        <v>120</v>
      </c>
      <c r="K594" s="30" t="s">
        <v>121</v>
      </c>
      <c r="L594" s="30" t="s">
        <v>1741</v>
      </c>
      <c r="M594" s="30">
        <v>1006659</v>
      </c>
      <c r="N594" s="30" t="s">
        <v>138</v>
      </c>
      <c r="O594" s="30" t="s">
        <v>1852</v>
      </c>
      <c r="P594" s="30" t="s">
        <v>1837</v>
      </c>
      <c r="Q594" s="30" t="s">
        <v>537</v>
      </c>
      <c r="R594" s="30" t="s">
        <v>142</v>
      </c>
      <c r="S594" s="30">
        <v>311278891</v>
      </c>
      <c r="T594" s="30" t="s">
        <v>1780</v>
      </c>
      <c r="U594" s="30" t="s">
        <v>588</v>
      </c>
      <c r="V594" s="30" t="s">
        <v>145</v>
      </c>
      <c r="W594" s="30" t="s">
        <v>146</v>
      </c>
      <c r="X594" s="89"/>
      <c r="Y594" s="143" t="s">
        <v>576</v>
      </c>
      <c r="Z594" s="143" t="s">
        <v>576</v>
      </c>
      <c r="AA594" s="20" t="s">
        <v>148</v>
      </c>
      <c r="AB594" s="48" t="s">
        <v>149</v>
      </c>
      <c r="AC594" s="48" t="s">
        <v>538</v>
      </c>
      <c r="AD594" s="30"/>
      <c r="AE594" s="30"/>
      <c r="AF594" s="30" t="s">
        <v>151</v>
      </c>
      <c r="AG594" s="30" t="s">
        <v>152</v>
      </c>
      <c r="AH594" s="30" t="s">
        <v>1839</v>
      </c>
      <c r="AI594" s="30"/>
      <c r="AJ594" s="30"/>
      <c r="AK594" s="50">
        <v>44446</v>
      </c>
      <c r="AL594" s="51">
        <f t="shared" si="413"/>
        <v>4.1506849315068495</v>
      </c>
      <c r="AM594" s="30">
        <v>8</v>
      </c>
      <c r="AN594" s="30"/>
      <c r="AO594" s="30" t="s">
        <v>1050</v>
      </c>
      <c r="AP594" s="30" t="s">
        <v>1187</v>
      </c>
      <c r="AQ594" s="30">
        <v>13.3</v>
      </c>
      <c r="AR594" s="30">
        <v>1050</v>
      </c>
      <c r="AS594" s="30">
        <v>800</v>
      </c>
      <c r="AT594" s="30">
        <v>1600</v>
      </c>
      <c r="AU594" s="54">
        <v>919739947</v>
      </c>
      <c r="AV594" s="54"/>
      <c r="AW594" s="54"/>
      <c r="AX594" s="54"/>
      <c r="AY594" s="54">
        <v>448748877</v>
      </c>
      <c r="AZ594" s="54">
        <v>9580624</v>
      </c>
      <c r="BA594" s="54">
        <v>442249198</v>
      </c>
      <c r="BB594" s="55">
        <f>VLOOKUP(M594,[1]Sheet1!$E$6:$F$556,2,FALSE)</f>
        <v>90937609</v>
      </c>
      <c r="BC594" s="74"/>
      <c r="BD594" s="74"/>
      <c r="BE594" s="30"/>
      <c r="BF594" s="30" t="s">
        <v>1739</v>
      </c>
      <c r="BG594" s="30" t="s">
        <v>1746</v>
      </c>
      <c r="BH594" s="30" t="s">
        <v>136</v>
      </c>
      <c r="BI594" s="30" t="str">
        <f t="shared" si="403"/>
        <v>Test</v>
      </c>
      <c r="BJ594" s="47" t="s">
        <v>137</v>
      </c>
      <c r="BK594" s="67">
        <f t="shared" si="414"/>
        <v>464361657.90000004</v>
      </c>
      <c r="BL594" s="68">
        <f t="shared" si="385"/>
        <v>14511301.809375001</v>
      </c>
      <c r="BM594" s="68">
        <f t="shared" si="386"/>
        <v>4837100.6031250004</v>
      </c>
      <c r="BP594" s="69">
        <f t="shared" si="387"/>
        <v>14511301.809375001</v>
      </c>
      <c r="BQ594" s="69">
        <f t="shared" si="388"/>
        <v>14511301.809375001</v>
      </c>
      <c r="BR594" s="69">
        <f t="shared" si="392"/>
        <v>29022603.618750002</v>
      </c>
      <c r="BS594" s="69">
        <f t="shared" si="389"/>
        <v>14511301.809375001</v>
      </c>
      <c r="BT594" s="69">
        <f t="shared" si="411"/>
        <v>14511301.809375001</v>
      </c>
      <c r="BU594" s="100">
        <f t="shared" si="411"/>
        <v>14511301.809375001</v>
      </c>
      <c r="BV594" s="100">
        <f t="shared" si="411"/>
        <v>14511301.809375001</v>
      </c>
      <c r="BW594" s="100">
        <f t="shared" si="410"/>
        <v>58045207.237500004</v>
      </c>
      <c r="BX594" s="101">
        <f t="shared" si="393"/>
        <v>14511301.809375001</v>
      </c>
      <c r="BY594" s="101">
        <f t="shared" si="396"/>
        <v>14511301.809375001</v>
      </c>
      <c r="BZ594" s="18">
        <f t="shared" si="396"/>
        <v>14511301.809375001</v>
      </c>
      <c r="CA594" s="18">
        <f t="shared" si="396"/>
        <v>14511301.809375001</v>
      </c>
      <c r="CB594" s="70">
        <f t="shared" si="404"/>
        <v>58045207.237500004</v>
      </c>
      <c r="CC594" s="18">
        <f t="shared" si="405"/>
        <v>14511301.809375001</v>
      </c>
      <c r="CD594" s="18">
        <f t="shared" si="412"/>
        <v>14511301.809375001</v>
      </c>
      <c r="CE594" s="18">
        <f t="shared" si="412"/>
        <v>14511301.809375001</v>
      </c>
      <c r="CF594" s="18">
        <f t="shared" si="412"/>
        <v>14511301.809375001</v>
      </c>
      <c r="CG594" s="70">
        <f t="shared" si="406"/>
        <v>58045207.237500004</v>
      </c>
      <c r="CH594" s="18">
        <f t="shared" si="394"/>
        <v>14511301.809375001</v>
      </c>
      <c r="CI594" s="18">
        <f t="shared" si="391"/>
        <v>14511301.809375001</v>
      </c>
      <c r="CJ594" s="18">
        <f t="shared" si="391"/>
        <v>14511301.809375001</v>
      </c>
      <c r="CK594" s="18">
        <f t="shared" si="391"/>
        <v>14511301.809375001</v>
      </c>
      <c r="CL594" s="70">
        <f t="shared" si="395"/>
        <v>58045207.237500004</v>
      </c>
      <c r="CM594" s="71"/>
      <c r="CN594" s="71"/>
      <c r="CP594" s="2">
        <f t="shared" si="409"/>
        <v>464361657.90000004</v>
      </c>
    </row>
    <row r="595" spans="1:94" ht="16.5" hidden="1" x14ac:dyDescent="0.3">
      <c r="A595" s="2">
        <v>590</v>
      </c>
      <c r="B595" s="47" t="s">
        <v>21</v>
      </c>
      <c r="C595" s="47"/>
      <c r="D595" s="30" t="s">
        <v>1725</v>
      </c>
      <c r="E595" s="30" t="s">
        <v>1042</v>
      </c>
      <c r="F595" s="30" t="s">
        <v>1043</v>
      </c>
      <c r="G595" s="30" t="s">
        <v>117</v>
      </c>
      <c r="H595" s="30"/>
      <c r="I595" s="30" t="s">
        <v>119</v>
      </c>
      <c r="J595" s="30" t="s">
        <v>120</v>
      </c>
      <c r="K595" s="30" t="s">
        <v>121</v>
      </c>
      <c r="L595" s="30" t="s">
        <v>1741</v>
      </c>
      <c r="M595" s="30">
        <v>1006674</v>
      </c>
      <c r="N595" s="30" t="s">
        <v>138</v>
      </c>
      <c r="O595" s="30" t="s">
        <v>1853</v>
      </c>
      <c r="P595" s="30" t="s">
        <v>1837</v>
      </c>
      <c r="Q595" s="30" t="s">
        <v>537</v>
      </c>
      <c r="R595" s="30" t="s">
        <v>142</v>
      </c>
      <c r="S595" s="30">
        <v>311273588</v>
      </c>
      <c r="T595" s="30" t="s">
        <v>1780</v>
      </c>
      <c r="U595" s="30" t="s">
        <v>588</v>
      </c>
      <c r="V595" s="30" t="s">
        <v>145</v>
      </c>
      <c r="W595" s="30" t="s">
        <v>146</v>
      </c>
      <c r="X595" s="89"/>
      <c r="Y595" s="143" t="s">
        <v>576</v>
      </c>
      <c r="Z595" s="143" t="s">
        <v>576</v>
      </c>
      <c r="AA595" s="20" t="s">
        <v>148</v>
      </c>
      <c r="AB595" s="48" t="s">
        <v>149</v>
      </c>
      <c r="AC595" s="48" t="s">
        <v>538</v>
      </c>
      <c r="AD595" s="30"/>
      <c r="AE595" s="30"/>
      <c r="AF595" s="30" t="s">
        <v>151</v>
      </c>
      <c r="AG595" s="30" t="s">
        <v>152</v>
      </c>
      <c r="AH595" s="30" t="s">
        <v>1839</v>
      </c>
      <c r="AI595" s="30"/>
      <c r="AJ595" s="30"/>
      <c r="AK595" s="50">
        <v>44446</v>
      </c>
      <c r="AL595" s="51">
        <f t="shared" si="413"/>
        <v>4.1506849315068495</v>
      </c>
      <c r="AM595" s="30">
        <v>8</v>
      </c>
      <c r="AN595" s="30"/>
      <c r="AO595" s="30" t="s">
        <v>1050</v>
      </c>
      <c r="AP595" s="30" t="s">
        <v>1187</v>
      </c>
      <c r="AQ595" s="30">
        <v>13.3</v>
      </c>
      <c r="AR595" s="30">
        <v>1050</v>
      </c>
      <c r="AS595" s="30">
        <v>800</v>
      </c>
      <c r="AT595" s="30">
        <v>1600</v>
      </c>
      <c r="AU595" s="54">
        <v>915390390</v>
      </c>
      <c r="AV595" s="54"/>
      <c r="AW595" s="54"/>
      <c r="AX595" s="54"/>
      <c r="AY595" s="54">
        <v>448159879</v>
      </c>
      <c r="AZ595" s="54">
        <v>9535317</v>
      </c>
      <c r="BA595" s="54">
        <v>438624560</v>
      </c>
      <c r="BB595" s="55">
        <f>VLOOKUP(M595,[1]Sheet1!$E$6:$F$556,2,FALSE)</f>
        <v>90178014</v>
      </c>
      <c r="BC595" s="74"/>
      <c r="BD595" s="74"/>
      <c r="BE595" s="30"/>
      <c r="BF595" s="30" t="s">
        <v>1739</v>
      </c>
      <c r="BG595" s="30" t="s">
        <v>1746</v>
      </c>
      <c r="BH595" s="30" t="s">
        <v>136</v>
      </c>
      <c r="BI595" s="30" t="str">
        <f t="shared" si="403"/>
        <v>Test</v>
      </c>
      <c r="BJ595" s="47" t="s">
        <v>137</v>
      </c>
      <c r="BK595" s="67">
        <f t="shared" si="414"/>
        <v>460555788</v>
      </c>
      <c r="BL595" s="68">
        <f t="shared" si="385"/>
        <v>14392368.375</v>
      </c>
      <c r="BM595" s="68">
        <f t="shared" si="386"/>
        <v>4797456.125</v>
      </c>
      <c r="BP595" s="69">
        <f t="shared" si="387"/>
        <v>14392368.375</v>
      </c>
      <c r="BQ595" s="69">
        <f t="shared" si="388"/>
        <v>14392368.375</v>
      </c>
      <c r="BR595" s="69">
        <f t="shared" si="392"/>
        <v>28784736.75</v>
      </c>
      <c r="BS595" s="69">
        <f t="shared" si="389"/>
        <v>14392368.375</v>
      </c>
      <c r="BT595" s="69">
        <f t="shared" si="411"/>
        <v>14392368.375</v>
      </c>
      <c r="BU595" s="100">
        <f t="shared" si="411"/>
        <v>14392368.375</v>
      </c>
      <c r="BV595" s="100">
        <f t="shared" si="411"/>
        <v>14392368.375</v>
      </c>
      <c r="BW595" s="100">
        <f t="shared" si="410"/>
        <v>57569473.5</v>
      </c>
      <c r="BX595" s="101">
        <f t="shared" si="393"/>
        <v>14392368.375</v>
      </c>
      <c r="BY595" s="101">
        <f t="shared" si="396"/>
        <v>14392368.375</v>
      </c>
      <c r="BZ595" s="18">
        <f t="shared" si="396"/>
        <v>14392368.375</v>
      </c>
      <c r="CA595" s="18">
        <f t="shared" si="396"/>
        <v>14392368.375</v>
      </c>
      <c r="CB595" s="70">
        <f t="shared" si="404"/>
        <v>57569473.5</v>
      </c>
      <c r="CC595" s="18">
        <f t="shared" si="405"/>
        <v>14392368.375</v>
      </c>
      <c r="CD595" s="18">
        <f t="shared" si="412"/>
        <v>14392368.375</v>
      </c>
      <c r="CE595" s="18">
        <f t="shared" si="412"/>
        <v>14392368.375</v>
      </c>
      <c r="CF595" s="18">
        <f t="shared" si="412"/>
        <v>14392368.375</v>
      </c>
      <c r="CG595" s="70">
        <f t="shared" si="406"/>
        <v>57569473.5</v>
      </c>
      <c r="CH595" s="18">
        <f t="shared" si="394"/>
        <v>14392368.375</v>
      </c>
      <c r="CI595" s="18">
        <f t="shared" si="391"/>
        <v>14392368.375</v>
      </c>
      <c r="CJ595" s="18">
        <f t="shared" si="391"/>
        <v>14392368.375</v>
      </c>
      <c r="CK595" s="18">
        <f t="shared" si="391"/>
        <v>14392368.375</v>
      </c>
      <c r="CL595" s="70">
        <f t="shared" si="395"/>
        <v>57569473.5</v>
      </c>
      <c r="CM595" s="71"/>
      <c r="CN595" s="71"/>
      <c r="CP595" s="2">
        <f t="shared" si="409"/>
        <v>460555788</v>
      </c>
    </row>
    <row r="596" spans="1:94" hidden="1" x14ac:dyDescent="0.3">
      <c r="A596" s="29">
        <v>591</v>
      </c>
      <c r="B596" s="30" t="s">
        <v>21</v>
      </c>
      <c r="C596" s="30"/>
      <c r="D596" s="30" t="s">
        <v>1725</v>
      </c>
      <c r="E596" s="30" t="s">
        <v>1042</v>
      </c>
      <c r="F596" s="30" t="s">
        <v>1043</v>
      </c>
      <c r="G596" s="30" t="s">
        <v>117</v>
      </c>
      <c r="H596" s="30"/>
      <c r="I596" s="30" t="s">
        <v>119</v>
      </c>
      <c r="J596" s="30" t="s">
        <v>120</v>
      </c>
      <c r="K596" s="30" t="s">
        <v>121</v>
      </c>
      <c r="L596" s="30" t="s">
        <v>1741</v>
      </c>
      <c r="M596" s="30">
        <v>1005699</v>
      </c>
      <c r="N596" s="30" t="s">
        <v>138</v>
      </c>
      <c r="O596" s="30" t="s">
        <v>1854</v>
      </c>
      <c r="P596" s="30" t="s">
        <v>1837</v>
      </c>
      <c r="Q596" s="30" t="s">
        <v>537</v>
      </c>
      <c r="R596" s="30" t="s">
        <v>142</v>
      </c>
      <c r="S596" s="30">
        <v>310993280</v>
      </c>
      <c r="T596" s="30" t="s">
        <v>1780</v>
      </c>
      <c r="U596" s="30" t="s">
        <v>588</v>
      </c>
      <c r="V596" s="30" t="s">
        <v>145</v>
      </c>
      <c r="W596" s="30" t="s">
        <v>146</v>
      </c>
      <c r="X596" s="89"/>
      <c r="Y596" s="30" t="s">
        <v>576</v>
      </c>
      <c r="Z596" s="30" t="s">
        <v>576</v>
      </c>
      <c r="AA596" s="20" t="s">
        <v>148</v>
      </c>
      <c r="AB596" s="48" t="s">
        <v>149</v>
      </c>
      <c r="AC596" s="48" t="s">
        <v>538</v>
      </c>
      <c r="AD596" s="30"/>
      <c r="AE596" s="30"/>
      <c r="AF596" s="30" t="s">
        <v>151</v>
      </c>
      <c r="AG596" s="30" t="s">
        <v>152</v>
      </c>
      <c r="AH596" s="30" t="s">
        <v>1839</v>
      </c>
      <c r="AI596" s="30"/>
      <c r="AJ596" s="30"/>
      <c r="AK596" s="50">
        <v>43393</v>
      </c>
      <c r="AL596" s="51">
        <f t="shared" si="413"/>
        <v>7.0356164383561648</v>
      </c>
      <c r="AM596" s="30">
        <v>8</v>
      </c>
      <c r="AN596" s="30"/>
      <c r="AO596" s="30" t="s">
        <v>1050</v>
      </c>
      <c r="AP596" s="30" t="s">
        <v>1187</v>
      </c>
      <c r="AQ596" s="30">
        <v>13.3</v>
      </c>
      <c r="AR596" s="30">
        <v>1050</v>
      </c>
      <c r="AS596" s="30">
        <v>800</v>
      </c>
      <c r="AT596" s="30">
        <v>1600</v>
      </c>
      <c r="AU596" s="74">
        <v>802301115</v>
      </c>
      <c r="AV596" s="54"/>
      <c r="AW596" s="54"/>
      <c r="AX596" s="54"/>
      <c r="AY596" s="54">
        <v>685298864</v>
      </c>
      <c r="AZ596" s="54">
        <v>8357303</v>
      </c>
      <c r="BA596" s="74">
        <v>91930342</v>
      </c>
      <c r="BB596" s="55">
        <f>VLOOKUP(M596,[1]Sheet1!$E$6:$F$556,2,FALSE)</f>
        <v>8658649</v>
      </c>
      <c r="BC596" s="74"/>
      <c r="BD596" s="74"/>
      <c r="BE596" s="30"/>
      <c r="BF596" s="30" t="s">
        <v>1739</v>
      </c>
      <c r="BG596" s="30" t="s">
        <v>1746</v>
      </c>
      <c r="BH596" s="30" t="s">
        <v>136</v>
      </c>
      <c r="BI596" s="30" t="str">
        <f t="shared" si="403"/>
        <v>Test</v>
      </c>
      <c r="BJ596" s="30" t="s">
        <v>250</v>
      </c>
      <c r="BK596" s="56">
        <f t="shared" si="414"/>
        <v>96526859.100000009</v>
      </c>
      <c r="BL596" s="57">
        <f t="shared" si="385"/>
        <v>3016464.3468750003</v>
      </c>
      <c r="BM596" s="57">
        <f t="shared" si="386"/>
        <v>1005488.1156250001</v>
      </c>
      <c r="BU596" s="58">
        <f>BM596*3</f>
        <v>3016464.3468750003</v>
      </c>
      <c r="BV596" s="58">
        <f t="shared" si="411"/>
        <v>3016464.3468750003</v>
      </c>
      <c r="BW596" s="58">
        <f>SUM(BS596:BV596)</f>
        <v>6032928.6937500006</v>
      </c>
      <c r="BX596" s="58">
        <f t="shared" si="393"/>
        <v>3016464.3468750003</v>
      </c>
      <c r="BY596" s="58">
        <f t="shared" si="396"/>
        <v>3016464.3468750003</v>
      </c>
      <c r="BZ596" s="58">
        <f>BM596*3</f>
        <v>3016464.3468750003</v>
      </c>
      <c r="CA596" s="58">
        <f t="shared" si="396"/>
        <v>3016464.3468750003</v>
      </c>
      <c r="CB596" s="58">
        <f t="shared" si="404"/>
        <v>12065857.387500001</v>
      </c>
      <c r="CC596" s="58">
        <f t="shared" si="405"/>
        <v>3016464.3468750003</v>
      </c>
      <c r="CD596" s="58">
        <f t="shared" si="412"/>
        <v>3016464.3468750003</v>
      </c>
      <c r="CE596" s="58">
        <f t="shared" si="412"/>
        <v>3016464.3468750003</v>
      </c>
      <c r="CF596" s="58">
        <f t="shared" si="412"/>
        <v>3016464.3468750003</v>
      </c>
      <c r="CG596" s="58">
        <f t="shared" si="406"/>
        <v>12065857.387500001</v>
      </c>
      <c r="CH596" s="58">
        <f t="shared" si="394"/>
        <v>3016464.3468750003</v>
      </c>
      <c r="CI596" s="58">
        <f t="shared" si="391"/>
        <v>3016464.3468750003</v>
      </c>
      <c r="CJ596" s="58">
        <f t="shared" si="391"/>
        <v>3016464.3468750003</v>
      </c>
      <c r="CK596" s="58">
        <f t="shared" si="391"/>
        <v>3016464.3468750003</v>
      </c>
      <c r="CL596" s="58">
        <f t="shared" si="395"/>
        <v>12065857.387500001</v>
      </c>
      <c r="CP596" s="2">
        <f t="shared" si="409"/>
        <v>96526859.100000009</v>
      </c>
    </row>
    <row r="597" spans="1:94" ht="16.5" hidden="1" x14ac:dyDescent="0.3">
      <c r="A597" s="2">
        <v>592</v>
      </c>
      <c r="B597" s="47" t="s">
        <v>21</v>
      </c>
      <c r="C597" s="47"/>
      <c r="D597" s="30" t="s">
        <v>1725</v>
      </c>
      <c r="E597" s="30" t="s">
        <v>1042</v>
      </c>
      <c r="F597" s="30" t="s">
        <v>1043</v>
      </c>
      <c r="G597" s="30" t="s">
        <v>117</v>
      </c>
      <c r="H597" s="30"/>
      <c r="I597" s="30" t="s">
        <v>119</v>
      </c>
      <c r="J597" s="30" t="s">
        <v>120</v>
      </c>
      <c r="K597" s="30" t="s">
        <v>121</v>
      </c>
      <c r="L597" s="30" t="s">
        <v>1741</v>
      </c>
      <c r="M597" s="30">
        <v>1007934</v>
      </c>
      <c r="N597" s="30" t="s">
        <v>138</v>
      </c>
      <c r="O597" s="30" t="s">
        <v>1855</v>
      </c>
      <c r="P597" s="30" t="s">
        <v>1837</v>
      </c>
      <c r="Q597" s="30" t="s">
        <v>537</v>
      </c>
      <c r="R597" s="30" t="s">
        <v>142</v>
      </c>
      <c r="S597" s="30">
        <v>310919818</v>
      </c>
      <c r="T597" s="30" t="s">
        <v>1780</v>
      </c>
      <c r="U597" s="30" t="s">
        <v>588</v>
      </c>
      <c r="V597" s="30" t="s">
        <v>145</v>
      </c>
      <c r="W597" s="30" t="s">
        <v>146</v>
      </c>
      <c r="X597" s="89"/>
      <c r="Y597" s="143" t="s">
        <v>576</v>
      </c>
      <c r="Z597" s="143" t="s">
        <v>576</v>
      </c>
      <c r="AA597" s="20" t="s">
        <v>148</v>
      </c>
      <c r="AB597" s="48" t="s">
        <v>149</v>
      </c>
      <c r="AC597" s="48" t="s">
        <v>538</v>
      </c>
      <c r="AD597" s="30"/>
      <c r="AE597" s="30"/>
      <c r="AF597" s="30" t="s">
        <v>151</v>
      </c>
      <c r="AG597" s="30" t="s">
        <v>152</v>
      </c>
      <c r="AH597" s="30" t="s">
        <v>1839</v>
      </c>
      <c r="AI597" s="30"/>
      <c r="AJ597" s="30"/>
      <c r="AK597" s="50">
        <v>43220</v>
      </c>
      <c r="AL597" s="51">
        <f t="shared" si="413"/>
        <v>7.5095890410958903</v>
      </c>
      <c r="AM597" s="30">
        <v>8</v>
      </c>
      <c r="AN597" s="30"/>
      <c r="AO597" s="30" t="s">
        <v>1050</v>
      </c>
      <c r="AP597" s="30" t="s">
        <v>1187</v>
      </c>
      <c r="AQ597" s="30">
        <v>13.3</v>
      </c>
      <c r="AR597" s="30">
        <v>1050</v>
      </c>
      <c r="AS597" s="30">
        <v>800</v>
      </c>
      <c r="AT597" s="30">
        <v>1600</v>
      </c>
      <c r="AU597" s="54">
        <v>696032681</v>
      </c>
      <c r="AV597" s="54"/>
      <c r="AW597" s="54"/>
      <c r="AX597" s="54"/>
      <c r="AY597" s="54">
        <v>637184356</v>
      </c>
      <c r="AZ597" s="54">
        <v>7247037</v>
      </c>
      <c r="BA597" s="54">
        <v>37107214</v>
      </c>
      <c r="BB597" s="55">
        <f>VLOOKUP(M597,[1]Sheet1!$E$6:$F$556,2,FALSE)</f>
        <v>1000</v>
      </c>
      <c r="BC597" s="74"/>
      <c r="BD597" s="74"/>
      <c r="BE597" s="30"/>
      <c r="BF597" s="30" t="s">
        <v>1739</v>
      </c>
      <c r="BG597" s="30" t="s">
        <v>1746</v>
      </c>
      <c r="BH597" s="30" t="s">
        <v>136</v>
      </c>
      <c r="BI597" s="30" t="str">
        <f t="shared" si="403"/>
        <v>Test</v>
      </c>
      <c r="BJ597" s="47" t="s">
        <v>137</v>
      </c>
      <c r="BK597" s="67">
        <f t="shared" si="414"/>
        <v>38962574.700000003</v>
      </c>
      <c r="BL597" s="68">
        <f t="shared" si="385"/>
        <v>1217580.4593750001</v>
      </c>
      <c r="BM597" s="68">
        <f t="shared" si="386"/>
        <v>405860.15312500001</v>
      </c>
      <c r="BP597" s="69">
        <f t="shared" si="387"/>
        <v>1217580.4593750001</v>
      </c>
      <c r="BQ597" s="69">
        <f t="shared" si="388"/>
        <v>1217580.4593750001</v>
      </c>
      <c r="BR597" s="69">
        <f t="shared" si="392"/>
        <v>2435160.9187500002</v>
      </c>
      <c r="BS597" s="69">
        <f t="shared" si="389"/>
        <v>1217580.4593750001</v>
      </c>
      <c r="BT597" s="69">
        <f t="shared" si="411"/>
        <v>1217580.4593750001</v>
      </c>
      <c r="BU597" s="100">
        <f t="shared" si="411"/>
        <v>1217580.4593750001</v>
      </c>
      <c r="BV597" s="100">
        <f t="shared" si="411"/>
        <v>1217580.4593750001</v>
      </c>
      <c r="BW597" s="100">
        <f t="shared" si="410"/>
        <v>4870321.8375000004</v>
      </c>
      <c r="BX597" s="101">
        <f t="shared" si="393"/>
        <v>1217580.4593750001</v>
      </c>
      <c r="BY597" s="101">
        <f t="shared" si="396"/>
        <v>1217580.4593750001</v>
      </c>
      <c r="BZ597" s="18">
        <f t="shared" si="396"/>
        <v>1217580.4593750001</v>
      </c>
      <c r="CA597" s="18">
        <f t="shared" si="396"/>
        <v>1217580.4593750001</v>
      </c>
      <c r="CB597" s="70">
        <f t="shared" si="404"/>
        <v>4870321.8375000004</v>
      </c>
      <c r="CC597" s="18">
        <f t="shared" si="405"/>
        <v>1217580.4593750001</v>
      </c>
      <c r="CD597" s="18">
        <f t="shared" si="412"/>
        <v>1217580.4593750001</v>
      </c>
      <c r="CE597" s="18">
        <f t="shared" si="412"/>
        <v>1217580.4593750001</v>
      </c>
      <c r="CF597" s="18">
        <f t="shared" si="412"/>
        <v>1217580.4593750001</v>
      </c>
      <c r="CG597" s="70">
        <f t="shared" si="406"/>
        <v>4870321.8375000004</v>
      </c>
      <c r="CH597" s="18">
        <f t="shared" si="394"/>
        <v>1217580.4593750001</v>
      </c>
      <c r="CI597" s="18">
        <f t="shared" si="391"/>
        <v>1217580.4593750001</v>
      </c>
      <c r="CJ597" s="18">
        <f t="shared" si="391"/>
        <v>1217580.4593750001</v>
      </c>
      <c r="CK597" s="18">
        <f t="shared" si="391"/>
        <v>1217580.4593750001</v>
      </c>
      <c r="CL597" s="70">
        <f t="shared" si="395"/>
        <v>4870321.8375000004</v>
      </c>
      <c r="CM597" s="71"/>
      <c r="CN597" s="71"/>
      <c r="CP597" s="2">
        <f t="shared" si="409"/>
        <v>38962574.700000003</v>
      </c>
    </row>
    <row r="598" spans="1:94" ht="16.5" hidden="1" x14ac:dyDescent="0.3">
      <c r="A598" s="2">
        <v>593</v>
      </c>
      <c r="B598" s="47" t="s">
        <v>21</v>
      </c>
      <c r="C598" s="47"/>
      <c r="D598" s="30" t="s">
        <v>1725</v>
      </c>
      <c r="E598" s="30" t="s">
        <v>1042</v>
      </c>
      <c r="F598" s="30" t="s">
        <v>1043</v>
      </c>
      <c r="G598" s="30" t="s">
        <v>117</v>
      </c>
      <c r="H598" s="30"/>
      <c r="I598" s="30" t="s">
        <v>119</v>
      </c>
      <c r="J598" s="30" t="s">
        <v>120</v>
      </c>
      <c r="K598" s="30" t="s">
        <v>121</v>
      </c>
      <c r="L598" s="30" t="s">
        <v>1741</v>
      </c>
      <c r="M598" s="30">
        <v>1007935</v>
      </c>
      <c r="N598" s="30" t="s">
        <v>138</v>
      </c>
      <c r="O598" s="30" t="s">
        <v>1856</v>
      </c>
      <c r="P598" s="30" t="s">
        <v>1837</v>
      </c>
      <c r="Q598" s="30" t="s">
        <v>537</v>
      </c>
      <c r="R598" s="30" t="s">
        <v>142</v>
      </c>
      <c r="S598" s="30">
        <v>311253536</v>
      </c>
      <c r="T598" s="30" t="s">
        <v>1780</v>
      </c>
      <c r="U598" s="30" t="s">
        <v>588</v>
      </c>
      <c r="V598" s="30" t="s">
        <v>145</v>
      </c>
      <c r="W598" s="30" t="s">
        <v>146</v>
      </c>
      <c r="X598" s="89"/>
      <c r="Y598" s="143" t="s">
        <v>576</v>
      </c>
      <c r="Z598" s="143" t="s">
        <v>576</v>
      </c>
      <c r="AA598" s="20" t="s">
        <v>148</v>
      </c>
      <c r="AB598" s="48" t="s">
        <v>149</v>
      </c>
      <c r="AC598" s="48" t="s">
        <v>538</v>
      </c>
      <c r="AD598" s="30"/>
      <c r="AE598" s="30"/>
      <c r="AF598" s="30" t="s">
        <v>151</v>
      </c>
      <c r="AG598" s="30" t="s">
        <v>152</v>
      </c>
      <c r="AH598" s="30" t="s">
        <v>1839</v>
      </c>
      <c r="AI598" s="30"/>
      <c r="AJ598" s="30"/>
      <c r="AK598" s="50">
        <v>44286</v>
      </c>
      <c r="AL598" s="51">
        <f t="shared" si="413"/>
        <v>4.5890410958904111</v>
      </c>
      <c r="AM598" s="30">
        <v>8</v>
      </c>
      <c r="AN598" s="30"/>
      <c r="AO598" s="30" t="s">
        <v>1050</v>
      </c>
      <c r="AP598" s="30" t="s">
        <v>1187</v>
      </c>
      <c r="AQ598" s="30">
        <v>13.3</v>
      </c>
      <c r="AR598" s="30">
        <v>1050</v>
      </c>
      <c r="AS598" s="30">
        <v>800</v>
      </c>
      <c r="AT598" s="30">
        <v>1600</v>
      </c>
      <c r="AU598" s="54">
        <v>843767808</v>
      </c>
      <c r="AV598" s="54"/>
      <c r="AW598" s="54"/>
      <c r="AX598" s="54"/>
      <c r="AY598" s="54">
        <v>465331369</v>
      </c>
      <c r="AZ598" s="54">
        <v>8785944</v>
      </c>
      <c r="BA598" s="54">
        <v>352078607</v>
      </c>
      <c r="BB598" s="55">
        <f>VLOOKUP(M598,[1]Sheet1!$E$6:$F$556,2,FALSE)</f>
        <v>71067491</v>
      </c>
      <c r="BC598" s="74"/>
      <c r="BD598" s="74"/>
      <c r="BE598" s="30"/>
      <c r="BF598" s="30" t="s">
        <v>1739</v>
      </c>
      <c r="BG598" s="30" t="s">
        <v>1746</v>
      </c>
      <c r="BH598" s="30" t="s">
        <v>136</v>
      </c>
      <c r="BI598" s="30" t="str">
        <f t="shared" si="403"/>
        <v>Test</v>
      </c>
      <c r="BJ598" s="47" t="s">
        <v>137</v>
      </c>
      <c r="BK598" s="67">
        <f t="shared" si="414"/>
        <v>369682537.35000002</v>
      </c>
      <c r="BL598" s="68">
        <f t="shared" si="385"/>
        <v>11552579.292187501</v>
      </c>
      <c r="BM598" s="68">
        <f t="shared" si="386"/>
        <v>3850859.7640625001</v>
      </c>
      <c r="BP598" s="69">
        <f t="shared" si="387"/>
        <v>11552579.292187501</v>
      </c>
      <c r="BQ598" s="69">
        <f t="shared" si="388"/>
        <v>11552579.292187501</v>
      </c>
      <c r="BR598" s="69">
        <f t="shared" si="392"/>
        <v>23105158.584375001</v>
      </c>
      <c r="BS598" s="69">
        <f t="shared" si="389"/>
        <v>11552579.292187501</v>
      </c>
      <c r="BT598" s="69">
        <f t="shared" si="411"/>
        <v>11552579.292187501</v>
      </c>
      <c r="BU598" s="100">
        <f t="shared" si="411"/>
        <v>11552579.292187501</v>
      </c>
      <c r="BV598" s="100">
        <f t="shared" si="411"/>
        <v>11552579.292187501</v>
      </c>
      <c r="BW598" s="100">
        <f t="shared" si="410"/>
        <v>46210317.168750003</v>
      </c>
      <c r="BX598" s="101">
        <f t="shared" si="393"/>
        <v>11552579.292187501</v>
      </c>
      <c r="BY598" s="101">
        <f t="shared" si="396"/>
        <v>11552579.292187501</v>
      </c>
      <c r="BZ598" s="18">
        <f t="shared" si="396"/>
        <v>11552579.292187501</v>
      </c>
      <c r="CA598" s="18">
        <f t="shared" si="396"/>
        <v>11552579.292187501</v>
      </c>
      <c r="CB598" s="70">
        <f t="shared" si="404"/>
        <v>46210317.168750003</v>
      </c>
      <c r="CC598" s="18">
        <f t="shared" si="405"/>
        <v>11552579.292187501</v>
      </c>
      <c r="CD598" s="18">
        <f t="shared" si="412"/>
        <v>11552579.292187501</v>
      </c>
      <c r="CE598" s="18">
        <f t="shared" si="412"/>
        <v>11552579.292187501</v>
      </c>
      <c r="CF598" s="18">
        <f t="shared" si="412"/>
        <v>11552579.292187501</v>
      </c>
      <c r="CG598" s="70">
        <f t="shared" si="406"/>
        <v>46210317.168750003</v>
      </c>
      <c r="CH598" s="18">
        <f t="shared" si="394"/>
        <v>11552579.292187501</v>
      </c>
      <c r="CI598" s="18">
        <f t="shared" si="391"/>
        <v>11552579.292187501</v>
      </c>
      <c r="CJ598" s="18">
        <f t="shared" si="391"/>
        <v>11552579.292187501</v>
      </c>
      <c r="CK598" s="18">
        <f t="shared" si="391"/>
        <v>11552579.292187501</v>
      </c>
      <c r="CL598" s="70">
        <f t="shared" si="395"/>
        <v>46210317.168750003</v>
      </c>
      <c r="CM598" s="71"/>
      <c r="CN598" s="71"/>
      <c r="CP598" s="2">
        <f t="shared" si="409"/>
        <v>369682537.35000002</v>
      </c>
    </row>
    <row r="599" spans="1:94" hidden="1" x14ac:dyDescent="0.3">
      <c r="A599" s="29">
        <v>594</v>
      </c>
      <c r="B599" s="30" t="s">
        <v>21</v>
      </c>
      <c r="C599" s="30"/>
      <c r="D599" s="30" t="s">
        <v>1725</v>
      </c>
      <c r="E599" s="30" t="s">
        <v>1042</v>
      </c>
      <c r="F599" s="30" t="s">
        <v>1043</v>
      </c>
      <c r="G599" s="30" t="s">
        <v>117</v>
      </c>
      <c r="H599" s="30"/>
      <c r="I599" s="30" t="s">
        <v>119</v>
      </c>
      <c r="J599" s="30" t="s">
        <v>120</v>
      </c>
      <c r="K599" s="30" t="s">
        <v>121</v>
      </c>
      <c r="L599" s="30" t="s">
        <v>1741</v>
      </c>
      <c r="M599" s="30">
        <v>1007936</v>
      </c>
      <c r="N599" s="30" t="s">
        <v>138</v>
      </c>
      <c r="O599" s="30" t="s">
        <v>1857</v>
      </c>
      <c r="P599" s="30" t="s">
        <v>1837</v>
      </c>
      <c r="Q599" s="30" t="s">
        <v>537</v>
      </c>
      <c r="R599" s="30" t="s">
        <v>142</v>
      </c>
      <c r="S599" s="30">
        <v>311038548</v>
      </c>
      <c r="T599" s="30" t="s">
        <v>1780</v>
      </c>
      <c r="U599" s="30" t="s">
        <v>588</v>
      </c>
      <c r="V599" s="30" t="s">
        <v>145</v>
      </c>
      <c r="W599" s="30" t="s">
        <v>146</v>
      </c>
      <c r="X599" s="89"/>
      <c r="Y599" s="30" t="s">
        <v>576</v>
      </c>
      <c r="Z599" s="30" t="s">
        <v>576</v>
      </c>
      <c r="AA599" s="20" t="s">
        <v>148</v>
      </c>
      <c r="AB599" s="48" t="s">
        <v>149</v>
      </c>
      <c r="AC599" s="48" t="s">
        <v>538</v>
      </c>
      <c r="AD599" s="30"/>
      <c r="AE599" s="30"/>
      <c r="AF599" s="30" t="s">
        <v>151</v>
      </c>
      <c r="AG599" s="30" t="s">
        <v>152</v>
      </c>
      <c r="AH599" s="30" t="s">
        <v>1839</v>
      </c>
      <c r="AI599" s="30"/>
      <c r="AJ599" s="30"/>
      <c r="AK599" s="50">
        <v>43524</v>
      </c>
      <c r="AL599" s="51">
        <f t="shared" si="413"/>
        <v>6.6767123287671231</v>
      </c>
      <c r="AM599" s="30">
        <v>8</v>
      </c>
      <c r="AN599" s="30"/>
      <c r="AO599" s="30" t="s">
        <v>1050</v>
      </c>
      <c r="AP599" s="30" t="s">
        <v>1187</v>
      </c>
      <c r="AQ599" s="30">
        <v>13.3</v>
      </c>
      <c r="AR599" s="30">
        <v>1050</v>
      </c>
      <c r="AS599" s="30">
        <v>800</v>
      </c>
      <c r="AT599" s="30">
        <v>1600</v>
      </c>
      <c r="AU599" s="74">
        <v>791174796</v>
      </c>
      <c r="AV599" s="54"/>
      <c r="AW599" s="54"/>
      <c r="AX599" s="54"/>
      <c r="AY599" s="54">
        <v>640893766</v>
      </c>
      <c r="AZ599" s="54">
        <v>8239752</v>
      </c>
      <c r="BA599" s="74">
        <v>125561774</v>
      </c>
      <c r="BB599" s="55">
        <f>VLOOKUP(M599,[1]Sheet1!$E$6:$F$556,2,FALSE)</f>
        <v>19354970</v>
      </c>
      <c r="BC599" s="74"/>
      <c r="BD599" s="74"/>
      <c r="BE599" s="30"/>
      <c r="BF599" s="30" t="s">
        <v>1739</v>
      </c>
      <c r="BG599" s="30" t="s">
        <v>1746</v>
      </c>
      <c r="BH599" s="30" t="s">
        <v>136</v>
      </c>
      <c r="BI599" s="30" t="str">
        <f t="shared" si="403"/>
        <v>Test</v>
      </c>
      <c r="BJ599" s="30" t="s">
        <v>250</v>
      </c>
      <c r="BK599" s="56">
        <f t="shared" si="414"/>
        <v>131839862.7</v>
      </c>
      <c r="BL599" s="57">
        <f t="shared" si="385"/>
        <v>4119995.7093750001</v>
      </c>
      <c r="BM599" s="57">
        <f t="shared" si="386"/>
        <v>1373331.903125</v>
      </c>
      <c r="BU599" s="58">
        <f>BM599*3</f>
        <v>4119995.7093749996</v>
      </c>
      <c r="BV599" s="58">
        <f t="shared" si="411"/>
        <v>4119995.7093749996</v>
      </c>
      <c r="BW599" s="58">
        <f>SUM(BS599:BV599)</f>
        <v>8239991.4187499993</v>
      </c>
      <c r="BX599" s="58">
        <f t="shared" si="393"/>
        <v>4119995.7093749996</v>
      </c>
      <c r="BY599" s="58">
        <f t="shared" si="396"/>
        <v>4119995.7093749996</v>
      </c>
      <c r="BZ599" s="58">
        <f>BM599*3</f>
        <v>4119995.7093749996</v>
      </c>
      <c r="CA599" s="58">
        <f t="shared" si="396"/>
        <v>4119995.7093749996</v>
      </c>
      <c r="CB599" s="58">
        <f t="shared" si="404"/>
        <v>16479982.837499999</v>
      </c>
      <c r="CC599" s="58">
        <f t="shared" si="405"/>
        <v>4119995.7093749996</v>
      </c>
      <c r="CD599" s="58">
        <f t="shared" si="412"/>
        <v>4119995.7093749996</v>
      </c>
      <c r="CE599" s="58">
        <f t="shared" si="412"/>
        <v>4119995.7093749996</v>
      </c>
      <c r="CF599" s="58">
        <f t="shared" si="412"/>
        <v>4119995.7093749996</v>
      </c>
      <c r="CG599" s="58">
        <f t="shared" si="406"/>
        <v>16479982.837499999</v>
      </c>
      <c r="CH599" s="58">
        <f t="shared" si="394"/>
        <v>4119995.7093749996</v>
      </c>
      <c r="CI599" s="58">
        <f t="shared" si="391"/>
        <v>4119995.7093749996</v>
      </c>
      <c r="CJ599" s="58">
        <f t="shared" si="391"/>
        <v>4119995.7093749996</v>
      </c>
      <c r="CK599" s="58">
        <f t="shared" si="391"/>
        <v>4119995.7093749996</v>
      </c>
      <c r="CL599" s="58">
        <f t="shared" si="395"/>
        <v>16479982.837499999</v>
      </c>
      <c r="CP599" s="2">
        <f t="shared" si="409"/>
        <v>131839862.7</v>
      </c>
    </row>
    <row r="600" spans="1:94" hidden="1" x14ac:dyDescent="0.3">
      <c r="A600" s="29">
        <v>595</v>
      </c>
      <c r="B600" s="30" t="s">
        <v>21</v>
      </c>
      <c r="C600" s="30"/>
      <c r="D600" s="30" t="s">
        <v>1725</v>
      </c>
      <c r="E600" s="30" t="s">
        <v>1042</v>
      </c>
      <c r="F600" s="30" t="s">
        <v>1043</v>
      </c>
      <c r="G600" s="30" t="s">
        <v>117</v>
      </c>
      <c r="H600" s="30"/>
      <c r="I600" s="30" t="s">
        <v>119</v>
      </c>
      <c r="J600" s="30" t="s">
        <v>120</v>
      </c>
      <c r="K600" s="30" t="s">
        <v>121</v>
      </c>
      <c r="L600" s="30" t="s">
        <v>1741</v>
      </c>
      <c r="M600" s="30">
        <v>1007937</v>
      </c>
      <c r="N600" s="30" t="s">
        <v>138</v>
      </c>
      <c r="O600" s="30" t="s">
        <v>1858</v>
      </c>
      <c r="P600" s="30" t="s">
        <v>1837</v>
      </c>
      <c r="Q600" s="30" t="s">
        <v>537</v>
      </c>
      <c r="R600" s="30" t="s">
        <v>142</v>
      </c>
      <c r="S600" s="30">
        <v>311044413</v>
      </c>
      <c r="T600" s="30" t="s">
        <v>1780</v>
      </c>
      <c r="U600" s="30" t="s">
        <v>588</v>
      </c>
      <c r="V600" s="30" t="s">
        <v>145</v>
      </c>
      <c r="W600" s="30" t="s">
        <v>146</v>
      </c>
      <c r="X600" s="89"/>
      <c r="Y600" s="30" t="s">
        <v>576</v>
      </c>
      <c r="Z600" s="30" t="s">
        <v>576</v>
      </c>
      <c r="AA600" s="20" t="s">
        <v>148</v>
      </c>
      <c r="AB600" s="48" t="s">
        <v>149</v>
      </c>
      <c r="AC600" s="48" t="s">
        <v>538</v>
      </c>
      <c r="AD600" s="30"/>
      <c r="AE600" s="30"/>
      <c r="AF600" s="30" t="s">
        <v>151</v>
      </c>
      <c r="AG600" s="30" t="s">
        <v>152</v>
      </c>
      <c r="AH600" s="30" t="s">
        <v>1839</v>
      </c>
      <c r="AI600" s="30"/>
      <c r="AJ600" s="30"/>
      <c r="AK600" s="50">
        <v>43524</v>
      </c>
      <c r="AL600" s="51">
        <f t="shared" si="413"/>
        <v>6.6767123287671231</v>
      </c>
      <c r="AM600" s="30">
        <v>8</v>
      </c>
      <c r="AN600" s="30"/>
      <c r="AO600" s="30" t="s">
        <v>1050</v>
      </c>
      <c r="AP600" s="30" t="s">
        <v>1187</v>
      </c>
      <c r="AQ600" s="30">
        <v>13.3</v>
      </c>
      <c r="AR600" s="30">
        <v>1050</v>
      </c>
      <c r="AS600" s="30">
        <v>800</v>
      </c>
      <c r="AT600" s="30">
        <v>1600</v>
      </c>
      <c r="AU600" s="74">
        <v>785910635</v>
      </c>
      <c r="AV600" s="54"/>
      <c r="AW600" s="54"/>
      <c r="AX600" s="54"/>
      <c r="AY600" s="54">
        <v>636616635</v>
      </c>
      <c r="AZ600" s="54">
        <v>8184917</v>
      </c>
      <c r="BA600" s="74">
        <v>124739249</v>
      </c>
      <c r="BB600" s="55">
        <f>VLOOKUP(M600,[1]Sheet1!$E$6:$F$556,2,FALSE)</f>
        <v>19228484</v>
      </c>
      <c r="BC600" s="74"/>
      <c r="BD600" s="74"/>
      <c r="BE600" s="30"/>
      <c r="BF600" s="30" t="s">
        <v>1739</v>
      </c>
      <c r="BG600" s="30" t="s">
        <v>1746</v>
      </c>
      <c r="BH600" s="30" t="s">
        <v>136</v>
      </c>
      <c r="BI600" s="30" t="str">
        <f t="shared" si="403"/>
        <v>Test</v>
      </c>
      <c r="BJ600" s="30" t="s">
        <v>250</v>
      </c>
      <c r="BK600" s="56">
        <f t="shared" si="414"/>
        <v>130976211.45</v>
      </c>
      <c r="BL600" s="57">
        <f t="shared" si="385"/>
        <v>4093006.6078125001</v>
      </c>
      <c r="BM600" s="57">
        <f t="shared" si="386"/>
        <v>1364335.5359375</v>
      </c>
      <c r="BU600" s="58">
        <f>BM600*3</f>
        <v>4093006.6078124996</v>
      </c>
      <c r="BV600" s="58">
        <f t="shared" si="411"/>
        <v>4093006.6078124996</v>
      </c>
      <c r="BW600" s="58">
        <f>SUM(BS600:BV600)</f>
        <v>8186013.2156249993</v>
      </c>
      <c r="BX600" s="58">
        <f t="shared" si="393"/>
        <v>4093006.6078124996</v>
      </c>
      <c r="BY600" s="58">
        <f t="shared" si="396"/>
        <v>4093006.6078124996</v>
      </c>
      <c r="BZ600" s="58">
        <f>BM600*3</f>
        <v>4093006.6078124996</v>
      </c>
      <c r="CA600" s="58">
        <f t="shared" si="396"/>
        <v>4093006.6078124996</v>
      </c>
      <c r="CB600" s="58">
        <f t="shared" si="404"/>
        <v>16372026.431249999</v>
      </c>
      <c r="CC600" s="58">
        <f t="shared" si="405"/>
        <v>4093006.6078124996</v>
      </c>
      <c r="CD600" s="58">
        <f t="shared" si="412"/>
        <v>4093006.6078124996</v>
      </c>
      <c r="CE600" s="58">
        <f t="shared" si="412"/>
        <v>4093006.6078124996</v>
      </c>
      <c r="CF600" s="58">
        <f t="shared" si="412"/>
        <v>4093006.6078124996</v>
      </c>
      <c r="CG600" s="58">
        <f t="shared" si="406"/>
        <v>16372026.431249999</v>
      </c>
      <c r="CH600" s="58">
        <f t="shared" si="394"/>
        <v>4093006.6078124996</v>
      </c>
      <c r="CI600" s="58">
        <f t="shared" si="391"/>
        <v>4093006.6078124996</v>
      </c>
      <c r="CJ600" s="58">
        <f t="shared" si="391"/>
        <v>4093006.6078124996</v>
      </c>
      <c r="CK600" s="58">
        <f t="shared" si="391"/>
        <v>4093006.6078124996</v>
      </c>
      <c r="CL600" s="58">
        <f t="shared" si="395"/>
        <v>16372026.431249999</v>
      </c>
      <c r="CP600" s="2">
        <f t="shared" si="409"/>
        <v>130976211.45</v>
      </c>
    </row>
    <row r="601" spans="1:94" ht="16.5" hidden="1" x14ac:dyDescent="0.3">
      <c r="A601" s="2">
        <v>596</v>
      </c>
      <c r="B601" s="47" t="s">
        <v>21</v>
      </c>
      <c r="C601" s="47"/>
      <c r="D601" s="30" t="s">
        <v>1725</v>
      </c>
      <c r="E601" s="30" t="s">
        <v>1042</v>
      </c>
      <c r="F601" s="30" t="s">
        <v>1043</v>
      </c>
      <c r="G601" s="30" t="s">
        <v>117</v>
      </c>
      <c r="H601" s="30" t="s">
        <v>1826</v>
      </c>
      <c r="I601" s="30" t="s">
        <v>119</v>
      </c>
      <c r="J601" s="30" t="s">
        <v>120</v>
      </c>
      <c r="K601" s="30" t="s">
        <v>121</v>
      </c>
      <c r="L601" s="30" t="s">
        <v>1741</v>
      </c>
      <c r="M601" s="30">
        <v>1004785</v>
      </c>
      <c r="N601" s="30" t="s">
        <v>138</v>
      </c>
      <c r="O601" s="30" t="s">
        <v>1859</v>
      </c>
      <c r="P601" s="30" t="s">
        <v>1860</v>
      </c>
      <c r="Q601" s="30" t="str">
        <f>P601</f>
        <v>AER-812S</v>
      </c>
      <c r="R601" s="30" t="s">
        <v>173</v>
      </c>
      <c r="S601" s="30" t="s">
        <v>1861</v>
      </c>
      <c r="T601" s="30"/>
      <c r="U601" s="30" t="s">
        <v>588</v>
      </c>
      <c r="V601" s="30"/>
      <c r="W601" s="30" t="s">
        <v>1862</v>
      </c>
      <c r="X601" s="129" t="s">
        <v>1744</v>
      </c>
      <c r="Y601" s="30" t="s">
        <v>576</v>
      </c>
      <c r="Z601" s="30" t="s">
        <v>576</v>
      </c>
      <c r="AA601" s="30" t="s">
        <v>129</v>
      </c>
      <c r="AB601" s="30" t="s">
        <v>1863</v>
      </c>
      <c r="AC601" s="30"/>
      <c r="AD601" s="30"/>
      <c r="AE601" s="30"/>
      <c r="AF601" s="30" t="s">
        <v>131</v>
      </c>
      <c r="AG601" s="30" t="s">
        <v>1088</v>
      </c>
      <c r="AH601" s="30"/>
      <c r="AI601" s="30"/>
      <c r="AJ601" s="30"/>
      <c r="AK601" s="50">
        <v>42467</v>
      </c>
      <c r="AL601" s="51">
        <f t="shared" si="413"/>
        <v>9.5726027397260278</v>
      </c>
      <c r="AM601" s="30">
        <v>8</v>
      </c>
      <c r="AN601" s="30"/>
      <c r="AO601" s="30" t="s">
        <v>1050</v>
      </c>
      <c r="AP601" s="30" t="s">
        <v>1051</v>
      </c>
      <c r="AQ601" s="30"/>
      <c r="AR601" s="30"/>
      <c r="AS601" s="30"/>
      <c r="AT601" s="30"/>
      <c r="AU601" s="54">
        <v>145997679</v>
      </c>
      <c r="AV601" s="54"/>
      <c r="AW601" s="54"/>
      <c r="AX601" s="54"/>
      <c r="AY601" s="54">
        <v>145996679</v>
      </c>
      <c r="AZ601" s="54">
        <v>1040659</v>
      </c>
      <c r="BA601" s="54">
        <v>1000</v>
      </c>
      <c r="BB601" s="55">
        <f>VLOOKUP(M601,[1]Sheet1!$E$6:$F$556,2,FALSE)</f>
        <v>1000</v>
      </c>
      <c r="BC601" s="74"/>
      <c r="BD601" s="74"/>
      <c r="BE601" s="30"/>
      <c r="BF601" s="30" t="s">
        <v>1745</v>
      </c>
      <c r="BG601" s="30" t="s">
        <v>1746</v>
      </c>
      <c r="BH601" s="30" t="s">
        <v>136</v>
      </c>
      <c r="BI601" s="30" t="str">
        <f t="shared" si="403"/>
        <v>Test</v>
      </c>
      <c r="BJ601" s="47" t="s">
        <v>137</v>
      </c>
      <c r="BK601" s="56">
        <f t="shared" si="414"/>
        <v>2919953.58</v>
      </c>
      <c r="BL601" s="57">
        <f t="shared" si="385"/>
        <v>278355.43099380983</v>
      </c>
      <c r="BM601" s="57">
        <f t="shared" si="386"/>
        <v>92785.143664603282</v>
      </c>
      <c r="BP601" s="69">
        <f t="shared" si="387"/>
        <v>278355.43099380983</v>
      </c>
      <c r="BQ601" s="69">
        <f t="shared" si="388"/>
        <v>278355.43099380983</v>
      </c>
      <c r="BR601" s="69">
        <f t="shared" si="392"/>
        <v>556710.86198761966</v>
      </c>
      <c r="BS601" s="69">
        <f t="shared" si="389"/>
        <v>278355.43099380983</v>
      </c>
      <c r="BT601" s="69">
        <f t="shared" si="411"/>
        <v>278355.43099380983</v>
      </c>
      <c r="BU601" s="100">
        <f t="shared" si="411"/>
        <v>278355.43099380983</v>
      </c>
      <c r="BV601" s="100">
        <f t="shared" si="411"/>
        <v>278355.43099380983</v>
      </c>
      <c r="BW601" s="100">
        <f t="shared" si="410"/>
        <v>1113421.7239752393</v>
      </c>
      <c r="BX601" s="101">
        <f t="shared" si="393"/>
        <v>278355.43099380983</v>
      </c>
      <c r="BY601" s="101">
        <f t="shared" si="396"/>
        <v>278355.43099380983</v>
      </c>
      <c r="BZ601" s="58">
        <f t="shared" si="396"/>
        <v>278355.43099380983</v>
      </c>
      <c r="CA601" s="58">
        <f t="shared" si="396"/>
        <v>278355.43099380983</v>
      </c>
      <c r="CB601" s="76">
        <f t="shared" si="404"/>
        <v>1113421.7239752393</v>
      </c>
      <c r="CC601" s="58">
        <f t="shared" si="405"/>
        <v>278355.43099380983</v>
      </c>
      <c r="CD601" s="58">
        <f t="shared" si="412"/>
        <v>278355.43099380983</v>
      </c>
      <c r="CE601" s="58">
        <f t="shared" si="412"/>
        <v>278355.43099380983</v>
      </c>
      <c r="CF601" s="58">
        <f t="shared" si="412"/>
        <v>278355.43099380983</v>
      </c>
      <c r="CG601" s="76">
        <f t="shared" si="406"/>
        <v>1113421.7239752393</v>
      </c>
      <c r="CH601" s="58">
        <f t="shared" si="394"/>
        <v>278355.43099380983</v>
      </c>
      <c r="CI601" s="58">
        <f t="shared" si="391"/>
        <v>278355.43099380983</v>
      </c>
      <c r="CJ601" s="58">
        <f t="shared" si="391"/>
        <v>278355.43099380983</v>
      </c>
      <c r="CK601" s="58">
        <f t="shared" si="391"/>
        <v>278355.43099380983</v>
      </c>
      <c r="CL601" s="76">
        <f t="shared" si="395"/>
        <v>1113421.7239752393</v>
      </c>
      <c r="CM601" s="71"/>
      <c r="CN601" s="59">
        <f t="shared" ref="CN601:CN612" si="415">BK601/$CN$3</f>
        <v>2.8511524818104354E-4</v>
      </c>
      <c r="CO601" s="64">
        <f t="shared" ref="CO601:CO612" si="416">CN601*$CO$4</f>
        <v>5987420.2118019145</v>
      </c>
      <c r="CP601" s="2">
        <f t="shared" si="409"/>
        <v>8907373.7918019146</v>
      </c>
    </row>
    <row r="602" spans="1:94" ht="16.5" hidden="1" x14ac:dyDescent="0.3">
      <c r="A602" s="2">
        <v>597</v>
      </c>
      <c r="B602" s="47" t="s">
        <v>21</v>
      </c>
      <c r="C602" s="47"/>
      <c r="D602" s="30" t="s">
        <v>1725</v>
      </c>
      <c r="E602" s="30" t="s">
        <v>1042</v>
      </c>
      <c r="F602" s="30" t="s">
        <v>1043</v>
      </c>
      <c r="G602" s="30" t="s">
        <v>117</v>
      </c>
      <c r="H602" s="30" t="s">
        <v>1058</v>
      </c>
      <c r="I602" s="30" t="s">
        <v>119</v>
      </c>
      <c r="J602" s="30" t="s">
        <v>120</v>
      </c>
      <c r="K602" s="30" t="s">
        <v>121</v>
      </c>
      <c r="L602" s="30" t="s">
        <v>1741</v>
      </c>
      <c r="M602" s="30">
        <v>1003342</v>
      </c>
      <c r="N602" s="30" t="s">
        <v>138</v>
      </c>
      <c r="O602" s="30" t="s">
        <v>1864</v>
      </c>
      <c r="P602" s="30" t="s">
        <v>1865</v>
      </c>
      <c r="Q602" s="30" t="s">
        <v>1866</v>
      </c>
      <c r="R602" s="30"/>
      <c r="S602" s="30" t="s">
        <v>1867</v>
      </c>
      <c r="T602" s="30"/>
      <c r="U602" s="30" t="s">
        <v>588</v>
      </c>
      <c r="V602" s="30" t="s">
        <v>600</v>
      </c>
      <c r="W602" s="30" t="s">
        <v>1868</v>
      </c>
      <c r="X602" s="89" t="s">
        <v>1757</v>
      </c>
      <c r="Y602" s="30" t="s">
        <v>576</v>
      </c>
      <c r="Z602" s="30" t="s">
        <v>576</v>
      </c>
      <c r="AA602" s="30" t="s">
        <v>129</v>
      </c>
      <c r="AB602" s="30" t="s">
        <v>1869</v>
      </c>
      <c r="AC602" s="30"/>
      <c r="AD602" s="30"/>
      <c r="AE602" s="30"/>
      <c r="AF602" s="30" t="s">
        <v>131</v>
      </c>
      <c r="AG602" s="30" t="s">
        <v>1088</v>
      </c>
      <c r="AH602" s="30"/>
      <c r="AI602" s="30"/>
      <c r="AJ602" s="30"/>
      <c r="AK602" s="50">
        <v>41067</v>
      </c>
      <c r="AL602" s="51">
        <f t="shared" si="413"/>
        <v>13.408219178082192</v>
      </c>
      <c r="AM602" s="30">
        <v>8</v>
      </c>
      <c r="AN602" s="30"/>
      <c r="AO602" s="30" t="s">
        <v>1050</v>
      </c>
      <c r="AP602" s="30" t="s">
        <v>1051</v>
      </c>
      <c r="AQ602" s="30"/>
      <c r="AR602" s="30"/>
      <c r="AS602" s="30"/>
      <c r="AT602" s="30"/>
      <c r="AU602" s="54">
        <v>295521888</v>
      </c>
      <c r="AV602" s="54"/>
      <c r="AW602" s="54"/>
      <c r="AX602" s="54"/>
      <c r="AY602" s="54">
        <v>295520888</v>
      </c>
      <c r="AZ602" s="54">
        <v>0</v>
      </c>
      <c r="BA602" s="54">
        <v>1000</v>
      </c>
      <c r="BB602" s="55">
        <f>VLOOKUP(M602,[1]Sheet1!$E$6:$F$556,2,FALSE)</f>
        <v>1000</v>
      </c>
      <c r="BC602" s="74"/>
      <c r="BD602" s="74"/>
      <c r="BE602" s="30"/>
      <c r="BF602" s="30" t="s">
        <v>1745</v>
      </c>
      <c r="BG602" s="30" t="s">
        <v>1870</v>
      </c>
      <c r="BH602" s="30" t="s">
        <v>136</v>
      </c>
      <c r="BI602" s="30" t="str">
        <f t="shared" si="403"/>
        <v>Test</v>
      </c>
      <c r="BJ602" s="47" t="s">
        <v>137</v>
      </c>
      <c r="BK602" s="56">
        <f t="shared" si="414"/>
        <v>5910437.7599999998</v>
      </c>
      <c r="BL602" s="57">
        <f t="shared" si="385"/>
        <v>563434.45365555701</v>
      </c>
      <c r="BM602" s="57">
        <f t="shared" si="386"/>
        <v>187811.48455185234</v>
      </c>
      <c r="BU602" s="58">
        <f>BM602*3</f>
        <v>563434.45365555701</v>
      </c>
      <c r="BV602" s="58">
        <f t="shared" si="411"/>
        <v>563434.45365555701</v>
      </c>
      <c r="BW602" s="58">
        <f>SUM(BS602:BV602)</f>
        <v>1126868.907311114</v>
      </c>
      <c r="BX602" s="58">
        <f t="shared" si="393"/>
        <v>563434.45365555701</v>
      </c>
      <c r="BY602" s="58">
        <f t="shared" si="396"/>
        <v>563434.45365555701</v>
      </c>
      <c r="BZ602" s="58">
        <f>BM602*3</f>
        <v>563434.45365555701</v>
      </c>
      <c r="CA602" s="58">
        <f t="shared" si="396"/>
        <v>563434.45365555701</v>
      </c>
      <c r="CB602" s="58">
        <f t="shared" si="404"/>
        <v>2253737.814622228</v>
      </c>
      <c r="CC602" s="58">
        <f t="shared" si="405"/>
        <v>563434.45365555701</v>
      </c>
      <c r="CD602" s="58">
        <f t="shared" si="412"/>
        <v>563434.45365555701</v>
      </c>
      <c r="CE602" s="58">
        <f t="shared" si="412"/>
        <v>563434.45365555701</v>
      </c>
      <c r="CF602" s="58">
        <f t="shared" si="412"/>
        <v>563434.45365555701</v>
      </c>
      <c r="CG602" s="58">
        <f t="shared" si="406"/>
        <v>2253737.814622228</v>
      </c>
      <c r="CH602" s="58">
        <f t="shared" si="394"/>
        <v>563434.45365555701</v>
      </c>
      <c r="CI602" s="58">
        <f t="shared" si="391"/>
        <v>563434.45365555701</v>
      </c>
      <c r="CJ602" s="58">
        <f t="shared" si="391"/>
        <v>563434.45365555701</v>
      </c>
      <c r="CK602" s="58">
        <f t="shared" si="391"/>
        <v>563434.45365555701</v>
      </c>
      <c r="CL602" s="58">
        <f t="shared" si="395"/>
        <v>2253737.814622228</v>
      </c>
      <c r="CN602" s="59">
        <f t="shared" si="415"/>
        <v>5.771173693798965E-4</v>
      </c>
      <c r="CO602" s="64">
        <f t="shared" si="416"/>
        <v>12119464.756977826</v>
      </c>
      <c r="CP602" s="2">
        <f t="shared" si="409"/>
        <v>18029902.516977824</v>
      </c>
    </row>
    <row r="603" spans="1:94" ht="16.5" hidden="1" x14ac:dyDescent="0.3">
      <c r="A603" s="2">
        <v>598</v>
      </c>
      <c r="B603" s="47" t="s">
        <v>21</v>
      </c>
      <c r="C603" s="47"/>
      <c r="D603" s="30" t="s">
        <v>1725</v>
      </c>
      <c r="E603" s="30" t="s">
        <v>1042</v>
      </c>
      <c r="F603" s="30" t="s">
        <v>1043</v>
      </c>
      <c r="G603" s="30" t="s">
        <v>117</v>
      </c>
      <c r="H603" s="30"/>
      <c r="I603" s="30" t="s">
        <v>119</v>
      </c>
      <c r="J603" s="30" t="s">
        <v>1871</v>
      </c>
      <c r="K603" s="30" t="s">
        <v>1872</v>
      </c>
      <c r="L603" s="30" t="s">
        <v>1873</v>
      </c>
      <c r="M603" s="30">
        <v>1005026</v>
      </c>
      <c r="N603" s="30" t="s">
        <v>138</v>
      </c>
      <c r="O603" s="30" t="s">
        <v>1874</v>
      </c>
      <c r="P603" s="30"/>
      <c r="Q603" s="30" t="s">
        <v>1875</v>
      </c>
      <c r="R603" s="30" t="s">
        <v>1876</v>
      </c>
      <c r="S603" s="30"/>
      <c r="T603" s="30" t="s">
        <v>1756</v>
      </c>
      <c r="U603" s="30" t="s">
        <v>588</v>
      </c>
      <c r="V603" s="30" t="s">
        <v>403</v>
      </c>
      <c r="W603" s="30" t="s">
        <v>1877</v>
      </c>
      <c r="X603" s="89" t="s">
        <v>1764</v>
      </c>
      <c r="Y603" s="30" t="s">
        <v>576</v>
      </c>
      <c r="Z603" s="30" t="s">
        <v>576</v>
      </c>
      <c r="AA603" s="92" t="s">
        <v>891</v>
      </c>
      <c r="AB603" s="30" t="s">
        <v>1878</v>
      </c>
      <c r="AC603" s="30"/>
      <c r="AD603" s="30"/>
      <c r="AE603" s="30"/>
      <c r="AF603" s="30" t="s">
        <v>179</v>
      </c>
      <c r="AG603" s="30" t="s">
        <v>152</v>
      </c>
      <c r="AH603" s="132" t="s">
        <v>1879</v>
      </c>
      <c r="AI603" s="30"/>
      <c r="AJ603" s="30"/>
      <c r="AK603" s="50">
        <v>42822</v>
      </c>
      <c r="AL603" s="51">
        <f t="shared" si="413"/>
        <v>8.6</v>
      </c>
      <c r="AM603" s="30">
        <v>8</v>
      </c>
      <c r="AN603" s="30"/>
      <c r="AO603" s="30" t="s">
        <v>1050</v>
      </c>
      <c r="AP603" s="30" t="s">
        <v>1051</v>
      </c>
      <c r="AQ603" s="30">
        <v>1.5</v>
      </c>
      <c r="AR603" s="30">
        <v>1630</v>
      </c>
      <c r="AS603" s="30">
        <v>1380</v>
      </c>
      <c r="AT603" s="30">
        <v>2080</v>
      </c>
      <c r="AU603" s="54">
        <v>23030000</v>
      </c>
      <c r="AV603" s="54"/>
      <c r="AW603" s="54"/>
      <c r="AX603" s="54"/>
      <c r="AY603" s="54">
        <v>23029000</v>
      </c>
      <c r="AZ603" s="54">
        <v>204625</v>
      </c>
      <c r="BA603" s="54">
        <v>1000</v>
      </c>
      <c r="BB603" s="55">
        <f>VLOOKUP(M603,[1]Sheet1!$E$6:$F$556,2,FALSE)</f>
        <v>1000</v>
      </c>
      <c r="BC603" s="74"/>
      <c r="BD603" s="74"/>
      <c r="BE603" s="30"/>
      <c r="BF603" s="30" t="s">
        <v>1745</v>
      </c>
      <c r="BG603" s="30" t="s">
        <v>1880</v>
      </c>
      <c r="BH603" s="30" t="s">
        <v>1054</v>
      </c>
      <c r="BI603" s="30" t="str">
        <f t="shared" si="403"/>
        <v>COF(Assy_FT)</v>
      </c>
      <c r="BJ603" s="47" t="s">
        <v>137</v>
      </c>
      <c r="BK603" s="56">
        <f t="shared" si="414"/>
        <v>460600</v>
      </c>
      <c r="BL603" s="57">
        <f t="shared" si="385"/>
        <v>43908.407446583034</v>
      </c>
      <c r="BM603" s="57">
        <f t="shared" si="386"/>
        <v>14636.135815527678</v>
      </c>
      <c r="BP603" s="69">
        <f t="shared" si="387"/>
        <v>43908.407446583034</v>
      </c>
      <c r="BQ603" s="69">
        <f t="shared" si="388"/>
        <v>43908.407446583034</v>
      </c>
      <c r="BR603" s="69">
        <f t="shared" si="392"/>
        <v>87816.814893166069</v>
      </c>
      <c r="BS603" s="69">
        <f t="shared" si="389"/>
        <v>43908.407446583034</v>
      </c>
      <c r="BT603" s="69">
        <f>BS603</f>
        <v>43908.407446583034</v>
      </c>
      <c r="BU603" s="100">
        <f>BT603</f>
        <v>43908.407446583034</v>
      </c>
      <c r="BV603" s="100">
        <f>BU603</f>
        <v>43908.407446583034</v>
      </c>
      <c r="BW603" s="100">
        <f t="shared" si="410"/>
        <v>175633.62978633214</v>
      </c>
      <c r="BX603" s="101">
        <f t="shared" si="393"/>
        <v>43908.407446583034</v>
      </c>
      <c r="BY603" s="101">
        <f t="shared" si="396"/>
        <v>43908.407446583034</v>
      </c>
      <c r="BZ603" s="58">
        <f t="shared" si="396"/>
        <v>43908.407446583034</v>
      </c>
      <c r="CA603" s="58">
        <f t="shared" si="396"/>
        <v>43908.407446583034</v>
      </c>
      <c r="CB603" s="76">
        <f t="shared" si="404"/>
        <v>175633.62978633214</v>
      </c>
      <c r="CC603" s="58">
        <f t="shared" si="405"/>
        <v>43908.407446583034</v>
      </c>
      <c r="CD603" s="58">
        <f t="shared" si="412"/>
        <v>43908.407446583034</v>
      </c>
      <c r="CE603" s="58">
        <f t="shared" si="412"/>
        <v>43908.407446583034</v>
      </c>
      <c r="CF603" s="58">
        <f t="shared" si="412"/>
        <v>43908.407446583034</v>
      </c>
      <c r="CG603" s="76">
        <f t="shared" si="406"/>
        <v>175633.62978633214</v>
      </c>
      <c r="CH603" s="58">
        <f t="shared" si="394"/>
        <v>43908.407446583034</v>
      </c>
      <c r="CI603" s="58">
        <f t="shared" si="391"/>
        <v>43908.407446583034</v>
      </c>
      <c r="CJ603" s="58">
        <f t="shared" si="391"/>
        <v>43908.407446583034</v>
      </c>
      <c r="CK603" s="58">
        <f t="shared" si="391"/>
        <v>43908.407446583034</v>
      </c>
      <c r="CL603" s="76">
        <f t="shared" si="395"/>
        <v>175633.62978633214</v>
      </c>
      <c r="CM603" s="71"/>
      <c r="CN603" s="59">
        <f t="shared" si="415"/>
        <v>4.4974716109078916E-5</v>
      </c>
      <c r="CO603" s="64">
        <f t="shared" si="416"/>
        <v>944469.03829065722</v>
      </c>
      <c r="CP603" s="2">
        <f t="shared" si="409"/>
        <v>1405069.0382906571</v>
      </c>
    </row>
    <row r="604" spans="1:94" ht="16.5" hidden="1" x14ac:dyDescent="0.3">
      <c r="A604" s="2">
        <v>599</v>
      </c>
      <c r="B604" s="47" t="s">
        <v>21</v>
      </c>
      <c r="C604" s="47"/>
      <c r="D604" s="30" t="s">
        <v>1725</v>
      </c>
      <c r="E604" s="30" t="s">
        <v>1042</v>
      </c>
      <c r="F604" s="30" t="s">
        <v>1043</v>
      </c>
      <c r="G604" s="30" t="s">
        <v>117</v>
      </c>
      <c r="H604" s="30" t="s">
        <v>1826</v>
      </c>
      <c r="I604" s="30" t="s">
        <v>119</v>
      </c>
      <c r="J604" s="30" t="s">
        <v>120</v>
      </c>
      <c r="K604" s="30" t="s">
        <v>121</v>
      </c>
      <c r="L604" s="30" t="s">
        <v>1741</v>
      </c>
      <c r="M604" s="30">
        <v>1004331</v>
      </c>
      <c r="N604" s="30" t="s">
        <v>138</v>
      </c>
      <c r="O604" s="30" t="s">
        <v>1881</v>
      </c>
      <c r="P604" s="30" t="s">
        <v>1882</v>
      </c>
      <c r="Q604" s="30" t="s">
        <v>1883</v>
      </c>
      <c r="R604" s="30" t="s">
        <v>173</v>
      </c>
      <c r="S604" s="30" t="s">
        <v>1884</v>
      </c>
      <c r="T604" s="30"/>
      <c r="U604" s="30" t="s">
        <v>588</v>
      </c>
      <c r="V604" s="30" t="s">
        <v>145</v>
      </c>
      <c r="W604" s="30" t="s">
        <v>456</v>
      </c>
      <c r="X604" s="89" t="s">
        <v>1757</v>
      </c>
      <c r="Y604" s="30" t="s">
        <v>576</v>
      </c>
      <c r="Z604" s="30" t="s">
        <v>576</v>
      </c>
      <c r="AA604" s="20" t="s">
        <v>148</v>
      </c>
      <c r="AB604" s="72" t="s">
        <v>177</v>
      </c>
      <c r="AC604" s="30"/>
      <c r="AD604" s="30"/>
      <c r="AE604" s="30"/>
      <c r="AF604" s="48" t="s">
        <v>179</v>
      </c>
      <c r="AG604" s="30" t="s">
        <v>152</v>
      </c>
      <c r="AH604" s="30"/>
      <c r="AI604" s="30"/>
      <c r="AJ604" s="30"/>
      <c r="AK604" s="50">
        <v>41786</v>
      </c>
      <c r="AL604" s="51">
        <f t="shared" si="413"/>
        <v>11.438356164383562</v>
      </c>
      <c r="AM604" s="30">
        <v>8</v>
      </c>
      <c r="AN604" s="30"/>
      <c r="AO604" s="30" t="s">
        <v>1050</v>
      </c>
      <c r="AP604" s="30" t="s">
        <v>1051</v>
      </c>
      <c r="AQ604" s="30"/>
      <c r="AR604" s="30"/>
      <c r="AS604" s="30"/>
      <c r="AT604" s="30"/>
      <c r="AU604" s="54">
        <v>239157791</v>
      </c>
      <c r="AV604" s="54"/>
      <c r="AW604" s="54"/>
      <c r="AX604" s="54"/>
      <c r="AY604" s="54">
        <v>230774098</v>
      </c>
      <c r="AZ604" s="54">
        <v>643773</v>
      </c>
      <c r="BA604" s="54">
        <v>6452374</v>
      </c>
      <c r="BB604" s="55">
        <f>VLOOKUP(M604,[1]Sheet1!$E$6:$F$556,2,FALSE)</f>
        <v>3233509</v>
      </c>
      <c r="BC604" s="74"/>
      <c r="BD604" s="74"/>
      <c r="BE604" s="30"/>
      <c r="BF604" s="30" t="s">
        <v>1739</v>
      </c>
      <c r="BG604" s="30" t="s">
        <v>1885</v>
      </c>
      <c r="BH604" s="30" t="s">
        <v>136</v>
      </c>
      <c r="BI604" s="30" t="str">
        <f t="shared" si="403"/>
        <v>Test</v>
      </c>
      <c r="BJ604" s="47" t="s">
        <v>137</v>
      </c>
      <c r="BK604" s="56">
        <f t="shared" si="414"/>
        <v>6774992.7000000002</v>
      </c>
      <c r="BL604" s="57">
        <f t="shared" si="385"/>
        <v>645851.36760578759</v>
      </c>
      <c r="BM604" s="57">
        <f t="shared" si="386"/>
        <v>215283.7892019292</v>
      </c>
      <c r="BU604" s="58">
        <f>BM604*3</f>
        <v>645851.36760578759</v>
      </c>
      <c r="BV604" s="58">
        <f t="shared" ref="BV604:BV621" si="417">BU604</f>
        <v>645851.36760578759</v>
      </c>
      <c r="BW604" s="58">
        <f>SUM(BS604:BV604)</f>
        <v>1291702.7352115752</v>
      </c>
      <c r="BX604" s="58">
        <f t="shared" si="393"/>
        <v>645851.36760578759</v>
      </c>
      <c r="BY604" s="58">
        <f t="shared" si="396"/>
        <v>645851.36760578759</v>
      </c>
      <c r="BZ604" s="58">
        <f>BM604*3</f>
        <v>645851.36760578759</v>
      </c>
      <c r="CA604" s="58">
        <f t="shared" si="396"/>
        <v>645851.36760578759</v>
      </c>
      <c r="CB604" s="58">
        <f t="shared" si="404"/>
        <v>2583405.4704231503</v>
      </c>
      <c r="CC604" s="58">
        <f t="shared" si="405"/>
        <v>645851.36760578759</v>
      </c>
      <c r="CD604" s="58">
        <f t="shared" si="412"/>
        <v>645851.36760578759</v>
      </c>
      <c r="CE604" s="58">
        <f t="shared" si="412"/>
        <v>645851.36760578759</v>
      </c>
      <c r="CF604" s="58">
        <f t="shared" si="412"/>
        <v>645851.36760578759</v>
      </c>
      <c r="CG604" s="58">
        <f t="shared" si="406"/>
        <v>2583405.4704231503</v>
      </c>
      <c r="CH604" s="58">
        <f t="shared" si="394"/>
        <v>645851.36760578759</v>
      </c>
      <c r="CI604" s="58">
        <f t="shared" si="391"/>
        <v>645851.36760578759</v>
      </c>
      <c r="CJ604" s="58">
        <f t="shared" si="391"/>
        <v>645851.36760578759</v>
      </c>
      <c r="CK604" s="58">
        <f t="shared" si="391"/>
        <v>645851.36760578759</v>
      </c>
      <c r="CL604" s="58">
        <f t="shared" si="395"/>
        <v>2583405.4704231503</v>
      </c>
      <c r="CN604" s="59">
        <f t="shared" si="415"/>
        <v>6.6153576492310488E-4</v>
      </c>
      <c r="CO604" s="64">
        <f t="shared" si="416"/>
        <v>13892251.063385202</v>
      </c>
      <c r="CP604" s="2">
        <f t="shared" si="409"/>
        <v>20667243.763385203</v>
      </c>
    </row>
    <row r="605" spans="1:94" ht="16.5" hidden="1" x14ac:dyDescent="0.3">
      <c r="A605" s="2">
        <v>600</v>
      </c>
      <c r="B605" s="47" t="s">
        <v>21</v>
      </c>
      <c r="C605" s="47"/>
      <c r="D605" s="30" t="s">
        <v>1725</v>
      </c>
      <c r="E605" s="30" t="s">
        <v>1042</v>
      </c>
      <c r="F605" s="30" t="s">
        <v>1043</v>
      </c>
      <c r="G605" s="30" t="s">
        <v>117</v>
      </c>
      <c r="H605" s="30" t="s">
        <v>1826</v>
      </c>
      <c r="I605" s="30" t="s">
        <v>119</v>
      </c>
      <c r="J605" s="30" t="s">
        <v>120</v>
      </c>
      <c r="K605" s="30" t="s">
        <v>121</v>
      </c>
      <c r="L605" s="30" t="s">
        <v>1741</v>
      </c>
      <c r="M605" s="30">
        <v>1006614</v>
      </c>
      <c r="N605" s="30" t="s">
        <v>138</v>
      </c>
      <c r="O605" s="30" t="s">
        <v>1886</v>
      </c>
      <c r="P605" s="30" t="s">
        <v>1887</v>
      </c>
      <c r="Q605" s="30" t="s">
        <v>1883</v>
      </c>
      <c r="R605" s="30" t="s">
        <v>173</v>
      </c>
      <c r="S605" s="30" t="s">
        <v>1888</v>
      </c>
      <c r="T605" s="30"/>
      <c r="U605" s="30" t="s">
        <v>588</v>
      </c>
      <c r="V605" s="30" t="s">
        <v>145</v>
      </c>
      <c r="W605" s="30" t="s">
        <v>456</v>
      </c>
      <c r="X605" s="89" t="s">
        <v>1757</v>
      </c>
      <c r="Y605" s="30" t="s">
        <v>576</v>
      </c>
      <c r="Z605" s="30" t="s">
        <v>576</v>
      </c>
      <c r="AA605" s="20" t="s">
        <v>148</v>
      </c>
      <c r="AB605" s="72" t="s">
        <v>177</v>
      </c>
      <c r="AC605" s="30"/>
      <c r="AD605" s="30"/>
      <c r="AE605" s="30"/>
      <c r="AF605" s="48" t="s">
        <v>179</v>
      </c>
      <c r="AG605" s="30" t="s">
        <v>152</v>
      </c>
      <c r="AH605" s="30"/>
      <c r="AI605" s="30"/>
      <c r="AJ605" s="30"/>
      <c r="AK605" s="50">
        <v>44283</v>
      </c>
      <c r="AL605" s="51">
        <f t="shared" si="413"/>
        <v>4.5972602739726032</v>
      </c>
      <c r="AM605" s="30">
        <v>8</v>
      </c>
      <c r="AN605" s="30"/>
      <c r="AO605" s="30" t="s">
        <v>1050</v>
      </c>
      <c r="AP605" s="30" t="s">
        <v>1187</v>
      </c>
      <c r="AQ605" s="30"/>
      <c r="AR605" s="30"/>
      <c r="AS605" s="30"/>
      <c r="AT605" s="30"/>
      <c r="AU605" s="54">
        <v>188140488</v>
      </c>
      <c r="AV605" s="54"/>
      <c r="AW605" s="54"/>
      <c r="AX605" s="54"/>
      <c r="AY605" s="54">
        <v>103869229</v>
      </c>
      <c r="AZ605" s="54">
        <v>1959797</v>
      </c>
      <c r="BA605" s="54">
        <v>78391868</v>
      </c>
      <c r="BB605" s="55">
        <f>VLOOKUP(M605,[1]Sheet1!$E$6:$F$556,2,FALSE)</f>
        <v>68592886</v>
      </c>
      <c r="BC605" s="74"/>
      <c r="BD605" s="74"/>
      <c r="BE605" s="30"/>
      <c r="BF605" s="30" t="s">
        <v>1739</v>
      </c>
      <c r="BG605" s="30" t="s">
        <v>1885</v>
      </c>
      <c r="BH605" s="30" t="s">
        <v>136</v>
      </c>
      <c r="BI605" s="30" t="str">
        <f t="shared" si="403"/>
        <v>Test</v>
      </c>
      <c r="BJ605" s="47" t="s">
        <v>137</v>
      </c>
      <c r="BK605" s="56">
        <f t="shared" si="414"/>
        <v>82311461.400000006</v>
      </c>
      <c r="BL605" s="57">
        <f t="shared" si="385"/>
        <v>7846646.0804926017</v>
      </c>
      <c r="BM605" s="57">
        <f t="shared" si="386"/>
        <v>2615548.6934975339</v>
      </c>
      <c r="BU605" s="58">
        <f>BM605*3</f>
        <v>7846646.0804926017</v>
      </c>
      <c r="BV605" s="58">
        <f t="shared" si="417"/>
        <v>7846646.0804926017</v>
      </c>
      <c r="BW605" s="58">
        <f>SUM(BS605:BV605)</f>
        <v>15693292.160985203</v>
      </c>
      <c r="BX605" s="58">
        <f t="shared" si="393"/>
        <v>7846646.0804926017</v>
      </c>
      <c r="BY605" s="58">
        <f t="shared" si="396"/>
        <v>7846646.0804926017</v>
      </c>
      <c r="BZ605" s="58">
        <f>BM605*3</f>
        <v>7846646.0804926017</v>
      </c>
      <c r="CA605" s="58">
        <f t="shared" si="396"/>
        <v>7846646.0804926017</v>
      </c>
      <c r="CB605" s="58">
        <f t="shared" si="404"/>
        <v>31386584.321970407</v>
      </c>
      <c r="CC605" s="58">
        <f t="shared" si="405"/>
        <v>7846646.0804926017</v>
      </c>
      <c r="CD605" s="58">
        <f t="shared" si="412"/>
        <v>7846646.0804926017</v>
      </c>
      <c r="CE605" s="58">
        <f t="shared" si="412"/>
        <v>7846646.0804926017</v>
      </c>
      <c r="CF605" s="58">
        <f t="shared" si="412"/>
        <v>7846646.0804926017</v>
      </c>
      <c r="CG605" s="58">
        <f t="shared" si="406"/>
        <v>31386584.321970407</v>
      </c>
      <c r="CH605" s="58">
        <f t="shared" si="394"/>
        <v>7846646.0804926017</v>
      </c>
      <c r="CI605" s="58">
        <f t="shared" si="391"/>
        <v>7846646.0804926017</v>
      </c>
      <c r="CJ605" s="58">
        <f t="shared" si="391"/>
        <v>7846646.0804926017</v>
      </c>
      <c r="CK605" s="58">
        <f t="shared" si="391"/>
        <v>7846646.0804926017</v>
      </c>
      <c r="CL605" s="58">
        <f t="shared" si="395"/>
        <v>31386584.321970407</v>
      </c>
      <c r="CN605" s="59">
        <f t="shared" si="415"/>
        <v>8.0372006274172982E-3</v>
      </c>
      <c r="CO605" s="64">
        <f t="shared" si="416"/>
        <v>168781213.17576325</v>
      </c>
      <c r="CP605" s="2">
        <f t="shared" si="409"/>
        <v>251092674.57576326</v>
      </c>
    </row>
    <row r="606" spans="1:94" ht="16.5" hidden="1" x14ac:dyDescent="0.3">
      <c r="A606" s="2">
        <v>601</v>
      </c>
      <c r="B606" s="47" t="s">
        <v>21</v>
      </c>
      <c r="C606" s="47"/>
      <c r="D606" s="30" t="s">
        <v>1725</v>
      </c>
      <c r="E606" s="30" t="s">
        <v>1042</v>
      </c>
      <c r="F606" s="30" t="s">
        <v>1043</v>
      </c>
      <c r="G606" s="30" t="s">
        <v>117</v>
      </c>
      <c r="H606" s="30"/>
      <c r="I606" s="30" t="s">
        <v>119</v>
      </c>
      <c r="J606" s="30" t="s">
        <v>1871</v>
      </c>
      <c r="K606" s="30" t="s">
        <v>1872</v>
      </c>
      <c r="L606" s="30" t="s">
        <v>1728</v>
      </c>
      <c r="M606" s="30">
        <v>1000329</v>
      </c>
      <c r="N606" s="30" t="s">
        <v>138</v>
      </c>
      <c r="O606" s="30" t="s">
        <v>1889</v>
      </c>
      <c r="P606" s="30" t="s">
        <v>1890</v>
      </c>
      <c r="Q606" s="30" t="s">
        <v>1890</v>
      </c>
      <c r="R606" s="30" t="s">
        <v>1891</v>
      </c>
      <c r="S606" s="30" t="s">
        <v>1892</v>
      </c>
      <c r="T606" s="30"/>
      <c r="U606" s="30" t="s">
        <v>588</v>
      </c>
      <c r="V606" s="30" t="s">
        <v>600</v>
      </c>
      <c r="W606" s="30" t="s">
        <v>1893</v>
      </c>
      <c r="X606" s="89" t="s">
        <v>1764</v>
      </c>
      <c r="Y606" s="30" t="s">
        <v>576</v>
      </c>
      <c r="Z606" s="30" t="s">
        <v>576</v>
      </c>
      <c r="AA606" s="30" t="s">
        <v>129</v>
      </c>
      <c r="AB606" s="92" t="s">
        <v>1894</v>
      </c>
      <c r="AC606" s="30"/>
      <c r="AD606" s="30"/>
      <c r="AE606" s="30"/>
      <c r="AF606" s="30" t="s">
        <v>131</v>
      </c>
      <c r="AG606" s="30" t="s">
        <v>661</v>
      </c>
      <c r="AH606" s="30"/>
      <c r="AI606" s="30"/>
      <c r="AJ606" s="30"/>
      <c r="AK606" s="50">
        <v>38520</v>
      </c>
      <c r="AL606" s="51">
        <f t="shared" si="413"/>
        <v>20.386301369863013</v>
      </c>
      <c r="AM606" s="30">
        <v>8</v>
      </c>
      <c r="AN606" s="30"/>
      <c r="AO606" s="30" t="s">
        <v>1050</v>
      </c>
      <c r="AP606" s="30" t="s">
        <v>1051</v>
      </c>
      <c r="AQ606" s="30"/>
      <c r="AR606" s="30">
        <v>1875</v>
      </c>
      <c r="AS606" s="30">
        <v>750</v>
      </c>
      <c r="AT606" s="30">
        <v>1760</v>
      </c>
      <c r="AU606" s="54">
        <v>229867000</v>
      </c>
      <c r="AV606" s="54"/>
      <c r="AW606" s="54"/>
      <c r="AX606" s="54"/>
      <c r="AY606" s="54">
        <v>229866000</v>
      </c>
      <c r="AZ606" s="54">
        <v>1434676</v>
      </c>
      <c r="BA606" s="54">
        <v>1000</v>
      </c>
      <c r="BB606" s="55">
        <f>VLOOKUP(M606,[1]Sheet1!$E$6:$F$556,2,FALSE)</f>
        <v>1000</v>
      </c>
      <c r="BC606" s="74"/>
      <c r="BD606" s="74"/>
      <c r="BE606" s="30"/>
      <c r="BF606" s="30" t="s">
        <v>1745</v>
      </c>
      <c r="BG606" s="30" t="s">
        <v>1740</v>
      </c>
      <c r="BH606" s="30" t="s">
        <v>1054</v>
      </c>
      <c r="BI606" s="30" t="str">
        <f t="shared" si="403"/>
        <v>COF(Assy_FT)</v>
      </c>
      <c r="BJ606" s="47" t="s">
        <v>137</v>
      </c>
      <c r="BK606" s="56">
        <f t="shared" si="414"/>
        <v>4597340</v>
      </c>
      <c r="BL606" s="57">
        <f t="shared" si="385"/>
        <v>438258.52776915778</v>
      </c>
      <c r="BM606" s="57">
        <f t="shared" si="386"/>
        <v>146086.17592305259</v>
      </c>
      <c r="BP606" s="69">
        <f t="shared" si="387"/>
        <v>438258.52776915778</v>
      </c>
      <c r="BQ606" s="69">
        <f t="shared" si="388"/>
        <v>438258.52776915778</v>
      </c>
      <c r="BR606" s="69">
        <f t="shared" si="392"/>
        <v>876517.05553831556</v>
      </c>
      <c r="BS606" s="69">
        <f t="shared" si="389"/>
        <v>438258.52776915778</v>
      </c>
      <c r="BT606" s="69">
        <f>BS606</f>
        <v>438258.52776915778</v>
      </c>
      <c r="BU606" s="100">
        <f>BT606</f>
        <v>438258.52776915778</v>
      </c>
      <c r="BV606" s="100">
        <f t="shared" si="417"/>
        <v>438258.52776915778</v>
      </c>
      <c r="BW606" s="100">
        <f t="shared" si="410"/>
        <v>1753034.1110766311</v>
      </c>
      <c r="BX606" s="101">
        <f t="shared" si="393"/>
        <v>438258.52776915778</v>
      </c>
      <c r="BY606" s="101">
        <f t="shared" si="396"/>
        <v>438258.52776915778</v>
      </c>
      <c r="BZ606" s="58">
        <f t="shared" si="396"/>
        <v>438258.52776915778</v>
      </c>
      <c r="CA606" s="58">
        <f t="shared" si="396"/>
        <v>438258.52776915778</v>
      </c>
      <c r="CB606" s="76">
        <f t="shared" si="404"/>
        <v>1753034.1110766311</v>
      </c>
      <c r="CC606" s="58">
        <f t="shared" si="405"/>
        <v>438258.52776915778</v>
      </c>
      <c r="CD606" s="58">
        <f t="shared" si="412"/>
        <v>438258.52776915778</v>
      </c>
      <c r="CE606" s="58">
        <f t="shared" si="412"/>
        <v>438258.52776915778</v>
      </c>
      <c r="CF606" s="58">
        <f t="shared" si="412"/>
        <v>438258.52776915778</v>
      </c>
      <c r="CG606" s="76">
        <f t="shared" si="406"/>
        <v>1753034.1110766311</v>
      </c>
      <c r="CH606" s="58">
        <f t="shared" si="394"/>
        <v>438258.52776915778</v>
      </c>
      <c r="CI606" s="58">
        <f t="shared" si="391"/>
        <v>438258.52776915778</v>
      </c>
      <c r="CJ606" s="58">
        <f t="shared" si="391"/>
        <v>438258.52776915778</v>
      </c>
      <c r="CK606" s="58">
        <f t="shared" si="391"/>
        <v>438258.52776915778</v>
      </c>
      <c r="CL606" s="76">
        <f t="shared" si="395"/>
        <v>1753034.1110766311</v>
      </c>
      <c r="CM606" s="71"/>
      <c r="CN606" s="59">
        <f t="shared" si="415"/>
        <v>4.4890156612443089E-4</v>
      </c>
      <c r="CO606" s="64">
        <f t="shared" si="416"/>
        <v>9426932.8886130489</v>
      </c>
      <c r="CP606" s="2">
        <f t="shared" si="409"/>
        <v>14024272.888613049</v>
      </c>
    </row>
    <row r="607" spans="1:94" ht="16.5" hidden="1" x14ac:dyDescent="0.3">
      <c r="A607" s="2">
        <v>602</v>
      </c>
      <c r="B607" s="47" t="s">
        <v>21</v>
      </c>
      <c r="C607" s="47"/>
      <c r="D607" s="30" t="s">
        <v>1725</v>
      </c>
      <c r="E607" s="30" t="s">
        <v>1042</v>
      </c>
      <c r="F607" s="30" t="s">
        <v>1043</v>
      </c>
      <c r="G607" s="30" t="s">
        <v>117</v>
      </c>
      <c r="H607" s="30"/>
      <c r="I607" s="30" t="s">
        <v>119</v>
      </c>
      <c r="J607" s="30" t="s">
        <v>1871</v>
      </c>
      <c r="K607" s="30" t="s">
        <v>1872</v>
      </c>
      <c r="L607" s="30" t="s">
        <v>1728</v>
      </c>
      <c r="M607" s="30">
        <v>1000184</v>
      </c>
      <c r="N607" s="30" t="s">
        <v>138</v>
      </c>
      <c r="O607" s="30" t="s">
        <v>1895</v>
      </c>
      <c r="P607" s="30" t="s">
        <v>1890</v>
      </c>
      <c r="Q607" s="30" t="s">
        <v>1890</v>
      </c>
      <c r="R607" s="30" t="s">
        <v>1891</v>
      </c>
      <c r="S607" s="30" t="s">
        <v>1896</v>
      </c>
      <c r="T607" s="30"/>
      <c r="U607" s="30" t="s">
        <v>588</v>
      </c>
      <c r="V607" s="30" t="s">
        <v>589</v>
      </c>
      <c r="W607" s="30" t="s">
        <v>1893</v>
      </c>
      <c r="X607" s="89" t="s">
        <v>1764</v>
      </c>
      <c r="Y607" s="30" t="s">
        <v>576</v>
      </c>
      <c r="Z607" s="30" t="s">
        <v>576</v>
      </c>
      <c r="AA607" s="30" t="s">
        <v>129</v>
      </c>
      <c r="AB607" s="92" t="s">
        <v>1894</v>
      </c>
      <c r="AC607" s="30"/>
      <c r="AD607" s="30"/>
      <c r="AE607" s="30"/>
      <c r="AF607" s="30" t="s">
        <v>131</v>
      </c>
      <c r="AG607" s="30" t="s">
        <v>661</v>
      </c>
      <c r="AH607" s="30"/>
      <c r="AI607" s="30"/>
      <c r="AJ607" s="30"/>
      <c r="AK607" s="50">
        <v>38351</v>
      </c>
      <c r="AL607" s="51">
        <f t="shared" si="413"/>
        <v>20.849315068493151</v>
      </c>
      <c r="AM607" s="30">
        <v>8</v>
      </c>
      <c r="AN607" s="30"/>
      <c r="AO607" s="30" t="s">
        <v>1050</v>
      </c>
      <c r="AP607" s="30" t="s">
        <v>1051</v>
      </c>
      <c r="AQ607" s="30"/>
      <c r="AR607" s="30">
        <v>1875</v>
      </c>
      <c r="AS607" s="30">
        <v>750</v>
      </c>
      <c r="AT607" s="30">
        <v>1760</v>
      </c>
      <c r="AU607" s="54">
        <v>242565788</v>
      </c>
      <c r="AV607" s="54"/>
      <c r="AW607" s="54"/>
      <c r="AX607" s="54"/>
      <c r="AY607" s="54">
        <v>242564788</v>
      </c>
      <c r="AZ607" s="54">
        <v>2241776</v>
      </c>
      <c r="BA607" s="54">
        <v>1000</v>
      </c>
      <c r="BB607" s="55">
        <f>VLOOKUP(M607,[1]Sheet1!$E$6:$F$556,2,FALSE)</f>
        <v>1000</v>
      </c>
      <c r="BC607" s="74"/>
      <c r="BD607" s="74"/>
      <c r="BE607" s="30"/>
      <c r="BF607" s="30" t="s">
        <v>1745</v>
      </c>
      <c r="BG607" s="30" t="s">
        <v>1740</v>
      </c>
      <c r="BH607" s="30" t="s">
        <v>1054</v>
      </c>
      <c r="BI607" s="30" t="str">
        <f t="shared" si="403"/>
        <v>COF(Assy_FT)</v>
      </c>
      <c r="BJ607" s="47" t="s">
        <v>137</v>
      </c>
      <c r="BK607" s="56">
        <f t="shared" si="414"/>
        <v>4851315.76</v>
      </c>
      <c r="BL607" s="57">
        <f t="shared" si="385"/>
        <v>462469.71133762406</v>
      </c>
      <c r="BM607" s="57">
        <f t="shared" si="386"/>
        <v>154156.57044587468</v>
      </c>
      <c r="BP607" s="69">
        <f t="shared" si="387"/>
        <v>462469.711337624</v>
      </c>
      <c r="BQ607" s="69">
        <f t="shared" si="388"/>
        <v>462469.711337624</v>
      </c>
      <c r="BR607" s="69">
        <f t="shared" si="392"/>
        <v>924939.422675248</v>
      </c>
      <c r="BS607" s="69">
        <f t="shared" si="389"/>
        <v>462469.711337624</v>
      </c>
      <c r="BT607" s="69">
        <f>BS607</f>
        <v>462469.711337624</v>
      </c>
      <c r="BU607" s="100">
        <f>BT607</f>
        <v>462469.711337624</v>
      </c>
      <c r="BV607" s="100">
        <f t="shared" si="417"/>
        <v>462469.711337624</v>
      </c>
      <c r="BW607" s="100">
        <f t="shared" si="410"/>
        <v>1849878.845350496</v>
      </c>
      <c r="BX607" s="101">
        <f t="shared" si="393"/>
        <v>462469.711337624</v>
      </c>
      <c r="BY607" s="101">
        <f t="shared" si="396"/>
        <v>462469.711337624</v>
      </c>
      <c r="BZ607" s="58">
        <f t="shared" si="396"/>
        <v>462469.711337624</v>
      </c>
      <c r="CA607" s="58">
        <f t="shared" si="396"/>
        <v>462469.711337624</v>
      </c>
      <c r="CB607" s="76">
        <f t="shared" si="404"/>
        <v>1849878.845350496</v>
      </c>
      <c r="CC607" s="58">
        <f t="shared" si="405"/>
        <v>462469.711337624</v>
      </c>
      <c r="CD607" s="58">
        <f t="shared" si="412"/>
        <v>462469.711337624</v>
      </c>
      <c r="CE607" s="58">
        <f t="shared" si="412"/>
        <v>462469.711337624</v>
      </c>
      <c r="CF607" s="58">
        <f t="shared" si="412"/>
        <v>462469.711337624</v>
      </c>
      <c r="CG607" s="76">
        <f t="shared" si="406"/>
        <v>1849878.845350496</v>
      </c>
      <c r="CH607" s="58">
        <f t="shared" si="394"/>
        <v>462469.711337624</v>
      </c>
      <c r="CI607" s="58">
        <f t="shared" si="391"/>
        <v>462469.711337624</v>
      </c>
      <c r="CJ607" s="58">
        <f t="shared" si="391"/>
        <v>462469.711337624</v>
      </c>
      <c r="CK607" s="58">
        <f t="shared" si="391"/>
        <v>462469.711337624</v>
      </c>
      <c r="CL607" s="76">
        <f t="shared" si="395"/>
        <v>1849878.845350496</v>
      </c>
      <c r="CM607" s="71"/>
      <c r="CN607" s="59">
        <f t="shared" si="415"/>
        <v>4.7370071441923668E-4</v>
      </c>
      <c r="CO607" s="64">
        <f t="shared" si="416"/>
        <v>9947715.0028039701</v>
      </c>
      <c r="CP607" s="2">
        <f t="shared" si="409"/>
        <v>14799030.76280397</v>
      </c>
    </row>
    <row r="608" spans="1:94" ht="16.5" hidden="1" x14ac:dyDescent="0.3">
      <c r="A608" s="2">
        <v>603</v>
      </c>
      <c r="B608" s="47" t="s">
        <v>21</v>
      </c>
      <c r="C608" s="47"/>
      <c r="D608" s="30" t="s">
        <v>1725</v>
      </c>
      <c r="E608" s="30" t="s">
        <v>1042</v>
      </c>
      <c r="F608" s="30" t="s">
        <v>1043</v>
      </c>
      <c r="G608" s="30" t="s">
        <v>117</v>
      </c>
      <c r="H608" s="30"/>
      <c r="I608" s="30" t="s">
        <v>119</v>
      </c>
      <c r="J608" s="30" t="s">
        <v>1871</v>
      </c>
      <c r="K608" s="30" t="s">
        <v>1872</v>
      </c>
      <c r="L608" s="30" t="s">
        <v>1728</v>
      </c>
      <c r="M608" s="30">
        <v>1000185</v>
      </c>
      <c r="N608" s="30" t="s">
        <v>138</v>
      </c>
      <c r="O608" s="30" t="s">
        <v>1897</v>
      </c>
      <c r="P608" s="30" t="s">
        <v>1890</v>
      </c>
      <c r="Q608" s="30" t="s">
        <v>1890</v>
      </c>
      <c r="R608" s="30" t="s">
        <v>1891</v>
      </c>
      <c r="S608" s="30" t="s">
        <v>1898</v>
      </c>
      <c r="T608" s="30"/>
      <c r="U608" s="30" t="s">
        <v>588</v>
      </c>
      <c r="V608" s="30" t="s">
        <v>437</v>
      </c>
      <c r="W608" s="30" t="s">
        <v>1893</v>
      </c>
      <c r="X608" s="89" t="s">
        <v>1757</v>
      </c>
      <c r="Y608" s="30" t="s">
        <v>576</v>
      </c>
      <c r="Z608" s="30" t="s">
        <v>576</v>
      </c>
      <c r="AA608" s="30" t="s">
        <v>129</v>
      </c>
      <c r="AB608" s="92" t="s">
        <v>1894</v>
      </c>
      <c r="AC608" s="30"/>
      <c r="AD608" s="30"/>
      <c r="AE608" s="30"/>
      <c r="AF608" s="30" t="s">
        <v>131</v>
      </c>
      <c r="AG608" s="30" t="s">
        <v>661</v>
      </c>
      <c r="AH608" s="30"/>
      <c r="AI608" s="30"/>
      <c r="AJ608" s="30"/>
      <c r="AK608" s="50">
        <v>38351</v>
      </c>
      <c r="AL608" s="51">
        <f t="shared" si="413"/>
        <v>20.849315068493151</v>
      </c>
      <c r="AM608" s="30">
        <v>8</v>
      </c>
      <c r="AN608" s="30"/>
      <c r="AO608" s="30" t="s">
        <v>1050</v>
      </c>
      <c r="AP608" s="30" t="s">
        <v>1051</v>
      </c>
      <c r="AQ608" s="30"/>
      <c r="AR608" s="30">
        <v>1875</v>
      </c>
      <c r="AS608" s="30">
        <v>750</v>
      </c>
      <c r="AT608" s="30">
        <v>1760</v>
      </c>
      <c r="AU608" s="54">
        <v>242565788</v>
      </c>
      <c r="AV608" s="54"/>
      <c r="AW608" s="54"/>
      <c r="AX608" s="54"/>
      <c r="AY608" s="54">
        <v>242564788</v>
      </c>
      <c r="AZ608" s="54">
        <v>2241776</v>
      </c>
      <c r="BA608" s="54">
        <v>1000</v>
      </c>
      <c r="BB608" s="55">
        <f>VLOOKUP(M608,[1]Sheet1!$E$6:$F$556,2,FALSE)</f>
        <v>1000</v>
      </c>
      <c r="BC608" s="74"/>
      <c r="BD608" s="74"/>
      <c r="BE608" s="30"/>
      <c r="BF608" s="30" t="s">
        <v>1745</v>
      </c>
      <c r="BG608" s="30" t="s">
        <v>1740</v>
      </c>
      <c r="BH608" s="30" t="s">
        <v>1054</v>
      </c>
      <c r="BI608" s="30" t="str">
        <f t="shared" si="403"/>
        <v>COF(Assy_FT)</v>
      </c>
      <c r="BJ608" s="47" t="s">
        <v>137</v>
      </c>
      <c r="BK608" s="56">
        <f t="shared" si="414"/>
        <v>4851315.76</v>
      </c>
      <c r="BL608" s="57">
        <f t="shared" si="385"/>
        <v>462469.71133762406</v>
      </c>
      <c r="BM608" s="57">
        <f t="shared" si="386"/>
        <v>154156.57044587468</v>
      </c>
      <c r="BU608" s="58">
        <f t="shared" ref="BU608:BU621" si="418">BM608*3</f>
        <v>462469.711337624</v>
      </c>
      <c r="BV608" s="58">
        <f t="shared" si="417"/>
        <v>462469.711337624</v>
      </c>
      <c r="BW608" s="58">
        <f t="shared" si="410"/>
        <v>924939.422675248</v>
      </c>
      <c r="BX608" s="58">
        <f t="shared" si="393"/>
        <v>462469.711337624</v>
      </c>
      <c r="BY608" s="58">
        <f t="shared" si="396"/>
        <v>462469.711337624</v>
      </c>
      <c r="BZ608" s="58">
        <f t="shared" ref="BZ608:BZ621" si="419">BM608*3</f>
        <v>462469.711337624</v>
      </c>
      <c r="CA608" s="58">
        <f t="shared" si="396"/>
        <v>462469.711337624</v>
      </c>
      <c r="CB608" s="58">
        <f t="shared" si="404"/>
        <v>1849878.845350496</v>
      </c>
      <c r="CC608" s="58">
        <f t="shared" si="405"/>
        <v>462469.711337624</v>
      </c>
      <c r="CD608" s="58">
        <f t="shared" si="412"/>
        <v>462469.711337624</v>
      </c>
      <c r="CE608" s="58">
        <f t="shared" si="412"/>
        <v>462469.711337624</v>
      </c>
      <c r="CF608" s="58">
        <f t="shared" si="412"/>
        <v>462469.711337624</v>
      </c>
      <c r="CG608" s="58">
        <f t="shared" si="406"/>
        <v>1849878.845350496</v>
      </c>
      <c r="CH608" s="58">
        <f t="shared" si="394"/>
        <v>462469.711337624</v>
      </c>
      <c r="CI608" s="58">
        <f t="shared" si="391"/>
        <v>462469.711337624</v>
      </c>
      <c r="CJ608" s="58">
        <f t="shared" si="391"/>
        <v>462469.711337624</v>
      </c>
      <c r="CK608" s="58">
        <f t="shared" si="391"/>
        <v>462469.711337624</v>
      </c>
      <c r="CL608" s="58">
        <f t="shared" si="395"/>
        <v>1849878.845350496</v>
      </c>
      <c r="CN608" s="59">
        <f t="shared" si="415"/>
        <v>4.7370071441923668E-4</v>
      </c>
      <c r="CO608" s="64">
        <f t="shared" si="416"/>
        <v>9947715.0028039701</v>
      </c>
      <c r="CP608" s="2">
        <f t="shared" si="409"/>
        <v>14799030.76280397</v>
      </c>
    </row>
    <row r="609" spans="1:94" ht="16.5" hidden="1" x14ac:dyDescent="0.3">
      <c r="A609" s="2">
        <v>604</v>
      </c>
      <c r="B609" s="47" t="s">
        <v>21</v>
      </c>
      <c r="C609" s="47"/>
      <c r="D609" s="30" t="s">
        <v>1725</v>
      </c>
      <c r="E609" s="30" t="s">
        <v>1042</v>
      </c>
      <c r="F609" s="30" t="s">
        <v>1043</v>
      </c>
      <c r="G609" s="30" t="s">
        <v>117</v>
      </c>
      <c r="H609" s="30"/>
      <c r="I609" s="30" t="s">
        <v>119</v>
      </c>
      <c r="J609" s="30" t="s">
        <v>1871</v>
      </c>
      <c r="K609" s="30" t="s">
        <v>1872</v>
      </c>
      <c r="L609" s="30" t="s">
        <v>1728</v>
      </c>
      <c r="M609" s="30">
        <v>1000785</v>
      </c>
      <c r="N609" s="30" t="s">
        <v>138</v>
      </c>
      <c r="O609" s="30" t="s">
        <v>1899</v>
      </c>
      <c r="P609" s="30" t="s">
        <v>1890</v>
      </c>
      <c r="Q609" s="30" t="s">
        <v>1890</v>
      </c>
      <c r="R609" s="30" t="s">
        <v>1891</v>
      </c>
      <c r="S609" s="30" t="s">
        <v>1900</v>
      </c>
      <c r="T609" s="30"/>
      <c r="U609" s="30" t="s">
        <v>588</v>
      </c>
      <c r="V609" s="30" t="s">
        <v>600</v>
      </c>
      <c r="W609" s="30" t="s">
        <v>1893</v>
      </c>
      <c r="X609" s="89" t="s">
        <v>1757</v>
      </c>
      <c r="Y609" s="30" t="s">
        <v>576</v>
      </c>
      <c r="Z609" s="30" t="s">
        <v>576</v>
      </c>
      <c r="AA609" s="30" t="s">
        <v>129</v>
      </c>
      <c r="AB609" s="92" t="s">
        <v>1894</v>
      </c>
      <c r="AC609" s="30"/>
      <c r="AD609" s="30"/>
      <c r="AE609" s="30"/>
      <c r="AF609" s="30" t="s">
        <v>131</v>
      </c>
      <c r="AG609" s="30" t="s">
        <v>661</v>
      </c>
      <c r="AH609" s="30"/>
      <c r="AI609" s="30"/>
      <c r="AJ609" s="30"/>
      <c r="AK609" s="50">
        <v>38985</v>
      </c>
      <c r="AL609" s="51">
        <f t="shared" si="413"/>
        <v>19.112328767123287</v>
      </c>
      <c r="AM609" s="30">
        <v>8</v>
      </c>
      <c r="AN609" s="30"/>
      <c r="AO609" s="30" t="s">
        <v>1050</v>
      </c>
      <c r="AP609" s="30" t="s">
        <v>1051</v>
      </c>
      <c r="AQ609" s="30"/>
      <c r="AR609" s="30">
        <v>1875</v>
      </c>
      <c r="AS609" s="30">
        <v>750</v>
      </c>
      <c r="AT609" s="30">
        <v>1760</v>
      </c>
      <c r="AU609" s="54">
        <v>240440334</v>
      </c>
      <c r="AV609" s="54"/>
      <c r="AW609" s="54"/>
      <c r="AX609" s="54"/>
      <c r="AY609" s="54">
        <v>240439334</v>
      </c>
      <c r="AZ609" s="54">
        <v>2869</v>
      </c>
      <c r="BA609" s="54">
        <v>1000</v>
      </c>
      <c r="BB609" s="55">
        <f>VLOOKUP(M609,[1]Sheet1!$E$6:$F$556,2,FALSE)</f>
        <v>1000</v>
      </c>
      <c r="BC609" s="74"/>
      <c r="BD609" s="74"/>
      <c r="BE609" s="30"/>
      <c r="BF609" s="30" t="s">
        <v>1745</v>
      </c>
      <c r="BG609" s="30" t="s">
        <v>1740</v>
      </c>
      <c r="BH609" s="30" t="s">
        <v>1054</v>
      </c>
      <c r="BI609" s="30" t="str">
        <f t="shared" si="403"/>
        <v>COF(Assy_FT)</v>
      </c>
      <c r="BJ609" s="47" t="s">
        <v>137</v>
      </c>
      <c r="BK609" s="56">
        <f t="shared" si="414"/>
        <v>4808806.68</v>
      </c>
      <c r="BL609" s="57">
        <f t="shared" si="385"/>
        <v>458417.37524379126</v>
      </c>
      <c r="BM609" s="57">
        <f t="shared" si="386"/>
        <v>152805.79174793043</v>
      </c>
      <c r="BU609" s="58">
        <f t="shared" si="418"/>
        <v>458417.37524379126</v>
      </c>
      <c r="BV609" s="58">
        <f t="shared" si="417"/>
        <v>458417.37524379126</v>
      </c>
      <c r="BW609" s="58">
        <f t="shared" si="410"/>
        <v>916834.75048758253</v>
      </c>
      <c r="BX609" s="58">
        <f t="shared" si="393"/>
        <v>458417.37524379126</v>
      </c>
      <c r="BY609" s="58">
        <f t="shared" si="396"/>
        <v>458417.37524379126</v>
      </c>
      <c r="BZ609" s="58">
        <f t="shared" si="419"/>
        <v>458417.37524379126</v>
      </c>
      <c r="CA609" s="58">
        <f t="shared" si="396"/>
        <v>458417.37524379126</v>
      </c>
      <c r="CB609" s="58">
        <f t="shared" si="404"/>
        <v>1833669.5009751651</v>
      </c>
      <c r="CC609" s="58">
        <f t="shared" si="405"/>
        <v>458417.37524379126</v>
      </c>
      <c r="CD609" s="58">
        <f t="shared" ref="CD609:CF624" si="420">CC609</f>
        <v>458417.37524379126</v>
      </c>
      <c r="CE609" s="58">
        <f t="shared" si="420"/>
        <v>458417.37524379126</v>
      </c>
      <c r="CF609" s="58">
        <f t="shared" si="420"/>
        <v>458417.37524379126</v>
      </c>
      <c r="CG609" s="58">
        <f t="shared" si="406"/>
        <v>1833669.5009751651</v>
      </c>
      <c r="CH609" s="58">
        <f t="shared" si="394"/>
        <v>458417.37524379126</v>
      </c>
      <c r="CI609" s="58">
        <f t="shared" si="391"/>
        <v>458417.37524379126</v>
      </c>
      <c r="CJ609" s="58">
        <f t="shared" si="391"/>
        <v>458417.37524379126</v>
      </c>
      <c r="CK609" s="58">
        <f t="shared" si="391"/>
        <v>458417.37524379126</v>
      </c>
      <c r="CL609" s="58">
        <f t="shared" si="395"/>
        <v>1833669.5009751651</v>
      </c>
      <c r="CN609" s="59">
        <f t="shared" si="415"/>
        <v>4.6954996799053906E-4</v>
      </c>
      <c r="CO609" s="64">
        <f t="shared" si="416"/>
        <v>9860549.3278013207</v>
      </c>
      <c r="CP609" s="2">
        <f t="shared" si="409"/>
        <v>14669356.00780132</v>
      </c>
    </row>
    <row r="610" spans="1:94" ht="16.5" hidden="1" x14ac:dyDescent="0.3">
      <c r="A610" s="2">
        <v>605</v>
      </c>
      <c r="B610" s="47" t="s">
        <v>21</v>
      </c>
      <c r="C610" s="47"/>
      <c r="D610" s="30" t="s">
        <v>1725</v>
      </c>
      <c r="E610" s="30" t="s">
        <v>1042</v>
      </c>
      <c r="F610" s="30" t="s">
        <v>1043</v>
      </c>
      <c r="G610" s="30" t="s">
        <v>117</v>
      </c>
      <c r="H610" s="30"/>
      <c r="I610" s="30" t="s">
        <v>119</v>
      </c>
      <c r="J610" s="30" t="s">
        <v>1871</v>
      </c>
      <c r="K610" s="30" t="s">
        <v>1872</v>
      </c>
      <c r="L610" s="30" t="s">
        <v>1728</v>
      </c>
      <c r="M610" s="30">
        <v>1000182</v>
      </c>
      <c r="N610" s="30" t="s">
        <v>138</v>
      </c>
      <c r="O610" s="30" t="s">
        <v>1901</v>
      </c>
      <c r="P610" s="30" t="s">
        <v>1890</v>
      </c>
      <c r="Q610" s="30" t="s">
        <v>1890</v>
      </c>
      <c r="R610" s="30" t="s">
        <v>1891</v>
      </c>
      <c r="S610" s="30" t="s">
        <v>1902</v>
      </c>
      <c r="T610" s="30"/>
      <c r="U610" s="30" t="s">
        <v>588</v>
      </c>
      <c r="V610" s="30" t="s">
        <v>589</v>
      </c>
      <c r="W610" s="30" t="s">
        <v>1893</v>
      </c>
      <c r="X610" s="89" t="s">
        <v>1757</v>
      </c>
      <c r="Y610" s="30" t="s">
        <v>576</v>
      </c>
      <c r="Z610" s="30" t="s">
        <v>576</v>
      </c>
      <c r="AA610" s="30" t="s">
        <v>129</v>
      </c>
      <c r="AB610" s="92" t="s">
        <v>1894</v>
      </c>
      <c r="AC610" s="30"/>
      <c r="AD610" s="30"/>
      <c r="AE610" s="30"/>
      <c r="AF610" s="30" t="s">
        <v>131</v>
      </c>
      <c r="AG610" s="30" t="s">
        <v>661</v>
      </c>
      <c r="AH610" s="30"/>
      <c r="AI610" s="30"/>
      <c r="AJ610" s="30"/>
      <c r="AK610" s="50">
        <v>38351</v>
      </c>
      <c r="AL610" s="51">
        <f t="shared" si="413"/>
        <v>20.849315068493151</v>
      </c>
      <c r="AM610" s="30">
        <v>8</v>
      </c>
      <c r="AN610" s="30"/>
      <c r="AO610" s="30" t="s">
        <v>1050</v>
      </c>
      <c r="AP610" s="30" t="s">
        <v>1051</v>
      </c>
      <c r="AQ610" s="30"/>
      <c r="AR610" s="30">
        <v>1875</v>
      </c>
      <c r="AS610" s="30">
        <v>750</v>
      </c>
      <c r="AT610" s="30">
        <v>1760</v>
      </c>
      <c r="AU610" s="54">
        <v>328562455</v>
      </c>
      <c r="AV610" s="54"/>
      <c r="AW610" s="54"/>
      <c r="AX610" s="54"/>
      <c r="AY610" s="54">
        <v>269941663</v>
      </c>
      <c r="AZ610" s="54">
        <v>3422526</v>
      </c>
      <c r="BA610" s="54">
        <v>48353214</v>
      </c>
      <c r="BB610" s="55">
        <f>VLOOKUP(M610,[1]Sheet1!$E$6:$F$556,2,FALSE)</f>
        <v>1000</v>
      </c>
      <c r="BC610" s="74"/>
      <c r="BD610" s="74"/>
      <c r="BE610" s="30"/>
      <c r="BF610" s="30" t="s">
        <v>1739</v>
      </c>
      <c r="BG610" s="30" t="s">
        <v>1740</v>
      </c>
      <c r="BH610" s="30" t="s">
        <v>1054</v>
      </c>
      <c r="BI610" s="30" t="str">
        <f t="shared" si="403"/>
        <v>COF(Assy_FT)</v>
      </c>
      <c r="BJ610" s="47" t="s">
        <v>137</v>
      </c>
      <c r="BK610" s="56">
        <f t="shared" si="414"/>
        <v>50770874.700000003</v>
      </c>
      <c r="BL610" s="57">
        <f t="shared" si="385"/>
        <v>4839922.3898111479</v>
      </c>
      <c r="BM610" s="57">
        <f t="shared" si="386"/>
        <v>1613307.4632703827</v>
      </c>
      <c r="BU610" s="58">
        <f t="shared" si="418"/>
        <v>4839922.3898111479</v>
      </c>
      <c r="BV610" s="58">
        <f t="shared" si="417"/>
        <v>4839922.3898111479</v>
      </c>
      <c r="BW610" s="58">
        <f t="shared" si="410"/>
        <v>9679844.7796222959</v>
      </c>
      <c r="BX610" s="58">
        <f t="shared" si="393"/>
        <v>4839922.3898111479</v>
      </c>
      <c r="BY610" s="58">
        <f t="shared" si="396"/>
        <v>4839922.3898111479</v>
      </c>
      <c r="BZ610" s="58">
        <f t="shared" si="419"/>
        <v>4839922.3898111479</v>
      </c>
      <c r="CA610" s="58">
        <f t="shared" si="396"/>
        <v>4839922.3898111479</v>
      </c>
      <c r="CB610" s="58">
        <f t="shared" si="404"/>
        <v>19359689.559244592</v>
      </c>
      <c r="CC610" s="58">
        <f t="shared" si="405"/>
        <v>4839922.3898111479</v>
      </c>
      <c r="CD610" s="58">
        <f t="shared" si="420"/>
        <v>4839922.3898111479</v>
      </c>
      <c r="CE610" s="58">
        <f t="shared" si="420"/>
        <v>4839922.3898111479</v>
      </c>
      <c r="CF610" s="58">
        <f t="shared" si="420"/>
        <v>4839922.3898111479</v>
      </c>
      <c r="CG610" s="58">
        <f t="shared" si="406"/>
        <v>19359689.559244592</v>
      </c>
      <c r="CH610" s="58">
        <f t="shared" si="394"/>
        <v>4839922.3898111479</v>
      </c>
      <c r="CI610" s="58">
        <f t="shared" si="391"/>
        <v>4839922.3898111479</v>
      </c>
      <c r="CJ610" s="58">
        <f t="shared" si="391"/>
        <v>4839922.3898111479</v>
      </c>
      <c r="CK610" s="58">
        <f t="shared" si="391"/>
        <v>4839922.3898111479</v>
      </c>
      <c r="CL610" s="58">
        <f t="shared" si="395"/>
        <v>19359689.559244592</v>
      </c>
      <c r="CN610" s="59">
        <f t="shared" si="415"/>
        <v>4.9574591320931775E-3</v>
      </c>
      <c r="CO610" s="64">
        <f t="shared" si="416"/>
        <v>104106641.77395673</v>
      </c>
      <c r="CP610" s="2">
        <f t="shared" si="409"/>
        <v>154877516.47395673</v>
      </c>
    </row>
    <row r="611" spans="1:94" ht="16.5" hidden="1" x14ac:dyDescent="0.3">
      <c r="A611" s="2">
        <v>606</v>
      </c>
      <c r="B611" s="47" t="s">
        <v>21</v>
      </c>
      <c r="C611" s="47"/>
      <c r="D611" s="30" t="s">
        <v>1725</v>
      </c>
      <c r="E611" s="30" t="s">
        <v>1042</v>
      </c>
      <c r="F611" s="30" t="s">
        <v>1043</v>
      </c>
      <c r="G611" s="30" t="s">
        <v>117</v>
      </c>
      <c r="H611" s="30"/>
      <c r="I611" s="30" t="s">
        <v>119</v>
      </c>
      <c r="J611" s="30" t="s">
        <v>1871</v>
      </c>
      <c r="K611" s="30" t="s">
        <v>1872</v>
      </c>
      <c r="L611" s="30" t="s">
        <v>1728</v>
      </c>
      <c r="M611" s="30">
        <v>1000328</v>
      </c>
      <c r="N611" s="30" t="s">
        <v>138</v>
      </c>
      <c r="O611" s="30" t="s">
        <v>1903</v>
      </c>
      <c r="P611" s="30" t="s">
        <v>1890</v>
      </c>
      <c r="Q611" s="30" t="s">
        <v>1890</v>
      </c>
      <c r="R611" s="30" t="s">
        <v>1891</v>
      </c>
      <c r="S611" s="30" t="s">
        <v>1904</v>
      </c>
      <c r="T611" s="30"/>
      <c r="U611" s="30" t="s">
        <v>588</v>
      </c>
      <c r="V611" s="30" t="s">
        <v>589</v>
      </c>
      <c r="W611" s="30" t="s">
        <v>1893</v>
      </c>
      <c r="X611" s="89" t="s">
        <v>1757</v>
      </c>
      <c r="Y611" s="30" t="s">
        <v>576</v>
      </c>
      <c r="Z611" s="30" t="s">
        <v>576</v>
      </c>
      <c r="AA611" s="30" t="s">
        <v>129</v>
      </c>
      <c r="AB611" s="92" t="s">
        <v>1894</v>
      </c>
      <c r="AC611" s="30"/>
      <c r="AD611" s="30"/>
      <c r="AE611" s="30"/>
      <c r="AF611" s="30" t="s">
        <v>131</v>
      </c>
      <c r="AG611" s="30" t="s">
        <v>661</v>
      </c>
      <c r="AH611" s="30"/>
      <c r="AI611" s="30"/>
      <c r="AJ611" s="30"/>
      <c r="AK611" s="50">
        <v>38520</v>
      </c>
      <c r="AL611" s="51">
        <f t="shared" si="413"/>
        <v>20.386301369863013</v>
      </c>
      <c r="AM611" s="30">
        <v>8</v>
      </c>
      <c r="AN611" s="30"/>
      <c r="AO611" s="30" t="s">
        <v>1050</v>
      </c>
      <c r="AP611" s="30" t="s">
        <v>1051</v>
      </c>
      <c r="AQ611" s="30"/>
      <c r="AR611" s="30">
        <v>1875</v>
      </c>
      <c r="AS611" s="30">
        <v>750</v>
      </c>
      <c r="AT611" s="30">
        <v>1760</v>
      </c>
      <c r="AU611" s="54">
        <v>241837000</v>
      </c>
      <c r="AV611" s="54"/>
      <c r="AW611" s="54"/>
      <c r="AX611" s="54"/>
      <c r="AY611" s="54">
        <v>241836000</v>
      </c>
      <c r="AZ611" s="54">
        <v>2332880</v>
      </c>
      <c r="BA611" s="54">
        <v>1000</v>
      </c>
      <c r="BB611" s="55">
        <f>VLOOKUP(M611,[1]Sheet1!$E$6:$F$556,2,FALSE)</f>
        <v>1000</v>
      </c>
      <c r="BC611" s="74"/>
      <c r="BD611" s="74"/>
      <c r="BE611" s="30"/>
      <c r="BF611" s="30" t="s">
        <v>1745</v>
      </c>
      <c r="BG611" s="30" t="s">
        <v>1740</v>
      </c>
      <c r="BH611" s="30" t="s">
        <v>1054</v>
      </c>
      <c r="BI611" s="30" t="str">
        <f t="shared" si="403"/>
        <v>COF(Assy_FT)</v>
      </c>
      <c r="BJ611" s="47" t="s">
        <v>137</v>
      </c>
      <c r="BK611" s="56">
        <f t="shared" si="414"/>
        <v>4836740</v>
      </c>
      <c r="BL611" s="57">
        <f t="shared" si="385"/>
        <v>461080.22282498056</v>
      </c>
      <c r="BM611" s="57">
        <f t="shared" si="386"/>
        <v>153693.40760832684</v>
      </c>
      <c r="BU611" s="58">
        <f t="shared" si="418"/>
        <v>461080.2228249805</v>
      </c>
      <c r="BV611" s="58">
        <f t="shared" si="417"/>
        <v>461080.2228249805</v>
      </c>
      <c r="BW611" s="58">
        <f t="shared" si="410"/>
        <v>922160.44564996101</v>
      </c>
      <c r="BX611" s="58">
        <f t="shared" si="393"/>
        <v>461080.2228249805</v>
      </c>
      <c r="BY611" s="58">
        <f t="shared" si="396"/>
        <v>461080.2228249805</v>
      </c>
      <c r="BZ611" s="58">
        <f t="shared" si="419"/>
        <v>461080.2228249805</v>
      </c>
      <c r="CA611" s="58">
        <f t="shared" si="396"/>
        <v>461080.2228249805</v>
      </c>
      <c r="CB611" s="58">
        <f t="shared" si="404"/>
        <v>1844320.891299922</v>
      </c>
      <c r="CC611" s="58">
        <f t="shared" si="405"/>
        <v>461080.2228249805</v>
      </c>
      <c r="CD611" s="58">
        <f t="shared" si="420"/>
        <v>461080.2228249805</v>
      </c>
      <c r="CE611" s="58">
        <f t="shared" si="420"/>
        <v>461080.2228249805</v>
      </c>
      <c r="CF611" s="58">
        <f t="shared" si="420"/>
        <v>461080.2228249805</v>
      </c>
      <c r="CG611" s="58">
        <f t="shared" si="406"/>
        <v>1844320.891299922</v>
      </c>
      <c r="CH611" s="58">
        <f t="shared" si="394"/>
        <v>461080.2228249805</v>
      </c>
      <c r="CI611" s="58">
        <f t="shared" si="391"/>
        <v>461080.2228249805</v>
      </c>
      <c r="CJ611" s="58">
        <f t="shared" si="391"/>
        <v>461080.2228249805</v>
      </c>
      <c r="CK611" s="58">
        <f t="shared" si="391"/>
        <v>461080.2228249805</v>
      </c>
      <c r="CL611" s="58">
        <f t="shared" si="395"/>
        <v>1844320.891299922</v>
      </c>
      <c r="CN611" s="59">
        <f t="shared" si="415"/>
        <v>4.722774823999704E-4</v>
      </c>
      <c r="CO611" s="64">
        <f t="shared" si="416"/>
        <v>9917827.130399378</v>
      </c>
      <c r="CP611" s="2">
        <f t="shared" si="409"/>
        <v>14754567.130399378</v>
      </c>
    </row>
    <row r="612" spans="1:94" ht="15" hidden="1" x14ac:dyDescent="0.3">
      <c r="A612" s="29">
        <v>607</v>
      </c>
      <c r="B612" s="30" t="s">
        <v>21</v>
      </c>
      <c r="C612" s="30"/>
      <c r="D612" s="30" t="s">
        <v>1725</v>
      </c>
      <c r="E612" s="30" t="s">
        <v>1042</v>
      </c>
      <c r="F612" s="30" t="s">
        <v>1043</v>
      </c>
      <c r="G612" s="30" t="s">
        <v>117</v>
      </c>
      <c r="H612" s="30"/>
      <c r="I612" s="30" t="s">
        <v>119</v>
      </c>
      <c r="J612" s="30" t="s">
        <v>1871</v>
      </c>
      <c r="K612" s="30" t="s">
        <v>1872</v>
      </c>
      <c r="L612" s="30" t="s">
        <v>1728</v>
      </c>
      <c r="M612" s="30">
        <v>1000183</v>
      </c>
      <c r="N612" s="30" t="s">
        <v>138</v>
      </c>
      <c r="O612" s="30" t="s">
        <v>1905</v>
      </c>
      <c r="P612" s="30" t="s">
        <v>1890</v>
      </c>
      <c r="Q612" s="30" t="s">
        <v>1890</v>
      </c>
      <c r="R612" s="30" t="s">
        <v>1891</v>
      </c>
      <c r="S612" s="30" t="s">
        <v>1906</v>
      </c>
      <c r="T612" s="30"/>
      <c r="U612" s="30" t="s">
        <v>588</v>
      </c>
      <c r="V612" s="30" t="s">
        <v>589</v>
      </c>
      <c r="W612" s="30" t="s">
        <v>1893</v>
      </c>
      <c r="X612" s="89" t="s">
        <v>1838</v>
      </c>
      <c r="Y612" s="30" t="s">
        <v>576</v>
      </c>
      <c r="Z612" s="30" t="s">
        <v>576</v>
      </c>
      <c r="AA612" s="30" t="s">
        <v>129</v>
      </c>
      <c r="AB612" s="92" t="s">
        <v>1894</v>
      </c>
      <c r="AC612" s="30"/>
      <c r="AD612" s="30"/>
      <c r="AE612" s="30"/>
      <c r="AF612" s="30" t="s">
        <v>131</v>
      </c>
      <c r="AG612" s="30" t="s">
        <v>661</v>
      </c>
      <c r="AH612" s="30"/>
      <c r="AI612" s="30"/>
      <c r="AJ612" s="30"/>
      <c r="AK612" s="50">
        <v>38351</v>
      </c>
      <c r="AL612" s="51">
        <f t="shared" si="413"/>
        <v>20.849315068493151</v>
      </c>
      <c r="AM612" s="30">
        <v>8</v>
      </c>
      <c r="AN612" s="30"/>
      <c r="AO612" s="30" t="s">
        <v>1050</v>
      </c>
      <c r="AP612" s="30" t="s">
        <v>1051</v>
      </c>
      <c r="AQ612" s="30"/>
      <c r="AR612" s="30">
        <v>1875</v>
      </c>
      <c r="AS612" s="30">
        <v>750</v>
      </c>
      <c r="AT612" s="30">
        <v>1760</v>
      </c>
      <c r="AU612" s="74">
        <v>432632455</v>
      </c>
      <c r="AV612" s="54"/>
      <c r="AW612" s="54"/>
      <c r="AX612" s="54"/>
      <c r="AY612" s="54">
        <v>299376264</v>
      </c>
      <c r="AZ612" s="54">
        <v>4506588</v>
      </c>
      <c r="BA612" s="74">
        <v>119736427</v>
      </c>
      <c r="BB612" s="55">
        <f>VLOOKUP(M612,[1]Sheet1!$E$6:$F$556,2,FALSE)</f>
        <v>1000</v>
      </c>
      <c r="BC612" s="74"/>
      <c r="BD612" s="74"/>
      <c r="BE612" s="30"/>
      <c r="BF612" s="30" t="s">
        <v>1739</v>
      </c>
      <c r="BG612" s="30" t="s">
        <v>1740</v>
      </c>
      <c r="BH612" s="30" t="s">
        <v>1054</v>
      </c>
      <c r="BI612" s="30" t="str">
        <f t="shared" si="403"/>
        <v>COF(Assy_FT)</v>
      </c>
      <c r="BJ612" s="30" t="s">
        <v>250</v>
      </c>
      <c r="BK612" s="56">
        <f t="shared" si="414"/>
        <v>125723248.35000001</v>
      </c>
      <c r="BL612" s="57">
        <f t="shared" si="385"/>
        <v>11985036.070472751</v>
      </c>
      <c r="BM612" s="57">
        <f t="shared" si="386"/>
        <v>3995012.0234909169</v>
      </c>
      <c r="BP612" s="63">
        <f>BM612*3</f>
        <v>11985036.070472751</v>
      </c>
      <c r="BQ612" s="63">
        <f>BP612</f>
        <v>11985036.070472751</v>
      </c>
      <c r="BR612" s="63">
        <f>SUM(BN612:BQ612)</f>
        <v>23970072.140945502</v>
      </c>
      <c r="BS612" s="63">
        <f>BQ612</f>
        <v>11985036.070472751</v>
      </c>
      <c r="BT612" s="63">
        <f>BS612</f>
        <v>11985036.070472751</v>
      </c>
      <c r="BU612" s="58">
        <f t="shared" si="418"/>
        <v>11985036.070472751</v>
      </c>
      <c r="BV612" s="58">
        <f t="shared" si="417"/>
        <v>11985036.070472751</v>
      </c>
      <c r="BW612" s="58">
        <f t="shared" si="410"/>
        <v>47940144.281891003</v>
      </c>
      <c r="BX612" s="58">
        <f t="shared" si="393"/>
        <v>11985036.070472751</v>
      </c>
      <c r="BY612" s="58">
        <f t="shared" si="396"/>
        <v>11985036.070472751</v>
      </c>
      <c r="BZ612" s="58">
        <f t="shared" si="419"/>
        <v>11985036.070472751</v>
      </c>
      <c r="CA612" s="58">
        <f t="shared" si="396"/>
        <v>11985036.070472751</v>
      </c>
      <c r="CB612" s="58">
        <f t="shared" si="404"/>
        <v>47940144.281891003</v>
      </c>
      <c r="CC612" s="58">
        <f t="shared" si="405"/>
        <v>11985036.070472751</v>
      </c>
      <c r="CD612" s="58">
        <f t="shared" si="420"/>
        <v>11985036.070472751</v>
      </c>
      <c r="CE612" s="58">
        <f t="shared" si="420"/>
        <v>11985036.070472751</v>
      </c>
      <c r="CF612" s="58">
        <f t="shared" si="420"/>
        <v>11985036.070472751</v>
      </c>
      <c r="CG612" s="58">
        <f t="shared" si="406"/>
        <v>47940144.281891003</v>
      </c>
      <c r="CH612" s="58">
        <f t="shared" si="394"/>
        <v>11985036.070472751</v>
      </c>
      <c r="CI612" s="58">
        <f t="shared" si="391"/>
        <v>11985036.070472751</v>
      </c>
      <c r="CJ612" s="58">
        <f t="shared" si="391"/>
        <v>11985036.070472751</v>
      </c>
      <c r="CK612" s="58">
        <f t="shared" si="391"/>
        <v>11985036.070472751</v>
      </c>
      <c r="CL612" s="58">
        <f t="shared" si="395"/>
        <v>47940144.281891003</v>
      </c>
      <c r="CN612" s="59">
        <f t="shared" si="415"/>
        <v>1.2276090757387049E-2</v>
      </c>
      <c r="CO612" s="64">
        <f t="shared" si="416"/>
        <v>257797905.90512803</v>
      </c>
      <c r="CP612" s="2">
        <f t="shared" si="409"/>
        <v>383521154.25512803</v>
      </c>
    </row>
    <row r="613" spans="1:94" ht="15" hidden="1" x14ac:dyDescent="0.3">
      <c r="A613" s="29">
        <v>608</v>
      </c>
      <c r="B613" s="30" t="s">
        <v>21</v>
      </c>
      <c r="C613" s="30"/>
      <c r="D613" s="30" t="s">
        <v>1725</v>
      </c>
      <c r="E613" s="30" t="s">
        <v>1042</v>
      </c>
      <c r="F613" s="30" t="s">
        <v>1043</v>
      </c>
      <c r="G613" s="30" t="s">
        <v>117</v>
      </c>
      <c r="H613" s="30"/>
      <c r="I613" s="30" t="s">
        <v>119</v>
      </c>
      <c r="J613" s="30" t="s">
        <v>1871</v>
      </c>
      <c r="K613" s="30" t="s">
        <v>1872</v>
      </c>
      <c r="L613" s="30" t="s">
        <v>1873</v>
      </c>
      <c r="M613" s="30">
        <v>1000237</v>
      </c>
      <c r="N613" s="30" t="s">
        <v>138</v>
      </c>
      <c r="O613" s="30" t="s">
        <v>1907</v>
      </c>
      <c r="P613" s="30" t="s">
        <v>1890</v>
      </c>
      <c r="Q613" s="30" t="s">
        <v>1890</v>
      </c>
      <c r="R613" s="30" t="s">
        <v>1891</v>
      </c>
      <c r="S613" s="30" t="s">
        <v>1908</v>
      </c>
      <c r="T613" s="30"/>
      <c r="U613" s="30" t="s">
        <v>588</v>
      </c>
      <c r="V613" s="30" t="s">
        <v>589</v>
      </c>
      <c r="W613" s="30" t="s">
        <v>1893</v>
      </c>
      <c r="X613" s="89"/>
      <c r="Y613" s="30" t="s">
        <v>576</v>
      </c>
      <c r="Z613" s="30" t="s">
        <v>576</v>
      </c>
      <c r="AA613" s="30" t="s">
        <v>129</v>
      </c>
      <c r="AB613" s="92" t="s">
        <v>1894</v>
      </c>
      <c r="AC613" s="30"/>
      <c r="AD613" s="30"/>
      <c r="AE613" s="30"/>
      <c r="AF613" s="30" t="s">
        <v>131</v>
      </c>
      <c r="AG613" s="30" t="s">
        <v>649</v>
      </c>
      <c r="AH613" s="30"/>
      <c r="AI613" s="30"/>
      <c r="AJ613" s="30"/>
      <c r="AK613" s="50">
        <v>38460</v>
      </c>
      <c r="AL613" s="51">
        <f t="shared" si="413"/>
        <v>20.550684931506851</v>
      </c>
      <c r="AM613" s="30">
        <v>8</v>
      </c>
      <c r="AN613" s="30"/>
      <c r="AO613" s="30" t="s">
        <v>1050</v>
      </c>
      <c r="AP613" s="30" t="s">
        <v>1051</v>
      </c>
      <c r="AQ613" s="30"/>
      <c r="AR613" s="30">
        <v>1875</v>
      </c>
      <c r="AS613" s="30">
        <v>750</v>
      </c>
      <c r="AT613" s="30">
        <v>1760</v>
      </c>
      <c r="AU613" s="74">
        <v>241837000</v>
      </c>
      <c r="AV613" s="54"/>
      <c r="AW613" s="54"/>
      <c r="AX613" s="54"/>
      <c r="AY613" s="54">
        <v>241836000</v>
      </c>
      <c r="AZ613" s="54">
        <v>2332880</v>
      </c>
      <c r="BA613" s="74">
        <v>1000</v>
      </c>
      <c r="BB613" s="55">
        <f>VLOOKUP(M613,[1]Sheet1!$E$6:$F$556,2,FALSE)</f>
        <v>1000</v>
      </c>
      <c r="BC613" s="74"/>
      <c r="BD613" s="74"/>
      <c r="BE613" s="30"/>
      <c r="BF613" s="30" t="s">
        <v>1745</v>
      </c>
      <c r="BG613" s="30" t="s">
        <v>1740</v>
      </c>
      <c r="BH613" s="30" t="s">
        <v>1054</v>
      </c>
      <c r="BI613" s="30" t="str">
        <f t="shared" si="403"/>
        <v>COF(Assy_FT)</v>
      </c>
      <c r="BJ613" s="30" t="s">
        <v>250</v>
      </c>
      <c r="BK613" s="56">
        <f t="shared" si="414"/>
        <v>4836740</v>
      </c>
      <c r="BL613" s="57">
        <f t="shared" si="385"/>
        <v>151148.125</v>
      </c>
      <c r="BM613" s="57">
        <f t="shared" si="386"/>
        <v>50382.708333333336</v>
      </c>
      <c r="BU613" s="58">
        <f t="shared" si="418"/>
        <v>151148.125</v>
      </c>
      <c r="BV613" s="58">
        <f t="shared" si="417"/>
        <v>151148.125</v>
      </c>
      <c r="BW613" s="58">
        <f t="shared" si="410"/>
        <v>302296.25</v>
      </c>
      <c r="BX613" s="58">
        <f t="shared" si="393"/>
        <v>151148.125</v>
      </c>
      <c r="BY613" s="58">
        <f t="shared" si="396"/>
        <v>151148.125</v>
      </c>
      <c r="BZ613" s="58">
        <f t="shared" si="419"/>
        <v>151148.125</v>
      </c>
      <c r="CA613" s="58">
        <f t="shared" si="396"/>
        <v>151148.125</v>
      </c>
      <c r="CB613" s="58">
        <f t="shared" si="404"/>
        <v>604592.5</v>
      </c>
      <c r="CC613" s="58">
        <f t="shared" si="405"/>
        <v>151148.125</v>
      </c>
      <c r="CD613" s="58">
        <f t="shared" si="420"/>
        <v>151148.125</v>
      </c>
      <c r="CE613" s="58">
        <f t="shared" si="420"/>
        <v>151148.125</v>
      </c>
      <c r="CF613" s="58">
        <f t="shared" si="420"/>
        <v>151148.125</v>
      </c>
      <c r="CG613" s="58">
        <f t="shared" si="406"/>
        <v>604592.5</v>
      </c>
      <c r="CH613" s="58">
        <f t="shared" si="394"/>
        <v>151148.125</v>
      </c>
      <c r="CI613" s="58">
        <f t="shared" ref="CI613:CK628" si="421">CH613</f>
        <v>151148.125</v>
      </c>
      <c r="CJ613" s="58">
        <f t="shared" si="421"/>
        <v>151148.125</v>
      </c>
      <c r="CK613" s="58">
        <f t="shared" si="421"/>
        <v>151148.125</v>
      </c>
      <c r="CL613" s="58">
        <f t="shared" si="395"/>
        <v>604592.5</v>
      </c>
      <c r="CP613" s="2">
        <f t="shared" si="409"/>
        <v>4836740</v>
      </c>
    </row>
    <row r="614" spans="1:94" ht="15" hidden="1" x14ac:dyDescent="0.3">
      <c r="A614" s="29">
        <v>609</v>
      </c>
      <c r="B614" s="30" t="s">
        <v>21</v>
      </c>
      <c r="C614" s="30"/>
      <c r="D614" s="30" t="s">
        <v>1725</v>
      </c>
      <c r="E614" s="30" t="s">
        <v>1042</v>
      </c>
      <c r="F614" s="30" t="s">
        <v>1043</v>
      </c>
      <c r="G614" s="30" t="s">
        <v>117</v>
      </c>
      <c r="H614" s="30"/>
      <c r="I614" s="30" t="s">
        <v>119</v>
      </c>
      <c r="J614" s="30" t="s">
        <v>1871</v>
      </c>
      <c r="K614" s="30" t="s">
        <v>1872</v>
      </c>
      <c r="L614" s="30" t="s">
        <v>1728</v>
      </c>
      <c r="M614" s="30">
        <v>1000326</v>
      </c>
      <c r="N614" s="30" t="s">
        <v>138</v>
      </c>
      <c r="O614" s="30" t="s">
        <v>1909</v>
      </c>
      <c r="P614" s="30" t="s">
        <v>1890</v>
      </c>
      <c r="Q614" s="30" t="s">
        <v>1890</v>
      </c>
      <c r="R614" s="30" t="s">
        <v>1891</v>
      </c>
      <c r="S614" s="30" t="s">
        <v>1910</v>
      </c>
      <c r="T614" s="30"/>
      <c r="U614" s="30" t="s">
        <v>588</v>
      </c>
      <c r="V614" s="30" t="s">
        <v>589</v>
      </c>
      <c r="W614" s="30" t="s">
        <v>1893</v>
      </c>
      <c r="X614" s="89" t="s">
        <v>1838</v>
      </c>
      <c r="Y614" s="30" t="s">
        <v>576</v>
      </c>
      <c r="Z614" s="30" t="s">
        <v>576</v>
      </c>
      <c r="AA614" s="30" t="s">
        <v>129</v>
      </c>
      <c r="AB614" s="92" t="s">
        <v>1894</v>
      </c>
      <c r="AC614" s="30"/>
      <c r="AD614" s="30"/>
      <c r="AE614" s="30"/>
      <c r="AF614" s="30" t="s">
        <v>131</v>
      </c>
      <c r="AG614" s="30" t="s">
        <v>661</v>
      </c>
      <c r="AH614" s="30"/>
      <c r="AI614" s="30"/>
      <c r="AJ614" s="30"/>
      <c r="AK614" s="50">
        <v>38520</v>
      </c>
      <c r="AL614" s="51">
        <f t="shared" si="413"/>
        <v>20.386301369863013</v>
      </c>
      <c r="AM614" s="30">
        <v>8</v>
      </c>
      <c r="AN614" s="30"/>
      <c r="AO614" s="30" t="s">
        <v>1050</v>
      </c>
      <c r="AP614" s="30" t="s">
        <v>1051</v>
      </c>
      <c r="AQ614" s="30"/>
      <c r="AR614" s="30">
        <v>1875</v>
      </c>
      <c r="AS614" s="30">
        <v>750</v>
      </c>
      <c r="AT614" s="30">
        <v>1760</v>
      </c>
      <c r="AU614" s="74">
        <v>237833666</v>
      </c>
      <c r="AV614" s="54"/>
      <c r="AW614" s="54"/>
      <c r="AX614" s="54"/>
      <c r="AY614" s="54">
        <v>237832666</v>
      </c>
      <c r="AZ614" s="54">
        <v>355858</v>
      </c>
      <c r="BA614" s="74">
        <v>1000</v>
      </c>
      <c r="BB614" s="55">
        <f>VLOOKUP(M614,[1]Sheet1!$E$6:$F$556,2,FALSE)</f>
        <v>1000</v>
      </c>
      <c r="BC614" s="74"/>
      <c r="BD614" s="74"/>
      <c r="BE614" s="30"/>
      <c r="BF614" s="30" t="s">
        <v>1745</v>
      </c>
      <c r="BG614" s="30" t="s">
        <v>1740</v>
      </c>
      <c r="BH614" s="30" t="s">
        <v>1054</v>
      </c>
      <c r="BI614" s="30" t="str">
        <f t="shared" si="403"/>
        <v>COF(Assy_FT)</v>
      </c>
      <c r="BJ614" s="30" t="s">
        <v>250</v>
      </c>
      <c r="BK614" s="56">
        <f t="shared" si="414"/>
        <v>4756673.32</v>
      </c>
      <c r="BL614" s="57">
        <f t="shared" si="385"/>
        <v>453447.56887722731</v>
      </c>
      <c r="BM614" s="57">
        <f t="shared" si="386"/>
        <v>151149.18962574244</v>
      </c>
      <c r="BP614" s="63">
        <f t="shared" ref="BP614:BP615" si="422">BM614*3</f>
        <v>453447.56887722731</v>
      </c>
      <c r="BQ614" s="63">
        <f t="shared" ref="BQ614:BQ615" si="423">BP614</f>
        <v>453447.56887722731</v>
      </c>
      <c r="BR614" s="63">
        <f t="shared" ref="BR614:BR615" si="424">SUM(BN614:BQ614)</f>
        <v>906895.13775445463</v>
      </c>
      <c r="BS614" s="63">
        <f t="shared" ref="BS614:BS615" si="425">BQ614</f>
        <v>453447.56887722731</v>
      </c>
      <c r="BT614" s="63">
        <f t="shared" ref="BT614:BT615" si="426">BS614</f>
        <v>453447.56887722731</v>
      </c>
      <c r="BU614" s="58">
        <f t="shared" si="418"/>
        <v>453447.56887722731</v>
      </c>
      <c r="BV614" s="58">
        <f t="shared" si="417"/>
        <v>453447.56887722731</v>
      </c>
      <c r="BW614" s="58">
        <f t="shared" si="410"/>
        <v>1813790.2755089093</v>
      </c>
      <c r="BX614" s="58">
        <f t="shared" si="393"/>
        <v>453447.56887722731</v>
      </c>
      <c r="BY614" s="58">
        <f t="shared" si="396"/>
        <v>453447.56887722731</v>
      </c>
      <c r="BZ614" s="58">
        <f t="shared" si="419"/>
        <v>453447.56887722731</v>
      </c>
      <c r="CA614" s="58">
        <f t="shared" si="396"/>
        <v>453447.56887722731</v>
      </c>
      <c r="CB614" s="58">
        <f t="shared" si="404"/>
        <v>1813790.2755089093</v>
      </c>
      <c r="CC614" s="58">
        <f t="shared" si="405"/>
        <v>453447.56887722731</v>
      </c>
      <c r="CD614" s="58">
        <f t="shared" si="420"/>
        <v>453447.56887722731</v>
      </c>
      <c r="CE614" s="58">
        <f t="shared" si="420"/>
        <v>453447.56887722731</v>
      </c>
      <c r="CF614" s="58">
        <f t="shared" si="420"/>
        <v>453447.56887722731</v>
      </c>
      <c r="CG614" s="58">
        <f t="shared" si="406"/>
        <v>1813790.2755089093</v>
      </c>
      <c r="CH614" s="58">
        <f t="shared" si="394"/>
        <v>453447.56887722731</v>
      </c>
      <c r="CI614" s="58">
        <f t="shared" si="421"/>
        <v>453447.56887722731</v>
      </c>
      <c r="CJ614" s="58">
        <f t="shared" si="421"/>
        <v>453447.56887722731</v>
      </c>
      <c r="CK614" s="58">
        <f t="shared" si="421"/>
        <v>453447.56887722731</v>
      </c>
      <c r="CL614" s="58">
        <f t="shared" si="395"/>
        <v>1813790.2755089093</v>
      </c>
      <c r="CN614" s="59">
        <f t="shared" ref="CN614:CN615" si="427">BK614/$CN$3</f>
        <v>4.6445947067006062E-4</v>
      </c>
      <c r="CO614" s="64">
        <f t="shared" ref="CO614:CO615" si="428">CN614*$CO$4</f>
        <v>9753648.8840712737</v>
      </c>
      <c r="CP614" s="2">
        <f t="shared" si="409"/>
        <v>14510322.204071274</v>
      </c>
    </row>
    <row r="615" spans="1:94" ht="15" hidden="1" x14ac:dyDescent="0.3">
      <c r="A615" s="29">
        <v>610</v>
      </c>
      <c r="B615" s="30" t="s">
        <v>21</v>
      </c>
      <c r="C615" s="30"/>
      <c r="D615" s="30" t="s">
        <v>1725</v>
      </c>
      <c r="E615" s="30" t="s">
        <v>1042</v>
      </c>
      <c r="F615" s="30" t="s">
        <v>1043</v>
      </c>
      <c r="G615" s="30" t="s">
        <v>117</v>
      </c>
      <c r="H615" s="30"/>
      <c r="I615" s="30" t="s">
        <v>119</v>
      </c>
      <c r="J615" s="30" t="s">
        <v>1871</v>
      </c>
      <c r="K615" s="30" t="s">
        <v>1872</v>
      </c>
      <c r="L615" s="30" t="s">
        <v>1728</v>
      </c>
      <c r="M615" s="30">
        <v>1000180</v>
      </c>
      <c r="N615" s="30" t="s">
        <v>138</v>
      </c>
      <c r="O615" s="30" t="s">
        <v>1911</v>
      </c>
      <c r="P615" s="30" t="s">
        <v>1890</v>
      </c>
      <c r="Q615" s="30" t="s">
        <v>1890</v>
      </c>
      <c r="R615" s="30" t="s">
        <v>1891</v>
      </c>
      <c r="S615" s="30" t="s">
        <v>1912</v>
      </c>
      <c r="T615" s="30"/>
      <c r="U615" s="30" t="s">
        <v>588</v>
      </c>
      <c r="V615" s="30" t="s">
        <v>589</v>
      </c>
      <c r="W615" s="30" t="s">
        <v>1893</v>
      </c>
      <c r="X615" s="89" t="s">
        <v>1838</v>
      </c>
      <c r="Y615" s="30" t="s">
        <v>576</v>
      </c>
      <c r="Z615" s="30" t="s">
        <v>576</v>
      </c>
      <c r="AA615" s="30" t="s">
        <v>129</v>
      </c>
      <c r="AB615" s="92" t="s">
        <v>1894</v>
      </c>
      <c r="AC615" s="30"/>
      <c r="AD615" s="30"/>
      <c r="AE615" s="30"/>
      <c r="AF615" s="30" t="s">
        <v>131</v>
      </c>
      <c r="AG615" s="30" t="s">
        <v>661</v>
      </c>
      <c r="AH615" s="30"/>
      <c r="AI615" s="30"/>
      <c r="AJ615" s="30"/>
      <c r="AK615" s="50">
        <v>38351</v>
      </c>
      <c r="AL615" s="51">
        <f t="shared" si="413"/>
        <v>20.849315068493151</v>
      </c>
      <c r="AM615" s="30">
        <v>8</v>
      </c>
      <c r="AN615" s="30"/>
      <c r="AO615" s="30" t="s">
        <v>1050</v>
      </c>
      <c r="AP615" s="30" t="s">
        <v>1051</v>
      </c>
      <c r="AQ615" s="30"/>
      <c r="AR615" s="30">
        <v>1875</v>
      </c>
      <c r="AS615" s="30">
        <v>750</v>
      </c>
      <c r="AT615" s="30">
        <v>1760</v>
      </c>
      <c r="AU615" s="74">
        <v>238559122</v>
      </c>
      <c r="AV615" s="54"/>
      <c r="AW615" s="54"/>
      <c r="AX615" s="54"/>
      <c r="AY615" s="54">
        <v>238558122</v>
      </c>
      <c r="AZ615" s="54">
        <v>257617</v>
      </c>
      <c r="BA615" s="74">
        <v>1000</v>
      </c>
      <c r="BB615" s="55">
        <f>VLOOKUP(M615,[1]Sheet1!$E$6:$F$556,2,FALSE)</f>
        <v>1000</v>
      </c>
      <c r="BC615" s="74"/>
      <c r="BD615" s="74"/>
      <c r="BE615" s="30"/>
      <c r="BF615" s="30" t="s">
        <v>1745</v>
      </c>
      <c r="BG615" s="30" t="s">
        <v>1740</v>
      </c>
      <c r="BH615" s="30" t="s">
        <v>1054</v>
      </c>
      <c r="BI615" s="30" t="str">
        <f t="shared" si="403"/>
        <v>COF(Assy_FT)</v>
      </c>
      <c r="BJ615" s="30" t="s">
        <v>250</v>
      </c>
      <c r="BK615" s="56">
        <f t="shared" si="414"/>
        <v>4771182.4400000004</v>
      </c>
      <c r="BL615" s="57">
        <f t="shared" si="385"/>
        <v>454830.70468411257</v>
      </c>
      <c r="BM615" s="57">
        <f t="shared" si="386"/>
        <v>151610.23489470419</v>
      </c>
      <c r="BP615" s="63">
        <f t="shared" si="422"/>
        <v>454830.70468411257</v>
      </c>
      <c r="BQ615" s="63">
        <f t="shared" si="423"/>
        <v>454830.70468411257</v>
      </c>
      <c r="BR615" s="63">
        <f t="shared" si="424"/>
        <v>909661.40936822514</v>
      </c>
      <c r="BS615" s="63">
        <f t="shared" si="425"/>
        <v>454830.70468411257</v>
      </c>
      <c r="BT615" s="63">
        <f t="shared" si="426"/>
        <v>454830.70468411257</v>
      </c>
      <c r="BU615" s="58">
        <f t="shared" si="418"/>
        <v>454830.70468411257</v>
      </c>
      <c r="BV615" s="58">
        <f t="shared" si="417"/>
        <v>454830.70468411257</v>
      </c>
      <c r="BW615" s="58">
        <f t="shared" si="410"/>
        <v>1819322.8187364503</v>
      </c>
      <c r="BX615" s="58">
        <f t="shared" si="393"/>
        <v>454830.70468411257</v>
      </c>
      <c r="BY615" s="58">
        <f t="shared" si="396"/>
        <v>454830.70468411257</v>
      </c>
      <c r="BZ615" s="58">
        <f t="shared" si="419"/>
        <v>454830.70468411257</v>
      </c>
      <c r="CA615" s="58">
        <f t="shared" si="396"/>
        <v>454830.70468411257</v>
      </c>
      <c r="CB615" s="58">
        <f t="shared" si="404"/>
        <v>1819322.8187364503</v>
      </c>
      <c r="CC615" s="58">
        <f t="shared" si="405"/>
        <v>454830.70468411257</v>
      </c>
      <c r="CD615" s="58">
        <f t="shared" si="420"/>
        <v>454830.70468411257</v>
      </c>
      <c r="CE615" s="58">
        <f t="shared" si="420"/>
        <v>454830.70468411257</v>
      </c>
      <c r="CF615" s="58">
        <f t="shared" si="420"/>
        <v>454830.70468411257</v>
      </c>
      <c r="CG615" s="58">
        <f t="shared" si="406"/>
        <v>1819322.8187364503</v>
      </c>
      <c r="CH615" s="58">
        <f t="shared" si="394"/>
        <v>454830.70468411257</v>
      </c>
      <c r="CI615" s="58">
        <f t="shared" si="421"/>
        <v>454830.70468411257</v>
      </c>
      <c r="CJ615" s="58">
        <f t="shared" si="421"/>
        <v>454830.70468411257</v>
      </c>
      <c r="CK615" s="58">
        <f t="shared" si="421"/>
        <v>454830.70468411257</v>
      </c>
      <c r="CL615" s="58">
        <f t="shared" si="395"/>
        <v>1819322.8187364503</v>
      </c>
      <c r="CN615" s="59">
        <f t="shared" si="427"/>
        <v>4.6587619570912392E-4</v>
      </c>
      <c r="CO615" s="64">
        <f t="shared" si="428"/>
        <v>9783400.1098916028</v>
      </c>
      <c r="CP615" s="2">
        <f t="shared" si="409"/>
        <v>14554582.549891602</v>
      </c>
    </row>
    <row r="616" spans="1:94" ht="15" hidden="1" x14ac:dyDescent="0.3">
      <c r="A616" s="29">
        <v>611</v>
      </c>
      <c r="B616" s="30" t="s">
        <v>21</v>
      </c>
      <c r="C616" s="30"/>
      <c r="D616" s="30" t="s">
        <v>1725</v>
      </c>
      <c r="E616" s="30" t="s">
        <v>1042</v>
      </c>
      <c r="F616" s="30" t="s">
        <v>1043</v>
      </c>
      <c r="G616" s="30" t="s">
        <v>117</v>
      </c>
      <c r="H616" s="30"/>
      <c r="I616" s="30" t="s">
        <v>119</v>
      </c>
      <c r="J616" s="30" t="s">
        <v>1871</v>
      </c>
      <c r="K616" s="30" t="s">
        <v>1872</v>
      </c>
      <c r="L616" s="30" t="s">
        <v>1728</v>
      </c>
      <c r="M616" s="30">
        <v>1000327</v>
      </c>
      <c r="N616" s="30" t="s">
        <v>138</v>
      </c>
      <c r="O616" s="30" t="s">
        <v>1913</v>
      </c>
      <c r="P616" s="30" t="s">
        <v>1890</v>
      </c>
      <c r="Q616" s="30" t="s">
        <v>1890</v>
      </c>
      <c r="R616" s="30" t="s">
        <v>1891</v>
      </c>
      <c r="S616" s="30" t="s">
        <v>1914</v>
      </c>
      <c r="T616" s="30"/>
      <c r="U616" s="30" t="s">
        <v>588</v>
      </c>
      <c r="V616" s="30" t="s">
        <v>600</v>
      </c>
      <c r="W616" s="30" t="s">
        <v>1893</v>
      </c>
      <c r="X616" s="89"/>
      <c r="Y616" s="30" t="s">
        <v>128</v>
      </c>
      <c r="Z616" s="30" t="s">
        <v>128</v>
      </c>
      <c r="AA616" s="30" t="s">
        <v>129</v>
      </c>
      <c r="AB616" s="92" t="s">
        <v>1894</v>
      </c>
      <c r="AC616" s="30"/>
      <c r="AD616" s="30"/>
      <c r="AE616" s="30"/>
      <c r="AF616" s="30" t="s">
        <v>131</v>
      </c>
      <c r="AG616" s="30" t="s">
        <v>661</v>
      </c>
      <c r="AH616" s="30"/>
      <c r="AI616" s="30"/>
      <c r="AJ616" s="30"/>
      <c r="AK616" s="50">
        <v>38520</v>
      </c>
      <c r="AL616" s="51">
        <f t="shared" si="413"/>
        <v>20.386301369863013</v>
      </c>
      <c r="AM616" s="30">
        <v>8</v>
      </c>
      <c r="AN616" s="30"/>
      <c r="AO616" s="30" t="s">
        <v>1050</v>
      </c>
      <c r="AP616" s="30" t="s">
        <v>1051</v>
      </c>
      <c r="AQ616" s="30"/>
      <c r="AR616" s="30">
        <v>1875</v>
      </c>
      <c r="AS616" s="30">
        <v>750</v>
      </c>
      <c r="AT616" s="30">
        <v>1760</v>
      </c>
      <c r="AU616" s="74">
        <v>237833667</v>
      </c>
      <c r="AV616" s="54"/>
      <c r="AW616" s="54"/>
      <c r="AX616" s="54"/>
      <c r="AY616" s="54">
        <v>237832667</v>
      </c>
      <c r="AZ616" s="54">
        <v>355858</v>
      </c>
      <c r="BA616" s="74">
        <v>1000</v>
      </c>
      <c r="BB616" s="55">
        <f>VLOOKUP(M616,[1]Sheet1!$E$6:$F$556,2,FALSE)</f>
        <v>1000</v>
      </c>
      <c r="BC616" s="74"/>
      <c r="BD616" s="74"/>
      <c r="BE616" s="30"/>
      <c r="BF616" s="30" t="s">
        <v>1745</v>
      </c>
      <c r="BG616" s="30" t="s">
        <v>1740</v>
      </c>
      <c r="BH616" s="30" t="s">
        <v>1054</v>
      </c>
      <c r="BI616" s="30" t="str">
        <f t="shared" si="403"/>
        <v>COF(Assy_FT)</v>
      </c>
      <c r="BJ616" s="30" t="s">
        <v>250</v>
      </c>
      <c r="BK616" s="56">
        <f t="shared" si="414"/>
        <v>4756673.34</v>
      </c>
      <c r="BL616" s="57">
        <f t="shared" si="385"/>
        <v>148646.041875</v>
      </c>
      <c r="BM616" s="57">
        <f t="shared" si="386"/>
        <v>49548.680625000001</v>
      </c>
      <c r="BU616" s="58">
        <f t="shared" si="418"/>
        <v>148646.041875</v>
      </c>
      <c r="BV616" s="58">
        <f t="shared" si="417"/>
        <v>148646.041875</v>
      </c>
      <c r="BW616" s="58">
        <f t="shared" si="410"/>
        <v>297292.08374999999</v>
      </c>
      <c r="BX616" s="58">
        <f t="shared" si="393"/>
        <v>148646.041875</v>
      </c>
      <c r="BY616" s="58">
        <f t="shared" si="396"/>
        <v>148646.041875</v>
      </c>
      <c r="BZ616" s="58">
        <f t="shared" si="419"/>
        <v>148646.041875</v>
      </c>
      <c r="CA616" s="58">
        <f t="shared" si="396"/>
        <v>148646.041875</v>
      </c>
      <c r="CB616" s="58">
        <f t="shared" si="404"/>
        <v>594584.16749999998</v>
      </c>
      <c r="CC616" s="58">
        <f t="shared" si="405"/>
        <v>148646.041875</v>
      </c>
      <c r="CD616" s="58">
        <f t="shared" si="420"/>
        <v>148646.041875</v>
      </c>
      <c r="CE616" s="58">
        <f t="shared" si="420"/>
        <v>148646.041875</v>
      </c>
      <c r="CF616" s="58">
        <f t="shared" si="420"/>
        <v>148646.041875</v>
      </c>
      <c r="CG616" s="58">
        <f t="shared" si="406"/>
        <v>594584.16749999998</v>
      </c>
      <c r="CH616" s="58">
        <f t="shared" si="394"/>
        <v>148646.041875</v>
      </c>
      <c r="CI616" s="58">
        <f t="shared" si="421"/>
        <v>148646.041875</v>
      </c>
      <c r="CJ616" s="58">
        <f t="shared" si="421"/>
        <v>148646.041875</v>
      </c>
      <c r="CK616" s="58">
        <f t="shared" si="421"/>
        <v>148646.041875</v>
      </c>
      <c r="CL616" s="58">
        <f t="shared" si="395"/>
        <v>594584.16749999998</v>
      </c>
      <c r="CP616" s="2">
        <f t="shared" si="409"/>
        <v>4756673.34</v>
      </c>
    </row>
    <row r="617" spans="1:94" ht="15" hidden="1" x14ac:dyDescent="0.3">
      <c r="A617" s="29">
        <v>612</v>
      </c>
      <c r="B617" s="30" t="s">
        <v>21</v>
      </c>
      <c r="C617" s="30"/>
      <c r="D617" s="30" t="s">
        <v>1725</v>
      </c>
      <c r="E617" s="30" t="s">
        <v>1042</v>
      </c>
      <c r="F617" s="30" t="s">
        <v>1043</v>
      </c>
      <c r="G617" s="30" t="s">
        <v>117</v>
      </c>
      <c r="H617" s="30"/>
      <c r="I617" s="30" t="s">
        <v>119</v>
      </c>
      <c r="J617" s="30" t="s">
        <v>1871</v>
      </c>
      <c r="K617" s="30" t="s">
        <v>1872</v>
      </c>
      <c r="L617" s="30" t="s">
        <v>1728</v>
      </c>
      <c r="M617" s="30">
        <v>1000181</v>
      </c>
      <c r="N617" s="30" t="s">
        <v>138</v>
      </c>
      <c r="O617" s="30" t="s">
        <v>1915</v>
      </c>
      <c r="P617" s="30" t="s">
        <v>1890</v>
      </c>
      <c r="Q617" s="30" t="s">
        <v>1890</v>
      </c>
      <c r="R617" s="30" t="s">
        <v>1891</v>
      </c>
      <c r="S617" s="30" t="s">
        <v>1916</v>
      </c>
      <c r="T617" s="30"/>
      <c r="U617" s="30" t="s">
        <v>588</v>
      </c>
      <c r="V617" s="30" t="s">
        <v>589</v>
      </c>
      <c r="W617" s="30" t="s">
        <v>1893</v>
      </c>
      <c r="X617" s="89"/>
      <c r="Y617" s="30" t="s">
        <v>128</v>
      </c>
      <c r="Z617" s="30" t="s">
        <v>128</v>
      </c>
      <c r="AA617" s="30" t="s">
        <v>129</v>
      </c>
      <c r="AB617" s="92" t="s">
        <v>1894</v>
      </c>
      <c r="AC617" s="30"/>
      <c r="AD617" s="30"/>
      <c r="AE617" s="30"/>
      <c r="AF617" s="30" t="s">
        <v>131</v>
      </c>
      <c r="AG617" s="30" t="s">
        <v>661</v>
      </c>
      <c r="AH617" s="30"/>
      <c r="AI617" s="30"/>
      <c r="AJ617" s="30"/>
      <c r="AK617" s="50">
        <v>38351</v>
      </c>
      <c r="AL617" s="51">
        <f t="shared" si="413"/>
        <v>20.849315068493151</v>
      </c>
      <c r="AM617" s="30">
        <v>8</v>
      </c>
      <c r="AN617" s="30"/>
      <c r="AO617" s="30" t="s">
        <v>1050</v>
      </c>
      <c r="AP617" s="30" t="s">
        <v>1051</v>
      </c>
      <c r="AQ617" s="30"/>
      <c r="AR617" s="30">
        <v>1875</v>
      </c>
      <c r="AS617" s="30">
        <v>750</v>
      </c>
      <c r="AT617" s="30">
        <v>1760</v>
      </c>
      <c r="AU617" s="74">
        <v>238559122</v>
      </c>
      <c r="AV617" s="54"/>
      <c r="AW617" s="54"/>
      <c r="AX617" s="54"/>
      <c r="AY617" s="54">
        <v>238558122</v>
      </c>
      <c r="AZ617" s="54">
        <v>257617</v>
      </c>
      <c r="BA617" s="74">
        <v>1000</v>
      </c>
      <c r="BB617" s="55">
        <f>VLOOKUP(M617,[1]Sheet1!$E$6:$F$556,2,FALSE)</f>
        <v>1000</v>
      </c>
      <c r="BC617" s="74"/>
      <c r="BD617" s="74"/>
      <c r="BE617" s="30"/>
      <c r="BF617" s="30" t="s">
        <v>1745</v>
      </c>
      <c r="BG617" s="30" t="s">
        <v>1740</v>
      </c>
      <c r="BH617" s="30" t="s">
        <v>1054</v>
      </c>
      <c r="BI617" s="30" t="str">
        <f t="shared" si="403"/>
        <v>COF(Assy_FT)</v>
      </c>
      <c r="BJ617" s="30" t="s">
        <v>250</v>
      </c>
      <c r="BK617" s="56">
        <f t="shared" si="414"/>
        <v>4771182.4400000004</v>
      </c>
      <c r="BL617" s="57">
        <f t="shared" si="385"/>
        <v>149099.45125000001</v>
      </c>
      <c r="BM617" s="57">
        <f t="shared" si="386"/>
        <v>49699.817083333335</v>
      </c>
      <c r="BU617" s="58">
        <f t="shared" si="418"/>
        <v>149099.45125000001</v>
      </c>
      <c r="BV617" s="58">
        <f t="shared" si="417"/>
        <v>149099.45125000001</v>
      </c>
      <c r="BW617" s="58">
        <f t="shared" si="410"/>
        <v>298198.90250000003</v>
      </c>
      <c r="BX617" s="58">
        <f t="shared" si="393"/>
        <v>149099.45125000001</v>
      </c>
      <c r="BY617" s="58">
        <f t="shared" si="396"/>
        <v>149099.45125000001</v>
      </c>
      <c r="BZ617" s="58">
        <f t="shared" si="419"/>
        <v>149099.45125000001</v>
      </c>
      <c r="CA617" s="58">
        <f t="shared" si="396"/>
        <v>149099.45125000001</v>
      </c>
      <c r="CB617" s="58">
        <f t="shared" si="404"/>
        <v>596397.80500000005</v>
      </c>
      <c r="CC617" s="58">
        <f t="shared" si="405"/>
        <v>149099.45125000001</v>
      </c>
      <c r="CD617" s="58">
        <f t="shared" si="420"/>
        <v>149099.45125000001</v>
      </c>
      <c r="CE617" s="58">
        <f t="shared" si="420"/>
        <v>149099.45125000001</v>
      </c>
      <c r="CF617" s="58">
        <f t="shared" si="420"/>
        <v>149099.45125000001</v>
      </c>
      <c r="CG617" s="58">
        <f t="shared" si="406"/>
        <v>596397.80500000005</v>
      </c>
      <c r="CH617" s="58">
        <f t="shared" si="394"/>
        <v>149099.45125000001</v>
      </c>
      <c r="CI617" s="58">
        <f t="shared" si="421"/>
        <v>149099.45125000001</v>
      </c>
      <c r="CJ617" s="58">
        <f t="shared" si="421"/>
        <v>149099.45125000001</v>
      </c>
      <c r="CK617" s="58">
        <f t="shared" si="421"/>
        <v>149099.45125000001</v>
      </c>
      <c r="CL617" s="58">
        <f t="shared" si="395"/>
        <v>596397.80500000005</v>
      </c>
      <c r="CP617" s="2">
        <f t="shared" si="409"/>
        <v>4771182.4400000004</v>
      </c>
    </row>
    <row r="618" spans="1:94" ht="15" hidden="1" x14ac:dyDescent="0.3">
      <c r="A618" s="29">
        <v>613</v>
      </c>
      <c r="B618" s="30" t="s">
        <v>21</v>
      </c>
      <c r="C618" s="30"/>
      <c r="D618" s="30" t="s">
        <v>1725</v>
      </c>
      <c r="E618" s="30" t="s">
        <v>1042</v>
      </c>
      <c r="F618" s="30" t="s">
        <v>1043</v>
      </c>
      <c r="G618" s="30" t="s">
        <v>117</v>
      </c>
      <c r="H618" s="30"/>
      <c r="I618" s="30" t="s">
        <v>119</v>
      </c>
      <c r="J618" s="30" t="s">
        <v>1871</v>
      </c>
      <c r="K618" s="30" t="s">
        <v>1872</v>
      </c>
      <c r="L618" s="30" t="s">
        <v>1728</v>
      </c>
      <c r="M618" s="30">
        <v>1000175</v>
      </c>
      <c r="N618" s="30" t="s">
        <v>138</v>
      </c>
      <c r="O618" s="30" t="s">
        <v>1917</v>
      </c>
      <c r="P618" s="30" t="s">
        <v>1890</v>
      </c>
      <c r="Q618" s="30" t="s">
        <v>1890</v>
      </c>
      <c r="R618" s="30" t="s">
        <v>1891</v>
      </c>
      <c r="S618" s="30" t="s">
        <v>1918</v>
      </c>
      <c r="T618" s="30"/>
      <c r="U618" s="30" t="s">
        <v>588</v>
      </c>
      <c r="V618" s="30" t="s">
        <v>437</v>
      </c>
      <c r="W618" s="30" t="s">
        <v>1893</v>
      </c>
      <c r="X618" s="89"/>
      <c r="Y618" s="30" t="s">
        <v>128</v>
      </c>
      <c r="Z618" s="30" t="s">
        <v>128</v>
      </c>
      <c r="AA618" s="30" t="s">
        <v>129</v>
      </c>
      <c r="AB618" s="92" t="s">
        <v>1894</v>
      </c>
      <c r="AC618" s="30"/>
      <c r="AD618" s="30"/>
      <c r="AE618" s="30"/>
      <c r="AF618" s="30" t="s">
        <v>131</v>
      </c>
      <c r="AG618" s="30" t="s">
        <v>661</v>
      </c>
      <c r="AH618" s="30"/>
      <c r="AI618" s="30"/>
      <c r="AJ618" s="30"/>
      <c r="AK618" s="50">
        <v>38351</v>
      </c>
      <c r="AL618" s="51">
        <f t="shared" si="413"/>
        <v>20.849315068493151</v>
      </c>
      <c r="AM618" s="30">
        <v>8</v>
      </c>
      <c r="AN618" s="30"/>
      <c r="AO618" s="30" t="s">
        <v>1050</v>
      </c>
      <c r="AP618" s="30" t="s">
        <v>1051</v>
      </c>
      <c r="AQ618" s="30"/>
      <c r="AR618" s="30">
        <v>1875</v>
      </c>
      <c r="AS618" s="30">
        <v>750</v>
      </c>
      <c r="AT618" s="30">
        <v>1760</v>
      </c>
      <c r="AU618" s="74">
        <v>238559120</v>
      </c>
      <c r="AV618" s="54"/>
      <c r="AW618" s="54"/>
      <c r="AX618" s="54"/>
      <c r="AY618" s="54">
        <v>238558120</v>
      </c>
      <c r="AZ618" s="54">
        <v>257617</v>
      </c>
      <c r="BA618" s="74">
        <v>1000</v>
      </c>
      <c r="BB618" s="55">
        <f>VLOOKUP(M618,[1]Sheet1!$E$6:$F$556,2,FALSE)</f>
        <v>1000</v>
      </c>
      <c r="BC618" s="74"/>
      <c r="BD618" s="74"/>
      <c r="BE618" s="30"/>
      <c r="BF618" s="30" t="s">
        <v>1745</v>
      </c>
      <c r="BG618" s="30" t="s">
        <v>1740</v>
      </c>
      <c r="BH618" s="30" t="s">
        <v>1054</v>
      </c>
      <c r="BI618" s="30" t="str">
        <f t="shared" si="403"/>
        <v>COF(Assy_FT)</v>
      </c>
      <c r="BJ618" s="30" t="s">
        <v>250</v>
      </c>
      <c r="BK618" s="56">
        <f t="shared" si="414"/>
        <v>4771182.4000000004</v>
      </c>
      <c r="BL618" s="57">
        <f t="shared" si="385"/>
        <v>149099.45000000001</v>
      </c>
      <c r="BM618" s="57">
        <f t="shared" si="386"/>
        <v>49699.816666666673</v>
      </c>
      <c r="BU618" s="58">
        <f t="shared" si="418"/>
        <v>149099.45000000001</v>
      </c>
      <c r="BV618" s="58">
        <f t="shared" si="417"/>
        <v>149099.45000000001</v>
      </c>
      <c r="BW618" s="58">
        <f t="shared" si="410"/>
        <v>298198.90000000002</v>
      </c>
      <c r="BX618" s="58">
        <f t="shared" si="393"/>
        <v>149099.45000000001</v>
      </c>
      <c r="BY618" s="58">
        <f t="shared" si="396"/>
        <v>149099.45000000001</v>
      </c>
      <c r="BZ618" s="58">
        <f t="shared" si="419"/>
        <v>149099.45000000001</v>
      </c>
      <c r="CA618" s="58">
        <f t="shared" si="396"/>
        <v>149099.45000000001</v>
      </c>
      <c r="CB618" s="58">
        <f t="shared" si="404"/>
        <v>596397.80000000005</v>
      </c>
      <c r="CC618" s="58">
        <f t="shared" si="405"/>
        <v>149099.45000000001</v>
      </c>
      <c r="CD618" s="58">
        <f t="shared" si="420"/>
        <v>149099.45000000001</v>
      </c>
      <c r="CE618" s="58">
        <f t="shared" si="420"/>
        <v>149099.45000000001</v>
      </c>
      <c r="CF618" s="58">
        <f t="shared" si="420"/>
        <v>149099.45000000001</v>
      </c>
      <c r="CG618" s="58">
        <f t="shared" si="406"/>
        <v>596397.80000000005</v>
      </c>
      <c r="CH618" s="58">
        <f t="shared" si="394"/>
        <v>149099.45000000001</v>
      </c>
      <c r="CI618" s="58">
        <f t="shared" si="421"/>
        <v>149099.45000000001</v>
      </c>
      <c r="CJ618" s="58">
        <f t="shared" si="421"/>
        <v>149099.45000000001</v>
      </c>
      <c r="CK618" s="58">
        <f t="shared" si="421"/>
        <v>149099.45000000001</v>
      </c>
      <c r="CL618" s="58">
        <f t="shared" si="395"/>
        <v>596397.80000000005</v>
      </c>
      <c r="CP618" s="2">
        <f t="shared" si="409"/>
        <v>4771182.4000000004</v>
      </c>
    </row>
    <row r="619" spans="1:94" ht="15" hidden="1" x14ac:dyDescent="0.3">
      <c r="A619" s="29">
        <v>614</v>
      </c>
      <c r="B619" s="30" t="s">
        <v>21</v>
      </c>
      <c r="C619" s="30"/>
      <c r="D619" s="30" t="s">
        <v>1725</v>
      </c>
      <c r="E619" s="30" t="s">
        <v>1042</v>
      </c>
      <c r="F619" s="30" t="s">
        <v>1043</v>
      </c>
      <c r="G619" s="30" t="s">
        <v>117</v>
      </c>
      <c r="H619" s="30"/>
      <c r="I619" s="30" t="s">
        <v>119</v>
      </c>
      <c r="J619" s="30" t="s">
        <v>1871</v>
      </c>
      <c r="K619" s="30" t="s">
        <v>1872</v>
      </c>
      <c r="L619" s="30" t="s">
        <v>1728</v>
      </c>
      <c r="M619" s="30">
        <v>1000176</v>
      </c>
      <c r="N619" s="30" t="s">
        <v>138</v>
      </c>
      <c r="O619" s="30" t="s">
        <v>1919</v>
      </c>
      <c r="P619" s="30" t="s">
        <v>1890</v>
      </c>
      <c r="Q619" s="30" t="s">
        <v>1890</v>
      </c>
      <c r="R619" s="30" t="s">
        <v>1891</v>
      </c>
      <c r="S619" s="30" t="s">
        <v>1920</v>
      </c>
      <c r="T619" s="30"/>
      <c r="U619" s="30" t="s">
        <v>588</v>
      </c>
      <c r="V619" s="30" t="s">
        <v>437</v>
      </c>
      <c r="W619" s="30" t="s">
        <v>1893</v>
      </c>
      <c r="X619" s="89"/>
      <c r="Y619" s="30" t="s">
        <v>128</v>
      </c>
      <c r="Z619" s="30" t="s">
        <v>128</v>
      </c>
      <c r="AA619" s="30" t="s">
        <v>129</v>
      </c>
      <c r="AB619" s="92" t="s">
        <v>1894</v>
      </c>
      <c r="AC619" s="30"/>
      <c r="AD619" s="30"/>
      <c r="AE619" s="30"/>
      <c r="AF619" s="30" t="s">
        <v>131</v>
      </c>
      <c r="AG619" s="30" t="s">
        <v>661</v>
      </c>
      <c r="AH619" s="30"/>
      <c r="AI619" s="30"/>
      <c r="AJ619" s="30"/>
      <c r="AK619" s="50">
        <v>38351</v>
      </c>
      <c r="AL619" s="51">
        <f t="shared" si="413"/>
        <v>20.849315068493151</v>
      </c>
      <c r="AM619" s="30">
        <v>8</v>
      </c>
      <c r="AN619" s="30"/>
      <c r="AO619" s="30" t="s">
        <v>1050</v>
      </c>
      <c r="AP619" s="30" t="s">
        <v>1051</v>
      </c>
      <c r="AQ619" s="30"/>
      <c r="AR619" s="30">
        <v>1875</v>
      </c>
      <c r="AS619" s="30">
        <v>750</v>
      </c>
      <c r="AT619" s="30">
        <v>1760</v>
      </c>
      <c r="AU619" s="74">
        <v>238571121</v>
      </c>
      <c r="AV619" s="54"/>
      <c r="AW619" s="54"/>
      <c r="AX619" s="54"/>
      <c r="AY619" s="54">
        <v>238570121</v>
      </c>
      <c r="AZ619" s="54">
        <v>255992</v>
      </c>
      <c r="BA619" s="74">
        <v>1000</v>
      </c>
      <c r="BB619" s="55">
        <f>VLOOKUP(M619,[1]Sheet1!$E$6:$F$556,2,FALSE)</f>
        <v>1000</v>
      </c>
      <c r="BC619" s="74"/>
      <c r="BD619" s="74"/>
      <c r="BE619" s="30"/>
      <c r="BF619" s="30" t="s">
        <v>1745</v>
      </c>
      <c r="BG619" s="30" t="s">
        <v>1740</v>
      </c>
      <c r="BH619" s="30" t="s">
        <v>1054</v>
      </c>
      <c r="BI619" s="30" t="str">
        <f t="shared" si="403"/>
        <v>COF(Assy_FT)</v>
      </c>
      <c r="BJ619" s="30" t="s">
        <v>250</v>
      </c>
      <c r="BK619" s="56">
        <f t="shared" si="414"/>
        <v>4771422.42</v>
      </c>
      <c r="BL619" s="57">
        <f t="shared" ref="BL619:BL682" si="429">CP619/$BL$1/4</f>
        <v>149106.950625</v>
      </c>
      <c r="BM619" s="57">
        <f t="shared" ref="BM619:BM682" si="430">CP619/$BL$1/12</f>
        <v>49702.316874999997</v>
      </c>
      <c r="BU619" s="58">
        <f t="shared" si="418"/>
        <v>149106.950625</v>
      </c>
      <c r="BV619" s="58">
        <f t="shared" si="417"/>
        <v>149106.950625</v>
      </c>
      <c r="BW619" s="58">
        <f t="shared" si="410"/>
        <v>298213.90125</v>
      </c>
      <c r="BX619" s="58">
        <f>BV619</f>
        <v>149106.950625</v>
      </c>
      <c r="BY619" s="58">
        <f>BX619</f>
        <v>149106.950625</v>
      </c>
      <c r="BZ619" s="58">
        <f t="shared" si="419"/>
        <v>149106.950625</v>
      </c>
      <c r="CA619" s="58">
        <f>BZ619</f>
        <v>149106.950625</v>
      </c>
      <c r="CB619" s="58">
        <f t="shared" si="404"/>
        <v>596427.80249999999</v>
      </c>
      <c r="CC619" s="58">
        <f t="shared" si="405"/>
        <v>149106.950625</v>
      </c>
      <c r="CD619" s="58">
        <f t="shared" si="420"/>
        <v>149106.950625</v>
      </c>
      <c r="CE619" s="58">
        <f t="shared" si="420"/>
        <v>149106.950625</v>
      </c>
      <c r="CF619" s="58">
        <f t="shared" si="420"/>
        <v>149106.950625</v>
      </c>
      <c r="CG619" s="58">
        <f t="shared" si="406"/>
        <v>596427.80249999999</v>
      </c>
      <c r="CH619" s="58">
        <f>CF619</f>
        <v>149106.950625</v>
      </c>
      <c r="CI619" s="58">
        <f t="shared" si="421"/>
        <v>149106.950625</v>
      </c>
      <c r="CJ619" s="58">
        <f t="shared" si="421"/>
        <v>149106.950625</v>
      </c>
      <c r="CK619" s="58">
        <f t="shared" si="421"/>
        <v>149106.950625</v>
      </c>
      <c r="CL619" s="58">
        <f>SUM(CH619:CK619)</f>
        <v>596427.80249999999</v>
      </c>
      <c r="CP619" s="2">
        <f t="shared" si="409"/>
        <v>4771422.42</v>
      </c>
    </row>
    <row r="620" spans="1:94" ht="15" hidden="1" x14ac:dyDescent="0.3">
      <c r="A620" s="29">
        <v>615</v>
      </c>
      <c r="B620" s="30" t="s">
        <v>21</v>
      </c>
      <c r="C620" s="30"/>
      <c r="D620" s="30" t="s">
        <v>1725</v>
      </c>
      <c r="E620" s="30" t="s">
        <v>1042</v>
      </c>
      <c r="F620" s="30" t="s">
        <v>1043</v>
      </c>
      <c r="G620" s="30" t="s">
        <v>117</v>
      </c>
      <c r="H620" s="30"/>
      <c r="I620" s="30" t="s">
        <v>119</v>
      </c>
      <c r="J620" s="30" t="s">
        <v>1871</v>
      </c>
      <c r="K620" s="30" t="s">
        <v>1872</v>
      </c>
      <c r="L620" s="30" t="s">
        <v>1728</v>
      </c>
      <c r="M620" s="30">
        <v>1005044</v>
      </c>
      <c r="N620" s="30" t="s">
        <v>138</v>
      </c>
      <c r="O620" s="30" t="s">
        <v>1921</v>
      </c>
      <c r="P620" s="30" t="s">
        <v>1890</v>
      </c>
      <c r="Q620" s="30" t="s">
        <v>1890</v>
      </c>
      <c r="R620" s="30" t="s">
        <v>1891</v>
      </c>
      <c r="S620" s="30" t="s">
        <v>1922</v>
      </c>
      <c r="T620" s="30"/>
      <c r="U620" s="30" t="s">
        <v>588</v>
      </c>
      <c r="V620" s="30" t="s">
        <v>437</v>
      </c>
      <c r="W620" s="30" t="s">
        <v>1893</v>
      </c>
      <c r="X620" s="89"/>
      <c r="Y620" s="30" t="s">
        <v>128</v>
      </c>
      <c r="Z620" s="30" t="s">
        <v>128</v>
      </c>
      <c r="AA620" s="30" t="s">
        <v>129</v>
      </c>
      <c r="AB620" s="92" t="s">
        <v>1894</v>
      </c>
      <c r="AC620" s="30"/>
      <c r="AD620" s="30"/>
      <c r="AE620" s="30"/>
      <c r="AF620" s="30" t="s">
        <v>131</v>
      </c>
      <c r="AG620" s="30" t="s">
        <v>661</v>
      </c>
      <c r="AH620" s="30"/>
      <c r="AI620" s="30"/>
      <c r="AJ620" s="30"/>
      <c r="AK620" s="50">
        <v>42851</v>
      </c>
      <c r="AL620" s="51">
        <f t="shared" si="413"/>
        <v>8.5205479452054789</v>
      </c>
      <c r="AM620" s="30">
        <v>8</v>
      </c>
      <c r="AN620" s="30"/>
      <c r="AO620" s="30" t="s">
        <v>1050</v>
      </c>
      <c r="AP620" s="30" t="s">
        <v>1051</v>
      </c>
      <c r="AQ620" s="30"/>
      <c r="AR620" s="30">
        <v>1875</v>
      </c>
      <c r="AS620" s="30">
        <v>750</v>
      </c>
      <c r="AT620" s="30">
        <v>1760</v>
      </c>
      <c r="AU620" s="74">
        <v>181315000</v>
      </c>
      <c r="AV620" s="54"/>
      <c r="AW620" s="54"/>
      <c r="AX620" s="54"/>
      <c r="AY620" s="54">
        <v>154779424</v>
      </c>
      <c r="AZ620" s="54">
        <v>1792169</v>
      </c>
      <c r="BA620" s="74">
        <v>21159069</v>
      </c>
      <c r="BB620" s="55">
        <f>VLOOKUP(M620,[1]Sheet1!$E$6:$F$556,2,FALSE)</f>
        <v>1000</v>
      </c>
      <c r="BC620" s="74"/>
      <c r="BD620" s="74"/>
      <c r="BE620" s="30"/>
      <c r="BF620" s="30" t="s">
        <v>1739</v>
      </c>
      <c r="BG620" s="30" t="s">
        <v>1740</v>
      </c>
      <c r="BH620" s="30" t="s">
        <v>1054</v>
      </c>
      <c r="BI620" s="30" t="str">
        <f t="shared" si="403"/>
        <v>COF(Assy_FT)</v>
      </c>
      <c r="BJ620" s="30" t="s">
        <v>250</v>
      </c>
      <c r="BK620" s="56">
        <f t="shared" si="414"/>
        <v>22217022.449999999</v>
      </c>
      <c r="BL620" s="57">
        <f t="shared" si="429"/>
        <v>694281.95156249998</v>
      </c>
      <c r="BM620" s="57">
        <f t="shared" si="430"/>
        <v>231427.31718749998</v>
      </c>
      <c r="BU620" s="58">
        <f t="shared" si="418"/>
        <v>694281.95156249998</v>
      </c>
      <c r="BV620" s="58">
        <f t="shared" si="417"/>
        <v>694281.95156249998</v>
      </c>
      <c r="BW620" s="58">
        <f t="shared" si="410"/>
        <v>1388563.903125</v>
      </c>
      <c r="BX620" s="58">
        <f>BV620</f>
        <v>694281.95156249998</v>
      </c>
      <c r="BY620" s="58">
        <f>BX620</f>
        <v>694281.95156249998</v>
      </c>
      <c r="BZ620" s="58">
        <f t="shared" si="419"/>
        <v>694281.95156249998</v>
      </c>
      <c r="CA620" s="58">
        <f>BZ620</f>
        <v>694281.95156249998</v>
      </c>
      <c r="CB620" s="58">
        <f t="shared" si="404"/>
        <v>2777127.8062499999</v>
      </c>
      <c r="CC620" s="58">
        <f t="shared" si="405"/>
        <v>694281.95156249998</v>
      </c>
      <c r="CD620" s="58">
        <f t="shared" si="420"/>
        <v>694281.95156249998</v>
      </c>
      <c r="CE620" s="58">
        <f t="shared" si="420"/>
        <v>694281.95156249998</v>
      </c>
      <c r="CF620" s="58">
        <f t="shared" si="420"/>
        <v>694281.95156249998</v>
      </c>
      <c r="CG620" s="58">
        <f t="shared" si="406"/>
        <v>2777127.8062499999</v>
      </c>
      <c r="CH620" s="58">
        <f>CF620</f>
        <v>694281.95156249998</v>
      </c>
      <c r="CI620" s="58">
        <f t="shared" si="421"/>
        <v>694281.95156249998</v>
      </c>
      <c r="CJ620" s="58">
        <f t="shared" si="421"/>
        <v>694281.95156249998</v>
      </c>
      <c r="CK620" s="58">
        <f t="shared" si="421"/>
        <v>694281.95156249998</v>
      </c>
      <c r="CL620" s="58">
        <f>SUM(CH620:CK620)</f>
        <v>2777127.8062499999</v>
      </c>
      <c r="CP620" s="2">
        <f t="shared" si="409"/>
        <v>22217022.449999999</v>
      </c>
    </row>
    <row r="621" spans="1:94" ht="15" hidden="1" x14ac:dyDescent="0.3">
      <c r="A621" s="29">
        <v>616</v>
      </c>
      <c r="B621" s="30" t="s">
        <v>21</v>
      </c>
      <c r="C621" s="30"/>
      <c r="D621" s="30" t="s">
        <v>1725</v>
      </c>
      <c r="E621" s="30" t="s">
        <v>1042</v>
      </c>
      <c r="F621" s="30" t="s">
        <v>1043</v>
      </c>
      <c r="G621" s="30" t="s">
        <v>117</v>
      </c>
      <c r="H621" s="30"/>
      <c r="I621" s="30" t="s">
        <v>119</v>
      </c>
      <c r="J621" s="30" t="s">
        <v>1871</v>
      </c>
      <c r="K621" s="30" t="s">
        <v>1872</v>
      </c>
      <c r="L621" s="30" t="s">
        <v>1728</v>
      </c>
      <c r="M621" s="30">
        <v>1005045</v>
      </c>
      <c r="N621" s="30" t="s">
        <v>138</v>
      </c>
      <c r="O621" s="30" t="s">
        <v>1923</v>
      </c>
      <c r="P621" s="30" t="s">
        <v>1890</v>
      </c>
      <c r="Q621" s="30" t="s">
        <v>1890</v>
      </c>
      <c r="R621" s="30" t="s">
        <v>1891</v>
      </c>
      <c r="S621" s="30" t="s">
        <v>1924</v>
      </c>
      <c r="T621" s="30"/>
      <c r="U621" s="30" t="s">
        <v>588</v>
      </c>
      <c r="V621" s="30" t="s">
        <v>437</v>
      </c>
      <c r="W621" s="30" t="s">
        <v>1893</v>
      </c>
      <c r="X621" s="89"/>
      <c r="Y621" s="30" t="s">
        <v>128</v>
      </c>
      <c r="Z621" s="30" t="s">
        <v>128</v>
      </c>
      <c r="AA621" s="30" t="s">
        <v>129</v>
      </c>
      <c r="AB621" s="92" t="s">
        <v>1894</v>
      </c>
      <c r="AC621" s="30"/>
      <c r="AD621" s="30"/>
      <c r="AE621" s="30"/>
      <c r="AF621" s="30" t="s">
        <v>131</v>
      </c>
      <c r="AG621" s="30" t="s">
        <v>661</v>
      </c>
      <c r="AH621" s="30"/>
      <c r="AI621" s="30"/>
      <c r="AJ621" s="30"/>
      <c r="AK621" s="50">
        <v>42851</v>
      </c>
      <c r="AL621" s="51">
        <f t="shared" si="413"/>
        <v>8.5205479452054789</v>
      </c>
      <c r="AM621" s="30">
        <v>8</v>
      </c>
      <c r="AN621" s="30"/>
      <c r="AO621" s="30" t="s">
        <v>1050</v>
      </c>
      <c r="AP621" s="30" t="s">
        <v>1051</v>
      </c>
      <c r="AQ621" s="30"/>
      <c r="AR621" s="30">
        <v>1875</v>
      </c>
      <c r="AS621" s="30">
        <v>750</v>
      </c>
      <c r="AT621" s="30">
        <v>1760</v>
      </c>
      <c r="AU621" s="74">
        <v>181315000</v>
      </c>
      <c r="AV621" s="54"/>
      <c r="AW621" s="54"/>
      <c r="AX621" s="54"/>
      <c r="AY621" s="54">
        <v>154779424</v>
      </c>
      <c r="AZ621" s="54">
        <v>1792169</v>
      </c>
      <c r="BA621" s="74">
        <v>21159069</v>
      </c>
      <c r="BB621" s="55">
        <f>VLOOKUP(M621,[1]Sheet1!$E$6:$F$556,2,FALSE)</f>
        <v>1000</v>
      </c>
      <c r="BC621" s="74"/>
      <c r="BD621" s="74"/>
      <c r="BE621" s="30"/>
      <c r="BF621" s="30" t="s">
        <v>1739</v>
      </c>
      <c r="BG621" s="30" t="s">
        <v>1740</v>
      </c>
      <c r="BH621" s="30" t="s">
        <v>1054</v>
      </c>
      <c r="BI621" s="30" t="str">
        <f t="shared" si="403"/>
        <v>COF(Assy_FT)</v>
      </c>
      <c r="BJ621" s="30" t="s">
        <v>250</v>
      </c>
      <c r="BK621" s="56">
        <f t="shared" si="414"/>
        <v>22217022.449999999</v>
      </c>
      <c r="BL621" s="57">
        <f t="shared" si="429"/>
        <v>694281.95156249998</v>
      </c>
      <c r="BM621" s="57">
        <f t="shared" si="430"/>
        <v>231427.31718749998</v>
      </c>
      <c r="BU621" s="58">
        <f t="shared" si="418"/>
        <v>694281.95156249998</v>
      </c>
      <c r="BV621" s="58">
        <f t="shared" si="417"/>
        <v>694281.95156249998</v>
      </c>
      <c r="BW621" s="58">
        <f t="shared" si="410"/>
        <v>1388563.903125</v>
      </c>
      <c r="BX621" s="58">
        <f>BV621</f>
        <v>694281.95156249998</v>
      </c>
      <c r="BY621" s="58">
        <f>BX621</f>
        <v>694281.95156249998</v>
      </c>
      <c r="BZ621" s="58">
        <f t="shared" si="419"/>
        <v>694281.95156249998</v>
      </c>
      <c r="CA621" s="58">
        <f>BZ621</f>
        <v>694281.95156249998</v>
      </c>
      <c r="CB621" s="58">
        <f t="shared" si="404"/>
        <v>2777127.8062499999</v>
      </c>
      <c r="CC621" s="58">
        <f t="shared" si="405"/>
        <v>694281.95156249998</v>
      </c>
      <c r="CD621" s="58">
        <f t="shared" si="420"/>
        <v>694281.95156249998</v>
      </c>
      <c r="CE621" s="58">
        <f t="shared" si="420"/>
        <v>694281.95156249998</v>
      </c>
      <c r="CF621" s="58">
        <f t="shared" si="420"/>
        <v>694281.95156249998</v>
      </c>
      <c r="CG621" s="58">
        <f t="shared" si="406"/>
        <v>2777127.8062499999</v>
      </c>
      <c r="CH621" s="58">
        <f>CF621</f>
        <v>694281.95156249998</v>
      </c>
      <c r="CI621" s="58">
        <f t="shared" si="421"/>
        <v>694281.95156249998</v>
      </c>
      <c r="CJ621" s="58">
        <f t="shared" si="421"/>
        <v>694281.95156249998</v>
      </c>
      <c r="CK621" s="58">
        <f t="shared" si="421"/>
        <v>694281.95156249998</v>
      </c>
      <c r="CL621" s="58">
        <f>SUM(CH621:CK621)</f>
        <v>2777127.8062499999</v>
      </c>
      <c r="CP621" s="2">
        <f t="shared" si="409"/>
        <v>22217022.449999999</v>
      </c>
    </row>
    <row r="622" spans="1:94" ht="16.5" hidden="1" x14ac:dyDescent="0.3">
      <c r="A622" s="2">
        <v>617</v>
      </c>
      <c r="B622" s="47" t="s">
        <v>21</v>
      </c>
      <c r="C622" s="47"/>
      <c r="D622" s="30" t="s">
        <v>1725</v>
      </c>
      <c r="E622" s="30" t="s">
        <v>1042</v>
      </c>
      <c r="F622" s="30" t="s">
        <v>1043</v>
      </c>
      <c r="G622" s="30" t="s">
        <v>117</v>
      </c>
      <c r="H622" s="30"/>
      <c r="I622" s="30" t="s">
        <v>119</v>
      </c>
      <c r="J622" s="30" t="s">
        <v>1871</v>
      </c>
      <c r="K622" s="30" t="s">
        <v>1872</v>
      </c>
      <c r="L622" s="30" t="s">
        <v>1728</v>
      </c>
      <c r="M622" s="30">
        <v>1005601</v>
      </c>
      <c r="N622" s="30" t="s">
        <v>138</v>
      </c>
      <c r="O622" s="30" t="s">
        <v>1925</v>
      </c>
      <c r="P622" s="30" t="s">
        <v>1926</v>
      </c>
      <c r="Q622" s="30" t="s">
        <v>1926</v>
      </c>
      <c r="R622" s="30" t="s">
        <v>1891</v>
      </c>
      <c r="S622" s="30" t="s">
        <v>1927</v>
      </c>
      <c r="T622" s="30"/>
      <c r="U622" s="30" t="s">
        <v>588</v>
      </c>
      <c r="V622" s="30" t="s">
        <v>437</v>
      </c>
      <c r="W622" s="30" t="s">
        <v>1893</v>
      </c>
      <c r="X622" s="89" t="s">
        <v>1764</v>
      </c>
      <c r="Y622" s="30" t="s">
        <v>128</v>
      </c>
      <c r="Z622" s="30" t="s">
        <v>128</v>
      </c>
      <c r="AA622" s="30" t="s">
        <v>129</v>
      </c>
      <c r="AB622" s="92" t="s">
        <v>1894</v>
      </c>
      <c r="AC622" s="30"/>
      <c r="AD622" s="30"/>
      <c r="AE622" s="30"/>
      <c r="AF622" s="30" t="s">
        <v>131</v>
      </c>
      <c r="AG622" s="30" t="s">
        <v>661</v>
      </c>
      <c r="AH622" s="30"/>
      <c r="AI622" s="30"/>
      <c r="AJ622" s="30"/>
      <c r="AK622" s="50">
        <v>43361</v>
      </c>
      <c r="AL622" s="51">
        <f t="shared" si="413"/>
        <v>7.1232876712328768</v>
      </c>
      <c r="AM622" s="30">
        <v>8</v>
      </c>
      <c r="AN622" s="30"/>
      <c r="AO622" s="30" t="s">
        <v>1050</v>
      </c>
      <c r="AP622" s="30" t="s">
        <v>1187</v>
      </c>
      <c r="AQ622" s="30"/>
      <c r="AR622" s="30">
        <v>2600</v>
      </c>
      <c r="AS622" s="30">
        <v>1000</v>
      </c>
      <c r="AT622" s="30">
        <v>2100</v>
      </c>
      <c r="AU622" s="54">
        <v>390812500</v>
      </c>
      <c r="AV622" s="54"/>
      <c r="AW622" s="54"/>
      <c r="AX622" s="54"/>
      <c r="AY622" s="54">
        <v>308151053</v>
      </c>
      <c r="AZ622" s="54">
        <v>4070964</v>
      </c>
      <c r="BA622" s="54">
        <v>70448555</v>
      </c>
      <c r="BB622" s="55">
        <f>VLOOKUP(M622,[1]Sheet1!$E$6:$F$556,2,FALSE)</f>
        <v>4105686</v>
      </c>
      <c r="BC622" s="74"/>
      <c r="BD622" s="74"/>
      <c r="BE622" s="30"/>
      <c r="BF622" s="30" t="s">
        <v>1739</v>
      </c>
      <c r="BG622" s="30" t="s">
        <v>1740</v>
      </c>
      <c r="BH622" s="30" t="s">
        <v>1054</v>
      </c>
      <c r="BI622" s="30" t="str">
        <f t="shared" si="403"/>
        <v>COF(Assy_FT)</v>
      </c>
      <c r="BJ622" s="47" t="s">
        <v>137</v>
      </c>
      <c r="BK622" s="56">
        <f t="shared" si="414"/>
        <v>73970982.75</v>
      </c>
      <c r="BL622" s="57">
        <f t="shared" si="429"/>
        <v>7051558.9444445632</v>
      </c>
      <c r="BM622" s="57">
        <f t="shared" si="430"/>
        <v>2350519.6481481879</v>
      </c>
      <c r="BP622" s="69">
        <f>BM622*3</f>
        <v>7051558.9444445632</v>
      </c>
      <c r="BQ622" s="69">
        <f>BP622</f>
        <v>7051558.9444445632</v>
      </c>
      <c r="BR622" s="69">
        <f>SUM(BN622:BQ622)</f>
        <v>14103117.888889126</v>
      </c>
      <c r="BS622" s="69">
        <f>BQ622</f>
        <v>7051558.9444445632</v>
      </c>
      <c r="BT622" s="69">
        <f t="shared" ref="BT622:BV634" si="431">BS622</f>
        <v>7051558.9444445632</v>
      </c>
      <c r="BU622" s="100">
        <f t="shared" si="431"/>
        <v>7051558.9444445632</v>
      </c>
      <c r="BV622" s="100">
        <f t="shared" si="431"/>
        <v>7051558.9444445632</v>
      </c>
      <c r="BW622" s="100">
        <f>SUM(BS622:BV622)</f>
        <v>28206235.777778253</v>
      </c>
      <c r="BX622" s="101">
        <f t="shared" ref="BX622:BX682" si="432">BV622</f>
        <v>7051558.9444445632</v>
      </c>
      <c r="BY622" s="101">
        <f t="shared" ref="BY622:CA682" si="433">BX622</f>
        <v>7051558.9444445632</v>
      </c>
      <c r="BZ622" s="58">
        <f t="shared" si="433"/>
        <v>7051558.9444445632</v>
      </c>
      <c r="CA622" s="58">
        <f t="shared" si="433"/>
        <v>7051558.9444445632</v>
      </c>
      <c r="CB622" s="76">
        <f t="shared" si="404"/>
        <v>28206235.777778253</v>
      </c>
      <c r="CC622" s="58">
        <f t="shared" si="405"/>
        <v>7051558.9444445632</v>
      </c>
      <c r="CD622" s="58">
        <f t="shared" si="420"/>
        <v>7051558.9444445632</v>
      </c>
      <c r="CE622" s="58">
        <f t="shared" si="420"/>
        <v>7051558.9444445632</v>
      </c>
      <c r="CF622" s="58">
        <f t="shared" si="420"/>
        <v>7051558.9444445632</v>
      </c>
      <c r="CG622" s="76">
        <f t="shared" si="406"/>
        <v>28206235.777778253</v>
      </c>
      <c r="CH622" s="58">
        <f t="shared" ref="CH622:CH682" si="434">CF622</f>
        <v>7051558.9444445632</v>
      </c>
      <c r="CI622" s="58">
        <f t="shared" si="421"/>
        <v>7051558.9444445632</v>
      </c>
      <c r="CJ622" s="58">
        <f t="shared" si="421"/>
        <v>7051558.9444445632</v>
      </c>
      <c r="CK622" s="58">
        <f t="shared" si="421"/>
        <v>7051558.9444445632</v>
      </c>
      <c r="CL622" s="76">
        <f t="shared" ref="CL622:CL682" si="435">SUM(CH622:CK622)</f>
        <v>28206235.777778253</v>
      </c>
      <c r="CM622" s="71"/>
      <c r="CN622" s="59">
        <f t="shared" ref="CN622:CN627" si="436">BK622/$CN$3</f>
        <v>7.2228049272488578E-3</v>
      </c>
      <c r="CO622" s="64">
        <f t="shared" ref="CO622:CO627" si="437">CN622*$CO$4</f>
        <v>151678903.47222602</v>
      </c>
      <c r="CP622" s="2">
        <f t="shared" si="409"/>
        <v>225649886.22222602</v>
      </c>
    </row>
    <row r="623" spans="1:94" ht="16.5" hidden="1" x14ac:dyDescent="0.3">
      <c r="A623" s="2">
        <v>618</v>
      </c>
      <c r="B623" s="47" t="s">
        <v>21</v>
      </c>
      <c r="C623" s="47"/>
      <c r="D623" s="30" t="s">
        <v>1725</v>
      </c>
      <c r="E623" s="30" t="s">
        <v>1042</v>
      </c>
      <c r="F623" s="30" t="s">
        <v>1043</v>
      </c>
      <c r="G623" s="30" t="s">
        <v>117</v>
      </c>
      <c r="H623" s="30"/>
      <c r="I623" s="30" t="s">
        <v>119</v>
      </c>
      <c r="J623" s="30" t="s">
        <v>1871</v>
      </c>
      <c r="K623" s="30" t="s">
        <v>1872</v>
      </c>
      <c r="L623" s="30" t="s">
        <v>1728</v>
      </c>
      <c r="M623" s="30">
        <v>1005602</v>
      </c>
      <c r="N623" s="30" t="s">
        <v>138</v>
      </c>
      <c r="O623" s="30" t="s">
        <v>1928</v>
      </c>
      <c r="P623" s="30" t="s">
        <v>1926</v>
      </c>
      <c r="Q623" s="30" t="s">
        <v>1926</v>
      </c>
      <c r="R623" s="30" t="s">
        <v>1891</v>
      </c>
      <c r="S623" s="30" t="s">
        <v>1929</v>
      </c>
      <c r="T623" s="30"/>
      <c r="U623" s="30" t="s">
        <v>588</v>
      </c>
      <c r="V623" s="30" t="s">
        <v>437</v>
      </c>
      <c r="W623" s="30" t="s">
        <v>1893</v>
      </c>
      <c r="X623" s="89" t="s">
        <v>1764</v>
      </c>
      <c r="Y623" s="30" t="s">
        <v>128</v>
      </c>
      <c r="Z623" s="30" t="s">
        <v>128</v>
      </c>
      <c r="AA623" s="30" t="s">
        <v>129</v>
      </c>
      <c r="AB623" s="92" t="s">
        <v>1894</v>
      </c>
      <c r="AC623" s="30"/>
      <c r="AD623" s="30"/>
      <c r="AE623" s="30"/>
      <c r="AF623" s="30" t="s">
        <v>131</v>
      </c>
      <c r="AG623" s="30" t="s">
        <v>661</v>
      </c>
      <c r="AH623" s="30"/>
      <c r="AI623" s="30"/>
      <c r="AJ623" s="30"/>
      <c r="AK623" s="50">
        <v>43361</v>
      </c>
      <c r="AL623" s="51">
        <f t="shared" si="413"/>
        <v>7.1232876712328768</v>
      </c>
      <c r="AM623" s="30">
        <v>8</v>
      </c>
      <c r="AN623" s="30"/>
      <c r="AO623" s="30" t="s">
        <v>1050</v>
      </c>
      <c r="AP623" s="30" t="s">
        <v>1187</v>
      </c>
      <c r="AQ623" s="30"/>
      <c r="AR623" s="30">
        <v>2600</v>
      </c>
      <c r="AS623" s="30">
        <v>1000</v>
      </c>
      <c r="AT623" s="30">
        <v>2100</v>
      </c>
      <c r="AU623" s="54">
        <v>351812500</v>
      </c>
      <c r="AV623" s="54"/>
      <c r="AW623" s="54"/>
      <c r="AX623" s="54"/>
      <c r="AY623" s="54">
        <v>301651047</v>
      </c>
      <c r="AZ623" s="54">
        <v>3664714</v>
      </c>
      <c r="BA623" s="54">
        <v>39167311</v>
      </c>
      <c r="BB623" s="55">
        <f>VLOOKUP(M623,[1]Sheet1!$E$6:$F$556,2,FALSE)</f>
        <v>2098138</v>
      </c>
      <c r="BC623" s="74"/>
      <c r="BD623" s="74"/>
      <c r="BE623" s="30"/>
      <c r="BF623" s="30" t="s">
        <v>1739</v>
      </c>
      <c r="BG623" s="30" t="s">
        <v>1740</v>
      </c>
      <c r="BH623" s="30" t="s">
        <v>1054</v>
      </c>
      <c r="BI623" s="30" t="str">
        <f t="shared" si="403"/>
        <v>COF(Assy_FT)</v>
      </c>
      <c r="BJ623" s="47" t="s">
        <v>137</v>
      </c>
      <c r="BK623" s="56">
        <f t="shared" si="414"/>
        <v>41125676.550000004</v>
      </c>
      <c r="BL623" s="57">
        <f t="shared" si="429"/>
        <v>3920458.0166604118</v>
      </c>
      <c r="BM623" s="57">
        <f t="shared" si="430"/>
        <v>1306819.3388868039</v>
      </c>
      <c r="BP623" s="69">
        <f>BM623*3</f>
        <v>3920458.0166604118</v>
      </c>
      <c r="BQ623" s="69">
        <f>BP623</f>
        <v>3920458.0166604118</v>
      </c>
      <c r="BR623" s="69">
        <f>SUM(BN623:BQ623)</f>
        <v>7840916.0333208237</v>
      </c>
      <c r="BS623" s="69">
        <f>BQ623</f>
        <v>3920458.0166604118</v>
      </c>
      <c r="BT623" s="69">
        <f t="shared" si="431"/>
        <v>3920458.0166604118</v>
      </c>
      <c r="BU623" s="100">
        <f t="shared" si="431"/>
        <v>3920458.0166604118</v>
      </c>
      <c r="BV623" s="100">
        <f t="shared" si="431"/>
        <v>3920458.0166604118</v>
      </c>
      <c r="BW623" s="100">
        <f>SUM(BS623:BV623)</f>
        <v>15681832.066641647</v>
      </c>
      <c r="BX623" s="101">
        <f t="shared" si="432"/>
        <v>3920458.0166604118</v>
      </c>
      <c r="BY623" s="101">
        <f t="shared" si="433"/>
        <v>3920458.0166604118</v>
      </c>
      <c r="BZ623" s="58">
        <f t="shared" si="433"/>
        <v>3920458.0166604118</v>
      </c>
      <c r="CA623" s="58">
        <f t="shared" si="433"/>
        <v>3920458.0166604118</v>
      </c>
      <c r="CB623" s="76">
        <f t="shared" si="404"/>
        <v>15681832.066641647</v>
      </c>
      <c r="CC623" s="58">
        <f t="shared" si="405"/>
        <v>3920458.0166604118</v>
      </c>
      <c r="CD623" s="58">
        <f t="shared" si="420"/>
        <v>3920458.0166604118</v>
      </c>
      <c r="CE623" s="58">
        <f t="shared" si="420"/>
        <v>3920458.0166604118</v>
      </c>
      <c r="CF623" s="58">
        <f t="shared" si="420"/>
        <v>3920458.0166604118</v>
      </c>
      <c r="CG623" s="76">
        <f t="shared" si="406"/>
        <v>15681832.066641647</v>
      </c>
      <c r="CH623" s="58">
        <f t="shared" si="434"/>
        <v>3920458.0166604118</v>
      </c>
      <c r="CI623" s="58">
        <f t="shared" si="421"/>
        <v>3920458.0166604118</v>
      </c>
      <c r="CJ623" s="58">
        <f t="shared" si="421"/>
        <v>3920458.0166604118</v>
      </c>
      <c r="CK623" s="58">
        <f t="shared" si="421"/>
        <v>3920458.0166604118</v>
      </c>
      <c r="CL623" s="76">
        <f t="shared" si="435"/>
        <v>15681832.066641647</v>
      </c>
      <c r="CM623" s="71"/>
      <c r="CN623" s="59">
        <f t="shared" si="436"/>
        <v>4.0156657134825325E-3</v>
      </c>
      <c r="CO623" s="64">
        <f t="shared" si="437"/>
        <v>84328979.983133182</v>
      </c>
      <c r="CP623" s="2">
        <f t="shared" si="409"/>
        <v>125454656.53313318</v>
      </c>
    </row>
    <row r="624" spans="1:94" ht="16.5" hidden="1" x14ac:dyDescent="0.3">
      <c r="A624" s="2">
        <v>619</v>
      </c>
      <c r="B624" s="47" t="s">
        <v>21</v>
      </c>
      <c r="C624" s="47"/>
      <c r="D624" s="30" t="s">
        <v>1725</v>
      </c>
      <c r="E624" s="30" t="s">
        <v>1042</v>
      </c>
      <c r="F624" s="30" t="s">
        <v>1043</v>
      </c>
      <c r="G624" s="30" t="s">
        <v>117</v>
      </c>
      <c r="H624" s="30"/>
      <c r="I624" s="30" t="s">
        <v>119</v>
      </c>
      <c r="J624" s="30" t="s">
        <v>1871</v>
      </c>
      <c r="K624" s="30" t="s">
        <v>1872</v>
      </c>
      <c r="L624" s="30" t="s">
        <v>1728</v>
      </c>
      <c r="M624" s="30">
        <v>1005603</v>
      </c>
      <c r="N624" s="30" t="s">
        <v>138</v>
      </c>
      <c r="O624" s="30" t="s">
        <v>1930</v>
      </c>
      <c r="P624" s="30" t="s">
        <v>1926</v>
      </c>
      <c r="Q624" s="30" t="s">
        <v>1926</v>
      </c>
      <c r="R624" s="30" t="s">
        <v>1891</v>
      </c>
      <c r="S624" s="30" t="s">
        <v>1931</v>
      </c>
      <c r="T624" s="30"/>
      <c r="U624" s="30" t="s">
        <v>588</v>
      </c>
      <c r="V624" s="30" t="s">
        <v>437</v>
      </c>
      <c r="W624" s="30" t="s">
        <v>1893</v>
      </c>
      <c r="X624" s="89" t="s">
        <v>1764</v>
      </c>
      <c r="Y624" s="30" t="s">
        <v>128</v>
      </c>
      <c r="Z624" s="30" t="s">
        <v>128</v>
      </c>
      <c r="AA624" s="30" t="s">
        <v>129</v>
      </c>
      <c r="AB624" s="92" t="s">
        <v>1894</v>
      </c>
      <c r="AC624" s="30"/>
      <c r="AD624" s="30"/>
      <c r="AE624" s="30"/>
      <c r="AF624" s="30" t="s">
        <v>131</v>
      </c>
      <c r="AG624" s="30" t="s">
        <v>661</v>
      </c>
      <c r="AH624" s="30"/>
      <c r="AI624" s="30"/>
      <c r="AJ624" s="30"/>
      <c r="AK624" s="50">
        <v>43361</v>
      </c>
      <c r="AL624" s="51">
        <f t="shared" si="413"/>
        <v>7.1232876712328768</v>
      </c>
      <c r="AM624" s="30">
        <v>8</v>
      </c>
      <c r="AN624" s="30"/>
      <c r="AO624" s="30" t="s">
        <v>1050</v>
      </c>
      <c r="AP624" s="30" t="s">
        <v>1187</v>
      </c>
      <c r="AQ624" s="30"/>
      <c r="AR624" s="30">
        <v>2600</v>
      </c>
      <c r="AS624" s="30">
        <v>1000</v>
      </c>
      <c r="AT624" s="30">
        <v>2100</v>
      </c>
      <c r="AU624" s="54">
        <v>390812500</v>
      </c>
      <c r="AV624" s="54"/>
      <c r="AW624" s="54"/>
      <c r="AX624" s="54"/>
      <c r="AY624" s="54">
        <v>308151053</v>
      </c>
      <c r="AZ624" s="54">
        <v>4070964</v>
      </c>
      <c r="BA624" s="54">
        <v>70448555</v>
      </c>
      <c r="BB624" s="55">
        <f>VLOOKUP(M624,[1]Sheet1!$E$6:$F$556,2,FALSE)</f>
        <v>4105686</v>
      </c>
      <c r="BC624" s="74"/>
      <c r="BD624" s="74"/>
      <c r="BE624" s="30"/>
      <c r="BF624" s="30" t="s">
        <v>1739</v>
      </c>
      <c r="BG624" s="30" t="s">
        <v>1740</v>
      </c>
      <c r="BH624" s="30" t="s">
        <v>1054</v>
      </c>
      <c r="BI624" s="30" t="str">
        <f t="shared" si="403"/>
        <v>COF(Assy_FT)</v>
      </c>
      <c r="BJ624" s="47" t="s">
        <v>137</v>
      </c>
      <c r="BK624" s="56">
        <f t="shared" si="414"/>
        <v>73970982.75</v>
      </c>
      <c r="BL624" s="57">
        <f t="shared" si="429"/>
        <v>7051558.9444445632</v>
      </c>
      <c r="BM624" s="57">
        <f t="shared" si="430"/>
        <v>2350519.6481481879</v>
      </c>
      <c r="BP624" s="69">
        <f>BM624*3</f>
        <v>7051558.9444445632</v>
      </c>
      <c r="BQ624" s="69">
        <f>BP624</f>
        <v>7051558.9444445632</v>
      </c>
      <c r="BR624" s="69">
        <f>SUM(BN624:BQ624)</f>
        <v>14103117.888889126</v>
      </c>
      <c r="BS624" s="69">
        <f>BQ624</f>
        <v>7051558.9444445632</v>
      </c>
      <c r="BT624" s="69">
        <f t="shared" si="431"/>
        <v>7051558.9444445632</v>
      </c>
      <c r="BU624" s="100">
        <f t="shared" si="431"/>
        <v>7051558.9444445632</v>
      </c>
      <c r="BV624" s="100">
        <f t="shared" si="431"/>
        <v>7051558.9444445632</v>
      </c>
      <c r="BW624" s="100">
        <f>SUM(BS624:BV624)</f>
        <v>28206235.777778253</v>
      </c>
      <c r="BX624" s="101">
        <f t="shared" si="432"/>
        <v>7051558.9444445632</v>
      </c>
      <c r="BY624" s="101">
        <f t="shared" si="433"/>
        <v>7051558.9444445632</v>
      </c>
      <c r="BZ624" s="58">
        <f t="shared" si="433"/>
        <v>7051558.9444445632</v>
      </c>
      <c r="CA624" s="58">
        <f t="shared" si="433"/>
        <v>7051558.9444445632</v>
      </c>
      <c r="CB624" s="76">
        <f t="shared" si="404"/>
        <v>28206235.777778253</v>
      </c>
      <c r="CC624" s="58">
        <f t="shared" si="405"/>
        <v>7051558.9444445632</v>
      </c>
      <c r="CD624" s="58">
        <f t="shared" si="420"/>
        <v>7051558.9444445632</v>
      </c>
      <c r="CE624" s="58">
        <f t="shared" si="420"/>
        <v>7051558.9444445632</v>
      </c>
      <c r="CF624" s="58">
        <f t="shared" si="420"/>
        <v>7051558.9444445632</v>
      </c>
      <c r="CG624" s="76">
        <f t="shared" si="406"/>
        <v>28206235.777778253</v>
      </c>
      <c r="CH624" s="58">
        <f t="shared" si="434"/>
        <v>7051558.9444445632</v>
      </c>
      <c r="CI624" s="58">
        <f t="shared" si="421"/>
        <v>7051558.9444445632</v>
      </c>
      <c r="CJ624" s="58">
        <f t="shared" si="421"/>
        <v>7051558.9444445632</v>
      </c>
      <c r="CK624" s="58">
        <f t="shared" si="421"/>
        <v>7051558.9444445632</v>
      </c>
      <c r="CL624" s="76">
        <f t="shared" si="435"/>
        <v>28206235.777778253</v>
      </c>
      <c r="CM624" s="71"/>
      <c r="CN624" s="59">
        <f t="shared" si="436"/>
        <v>7.2228049272488578E-3</v>
      </c>
      <c r="CO624" s="64">
        <f t="shared" si="437"/>
        <v>151678903.47222602</v>
      </c>
      <c r="CP624" s="2">
        <f t="shared" si="409"/>
        <v>225649886.22222602</v>
      </c>
    </row>
    <row r="625" spans="1:94" ht="16.5" hidden="1" x14ac:dyDescent="0.3">
      <c r="A625" s="2">
        <v>620</v>
      </c>
      <c r="B625" s="47" t="s">
        <v>21</v>
      </c>
      <c r="C625" s="47"/>
      <c r="D625" s="30" t="s">
        <v>1725</v>
      </c>
      <c r="E625" s="30" t="s">
        <v>1042</v>
      </c>
      <c r="F625" s="30" t="s">
        <v>1043</v>
      </c>
      <c r="G625" s="30" t="s">
        <v>117</v>
      </c>
      <c r="H625" s="30"/>
      <c r="I625" s="30" t="s">
        <v>119</v>
      </c>
      <c r="J625" s="30" t="s">
        <v>1871</v>
      </c>
      <c r="K625" s="30" t="s">
        <v>1872</v>
      </c>
      <c r="L625" s="30" t="s">
        <v>1728</v>
      </c>
      <c r="M625" s="30">
        <v>1005964</v>
      </c>
      <c r="N625" s="30" t="s">
        <v>138</v>
      </c>
      <c r="O625" s="30" t="s">
        <v>1932</v>
      </c>
      <c r="P625" s="30" t="s">
        <v>1926</v>
      </c>
      <c r="Q625" s="30" t="s">
        <v>1926</v>
      </c>
      <c r="R625" s="30" t="s">
        <v>1891</v>
      </c>
      <c r="S625" s="30" t="s">
        <v>1933</v>
      </c>
      <c r="T625" s="30"/>
      <c r="U625" s="30" t="s">
        <v>588</v>
      </c>
      <c r="V625" s="30" t="s">
        <v>437</v>
      </c>
      <c r="W625" s="30" t="s">
        <v>1893</v>
      </c>
      <c r="X625" s="89" t="s">
        <v>1757</v>
      </c>
      <c r="Y625" s="30" t="s">
        <v>128</v>
      </c>
      <c r="Z625" s="30" t="s">
        <v>128</v>
      </c>
      <c r="AA625" s="30" t="s">
        <v>129</v>
      </c>
      <c r="AB625" s="92" t="s">
        <v>1894</v>
      </c>
      <c r="AC625" s="30"/>
      <c r="AD625" s="30"/>
      <c r="AE625" s="30"/>
      <c r="AF625" s="30" t="s">
        <v>131</v>
      </c>
      <c r="AG625" s="30" t="s">
        <v>661</v>
      </c>
      <c r="AH625" s="30"/>
      <c r="AI625" s="30"/>
      <c r="AJ625" s="30"/>
      <c r="AK625" s="50">
        <v>43607</v>
      </c>
      <c r="AL625" s="51">
        <f t="shared" si="413"/>
        <v>6.4493150684931511</v>
      </c>
      <c r="AM625" s="30">
        <v>8</v>
      </c>
      <c r="AN625" s="30"/>
      <c r="AO625" s="30" t="s">
        <v>1050</v>
      </c>
      <c r="AP625" s="30" t="s">
        <v>1051</v>
      </c>
      <c r="AQ625" s="30"/>
      <c r="AR625" s="30">
        <v>2600</v>
      </c>
      <c r="AS625" s="30">
        <v>1000</v>
      </c>
      <c r="AT625" s="30">
        <v>2100</v>
      </c>
      <c r="AU625" s="54">
        <v>325842500</v>
      </c>
      <c r="AV625" s="54"/>
      <c r="AW625" s="54"/>
      <c r="AX625" s="54"/>
      <c r="AY625" s="54">
        <v>253778648</v>
      </c>
      <c r="AZ625" s="54">
        <v>3394193</v>
      </c>
      <c r="BA625" s="54">
        <v>61881273</v>
      </c>
      <c r="BB625" s="55">
        <f>VLOOKUP(M625,[1]Sheet1!$E$6:$F$556,2,FALSE)</f>
        <v>4719008</v>
      </c>
      <c r="BC625" s="74"/>
      <c r="BD625" s="74"/>
      <c r="BE625" s="30"/>
      <c r="BF625" s="30" t="s">
        <v>1739</v>
      </c>
      <c r="BG625" s="30" t="s">
        <v>1740</v>
      </c>
      <c r="BH625" s="30" t="s">
        <v>1054</v>
      </c>
      <c r="BI625" s="30" t="str">
        <f t="shared" si="403"/>
        <v>COF(Assy_FT)</v>
      </c>
      <c r="BJ625" s="47" t="s">
        <v>137</v>
      </c>
      <c r="BK625" s="56">
        <f t="shared" si="414"/>
        <v>64975336.650000006</v>
      </c>
      <c r="BL625" s="57">
        <f t="shared" si="429"/>
        <v>6194015.5354040386</v>
      </c>
      <c r="BM625" s="57">
        <f t="shared" si="430"/>
        <v>2064671.8451346795</v>
      </c>
      <c r="BU625" s="58">
        <f t="shared" ref="BU625:BU632" si="438">BM625*3</f>
        <v>6194015.5354040386</v>
      </c>
      <c r="BV625" s="58">
        <f t="shared" si="431"/>
        <v>6194015.5354040386</v>
      </c>
      <c r="BW625" s="58">
        <f t="shared" ref="BW625:BW674" si="439">SUM(BS625:BV625)</f>
        <v>12388031.070808077</v>
      </c>
      <c r="BX625" s="58">
        <f t="shared" si="432"/>
        <v>6194015.5354040386</v>
      </c>
      <c r="BY625" s="58">
        <f t="shared" si="433"/>
        <v>6194015.5354040386</v>
      </c>
      <c r="BZ625" s="58">
        <f t="shared" ref="BZ625:BZ632" si="440">BM625*3</f>
        <v>6194015.5354040386</v>
      </c>
      <c r="CA625" s="58">
        <f t="shared" si="433"/>
        <v>6194015.5354040386</v>
      </c>
      <c r="CB625" s="58">
        <f t="shared" si="404"/>
        <v>24776062.141616154</v>
      </c>
      <c r="CC625" s="58">
        <f t="shared" si="405"/>
        <v>6194015.5354040386</v>
      </c>
      <c r="CD625" s="58">
        <f t="shared" ref="CD625:CF640" si="441">CC625</f>
        <v>6194015.5354040386</v>
      </c>
      <c r="CE625" s="58">
        <f t="shared" si="441"/>
        <v>6194015.5354040386</v>
      </c>
      <c r="CF625" s="58">
        <f t="shared" si="441"/>
        <v>6194015.5354040386</v>
      </c>
      <c r="CG625" s="58">
        <f t="shared" si="406"/>
        <v>24776062.141616154</v>
      </c>
      <c r="CH625" s="58">
        <f t="shared" si="434"/>
        <v>6194015.5354040386</v>
      </c>
      <c r="CI625" s="58">
        <f t="shared" si="421"/>
        <v>6194015.5354040386</v>
      </c>
      <c r="CJ625" s="58">
        <f t="shared" si="421"/>
        <v>6194015.5354040386</v>
      </c>
      <c r="CK625" s="58">
        <f t="shared" si="421"/>
        <v>6194015.5354040386</v>
      </c>
      <c r="CL625" s="58">
        <f t="shared" si="435"/>
        <v>24776062.141616154</v>
      </c>
      <c r="CN625" s="59">
        <f t="shared" si="436"/>
        <v>6.3444362134728203E-3</v>
      </c>
      <c r="CO625" s="64">
        <f t="shared" si="437"/>
        <v>133233160.48292923</v>
      </c>
      <c r="CP625" s="2">
        <f t="shared" si="409"/>
        <v>198208497.13292924</v>
      </c>
    </row>
    <row r="626" spans="1:94" ht="16.5" hidden="1" x14ac:dyDescent="0.3">
      <c r="A626" s="2">
        <v>621</v>
      </c>
      <c r="B626" s="47" t="s">
        <v>21</v>
      </c>
      <c r="C626" s="47"/>
      <c r="D626" s="30" t="s">
        <v>1725</v>
      </c>
      <c r="E626" s="30" t="s">
        <v>1042</v>
      </c>
      <c r="F626" s="30" t="s">
        <v>1043</v>
      </c>
      <c r="G626" s="30" t="s">
        <v>117</v>
      </c>
      <c r="H626" s="30"/>
      <c r="I626" s="30" t="s">
        <v>119</v>
      </c>
      <c r="J626" s="30" t="s">
        <v>1871</v>
      </c>
      <c r="K626" s="30" t="s">
        <v>1872</v>
      </c>
      <c r="L626" s="30" t="s">
        <v>1728</v>
      </c>
      <c r="M626" s="30">
        <v>1005965</v>
      </c>
      <c r="N626" s="30" t="s">
        <v>138</v>
      </c>
      <c r="O626" s="30" t="s">
        <v>1934</v>
      </c>
      <c r="P626" s="30" t="s">
        <v>1926</v>
      </c>
      <c r="Q626" s="30" t="s">
        <v>1926</v>
      </c>
      <c r="R626" s="30" t="s">
        <v>1891</v>
      </c>
      <c r="S626" s="30" t="s">
        <v>1935</v>
      </c>
      <c r="T626" s="30"/>
      <c r="U626" s="30" t="s">
        <v>588</v>
      </c>
      <c r="V626" s="30" t="s">
        <v>437</v>
      </c>
      <c r="W626" s="30" t="s">
        <v>1893</v>
      </c>
      <c r="X626" s="89" t="s">
        <v>1757</v>
      </c>
      <c r="Y626" s="30" t="s">
        <v>457</v>
      </c>
      <c r="Z626" s="30" t="s">
        <v>457</v>
      </c>
      <c r="AA626" s="30" t="s">
        <v>129</v>
      </c>
      <c r="AB626" s="92" t="s">
        <v>1894</v>
      </c>
      <c r="AC626" s="30"/>
      <c r="AD626" s="30"/>
      <c r="AE626" s="30"/>
      <c r="AF626" s="30" t="s">
        <v>131</v>
      </c>
      <c r="AG626" s="30" t="s">
        <v>661</v>
      </c>
      <c r="AH626" s="30"/>
      <c r="AI626" s="30"/>
      <c r="AJ626" s="30"/>
      <c r="AK626" s="50">
        <v>43619</v>
      </c>
      <c r="AL626" s="51">
        <f t="shared" si="413"/>
        <v>6.4164383561643836</v>
      </c>
      <c r="AM626" s="30">
        <v>8</v>
      </c>
      <c r="AN626" s="30"/>
      <c r="AO626" s="30" t="s">
        <v>1050</v>
      </c>
      <c r="AP626" s="30" t="s">
        <v>1051</v>
      </c>
      <c r="AQ626" s="30"/>
      <c r="AR626" s="30">
        <v>2600</v>
      </c>
      <c r="AS626" s="30">
        <v>1000</v>
      </c>
      <c r="AT626" s="30">
        <v>2100</v>
      </c>
      <c r="AU626" s="54">
        <v>325812500</v>
      </c>
      <c r="AV626" s="54"/>
      <c r="AW626" s="54"/>
      <c r="AX626" s="54"/>
      <c r="AY626" s="54">
        <v>250578120</v>
      </c>
      <c r="AZ626" s="54">
        <v>3393880</v>
      </c>
      <c r="BA626" s="54">
        <v>65052740</v>
      </c>
      <c r="BB626" s="55">
        <f>VLOOKUP(M626,[1]Sheet1!$E$6:$F$556,2,FALSE)</f>
        <v>5058463</v>
      </c>
      <c r="BC626" s="74"/>
      <c r="BD626" s="74"/>
      <c r="BE626" s="30"/>
      <c r="BF626" s="30" t="s">
        <v>1739</v>
      </c>
      <c r="BG626" s="30" t="s">
        <v>1740</v>
      </c>
      <c r="BH626" s="30" t="s">
        <v>1054</v>
      </c>
      <c r="BI626" s="30" t="str">
        <f t="shared" si="403"/>
        <v>COF(Assy_FT)</v>
      </c>
      <c r="BJ626" s="47" t="s">
        <v>137</v>
      </c>
      <c r="BK626" s="56">
        <f t="shared" si="414"/>
        <v>68305377</v>
      </c>
      <c r="BL626" s="57">
        <f t="shared" si="429"/>
        <v>6511464.0123935342</v>
      </c>
      <c r="BM626" s="57">
        <f t="shared" si="430"/>
        <v>2170488.0041311779</v>
      </c>
      <c r="BU626" s="58">
        <f t="shared" si="438"/>
        <v>6511464.0123935342</v>
      </c>
      <c r="BV626" s="58">
        <f t="shared" si="431"/>
        <v>6511464.0123935342</v>
      </c>
      <c r="BW626" s="58">
        <f t="shared" si="439"/>
        <v>13022928.024787068</v>
      </c>
      <c r="BX626" s="58">
        <f t="shared" si="432"/>
        <v>6511464.0123935342</v>
      </c>
      <c r="BY626" s="58">
        <f t="shared" si="433"/>
        <v>6511464.0123935342</v>
      </c>
      <c r="BZ626" s="58">
        <f t="shared" si="440"/>
        <v>6511464.0123935342</v>
      </c>
      <c r="CA626" s="58">
        <f t="shared" si="433"/>
        <v>6511464.0123935342</v>
      </c>
      <c r="CB626" s="58">
        <f t="shared" si="404"/>
        <v>26045856.049574137</v>
      </c>
      <c r="CC626" s="58">
        <f t="shared" si="405"/>
        <v>6511464.0123935342</v>
      </c>
      <c r="CD626" s="58">
        <f t="shared" si="441"/>
        <v>6511464.0123935342</v>
      </c>
      <c r="CE626" s="58">
        <f t="shared" si="441"/>
        <v>6511464.0123935342</v>
      </c>
      <c r="CF626" s="58">
        <f t="shared" si="441"/>
        <v>6511464.0123935342</v>
      </c>
      <c r="CG626" s="58">
        <f t="shared" si="406"/>
        <v>26045856.049574137</v>
      </c>
      <c r="CH626" s="58">
        <f t="shared" si="434"/>
        <v>6511464.0123935342</v>
      </c>
      <c r="CI626" s="58">
        <f t="shared" si="421"/>
        <v>6511464.0123935342</v>
      </c>
      <c r="CJ626" s="58">
        <f t="shared" si="421"/>
        <v>6511464.0123935342</v>
      </c>
      <c r="CK626" s="58">
        <f t="shared" si="421"/>
        <v>6511464.0123935342</v>
      </c>
      <c r="CL626" s="58">
        <f t="shared" si="435"/>
        <v>26045856.049574137</v>
      </c>
      <c r="CN626" s="59">
        <f t="shared" si="436"/>
        <v>6.6695938760282427E-3</v>
      </c>
      <c r="CO626" s="64">
        <f t="shared" si="437"/>
        <v>140061471.39659309</v>
      </c>
      <c r="CP626" s="2">
        <f t="shared" si="409"/>
        <v>208366848.39659309</v>
      </c>
    </row>
    <row r="627" spans="1:94" ht="16.5" hidden="1" x14ac:dyDescent="0.3">
      <c r="A627" s="2">
        <v>622</v>
      </c>
      <c r="B627" s="47" t="s">
        <v>21</v>
      </c>
      <c r="C627" s="47"/>
      <c r="D627" s="30" t="s">
        <v>1725</v>
      </c>
      <c r="E627" s="30" t="s">
        <v>1042</v>
      </c>
      <c r="F627" s="30" t="s">
        <v>1043</v>
      </c>
      <c r="G627" s="30" t="s">
        <v>117</v>
      </c>
      <c r="H627" s="30"/>
      <c r="I627" s="30" t="s">
        <v>119</v>
      </c>
      <c r="J627" s="30" t="s">
        <v>1871</v>
      </c>
      <c r="K627" s="30" t="s">
        <v>1872</v>
      </c>
      <c r="L627" s="30" t="s">
        <v>1728</v>
      </c>
      <c r="M627" s="30">
        <v>1005967</v>
      </c>
      <c r="N627" s="30" t="s">
        <v>138</v>
      </c>
      <c r="O627" s="30" t="s">
        <v>1936</v>
      </c>
      <c r="P627" s="30" t="s">
        <v>1926</v>
      </c>
      <c r="Q627" s="30" t="s">
        <v>1926</v>
      </c>
      <c r="R627" s="30" t="s">
        <v>1891</v>
      </c>
      <c r="S627" s="30" t="s">
        <v>1937</v>
      </c>
      <c r="T627" s="30"/>
      <c r="U627" s="30" t="s">
        <v>588</v>
      </c>
      <c r="V627" s="30" t="s">
        <v>437</v>
      </c>
      <c r="W627" s="30" t="s">
        <v>1893</v>
      </c>
      <c r="X627" s="89" t="s">
        <v>1757</v>
      </c>
      <c r="Y627" s="30" t="s">
        <v>457</v>
      </c>
      <c r="Z627" s="30" t="s">
        <v>457</v>
      </c>
      <c r="AA627" s="30" t="s">
        <v>129</v>
      </c>
      <c r="AB627" s="92" t="s">
        <v>1894</v>
      </c>
      <c r="AC627" s="30"/>
      <c r="AD627" s="30"/>
      <c r="AE627" s="30"/>
      <c r="AF627" s="30" t="s">
        <v>131</v>
      </c>
      <c r="AG627" s="30" t="s">
        <v>661</v>
      </c>
      <c r="AH627" s="30"/>
      <c r="AI627" s="30"/>
      <c r="AJ627" s="30"/>
      <c r="AK627" s="50">
        <v>43619</v>
      </c>
      <c r="AL627" s="51">
        <f t="shared" si="413"/>
        <v>6.4164383561643836</v>
      </c>
      <c r="AM627" s="30">
        <v>8</v>
      </c>
      <c r="AN627" s="30"/>
      <c r="AO627" s="30" t="s">
        <v>1050</v>
      </c>
      <c r="AP627" s="30" t="s">
        <v>1051</v>
      </c>
      <c r="AQ627" s="30"/>
      <c r="AR627" s="30">
        <v>2600</v>
      </c>
      <c r="AS627" s="30">
        <v>1000</v>
      </c>
      <c r="AT627" s="30">
        <v>2100</v>
      </c>
      <c r="AU627" s="54">
        <v>325812500</v>
      </c>
      <c r="AV627" s="54"/>
      <c r="AW627" s="54"/>
      <c r="AX627" s="54"/>
      <c r="AY627" s="54">
        <v>250578120</v>
      </c>
      <c r="AZ627" s="54">
        <v>3393880</v>
      </c>
      <c r="BA627" s="54">
        <v>65052740</v>
      </c>
      <c r="BB627" s="55">
        <f>VLOOKUP(M627,[1]Sheet1!$E$6:$F$556,2,FALSE)</f>
        <v>5058463</v>
      </c>
      <c r="BC627" s="74"/>
      <c r="BD627" s="74"/>
      <c r="BE627" s="30"/>
      <c r="BF627" s="30" t="s">
        <v>1739</v>
      </c>
      <c r="BG627" s="30" t="s">
        <v>1740</v>
      </c>
      <c r="BH627" s="30" t="s">
        <v>1054</v>
      </c>
      <c r="BI627" s="30" t="str">
        <f t="shared" si="403"/>
        <v>COF(Assy_FT)</v>
      </c>
      <c r="BJ627" s="47" t="s">
        <v>137</v>
      </c>
      <c r="BK627" s="56">
        <f t="shared" si="414"/>
        <v>68305377</v>
      </c>
      <c r="BL627" s="57">
        <f t="shared" si="429"/>
        <v>6511464.0123935342</v>
      </c>
      <c r="BM627" s="57">
        <f t="shared" si="430"/>
        <v>2170488.0041311779</v>
      </c>
      <c r="BU627" s="58">
        <f t="shared" si="438"/>
        <v>6511464.0123935342</v>
      </c>
      <c r="BV627" s="58">
        <f t="shared" si="431"/>
        <v>6511464.0123935342</v>
      </c>
      <c r="BW627" s="58">
        <f t="shared" si="439"/>
        <v>13022928.024787068</v>
      </c>
      <c r="BX627" s="58">
        <f t="shared" si="432"/>
        <v>6511464.0123935342</v>
      </c>
      <c r="BY627" s="58">
        <f t="shared" si="433"/>
        <v>6511464.0123935342</v>
      </c>
      <c r="BZ627" s="58">
        <f t="shared" si="440"/>
        <v>6511464.0123935342</v>
      </c>
      <c r="CA627" s="58">
        <f t="shared" si="433"/>
        <v>6511464.0123935342</v>
      </c>
      <c r="CB627" s="58">
        <f t="shared" si="404"/>
        <v>26045856.049574137</v>
      </c>
      <c r="CC627" s="58">
        <f t="shared" si="405"/>
        <v>6511464.0123935342</v>
      </c>
      <c r="CD627" s="58">
        <f t="shared" si="441"/>
        <v>6511464.0123935342</v>
      </c>
      <c r="CE627" s="58">
        <f t="shared" si="441"/>
        <v>6511464.0123935342</v>
      </c>
      <c r="CF627" s="58">
        <f t="shared" si="441"/>
        <v>6511464.0123935342</v>
      </c>
      <c r="CG627" s="58">
        <f t="shared" si="406"/>
        <v>26045856.049574137</v>
      </c>
      <c r="CH627" s="58">
        <f t="shared" si="434"/>
        <v>6511464.0123935342</v>
      </c>
      <c r="CI627" s="58">
        <f t="shared" si="421"/>
        <v>6511464.0123935342</v>
      </c>
      <c r="CJ627" s="58">
        <f t="shared" si="421"/>
        <v>6511464.0123935342</v>
      </c>
      <c r="CK627" s="58">
        <f t="shared" si="421"/>
        <v>6511464.0123935342</v>
      </c>
      <c r="CL627" s="58">
        <f t="shared" si="435"/>
        <v>26045856.049574137</v>
      </c>
      <c r="CN627" s="59">
        <f t="shared" si="436"/>
        <v>6.6695938760282427E-3</v>
      </c>
      <c r="CO627" s="64">
        <f t="shared" si="437"/>
        <v>140061471.39659309</v>
      </c>
      <c r="CP627" s="2">
        <f t="shared" si="409"/>
        <v>208366848.39659309</v>
      </c>
    </row>
    <row r="628" spans="1:94" ht="15" hidden="1" x14ac:dyDescent="0.3">
      <c r="A628" s="29">
        <v>623</v>
      </c>
      <c r="B628" s="30" t="s">
        <v>21</v>
      </c>
      <c r="C628" s="30"/>
      <c r="D628" s="30" t="s">
        <v>1725</v>
      </c>
      <c r="E628" s="30" t="s">
        <v>1042</v>
      </c>
      <c r="F628" s="30" t="s">
        <v>1043</v>
      </c>
      <c r="G628" s="30" t="s">
        <v>117</v>
      </c>
      <c r="H628" s="30"/>
      <c r="I628" s="30" t="s">
        <v>119</v>
      </c>
      <c r="J628" s="30" t="s">
        <v>1871</v>
      </c>
      <c r="K628" s="30" t="s">
        <v>1872</v>
      </c>
      <c r="L628" s="30" t="s">
        <v>1728</v>
      </c>
      <c r="M628" s="30">
        <v>1006002</v>
      </c>
      <c r="N628" s="30" t="s">
        <v>138</v>
      </c>
      <c r="O628" s="30" t="s">
        <v>1938</v>
      </c>
      <c r="P628" s="30" t="s">
        <v>1926</v>
      </c>
      <c r="Q628" s="30" t="s">
        <v>1926</v>
      </c>
      <c r="R628" s="30" t="s">
        <v>1891</v>
      </c>
      <c r="S628" s="30" t="s">
        <v>1939</v>
      </c>
      <c r="T628" s="30"/>
      <c r="U628" s="30" t="s">
        <v>588</v>
      </c>
      <c r="V628" s="30" t="s">
        <v>437</v>
      </c>
      <c r="W628" s="30" t="s">
        <v>1893</v>
      </c>
      <c r="X628" s="89"/>
      <c r="Y628" s="30" t="s">
        <v>457</v>
      </c>
      <c r="Z628" s="30" t="s">
        <v>457</v>
      </c>
      <c r="AA628" s="30" t="s">
        <v>129</v>
      </c>
      <c r="AB628" s="92" t="s">
        <v>1894</v>
      </c>
      <c r="AC628" s="30"/>
      <c r="AD628" s="30"/>
      <c r="AE628" s="30"/>
      <c r="AF628" s="30" t="s">
        <v>131</v>
      </c>
      <c r="AG628" s="30" t="s">
        <v>661</v>
      </c>
      <c r="AH628" s="30"/>
      <c r="AI628" s="30"/>
      <c r="AJ628" s="30"/>
      <c r="AK628" s="50">
        <v>43675</v>
      </c>
      <c r="AL628" s="51">
        <f t="shared" si="413"/>
        <v>6.2630136986301368</v>
      </c>
      <c r="AM628" s="30">
        <v>8</v>
      </c>
      <c r="AN628" s="30"/>
      <c r="AO628" s="30" t="s">
        <v>1050</v>
      </c>
      <c r="AP628" s="30" t="s">
        <v>1187</v>
      </c>
      <c r="AQ628" s="30"/>
      <c r="AR628" s="30">
        <v>2600</v>
      </c>
      <c r="AS628" s="30">
        <v>1000</v>
      </c>
      <c r="AT628" s="30">
        <v>2100</v>
      </c>
      <c r="AU628" s="74">
        <v>325812500</v>
      </c>
      <c r="AV628" s="54"/>
      <c r="AW628" s="54"/>
      <c r="AX628" s="54"/>
      <c r="AY628" s="54">
        <v>247401037</v>
      </c>
      <c r="AZ628" s="54">
        <v>3393880</v>
      </c>
      <c r="BA628" s="74">
        <v>68229823</v>
      </c>
      <c r="BB628" s="55">
        <f>VLOOKUP(M628,[1]Sheet1!$E$6:$F$556,2,FALSE)</f>
        <v>5397796</v>
      </c>
      <c r="BC628" s="74"/>
      <c r="BD628" s="74"/>
      <c r="BE628" s="30"/>
      <c r="BF628" s="30" t="s">
        <v>1739</v>
      </c>
      <c r="BG628" s="30" t="s">
        <v>1740</v>
      </c>
      <c r="BH628" s="30" t="s">
        <v>1054</v>
      </c>
      <c r="BI628" s="30" t="str">
        <f t="shared" si="403"/>
        <v>COF(Assy_FT)</v>
      </c>
      <c r="BJ628" s="30" t="s">
        <v>250</v>
      </c>
      <c r="BK628" s="56">
        <f t="shared" si="414"/>
        <v>71641314.150000006</v>
      </c>
      <c r="BL628" s="57">
        <f t="shared" si="429"/>
        <v>2238791.0671875002</v>
      </c>
      <c r="BM628" s="57">
        <f t="shared" si="430"/>
        <v>746263.68906250002</v>
      </c>
      <c r="BU628" s="58">
        <f t="shared" si="438"/>
        <v>2238791.0671875002</v>
      </c>
      <c r="BV628" s="58">
        <f t="shared" si="431"/>
        <v>2238791.0671875002</v>
      </c>
      <c r="BW628" s="58">
        <f t="shared" si="439"/>
        <v>4477582.1343750004</v>
      </c>
      <c r="BX628" s="58">
        <f t="shared" si="432"/>
        <v>2238791.0671875002</v>
      </c>
      <c r="BY628" s="58">
        <f t="shared" si="433"/>
        <v>2238791.0671875002</v>
      </c>
      <c r="BZ628" s="58">
        <f t="shared" si="440"/>
        <v>2238791.0671875002</v>
      </c>
      <c r="CA628" s="58">
        <f t="shared" si="433"/>
        <v>2238791.0671875002</v>
      </c>
      <c r="CB628" s="58">
        <f t="shared" si="404"/>
        <v>8955164.2687500007</v>
      </c>
      <c r="CC628" s="58">
        <f t="shared" si="405"/>
        <v>2238791.0671875002</v>
      </c>
      <c r="CD628" s="58">
        <f t="shared" si="441"/>
        <v>2238791.0671875002</v>
      </c>
      <c r="CE628" s="58">
        <f t="shared" si="441"/>
        <v>2238791.0671875002</v>
      </c>
      <c r="CF628" s="58">
        <f t="shared" si="441"/>
        <v>2238791.0671875002</v>
      </c>
      <c r="CG628" s="58">
        <f t="shared" si="406"/>
        <v>8955164.2687500007</v>
      </c>
      <c r="CH628" s="58">
        <f t="shared" si="434"/>
        <v>2238791.0671875002</v>
      </c>
      <c r="CI628" s="58">
        <f t="shared" si="421"/>
        <v>2238791.0671875002</v>
      </c>
      <c r="CJ628" s="58">
        <f t="shared" si="421"/>
        <v>2238791.0671875002</v>
      </c>
      <c r="CK628" s="58">
        <f t="shared" si="421"/>
        <v>2238791.0671875002</v>
      </c>
      <c r="CL628" s="58">
        <f t="shared" si="435"/>
        <v>8955164.2687500007</v>
      </c>
      <c r="CP628" s="2">
        <f t="shared" si="409"/>
        <v>71641314.150000006</v>
      </c>
    </row>
    <row r="629" spans="1:94" ht="15" hidden="1" x14ac:dyDescent="0.3">
      <c r="A629" s="29">
        <v>624</v>
      </c>
      <c r="B629" s="30" t="s">
        <v>21</v>
      </c>
      <c r="C629" s="30"/>
      <c r="D629" s="30" t="s">
        <v>1725</v>
      </c>
      <c r="E629" s="30" t="s">
        <v>1042</v>
      </c>
      <c r="F629" s="30" t="s">
        <v>1043</v>
      </c>
      <c r="G629" s="30" t="s">
        <v>117</v>
      </c>
      <c r="H629" s="30"/>
      <c r="I629" s="30" t="s">
        <v>119</v>
      </c>
      <c r="J629" s="30" t="s">
        <v>1871</v>
      </c>
      <c r="K629" s="30" t="s">
        <v>1872</v>
      </c>
      <c r="L629" s="30" t="s">
        <v>1728</v>
      </c>
      <c r="M629" s="30">
        <v>1005966</v>
      </c>
      <c r="N629" s="30" t="s">
        <v>138</v>
      </c>
      <c r="O629" s="30" t="s">
        <v>1940</v>
      </c>
      <c r="P629" s="30" t="s">
        <v>1926</v>
      </c>
      <c r="Q629" s="30" t="s">
        <v>1926</v>
      </c>
      <c r="R629" s="30" t="s">
        <v>1891</v>
      </c>
      <c r="S629" s="30" t="s">
        <v>1941</v>
      </c>
      <c r="T629" s="30"/>
      <c r="U629" s="30" t="s">
        <v>588</v>
      </c>
      <c r="V629" s="30" t="s">
        <v>437</v>
      </c>
      <c r="W629" s="30" t="s">
        <v>1893</v>
      </c>
      <c r="X629" s="89"/>
      <c r="Y629" s="30" t="s">
        <v>457</v>
      </c>
      <c r="Z629" s="30" t="s">
        <v>457</v>
      </c>
      <c r="AA629" s="30" t="s">
        <v>129</v>
      </c>
      <c r="AB629" s="92" t="s">
        <v>1894</v>
      </c>
      <c r="AC629" s="30"/>
      <c r="AD629" s="30"/>
      <c r="AE629" s="30"/>
      <c r="AF629" s="30" t="s">
        <v>131</v>
      </c>
      <c r="AG629" s="30" t="s">
        <v>661</v>
      </c>
      <c r="AH629" s="30"/>
      <c r="AI629" s="30"/>
      <c r="AJ629" s="30"/>
      <c r="AK629" s="50">
        <v>43614</v>
      </c>
      <c r="AL629" s="51">
        <f t="shared" si="413"/>
        <v>6.4301369863013695</v>
      </c>
      <c r="AM629" s="30">
        <v>8</v>
      </c>
      <c r="AN629" s="30"/>
      <c r="AO629" s="30" t="s">
        <v>1050</v>
      </c>
      <c r="AP629" s="30" t="s">
        <v>1051</v>
      </c>
      <c r="AQ629" s="30"/>
      <c r="AR629" s="30">
        <v>2600</v>
      </c>
      <c r="AS629" s="30">
        <v>1000</v>
      </c>
      <c r="AT629" s="30">
        <v>2100</v>
      </c>
      <c r="AU629" s="74">
        <v>325842500</v>
      </c>
      <c r="AV629" s="54"/>
      <c r="AW629" s="54"/>
      <c r="AX629" s="54"/>
      <c r="AY629" s="54">
        <v>253778648</v>
      </c>
      <c r="AZ629" s="54">
        <v>3394193</v>
      </c>
      <c r="BA629" s="74">
        <v>61881273</v>
      </c>
      <c r="BB629" s="55">
        <f>VLOOKUP(M629,[1]Sheet1!$E$6:$F$556,2,FALSE)</f>
        <v>4719008</v>
      </c>
      <c r="BC629" s="74"/>
      <c r="BD629" s="74"/>
      <c r="BE629" s="30"/>
      <c r="BF629" s="30" t="s">
        <v>1739</v>
      </c>
      <c r="BG629" s="30" t="s">
        <v>1740</v>
      </c>
      <c r="BH629" s="30" t="s">
        <v>1054</v>
      </c>
      <c r="BI629" s="30" t="str">
        <f t="shared" si="403"/>
        <v>COF(Assy_FT)</v>
      </c>
      <c r="BJ629" s="30" t="s">
        <v>250</v>
      </c>
      <c r="BK629" s="56">
        <f t="shared" si="414"/>
        <v>64975336.650000006</v>
      </c>
      <c r="BL629" s="57">
        <f t="shared" si="429"/>
        <v>2030479.2703125002</v>
      </c>
      <c r="BM629" s="57">
        <f t="shared" si="430"/>
        <v>676826.42343750002</v>
      </c>
      <c r="BU629" s="58">
        <f t="shared" si="438"/>
        <v>2030479.2703125002</v>
      </c>
      <c r="BV629" s="58">
        <f t="shared" si="431"/>
        <v>2030479.2703125002</v>
      </c>
      <c r="BW629" s="58">
        <f t="shared" si="439"/>
        <v>4060958.5406250004</v>
      </c>
      <c r="BX629" s="58">
        <f t="shared" si="432"/>
        <v>2030479.2703125002</v>
      </c>
      <c r="BY629" s="58">
        <f t="shared" si="433"/>
        <v>2030479.2703125002</v>
      </c>
      <c r="BZ629" s="58">
        <f t="shared" si="440"/>
        <v>2030479.2703125002</v>
      </c>
      <c r="CA629" s="58">
        <f t="shared" si="433"/>
        <v>2030479.2703125002</v>
      </c>
      <c r="CB629" s="58">
        <f t="shared" si="404"/>
        <v>8121917.0812500007</v>
      </c>
      <c r="CC629" s="58">
        <f t="shared" si="405"/>
        <v>2030479.2703125002</v>
      </c>
      <c r="CD629" s="58">
        <f t="shared" si="441"/>
        <v>2030479.2703125002</v>
      </c>
      <c r="CE629" s="58">
        <f t="shared" si="441"/>
        <v>2030479.2703125002</v>
      </c>
      <c r="CF629" s="58">
        <f t="shared" si="441"/>
        <v>2030479.2703125002</v>
      </c>
      <c r="CG629" s="58">
        <f t="shared" si="406"/>
        <v>8121917.0812500007</v>
      </c>
      <c r="CH629" s="58">
        <f t="shared" si="434"/>
        <v>2030479.2703125002</v>
      </c>
      <c r="CI629" s="58">
        <f t="shared" ref="CI629:CK644" si="442">CH629</f>
        <v>2030479.2703125002</v>
      </c>
      <c r="CJ629" s="58">
        <f t="shared" si="442"/>
        <v>2030479.2703125002</v>
      </c>
      <c r="CK629" s="58">
        <f t="shared" si="442"/>
        <v>2030479.2703125002</v>
      </c>
      <c r="CL629" s="58">
        <f t="shared" si="435"/>
        <v>8121917.0812500007</v>
      </c>
      <c r="CP629" s="2">
        <f t="shared" si="409"/>
        <v>64975336.650000006</v>
      </c>
    </row>
    <row r="630" spans="1:94" ht="15" hidden="1" x14ac:dyDescent="0.3">
      <c r="A630" s="29">
        <v>625</v>
      </c>
      <c r="B630" s="30" t="s">
        <v>21</v>
      </c>
      <c r="C630" s="30"/>
      <c r="D630" s="30" t="s">
        <v>1725</v>
      </c>
      <c r="E630" s="30" t="s">
        <v>1042</v>
      </c>
      <c r="F630" s="30" t="s">
        <v>1043</v>
      </c>
      <c r="G630" s="30" t="s">
        <v>117</v>
      </c>
      <c r="H630" s="30"/>
      <c r="I630" s="30" t="s">
        <v>119</v>
      </c>
      <c r="J630" s="30" t="s">
        <v>1871</v>
      </c>
      <c r="K630" s="30" t="s">
        <v>1872</v>
      </c>
      <c r="L630" s="30" t="s">
        <v>1728</v>
      </c>
      <c r="M630" s="30">
        <v>1006702</v>
      </c>
      <c r="N630" s="30" t="s">
        <v>138</v>
      </c>
      <c r="O630" s="30" t="s">
        <v>1942</v>
      </c>
      <c r="P630" s="30" t="s">
        <v>1926</v>
      </c>
      <c r="Q630" s="30" t="s">
        <v>1926</v>
      </c>
      <c r="R630" s="30" t="s">
        <v>1891</v>
      </c>
      <c r="S630" s="30" t="s">
        <v>1943</v>
      </c>
      <c r="T630" s="30"/>
      <c r="U630" s="30" t="s">
        <v>588</v>
      </c>
      <c r="V630" s="30" t="s">
        <v>437</v>
      </c>
      <c r="W630" s="30" t="s">
        <v>1893</v>
      </c>
      <c r="X630" s="89"/>
      <c r="Y630" s="30" t="s">
        <v>457</v>
      </c>
      <c r="Z630" s="30" t="s">
        <v>457</v>
      </c>
      <c r="AA630" s="30" t="s">
        <v>129</v>
      </c>
      <c r="AB630" s="92" t="s">
        <v>1894</v>
      </c>
      <c r="AC630" s="30"/>
      <c r="AD630" s="30"/>
      <c r="AE630" s="30"/>
      <c r="AF630" s="30" t="s">
        <v>131</v>
      </c>
      <c r="AG630" s="30" t="s">
        <v>661</v>
      </c>
      <c r="AH630" s="30"/>
      <c r="AI630" s="30"/>
      <c r="AJ630" s="30"/>
      <c r="AK630" s="50">
        <v>44368</v>
      </c>
      <c r="AL630" s="51">
        <f t="shared" si="413"/>
        <v>4.3643835616438356</v>
      </c>
      <c r="AM630" s="30">
        <v>8</v>
      </c>
      <c r="AN630" s="30"/>
      <c r="AO630" s="30" t="s">
        <v>1050</v>
      </c>
      <c r="AP630" s="30" t="s">
        <v>1187</v>
      </c>
      <c r="AQ630" s="30"/>
      <c r="AR630" s="30">
        <v>2600</v>
      </c>
      <c r="AS630" s="30">
        <v>1000</v>
      </c>
      <c r="AT630" s="30">
        <v>2100</v>
      </c>
      <c r="AU630" s="74">
        <v>305060000</v>
      </c>
      <c r="AV630" s="54"/>
      <c r="AW630" s="54"/>
      <c r="AX630" s="54"/>
      <c r="AY630" s="54">
        <v>158885414</v>
      </c>
      <c r="AZ630" s="54">
        <v>3177708</v>
      </c>
      <c r="BA630" s="74">
        <v>136641462</v>
      </c>
      <c r="BB630" s="55">
        <f>VLOOKUP(M630,[1]Sheet1!$E$6:$F$556,2,FALSE)</f>
        <v>12730033</v>
      </c>
      <c r="BC630" s="74"/>
      <c r="BD630" s="74"/>
      <c r="BE630" s="30"/>
      <c r="BF630" s="30" t="s">
        <v>1739</v>
      </c>
      <c r="BG630" s="30" t="s">
        <v>1740</v>
      </c>
      <c r="BH630" s="30" t="s">
        <v>1054</v>
      </c>
      <c r="BI630" s="30" t="str">
        <f t="shared" si="403"/>
        <v>COF(Assy_FT)</v>
      </c>
      <c r="BJ630" s="30" t="s">
        <v>250</v>
      </c>
      <c r="BK630" s="56">
        <f t="shared" si="414"/>
        <v>143473535.09999999</v>
      </c>
      <c r="BL630" s="57">
        <f t="shared" si="429"/>
        <v>4483547.9718749998</v>
      </c>
      <c r="BM630" s="57">
        <f t="shared" si="430"/>
        <v>1494515.9906249999</v>
      </c>
      <c r="BU630" s="58">
        <f t="shared" si="438"/>
        <v>4483547.9718749998</v>
      </c>
      <c r="BV630" s="58">
        <f t="shared" si="431"/>
        <v>4483547.9718749998</v>
      </c>
      <c r="BW630" s="58">
        <f t="shared" si="439"/>
        <v>8967095.9437499996</v>
      </c>
      <c r="BX630" s="58">
        <f t="shared" si="432"/>
        <v>4483547.9718749998</v>
      </c>
      <c r="BY630" s="58">
        <f t="shared" si="433"/>
        <v>4483547.9718749998</v>
      </c>
      <c r="BZ630" s="58">
        <f t="shared" si="440"/>
        <v>4483547.9718749998</v>
      </c>
      <c r="CA630" s="58">
        <f t="shared" si="433"/>
        <v>4483547.9718749998</v>
      </c>
      <c r="CB630" s="58">
        <f t="shared" si="404"/>
        <v>17934191.887499999</v>
      </c>
      <c r="CC630" s="58">
        <f t="shared" si="405"/>
        <v>4483547.9718749998</v>
      </c>
      <c r="CD630" s="58">
        <f t="shared" si="441"/>
        <v>4483547.9718749998</v>
      </c>
      <c r="CE630" s="58">
        <f t="shared" si="441"/>
        <v>4483547.9718749998</v>
      </c>
      <c r="CF630" s="58">
        <f t="shared" si="441"/>
        <v>4483547.9718749998</v>
      </c>
      <c r="CG630" s="58">
        <f t="shared" si="406"/>
        <v>17934191.887499999</v>
      </c>
      <c r="CH630" s="58">
        <f t="shared" si="434"/>
        <v>4483547.9718749998</v>
      </c>
      <c r="CI630" s="58">
        <f t="shared" si="442"/>
        <v>4483547.9718749998</v>
      </c>
      <c r="CJ630" s="58">
        <f t="shared" si="442"/>
        <v>4483547.9718749998</v>
      </c>
      <c r="CK630" s="58">
        <f t="shared" si="442"/>
        <v>4483547.9718749998</v>
      </c>
      <c r="CL630" s="58">
        <f t="shared" si="435"/>
        <v>17934191.887499999</v>
      </c>
      <c r="CP630" s="2">
        <f t="shared" si="409"/>
        <v>143473535.09999999</v>
      </c>
    </row>
    <row r="631" spans="1:94" ht="15" hidden="1" x14ac:dyDescent="0.3">
      <c r="A631" s="29">
        <v>626</v>
      </c>
      <c r="B631" s="30" t="s">
        <v>21</v>
      </c>
      <c r="C631" s="30"/>
      <c r="D631" s="30" t="s">
        <v>1725</v>
      </c>
      <c r="E631" s="30" t="s">
        <v>1042</v>
      </c>
      <c r="F631" s="30" t="s">
        <v>1043</v>
      </c>
      <c r="G631" s="30" t="s">
        <v>117</v>
      </c>
      <c r="H631" s="30"/>
      <c r="I631" s="30" t="s">
        <v>119</v>
      </c>
      <c r="J631" s="30" t="s">
        <v>1871</v>
      </c>
      <c r="K631" s="30" t="s">
        <v>1872</v>
      </c>
      <c r="L631" s="30" t="s">
        <v>1728</v>
      </c>
      <c r="M631" s="30">
        <v>1006732</v>
      </c>
      <c r="N631" s="30" t="s">
        <v>138</v>
      </c>
      <c r="O631" s="30" t="s">
        <v>1944</v>
      </c>
      <c r="P631" s="30" t="s">
        <v>1926</v>
      </c>
      <c r="Q631" s="30" t="s">
        <v>1926</v>
      </c>
      <c r="R631" s="30" t="s">
        <v>1891</v>
      </c>
      <c r="S631" s="30" t="s">
        <v>1945</v>
      </c>
      <c r="T631" s="30"/>
      <c r="U631" s="30" t="s">
        <v>588</v>
      </c>
      <c r="V631" s="30" t="s">
        <v>437</v>
      </c>
      <c r="W631" s="30" t="s">
        <v>1893</v>
      </c>
      <c r="X631" s="89"/>
      <c r="Y631" s="30" t="s">
        <v>457</v>
      </c>
      <c r="Z631" s="30" t="s">
        <v>457</v>
      </c>
      <c r="AA631" s="30" t="s">
        <v>129</v>
      </c>
      <c r="AB631" s="92" t="s">
        <v>1894</v>
      </c>
      <c r="AC631" s="30"/>
      <c r="AD631" s="30"/>
      <c r="AE631" s="30"/>
      <c r="AF631" s="30" t="s">
        <v>131</v>
      </c>
      <c r="AG631" s="30" t="s">
        <v>661</v>
      </c>
      <c r="AH631" s="30"/>
      <c r="AI631" s="30"/>
      <c r="AJ631" s="30"/>
      <c r="AK631" s="50">
        <v>44405</v>
      </c>
      <c r="AL631" s="51">
        <f t="shared" si="413"/>
        <v>4.2630136986301368</v>
      </c>
      <c r="AM631" s="30">
        <v>8</v>
      </c>
      <c r="AN631" s="30"/>
      <c r="AO631" s="30" t="s">
        <v>1050</v>
      </c>
      <c r="AP631" s="30" t="s">
        <v>1187</v>
      </c>
      <c r="AQ631" s="30"/>
      <c r="AR631" s="30">
        <v>2600</v>
      </c>
      <c r="AS631" s="30">
        <v>1000</v>
      </c>
      <c r="AT631" s="30">
        <v>2100</v>
      </c>
      <c r="AU631" s="74">
        <v>305060000</v>
      </c>
      <c r="AV631" s="54"/>
      <c r="AW631" s="54"/>
      <c r="AX631" s="54"/>
      <c r="AY631" s="54">
        <v>155707706</v>
      </c>
      <c r="AZ631" s="54">
        <v>3177708</v>
      </c>
      <c r="BA631" s="74">
        <v>139819170</v>
      </c>
      <c r="BB631" s="55">
        <f>VLOOKUP(M631,[1]Sheet1!$E$6:$F$556,2,FALSE)</f>
        <v>13065033</v>
      </c>
      <c r="BC631" s="74"/>
      <c r="BD631" s="74"/>
      <c r="BE631" s="30"/>
      <c r="BF631" s="30" t="s">
        <v>1739</v>
      </c>
      <c r="BG631" s="30" t="s">
        <v>1740</v>
      </c>
      <c r="BH631" s="30" t="s">
        <v>1054</v>
      </c>
      <c r="BI631" s="30" t="str">
        <f t="shared" si="403"/>
        <v>COF(Assy_FT)</v>
      </c>
      <c r="BJ631" s="30" t="s">
        <v>250</v>
      </c>
      <c r="BK631" s="56">
        <f t="shared" si="414"/>
        <v>146810128.5</v>
      </c>
      <c r="BL631" s="57">
        <f t="shared" si="429"/>
        <v>4587816.515625</v>
      </c>
      <c r="BM631" s="57">
        <f t="shared" si="430"/>
        <v>1529272.171875</v>
      </c>
      <c r="BU631" s="58">
        <f t="shared" si="438"/>
        <v>4587816.515625</v>
      </c>
      <c r="BV631" s="58">
        <f t="shared" si="431"/>
        <v>4587816.515625</v>
      </c>
      <c r="BW631" s="58">
        <f t="shared" si="439"/>
        <v>9175633.03125</v>
      </c>
      <c r="BX631" s="58">
        <f t="shared" si="432"/>
        <v>4587816.515625</v>
      </c>
      <c r="BY631" s="58">
        <f t="shared" si="433"/>
        <v>4587816.515625</v>
      </c>
      <c r="BZ631" s="58">
        <f t="shared" si="440"/>
        <v>4587816.515625</v>
      </c>
      <c r="CA631" s="58">
        <f t="shared" si="433"/>
        <v>4587816.515625</v>
      </c>
      <c r="CB631" s="58">
        <f t="shared" si="404"/>
        <v>18351266.0625</v>
      </c>
      <c r="CC631" s="58">
        <f t="shared" si="405"/>
        <v>4587816.515625</v>
      </c>
      <c r="CD631" s="58">
        <f t="shared" si="441"/>
        <v>4587816.515625</v>
      </c>
      <c r="CE631" s="58">
        <f t="shared" si="441"/>
        <v>4587816.515625</v>
      </c>
      <c r="CF631" s="58">
        <f t="shared" si="441"/>
        <v>4587816.515625</v>
      </c>
      <c r="CG631" s="58">
        <f t="shared" si="406"/>
        <v>18351266.0625</v>
      </c>
      <c r="CH631" s="58">
        <f t="shared" si="434"/>
        <v>4587816.515625</v>
      </c>
      <c r="CI631" s="58">
        <f t="shared" si="442"/>
        <v>4587816.515625</v>
      </c>
      <c r="CJ631" s="58">
        <f t="shared" si="442"/>
        <v>4587816.515625</v>
      </c>
      <c r="CK631" s="58">
        <f t="shared" si="442"/>
        <v>4587816.515625</v>
      </c>
      <c r="CL631" s="58">
        <f t="shared" si="435"/>
        <v>18351266.0625</v>
      </c>
      <c r="CP631" s="2">
        <f t="shared" si="409"/>
        <v>146810128.5</v>
      </c>
    </row>
    <row r="632" spans="1:94" ht="15" hidden="1" x14ac:dyDescent="0.3">
      <c r="A632" s="29">
        <v>627</v>
      </c>
      <c r="B632" s="30" t="s">
        <v>21</v>
      </c>
      <c r="C632" s="30"/>
      <c r="D632" s="30" t="s">
        <v>1725</v>
      </c>
      <c r="E632" s="30" t="s">
        <v>1042</v>
      </c>
      <c r="F632" s="30" t="s">
        <v>1043</v>
      </c>
      <c r="G632" s="30" t="s">
        <v>117</v>
      </c>
      <c r="H632" s="30"/>
      <c r="I632" s="30" t="s">
        <v>119</v>
      </c>
      <c r="J632" s="30" t="s">
        <v>1871</v>
      </c>
      <c r="K632" s="30" t="s">
        <v>1872</v>
      </c>
      <c r="L632" s="30" t="s">
        <v>1728</v>
      </c>
      <c r="M632" s="30">
        <v>1006802</v>
      </c>
      <c r="N632" s="30" t="s">
        <v>138</v>
      </c>
      <c r="O632" s="30" t="s">
        <v>1946</v>
      </c>
      <c r="P632" s="30" t="s">
        <v>1926</v>
      </c>
      <c r="Q632" s="30" t="s">
        <v>1926</v>
      </c>
      <c r="R632" s="30" t="s">
        <v>1891</v>
      </c>
      <c r="S632" s="30" t="s">
        <v>1947</v>
      </c>
      <c r="T632" s="30"/>
      <c r="U632" s="30" t="s">
        <v>588</v>
      </c>
      <c r="V632" s="30" t="s">
        <v>437</v>
      </c>
      <c r="W632" s="30" t="s">
        <v>1893</v>
      </c>
      <c r="X632" s="89" t="s">
        <v>1764</v>
      </c>
      <c r="Y632" s="30" t="s">
        <v>457</v>
      </c>
      <c r="Z632" s="30" t="s">
        <v>457</v>
      </c>
      <c r="AA632" s="30" t="s">
        <v>129</v>
      </c>
      <c r="AB632" s="92" t="s">
        <v>1894</v>
      </c>
      <c r="AC632" s="30"/>
      <c r="AD632" s="30"/>
      <c r="AE632" s="30"/>
      <c r="AF632" s="30" t="s">
        <v>131</v>
      </c>
      <c r="AG632" s="30" t="s">
        <v>661</v>
      </c>
      <c r="AH632" s="30"/>
      <c r="AI632" s="30"/>
      <c r="AJ632" s="30"/>
      <c r="AK632" s="50">
        <v>44491</v>
      </c>
      <c r="AL632" s="51">
        <f t="shared" si="413"/>
        <v>4.0273972602739727</v>
      </c>
      <c r="AM632" s="30">
        <v>8</v>
      </c>
      <c r="AN632" s="30"/>
      <c r="AO632" s="30" t="s">
        <v>1050</v>
      </c>
      <c r="AP632" s="30" t="s">
        <v>1187</v>
      </c>
      <c r="AQ632" s="30"/>
      <c r="AR632" s="30">
        <v>2600</v>
      </c>
      <c r="AS632" s="30">
        <v>1000</v>
      </c>
      <c r="AT632" s="30">
        <v>2100</v>
      </c>
      <c r="AU632" s="74">
        <v>324060000</v>
      </c>
      <c r="AV632" s="54"/>
      <c r="AW632" s="54"/>
      <c r="AX632" s="54"/>
      <c r="AY632" s="54">
        <v>155278750</v>
      </c>
      <c r="AZ632" s="54">
        <v>3375625</v>
      </c>
      <c r="BA632" s="74">
        <v>158654375</v>
      </c>
      <c r="BB632" s="55">
        <f>VLOOKUP(M632,[1]Sheet1!$E$6:$F$556,2,FALSE)</f>
        <v>14946357</v>
      </c>
      <c r="BC632" s="74"/>
      <c r="BD632" s="74"/>
      <c r="BE632" s="30"/>
      <c r="BF632" s="30" t="s">
        <v>1739</v>
      </c>
      <c r="BG632" s="30" t="s">
        <v>1740</v>
      </c>
      <c r="BH632" s="30" t="s">
        <v>1054</v>
      </c>
      <c r="BI632" s="30" t="str">
        <f t="shared" si="403"/>
        <v>COF(Assy_FT)</v>
      </c>
      <c r="BJ632" s="30" t="s">
        <v>250</v>
      </c>
      <c r="BK632" s="56">
        <f t="shared" si="414"/>
        <v>166587093.75</v>
      </c>
      <c r="BL632" s="57">
        <f t="shared" si="429"/>
        <v>15880534.0593077</v>
      </c>
      <c r="BM632" s="57">
        <f t="shared" si="430"/>
        <v>5293511.3531025667</v>
      </c>
      <c r="BP632" s="63">
        <f>BM632*3</f>
        <v>15880534.0593077</v>
      </c>
      <c r="BQ632" s="63">
        <f>BP632</f>
        <v>15880534.0593077</v>
      </c>
      <c r="BR632" s="63">
        <f>SUM(BN632:BQ632)</f>
        <v>31761068.1186154</v>
      </c>
      <c r="BS632" s="63">
        <f>BQ632</f>
        <v>15880534.0593077</v>
      </c>
      <c r="BT632" s="63">
        <f>BS632</f>
        <v>15880534.0593077</v>
      </c>
      <c r="BU632" s="58">
        <f t="shared" si="438"/>
        <v>15880534.0593077</v>
      </c>
      <c r="BV632" s="58">
        <f t="shared" si="431"/>
        <v>15880534.0593077</v>
      </c>
      <c r="BW632" s="58">
        <f t="shared" si="439"/>
        <v>63522136.2372308</v>
      </c>
      <c r="BX632" s="58">
        <f t="shared" si="432"/>
        <v>15880534.0593077</v>
      </c>
      <c r="BY632" s="58">
        <f t="shared" si="433"/>
        <v>15880534.0593077</v>
      </c>
      <c r="BZ632" s="58">
        <f t="shared" si="440"/>
        <v>15880534.0593077</v>
      </c>
      <c r="CA632" s="58">
        <f t="shared" si="433"/>
        <v>15880534.0593077</v>
      </c>
      <c r="CB632" s="58">
        <f t="shared" si="404"/>
        <v>63522136.2372308</v>
      </c>
      <c r="CC632" s="58">
        <f t="shared" si="405"/>
        <v>15880534.0593077</v>
      </c>
      <c r="CD632" s="58">
        <f t="shared" si="441"/>
        <v>15880534.0593077</v>
      </c>
      <c r="CE632" s="58">
        <f t="shared" si="441"/>
        <v>15880534.0593077</v>
      </c>
      <c r="CF632" s="58">
        <f t="shared" si="441"/>
        <v>15880534.0593077</v>
      </c>
      <c r="CG632" s="58">
        <f t="shared" si="406"/>
        <v>63522136.2372308</v>
      </c>
      <c r="CH632" s="58">
        <f t="shared" si="434"/>
        <v>15880534.0593077</v>
      </c>
      <c r="CI632" s="58">
        <f t="shared" si="442"/>
        <v>15880534.0593077</v>
      </c>
      <c r="CJ632" s="58">
        <f t="shared" si="442"/>
        <v>15880534.0593077</v>
      </c>
      <c r="CK632" s="58">
        <f t="shared" si="442"/>
        <v>15880534.0593077</v>
      </c>
      <c r="CL632" s="58">
        <f t="shared" si="435"/>
        <v>63522136.2372308</v>
      </c>
      <c r="CN632" s="59">
        <f t="shared" ref="CN632:CN636" si="443">BK632/$CN$3</f>
        <v>1.6266190292754591E-2</v>
      </c>
      <c r="CO632" s="64">
        <f t="shared" ref="CO632:CO636" si="444">CN632*$CO$4</f>
        <v>341589996.1478464</v>
      </c>
      <c r="CP632" s="2">
        <f t="shared" si="409"/>
        <v>508177089.8978464</v>
      </c>
    </row>
    <row r="633" spans="1:94" ht="16.5" hidden="1" x14ac:dyDescent="0.3">
      <c r="A633" s="2">
        <v>628</v>
      </c>
      <c r="B633" s="47" t="s">
        <v>21</v>
      </c>
      <c r="C633" s="47"/>
      <c r="D633" s="30" t="s">
        <v>1725</v>
      </c>
      <c r="E633" s="30" t="s">
        <v>1042</v>
      </c>
      <c r="F633" s="30" t="s">
        <v>1043</v>
      </c>
      <c r="G633" s="30" t="s">
        <v>117</v>
      </c>
      <c r="H633" s="30"/>
      <c r="I633" s="30" t="s">
        <v>119</v>
      </c>
      <c r="J633" s="30" t="s">
        <v>1871</v>
      </c>
      <c r="K633" s="30" t="s">
        <v>1872</v>
      </c>
      <c r="L633" s="30" t="s">
        <v>1873</v>
      </c>
      <c r="M633" s="30">
        <v>1000385</v>
      </c>
      <c r="N633" s="30" t="s">
        <v>138</v>
      </c>
      <c r="O633" s="30" t="s">
        <v>1948</v>
      </c>
      <c r="P633" s="30" t="s">
        <v>1949</v>
      </c>
      <c r="Q633" s="30" t="s">
        <v>1950</v>
      </c>
      <c r="R633" s="30" t="s">
        <v>1876</v>
      </c>
      <c r="S633" s="30"/>
      <c r="T633" s="30" t="s">
        <v>1951</v>
      </c>
      <c r="U633" s="30" t="s">
        <v>588</v>
      </c>
      <c r="V633" s="30" t="s">
        <v>589</v>
      </c>
      <c r="W633" s="30" t="s">
        <v>1952</v>
      </c>
      <c r="X633" s="89" t="s">
        <v>1838</v>
      </c>
      <c r="Y633" s="125" t="s">
        <v>576</v>
      </c>
      <c r="Z633" s="125" t="s">
        <v>576</v>
      </c>
      <c r="AA633" s="20" t="s">
        <v>148</v>
      </c>
      <c r="AB633" s="142" t="s">
        <v>1953</v>
      </c>
      <c r="AC633" s="30" t="s">
        <v>1954</v>
      </c>
      <c r="AD633" s="30"/>
      <c r="AE633" s="30"/>
      <c r="AF633" s="30" t="s">
        <v>151</v>
      </c>
      <c r="AG633" s="30" t="s">
        <v>152</v>
      </c>
      <c r="AH633" s="30" t="s">
        <v>1839</v>
      </c>
      <c r="AI633" s="30"/>
      <c r="AJ633" s="30"/>
      <c r="AK633" s="50">
        <v>38562</v>
      </c>
      <c r="AL633" s="51">
        <f t="shared" si="413"/>
        <v>20.271232876712329</v>
      </c>
      <c r="AM633" s="30">
        <v>8</v>
      </c>
      <c r="AN633" s="30"/>
      <c r="AO633" s="30" t="s">
        <v>1050</v>
      </c>
      <c r="AP633" s="30" t="s">
        <v>1051</v>
      </c>
      <c r="AQ633" s="30">
        <v>1.5</v>
      </c>
      <c r="AR633" s="30">
        <v>1630</v>
      </c>
      <c r="AS633" s="30">
        <v>1380</v>
      </c>
      <c r="AT633" s="30">
        <v>2080</v>
      </c>
      <c r="AU633" s="54">
        <v>138000000</v>
      </c>
      <c r="AV633" s="54"/>
      <c r="AW633" s="54"/>
      <c r="AX633" s="54"/>
      <c r="AY633" s="54">
        <v>137999000</v>
      </c>
      <c r="AZ633" s="54">
        <v>0</v>
      </c>
      <c r="BA633" s="54">
        <v>1000</v>
      </c>
      <c r="BB633" s="55">
        <f>VLOOKUP(M633,[1]Sheet1!$E$6:$F$556,2,FALSE)</f>
        <v>1000</v>
      </c>
      <c r="BC633" s="74"/>
      <c r="BD633" s="74"/>
      <c r="BE633" s="30"/>
      <c r="BF633" s="30" t="s">
        <v>1745</v>
      </c>
      <c r="BG633" s="30" t="s">
        <v>1880</v>
      </c>
      <c r="BH633" s="30" t="s">
        <v>1054</v>
      </c>
      <c r="BI633" s="30" t="str">
        <f t="shared" si="403"/>
        <v>COF(Assy_FT)</v>
      </c>
      <c r="BJ633" s="47" t="s">
        <v>137</v>
      </c>
      <c r="BK633" s="67">
        <f t="shared" si="414"/>
        <v>2760000</v>
      </c>
      <c r="BL633" s="68">
        <f t="shared" si="429"/>
        <v>263107.26129520015</v>
      </c>
      <c r="BM633" s="68">
        <f t="shared" si="430"/>
        <v>87702.420431733379</v>
      </c>
      <c r="BP633" s="69">
        <f>BM633*3</f>
        <v>263107.26129520015</v>
      </c>
      <c r="BQ633" s="69">
        <f>BP633</f>
        <v>263107.26129520015</v>
      </c>
      <c r="BR633" s="69">
        <f>SUM(BN633:BQ633)</f>
        <v>526214.5225904003</v>
      </c>
      <c r="BS633" s="69">
        <f>BQ633</f>
        <v>263107.26129520015</v>
      </c>
      <c r="BT633" s="69">
        <f t="shared" si="431"/>
        <v>263107.26129520015</v>
      </c>
      <c r="BU633" s="100">
        <f t="shared" si="431"/>
        <v>263107.26129520015</v>
      </c>
      <c r="BV633" s="100">
        <f t="shared" si="431"/>
        <v>263107.26129520015</v>
      </c>
      <c r="BW633" s="100">
        <f t="shared" si="439"/>
        <v>1052429.0451808006</v>
      </c>
      <c r="BX633" s="101">
        <f t="shared" si="432"/>
        <v>263107.26129520015</v>
      </c>
      <c r="BY633" s="101">
        <f t="shared" si="433"/>
        <v>263107.26129520015</v>
      </c>
      <c r="BZ633" s="18">
        <f t="shared" si="433"/>
        <v>263107.26129520015</v>
      </c>
      <c r="CA633" s="18">
        <f t="shared" si="433"/>
        <v>263107.26129520015</v>
      </c>
      <c r="CB633" s="70">
        <f t="shared" si="404"/>
        <v>1052429.0451808006</v>
      </c>
      <c r="CC633" s="18">
        <f t="shared" si="405"/>
        <v>263107.26129520015</v>
      </c>
      <c r="CD633" s="18">
        <f t="shared" si="441"/>
        <v>263107.26129520015</v>
      </c>
      <c r="CE633" s="18">
        <f t="shared" si="441"/>
        <v>263107.26129520015</v>
      </c>
      <c r="CF633" s="18">
        <f t="shared" si="441"/>
        <v>263107.26129520015</v>
      </c>
      <c r="CG633" s="70">
        <f t="shared" si="406"/>
        <v>1052429.0451808006</v>
      </c>
      <c r="CH633" s="18">
        <f t="shared" si="434"/>
        <v>263107.26129520015</v>
      </c>
      <c r="CI633" s="18">
        <f t="shared" si="442"/>
        <v>263107.26129520015</v>
      </c>
      <c r="CJ633" s="18">
        <f t="shared" si="442"/>
        <v>263107.26129520015</v>
      </c>
      <c r="CK633" s="18">
        <f t="shared" si="442"/>
        <v>263107.26129520015</v>
      </c>
      <c r="CL633" s="70">
        <f t="shared" si="435"/>
        <v>1052429.0451808006</v>
      </c>
      <c r="CM633" s="71"/>
      <c r="CN633" s="59">
        <f t="shared" si="443"/>
        <v>2.6949677911649548E-4</v>
      </c>
      <c r="CO633" s="64">
        <f t="shared" si="444"/>
        <v>5659432.3614464048</v>
      </c>
      <c r="CP633" s="2">
        <f t="shared" si="409"/>
        <v>8419432.3614464048</v>
      </c>
    </row>
    <row r="634" spans="1:94" ht="16.5" hidden="1" x14ac:dyDescent="0.3">
      <c r="A634" s="2">
        <v>629</v>
      </c>
      <c r="B634" s="47" t="s">
        <v>21</v>
      </c>
      <c r="C634" s="47"/>
      <c r="D634" s="30" t="s">
        <v>1725</v>
      </c>
      <c r="E634" s="30" t="s">
        <v>1042</v>
      </c>
      <c r="F634" s="30" t="s">
        <v>1043</v>
      </c>
      <c r="G634" s="30" t="s">
        <v>117</v>
      </c>
      <c r="H634" s="30"/>
      <c r="I634" s="30" t="s">
        <v>119</v>
      </c>
      <c r="J634" s="30" t="s">
        <v>1871</v>
      </c>
      <c r="K634" s="30" t="s">
        <v>1872</v>
      </c>
      <c r="L634" s="30" t="s">
        <v>1873</v>
      </c>
      <c r="M634" s="30">
        <v>1006776</v>
      </c>
      <c r="N634" s="30" t="s">
        <v>138</v>
      </c>
      <c r="O634" s="30" t="s">
        <v>1955</v>
      </c>
      <c r="P634" s="30" t="s">
        <v>1956</v>
      </c>
      <c r="Q634" s="30" t="s">
        <v>1956</v>
      </c>
      <c r="R634" s="30" t="s">
        <v>1876</v>
      </c>
      <c r="S634" s="30"/>
      <c r="T634" s="30" t="s">
        <v>1780</v>
      </c>
      <c r="U634" s="30" t="s">
        <v>588</v>
      </c>
      <c r="V634" s="30" t="s">
        <v>589</v>
      </c>
      <c r="W634" s="30" t="s">
        <v>1877</v>
      </c>
      <c r="X634" s="89" t="s">
        <v>1757</v>
      </c>
      <c r="Y634" s="30" t="s">
        <v>576</v>
      </c>
      <c r="Z634" s="30" t="s">
        <v>576</v>
      </c>
      <c r="AA634" s="92" t="s">
        <v>891</v>
      </c>
      <c r="AB634" s="30" t="s">
        <v>1878</v>
      </c>
      <c r="AC634" s="30"/>
      <c r="AD634" s="30"/>
      <c r="AE634" s="30"/>
      <c r="AF634" s="30" t="s">
        <v>179</v>
      </c>
      <c r="AG634" s="30" t="s">
        <v>152</v>
      </c>
      <c r="AH634" s="132" t="s">
        <v>1879</v>
      </c>
      <c r="AI634" s="30"/>
      <c r="AJ634" s="30"/>
      <c r="AK634" s="50">
        <v>44466</v>
      </c>
      <c r="AL634" s="51">
        <f t="shared" si="413"/>
        <v>4.095890410958904</v>
      </c>
      <c r="AM634" s="30">
        <v>8</v>
      </c>
      <c r="AN634" s="30"/>
      <c r="AO634" s="30" t="s">
        <v>1050</v>
      </c>
      <c r="AP634" s="30" t="s">
        <v>1187</v>
      </c>
      <c r="AQ634" s="30">
        <v>1.5</v>
      </c>
      <c r="AR634" s="30">
        <v>1720</v>
      </c>
      <c r="AS634" s="30">
        <v>1550</v>
      </c>
      <c r="AT634" s="30">
        <v>2300</v>
      </c>
      <c r="AU634" s="54">
        <v>167832390</v>
      </c>
      <c r="AV634" s="54"/>
      <c r="AW634" s="54"/>
      <c r="AX634" s="54"/>
      <c r="AY634" s="54">
        <v>81960128</v>
      </c>
      <c r="AZ634" s="54">
        <v>1748254</v>
      </c>
      <c r="BA634" s="54">
        <v>80627500</v>
      </c>
      <c r="BB634" s="55">
        <f>VLOOKUP(M634,[1]Sheet1!$E$6:$F$556,2,FALSE)</f>
        <v>7576907</v>
      </c>
      <c r="BC634" s="74"/>
      <c r="BD634" s="74"/>
      <c r="BE634" s="30"/>
      <c r="BF634" s="30" t="s">
        <v>1739</v>
      </c>
      <c r="BG634" s="30" t="s">
        <v>1880</v>
      </c>
      <c r="BH634" s="30" t="s">
        <v>1054</v>
      </c>
      <c r="BI634" s="30" t="str">
        <f t="shared" si="403"/>
        <v>COF(Assy_FT)</v>
      </c>
      <c r="BJ634" s="47" t="s">
        <v>137</v>
      </c>
      <c r="BK634" s="56">
        <f t="shared" si="414"/>
        <v>84658875</v>
      </c>
      <c r="BL634" s="57">
        <f t="shared" si="429"/>
        <v>8070422.0092690904</v>
      </c>
      <c r="BM634" s="57">
        <f t="shared" si="430"/>
        <v>2690140.6697563636</v>
      </c>
      <c r="BU634" s="58">
        <f>BM634*3</f>
        <v>8070422.0092690904</v>
      </c>
      <c r="BV634" s="58">
        <f t="shared" si="431"/>
        <v>8070422.0092690904</v>
      </c>
      <c r="BW634" s="58">
        <f t="shared" si="439"/>
        <v>16140844.018538181</v>
      </c>
      <c r="BX634" s="58">
        <f t="shared" si="432"/>
        <v>8070422.0092690904</v>
      </c>
      <c r="BY634" s="58">
        <f t="shared" si="433"/>
        <v>8070422.0092690904</v>
      </c>
      <c r="BZ634" s="58">
        <f>BM634*3</f>
        <v>8070422.0092690904</v>
      </c>
      <c r="CA634" s="58">
        <f t="shared" si="433"/>
        <v>8070422.0092690904</v>
      </c>
      <c r="CB634" s="58">
        <f t="shared" si="404"/>
        <v>32281688.037076361</v>
      </c>
      <c r="CC634" s="58">
        <f t="shared" si="405"/>
        <v>8070422.0092690904</v>
      </c>
      <c r="CD634" s="58">
        <f t="shared" si="441"/>
        <v>8070422.0092690904</v>
      </c>
      <c r="CE634" s="58">
        <f t="shared" si="441"/>
        <v>8070422.0092690904</v>
      </c>
      <c r="CF634" s="58">
        <f t="shared" si="441"/>
        <v>8070422.0092690904</v>
      </c>
      <c r="CG634" s="58">
        <f t="shared" si="406"/>
        <v>32281688.037076361</v>
      </c>
      <c r="CH634" s="58">
        <f t="shared" si="434"/>
        <v>8070422.0092690904</v>
      </c>
      <c r="CI634" s="58">
        <f t="shared" si="442"/>
        <v>8070422.0092690904</v>
      </c>
      <c r="CJ634" s="58">
        <f t="shared" si="442"/>
        <v>8070422.0092690904</v>
      </c>
      <c r="CK634" s="58">
        <f t="shared" si="442"/>
        <v>8070422.0092690904</v>
      </c>
      <c r="CL634" s="58">
        <f t="shared" si="435"/>
        <v>32281688.037076361</v>
      </c>
      <c r="CN634" s="59">
        <f t="shared" si="443"/>
        <v>8.2664109188862328E-3</v>
      </c>
      <c r="CO634" s="64">
        <f t="shared" si="444"/>
        <v>173594629.29661089</v>
      </c>
      <c r="CP634" s="2">
        <f t="shared" si="409"/>
        <v>258253504.29661089</v>
      </c>
    </row>
    <row r="635" spans="1:94" ht="16.5" hidden="1" x14ac:dyDescent="0.3">
      <c r="A635" s="2">
        <v>630</v>
      </c>
      <c r="B635" s="47" t="s">
        <v>21</v>
      </c>
      <c r="C635" s="47"/>
      <c r="D635" s="30" t="s">
        <v>1725</v>
      </c>
      <c r="E635" s="30" t="s">
        <v>1042</v>
      </c>
      <c r="F635" s="30" t="s">
        <v>1043</v>
      </c>
      <c r="G635" s="30" t="s">
        <v>117</v>
      </c>
      <c r="H635" s="30"/>
      <c r="I635" s="30" t="s">
        <v>119</v>
      </c>
      <c r="J635" s="30" t="s">
        <v>1871</v>
      </c>
      <c r="K635" s="30" t="s">
        <v>1872</v>
      </c>
      <c r="L635" s="30" t="s">
        <v>1873</v>
      </c>
      <c r="M635" s="30">
        <v>1006775</v>
      </c>
      <c r="N635" s="30" t="s">
        <v>138</v>
      </c>
      <c r="O635" s="30" t="s">
        <v>1957</v>
      </c>
      <c r="P635" s="30" t="s">
        <v>1956</v>
      </c>
      <c r="Q635" s="30" t="s">
        <v>1956</v>
      </c>
      <c r="R635" s="30" t="s">
        <v>1876</v>
      </c>
      <c r="S635" s="30"/>
      <c r="T635" s="30" t="s">
        <v>1780</v>
      </c>
      <c r="U635" s="30" t="s">
        <v>588</v>
      </c>
      <c r="V635" s="30" t="s">
        <v>589</v>
      </c>
      <c r="W635" s="30" t="s">
        <v>1877</v>
      </c>
      <c r="X635" s="89" t="s">
        <v>1764</v>
      </c>
      <c r="Y635" s="125" t="s">
        <v>576</v>
      </c>
      <c r="Z635" s="125" t="s">
        <v>576</v>
      </c>
      <c r="AA635" s="92" t="s">
        <v>891</v>
      </c>
      <c r="AB635" s="30" t="s">
        <v>1878</v>
      </c>
      <c r="AC635" s="30"/>
      <c r="AD635" s="30"/>
      <c r="AE635" s="30"/>
      <c r="AF635" s="30" t="s">
        <v>179</v>
      </c>
      <c r="AG635" s="30" t="s">
        <v>152</v>
      </c>
      <c r="AH635" s="132" t="s">
        <v>1879</v>
      </c>
      <c r="AI635" s="30"/>
      <c r="AJ635" s="30"/>
      <c r="AK635" s="50">
        <v>44466</v>
      </c>
      <c r="AL635" s="51">
        <f t="shared" si="413"/>
        <v>4.095890410958904</v>
      </c>
      <c r="AM635" s="30">
        <v>8</v>
      </c>
      <c r="AN635" s="30"/>
      <c r="AO635" s="30" t="s">
        <v>1050</v>
      </c>
      <c r="AP635" s="30" t="s">
        <v>1187</v>
      </c>
      <c r="AQ635" s="30">
        <v>1.5</v>
      </c>
      <c r="AR635" s="30">
        <v>1720</v>
      </c>
      <c r="AS635" s="30">
        <v>1550</v>
      </c>
      <c r="AT635" s="30">
        <v>2300</v>
      </c>
      <c r="AU635" s="54">
        <v>210982390</v>
      </c>
      <c r="AV635" s="54"/>
      <c r="AW635" s="54"/>
      <c r="AX635" s="54"/>
      <c r="AY635" s="54">
        <v>103293457</v>
      </c>
      <c r="AZ635" s="54">
        <v>2197733</v>
      </c>
      <c r="BA635" s="54">
        <v>101095734</v>
      </c>
      <c r="BB635" s="55">
        <f>VLOOKUP(M635,[1]Sheet1!$E$6:$F$556,2,FALSE)</f>
        <v>9499281</v>
      </c>
      <c r="BC635" s="74"/>
      <c r="BD635" s="74"/>
      <c r="BE635" s="30"/>
      <c r="BF635" s="30" t="s">
        <v>1739</v>
      </c>
      <c r="BG635" s="30" t="s">
        <v>1880</v>
      </c>
      <c r="BH635" s="30" t="s">
        <v>1054</v>
      </c>
      <c r="BI635" s="30" t="str">
        <f t="shared" si="403"/>
        <v>COF(Assy_FT)</v>
      </c>
      <c r="BJ635" s="47" t="s">
        <v>137</v>
      </c>
      <c r="BK635" s="67">
        <f t="shared" si="414"/>
        <v>106150520.7</v>
      </c>
      <c r="BL635" s="68">
        <f t="shared" si="429"/>
        <v>10119193.038563933</v>
      </c>
      <c r="BM635" s="68">
        <f t="shared" si="430"/>
        <v>3373064.3461879776</v>
      </c>
      <c r="BP635" s="69">
        <f>BM635*3</f>
        <v>10119193.038563933</v>
      </c>
      <c r="BQ635" s="69">
        <f>BP635</f>
        <v>10119193.038563933</v>
      </c>
      <c r="BR635" s="69">
        <f>SUM(BN635:BQ635)</f>
        <v>20238386.077127866</v>
      </c>
      <c r="BS635" s="69">
        <f>BQ635</f>
        <v>10119193.038563933</v>
      </c>
      <c r="BT635" s="69">
        <f t="shared" ref="BT635:BV650" si="445">BS635</f>
        <v>10119193.038563933</v>
      </c>
      <c r="BU635" s="100">
        <f t="shared" si="445"/>
        <v>10119193.038563933</v>
      </c>
      <c r="BV635" s="100">
        <f t="shared" si="445"/>
        <v>10119193.038563933</v>
      </c>
      <c r="BW635" s="100">
        <f t="shared" si="439"/>
        <v>40476772.154255733</v>
      </c>
      <c r="BX635" s="101">
        <f t="shared" si="432"/>
        <v>10119193.038563933</v>
      </c>
      <c r="BY635" s="101">
        <f t="shared" si="433"/>
        <v>10119193.038563933</v>
      </c>
      <c r="BZ635" s="18">
        <f t="shared" si="433"/>
        <v>10119193.038563933</v>
      </c>
      <c r="CA635" s="18">
        <f t="shared" si="433"/>
        <v>10119193.038563933</v>
      </c>
      <c r="CB635" s="70">
        <f t="shared" si="404"/>
        <v>40476772.154255733</v>
      </c>
      <c r="CC635" s="18">
        <f t="shared" si="405"/>
        <v>10119193.038563933</v>
      </c>
      <c r="CD635" s="18">
        <f t="shared" si="441"/>
        <v>10119193.038563933</v>
      </c>
      <c r="CE635" s="18">
        <f t="shared" si="441"/>
        <v>10119193.038563933</v>
      </c>
      <c r="CF635" s="18">
        <f t="shared" si="441"/>
        <v>10119193.038563933</v>
      </c>
      <c r="CG635" s="70">
        <f t="shared" si="406"/>
        <v>40476772.154255733</v>
      </c>
      <c r="CH635" s="18">
        <f t="shared" si="434"/>
        <v>10119193.038563933</v>
      </c>
      <c r="CI635" s="18">
        <f t="shared" si="442"/>
        <v>10119193.038563933</v>
      </c>
      <c r="CJ635" s="18">
        <f t="shared" si="442"/>
        <v>10119193.038563933</v>
      </c>
      <c r="CK635" s="18">
        <f t="shared" si="442"/>
        <v>10119193.038563933</v>
      </c>
      <c r="CL635" s="70">
        <f t="shared" si="435"/>
        <v>40476772.154255733</v>
      </c>
      <c r="CM635" s="71"/>
      <c r="CN635" s="59">
        <f t="shared" si="443"/>
        <v>1.0364936025430755E-2</v>
      </c>
      <c r="CO635" s="64">
        <f t="shared" si="444"/>
        <v>217663656.53404585</v>
      </c>
      <c r="CP635" s="2">
        <f t="shared" si="409"/>
        <v>323814177.23404586</v>
      </c>
    </row>
    <row r="636" spans="1:94" ht="16.5" hidden="1" x14ac:dyDescent="0.3">
      <c r="A636" s="2">
        <v>631</v>
      </c>
      <c r="B636" s="47" t="s">
        <v>21</v>
      </c>
      <c r="C636" s="47"/>
      <c r="D636" s="30" t="s">
        <v>1725</v>
      </c>
      <c r="E636" s="30" t="s">
        <v>1042</v>
      </c>
      <c r="F636" s="30" t="s">
        <v>1043</v>
      </c>
      <c r="G636" s="30" t="s">
        <v>117</v>
      </c>
      <c r="H636" s="30"/>
      <c r="I636" s="30" t="s">
        <v>119</v>
      </c>
      <c r="J636" s="30" t="s">
        <v>1871</v>
      </c>
      <c r="K636" s="30" t="s">
        <v>1872</v>
      </c>
      <c r="L636" s="30" t="s">
        <v>1873</v>
      </c>
      <c r="M636" s="30">
        <v>1006583</v>
      </c>
      <c r="N636" s="30" t="s">
        <v>138</v>
      </c>
      <c r="O636" s="30" t="s">
        <v>1958</v>
      </c>
      <c r="P636" s="30" t="s">
        <v>1956</v>
      </c>
      <c r="Q636" s="30" t="s">
        <v>1956</v>
      </c>
      <c r="R636" s="30" t="s">
        <v>1876</v>
      </c>
      <c r="S636" s="30"/>
      <c r="T636" s="30" t="s">
        <v>1780</v>
      </c>
      <c r="U636" s="30" t="s">
        <v>588</v>
      </c>
      <c r="V636" s="30" t="s">
        <v>589</v>
      </c>
      <c r="W636" s="30" t="s">
        <v>1877</v>
      </c>
      <c r="X636" s="89" t="s">
        <v>1757</v>
      </c>
      <c r="Y636" s="30" t="s">
        <v>576</v>
      </c>
      <c r="Z636" s="30" t="s">
        <v>576</v>
      </c>
      <c r="AA636" s="92" t="s">
        <v>891</v>
      </c>
      <c r="AB636" s="30" t="s">
        <v>1878</v>
      </c>
      <c r="AC636" s="30"/>
      <c r="AD636" s="30"/>
      <c r="AE636" s="30"/>
      <c r="AF636" s="30" t="s">
        <v>179</v>
      </c>
      <c r="AG636" s="30" t="s">
        <v>152</v>
      </c>
      <c r="AH636" s="132" t="s">
        <v>1879</v>
      </c>
      <c r="AI636" s="30"/>
      <c r="AJ636" s="30"/>
      <c r="AK636" s="50">
        <v>44252</v>
      </c>
      <c r="AL636" s="51">
        <f t="shared" si="413"/>
        <v>4.6821917808219178</v>
      </c>
      <c r="AM636" s="30">
        <v>8</v>
      </c>
      <c r="AN636" s="30"/>
      <c r="AO636" s="30" t="s">
        <v>1050</v>
      </c>
      <c r="AP636" s="30" t="s">
        <v>1187</v>
      </c>
      <c r="AQ636" s="30">
        <v>1.5</v>
      </c>
      <c r="AR636" s="30">
        <v>1720</v>
      </c>
      <c r="AS636" s="30">
        <v>1550</v>
      </c>
      <c r="AT636" s="30">
        <v>2300</v>
      </c>
      <c r="AU636" s="54">
        <v>210000000</v>
      </c>
      <c r="AV636" s="54"/>
      <c r="AW636" s="54"/>
      <c r="AX636" s="54"/>
      <c r="AY636" s="54">
        <v>118125000</v>
      </c>
      <c r="AZ636" s="54">
        <v>2187500</v>
      </c>
      <c r="BA636" s="54">
        <v>85312500</v>
      </c>
      <c r="BB636" s="55">
        <f>VLOOKUP(M636,[1]Sheet1!$E$6:$F$556,2,FALSE)</f>
        <v>7840773</v>
      </c>
      <c r="BC636" s="74"/>
      <c r="BD636" s="74"/>
      <c r="BE636" s="30"/>
      <c r="BF636" s="30" t="s">
        <v>1739</v>
      </c>
      <c r="BG636" s="30" t="s">
        <v>1880</v>
      </c>
      <c r="BH636" s="30" t="s">
        <v>1054</v>
      </c>
      <c r="BI636" s="30" t="str">
        <f t="shared" si="403"/>
        <v>COF(Assy_FT)</v>
      </c>
      <c r="BJ636" s="47" t="s">
        <v>137</v>
      </c>
      <c r="BK636" s="56">
        <f t="shared" si="414"/>
        <v>89578125</v>
      </c>
      <c r="BL636" s="57">
        <f t="shared" si="429"/>
        <v>8539367.8046047464</v>
      </c>
      <c r="BM636" s="57">
        <f t="shared" si="430"/>
        <v>2846455.9348682486</v>
      </c>
      <c r="BU636" s="58">
        <f>BM636*3</f>
        <v>8539367.8046047464</v>
      </c>
      <c r="BV636" s="58">
        <f t="shared" si="445"/>
        <v>8539367.8046047464</v>
      </c>
      <c r="BW636" s="58">
        <f t="shared" si="439"/>
        <v>17078735.609209493</v>
      </c>
      <c r="BX636" s="58">
        <f t="shared" si="432"/>
        <v>8539367.8046047464</v>
      </c>
      <c r="BY636" s="58">
        <f t="shared" si="433"/>
        <v>8539367.8046047464</v>
      </c>
      <c r="BZ636" s="58">
        <f>BM636*3</f>
        <v>8539367.8046047464</v>
      </c>
      <c r="CA636" s="58">
        <f t="shared" si="433"/>
        <v>8539367.8046047464</v>
      </c>
      <c r="CB636" s="58">
        <f t="shared" si="404"/>
        <v>34157471.218418986</v>
      </c>
      <c r="CC636" s="58">
        <f t="shared" si="405"/>
        <v>8539367.8046047464</v>
      </c>
      <c r="CD636" s="58">
        <f t="shared" si="441"/>
        <v>8539367.8046047464</v>
      </c>
      <c r="CE636" s="58">
        <f t="shared" si="441"/>
        <v>8539367.8046047464</v>
      </c>
      <c r="CF636" s="58">
        <f t="shared" si="441"/>
        <v>8539367.8046047464</v>
      </c>
      <c r="CG636" s="58">
        <f t="shared" si="406"/>
        <v>34157471.218418986</v>
      </c>
      <c r="CH636" s="58">
        <f t="shared" si="434"/>
        <v>8539367.8046047464</v>
      </c>
      <c r="CI636" s="58">
        <f t="shared" si="442"/>
        <v>8539367.8046047464</v>
      </c>
      <c r="CJ636" s="58">
        <f t="shared" si="442"/>
        <v>8539367.8046047464</v>
      </c>
      <c r="CK636" s="58">
        <f t="shared" si="442"/>
        <v>8539367.8046047464</v>
      </c>
      <c r="CL636" s="58">
        <f t="shared" si="435"/>
        <v>34157471.218418986</v>
      </c>
      <c r="CN636" s="59">
        <f t="shared" si="443"/>
        <v>8.7467449879691378E-3</v>
      </c>
      <c r="CO636" s="64">
        <f t="shared" si="444"/>
        <v>183681644.74735188</v>
      </c>
      <c r="CP636" s="2">
        <f t="shared" si="409"/>
        <v>273259769.74735188</v>
      </c>
    </row>
    <row r="637" spans="1:94" ht="15" hidden="1" x14ac:dyDescent="0.3">
      <c r="A637" s="29">
        <v>632</v>
      </c>
      <c r="B637" s="30" t="s">
        <v>21</v>
      </c>
      <c r="C637" s="30"/>
      <c r="D637" s="30" t="s">
        <v>1725</v>
      </c>
      <c r="E637" s="30" t="s">
        <v>1042</v>
      </c>
      <c r="F637" s="30" t="s">
        <v>1043</v>
      </c>
      <c r="G637" s="30" t="s">
        <v>117</v>
      </c>
      <c r="H637" s="30"/>
      <c r="I637" s="30" t="s">
        <v>119</v>
      </c>
      <c r="J637" s="30" t="s">
        <v>1871</v>
      </c>
      <c r="K637" s="30" t="s">
        <v>1872</v>
      </c>
      <c r="L637" s="30" t="s">
        <v>1873</v>
      </c>
      <c r="M637" s="30">
        <v>1006582</v>
      </c>
      <c r="N637" s="30" t="s">
        <v>138</v>
      </c>
      <c r="O637" s="30" t="s">
        <v>1959</v>
      </c>
      <c r="P637" s="30" t="s">
        <v>1956</v>
      </c>
      <c r="Q637" s="30" t="s">
        <v>1956</v>
      </c>
      <c r="R637" s="30" t="s">
        <v>1876</v>
      </c>
      <c r="S637" s="30"/>
      <c r="T637" s="30" t="s">
        <v>1780</v>
      </c>
      <c r="U637" s="30" t="s">
        <v>588</v>
      </c>
      <c r="V637" s="30" t="s">
        <v>589</v>
      </c>
      <c r="W637" s="30" t="s">
        <v>1877</v>
      </c>
      <c r="X637" s="89"/>
      <c r="Y637" s="30" t="s">
        <v>576</v>
      </c>
      <c r="Z637" s="30" t="s">
        <v>576</v>
      </c>
      <c r="AA637" s="92" t="s">
        <v>891</v>
      </c>
      <c r="AB637" s="30" t="s">
        <v>1878</v>
      </c>
      <c r="AC637" s="30"/>
      <c r="AD637" s="30"/>
      <c r="AE637" s="30"/>
      <c r="AF637" s="30" t="s">
        <v>179</v>
      </c>
      <c r="AG637" s="30" t="s">
        <v>152</v>
      </c>
      <c r="AH637" s="132" t="s">
        <v>1879</v>
      </c>
      <c r="AI637" s="30"/>
      <c r="AJ637" s="30"/>
      <c r="AK637" s="50">
        <v>44252</v>
      </c>
      <c r="AL637" s="51">
        <f t="shared" si="413"/>
        <v>4.6821917808219178</v>
      </c>
      <c r="AM637" s="30">
        <v>8</v>
      </c>
      <c r="AN637" s="30"/>
      <c r="AO637" s="30" t="s">
        <v>1050</v>
      </c>
      <c r="AP637" s="30" t="s">
        <v>1187</v>
      </c>
      <c r="AQ637" s="30">
        <v>1.5</v>
      </c>
      <c r="AR637" s="30">
        <v>1720</v>
      </c>
      <c r="AS637" s="30">
        <v>1550</v>
      </c>
      <c r="AT637" s="30">
        <v>2300</v>
      </c>
      <c r="AU637" s="74">
        <v>210000000</v>
      </c>
      <c r="AV637" s="54"/>
      <c r="AW637" s="54"/>
      <c r="AX637" s="54"/>
      <c r="AY637" s="54">
        <v>118125000</v>
      </c>
      <c r="AZ637" s="54">
        <v>2187500</v>
      </c>
      <c r="BA637" s="74">
        <v>85312500</v>
      </c>
      <c r="BB637" s="55">
        <f>VLOOKUP(M637,[1]Sheet1!$E$6:$F$556,2,FALSE)</f>
        <v>7840773</v>
      </c>
      <c r="BC637" s="74"/>
      <c r="BD637" s="74"/>
      <c r="BE637" s="30"/>
      <c r="BF637" s="30" t="s">
        <v>1739</v>
      </c>
      <c r="BG637" s="30" t="s">
        <v>1880</v>
      </c>
      <c r="BH637" s="30" t="s">
        <v>1054</v>
      </c>
      <c r="BI637" s="30" t="str">
        <f t="shared" si="403"/>
        <v>COF(Assy_FT)</v>
      </c>
      <c r="BJ637" s="30" t="s">
        <v>250</v>
      </c>
      <c r="BK637" s="56">
        <f t="shared" si="414"/>
        <v>89578125</v>
      </c>
      <c r="BL637" s="57">
        <f t="shared" si="429"/>
        <v>2799316.40625</v>
      </c>
      <c r="BM637" s="57">
        <f t="shared" si="430"/>
        <v>933105.46875</v>
      </c>
      <c r="BU637" s="58">
        <f>BM637*3</f>
        <v>2799316.40625</v>
      </c>
      <c r="BV637" s="58">
        <f t="shared" si="445"/>
        <v>2799316.40625</v>
      </c>
      <c r="BW637" s="58">
        <f t="shared" si="439"/>
        <v>5598632.8125</v>
      </c>
      <c r="BX637" s="58">
        <f t="shared" si="432"/>
        <v>2799316.40625</v>
      </c>
      <c r="BY637" s="58">
        <f t="shared" si="433"/>
        <v>2799316.40625</v>
      </c>
      <c r="BZ637" s="58">
        <f>BM637*3</f>
        <v>2799316.40625</v>
      </c>
      <c r="CA637" s="58">
        <f t="shared" si="433"/>
        <v>2799316.40625</v>
      </c>
      <c r="CB637" s="58">
        <f t="shared" si="404"/>
        <v>11197265.625</v>
      </c>
      <c r="CC637" s="58">
        <f t="shared" si="405"/>
        <v>2799316.40625</v>
      </c>
      <c r="CD637" s="58">
        <f t="shared" si="441"/>
        <v>2799316.40625</v>
      </c>
      <c r="CE637" s="58">
        <f t="shared" si="441"/>
        <v>2799316.40625</v>
      </c>
      <c r="CF637" s="58">
        <f t="shared" si="441"/>
        <v>2799316.40625</v>
      </c>
      <c r="CG637" s="58">
        <f t="shared" si="406"/>
        <v>11197265.625</v>
      </c>
      <c r="CH637" s="58">
        <f t="shared" si="434"/>
        <v>2799316.40625</v>
      </c>
      <c r="CI637" s="58">
        <f>CH637</f>
        <v>2799316.40625</v>
      </c>
      <c r="CJ637" s="58">
        <f>CI637</f>
        <v>2799316.40625</v>
      </c>
      <c r="CK637" s="58">
        <f>CJ637</f>
        <v>2799316.40625</v>
      </c>
      <c r="CL637" s="58">
        <f t="shared" si="435"/>
        <v>11197265.625</v>
      </c>
      <c r="CP637" s="2">
        <f t="shared" si="409"/>
        <v>89578125</v>
      </c>
    </row>
    <row r="638" spans="1:94" ht="16.5" hidden="1" x14ac:dyDescent="0.3">
      <c r="A638" s="2">
        <v>633</v>
      </c>
      <c r="B638" s="47" t="s">
        <v>21</v>
      </c>
      <c r="C638" s="47"/>
      <c r="D638" s="30" t="s">
        <v>1725</v>
      </c>
      <c r="E638" s="30" t="s">
        <v>1042</v>
      </c>
      <c r="F638" s="30" t="s">
        <v>1043</v>
      </c>
      <c r="G638" s="30" t="s">
        <v>117</v>
      </c>
      <c r="H638" s="30"/>
      <c r="I638" s="30" t="s">
        <v>119</v>
      </c>
      <c r="J638" s="30" t="s">
        <v>1871</v>
      </c>
      <c r="K638" s="30" t="s">
        <v>1872</v>
      </c>
      <c r="L638" s="30" t="s">
        <v>1873</v>
      </c>
      <c r="M638" s="30">
        <v>1000314</v>
      </c>
      <c r="N638" s="30" t="s">
        <v>138</v>
      </c>
      <c r="O638" s="30" t="s">
        <v>1960</v>
      </c>
      <c r="P638" s="30" t="s">
        <v>1961</v>
      </c>
      <c r="Q638" s="30" t="s">
        <v>1961</v>
      </c>
      <c r="R638" s="30" t="s">
        <v>1876</v>
      </c>
      <c r="S638" s="30">
        <v>11</v>
      </c>
      <c r="T638" s="30" t="s">
        <v>1752</v>
      </c>
      <c r="U638" s="30" t="s">
        <v>588</v>
      </c>
      <c r="V638" s="30" t="s">
        <v>589</v>
      </c>
      <c r="W638" s="30" t="s">
        <v>1877</v>
      </c>
      <c r="X638" s="89" t="s">
        <v>1764</v>
      </c>
      <c r="Y638" s="125" t="s">
        <v>576</v>
      </c>
      <c r="Z638" s="125" t="s">
        <v>576</v>
      </c>
      <c r="AA638" s="92" t="s">
        <v>891</v>
      </c>
      <c r="AB638" s="30" t="s">
        <v>1878</v>
      </c>
      <c r="AC638" s="30"/>
      <c r="AD638" s="30"/>
      <c r="AE638" s="30"/>
      <c r="AF638" s="30" t="s">
        <v>179</v>
      </c>
      <c r="AG638" s="30" t="s">
        <v>152</v>
      </c>
      <c r="AH638" s="132" t="s">
        <v>1879</v>
      </c>
      <c r="AI638" s="30"/>
      <c r="AJ638" s="30"/>
      <c r="AK638" s="50">
        <v>38511</v>
      </c>
      <c r="AL638" s="51">
        <f t="shared" si="413"/>
        <v>20.410958904109588</v>
      </c>
      <c r="AM638" s="30">
        <v>8</v>
      </c>
      <c r="AN638" s="30"/>
      <c r="AO638" s="30" t="s">
        <v>1050</v>
      </c>
      <c r="AP638" s="30" t="s">
        <v>1051</v>
      </c>
      <c r="AQ638" s="30">
        <v>1.5</v>
      </c>
      <c r="AR638" s="30">
        <v>1760</v>
      </c>
      <c r="AS638" s="30">
        <v>1400</v>
      </c>
      <c r="AT638" s="30">
        <v>2100</v>
      </c>
      <c r="AU638" s="54">
        <v>171392723</v>
      </c>
      <c r="AV638" s="54"/>
      <c r="AW638" s="54"/>
      <c r="AX638" s="54"/>
      <c r="AY638" s="54">
        <v>171391723</v>
      </c>
      <c r="AZ638" s="54">
        <v>0</v>
      </c>
      <c r="BA638" s="54">
        <v>1000</v>
      </c>
      <c r="BB638" s="55">
        <f>VLOOKUP(M638,[1]Sheet1!$E$6:$F$556,2,FALSE)</f>
        <v>1000</v>
      </c>
      <c r="BC638" s="74"/>
      <c r="BD638" s="74"/>
      <c r="BE638" s="30"/>
      <c r="BF638" s="30" t="s">
        <v>1745</v>
      </c>
      <c r="BG638" s="30" t="s">
        <v>1880</v>
      </c>
      <c r="BH638" s="30" t="s">
        <v>1054</v>
      </c>
      <c r="BI638" s="30" t="str">
        <f t="shared" si="403"/>
        <v>COF(Assy_FT)</v>
      </c>
      <c r="BJ638" s="47" t="s">
        <v>137</v>
      </c>
      <c r="BK638" s="67">
        <f t="shared" si="414"/>
        <v>3427854.46</v>
      </c>
      <c r="BL638" s="68">
        <f t="shared" si="429"/>
        <v>326772.97068447003</v>
      </c>
      <c r="BM638" s="68">
        <f t="shared" si="430"/>
        <v>108924.32356149</v>
      </c>
      <c r="BP638" s="69">
        <f>BM638*3</f>
        <v>326772.97068447003</v>
      </c>
      <c r="BQ638" s="69">
        <f>BP638</f>
        <v>326772.97068447003</v>
      </c>
      <c r="BR638" s="69">
        <f>SUM(BN638:BQ638)</f>
        <v>653545.94136894005</v>
      </c>
      <c r="BS638" s="69">
        <f>BQ638</f>
        <v>326772.97068447003</v>
      </c>
      <c r="BT638" s="69">
        <f t="shared" si="445"/>
        <v>326772.97068447003</v>
      </c>
      <c r="BU638" s="100">
        <f t="shared" si="445"/>
        <v>326772.97068447003</v>
      </c>
      <c r="BV638" s="100">
        <f t="shared" si="445"/>
        <v>326772.97068447003</v>
      </c>
      <c r="BW638" s="100">
        <f t="shared" si="439"/>
        <v>1307091.8827378801</v>
      </c>
      <c r="BX638" s="101">
        <f t="shared" si="432"/>
        <v>326772.97068447003</v>
      </c>
      <c r="BY638" s="101">
        <f t="shared" si="433"/>
        <v>326772.97068447003</v>
      </c>
      <c r="BZ638" s="18">
        <f t="shared" si="433"/>
        <v>326772.97068447003</v>
      </c>
      <c r="CA638" s="18">
        <f t="shared" si="433"/>
        <v>326772.97068447003</v>
      </c>
      <c r="CB638" s="70">
        <f t="shared" si="404"/>
        <v>1307091.8827378801</v>
      </c>
      <c r="CC638" s="18">
        <f t="shared" si="405"/>
        <v>326772.97068447003</v>
      </c>
      <c r="CD638" s="18">
        <f t="shared" si="441"/>
        <v>326772.97068447003</v>
      </c>
      <c r="CE638" s="18">
        <f t="shared" si="441"/>
        <v>326772.97068447003</v>
      </c>
      <c r="CF638" s="18">
        <f t="shared" si="441"/>
        <v>326772.97068447003</v>
      </c>
      <c r="CG638" s="70">
        <f t="shared" si="406"/>
        <v>1307091.8827378801</v>
      </c>
      <c r="CH638" s="18">
        <f t="shared" si="434"/>
        <v>326772.97068447003</v>
      </c>
      <c r="CI638" s="18">
        <f t="shared" si="442"/>
        <v>326772.97068447003</v>
      </c>
      <c r="CJ638" s="18">
        <f t="shared" si="442"/>
        <v>326772.97068447003</v>
      </c>
      <c r="CK638" s="18">
        <f t="shared" si="442"/>
        <v>326772.97068447003</v>
      </c>
      <c r="CL638" s="70">
        <f t="shared" si="435"/>
        <v>1307091.8827378801</v>
      </c>
      <c r="CM638" s="71"/>
      <c r="CN638" s="59">
        <f t="shared" ref="CN638:CN659" si="446">BK638/$CN$3</f>
        <v>3.3470860009062099E-4</v>
      </c>
      <c r="CO638" s="64">
        <f t="shared" ref="CO638:CO659" si="447">CN638*$CO$4</f>
        <v>7028880.6019030409</v>
      </c>
      <c r="CP638" s="2">
        <f t="shared" si="409"/>
        <v>10456735.061903041</v>
      </c>
    </row>
    <row r="639" spans="1:94" ht="16.5" hidden="1" x14ac:dyDescent="0.3">
      <c r="A639" s="2">
        <v>634</v>
      </c>
      <c r="B639" s="47" t="s">
        <v>21</v>
      </c>
      <c r="C639" s="47"/>
      <c r="D639" s="30" t="s">
        <v>1725</v>
      </c>
      <c r="E639" s="30" t="s">
        <v>1042</v>
      </c>
      <c r="F639" s="30" t="s">
        <v>1043</v>
      </c>
      <c r="G639" s="30" t="s">
        <v>117</v>
      </c>
      <c r="H639" s="30"/>
      <c r="I639" s="30" t="s">
        <v>119</v>
      </c>
      <c r="J639" s="30" t="s">
        <v>1871</v>
      </c>
      <c r="K639" s="30" t="s">
        <v>1872</v>
      </c>
      <c r="L639" s="30" t="s">
        <v>1873</v>
      </c>
      <c r="M639" s="30">
        <v>1000398</v>
      </c>
      <c r="N639" s="30" t="s">
        <v>138</v>
      </c>
      <c r="O639" s="30" t="s">
        <v>1962</v>
      </c>
      <c r="P639" s="30" t="s">
        <v>1963</v>
      </c>
      <c r="Q639" s="30" t="s">
        <v>1963</v>
      </c>
      <c r="R639" s="30" t="s">
        <v>1876</v>
      </c>
      <c r="S639" s="30">
        <v>21</v>
      </c>
      <c r="T639" s="30" t="s">
        <v>1756</v>
      </c>
      <c r="U639" s="30" t="s">
        <v>588</v>
      </c>
      <c r="V639" s="30" t="s">
        <v>600</v>
      </c>
      <c r="W639" s="30" t="s">
        <v>1877</v>
      </c>
      <c r="X639" s="89" t="s">
        <v>1764</v>
      </c>
      <c r="Y639" s="125" t="s">
        <v>576</v>
      </c>
      <c r="Z639" s="125" t="s">
        <v>576</v>
      </c>
      <c r="AA639" s="92" t="s">
        <v>891</v>
      </c>
      <c r="AB639" s="30" t="s">
        <v>1878</v>
      </c>
      <c r="AC639" s="30"/>
      <c r="AD639" s="30"/>
      <c r="AE639" s="30"/>
      <c r="AF639" s="30" t="s">
        <v>179</v>
      </c>
      <c r="AG639" s="30" t="s">
        <v>152</v>
      </c>
      <c r="AH639" s="132" t="s">
        <v>1879</v>
      </c>
      <c r="AI639" s="30"/>
      <c r="AJ639" s="30"/>
      <c r="AK639" s="50">
        <v>38604</v>
      </c>
      <c r="AL639" s="51">
        <f t="shared" si="413"/>
        <v>20.156164383561645</v>
      </c>
      <c r="AM639" s="30">
        <v>8</v>
      </c>
      <c r="AN639" s="30"/>
      <c r="AO639" s="30" t="s">
        <v>1050</v>
      </c>
      <c r="AP639" s="30" t="s">
        <v>1051</v>
      </c>
      <c r="AQ639" s="30">
        <v>1.5</v>
      </c>
      <c r="AR639" s="30">
        <v>1630</v>
      </c>
      <c r="AS639" s="30">
        <v>1380</v>
      </c>
      <c r="AT639" s="30">
        <v>2080</v>
      </c>
      <c r="AU639" s="54">
        <v>200000000</v>
      </c>
      <c r="AV639" s="54"/>
      <c r="AW639" s="54"/>
      <c r="AX639" s="54"/>
      <c r="AY639" s="54">
        <v>199999000</v>
      </c>
      <c r="AZ639" s="54">
        <v>333337</v>
      </c>
      <c r="BA639" s="54">
        <v>1000</v>
      </c>
      <c r="BB639" s="55">
        <f>VLOOKUP(M639,[1]Sheet1!$E$6:$F$556,2,FALSE)</f>
        <v>1000</v>
      </c>
      <c r="BC639" s="74"/>
      <c r="BD639" s="74"/>
      <c r="BE639" s="30"/>
      <c r="BF639" s="30" t="s">
        <v>1745</v>
      </c>
      <c r="BG639" s="30" t="s">
        <v>1880</v>
      </c>
      <c r="BH639" s="30" t="s">
        <v>1054</v>
      </c>
      <c r="BI639" s="30" t="str">
        <f t="shared" si="403"/>
        <v>COF(Assy_FT)</v>
      </c>
      <c r="BJ639" s="47" t="s">
        <v>137</v>
      </c>
      <c r="BK639" s="67">
        <f t="shared" si="414"/>
        <v>4000000</v>
      </c>
      <c r="BL639" s="68">
        <f t="shared" si="429"/>
        <v>381314.87144231901</v>
      </c>
      <c r="BM639" s="68">
        <f t="shared" si="430"/>
        <v>127104.95714743967</v>
      </c>
      <c r="BP639" s="69">
        <f>BM639*3</f>
        <v>381314.87144231901</v>
      </c>
      <c r="BQ639" s="69">
        <f>BP639</f>
        <v>381314.87144231901</v>
      </c>
      <c r="BR639" s="69">
        <f>SUM(BN639:BQ639)</f>
        <v>762629.74288463802</v>
      </c>
      <c r="BS639" s="69">
        <f>BQ639</f>
        <v>381314.87144231901</v>
      </c>
      <c r="BT639" s="69">
        <f t="shared" si="445"/>
        <v>381314.87144231901</v>
      </c>
      <c r="BU639" s="100">
        <f t="shared" si="445"/>
        <v>381314.87144231901</v>
      </c>
      <c r="BV639" s="100">
        <f t="shared" si="445"/>
        <v>381314.87144231901</v>
      </c>
      <c r="BW639" s="100">
        <f t="shared" si="439"/>
        <v>1525259.485769276</v>
      </c>
      <c r="BX639" s="101">
        <f t="shared" si="432"/>
        <v>381314.87144231901</v>
      </c>
      <c r="BY639" s="101">
        <f t="shared" si="433"/>
        <v>381314.87144231901</v>
      </c>
      <c r="BZ639" s="18">
        <f t="shared" si="433"/>
        <v>381314.87144231901</v>
      </c>
      <c r="CA639" s="18">
        <f t="shared" si="433"/>
        <v>381314.87144231901</v>
      </c>
      <c r="CB639" s="70">
        <f t="shared" si="404"/>
        <v>1525259.485769276</v>
      </c>
      <c r="CC639" s="18">
        <f t="shared" si="405"/>
        <v>381314.87144231901</v>
      </c>
      <c r="CD639" s="18">
        <f t="shared" si="441"/>
        <v>381314.87144231901</v>
      </c>
      <c r="CE639" s="18">
        <f t="shared" si="441"/>
        <v>381314.87144231901</v>
      </c>
      <c r="CF639" s="18">
        <f t="shared" si="441"/>
        <v>381314.87144231901</v>
      </c>
      <c r="CG639" s="70">
        <f t="shared" si="406"/>
        <v>1525259.485769276</v>
      </c>
      <c r="CH639" s="18">
        <f t="shared" si="434"/>
        <v>381314.87144231901</v>
      </c>
      <c r="CI639" s="18">
        <f t="shared" si="442"/>
        <v>381314.87144231901</v>
      </c>
      <c r="CJ639" s="18">
        <f t="shared" si="442"/>
        <v>381314.87144231901</v>
      </c>
      <c r="CK639" s="18">
        <f t="shared" si="442"/>
        <v>381314.87144231901</v>
      </c>
      <c r="CL639" s="70">
        <f t="shared" si="435"/>
        <v>1525259.485769276</v>
      </c>
      <c r="CM639" s="71"/>
      <c r="CN639" s="59">
        <f t="shared" si="446"/>
        <v>3.9057504219781951E-4</v>
      </c>
      <c r="CO639" s="64">
        <f t="shared" si="447"/>
        <v>8202075.8861542093</v>
      </c>
      <c r="CP639" s="2">
        <f t="shared" si="409"/>
        <v>12202075.886154208</v>
      </c>
    </row>
    <row r="640" spans="1:94" ht="16.5" hidden="1" x14ac:dyDescent="0.3">
      <c r="A640" s="2">
        <v>635</v>
      </c>
      <c r="B640" s="47" t="s">
        <v>21</v>
      </c>
      <c r="C640" s="47"/>
      <c r="D640" s="30" t="s">
        <v>1725</v>
      </c>
      <c r="E640" s="30" t="s">
        <v>1042</v>
      </c>
      <c r="F640" s="30" t="s">
        <v>1043</v>
      </c>
      <c r="G640" s="30" t="s">
        <v>117</v>
      </c>
      <c r="H640" s="30"/>
      <c r="I640" s="30" t="s">
        <v>119</v>
      </c>
      <c r="J640" s="30" t="s">
        <v>1871</v>
      </c>
      <c r="K640" s="30" t="s">
        <v>1872</v>
      </c>
      <c r="L640" s="30" t="s">
        <v>1873</v>
      </c>
      <c r="M640" s="30">
        <v>1001965</v>
      </c>
      <c r="N640" s="30" t="s">
        <v>138</v>
      </c>
      <c r="O640" s="30" t="s">
        <v>1964</v>
      </c>
      <c r="P640" s="30" t="s">
        <v>1963</v>
      </c>
      <c r="Q640" s="30" t="s">
        <v>1965</v>
      </c>
      <c r="R640" s="30" t="s">
        <v>1876</v>
      </c>
      <c r="S640" s="30">
        <v>24</v>
      </c>
      <c r="T640" s="30" t="s">
        <v>1756</v>
      </c>
      <c r="U640" s="30" t="s">
        <v>588</v>
      </c>
      <c r="V640" s="30" t="s">
        <v>437</v>
      </c>
      <c r="W640" s="30" t="s">
        <v>1877</v>
      </c>
      <c r="X640" s="89" t="s">
        <v>1757</v>
      </c>
      <c r="Y640" s="30" t="s">
        <v>576</v>
      </c>
      <c r="Z640" s="30" t="s">
        <v>576</v>
      </c>
      <c r="AA640" s="92" t="s">
        <v>891</v>
      </c>
      <c r="AB640" s="30" t="s">
        <v>1878</v>
      </c>
      <c r="AC640" s="30"/>
      <c r="AD640" s="30"/>
      <c r="AE640" s="30"/>
      <c r="AF640" s="30" t="s">
        <v>179</v>
      </c>
      <c r="AG640" s="30" t="s">
        <v>152</v>
      </c>
      <c r="AH640" s="132" t="s">
        <v>1879</v>
      </c>
      <c r="AI640" s="30"/>
      <c r="AJ640" s="30"/>
      <c r="AK640" s="50">
        <v>40254</v>
      </c>
      <c r="AL640" s="51">
        <f t="shared" si="413"/>
        <v>15.635616438356164</v>
      </c>
      <c r="AM640" s="30">
        <v>8</v>
      </c>
      <c r="AN640" s="30"/>
      <c r="AO640" s="30" t="s">
        <v>1050</v>
      </c>
      <c r="AP640" s="30" t="s">
        <v>1051</v>
      </c>
      <c r="AQ640" s="30">
        <v>1.5</v>
      </c>
      <c r="AR640" s="30">
        <v>1630</v>
      </c>
      <c r="AS640" s="30">
        <v>1380</v>
      </c>
      <c r="AT640" s="30">
        <v>2080</v>
      </c>
      <c r="AU640" s="54">
        <v>209020000</v>
      </c>
      <c r="AV640" s="54"/>
      <c r="AW640" s="54"/>
      <c r="AX640" s="54"/>
      <c r="AY640" s="54">
        <v>209019000</v>
      </c>
      <c r="AZ640" s="54">
        <v>0</v>
      </c>
      <c r="BA640" s="54">
        <v>1000</v>
      </c>
      <c r="BB640" s="55">
        <f>VLOOKUP(M640,[1]Sheet1!$E$6:$F$556,2,FALSE)</f>
        <v>1000</v>
      </c>
      <c r="BC640" s="74"/>
      <c r="BD640" s="74"/>
      <c r="BE640" s="30"/>
      <c r="BF640" s="30" t="s">
        <v>1745</v>
      </c>
      <c r="BG640" s="30" t="s">
        <v>1880</v>
      </c>
      <c r="BH640" s="30" t="s">
        <v>1054</v>
      </c>
      <c r="BI640" s="30" t="str">
        <f t="shared" si="403"/>
        <v>COF(Assy_FT)</v>
      </c>
      <c r="BJ640" s="47" t="s">
        <v>137</v>
      </c>
      <c r="BK640" s="56">
        <f t="shared" si="414"/>
        <v>4180400</v>
      </c>
      <c r="BL640" s="57">
        <f t="shared" si="429"/>
        <v>398512.17214436765</v>
      </c>
      <c r="BM640" s="57">
        <f t="shared" si="430"/>
        <v>132837.39071478922</v>
      </c>
      <c r="BU640" s="58">
        <f>BM640*3</f>
        <v>398512.17214436765</v>
      </c>
      <c r="BV640" s="58">
        <f t="shared" si="445"/>
        <v>398512.17214436765</v>
      </c>
      <c r="BW640" s="58">
        <f t="shared" si="439"/>
        <v>797024.3442887353</v>
      </c>
      <c r="BX640" s="58">
        <f t="shared" si="432"/>
        <v>398512.17214436765</v>
      </c>
      <c r="BY640" s="58">
        <f t="shared" si="433"/>
        <v>398512.17214436765</v>
      </c>
      <c r="BZ640" s="58">
        <f>BM640*3</f>
        <v>398512.17214436765</v>
      </c>
      <c r="CA640" s="58">
        <f t="shared" si="433"/>
        <v>398512.17214436765</v>
      </c>
      <c r="CB640" s="58">
        <f t="shared" si="404"/>
        <v>1594048.6885774706</v>
      </c>
      <c r="CC640" s="58">
        <f t="shared" si="405"/>
        <v>398512.17214436765</v>
      </c>
      <c r="CD640" s="58">
        <f t="shared" si="441"/>
        <v>398512.17214436765</v>
      </c>
      <c r="CE640" s="58">
        <f t="shared" si="441"/>
        <v>398512.17214436765</v>
      </c>
      <c r="CF640" s="58">
        <f t="shared" si="441"/>
        <v>398512.17214436765</v>
      </c>
      <c r="CG640" s="58">
        <f t="shared" si="406"/>
        <v>1594048.6885774706</v>
      </c>
      <c r="CH640" s="58">
        <f t="shared" si="434"/>
        <v>398512.17214436765</v>
      </c>
      <c r="CI640" s="58">
        <f t="shared" si="442"/>
        <v>398512.17214436765</v>
      </c>
      <c r="CJ640" s="58">
        <f t="shared" si="442"/>
        <v>398512.17214436765</v>
      </c>
      <c r="CK640" s="58">
        <f t="shared" si="442"/>
        <v>398512.17214436765</v>
      </c>
      <c r="CL640" s="58">
        <f t="shared" si="435"/>
        <v>1594048.6885774706</v>
      </c>
      <c r="CN640" s="59">
        <f t="shared" si="446"/>
        <v>4.0818997660094117E-4</v>
      </c>
      <c r="CO640" s="64">
        <f t="shared" si="447"/>
        <v>8571989.5086197648</v>
      </c>
      <c r="CP640" s="2">
        <f t="shared" si="409"/>
        <v>12752389.508619765</v>
      </c>
    </row>
    <row r="641" spans="1:94" ht="16.5" hidden="1" x14ac:dyDescent="0.3">
      <c r="A641" s="2">
        <v>636</v>
      </c>
      <c r="B641" s="47" t="s">
        <v>21</v>
      </c>
      <c r="C641" s="47"/>
      <c r="D641" s="30" t="s">
        <v>1725</v>
      </c>
      <c r="E641" s="30" t="s">
        <v>1042</v>
      </c>
      <c r="F641" s="30" t="s">
        <v>1043</v>
      </c>
      <c r="G641" s="30" t="s">
        <v>117</v>
      </c>
      <c r="H641" s="30"/>
      <c r="I641" s="30" t="s">
        <v>119</v>
      </c>
      <c r="J641" s="30" t="s">
        <v>1871</v>
      </c>
      <c r="K641" s="30" t="s">
        <v>1872</v>
      </c>
      <c r="L641" s="30" t="s">
        <v>1873</v>
      </c>
      <c r="M641" s="30">
        <v>1002246</v>
      </c>
      <c r="N641" s="30" t="s">
        <v>138</v>
      </c>
      <c r="O641" s="30" t="s">
        <v>1966</v>
      </c>
      <c r="P641" s="30" t="s">
        <v>1963</v>
      </c>
      <c r="Q641" s="30" t="s">
        <v>1967</v>
      </c>
      <c r="R641" s="30" t="s">
        <v>1876</v>
      </c>
      <c r="S641" s="30">
        <v>27</v>
      </c>
      <c r="T641" s="30" t="s">
        <v>1756</v>
      </c>
      <c r="U641" s="30" t="s">
        <v>588</v>
      </c>
      <c r="V641" s="30" t="s">
        <v>437</v>
      </c>
      <c r="W641" s="30" t="s">
        <v>1877</v>
      </c>
      <c r="X641" s="89" t="s">
        <v>1757</v>
      </c>
      <c r="Y641" s="30" t="s">
        <v>576</v>
      </c>
      <c r="Z641" s="30" t="s">
        <v>576</v>
      </c>
      <c r="AA641" s="92" t="s">
        <v>891</v>
      </c>
      <c r="AB641" s="30" t="s">
        <v>1878</v>
      </c>
      <c r="AC641" s="30"/>
      <c r="AD641" s="30"/>
      <c r="AE641" s="30"/>
      <c r="AF641" s="30" t="s">
        <v>179</v>
      </c>
      <c r="AG641" s="30" t="s">
        <v>152</v>
      </c>
      <c r="AH641" s="132" t="s">
        <v>1879</v>
      </c>
      <c r="AI641" s="30"/>
      <c r="AJ641" s="30"/>
      <c r="AK641" s="50">
        <v>40359</v>
      </c>
      <c r="AL641" s="51">
        <f t="shared" si="413"/>
        <v>15.347945205479451</v>
      </c>
      <c r="AM641" s="30">
        <v>8</v>
      </c>
      <c r="AN641" s="30"/>
      <c r="AO641" s="30" t="s">
        <v>1050</v>
      </c>
      <c r="AP641" s="30" t="s">
        <v>1051</v>
      </c>
      <c r="AQ641" s="30">
        <v>1.5</v>
      </c>
      <c r="AR641" s="30">
        <v>1630</v>
      </c>
      <c r="AS641" s="30">
        <v>1380</v>
      </c>
      <c r="AT641" s="30">
        <v>2080</v>
      </c>
      <c r="AU641" s="54">
        <v>174915000</v>
      </c>
      <c r="AV641" s="54"/>
      <c r="AW641" s="54"/>
      <c r="AX641" s="54"/>
      <c r="AY641" s="54">
        <v>174914000</v>
      </c>
      <c r="AZ641" s="54">
        <v>0</v>
      </c>
      <c r="BA641" s="54">
        <v>1000</v>
      </c>
      <c r="BB641" s="55">
        <f>VLOOKUP(M641,[1]Sheet1!$E$6:$F$556,2,FALSE)</f>
        <v>1000</v>
      </c>
      <c r="BC641" s="74"/>
      <c r="BD641" s="74"/>
      <c r="BE641" s="30"/>
      <c r="BF641" s="30" t="s">
        <v>1745</v>
      </c>
      <c r="BG641" s="30" t="s">
        <v>1880</v>
      </c>
      <c r="BH641" s="30" t="s">
        <v>1054</v>
      </c>
      <c r="BI641" s="30" t="str">
        <f t="shared" si="403"/>
        <v>COF(Assy_FT)</v>
      </c>
      <c r="BJ641" s="47" t="s">
        <v>137</v>
      </c>
      <c r="BK641" s="56">
        <f t="shared" si="414"/>
        <v>3498300</v>
      </c>
      <c r="BL641" s="57">
        <f t="shared" si="429"/>
        <v>333488.45369166619</v>
      </c>
      <c r="BM641" s="57">
        <f t="shared" si="430"/>
        <v>111162.81789722206</v>
      </c>
      <c r="BU641" s="58">
        <f>BM641*3</f>
        <v>333488.45369166619</v>
      </c>
      <c r="BV641" s="58">
        <f t="shared" si="445"/>
        <v>333488.45369166619</v>
      </c>
      <c r="BW641" s="58">
        <f t="shared" si="439"/>
        <v>666976.90738333238</v>
      </c>
      <c r="BX641" s="58">
        <f t="shared" si="432"/>
        <v>333488.45369166619</v>
      </c>
      <c r="BY641" s="58">
        <f t="shared" si="433"/>
        <v>333488.45369166619</v>
      </c>
      <c r="BZ641" s="58">
        <f>BM641*3</f>
        <v>333488.45369166619</v>
      </c>
      <c r="CA641" s="58">
        <f t="shared" si="433"/>
        <v>333488.45369166619</v>
      </c>
      <c r="CB641" s="58">
        <f t="shared" si="404"/>
        <v>1333953.8147666648</v>
      </c>
      <c r="CC641" s="58">
        <f t="shared" si="405"/>
        <v>333488.45369166619</v>
      </c>
      <c r="CD641" s="58">
        <f t="shared" ref="CD641:CF656" si="448">CC641</f>
        <v>333488.45369166619</v>
      </c>
      <c r="CE641" s="58">
        <f t="shared" si="448"/>
        <v>333488.45369166619</v>
      </c>
      <c r="CF641" s="58">
        <f t="shared" si="448"/>
        <v>333488.45369166619</v>
      </c>
      <c r="CG641" s="58">
        <f t="shared" si="406"/>
        <v>1333953.8147666648</v>
      </c>
      <c r="CH641" s="58">
        <f t="shared" si="434"/>
        <v>333488.45369166619</v>
      </c>
      <c r="CI641" s="58">
        <f t="shared" si="442"/>
        <v>333488.45369166619</v>
      </c>
      <c r="CJ641" s="58">
        <f t="shared" si="442"/>
        <v>333488.45369166619</v>
      </c>
      <c r="CK641" s="58">
        <f t="shared" si="442"/>
        <v>333488.45369166619</v>
      </c>
      <c r="CL641" s="58">
        <f t="shared" si="435"/>
        <v>1333953.8147666648</v>
      </c>
      <c r="CN641" s="59">
        <f t="shared" si="446"/>
        <v>3.4158716753015801E-4</v>
      </c>
      <c r="CO641" s="64">
        <f t="shared" si="447"/>
        <v>7173330.5181333181</v>
      </c>
      <c r="CP641" s="2">
        <f t="shared" si="409"/>
        <v>10671630.518133318</v>
      </c>
    </row>
    <row r="642" spans="1:94" ht="16.5" hidden="1" x14ac:dyDescent="0.3">
      <c r="A642" s="2">
        <v>637</v>
      </c>
      <c r="B642" s="47" t="s">
        <v>21</v>
      </c>
      <c r="C642" s="47"/>
      <c r="D642" s="30" t="s">
        <v>1725</v>
      </c>
      <c r="E642" s="30" t="s">
        <v>1042</v>
      </c>
      <c r="F642" s="30" t="s">
        <v>1043</v>
      </c>
      <c r="G642" s="30" t="s">
        <v>117</v>
      </c>
      <c r="H642" s="30"/>
      <c r="I642" s="30" t="s">
        <v>119</v>
      </c>
      <c r="J642" s="30" t="s">
        <v>1871</v>
      </c>
      <c r="K642" s="30" t="s">
        <v>1872</v>
      </c>
      <c r="L642" s="30" t="s">
        <v>1873</v>
      </c>
      <c r="M642" s="30">
        <v>1000331</v>
      </c>
      <c r="N642" s="30" t="s">
        <v>138</v>
      </c>
      <c r="O642" s="30" t="s">
        <v>1968</v>
      </c>
      <c r="P642" s="30" t="s">
        <v>1961</v>
      </c>
      <c r="Q642" s="30" t="s">
        <v>1961</v>
      </c>
      <c r="R642" s="30" t="s">
        <v>1876</v>
      </c>
      <c r="S642" s="30">
        <v>28</v>
      </c>
      <c r="T642" s="30" t="s">
        <v>1756</v>
      </c>
      <c r="U642" s="30" t="s">
        <v>588</v>
      </c>
      <c r="V642" s="30" t="s">
        <v>589</v>
      </c>
      <c r="W642" s="30" t="s">
        <v>1877</v>
      </c>
      <c r="X642" s="89" t="s">
        <v>1757</v>
      </c>
      <c r="Y642" s="30" t="s">
        <v>576</v>
      </c>
      <c r="Z642" s="30" t="s">
        <v>576</v>
      </c>
      <c r="AA642" s="92" t="s">
        <v>891</v>
      </c>
      <c r="AB642" s="30" t="s">
        <v>1878</v>
      </c>
      <c r="AC642" s="30"/>
      <c r="AD642" s="30"/>
      <c r="AE642" s="30"/>
      <c r="AF642" s="30" t="s">
        <v>179</v>
      </c>
      <c r="AG642" s="30" t="s">
        <v>152</v>
      </c>
      <c r="AH642" s="132" t="s">
        <v>1879</v>
      </c>
      <c r="AI642" s="30"/>
      <c r="AJ642" s="30"/>
      <c r="AK642" s="50">
        <v>38521</v>
      </c>
      <c r="AL642" s="51">
        <f t="shared" si="413"/>
        <v>20.383561643835616</v>
      </c>
      <c r="AM642" s="30">
        <v>8</v>
      </c>
      <c r="AN642" s="30"/>
      <c r="AO642" s="30" t="s">
        <v>1050</v>
      </c>
      <c r="AP642" s="30" t="s">
        <v>1051</v>
      </c>
      <c r="AQ642" s="30">
        <v>1.5</v>
      </c>
      <c r="AR642" s="30">
        <v>1760</v>
      </c>
      <c r="AS642" s="30">
        <v>1400</v>
      </c>
      <c r="AT642" s="30">
        <v>2100</v>
      </c>
      <c r="AU642" s="54">
        <v>152685288</v>
      </c>
      <c r="AV642" s="54"/>
      <c r="AW642" s="54"/>
      <c r="AX642" s="54"/>
      <c r="AY642" s="54">
        <v>152684288</v>
      </c>
      <c r="AZ642" s="54">
        <v>0</v>
      </c>
      <c r="BA642" s="54">
        <v>1000</v>
      </c>
      <c r="BB642" s="55">
        <f>VLOOKUP(M642,[1]Sheet1!$E$6:$F$556,2,FALSE)</f>
        <v>1000</v>
      </c>
      <c r="BC642" s="74"/>
      <c r="BD642" s="74"/>
      <c r="BE642" s="30"/>
      <c r="BF642" s="30" t="s">
        <v>1745</v>
      </c>
      <c r="BG642" s="30" t="s">
        <v>1880</v>
      </c>
      <c r="BH642" s="30" t="s">
        <v>1054</v>
      </c>
      <c r="BI642" s="30" t="str">
        <f t="shared" si="403"/>
        <v>COF(Assy_FT)</v>
      </c>
      <c r="BJ642" s="47" t="s">
        <v>137</v>
      </c>
      <c r="BK642" s="56">
        <f t="shared" si="414"/>
        <v>3053705.7600000002</v>
      </c>
      <c r="BL642" s="57">
        <f t="shared" si="429"/>
        <v>291105.85482426733</v>
      </c>
      <c r="BM642" s="57">
        <f t="shared" si="430"/>
        <v>97035.284941422447</v>
      </c>
      <c r="BU642" s="58">
        <f>BM642*3</f>
        <v>291105.85482426733</v>
      </c>
      <c r="BV642" s="58">
        <f t="shared" si="445"/>
        <v>291105.85482426733</v>
      </c>
      <c r="BW642" s="58">
        <f t="shared" si="439"/>
        <v>582211.70964853466</v>
      </c>
      <c r="BX642" s="58">
        <f t="shared" si="432"/>
        <v>291105.85482426733</v>
      </c>
      <c r="BY642" s="58">
        <f t="shared" si="433"/>
        <v>291105.85482426733</v>
      </c>
      <c r="BZ642" s="58">
        <f>BM642*3</f>
        <v>291105.85482426733</v>
      </c>
      <c r="CA642" s="58">
        <f t="shared" si="433"/>
        <v>291105.85482426733</v>
      </c>
      <c r="CB642" s="58">
        <f t="shared" si="404"/>
        <v>1164423.4192970693</v>
      </c>
      <c r="CC642" s="58">
        <f t="shared" si="405"/>
        <v>291105.85482426733</v>
      </c>
      <c r="CD642" s="58">
        <f t="shared" si="448"/>
        <v>291105.85482426733</v>
      </c>
      <c r="CE642" s="58">
        <f t="shared" si="448"/>
        <v>291105.85482426733</v>
      </c>
      <c r="CF642" s="58">
        <f t="shared" si="448"/>
        <v>291105.85482426733</v>
      </c>
      <c r="CG642" s="58">
        <f t="shared" si="406"/>
        <v>1164423.4192970693</v>
      </c>
      <c r="CH642" s="58">
        <f t="shared" si="434"/>
        <v>291105.85482426733</v>
      </c>
      <c r="CI642" s="58">
        <f t="shared" si="442"/>
        <v>291105.85482426733</v>
      </c>
      <c r="CJ642" s="58">
        <f t="shared" si="442"/>
        <v>291105.85482426733</v>
      </c>
      <c r="CK642" s="58">
        <f t="shared" si="442"/>
        <v>291105.85482426733</v>
      </c>
      <c r="CL642" s="58">
        <f t="shared" si="435"/>
        <v>1164423.4192970693</v>
      </c>
      <c r="CN642" s="59">
        <f t="shared" si="446"/>
        <v>2.9817531401793115E-4</v>
      </c>
      <c r="CO642" s="64">
        <f t="shared" si="447"/>
        <v>6261681.5943765538</v>
      </c>
      <c r="CP642" s="2">
        <f t="shared" si="409"/>
        <v>9315387.3543765545</v>
      </c>
    </row>
    <row r="643" spans="1:94" ht="16.5" hidden="1" x14ac:dyDescent="0.3">
      <c r="A643" s="2">
        <v>638</v>
      </c>
      <c r="B643" s="47" t="s">
        <v>21</v>
      </c>
      <c r="C643" s="47"/>
      <c r="D643" s="30" t="s">
        <v>1725</v>
      </c>
      <c r="E643" s="30" t="s">
        <v>1042</v>
      </c>
      <c r="F643" s="30" t="s">
        <v>1043</v>
      </c>
      <c r="G643" s="30" t="s">
        <v>117</v>
      </c>
      <c r="H643" s="30"/>
      <c r="I643" s="30" t="s">
        <v>119</v>
      </c>
      <c r="J643" s="30" t="s">
        <v>1871</v>
      </c>
      <c r="K643" s="30" t="s">
        <v>1872</v>
      </c>
      <c r="L643" s="30" t="s">
        <v>1873</v>
      </c>
      <c r="M643" s="30">
        <v>1001456</v>
      </c>
      <c r="N643" s="30" t="s">
        <v>138</v>
      </c>
      <c r="O643" s="30" t="s">
        <v>1969</v>
      </c>
      <c r="P643" s="30" t="s">
        <v>1963</v>
      </c>
      <c r="Q643" s="30" t="s">
        <v>1963</v>
      </c>
      <c r="R643" s="30" t="s">
        <v>1876</v>
      </c>
      <c r="S643" s="30">
        <v>29</v>
      </c>
      <c r="T643" s="30" t="s">
        <v>1752</v>
      </c>
      <c r="U643" s="30" t="s">
        <v>588</v>
      </c>
      <c r="V643" s="30" t="s">
        <v>437</v>
      </c>
      <c r="W643" s="30" t="s">
        <v>1877</v>
      </c>
      <c r="X643" s="89" t="s">
        <v>1764</v>
      </c>
      <c r="Y643" s="125" t="s">
        <v>576</v>
      </c>
      <c r="Z643" s="125" t="s">
        <v>576</v>
      </c>
      <c r="AA643" s="92" t="s">
        <v>891</v>
      </c>
      <c r="AB643" s="30" t="s">
        <v>1878</v>
      </c>
      <c r="AC643" s="30"/>
      <c r="AD643" s="30"/>
      <c r="AE643" s="30"/>
      <c r="AF643" s="30" t="s">
        <v>179</v>
      </c>
      <c r="AG643" s="30" t="s">
        <v>152</v>
      </c>
      <c r="AH643" s="132" t="s">
        <v>1879</v>
      </c>
      <c r="AI643" s="30"/>
      <c r="AJ643" s="30"/>
      <c r="AK643" s="50">
        <v>39996</v>
      </c>
      <c r="AL643" s="51">
        <f t="shared" si="413"/>
        <v>16.342465753424658</v>
      </c>
      <c r="AM643" s="30">
        <v>8</v>
      </c>
      <c r="AN643" s="30"/>
      <c r="AO643" s="30" t="s">
        <v>1050</v>
      </c>
      <c r="AP643" s="30" t="s">
        <v>1051</v>
      </c>
      <c r="AQ643" s="30">
        <v>1.5</v>
      </c>
      <c r="AR643" s="30">
        <v>1630</v>
      </c>
      <c r="AS643" s="30">
        <v>1380</v>
      </c>
      <c r="AT643" s="30">
        <v>2080</v>
      </c>
      <c r="AU643" s="54">
        <v>173515000</v>
      </c>
      <c r="AV643" s="54"/>
      <c r="AW643" s="54"/>
      <c r="AX643" s="54"/>
      <c r="AY643" s="54">
        <v>173514000</v>
      </c>
      <c r="AZ643" s="54">
        <v>0</v>
      </c>
      <c r="BA643" s="54">
        <v>1000</v>
      </c>
      <c r="BB643" s="55">
        <f>VLOOKUP(M643,[1]Sheet1!$E$6:$F$556,2,FALSE)</f>
        <v>1000</v>
      </c>
      <c r="BC643" s="74"/>
      <c r="BD643" s="74"/>
      <c r="BE643" s="30"/>
      <c r="BF643" s="30" t="s">
        <v>1745</v>
      </c>
      <c r="BG643" s="30" t="s">
        <v>1880</v>
      </c>
      <c r="BH643" s="30" t="s">
        <v>1054</v>
      </c>
      <c r="BI643" s="30" t="str">
        <f t="shared" si="403"/>
        <v>COF(Assy_FT)</v>
      </c>
      <c r="BJ643" s="47" t="s">
        <v>137</v>
      </c>
      <c r="BK643" s="67">
        <f t="shared" si="414"/>
        <v>3470300</v>
      </c>
      <c r="BL643" s="68">
        <f t="shared" si="429"/>
        <v>330819.24959157</v>
      </c>
      <c r="BM643" s="68">
        <f t="shared" si="430"/>
        <v>110273.08319719</v>
      </c>
      <c r="BP643" s="69">
        <f>BM643*3</f>
        <v>330819.24959157</v>
      </c>
      <c r="BQ643" s="69">
        <f>BP643</f>
        <v>330819.24959157</v>
      </c>
      <c r="BR643" s="69">
        <f>SUM(BN643:BQ643)</f>
        <v>661638.49918314</v>
      </c>
      <c r="BS643" s="69">
        <f>BQ643</f>
        <v>330819.24959157</v>
      </c>
      <c r="BT643" s="69">
        <f t="shared" si="445"/>
        <v>330819.24959157</v>
      </c>
      <c r="BU643" s="100">
        <f t="shared" si="445"/>
        <v>330819.24959157</v>
      </c>
      <c r="BV643" s="100">
        <f t="shared" si="445"/>
        <v>330819.24959157</v>
      </c>
      <c r="BW643" s="100">
        <f t="shared" si="439"/>
        <v>1323276.99836628</v>
      </c>
      <c r="BX643" s="101">
        <f t="shared" si="432"/>
        <v>330819.24959157</v>
      </c>
      <c r="BY643" s="101">
        <f t="shared" si="433"/>
        <v>330819.24959157</v>
      </c>
      <c r="BZ643" s="18">
        <f t="shared" si="433"/>
        <v>330819.24959157</v>
      </c>
      <c r="CA643" s="18">
        <f t="shared" si="433"/>
        <v>330819.24959157</v>
      </c>
      <c r="CB643" s="70">
        <f t="shared" si="404"/>
        <v>1323276.99836628</v>
      </c>
      <c r="CC643" s="18">
        <f t="shared" si="405"/>
        <v>330819.24959157</v>
      </c>
      <c r="CD643" s="18">
        <f t="shared" si="448"/>
        <v>330819.24959157</v>
      </c>
      <c r="CE643" s="18">
        <f t="shared" si="448"/>
        <v>330819.24959157</v>
      </c>
      <c r="CF643" s="18">
        <f t="shared" si="448"/>
        <v>330819.24959157</v>
      </c>
      <c r="CG643" s="70">
        <f t="shared" si="406"/>
        <v>1323276.99836628</v>
      </c>
      <c r="CH643" s="18">
        <f t="shared" si="434"/>
        <v>330819.24959157</v>
      </c>
      <c r="CI643" s="18">
        <f t="shared" si="442"/>
        <v>330819.24959157</v>
      </c>
      <c r="CJ643" s="18">
        <f t="shared" si="442"/>
        <v>330819.24959157</v>
      </c>
      <c r="CK643" s="18">
        <f t="shared" si="442"/>
        <v>330819.24959157</v>
      </c>
      <c r="CL643" s="70">
        <f t="shared" si="435"/>
        <v>1323276.99836628</v>
      </c>
      <c r="CM643" s="71"/>
      <c r="CN643" s="59">
        <f t="shared" si="446"/>
        <v>3.3885314223477329E-4</v>
      </c>
      <c r="CO643" s="64">
        <f t="shared" si="447"/>
        <v>7115915.986930239</v>
      </c>
      <c r="CP643" s="2">
        <f t="shared" si="409"/>
        <v>10586215.98693024</v>
      </c>
    </row>
    <row r="644" spans="1:94" ht="16.5" hidden="1" x14ac:dyDescent="0.3">
      <c r="A644" s="2">
        <v>639</v>
      </c>
      <c r="B644" s="47" t="s">
        <v>21</v>
      </c>
      <c r="C644" s="47"/>
      <c r="D644" s="30" t="s">
        <v>1725</v>
      </c>
      <c r="E644" s="30" t="s">
        <v>1042</v>
      </c>
      <c r="F644" s="30" t="s">
        <v>1043</v>
      </c>
      <c r="G644" s="30" t="s">
        <v>117</v>
      </c>
      <c r="H644" s="30"/>
      <c r="I644" s="30" t="s">
        <v>119</v>
      </c>
      <c r="J644" s="30" t="s">
        <v>1871</v>
      </c>
      <c r="K644" s="30" t="s">
        <v>1872</v>
      </c>
      <c r="L644" s="30" t="s">
        <v>1873</v>
      </c>
      <c r="M644" s="30">
        <v>1000986</v>
      </c>
      <c r="N644" s="30" t="s">
        <v>138</v>
      </c>
      <c r="O644" s="30" t="s">
        <v>1970</v>
      </c>
      <c r="P644" s="30" t="s">
        <v>1963</v>
      </c>
      <c r="Q644" s="30" t="s">
        <v>1963</v>
      </c>
      <c r="R644" s="30" t="s">
        <v>1876</v>
      </c>
      <c r="S644" s="30">
        <v>30</v>
      </c>
      <c r="T644" s="30"/>
      <c r="U644" s="30" t="s">
        <v>588</v>
      </c>
      <c r="V644" s="30" t="s">
        <v>437</v>
      </c>
      <c r="W644" s="30" t="s">
        <v>1877</v>
      </c>
      <c r="X644" s="89" t="s">
        <v>1757</v>
      </c>
      <c r="Y644" s="30" t="s">
        <v>576</v>
      </c>
      <c r="Z644" s="30" t="s">
        <v>576</v>
      </c>
      <c r="AA644" s="92" t="s">
        <v>891</v>
      </c>
      <c r="AB644" s="30" t="s">
        <v>1878</v>
      </c>
      <c r="AC644" s="30"/>
      <c r="AD644" s="30"/>
      <c r="AE644" s="30"/>
      <c r="AF644" s="30" t="s">
        <v>179</v>
      </c>
      <c r="AG644" s="30" t="s">
        <v>152</v>
      </c>
      <c r="AH644" s="132" t="s">
        <v>1879</v>
      </c>
      <c r="AI644" s="30"/>
      <c r="AJ644" s="30"/>
      <c r="AK644" s="50">
        <v>39338</v>
      </c>
      <c r="AL644" s="51">
        <f t="shared" si="413"/>
        <v>18.145205479452056</v>
      </c>
      <c r="AM644" s="30">
        <v>8</v>
      </c>
      <c r="AN644" s="30"/>
      <c r="AO644" s="30" t="s">
        <v>1050</v>
      </c>
      <c r="AP644" s="30" t="s">
        <v>1051</v>
      </c>
      <c r="AQ644" s="30">
        <v>1.5</v>
      </c>
      <c r="AR644" s="30">
        <v>1630</v>
      </c>
      <c r="AS644" s="30">
        <v>1380</v>
      </c>
      <c r="AT644" s="30">
        <v>2080</v>
      </c>
      <c r="AU644" s="54">
        <v>127124439</v>
      </c>
      <c r="AV644" s="54"/>
      <c r="AW644" s="54"/>
      <c r="AX644" s="54"/>
      <c r="AY644" s="54">
        <v>127123439</v>
      </c>
      <c r="AZ644" s="54">
        <v>0</v>
      </c>
      <c r="BA644" s="54">
        <v>1000</v>
      </c>
      <c r="BB644" s="55">
        <f>VLOOKUP(M644,[1]Sheet1!$E$6:$F$556,2,FALSE)</f>
        <v>1000</v>
      </c>
      <c r="BC644" s="74"/>
      <c r="BD644" s="74"/>
      <c r="BE644" s="30"/>
      <c r="BF644" s="30" t="s">
        <v>1745</v>
      </c>
      <c r="BG644" s="30" t="s">
        <v>1880</v>
      </c>
      <c r="BH644" s="30" t="s">
        <v>1054</v>
      </c>
      <c r="BI644" s="30" t="str">
        <f t="shared" si="403"/>
        <v>COF(Assy_FT)</v>
      </c>
      <c r="BJ644" s="47" t="s">
        <v>137</v>
      </c>
      <c r="BK644" s="56">
        <f t="shared" si="414"/>
        <v>2542488.7800000003</v>
      </c>
      <c r="BL644" s="57">
        <f t="shared" si="429"/>
        <v>242372.19557230966</v>
      </c>
      <c r="BM644" s="57">
        <f t="shared" si="430"/>
        <v>80790.731857436549</v>
      </c>
      <c r="BU644" s="58">
        <f>BM644*3</f>
        <v>242372.19557230966</v>
      </c>
      <c r="BV644" s="58">
        <f t="shared" si="445"/>
        <v>242372.19557230966</v>
      </c>
      <c r="BW644" s="58">
        <f t="shared" si="439"/>
        <v>484744.39114461932</v>
      </c>
      <c r="BX644" s="58">
        <f t="shared" si="432"/>
        <v>242372.19557230966</v>
      </c>
      <c r="BY644" s="58">
        <f t="shared" si="433"/>
        <v>242372.19557230966</v>
      </c>
      <c r="BZ644" s="58">
        <f>BM644*3</f>
        <v>242372.19557230966</v>
      </c>
      <c r="CA644" s="58">
        <f t="shared" si="433"/>
        <v>242372.19557230966</v>
      </c>
      <c r="CB644" s="58">
        <f t="shared" si="404"/>
        <v>969488.78228923865</v>
      </c>
      <c r="CC644" s="58">
        <f t="shared" si="405"/>
        <v>242372.19557230966</v>
      </c>
      <c r="CD644" s="58">
        <f t="shared" si="448"/>
        <v>242372.19557230966</v>
      </c>
      <c r="CE644" s="58">
        <f t="shared" si="448"/>
        <v>242372.19557230966</v>
      </c>
      <c r="CF644" s="58">
        <f t="shared" si="448"/>
        <v>242372.19557230966</v>
      </c>
      <c r="CG644" s="58">
        <f t="shared" si="406"/>
        <v>969488.78228923865</v>
      </c>
      <c r="CH644" s="58">
        <f t="shared" si="434"/>
        <v>242372.19557230966</v>
      </c>
      <c r="CI644" s="58">
        <f t="shared" si="442"/>
        <v>242372.19557230966</v>
      </c>
      <c r="CJ644" s="58">
        <f t="shared" si="442"/>
        <v>242372.19557230966</v>
      </c>
      <c r="CK644" s="58">
        <f t="shared" si="442"/>
        <v>242372.19557230966</v>
      </c>
      <c r="CL644" s="58">
        <f t="shared" si="435"/>
        <v>969488.78228923865</v>
      </c>
      <c r="CN644" s="59">
        <f t="shared" si="446"/>
        <v>2.4825816563399568E-4</v>
      </c>
      <c r="CO644" s="64">
        <f t="shared" si="447"/>
        <v>5213421.4783139089</v>
      </c>
      <c r="CP644" s="2">
        <f t="shared" si="409"/>
        <v>7755910.2583139092</v>
      </c>
    </row>
    <row r="645" spans="1:94" ht="16.5" hidden="1" x14ac:dyDescent="0.3">
      <c r="A645" s="2">
        <v>640</v>
      </c>
      <c r="B645" s="47" t="s">
        <v>21</v>
      </c>
      <c r="C645" s="47"/>
      <c r="D645" s="30" t="s">
        <v>1725</v>
      </c>
      <c r="E645" s="30" t="s">
        <v>1042</v>
      </c>
      <c r="F645" s="30" t="s">
        <v>1043</v>
      </c>
      <c r="G645" s="30" t="s">
        <v>117</v>
      </c>
      <c r="H645" s="30"/>
      <c r="I645" s="30" t="s">
        <v>119</v>
      </c>
      <c r="J645" s="30" t="s">
        <v>1871</v>
      </c>
      <c r="K645" s="30" t="s">
        <v>1872</v>
      </c>
      <c r="L645" s="30" t="s">
        <v>1873</v>
      </c>
      <c r="M645" s="30">
        <v>1000564</v>
      </c>
      <c r="N645" s="30" t="s">
        <v>138</v>
      </c>
      <c r="O645" s="30" t="s">
        <v>1971</v>
      </c>
      <c r="P645" s="30" t="s">
        <v>1972</v>
      </c>
      <c r="Q645" s="30" t="s">
        <v>1972</v>
      </c>
      <c r="R645" s="30" t="s">
        <v>1876</v>
      </c>
      <c r="S645" s="30"/>
      <c r="T645" s="30"/>
      <c r="U645" s="30" t="s">
        <v>588</v>
      </c>
      <c r="V645" s="30" t="s">
        <v>600</v>
      </c>
      <c r="W645" s="30" t="s">
        <v>167</v>
      </c>
      <c r="X645" s="89" t="s">
        <v>1757</v>
      </c>
      <c r="Y645" s="30" t="s">
        <v>576</v>
      </c>
      <c r="Z645" s="30" t="s">
        <v>576</v>
      </c>
      <c r="AA645" s="92" t="s">
        <v>891</v>
      </c>
      <c r="AB645" s="30" t="s">
        <v>1878</v>
      </c>
      <c r="AC645" s="30"/>
      <c r="AD645" s="30"/>
      <c r="AE645" s="30"/>
      <c r="AF645" s="30" t="s">
        <v>179</v>
      </c>
      <c r="AG645" s="30" t="s">
        <v>152</v>
      </c>
      <c r="AH645" s="132" t="s">
        <v>1879</v>
      </c>
      <c r="AI645" s="30"/>
      <c r="AJ645" s="30"/>
      <c r="AK645" s="50">
        <v>38837</v>
      </c>
      <c r="AL645" s="51">
        <f t="shared" si="413"/>
        <v>19.517808219178082</v>
      </c>
      <c r="AM645" s="30">
        <v>8</v>
      </c>
      <c r="AN645" s="30"/>
      <c r="AO645" s="30" t="s">
        <v>1050</v>
      </c>
      <c r="AP645" s="30" t="s">
        <v>1051</v>
      </c>
      <c r="AQ645" s="30">
        <v>1.5</v>
      </c>
      <c r="AR645" s="30">
        <v>1630</v>
      </c>
      <c r="AS645" s="30">
        <v>1380</v>
      </c>
      <c r="AT645" s="30">
        <v>2080</v>
      </c>
      <c r="AU645" s="54">
        <v>128705833</v>
      </c>
      <c r="AV645" s="54"/>
      <c r="AW645" s="54"/>
      <c r="AX645" s="54"/>
      <c r="AY645" s="54">
        <v>128704833</v>
      </c>
      <c r="AZ645" s="54">
        <v>0</v>
      </c>
      <c r="BA645" s="54">
        <v>1000</v>
      </c>
      <c r="BB645" s="55">
        <f>VLOOKUP(M645,[1]Sheet1!$E$6:$F$556,2,FALSE)</f>
        <v>1000</v>
      </c>
      <c r="BC645" s="74"/>
      <c r="BD645" s="74"/>
      <c r="BE645" s="30"/>
      <c r="BF645" s="30" t="s">
        <v>1745</v>
      </c>
      <c r="BG645" s="30" t="s">
        <v>1880</v>
      </c>
      <c r="BH645" s="30" t="s">
        <v>1054</v>
      </c>
      <c r="BI645" s="30" t="str">
        <f t="shared" si="403"/>
        <v>COF(Assy_FT)</v>
      </c>
      <c r="BJ645" s="47" t="s">
        <v>137</v>
      </c>
      <c r="BK645" s="56">
        <f t="shared" si="414"/>
        <v>2574116.66</v>
      </c>
      <c r="BL645" s="57">
        <f t="shared" si="429"/>
        <v>245387.24082135796</v>
      </c>
      <c r="BM645" s="57">
        <f t="shared" si="430"/>
        <v>81795.746940452649</v>
      </c>
      <c r="BU645" s="58">
        <f>BM645*3</f>
        <v>245387.24082135793</v>
      </c>
      <c r="BV645" s="58">
        <f t="shared" si="445"/>
        <v>245387.24082135793</v>
      </c>
      <c r="BW645" s="58">
        <f t="shared" si="439"/>
        <v>490774.48164271587</v>
      </c>
      <c r="BX645" s="58">
        <f t="shared" si="432"/>
        <v>245387.24082135793</v>
      </c>
      <c r="BY645" s="58">
        <f t="shared" si="433"/>
        <v>245387.24082135793</v>
      </c>
      <c r="BZ645" s="58">
        <f>BM645*3</f>
        <v>245387.24082135793</v>
      </c>
      <c r="CA645" s="58">
        <f t="shared" si="433"/>
        <v>245387.24082135793</v>
      </c>
      <c r="CB645" s="58">
        <f t="shared" si="404"/>
        <v>981548.96328543173</v>
      </c>
      <c r="CC645" s="58">
        <f t="shared" si="405"/>
        <v>245387.24082135793</v>
      </c>
      <c r="CD645" s="58">
        <f t="shared" si="448"/>
        <v>245387.24082135793</v>
      </c>
      <c r="CE645" s="58">
        <f t="shared" si="448"/>
        <v>245387.24082135793</v>
      </c>
      <c r="CF645" s="58">
        <f t="shared" si="448"/>
        <v>245387.24082135793</v>
      </c>
      <c r="CG645" s="58">
        <f t="shared" si="406"/>
        <v>981548.96328543173</v>
      </c>
      <c r="CH645" s="58">
        <f t="shared" si="434"/>
        <v>245387.24082135793</v>
      </c>
      <c r="CI645" s="58">
        <f t="shared" ref="CI645:CK702" si="449">CH645</f>
        <v>245387.24082135793</v>
      </c>
      <c r="CJ645" s="58">
        <f t="shared" si="449"/>
        <v>245387.24082135793</v>
      </c>
      <c r="CK645" s="58">
        <f t="shared" si="449"/>
        <v>245387.24082135793</v>
      </c>
      <c r="CL645" s="58">
        <f t="shared" si="435"/>
        <v>981548.96328543173</v>
      </c>
      <c r="CN645" s="59">
        <f t="shared" si="446"/>
        <v>2.513464307754026E-4</v>
      </c>
      <c r="CO645" s="64">
        <f t="shared" si="447"/>
        <v>5278275.0462834546</v>
      </c>
      <c r="CP645" s="2">
        <f t="shared" si="409"/>
        <v>7852391.7062834548</v>
      </c>
    </row>
    <row r="646" spans="1:94" ht="16.5" hidden="1" x14ac:dyDescent="0.3">
      <c r="A646" s="2">
        <v>641</v>
      </c>
      <c r="B646" s="47" t="s">
        <v>21</v>
      </c>
      <c r="C646" s="47"/>
      <c r="D646" s="30" t="s">
        <v>1725</v>
      </c>
      <c r="E646" s="30" t="s">
        <v>1042</v>
      </c>
      <c r="F646" s="30" t="s">
        <v>1043</v>
      </c>
      <c r="G646" s="30" t="s">
        <v>117</v>
      </c>
      <c r="H646" s="30"/>
      <c r="I646" s="30" t="s">
        <v>119</v>
      </c>
      <c r="J646" s="30" t="s">
        <v>1871</v>
      </c>
      <c r="K646" s="30" t="s">
        <v>1872</v>
      </c>
      <c r="L646" s="30" t="s">
        <v>1873</v>
      </c>
      <c r="M646" s="30">
        <v>1001967</v>
      </c>
      <c r="N646" s="30" t="s">
        <v>138</v>
      </c>
      <c r="O646" s="30" t="s">
        <v>1973</v>
      </c>
      <c r="P646" s="30" t="s">
        <v>1974</v>
      </c>
      <c r="Q646" s="30" t="s">
        <v>1974</v>
      </c>
      <c r="R646" s="30" t="s">
        <v>1876</v>
      </c>
      <c r="S646" s="30"/>
      <c r="T646" s="30" t="s">
        <v>1752</v>
      </c>
      <c r="U646" s="30" t="s">
        <v>588</v>
      </c>
      <c r="V646" s="30" t="s">
        <v>600</v>
      </c>
      <c r="W646" s="30" t="s">
        <v>1975</v>
      </c>
      <c r="X646" s="89" t="s">
        <v>1764</v>
      </c>
      <c r="Y646" s="125" t="s">
        <v>576</v>
      </c>
      <c r="Z646" s="125" t="s">
        <v>576</v>
      </c>
      <c r="AA646" s="92" t="s">
        <v>891</v>
      </c>
      <c r="AB646" s="30" t="s">
        <v>1878</v>
      </c>
      <c r="AC646" s="30"/>
      <c r="AD646" s="30"/>
      <c r="AE646" s="30"/>
      <c r="AF646" s="30" t="s">
        <v>179</v>
      </c>
      <c r="AG646" s="30" t="s">
        <v>152</v>
      </c>
      <c r="AH646" s="132" t="s">
        <v>1879</v>
      </c>
      <c r="AI646" s="30"/>
      <c r="AJ646" s="30"/>
      <c r="AK646" s="50">
        <v>40254</v>
      </c>
      <c r="AL646" s="51">
        <f t="shared" si="413"/>
        <v>15.635616438356164</v>
      </c>
      <c r="AM646" s="30">
        <v>8</v>
      </c>
      <c r="AN646" s="30"/>
      <c r="AO646" s="30" t="s">
        <v>1050</v>
      </c>
      <c r="AP646" s="30" t="s">
        <v>1051</v>
      </c>
      <c r="AQ646" s="30">
        <v>1.5</v>
      </c>
      <c r="AR646" s="30">
        <v>1760</v>
      </c>
      <c r="AS646" s="30">
        <v>1400</v>
      </c>
      <c r="AT646" s="30">
        <v>2100</v>
      </c>
      <c r="AU646" s="54">
        <v>174980000</v>
      </c>
      <c r="AV646" s="54"/>
      <c r="AW646" s="54"/>
      <c r="AX646" s="54"/>
      <c r="AY646" s="54">
        <v>174979000</v>
      </c>
      <c r="AZ646" s="54">
        <v>0</v>
      </c>
      <c r="BA646" s="54">
        <v>1000</v>
      </c>
      <c r="BB646" s="55">
        <f>VLOOKUP(M646,[1]Sheet1!$E$6:$F$556,2,FALSE)</f>
        <v>1000</v>
      </c>
      <c r="BC646" s="74"/>
      <c r="BD646" s="74"/>
      <c r="BE646" s="30"/>
      <c r="BF646" s="30" t="s">
        <v>1745</v>
      </c>
      <c r="BG646" s="30" t="s">
        <v>1880</v>
      </c>
      <c r="BH646" s="30" t="s">
        <v>1054</v>
      </c>
      <c r="BI646" s="30" t="str">
        <f t="shared" si="403"/>
        <v>COF(Assy_FT)</v>
      </c>
      <c r="BJ646" s="47" t="s">
        <v>137</v>
      </c>
      <c r="BK646" s="67">
        <f t="shared" si="414"/>
        <v>3499600</v>
      </c>
      <c r="BL646" s="68">
        <f t="shared" si="429"/>
        <v>333612.38102488499</v>
      </c>
      <c r="BM646" s="68">
        <f t="shared" si="430"/>
        <v>111204.12700829499</v>
      </c>
      <c r="BP646" s="69">
        <f t="shared" ref="BP646:BP656" si="450">BM646*3</f>
        <v>333612.38102488499</v>
      </c>
      <c r="BQ646" s="69">
        <f t="shared" ref="BQ646:BQ656" si="451">BP646</f>
        <v>333612.38102488499</v>
      </c>
      <c r="BR646" s="69">
        <f t="shared" ref="BR646:BR656" si="452">SUM(BN646:BQ646)</f>
        <v>667224.76204976998</v>
      </c>
      <c r="BS646" s="69">
        <f t="shared" ref="BS646:BS656" si="453">BQ646</f>
        <v>333612.38102488499</v>
      </c>
      <c r="BT646" s="69">
        <f t="shared" si="445"/>
        <v>333612.38102488499</v>
      </c>
      <c r="BU646" s="100">
        <f t="shared" si="445"/>
        <v>333612.38102488499</v>
      </c>
      <c r="BV646" s="100">
        <f t="shared" si="445"/>
        <v>333612.38102488499</v>
      </c>
      <c r="BW646" s="100">
        <f t="shared" si="439"/>
        <v>1334449.52409954</v>
      </c>
      <c r="BX646" s="101">
        <f t="shared" si="432"/>
        <v>333612.38102488499</v>
      </c>
      <c r="BY646" s="101">
        <f t="shared" si="433"/>
        <v>333612.38102488499</v>
      </c>
      <c r="BZ646" s="18">
        <f t="shared" si="433"/>
        <v>333612.38102488499</v>
      </c>
      <c r="CA646" s="18">
        <f t="shared" si="433"/>
        <v>333612.38102488499</v>
      </c>
      <c r="CB646" s="70">
        <f t="shared" si="404"/>
        <v>1334449.52409954</v>
      </c>
      <c r="CC646" s="18">
        <f t="shared" si="405"/>
        <v>333612.38102488499</v>
      </c>
      <c r="CD646" s="18">
        <f t="shared" si="448"/>
        <v>333612.38102488499</v>
      </c>
      <c r="CE646" s="18">
        <f t="shared" si="448"/>
        <v>333612.38102488499</v>
      </c>
      <c r="CF646" s="18">
        <f t="shared" si="448"/>
        <v>333612.38102488499</v>
      </c>
      <c r="CG646" s="70">
        <f t="shared" si="406"/>
        <v>1334449.52409954</v>
      </c>
      <c r="CH646" s="18">
        <f t="shared" si="434"/>
        <v>333612.38102488499</v>
      </c>
      <c r="CI646" s="18">
        <f t="shared" si="449"/>
        <v>333612.38102488499</v>
      </c>
      <c r="CJ646" s="18">
        <f t="shared" si="449"/>
        <v>333612.38102488499</v>
      </c>
      <c r="CK646" s="18">
        <f t="shared" si="449"/>
        <v>333612.38102488499</v>
      </c>
      <c r="CL646" s="70">
        <f t="shared" si="435"/>
        <v>1334449.52409954</v>
      </c>
      <c r="CM646" s="71"/>
      <c r="CN646" s="59">
        <f t="shared" si="446"/>
        <v>3.4171410441887233E-4</v>
      </c>
      <c r="CO646" s="64">
        <f t="shared" si="447"/>
        <v>7175996.1927963188</v>
      </c>
      <c r="CP646" s="2">
        <f t="shared" si="409"/>
        <v>10675596.19279632</v>
      </c>
    </row>
    <row r="647" spans="1:94" ht="16.5" hidden="1" x14ac:dyDescent="0.3">
      <c r="A647" s="2">
        <v>642</v>
      </c>
      <c r="B647" s="47" t="s">
        <v>21</v>
      </c>
      <c r="C647" s="47"/>
      <c r="D647" s="30" t="s">
        <v>1725</v>
      </c>
      <c r="E647" s="30" t="s">
        <v>1042</v>
      </c>
      <c r="F647" s="30" t="s">
        <v>1043</v>
      </c>
      <c r="G647" s="30" t="s">
        <v>117</v>
      </c>
      <c r="H647" s="30"/>
      <c r="I647" s="30" t="s">
        <v>119</v>
      </c>
      <c r="J647" s="30" t="s">
        <v>1871</v>
      </c>
      <c r="K647" s="30" t="s">
        <v>1872</v>
      </c>
      <c r="L647" s="30" t="s">
        <v>1873</v>
      </c>
      <c r="M647" s="30">
        <v>1001952</v>
      </c>
      <c r="N647" s="30" t="s">
        <v>138</v>
      </c>
      <c r="O647" s="30" t="s">
        <v>1976</v>
      </c>
      <c r="P647" s="30" t="s">
        <v>1963</v>
      </c>
      <c r="Q647" s="30" t="s">
        <v>1963</v>
      </c>
      <c r="R647" s="30" t="s">
        <v>1876</v>
      </c>
      <c r="S647" s="30">
        <v>35</v>
      </c>
      <c r="T647" s="30" t="s">
        <v>1752</v>
      </c>
      <c r="U647" s="30" t="s">
        <v>588</v>
      </c>
      <c r="V647" s="30" t="s">
        <v>437</v>
      </c>
      <c r="W647" s="30" t="s">
        <v>1877</v>
      </c>
      <c r="X647" s="89" t="s">
        <v>1764</v>
      </c>
      <c r="Y647" s="125" t="s">
        <v>576</v>
      </c>
      <c r="Z647" s="125" t="s">
        <v>576</v>
      </c>
      <c r="AA647" s="92" t="s">
        <v>891</v>
      </c>
      <c r="AB647" s="30" t="s">
        <v>1878</v>
      </c>
      <c r="AC647" s="30"/>
      <c r="AD647" s="30"/>
      <c r="AE647" s="30"/>
      <c r="AF647" s="30" t="s">
        <v>179</v>
      </c>
      <c r="AG647" s="30" t="s">
        <v>152</v>
      </c>
      <c r="AH647" s="132" t="s">
        <v>1879</v>
      </c>
      <c r="AI647" s="30"/>
      <c r="AJ647" s="30"/>
      <c r="AK647" s="50">
        <v>40254</v>
      </c>
      <c r="AL647" s="51">
        <f t="shared" si="413"/>
        <v>15.635616438356164</v>
      </c>
      <c r="AM647" s="30">
        <v>8</v>
      </c>
      <c r="AN647" s="30"/>
      <c r="AO647" s="30" t="s">
        <v>1050</v>
      </c>
      <c r="AP647" s="30" t="s">
        <v>1051</v>
      </c>
      <c r="AQ647" s="30">
        <v>1.5</v>
      </c>
      <c r="AR647" s="30">
        <v>1630</v>
      </c>
      <c r="AS647" s="30">
        <v>1380</v>
      </c>
      <c r="AT647" s="30">
        <v>2080</v>
      </c>
      <c r="AU647" s="54">
        <v>199110000</v>
      </c>
      <c r="AV647" s="54"/>
      <c r="AW647" s="54"/>
      <c r="AX647" s="54"/>
      <c r="AY647" s="54">
        <v>199109000</v>
      </c>
      <c r="AZ647" s="54">
        <v>0</v>
      </c>
      <c r="BA647" s="54">
        <v>1000</v>
      </c>
      <c r="BB647" s="55">
        <f>VLOOKUP(M647,[1]Sheet1!$E$6:$F$556,2,FALSE)</f>
        <v>1000</v>
      </c>
      <c r="BC647" s="74"/>
      <c r="BD647" s="74"/>
      <c r="BE647" s="30"/>
      <c r="BF647" s="30" t="s">
        <v>1745</v>
      </c>
      <c r="BG647" s="30" t="s">
        <v>1880</v>
      </c>
      <c r="BH647" s="30" t="s">
        <v>1054</v>
      </c>
      <c r="BI647" s="30" t="str">
        <f t="shared" ref="BI647:BI710" si="454">BH647</f>
        <v>COF(Assy_FT)</v>
      </c>
      <c r="BJ647" s="47" t="s">
        <v>137</v>
      </c>
      <c r="BK647" s="67">
        <f t="shared" si="414"/>
        <v>3982200</v>
      </c>
      <c r="BL647" s="68">
        <f t="shared" si="429"/>
        <v>379618.02026440075</v>
      </c>
      <c r="BM647" s="68">
        <f t="shared" si="430"/>
        <v>126539.34008813358</v>
      </c>
      <c r="BP647" s="69">
        <f t="shared" si="450"/>
        <v>379618.02026440075</v>
      </c>
      <c r="BQ647" s="69">
        <f t="shared" si="451"/>
        <v>379618.02026440075</v>
      </c>
      <c r="BR647" s="69">
        <f t="shared" si="452"/>
        <v>759236.0405288015</v>
      </c>
      <c r="BS647" s="69">
        <f t="shared" si="453"/>
        <v>379618.02026440075</v>
      </c>
      <c r="BT647" s="69">
        <f t="shared" si="445"/>
        <v>379618.02026440075</v>
      </c>
      <c r="BU647" s="100">
        <f t="shared" si="445"/>
        <v>379618.02026440075</v>
      </c>
      <c r="BV647" s="100">
        <f t="shared" si="445"/>
        <v>379618.02026440075</v>
      </c>
      <c r="BW647" s="100">
        <f t="shared" si="439"/>
        <v>1518472.081057603</v>
      </c>
      <c r="BX647" s="101">
        <f t="shared" si="432"/>
        <v>379618.02026440075</v>
      </c>
      <c r="BY647" s="101">
        <f t="shared" si="433"/>
        <v>379618.02026440075</v>
      </c>
      <c r="BZ647" s="18">
        <f t="shared" si="433"/>
        <v>379618.02026440075</v>
      </c>
      <c r="CA647" s="18">
        <f t="shared" si="433"/>
        <v>379618.02026440075</v>
      </c>
      <c r="CB647" s="70">
        <f t="shared" ref="CB647:CB710" si="455">SUM(BX647:CA647)</f>
        <v>1518472.081057603</v>
      </c>
      <c r="CC647" s="18">
        <f t="shared" ref="CC647:CC710" si="456">CA647</f>
        <v>379618.02026440075</v>
      </c>
      <c r="CD647" s="18">
        <f t="shared" si="448"/>
        <v>379618.02026440075</v>
      </c>
      <c r="CE647" s="18">
        <f t="shared" si="448"/>
        <v>379618.02026440075</v>
      </c>
      <c r="CF647" s="18">
        <f t="shared" si="448"/>
        <v>379618.02026440075</v>
      </c>
      <c r="CG647" s="70">
        <f t="shared" ref="CG647:CG710" si="457">SUM(CC647:CF647)</f>
        <v>1518472.081057603</v>
      </c>
      <c r="CH647" s="18">
        <f t="shared" si="434"/>
        <v>379618.02026440075</v>
      </c>
      <c r="CI647" s="18">
        <f t="shared" si="449"/>
        <v>379618.02026440075</v>
      </c>
      <c r="CJ647" s="18">
        <f t="shared" si="449"/>
        <v>379618.02026440075</v>
      </c>
      <c r="CK647" s="18">
        <f t="shared" si="449"/>
        <v>379618.02026440075</v>
      </c>
      <c r="CL647" s="70">
        <f t="shared" si="435"/>
        <v>1518472.081057603</v>
      </c>
      <c r="CM647" s="71"/>
      <c r="CN647" s="59">
        <f t="shared" si="446"/>
        <v>3.8883698326003924E-4</v>
      </c>
      <c r="CO647" s="64">
        <f t="shared" si="447"/>
        <v>8165576.648460824</v>
      </c>
      <c r="CP647" s="2">
        <f t="shared" ref="CP647:CP710" si="458">CO647+BK647</f>
        <v>12147776.648460824</v>
      </c>
    </row>
    <row r="648" spans="1:94" ht="16.5" hidden="1" x14ac:dyDescent="0.3">
      <c r="A648" s="2">
        <v>643</v>
      </c>
      <c r="B648" s="47" t="s">
        <v>21</v>
      </c>
      <c r="C648" s="47"/>
      <c r="D648" s="30" t="s">
        <v>1725</v>
      </c>
      <c r="E648" s="30" t="s">
        <v>1042</v>
      </c>
      <c r="F648" s="30" t="s">
        <v>1043</v>
      </c>
      <c r="G648" s="30" t="s">
        <v>117</v>
      </c>
      <c r="H648" s="30"/>
      <c r="I648" s="30" t="s">
        <v>119</v>
      </c>
      <c r="J648" s="30" t="s">
        <v>1871</v>
      </c>
      <c r="K648" s="30" t="s">
        <v>1872</v>
      </c>
      <c r="L648" s="30" t="s">
        <v>1873</v>
      </c>
      <c r="M648" s="30">
        <v>1000569</v>
      </c>
      <c r="N648" s="30" t="s">
        <v>138</v>
      </c>
      <c r="O648" s="30" t="s">
        <v>1977</v>
      </c>
      <c r="P648" s="30" t="s">
        <v>1963</v>
      </c>
      <c r="Q648" s="30" t="s">
        <v>1963</v>
      </c>
      <c r="R648" s="30" t="s">
        <v>1876</v>
      </c>
      <c r="S648" s="30">
        <v>36</v>
      </c>
      <c r="T648" s="30" t="s">
        <v>1752</v>
      </c>
      <c r="U648" s="30" t="s">
        <v>588</v>
      </c>
      <c r="V648" s="30" t="s">
        <v>437</v>
      </c>
      <c r="W648" s="30" t="s">
        <v>1877</v>
      </c>
      <c r="X648" s="89" t="s">
        <v>1764</v>
      </c>
      <c r="Y648" s="125" t="s">
        <v>576</v>
      </c>
      <c r="Z648" s="125" t="s">
        <v>576</v>
      </c>
      <c r="AA648" s="92" t="s">
        <v>891</v>
      </c>
      <c r="AB648" s="30" t="s">
        <v>1878</v>
      </c>
      <c r="AC648" s="30"/>
      <c r="AD648" s="30"/>
      <c r="AE648" s="30"/>
      <c r="AF648" s="30" t="s">
        <v>179</v>
      </c>
      <c r="AG648" s="30" t="s">
        <v>152</v>
      </c>
      <c r="AH648" s="132" t="s">
        <v>1879</v>
      </c>
      <c r="AI648" s="30"/>
      <c r="AJ648" s="30"/>
      <c r="AK648" s="50">
        <v>38837</v>
      </c>
      <c r="AL648" s="51">
        <f t="shared" si="413"/>
        <v>19.517808219178082</v>
      </c>
      <c r="AM648" s="30">
        <v>8</v>
      </c>
      <c r="AN648" s="30"/>
      <c r="AO648" s="30" t="s">
        <v>1050</v>
      </c>
      <c r="AP648" s="30" t="s">
        <v>1051</v>
      </c>
      <c r="AQ648" s="30">
        <v>1.5</v>
      </c>
      <c r="AR648" s="30">
        <v>1630</v>
      </c>
      <c r="AS648" s="30">
        <v>1380</v>
      </c>
      <c r="AT648" s="30">
        <v>2080</v>
      </c>
      <c r="AU648" s="54">
        <v>128705834</v>
      </c>
      <c r="AV648" s="54"/>
      <c r="AW648" s="54"/>
      <c r="AX648" s="54"/>
      <c r="AY648" s="54">
        <v>128704834</v>
      </c>
      <c r="AZ648" s="54">
        <v>0</v>
      </c>
      <c r="BA648" s="54">
        <v>1000</v>
      </c>
      <c r="BB648" s="55">
        <f>VLOOKUP(M648,[1]Sheet1!$E$6:$F$556,2,FALSE)</f>
        <v>1000</v>
      </c>
      <c r="BC648" s="74"/>
      <c r="BD648" s="74"/>
      <c r="BE648" s="30"/>
      <c r="BF648" s="30" t="s">
        <v>1745</v>
      </c>
      <c r="BG648" s="30" t="s">
        <v>1880</v>
      </c>
      <c r="BH648" s="30" t="s">
        <v>1054</v>
      </c>
      <c r="BI648" s="30" t="str">
        <f t="shared" si="454"/>
        <v>COF(Assy_FT)</v>
      </c>
      <c r="BJ648" s="47" t="s">
        <v>137</v>
      </c>
      <c r="BK648" s="67">
        <f t="shared" si="414"/>
        <v>2574116.6800000002</v>
      </c>
      <c r="BL648" s="68">
        <f t="shared" si="429"/>
        <v>245387.24272793229</v>
      </c>
      <c r="BM648" s="68">
        <f t="shared" si="430"/>
        <v>81795.747575977424</v>
      </c>
      <c r="BP648" s="69">
        <f t="shared" si="450"/>
        <v>245387.24272793229</v>
      </c>
      <c r="BQ648" s="69">
        <f t="shared" si="451"/>
        <v>245387.24272793229</v>
      </c>
      <c r="BR648" s="69">
        <f t="shared" si="452"/>
        <v>490774.48545586457</v>
      </c>
      <c r="BS648" s="69">
        <f t="shared" si="453"/>
        <v>245387.24272793229</v>
      </c>
      <c r="BT648" s="69">
        <f t="shared" si="445"/>
        <v>245387.24272793229</v>
      </c>
      <c r="BU648" s="100">
        <f t="shared" si="445"/>
        <v>245387.24272793229</v>
      </c>
      <c r="BV648" s="100">
        <f t="shared" si="445"/>
        <v>245387.24272793229</v>
      </c>
      <c r="BW648" s="100">
        <f t="shared" si="439"/>
        <v>981548.97091172915</v>
      </c>
      <c r="BX648" s="101">
        <f t="shared" si="432"/>
        <v>245387.24272793229</v>
      </c>
      <c r="BY648" s="101">
        <f t="shared" si="433"/>
        <v>245387.24272793229</v>
      </c>
      <c r="BZ648" s="18">
        <f t="shared" si="433"/>
        <v>245387.24272793229</v>
      </c>
      <c r="CA648" s="18">
        <f t="shared" si="433"/>
        <v>245387.24272793229</v>
      </c>
      <c r="CB648" s="70">
        <f t="shared" si="455"/>
        <v>981548.97091172915</v>
      </c>
      <c r="CC648" s="18">
        <f t="shared" si="456"/>
        <v>245387.24272793229</v>
      </c>
      <c r="CD648" s="18">
        <f t="shared" si="448"/>
        <v>245387.24272793229</v>
      </c>
      <c r="CE648" s="18">
        <f t="shared" si="448"/>
        <v>245387.24272793229</v>
      </c>
      <c r="CF648" s="18">
        <f t="shared" si="448"/>
        <v>245387.24272793229</v>
      </c>
      <c r="CG648" s="70">
        <f t="shared" si="457"/>
        <v>981548.97091172915</v>
      </c>
      <c r="CH648" s="18">
        <f t="shared" si="434"/>
        <v>245387.24272793229</v>
      </c>
      <c r="CI648" s="18">
        <f t="shared" si="449"/>
        <v>245387.24272793229</v>
      </c>
      <c r="CJ648" s="18">
        <f t="shared" si="449"/>
        <v>245387.24272793229</v>
      </c>
      <c r="CK648" s="18">
        <f t="shared" si="449"/>
        <v>245387.24272793229</v>
      </c>
      <c r="CL648" s="70">
        <f t="shared" si="435"/>
        <v>981548.97091172915</v>
      </c>
      <c r="CM648" s="71"/>
      <c r="CN648" s="59">
        <f t="shared" si="446"/>
        <v>2.513464327282778E-4</v>
      </c>
      <c r="CO648" s="64">
        <f t="shared" si="447"/>
        <v>5278275.0872938335</v>
      </c>
      <c r="CP648" s="2">
        <f t="shared" si="458"/>
        <v>7852391.7672938332</v>
      </c>
    </row>
    <row r="649" spans="1:94" ht="16.5" hidden="1" x14ac:dyDescent="0.3">
      <c r="A649" s="2">
        <v>644</v>
      </c>
      <c r="B649" s="47" t="s">
        <v>21</v>
      </c>
      <c r="C649" s="47"/>
      <c r="D649" s="30" t="s">
        <v>1725</v>
      </c>
      <c r="E649" s="30" t="s">
        <v>1042</v>
      </c>
      <c r="F649" s="30" t="s">
        <v>1043</v>
      </c>
      <c r="G649" s="30" t="s">
        <v>117</v>
      </c>
      <c r="H649" s="30"/>
      <c r="I649" s="30" t="s">
        <v>119</v>
      </c>
      <c r="J649" s="30" t="s">
        <v>1871</v>
      </c>
      <c r="K649" s="30" t="s">
        <v>1872</v>
      </c>
      <c r="L649" s="30" t="s">
        <v>1873</v>
      </c>
      <c r="M649" s="30">
        <v>1000799</v>
      </c>
      <c r="N649" s="30" t="s">
        <v>138</v>
      </c>
      <c r="O649" s="30" t="s">
        <v>1978</v>
      </c>
      <c r="P649" s="30" t="s">
        <v>1963</v>
      </c>
      <c r="Q649" s="30" t="s">
        <v>1963</v>
      </c>
      <c r="R649" s="30" t="s">
        <v>1876</v>
      </c>
      <c r="S649" s="30">
        <v>37</v>
      </c>
      <c r="T649" s="30" t="s">
        <v>1752</v>
      </c>
      <c r="U649" s="30" t="s">
        <v>588</v>
      </c>
      <c r="V649" s="30" t="s">
        <v>437</v>
      </c>
      <c r="W649" s="30" t="s">
        <v>1877</v>
      </c>
      <c r="X649" s="89" t="s">
        <v>1764</v>
      </c>
      <c r="Y649" s="125" t="s">
        <v>128</v>
      </c>
      <c r="Z649" s="125" t="s">
        <v>128</v>
      </c>
      <c r="AA649" s="92" t="s">
        <v>891</v>
      </c>
      <c r="AB649" s="30" t="s">
        <v>1878</v>
      </c>
      <c r="AC649" s="30"/>
      <c r="AD649" s="30"/>
      <c r="AE649" s="30"/>
      <c r="AF649" s="30" t="s">
        <v>179</v>
      </c>
      <c r="AG649" s="30" t="s">
        <v>152</v>
      </c>
      <c r="AH649" s="132" t="s">
        <v>1879</v>
      </c>
      <c r="AI649" s="30"/>
      <c r="AJ649" s="30"/>
      <c r="AK649" s="50">
        <v>38990</v>
      </c>
      <c r="AL649" s="51">
        <f t="shared" si="413"/>
        <v>19.098630136986301</v>
      </c>
      <c r="AM649" s="30">
        <v>8</v>
      </c>
      <c r="AN649" s="30"/>
      <c r="AO649" s="30" t="s">
        <v>1050</v>
      </c>
      <c r="AP649" s="30" t="s">
        <v>1051</v>
      </c>
      <c r="AQ649" s="30">
        <v>1.5</v>
      </c>
      <c r="AR649" s="30">
        <v>1630</v>
      </c>
      <c r="AS649" s="30">
        <v>1380</v>
      </c>
      <c r="AT649" s="30">
        <v>2080</v>
      </c>
      <c r="AU649" s="54">
        <v>147755834</v>
      </c>
      <c r="AV649" s="54"/>
      <c r="AW649" s="54"/>
      <c r="AX649" s="54"/>
      <c r="AY649" s="54">
        <v>147754834</v>
      </c>
      <c r="AZ649" s="54">
        <v>0</v>
      </c>
      <c r="BA649" s="54">
        <v>1000</v>
      </c>
      <c r="BB649" s="55">
        <f>VLOOKUP(M649,[1]Sheet1!$E$6:$F$556,2,FALSE)</f>
        <v>1000</v>
      </c>
      <c r="BC649" s="74"/>
      <c r="BD649" s="74"/>
      <c r="BE649" s="30"/>
      <c r="BF649" s="30" t="s">
        <v>1745</v>
      </c>
      <c r="BG649" s="30" t="s">
        <v>1880</v>
      </c>
      <c r="BH649" s="30" t="s">
        <v>1054</v>
      </c>
      <c r="BI649" s="30" t="str">
        <f t="shared" si="454"/>
        <v>COF(Assy_FT)</v>
      </c>
      <c r="BJ649" s="47" t="s">
        <v>137</v>
      </c>
      <c r="BK649" s="67">
        <f t="shared" si="414"/>
        <v>2955116.68</v>
      </c>
      <c r="BL649" s="68">
        <f t="shared" si="429"/>
        <v>281707.48423281318</v>
      </c>
      <c r="BM649" s="68">
        <f t="shared" si="430"/>
        <v>93902.494744271055</v>
      </c>
      <c r="BP649" s="69">
        <f t="shared" si="450"/>
        <v>281707.48423281318</v>
      </c>
      <c r="BQ649" s="69">
        <f t="shared" si="451"/>
        <v>281707.48423281318</v>
      </c>
      <c r="BR649" s="69">
        <f t="shared" si="452"/>
        <v>563414.96846562636</v>
      </c>
      <c r="BS649" s="69">
        <f t="shared" si="453"/>
        <v>281707.48423281318</v>
      </c>
      <c r="BT649" s="69">
        <f t="shared" si="445"/>
        <v>281707.48423281318</v>
      </c>
      <c r="BU649" s="100">
        <f t="shared" si="445"/>
        <v>281707.48423281318</v>
      </c>
      <c r="BV649" s="100">
        <f t="shared" si="445"/>
        <v>281707.48423281318</v>
      </c>
      <c r="BW649" s="100">
        <f t="shared" si="439"/>
        <v>1126829.9369312527</v>
      </c>
      <c r="BX649" s="101">
        <f t="shared" si="432"/>
        <v>281707.48423281318</v>
      </c>
      <c r="BY649" s="101">
        <f t="shared" si="433"/>
        <v>281707.48423281318</v>
      </c>
      <c r="BZ649" s="18">
        <f t="shared" si="433"/>
        <v>281707.48423281318</v>
      </c>
      <c r="CA649" s="18">
        <f t="shared" si="433"/>
        <v>281707.48423281318</v>
      </c>
      <c r="CB649" s="70">
        <f t="shared" si="455"/>
        <v>1126829.9369312527</v>
      </c>
      <c r="CC649" s="18">
        <f t="shared" si="456"/>
        <v>281707.48423281318</v>
      </c>
      <c r="CD649" s="18">
        <f t="shared" si="448"/>
        <v>281707.48423281318</v>
      </c>
      <c r="CE649" s="18">
        <f t="shared" si="448"/>
        <v>281707.48423281318</v>
      </c>
      <c r="CF649" s="18">
        <f t="shared" si="448"/>
        <v>281707.48423281318</v>
      </c>
      <c r="CG649" s="70">
        <f t="shared" si="457"/>
        <v>1126829.9369312527</v>
      </c>
      <c r="CH649" s="18">
        <f t="shared" si="434"/>
        <v>281707.48423281318</v>
      </c>
      <c r="CI649" s="18">
        <f t="shared" si="449"/>
        <v>281707.48423281318</v>
      </c>
      <c r="CJ649" s="18">
        <f t="shared" si="449"/>
        <v>281707.48423281318</v>
      </c>
      <c r="CK649" s="18">
        <f t="shared" si="449"/>
        <v>281707.48423281318</v>
      </c>
      <c r="CL649" s="70">
        <f t="shared" si="435"/>
        <v>1126829.9369312527</v>
      </c>
      <c r="CM649" s="71"/>
      <c r="CN649" s="59">
        <f t="shared" si="446"/>
        <v>2.8854870549762008E-4</v>
      </c>
      <c r="CO649" s="64">
        <f t="shared" si="447"/>
        <v>6059522.815450022</v>
      </c>
      <c r="CP649" s="2">
        <f t="shared" si="458"/>
        <v>9014639.4954500217</v>
      </c>
    </row>
    <row r="650" spans="1:94" ht="16.5" hidden="1" x14ac:dyDescent="0.3">
      <c r="A650" s="2">
        <v>645</v>
      </c>
      <c r="B650" s="47" t="s">
        <v>21</v>
      </c>
      <c r="C650" s="47"/>
      <c r="D650" s="30" t="s">
        <v>1725</v>
      </c>
      <c r="E650" s="30" t="s">
        <v>1042</v>
      </c>
      <c r="F650" s="30" t="s">
        <v>1043</v>
      </c>
      <c r="G650" s="30" t="s">
        <v>117</v>
      </c>
      <c r="H650" s="30"/>
      <c r="I650" s="30" t="s">
        <v>119</v>
      </c>
      <c r="J650" s="30" t="s">
        <v>1871</v>
      </c>
      <c r="K650" s="30" t="s">
        <v>1872</v>
      </c>
      <c r="L650" s="30" t="s">
        <v>1873</v>
      </c>
      <c r="M650" s="30">
        <v>1000566</v>
      </c>
      <c r="N650" s="30" t="s">
        <v>138</v>
      </c>
      <c r="O650" s="30" t="s">
        <v>1979</v>
      </c>
      <c r="P650" s="30" t="s">
        <v>1963</v>
      </c>
      <c r="Q650" s="30" t="s">
        <v>1963</v>
      </c>
      <c r="R650" s="30" t="s">
        <v>1876</v>
      </c>
      <c r="S650" s="30">
        <v>38</v>
      </c>
      <c r="T650" s="30" t="s">
        <v>1752</v>
      </c>
      <c r="U650" s="30" t="s">
        <v>588</v>
      </c>
      <c r="V650" s="30" t="s">
        <v>589</v>
      </c>
      <c r="W650" s="30" t="s">
        <v>1877</v>
      </c>
      <c r="X650" s="89" t="s">
        <v>1764</v>
      </c>
      <c r="Y650" s="125" t="s">
        <v>128</v>
      </c>
      <c r="Z650" s="125" t="s">
        <v>128</v>
      </c>
      <c r="AA650" s="92" t="s">
        <v>891</v>
      </c>
      <c r="AB650" s="30" t="s">
        <v>1878</v>
      </c>
      <c r="AC650" s="30"/>
      <c r="AD650" s="30"/>
      <c r="AE650" s="30"/>
      <c r="AF650" s="30" t="s">
        <v>179</v>
      </c>
      <c r="AG650" s="30" t="s">
        <v>152</v>
      </c>
      <c r="AH650" s="132" t="s">
        <v>1879</v>
      </c>
      <c r="AI650" s="30"/>
      <c r="AJ650" s="30"/>
      <c r="AK650" s="50">
        <v>38837</v>
      </c>
      <c r="AL650" s="51">
        <f t="shared" si="413"/>
        <v>19.517808219178082</v>
      </c>
      <c r="AM650" s="30">
        <v>8</v>
      </c>
      <c r="AN650" s="30"/>
      <c r="AO650" s="30" t="s">
        <v>1050</v>
      </c>
      <c r="AP650" s="30" t="s">
        <v>1051</v>
      </c>
      <c r="AQ650" s="30">
        <v>1.5</v>
      </c>
      <c r="AR650" s="30">
        <v>1630</v>
      </c>
      <c r="AS650" s="30">
        <v>1380</v>
      </c>
      <c r="AT650" s="30">
        <v>2080</v>
      </c>
      <c r="AU650" s="54">
        <v>128705833</v>
      </c>
      <c r="AV650" s="54"/>
      <c r="AW650" s="54"/>
      <c r="AX650" s="54"/>
      <c r="AY650" s="54">
        <v>128704833</v>
      </c>
      <c r="AZ650" s="54">
        <v>0</v>
      </c>
      <c r="BA650" s="54">
        <v>1000</v>
      </c>
      <c r="BB650" s="55">
        <f>VLOOKUP(M650,[1]Sheet1!$E$6:$F$556,2,FALSE)</f>
        <v>1000</v>
      </c>
      <c r="BC650" s="74"/>
      <c r="BD650" s="74"/>
      <c r="BE650" s="30"/>
      <c r="BF650" s="30" t="s">
        <v>1745</v>
      </c>
      <c r="BG650" s="30" t="s">
        <v>1880</v>
      </c>
      <c r="BH650" s="30" t="s">
        <v>1054</v>
      </c>
      <c r="BI650" s="30" t="str">
        <f t="shared" si="454"/>
        <v>COF(Assy_FT)</v>
      </c>
      <c r="BJ650" s="47" t="s">
        <v>137</v>
      </c>
      <c r="BK650" s="67">
        <f t="shared" si="414"/>
        <v>2574116.66</v>
      </c>
      <c r="BL650" s="68">
        <f t="shared" si="429"/>
        <v>245387.24082135796</v>
      </c>
      <c r="BM650" s="68">
        <f t="shared" si="430"/>
        <v>81795.746940452649</v>
      </c>
      <c r="BP650" s="69">
        <f t="shared" si="450"/>
        <v>245387.24082135793</v>
      </c>
      <c r="BQ650" s="69">
        <f t="shared" si="451"/>
        <v>245387.24082135793</v>
      </c>
      <c r="BR650" s="69">
        <f t="shared" si="452"/>
        <v>490774.48164271587</v>
      </c>
      <c r="BS650" s="69">
        <f t="shared" si="453"/>
        <v>245387.24082135793</v>
      </c>
      <c r="BT650" s="69">
        <f t="shared" si="445"/>
        <v>245387.24082135793</v>
      </c>
      <c r="BU650" s="100">
        <f t="shared" si="445"/>
        <v>245387.24082135793</v>
      </c>
      <c r="BV650" s="100">
        <f t="shared" si="445"/>
        <v>245387.24082135793</v>
      </c>
      <c r="BW650" s="100">
        <f t="shared" si="439"/>
        <v>981548.96328543173</v>
      </c>
      <c r="BX650" s="101">
        <f t="shared" si="432"/>
        <v>245387.24082135793</v>
      </c>
      <c r="BY650" s="101">
        <f t="shared" si="433"/>
        <v>245387.24082135793</v>
      </c>
      <c r="BZ650" s="18">
        <f t="shared" si="433"/>
        <v>245387.24082135793</v>
      </c>
      <c r="CA650" s="18">
        <f t="shared" si="433"/>
        <v>245387.24082135793</v>
      </c>
      <c r="CB650" s="70">
        <f t="shared" si="455"/>
        <v>981548.96328543173</v>
      </c>
      <c r="CC650" s="18">
        <f t="shared" si="456"/>
        <v>245387.24082135793</v>
      </c>
      <c r="CD650" s="18">
        <f t="shared" si="448"/>
        <v>245387.24082135793</v>
      </c>
      <c r="CE650" s="18">
        <f t="shared" si="448"/>
        <v>245387.24082135793</v>
      </c>
      <c r="CF650" s="18">
        <f t="shared" si="448"/>
        <v>245387.24082135793</v>
      </c>
      <c r="CG650" s="70">
        <f t="shared" si="457"/>
        <v>981548.96328543173</v>
      </c>
      <c r="CH650" s="18">
        <f t="shared" si="434"/>
        <v>245387.24082135793</v>
      </c>
      <c r="CI650" s="18">
        <f t="shared" si="449"/>
        <v>245387.24082135793</v>
      </c>
      <c r="CJ650" s="18">
        <f t="shared" si="449"/>
        <v>245387.24082135793</v>
      </c>
      <c r="CK650" s="18">
        <f t="shared" si="449"/>
        <v>245387.24082135793</v>
      </c>
      <c r="CL650" s="70">
        <f t="shared" si="435"/>
        <v>981548.96328543173</v>
      </c>
      <c r="CM650" s="71"/>
      <c r="CN650" s="59">
        <f t="shared" si="446"/>
        <v>2.513464307754026E-4</v>
      </c>
      <c r="CO650" s="64">
        <f t="shared" si="447"/>
        <v>5278275.0462834546</v>
      </c>
      <c r="CP650" s="2">
        <f t="shared" si="458"/>
        <v>7852391.7062834548</v>
      </c>
    </row>
    <row r="651" spans="1:94" ht="16.5" hidden="1" x14ac:dyDescent="0.3">
      <c r="A651" s="2">
        <v>646</v>
      </c>
      <c r="B651" s="47" t="s">
        <v>21</v>
      </c>
      <c r="C651" s="47"/>
      <c r="D651" s="30" t="s">
        <v>1725</v>
      </c>
      <c r="E651" s="30" t="s">
        <v>1042</v>
      </c>
      <c r="F651" s="30" t="s">
        <v>1043</v>
      </c>
      <c r="G651" s="30" t="s">
        <v>117</v>
      </c>
      <c r="H651" s="30"/>
      <c r="I651" s="30" t="s">
        <v>119</v>
      </c>
      <c r="J651" s="30" t="s">
        <v>1871</v>
      </c>
      <c r="K651" s="30" t="s">
        <v>1872</v>
      </c>
      <c r="L651" s="30" t="s">
        <v>1873</v>
      </c>
      <c r="M651" s="30">
        <v>1000768</v>
      </c>
      <c r="N651" s="30" t="s">
        <v>138</v>
      </c>
      <c r="O651" s="30" t="s">
        <v>1980</v>
      </c>
      <c r="P651" s="30" t="s">
        <v>1963</v>
      </c>
      <c r="Q651" s="30" t="s">
        <v>1963</v>
      </c>
      <c r="R651" s="30" t="s">
        <v>1876</v>
      </c>
      <c r="S651" s="30">
        <v>39</v>
      </c>
      <c r="T651" s="30" t="s">
        <v>1752</v>
      </c>
      <c r="U651" s="30" t="s">
        <v>588</v>
      </c>
      <c r="V651" s="30" t="s">
        <v>437</v>
      </c>
      <c r="W651" s="30" t="s">
        <v>1877</v>
      </c>
      <c r="X651" s="89" t="s">
        <v>1764</v>
      </c>
      <c r="Y651" s="125" t="s">
        <v>128</v>
      </c>
      <c r="Z651" s="125" t="s">
        <v>128</v>
      </c>
      <c r="AA651" s="92" t="s">
        <v>891</v>
      </c>
      <c r="AB651" s="30" t="s">
        <v>1878</v>
      </c>
      <c r="AC651" s="30"/>
      <c r="AD651" s="30"/>
      <c r="AE651" s="30"/>
      <c r="AF651" s="30" t="s">
        <v>179</v>
      </c>
      <c r="AG651" s="30" t="s">
        <v>152</v>
      </c>
      <c r="AH651" s="132" t="s">
        <v>1879</v>
      </c>
      <c r="AI651" s="30"/>
      <c r="AJ651" s="30"/>
      <c r="AK651" s="50">
        <v>38960</v>
      </c>
      <c r="AL651" s="51">
        <f t="shared" si="413"/>
        <v>19.18082191780822</v>
      </c>
      <c r="AM651" s="30">
        <v>8</v>
      </c>
      <c r="AN651" s="30"/>
      <c r="AO651" s="30" t="s">
        <v>1050</v>
      </c>
      <c r="AP651" s="30" t="s">
        <v>1051</v>
      </c>
      <c r="AQ651" s="30">
        <v>1.5</v>
      </c>
      <c r="AR651" s="30">
        <v>1630</v>
      </c>
      <c r="AS651" s="30">
        <v>1380</v>
      </c>
      <c r="AT651" s="30">
        <v>2080</v>
      </c>
      <c r="AU651" s="54">
        <v>115000000</v>
      </c>
      <c r="AV651" s="54"/>
      <c r="AW651" s="54"/>
      <c r="AX651" s="54"/>
      <c r="AY651" s="54">
        <v>114999000</v>
      </c>
      <c r="AZ651" s="54">
        <v>0</v>
      </c>
      <c r="BA651" s="54">
        <v>1000</v>
      </c>
      <c r="BB651" s="55">
        <f>VLOOKUP(M651,[1]Sheet1!$E$6:$F$556,2,FALSE)</f>
        <v>1000</v>
      </c>
      <c r="BC651" s="74"/>
      <c r="BD651" s="74"/>
      <c r="BE651" s="30"/>
      <c r="BF651" s="30" t="s">
        <v>1745</v>
      </c>
      <c r="BG651" s="30" t="s">
        <v>1880</v>
      </c>
      <c r="BH651" s="30" t="s">
        <v>1054</v>
      </c>
      <c r="BI651" s="30" t="str">
        <f t="shared" si="454"/>
        <v>COF(Assy_FT)</v>
      </c>
      <c r="BJ651" s="47" t="s">
        <v>137</v>
      </c>
      <c r="BK651" s="67">
        <f t="shared" si="414"/>
        <v>2300000</v>
      </c>
      <c r="BL651" s="68">
        <f t="shared" si="429"/>
        <v>219256.05107933347</v>
      </c>
      <c r="BM651" s="68">
        <f t="shared" si="430"/>
        <v>73085.350359777818</v>
      </c>
      <c r="BP651" s="69">
        <f t="shared" si="450"/>
        <v>219256.05107933347</v>
      </c>
      <c r="BQ651" s="69">
        <f t="shared" si="451"/>
        <v>219256.05107933347</v>
      </c>
      <c r="BR651" s="69">
        <f t="shared" si="452"/>
        <v>438512.10215866694</v>
      </c>
      <c r="BS651" s="69">
        <f t="shared" si="453"/>
        <v>219256.05107933347</v>
      </c>
      <c r="BT651" s="69">
        <f t="shared" ref="BT651:BV666" si="459">BS651</f>
        <v>219256.05107933347</v>
      </c>
      <c r="BU651" s="100">
        <f t="shared" si="459"/>
        <v>219256.05107933347</v>
      </c>
      <c r="BV651" s="100">
        <f t="shared" si="459"/>
        <v>219256.05107933347</v>
      </c>
      <c r="BW651" s="100">
        <f t="shared" si="439"/>
        <v>877024.20431733388</v>
      </c>
      <c r="BX651" s="101">
        <f t="shared" si="432"/>
        <v>219256.05107933347</v>
      </c>
      <c r="BY651" s="101">
        <f t="shared" si="433"/>
        <v>219256.05107933347</v>
      </c>
      <c r="BZ651" s="18">
        <f t="shared" si="433"/>
        <v>219256.05107933347</v>
      </c>
      <c r="CA651" s="18">
        <f t="shared" si="433"/>
        <v>219256.05107933347</v>
      </c>
      <c r="CB651" s="70">
        <f t="shared" si="455"/>
        <v>877024.20431733388</v>
      </c>
      <c r="CC651" s="18">
        <f t="shared" si="456"/>
        <v>219256.05107933347</v>
      </c>
      <c r="CD651" s="18">
        <f t="shared" si="448"/>
        <v>219256.05107933347</v>
      </c>
      <c r="CE651" s="18">
        <f t="shared" si="448"/>
        <v>219256.05107933347</v>
      </c>
      <c r="CF651" s="18">
        <f t="shared" si="448"/>
        <v>219256.05107933347</v>
      </c>
      <c r="CG651" s="70">
        <f t="shared" si="457"/>
        <v>877024.20431733388</v>
      </c>
      <c r="CH651" s="18">
        <f t="shared" si="434"/>
        <v>219256.05107933347</v>
      </c>
      <c r="CI651" s="18">
        <f t="shared" si="449"/>
        <v>219256.05107933347</v>
      </c>
      <c r="CJ651" s="18">
        <f t="shared" si="449"/>
        <v>219256.05107933347</v>
      </c>
      <c r="CK651" s="18">
        <f t="shared" si="449"/>
        <v>219256.05107933347</v>
      </c>
      <c r="CL651" s="70">
        <f t="shared" si="435"/>
        <v>877024.20431733388</v>
      </c>
      <c r="CM651" s="71"/>
      <c r="CN651" s="59">
        <f t="shared" si="446"/>
        <v>2.2458064926374622E-4</v>
      </c>
      <c r="CO651" s="64">
        <f t="shared" si="447"/>
        <v>4716193.634538671</v>
      </c>
      <c r="CP651" s="2">
        <f t="shared" si="458"/>
        <v>7016193.634538671</v>
      </c>
    </row>
    <row r="652" spans="1:94" ht="16.5" hidden="1" x14ac:dyDescent="0.3">
      <c r="A652" s="2">
        <v>647</v>
      </c>
      <c r="B652" s="47" t="s">
        <v>21</v>
      </c>
      <c r="C652" s="47"/>
      <c r="D652" s="30" t="s">
        <v>1725</v>
      </c>
      <c r="E652" s="30" t="s">
        <v>1042</v>
      </c>
      <c r="F652" s="30" t="s">
        <v>1043</v>
      </c>
      <c r="G652" s="30" t="s">
        <v>117</v>
      </c>
      <c r="H652" s="30"/>
      <c r="I652" s="30" t="s">
        <v>119</v>
      </c>
      <c r="J652" s="30" t="s">
        <v>1871</v>
      </c>
      <c r="K652" s="30" t="s">
        <v>1872</v>
      </c>
      <c r="L652" s="30" t="s">
        <v>1873</v>
      </c>
      <c r="M652" s="30">
        <v>1000568</v>
      </c>
      <c r="N652" s="30" t="s">
        <v>138</v>
      </c>
      <c r="O652" s="30" t="s">
        <v>1981</v>
      </c>
      <c r="P652" s="30" t="s">
        <v>1963</v>
      </c>
      <c r="Q652" s="30" t="s">
        <v>1963</v>
      </c>
      <c r="R652" s="30" t="s">
        <v>1876</v>
      </c>
      <c r="S652" s="30">
        <v>40</v>
      </c>
      <c r="T652" s="30" t="s">
        <v>1752</v>
      </c>
      <c r="U652" s="30" t="s">
        <v>588</v>
      </c>
      <c r="V652" s="30" t="s">
        <v>437</v>
      </c>
      <c r="W652" s="30" t="s">
        <v>1877</v>
      </c>
      <c r="X652" s="89" t="s">
        <v>1764</v>
      </c>
      <c r="Y652" s="125" t="s">
        <v>128</v>
      </c>
      <c r="Z652" s="125" t="s">
        <v>128</v>
      </c>
      <c r="AA652" s="92" t="s">
        <v>891</v>
      </c>
      <c r="AB652" s="30" t="s">
        <v>1878</v>
      </c>
      <c r="AC652" s="30"/>
      <c r="AD652" s="30"/>
      <c r="AE652" s="30"/>
      <c r="AF652" s="30" t="s">
        <v>179</v>
      </c>
      <c r="AG652" s="30" t="s">
        <v>152</v>
      </c>
      <c r="AH652" s="132" t="s">
        <v>1879</v>
      </c>
      <c r="AI652" s="30"/>
      <c r="AJ652" s="30"/>
      <c r="AK652" s="50">
        <v>38837</v>
      </c>
      <c r="AL652" s="51">
        <f t="shared" si="413"/>
        <v>19.517808219178082</v>
      </c>
      <c r="AM652" s="30">
        <v>8</v>
      </c>
      <c r="AN652" s="30"/>
      <c r="AO652" s="30" t="s">
        <v>1050</v>
      </c>
      <c r="AP652" s="30" t="s">
        <v>1051</v>
      </c>
      <c r="AQ652" s="30">
        <v>1.5</v>
      </c>
      <c r="AR652" s="30">
        <v>1630</v>
      </c>
      <c r="AS652" s="30">
        <v>1380</v>
      </c>
      <c r="AT652" s="30">
        <v>2080</v>
      </c>
      <c r="AU652" s="54">
        <v>128705834</v>
      </c>
      <c r="AV652" s="54"/>
      <c r="AW652" s="54"/>
      <c r="AX652" s="54"/>
      <c r="AY652" s="54">
        <v>128704834</v>
      </c>
      <c r="AZ652" s="54">
        <v>0</v>
      </c>
      <c r="BA652" s="54">
        <v>1000</v>
      </c>
      <c r="BB652" s="55">
        <f>VLOOKUP(M652,[1]Sheet1!$E$6:$F$556,2,FALSE)</f>
        <v>1000</v>
      </c>
      <c r="BC652" s="74"/>
      <c r="BD652" s="74"/>
      <c r="BE652" s="30"/>
      <c r="BF652" s="30" t="s">
        <v>1745</v>
      </c>
      <c r="BG652" s="30" t="s">
        <v>1880</v>
      </c>
      <c r="BH652" s="30" t="s">
        <v>1054</v>
      </c>
      <c r="BI652" s="30" t="str">
        <f t="shared" si="454"/>
        <v>COF(Assy_FT)</v>
      </c>
      <c r="BJ652" s="47" t="s">
        <v>137</v>
      </c>
      <c r="BK652" s="67">
        <f t="shared" si="414"/>
        <v>2574116.6800000002</v>
      </c>
      <c r="BL652" s="68">
        <f t="shared" si="429"/>
        <v>245387.24272793229</v>
      </c>
      <c r="BM652" s="68">
        <f t="shared" si="430"/>
        <v>81795.747575977424</v>
      </c>
      <c r="BP652" s="69">
        <f t="shared" si="450"/>
        <v>245387.24272793229</v>
      </c>
      <c r="BQ652" s="69">
        <f t="shared" si="451"/>
        <v>245387.24272793229</v>
      </c>
      <c r="BR652" s="69">
        <f t="shared" si="452"/>
        <v>490774.48545586457</v>
      </c>
      <c r="BS652" s="69">
        <f t="shared" si="453"/>
        <v>245387.24272793229</v>
      </c>
      <c r="BT652" s="69">
        <f t="shared" si="459"/>
        <v>245387.24272793229</v>
      </c>
      <c r="BU652" s="100">
        <f t="shared" si="459"/>
        <v>245387.24272793229</v>
      </c>
      <c r="BV652" s="100">
        <f t="shared" si="459"/>
        <v>245387.24272793229</v>
      </c>
      <c r="BW652" s="100">
        <f t="shared" si="439"/>
        <v>981548.97091172915</v>
      </c>
      <c r="BX652" s="101">
        <f t="shared" si="432"/>
        <v>245387.24272793229</v>
      </c>
      <c r="BY652" s="101">
        <f t="shared" si="433"/>
        <v>245387.24272793229</v>
      </c>
      <c r="BZ652" s="18">
        <f t="shared" si="433"/>
        <v>245387.24272793229</v>
      </c>
      <c r="CA652" s="18">
        <f t="shared" si="433"/>
        <v>245387.24272793229</v>
      </c>
      <c r="CB652" s="70">
        <f t="shared" si="455"/>
        <v>981548.97091172915</v>
      </c>
      <c r="CC652" s="18">
        <f t="shared" si="456"/>
        <v>245387.24272793229</v>
      </c>
      <c r="CD652" s="18">
        <f t="shared" si="448"/>
        <v>245387.24272793229</v>
      </c>
      <c r="CE652" s="18">
        <f t="shared" si="448"/>
        <v>245387.24272793229</v>
      </c>
      <c r="CF652" s="18">
        <f t="shared" si="448"/>
        <v>245387.24272793229</v>
      </c>
      <c r="CG652" s="70">
        <f t="shared" si="457"/>
        <v>981548.97091172915</v>
      </c>
      <c r="CH652" s="18">
        <f t="shared" si="434"/>
        <v>245387.24272793229</v>
      </c>
      <c r="CI652" s="18">
        <f t="shared" si="449"/>
        <v>245387.24272793229</v>
      </c>
      <c r="CJ652" s="18">
        <f t="shared" si="449"/>
        <v>245387.24272793229</v>
      </c>
      <c r="CK652" s="18">
        <f t="shared" si="449"/>
        <v>245387.24272793229</v>
      </c>
      <c r="CL652" s="70">
        <f t="shared" si="435"/>
        <v>981548.97091172915</v>
      </c>
      <c r="CM652" s="71"/>
      <c r="CN652" s="59">
        <f t="shared" si="446"/>
        <v>2.513464327282778E-4</v>
      </c>
      <c r="CO652" s="64">
        <f t="shared" si="447"/>
        <v>5278275.0872938335</v>
      </c>
      <c r="CP652" s="2">
        <f t="shared" si="458"/>
        <v>7852391.7672938332</v>
      </c>
    </row>
    <row r="653" spans="1:94" ht="16.5" hidden="1" x14ac:dyDescent="0.3">
      <c r="A653" s="2">
        <v>648</v>
      </c>
      <c r="B653" s="47" t="s">
        <v>21</v>
      </c>
      <c r="C653" s="47"/>
      <c r="D653" s="30" t="s">
        <v>1725</v>
      </c>
      <c r="E653" s="30" t="s">
        <v>1042</v>
      </c>
      <c r="F653" s="30" t="s">
        <v>1043</v>
      </c>
      <c r="G653" s="30" t="s">
        <v>117</v>
      </c>
      <c r="H653" s="30"/>
      <c r="I653" s="30" t="s">
        <v>119</v>
      </c>
      <c r="J653" s="30" t="s">
        <v>1871</v>
      </c>
      <c r="K653" s="30" t="s">
        <v>1872</v>
      </c>
      <c r="L653" s="30" t="s">
        <v>1873</v>
      </c>
      <c r="M653" s="30">
        <v>1002257</v>
      </c>
      <c r="N653" s="30" t="s">
        <v>138</v>
      </c>
      <c r="O653" s="30" t="s">
        <v>1982</v>
      </c>
      <c r="P653" s="30" t="s">
        <v>1974</v>
      </c>
      <c r="Q653" s="30" t="s">
        <v>1974</v>
      </c>
      <c r="R653" s="30" t="s">
        <v>1876</v>
      </c>
      <c r="S653" s="30"/>
      <c r="T653" s="30" t="s">
        <v>1752</v>
      </c>
      <c r="U653" s="30" t="s">
        <v>588</v>
      </c>
      <c r="V653" s="30" t="s">
        <v>589</v>
      </c>
      <c r="W653" s="30" t="s">
        <v>1975</v>
      </c>
      <c r="X653" s="89" t="s">
        <v>1764</v>
      </c>
      <c r="Y653" s="125" t="s">
        <v>128</v>
      </c>
      <c r="Z653" s="125" t="s">
        <v>128</v>
      </c>
      <c r="AA653" s="92" t="s">
        <v>891</v>
      </c>
      <c r="AB653" s="30" t="s">
        <v>1878</v>
      </c>
      <c r="AC653" s="30"/>
      <c r="AD653" s="30"/>
      <c r="AE653" s="30"/>
      <c r="AF653" s="30" t="s">
        <v>179</v>
      </c>
      <c r="AG653" s="30" t="s">
        <v>152</v>
      </c>
      <c r="AH653" s="132" t="s">
        <v>1879</v>
      </c>
      <c r="AI653" s="30"/>
      <c r="AJ653" s="30"/>
      <c r="AK653" s="50">
        <v>40359</v>
      </c>
      <c r="AL653" s="51">
        <f t="shared" si="413"/>
        <v>15.347945205479451</v>
      </c>
      <c r="AM653" s="30">
        <v>8</v>
      </c>
      <c r="AN653" s="30"/>
      <c r="AO653" s="30" t="s">
        <v>1050</v>
      </c>
      <c r="AP653" s="30" t="s">
        <v>1051</v>
      </c>
      <c r="AQ653" s="30">
        <v>1.5</v>
      </c>
      <c r="AR653" s="30">
        <v>1760</v>
      </c>
      <c r="AS653" s="30">
        <v>1400</v>
      </c>
      <c r="AT653" s="30">
        <v>2100</v>
      </c>
      <c r="AU653" s="54">
        <v>174915000</v>
      </c>
      <c r="AV653" s="54"/>
      <c r="AW653" s="54"/>
      <c r="AX653" s="54"/>
      <c r="AY653" s="54">
        <v>174914000</v>
      </c>
      <c r="AZ653" s="54">
        <v>0</v>
      </c>
      <c r="BA653" s="54">
        <v>1000</v>
      </c>
      <c r="BB653" s="55">
        <f>VLOOKUP(M653,[1]Sheet1!$E$6:$F$556,2,FALSE)</f>
        <v>1000</v>
      </c>
      <c r="BC653" s="74"/>
      <c r="BD653" s="74"/>
      <c r="BE653" s="30"/>
      <c r="BF653" s="30" t="s">
        <v>1745</v>
      </c>
      <c r="BG653" s="30" t="s">
        <v>1880</v>
      </c>
      <c r="BH653" s="30" t="s">
        <v>1054</v>
      </c>
      <c r="BI653" s="30" t="str">
        <f t="shared" si="454"/>
        <v>COF(Assy_FT)</v>
      </c>
      <c r="BJ653" s="47" t="s">
        <v>137</v>
      </c>
      <c r="BK653" s="67">
        <f t="shared" si="414"/>
        <v>3498300</v>
      </c>
      <c r="BL653" s="68">
        <f t="shared" si="429"/>
        <v>333488.45369166619</v>
      </c>
      <c r="BM653" s="68">
        <f t="shared" si="430"/>
        <v>111162.81789722206</v>
      </c>
      <c r="BP653" s="69">
        <f t="shared" si="450"/>
        <v>333488.45369166619</v>
      </c>
      <c r="BQ653" s="69">
        <f t="shared" si="451"/>
        <v>333488.45369166619</v>
      </c>
      <c r="BR653" s="69">
        <f t="shared" si="452"/>
        <v>666976.90738333238</v>
      </c>
      <c r="BS653" s="69">
        <f t="shared" si="453"/>
        <v>333488.45369166619</v>
      </c>
      <c r="BT653" s="69">
        <f t="shared" si="459"/>
        <v>333488.45369166619</v>
      </c>
      <c r="BU653" s="100">
        <f t="shared" si="459"/>
        <v>333488.45369166619</v>
      </c>
      <c r="BV653" s="100">
        <f t="shared" si="459"/>
        <v>333488.45369166619</v>
      </c>
      <c r="BW653" s="100">
        <f t="shared" si="439"/>
        <v>1333953.8147666648</v>
      </c>
      <c r="BX653" s="101">
        <f t="shared" si="432"/>
        <v>333488.45369166619</v>
      </c>
      <c r="BY653" s="101">
        <f t="shared" si="433"/>
        <v>333488.45369166619</v>
      </c>
      <c r="BZ653" s="18">
        <f t="shared" si="433"/>
        <v>333488.45369166619</v>
      </c>
      <c r="CA653" s="18">
        <f t="shared" si="433"/>
        <v>333488.45369166619</v>
      </c>
      <c r="CB653" s="70">
        <f t="shared" si="455"/>
        <v>1333953.8147666648</v>
      </c>
      <c r="CC653" s="18">
        <f t="shared" si="456"/>
        <v>333488.45369166619</v>
      </c>
      <c r="CD653" s="18">
        <f t="shared" si="448"/>
        <v>333488.45369166619</v>
      </c>
      <c r="CE653" s="18">
        <f t="shared" si="448"/>
        <v>333488.45369166619</v>
      </c>
      <c r="CF653" s="18">
        <f t="shared" si="448"/>
        <v>333488.45369166619</v>
      </c>
      <c r="CG653" s="70">
        <f t="shared" si="457"/>
        <v>1333953.8147666648</v>
      </c>
      <c r="CH653" s="18">
        <f t="shared" si="434"/>
        <v>333488.45369166619</v>
      </c>
      <c r="CI653" s="18">
        <f t="shared" si="449"/>
        <v>333488.45369166619</v>
      </c>
      <c r="CJ653" s="18">
        <f t="shared" si="449"/>
        <v>333488.45369166619</v>
      </c>
      <c r="CK653" s="18">
        <f t="shared" si="449"/>
        <v>333488.45369166619</v>
      </c>
      <c r="CL653" s="70">
        <f t="shared" si="435"/>
        <v>1333953.8147666648</v>
      </c>
      <c r="CM653" s="71"/>
      <c r="CN653" s="59">
        <f t="shared" si="446"/>
        <v>3.4158716753015801E-4</v>
      </c>
      <c r="CO653" s="64">
        <f t="shared" si="447"/>
        <v>7173330.5181333181</v>
      </c>
      <c r="CP653" s="2">
        <f t="shared" si="458"/>
        <v>10671630.518133318</v>
      </c>
    </row>
    <row r="654" spans="1:94" ht="16.5" hidden="1" x14ac:dyDescent="0.3">
      <c r="A654" s="2">
        <v>649</v>
      </c>
      <c r="B654" s="47" t="s">
        <v>21</v>
      </c>
      <c r="C654" s="47"/>
      <c r="D654" s="30" t="s">
        <v>1725</v>
      </c>
      <c r="E654" s="30" t="s">
        <v>1042</v>
      </c>
      <c r="F654" s="30" t="s">
        <v>1043</v>
      </c>
      <c r="G654" s="30" t="s">
        <v>117</v>
      </c>
      <c r="H654" s="30"/>
      <c r="I654" s="30" t="s">
        <v>119</v>
      </c>
      <c r="J654" s="30" t="s">
        <v>1871</v>
      </c>
      <c r="K654" s="30" t="s">
        <v>1872</v>
      </c>
      <c r="L654" s="30" t="s">
        <v>1873</v>
      </c>
      <c r="M654" s="30">
        <v>1002245</v>
      </c>
      <c r="N654" s="30" t="s">
        <v>138</v>
      </c>
      <c r="O654" s="30" t="s">
        <v>1983</v>
      </c>
      <c r="P654" s="30" t="s">
        <v>1963</v>
      </c>
      <c r="Q654" s="30" t="s">
        <v>1963</v>
      </c>
      <c r="R654" s="30" t="s">
        <v>1876</v>
      </c>
      <c r="S654" s="30">
        <v>42</v>
      </c>
      <c r="T654" s="30" t="s">
        <v>1752</v>
      </c>
      <c r="U654" s="30" t="s">
        <v>588</v>
      </c>
      <c r="V654" s="30" t="s">
        <v>437</v>
      </c>
      <c r="W654" s="30" t="s">
        <v>1877</v>
      </c>
      <c r="X654" s="89" t="s">
        <v>1764</v>
      </c>
      <c r="Y654" s="125" t="s">
        <v>128</v>
      </c>
      <c r="Z654" s="125" t="s">
        <v>128</v>
      </c>
      <c r="AA654" s="92" t="s">
        <v>891</v>
      </c>
      <c r="AB654" s="30" t="s">
        <v>1878</v>
      </c>
      <c r="AC654" s="30"/>
      <c r="AD654" s="30"/>
      <c r="AE654" s="30"/>
      <c r="AF654" s="30" t="s">
        <v>179</v>
      </c>
      <c r="AG654" s="30" t="s">
        <v>152</v>
      </c>
      <c r="AH654" s="132" t="s">
        <v>1879</v>
      </c>
      <c r="AI654" s="30"/>
      <c r="AJ654" s="30"/>
      <c r="AK654" s="50">
        <v>40359</v>
      </c>
      <c r="AL654" s="51">
        <f t="shared" si="413"/>
        <v>15.347945205479451</v>
      </c>
      <c r="AM654" s="30">
        <v>8</v>
      </c>
      <c r="AN654" s="30"/>
      <c r="AO654" s="30" t="s">
        <v>1050</v>
      </c>
      <c r="AP654" s="30" t="s">
        <v>1051</v>
      </c>
      <c r="AQ654" s="30">
        <v>1.5</v>
      </c>
      <c r="AR654" s="30">
        <v>1630</v>
      </c>
      <c r="AS654" s="30">
        <v>1380</v>
      </c>
      <c r="AT654" s="30">
        <v>2080</v>
      </c>
      <c r="AU654" s="54">
        <v>165015000</v>
      </c>
      <c r="AV654" s="54"/>
      <c r="AW654" s="54"/>
      <c r="AX654" s="54"/>
      <c r="AY654" s="54">
        <v>165014000</v>
      </c>
      <c r="AZ654" s="54">
        <v>0</v>
      </c>
      <c r="BA654" s="54">
        <v>1000</v>
      </c>
      <c r="BB654" s="55">
        <f>VLOOKUP(M654,[1]Sheet1!$E$6:$F$556,2,FALSE)</f>
        <v>1000</v>
      </c>
      <c r="BC654" s="74"/>
      <c r="BD654" s="74"/>
      <c r="BE654" s="30"/>
      <c r="BF654" s="30" t="s">
        <v>1745</v>
      </c>
      <c r="BG654" s="30" t="s">
        <v>1880</v>
      </c>
      <c r="BH654" s="30" t="s">
        <v>1054</v>
      </c>
      <c r="BI654" s="30" t="str">
        <f t="shared" si="454"/>
        <v>COF(Assy_FT)</v>
      </c>
      <c r="BJ654" s="47" t="s">
        <v>137</v>
      </c>
      <c r="BK654" s="67">
        <f t="shared" si="414"/>
        <v>3300300</v>
      </c>
      <c r="BL654" s="68">
        <f t="shared" si="429"/>
        <v>314613.36755527143</v>
      </c>
      <c r="BM654" s="68">
        <f t="shared" si="430"/>
        <v>104871.12251842381</v>
      </c>
      <c r="BP654" s="69">
        <f t="shared" si="450"/>
        <v>314613.36755527143</v>
      </c>
      <c r="BQ654" s="69">
        <f t="shared" si="451"/>
        <v>314613.36755527143</v>
      </c>
      <c r="BR654" s="69">
        <f t="shared" si="452"/>
        <v>629226.73511054285</v>
      </c>
      <c r="BS654" s="69">
        <f t="shared" si="453"/>
        <v>314613.36755527143</v>
      </c>
      <c r="BT654" s="69">
        <f t="shared" si="459"/>
        <v>314613.36755527143</v>
      </c>
      <c r="BU654" s="100">
        <f t="shared" si="459"/>
        <v>314613.36755527143</v>
      </c>
      <c r="BV654" s="100">
        <f t="shared" si="459"/>
        <v>314613.36755527143</v>
      </c>
      <c r="BW654" s="100">
        <f t="shared" si="439"/>
        <v>1258453.4702210857</v>
      </c>
      <c r="BX654" s="101">
        <f t="shared" si="432"/>
        <v>314613.36755527143</v>
      </c>
      <c r="BY654" s="101">
        <f t="shared" si="433"/>
        <v>314613.36755527143</v>
      </c>
      <c r="BZ654" s="18">
        <f t="shared" si="433"/>
        <v>314613.36755527143</v>
      </c>
      <c r="CA654" s="18">
        <f t="shared" si="433"/>
        <v>314613.36755527143</v>
      </c>
      <c r="CB654" s="70">
        <f t="shared" si="455"/>
        <v>1258453.4702210857</v>
      </c>
      <c r="CC654" s="18">
        <f t="shared" si="456"/>
        <v>314613.36755527143</v>
      </c>
      <c r="CD654" s="18">
        <f t="shared" si="448"/>
        <v>314613.36755527143</v>
      </c>
      <c r="CE654" s="18">
        <f t="shared" si="448"/>
        <v>314613.36755527143</v>
      </c>
      <c r="CF654" s="18">
        <f t="shared" si="448"/>
        <v>314613.36755527143</v>
      </c>
      <c r="CG654" s="70">
        <f t="shared" si="457"/>
        <v>1258453.4702210857</v>
      </c>
      <c r="CH654" s="18">
        <f t="shared" si="434"/>
        <v>314613.36755527143</v>
      </c>
      <c r="CI654" s="18">
        <f t="shared" si="449"/>
        <v>314613.36755527143</v>
      </c>
      <c r="CJ654" s="18">
        <f t="shared" si="449"/>
        <v>314613.36755527143</v>
      </c>
      <c r="CK654" s="18">
        <f t="shared" si="449"/>
        <v>314613.36755527143</v>
      </c>
      <c r="CL654" s="70">
        <f t="shared" si="435"/>
        <v>1258453.4702210857</v>
      </c>
      <c r="CM654" s="71"/>
      <c r="CN654" s="59">
        <f t="shared" si="446"/>
        <v>3.2225370294136597E-4</v>
      </c>
      <c r="CO654" s="64">
        <f t="shared" si="447"/>
        <v>6767327.7617686857</v>
      </c>
      <c r="CP654" s="2">
        <f t="shared" si="458"/>
        <v>10067627.761768686</v>
      </c>
    </row>
    <row r="655" spans="1:94" ht="16.5" hidden="1" x14ac:dyDescent="0.3">
      <c r="A655" s="2">
        <v>650</v>
      </c>
      <c r="B655" s="47" t="s">
        <v>21</v>
      </c>
      <c r="C655" s="47"/>
      <c r="D655" s="30" t="s">
        <v>1725</v>
      </c>
      <c r="E655" s="30" t="s">
        <v>1042</v>
      </c>
      <c r="F655" s="30" t="s">
        <v>1043</v>
      </c>
      <c r="G655" s="30" t="s">
        <v>117</v>
      </c>
      <c r="H655" s="30"/>
      <c r="I655" s="30" t="s">
        <v>119</v>
      </c>
      <c r="J655" s="30" t="s">
        <v>1871</v>
      </c>
      <c r="K655" s="30" t="s">
        <v>1872</v>
      </c>
      <c r="L655" s="30" t="s">
        <v>1873</v>
      </c>
      <c r="M655" s="30">
        <v>1000798</v>
      </c>
      <c r="N655" s="30" t="s">
        <v>138</v>
      </c>
      <c r="O655" s="30" t="s">
        <v>1984</v>
      </c>
      <c r="P655" s="30" t="s">
        <v>1963</v>
      </c>
      <c r="Q655" s="30" t="s">
        <v>1963</v>
      </c>
      <c r="R655" s="30" t="s">
        <v>1876</v>
      </c>
      <c r="S655" s="30">
        <v>43</v>
      </c>
      <c r="T655" s="30" t="s">
        <v>1752</v>
      </c>
      <c r="U655" s="30" t="s">
        <v>588</v>
      </c>
      <c r="V655" s="30" t="s">
        <v>437</v>
      </c>
      <c r="W655" s="30" t="s">
        <v>1877</v>
      </c>
      <c r="X655" s="89" t="s">
        <v>1764</v>
      </c>
      <c r="Y655" s="125" t="s">
        <v>128</v>
      </c>
      <c r="Z655" s="125" t="s">
        <v>128</v>
      </c>
      <c r="AA655" s="92" t="s">
        <v>891</v>
      </c>
      <c r="AB655" s="30" t="s">
        <v>1878</v>
      </c>
      <c r="AC655" s="30"/>
      <c r="AD655" s="30"/>
      <c r="AE655" s="30"/>
      <c r="AF655" s="30" t="s">
        <v>179</v>
      </c>
      <c r="AG655" s="30" t="s">
        <v>152</v>
      </c>
      <c r="AH655" s="132" t="s">
        <v>1879</v>
      </c>
      <c r="AI655" s="30"/>
      <c r="AJ655" s="30"/>
      <c r="AK655" s="50">
        <v>38990</v>
      </c>
      <c r="AL655" s="51">
        <f t="shared" si="413"/>
        <v>19.098630136986301</v>
      </c>
      <c r="AM655" s="30">
        <v>8</v>
      </c>
      <c r="AN655" s="30"/>
      <c r="AO655" s="30" t="s">
        <v>1050</v>
      </c>
      <c r="AP655" s="30" t="s">
        <v>1051</v>
      </c>
      <c r="AQ655" s="30">
        <v>1.5</v>
      </c>
      <c r="AR655" s="30">
        <v>1630</v>
      </c>
      <c r="AS655" s="30">
        <v>1380</v>
      </c>
      <c r="AT655" s="30">
        <v>2080</v>
      </c>
      <c r="AU655" s="54">
        <v>128705834</v>
      </c>
      <c r="AV655" s="54"/>
      <c r="AW655" s="54"/>
      <c r="AX655" s="54"/>
      <c r="AY655" s="54">
        <v>128704834</v>
      </c>
      <c r="AZ655" s="54">
        <v>0</v>
      </c>
      <c r="BA655" s="54">
        <v>1000</v>
      </c>
      <c r="BB655" s="55">
        <f>VLOOKUP(M655,[1]Sheet1!$E$6:$F$556,2,FALSE)</f>
        <v>1000</v>
      </c>
      <c r="BC655" s="74"/>
      <c r="BD655" s="74"/>
      <c r="BE655" s="30"/>
      <c r="BF655" s="30" t="s">
        <v>1745</v>
      </c>
      <c r="BG655" s="30" t="s">
        <v>1880</v>
      </c>
      <c r="BH655" s="30" t="s">
        <v>1054</v>
      </c>
      <c r="BI655" s="30" t="str">
        <f t="shared" si="454"/>
        <v>COF(Assy_FT)</v>
      </c>
      <c r="BJ655" s="47" t="s">
        <v>137</v>
      </c>
      <c r="BK655" s="67">
        <f t="shared" si="414"/>
        <v>2574116.6800000002</v>
      </c>
      <c r="BL655" s="68">
        <f t="shared" si="429"/>
        <v>245387.24272793229</v>
      </c>
      <c r="BM655" s="68">
        <f t="shared" si="430"/>
        <v>81795.747575977424</v>
      </c>
      <c r="BP655" s="69">
        <f t="shared" si="450"/>
        <v>245387.24272793229</v>
      </c>
      <c r="BQ655" s="69">
        <f t="shared" si="451"/>
        <v>245387.24272793229</v>
      </c>
      <c r="BR655" s="69">
        <f t="shared" si="452"/>
        <v>490774.48545586457</v>
      </c>
      <c r="BS655" s="69">
        <f t="shared" si="453"/>
        <v>245387.24272793229</v>
      </c>
      <c r="BT655" s="69">
        <f t="shared" si="459"/>
        <v>245387.24272793229</v>
      </c>
      <c r="BU655" s="100">
        <f t="shared" si="459"/>
        <v>245387.24272793229</v>
      </c>
      <c r="BV655" s="100">
        <f t="shared" si="459"/>
        <v>245387.24272793229</v>
      </c>
      <c r="BW655" s="100">
        <f t="shared" si="439"/>
        <v>981548.97091172915</v>
      </c>
      <c r="BX655" s="101">
        <f t="shared" si="432"/>
        <v>245387.24272793229</v>
      </c>
      <c r="BY655" s="101">
        <f t="shared" si="433"/>
        <v>245387.24272793229</v>
      </c>
      <c r="BZ655" s="18">
        <f t="shared" si="433"/>
        <v>245387.24272793229</v>
      </c>
      <c r="CA655" s="18">
        <f t="shared" si="433"/>
        <v>245387.24272793229</v>
      </c>
      <c r="CB655" s="70">
        <f t="shared" si="455"/>
        <v>981548.97091172915</v>
      </c>
      <c r="CC655" s="18">
        <f t="shared" si="456"/>
        <v>245387.24272793229</v>
      </c>
      <c r="CD655" s="18">
        <f t="shared" si="448"/>
        <v>245387.24272793229</v>
      </c>
      <c r="CE655" s="18">
        <f t="shared" si="448"/>
        <v>245387.24272793229</v>
      </c>
      <c r="CF655" s="18">
        <f t="shared" si="448"/>
        <v>245387.24272793229</v>
      </c>
      <c r="CG655" s="70">
        <f t="shared" si="457"/>
        <v>981548.97091172915</v>
      </c>
      <c r="CH655" s="18">
        <f t="shared" si="434"/>
        <v>245387.24272793229</v>
      </c>
      <c r="CI655" s="18">
        <f t="shared" si="449"/>
        <v>245387.24272793229</v>
      </c>
      <c r="CJ655" s="18">
        <f t="shared" si="449"/>
        <v>245387.24272793229</v>
      </c>
      <c r="CK655" s="18">
        <f t="shared" si="449"/>
        <v>245387.24272793229</v>
      </c>
      <c r="CL655" s="70">
        <f t="shared" si="435"/>
        <v>981548.97091172915</v>
      </c>
      <c r="CM655" s="71"/>
      <c r="CN655" s="59">
        <f t="shared" si="446"/>
        <v>2.513464327282778E-4</v>
      </c>
      <c r="CO655" s="64">
        <f t="shared" si="447"/>
        <v>5278275.0872938335</v>
      </c>
      <c r="CP655" s="2">
        <f t="shared" si="458"/>
        <v>7852391.7672938332</v>
      </c>
    </row>
    <row r="656" spans="1:94" ht="16.5" hidden="1" x14ac:dyDescent="0.3">
      <c r="A656" s="2">
        <v>651</v>
      </c>
      <c r="B656" s="47" t="s">
        <v>21</v>
      </c>
      <c r="C656" s="47"/>
      <c r="D656" s="30" t="s">
        <v>1725</v>
      </c>
      <c r="E656" s="30" t="s">
        <v>1042</v>
      </c>
      <c r="F656" s="30" t="s">
        <v>1043</v>
      </c>
      <c r="G656" s="30" t="s">
        <v>117</v>
      </c>
      <c r="H656" s="30"/>
      <c r="I656" s="30" t="s">
        <v>119</v>
      </c>
      <c r="J656" s="30" t="s">
        <v>1871</v>
      </c>
      <c r="K656" s="30" t="s">
        <v>1872</v>
      </c>
      <c r="L656" s="30" t="s">
        <v>1873</v>
      </c>
      <c r="M656" s="30">
        <v>1000365</v>
      </c>
      <c r="N656" s="30" t="s">
        <v>138</v>
      </c>
      <c r="O656" s="30" t="s">
        <v>1985</v>
      </c>
      <c r="P656" s="30" t="s">
        <v>1963</v>
      </c>
      <c r="Q656" s="30" t="s">
        <v>1963</v>
      </c>
      <c r="R656" s="30" t="s">
        <v>1876</v>
      </c>
      <c r="S656" s="30">
        <v>44</v>
      </c>
      <c r="T656" s="30" t="s">
        <v>1752</v>
      </c>
      <c r="U656" s="30" t="s">
        <v>588</v>
      </c>
      <c r="V656" s="30" t="s">
        <v>589</v>
      </c>
      <c r="W656" s="30" t="s">
        <v>1877</v>
      </c>
      <c r="X656" s="89" t="s">
        <v>1764</v>
      </c>
      <c r="Y656" s="125" t="s">
        <v>128</v>
      </c>
      <c r="Z656" s="125" t="s">
        <v>128</v>
      </c>
      <c r="AA656" s="92" t="s">
        <v>891</v>
      </c>
      <c r="AB656" s="30" t="s">
        <v>1878</v>
      </c>
      <c r="AC656" s="30"/>
      <c r="AD656" s="30"/>
      <c r="AE656" s="30"/>
      <c r="AF656" s="30" t="s">
        <v>179</v>
      </c>
      <c r="AG656" s="30" t="s">
        <v>152</v>
      </c>
      <c r="AH656" s="132" t="s">
        <v>1879</v>
      </c>
      <c r="AI656" s="30"/>
      <c r="AJ656" s="30"/>
      <c r="AK656" s="50">
        <v>38533</v>
      </c>
      <c r="AL656" s="51">
        <f t="shared" si="413"/>
        <v>20.350684931506848</v>
      </c>
      <c r="AM656" s="30">
        <v>8</v>
      </c>
      <c r="AN656" s="30"/>
      <c r="AO656" s="30" t="s">
        <v>1050</v>
      </c>
      <c r="AP656" s="30" t="s">
        <v>1051</v>
      </c>
      <c r="AQ656" s="30">
        <v>1.5</v>
      </c>
      <c r="AR656" s="30">
        <v>1630</v>
      </c>
      <c r="AS656" s="30">
        <v>1380</v>
      </c>
      <c r="AT656" s="30">
        <v>2080</v>
      </c>
      <c r="AU656" s="54">
        <v>210205833</v>
      </c>
      <c r="AV656" s="54"/>
      <c r="AW656" s="54"/>
      <c r="AX656" s="54"/>
      <c r="AY656" s="54">
        <v>210204833</v>
      </c>
      <c r="AZ656" s="54">
        <v>0</v>
      </c>
      <c r="BA656" s="54">
        <v>1000</v>
      </c>
      <c r="BB656" s="55">
        <f>VLOOKUP(M656,[1]Sheet1!$E$6:$F$556,2,FALSE)</f>
        <v>1000</v>
      </c>
      <c r="BC656" s="74"/>
      <c r="BD656" s="74"/>
      <c r="BE656" s="30"/>
      <c r="BF656" s="30" t="s">
        <v>1745</v>
      </c>
      <c r="BG656" s="30" t="s">
        <v>1880</v>
      </c>
      <c r="BH656" s="30" t="s">
        <v>1054</v>
      </c>
      <c r="BI656" s="30" t="str">
        <f t="shared" si="454"/>
        <v>COF(Assy_FT)</v>
      </c>
      <c r="BJ656" s="47" t="s">
        <v>137</v>
      </c>
      <c r="BK656" s="67">
        <f t="shared" si="414"/>
        <v>4204116.66</v>
      </c>
      <c r="BL656" s="68">
        <f t="shared" si="429"/>
        <v>400773.05093410297</v>
      </c>
      <c r="BM656" s="68">
        <f t="shared" si="430"/>
        <v>133591.01697803431</v>
      </c>
      <c r="BP656" s="69">
        <f t="shared" si="450"/>
        <v>400773.05093410297</v>
      </c>
      <c r="BQ656" s="69">
        <f t="shared" si="451"/>
        <v>400773.05093410297</v>
      </c>
      <c r="BR656" s="69">
        <f t="shared" si="452"/>
        <v>801546.10186820594</v>
      </c>
      <c r="BS656" s="69">
        <f t="shared" si="453"/>
        <v>400773.05093410297</v>
      </c>
      <c r="BT656" s="69">
        <f t="shared" si="459"/>
        <v>400773.05093410297</v>
      </c>
      <c r="BU656" s="100">
        <f t="shared" si="459"/>
        <v>400773.05093410297</v>
      </c>
      <c r="BV656" s="100">
        <f t="shared" si="459"/>
        <v>400773.05093410297</v>
      </c>
      <c r="BW656" s="100">
        <f t="shared" si="439"/>
        <v>1603092.2037364119</v>
      </c>
      <c r="BX656" s="101">
        <f t="shared" si="432"/>
        <v>400773.05093410297</v>
      </c>
      <c r="BY656" s="101">
        <f t="shared" si="433"/>
        <v>400773.05093410297</v>
      </c>
      <c r="BZ656" s="18">
        <f t="shared" si="433"/>
        <v>400773.05093410297</v>
      </c>
      <c r="CA656" s="18">
        <f t="shared" si="433"/>
        <v>400773.05093410297</v>
      </c>
      <c r="CB656" s="70">
        <f t="shared" si="455"/>
        <v>1603092.2037364119</v>
      </c>
      <c r="CC656" s="18">
        <f t="shared" si="456"/>
        <v>400773.05093410297</v>
      </c>
      <c r="CD656" s="18">
        <f t="shared" si="448"/>
        <v>400773.05093410297</v>
      </c>
      <c r="CE656" s="18">
        <f t="shared" si="448"/>
        <v>400773.05093410297</v>
      </c>
      <c r="CF656" s="18">
        <f t="shared" si="448"/>
        <v>400773.05093410297</v>
      </c>
      <c r="CG656" s="70">
        <f t="shared" si="457"/>
        <v>1603092.2037364119</v>
      </c>
      <c r="CH656" s="18">
        <f t="shared" si="434"/>
        <v>400773.05093410297</v>
      </c>
      <c r="CI656" s="18">
        <f t="shared" si="449"/>
        <v>400773.05093410297</v>
      </c>
      <c r="CJ656" s="18">
        <f t="shared" si="449"/>
        <v>400773.05093410297</v>
      </c>
      <c r="CK656" s="18">
        <f t="shared" si="449"/>
        <v>400773.05093410297</v>
      </c>
      <c r="CL656" s="70">
        <f t="shared" si="435"/>
        <v>1603092.2037364119</v>
      </c>
      <c r="CM656" s="71"/>
      <c r="CN656" s="59">
        <f t="shared" si="446"/>
        <v>4.1050576047101404E-4</v>
      </c>
      <c r="CO656" s="64">
        <f t="shared" si="447"/>
        <v>8620620.9698912948</v>
      </c>
      <c r="CP656" s="2">
        <f t="shared" si="458"/>
        <v>12824737.629891295</v>
      </c>
    </row>
    <row r="657" spans="1:94" ht="16.5" hidden="1" x14ac:dyDescent="0.3">
      <c r="A657" s="2">
        <v>652</v>
      </c>
      <c r="B657" s="47" t="s">
        <v>21</v>
      </c>
      <c r="C657" s="47"/>
      <c r="D657" s="30" t="s">
        <v>1725</v>
      </c>
      <c r="E657" s="30" t="s">
        <v>1042</v>
      </c>
      <c r="F657" s="30" t="s">
        <v>1043</v>
      </c>
      <c r="G657" s="30" t="s">
        <v>117</v>
      </c>
      <c r="H657" s="30"/>
      <c r="I657" s="30" t="s">
        <v>119</v>
      </c>
      <c r="J657" s="30" t="s">
        <v>1871</v>
      </c>
      <c r="K657" s="30" t="s">
        <v>1872</v>
      </c>
      <c r="L657" s="30" t="s">
        <v>1873</v>
      </c>
      <c r="M657" s="30">
        <v>1001454</v>
      </c>
      <c r="N657" s="30" t="s">
        <v>138</v>
      </c>
      <c r="O657" s="30" t="s">
        <v>1986</v>
      </c>
      <c r="P657" s="30" t="s">
        <v>1963</v>
      </c>
      <c r="Q657" s="30" t="s">
        <v>1963</v>
      </c>
      <c r="R657" s="30" t="s">
        <v>1876</v>
      </c>
      <c r="S657" s="30">
        <v>45</v>
      </c>
      <c r="T657" s="30" t="s">
        <v>1752</v>
      </c>
      <c r="U657" s="30" t="s">
        <v>588</v>
      </c>
      <c r="V657" s="30" t="s">
        <v>437</v>
      </c>
      <c r="W657" s="30" t="s">
        <v>1877</v>
      </c>
      <c r="X657" s="89" t="s">
        <v>1757</v>
      </c>
      <c r="Y657" s="30" t="s">
        <v>128</v>
      </c>
      <c r="Z657" s="30" t="s">
        <v>128</v>
      </c>
      <c r="AA657" s="92" t="s">
        <v>891</v>
      </c>
      <c r="AB657" s="30" t="s">
        <v>1878</v>
      </c>
      <c r="AC657" s="30"/>
      <c r="AD657" s="30"/>
      <c r="AE657" s="30"/>
      <c r="AF657" s="30" t="s">
        <v>179</v>
      </c>
      <c r="AG657" s="30" t="s">
        <v>152</v>
      </c>
      <c r="AH657" s="132" t="s">
        <v>1879</v>
      </c>
      <c r="AI657" s="30"/>
      <c r="AJ657" s="30"/>
      <c r="AK657" s="50">
        <v>39996</v>
      </c>
      <c r="AL657" s="51">
        <f t="shared" ref="AL657:AL720" si="460">($AL$1-AK657)/365</f>
        <v>16.342465753424658</v>
      </c>
      <c r="AM657" s="30">
        <v>8</v>
      </c>
      <c r="AN657" s="30"/>
      <c r="AO657" s="30" t="s">
        <v>1050</v>
      </c>
      <c r="AP657" s="30" t="s">
        <v>1051</v>
      </c>
      <c r="AQ657" s="30">
        <v>1.5</v>
      </c>
      <c r="AR657" s="30">
        <v>1630</v>
      </c>
      <c r="AS657" s="30">
        <v>1380</v>
      </c>
      <c r="AT657" s="30">
        <v>2080</v>
      </c>
      <c r="AU657" s="54">
        <v>160015000</v>
      </c>
      <c r="AV657" s="54"/>
      <c r="AW657" s="54"/>
      <c r="AX657" s="54"/>
      <c r="AY657" s="54">
        <v>160014000</v>
      </c>
      <c r="AZ657" s="54">
        <v>0</v>
      </c>
      <c r="BA657" s="54">
        <v>1000</v>
      </c>
      <c r="BB657" s="55">
        <f>VLOOKUP(M657,[1]Sheet1!$E$6:$F$556,2,FALSE)</f>
        <v>1000</v>
      </c>
      <c r="BC657" s="74"/>
      <c r="BD657" s="74"/>
      <c r="BE657" s="30"/>
      <c r="BF657" s="30" t="s">
        <v>1745</v>
      </c>
      <c r="BG657" s="30" t="s">
        <v>1880</v>
      </c>
      <c r="BH657" s="30" t="s">
        <v>1054</v>
      </c>
      <c r="BI657" s="30" t="str">
        <f t="shared" si="454"/>
        <v>COF(Assy_FT)</v>
      </c>
      <c r="BJ657" s="47" t="s">
        <v>137</v>
      </c>
      <c r="BK657" s="56">
        <f t="shared" ref="BK657:BK720" si="461">IF(OR(BA657=1000, BA657=0), AU657*$BQ$1, BA657*(1+$BL$2))</f>
        <v>3200300</v>
      </c>
      <c r="BL657" s="57">
        <f t="shared" si="429"/>
        <v>305080.49576921342</v>
      </c>
      <c r="BM657" s="57">
        <f t="shared" si="430"/>
        <v>101693.49858973781</v>
      </c>
      <c r="BU657" s="58">
        <f>BM657*3</f>
        <v>305080.49576921342</v>
      </c>
      <c r="BV657" s="58">
        <f t="shared" si="459"/>
        <v>305080.49576921342</v>
      </c>
      <c r="BW657" s="58">
        <f t="shared" si="439"/>
        <v>610160.99153842684</v>
      </c>
      <c r="BX657" s="58">
        <f t="shared" si="432"/>
        <v>305080.49576921342</v>
      </c>
      <c r="BY657" s="58">
        <f t="shared" si="433"/>
        <v>305080.49576921342</v>
      </c>
      <c r="BZ657" s="58">
        <f>BM657*3</f>
        <v>305080.49576921342</v>
      </c>
      <c r="CA657" s="58">
        <f t="shared" si="433"/>
        <v>305080.49576921342</v>
      </c>
      <c r="CB657" s="58">
        <f t="shared" si="455"/>
        <v>1220321.9830768537</v>
      </c>
      <c r="CC657" s="58">
        <f t="shared" si="456"/>
        <v>305080.49576921342</v>
      </c>
      <c r="CD657" s="58">
        <f t="shared" ref="CD657:CF676" si="462">CC657</f>
        <v>305080.49576921342</v>
      </c>
      <c r="CE657" s="58">
        <f t="shared" si="462"/>
        <v>305080.49576921342</v>
      </c>
      <c r="CF657" s="58">
        <f t="shared" si="462"/>
        <v>305080.49576921342</v>
      </c>
      <c r="CG657" s="58">
        <f t="shared" si="457"/>
        <v>1220321.9830768537</v>
      </c>
      <c r="CH657" s="58">
        <f t="shared" si="434"/>
        <v>305080.49576921342</v>
      </c>
      <c r="CI657" s="58">
        <f t="shared" si="449"/>
        <v>305080.49576921342</v>
      </c>
      <c r="CJ657" s="58">
        <f t="shared" si="449"/>
        <v>305080.49576921342</v>
      </c>
      <c r="CK657" s="58">
        <f t="shared" si="449"/>
        <v>305080.49576921342</v>
      </c>
      <c r="CL657" s="58">
        <f t="shared" si="435"/>
        <v>1220321.9830768537</v>
      </c>
      <c r="CN657" s="59">
        <f t="shared" si="446"/>
        <v>3.1248932688642043E-4</v>
      </c>
      <c r="CO657" s="64">
        <f t="shared" si="447"/>
        <v>6562275.8646148294</v>
      </c>
      <c r="CP657" s="2">
        <f t="shared" si="458"/>
        <v>9762575.8646148294</v>
      </c>
    </row>
    <row r="658" spans="1:94" ht="16.5" hidden="1" x14ac:dyDescent="0.3">
      <c r="A658" s="2">
        <v>653</v>
      </c>
      <c r="B658" s="47" t="s">
        <v>21</v>
      </c>
      <c r="C658" s="47"/>
      <c r="D658" s="30" t="s">
        <v>1725</v>
      </c>
      <c r="E658" s="30" t="s">
        <v>1042</v>
      </c>
      <c r="F658" s="30" t="s">
        <v>1043</v>
      </c>
      <c r="G658" s="30" t="s">
        <v>117</v>
      </c>
      <c r="H658" s="30"/>
      <c r="I658" s="30" t="s">
        <v>119</v>
      </c>
      <c r="J658" s="30" t="s">
        <v>1871</v>
      </c>
      <c r="K658" s="30" t="s">
        <v>1872</v>
      </c>
      <c r="L658" s="30" t="s">
        <v>1873</v>
      </c>
      <c r="M658" s="30">
        <v>1000228</v>
      </c>
      <c r="N658" s="30" t="s">
        <v>138</v>
      </c>
      <c r="O658" s="30" t="s">
        <v>1987</v>
      </c>
      <c r="P658" s="30" t="s">
        <v>1988</v>
      </c>
      <c r="Q658" s="30" t="s">
        <v>1988</v>
      </c>
      <c r="R658" s="30" t="s">
        <v>1876</v>
      </c>
      <c r="S658" s="30"/>
      <c r="T658" s="30" t="s">
        <v>1752</v>
      </c>
      <c r="U658" s="30" t="s">
        <v>588</v>
      </c>
      <c r="V658" s="30" t="s">
        <v>589</v>
      </c>
      <c r="W658" s="30" t="s">
        <v>1975</v>
      </c>
      <c r="X658" s="89" t="s">
        <v>1757</v>
      </c>
      <c r="Y658" s="30" t="s">
        <v>128</v>
      </c>
      <c r="Z658" s="30" t="s">
        <v>128</v>
      </c>
      <c r="AA658" s="92" t="s">
        <v>891</v>
      </c>
      <c r="AB658" s="30" t="s">
        <v>1878</v>
      </c>
      <c r="AC658" s="30"/>
      <c r="AD658" s="30"/>
      <c r="AE658" s="30"/>
      <c r="AF658" s="30" t="s">
        <v>179</v>
      </c>
      <c r="AG658" s="30" t="s">
        <v>152</v>
      </c>
      <c r="AH658" s="132" t="s">
        <v>1879</v>
      </c>
      <c r="AI658" s="30"/>
      <c r="AJ658" s="30"/>
      <c r="AK658" s="50">
        <v>38448</v>
      </c>
      <c r="AL658" s="51">
        <f t="shared" si="460"/>
        <v>20.583561643835615</v>
      </c>
      <c r="AM658" s="30">
        <v>8</v>
      </c>
      <c r="AN658" s="30"/>
      <c r="AO658" s="30" t="s">
        <v>1050</v>
      </c>
      <c r="AP658" s="30" t="s">
        <v>1051</v>
      </c>
      <c r="AQ658" s="30">
        <v>1.5</v>
      </c>
      <c r="AR658" s="30">
        <v>1630</v>
      </c>
      <c r="AS658" s="30">
        <v>1380</v>
      </c>
      <c r="AT658" s="30">
        <v>2080</v>
      </c>
      <c r="AU658" s="54">
        <v>240303708</v>
      </c>
      <c r="AV658" s="54"/>
      <c r="AW658" s="54"/>
      <c r="AX658" s="54"/>
      <c r="AY658" s="54">
        <v>240302708</v>
      </c>
      <c r="AZ658" s="54">
        <v>0</v>
      </c>
      <c r="BA658" s="54">
        <v>1000</v>
      </c>
      <c r="BB658" s="55">
        <f>VLOOKUP(M658,[1]Sheet1!$E$6:$F$556,2,FALSE)</f>
        <v>1000</v>
      </c>
      <c r="BC658" s="74"/>
      <c r="BD658" s="74"/>
      <c r="BE658" s="30"/>
      <c r="BF658" s="30" t="s">
        <v>1745</v>
      </c>
      <c r="BG658" s="30" t="s">
        <v>1880</v>
      </c>
      <c r="BH658" s="30" t="s">
        <v>1054</v>
      </c>
      <c r="BI658" s="30" t="str">
        <f t="shared" si="454"/>
        <v>COF(Assy_FT)</v>
      </c>
      <c r="BJ658" s="47" t="s">
        <v>137</v>
      </c>
      <c r="BK658" s="56">
        <f t="shared" si="461"/>
        <v>4806074.16</v>
      </c>
      <c r="BL658" s="57">
        <f t="shared" si="429"/>
        <v>458156.88761566288</v>
      </c>
      <c r="BM658" s="57">
        <f t="shared" si="430"/>
        <v>152718.9625385543</v>
      </c>
      <c r="BU658" s="58">
        <f>BM658*3</f>
        <v>458156.88761566288</v>
      </c>
      <c r="BV658" s="58">
        <f t="shared" si="459"/>
        <v>458156.88761566288</v>
      </c>
      <c r="BW658" s="58">
        <f t="shared" si="439"/>
        <v>916313.77523132577</v>
      </c>
      <c r="BX658" s="58">
        <f t="shared" si="432"/>
        <v>458156.88761566288</v>
      </c>
      <c r="BY658" s="58">
        <f t="shared" si="433"/>
        <v>458156.88761566288</v>
      </c>
      <c r="BZ658" s="58">
        <f>BM658*3</f>
        <v>458156.88761566288</v>
      </c>
      <c r="CA658" s="58">
        <f t="shared" si="433"/>
        <v>458156.88761566288</v>
      </c>
      <c r="CB658" s="58">
        <f t="shared" si="455"/>
        <v>1832627.5504626515</v>
      </c>
      <c r="CC658" s="58">
        <f t="shared" si="456"/>
        <v>458156.88761566288</v>
      </c>
      <c r="CD658" s="58">
        <f t="shared" si="462"/>
        <v>458156.88761566288</v>
      </c>
      <c r="CE658" s="58">
        <f t="shared" si="462"/>
        <v>458156.88761566288</v>
      </c>
      <c r="CF658" s="58">
        <f t="shared" si="462"/>
        <v>458156.88761566288</v>
      </c>
      <c r="CG658" s="58">
        <f t="shared" si="457"/>
        <v>1832627.5504626515</v>
      </c>
      <c r="CH658" s="58">
        <f t="shared" si="434"/>
        <v>458156.88761566288</v>
      </c>
      <c r="CI658" s="58">
        <f t="shared" si="449"/>
        <v>458156.88761566288</v>
      </c>
      <c r="CJ658" s="58">
        <f t="shared" si="449"/>
        <v>458156.88761566288</v>
      </c>
      <c r="CK658" s="58">
        <f t="shared" si="449"/>
        <v>458156.88761566288</v>
      </c>
      <c r="CL658" s="58">
        <f t="shared" si="435"/>
        <v>1832627.5504626515</v>
      </c>
      <c r="CN658" s="59">
        <f t="shared" si="446"/>
        <v>4.6928315446196251E-4</v>
      </c>
      <c r="CO658" s="64">
        <f t="shared" si="447"/>
        <v>9854946.2437012121</v>
      </c>
      <c r="CP658" s="2">
        <f t="shared" si="458"/>
        <v>14661020.403701212</v>
      </c>
    </row>
    <row r="659" spans="1:94" ht="16.5" hidden="1" x14ac:dyDescent="0.3">
      <c r="A659" s="2">
        <v>654</v>
      </c>
      <c r="B659" s="47" t="s">
        <v>21</v>
      </c>
      <c r="C659" s="47"/>
      <c r="D659" s="30" t="s">
        <v>1725</v>
      </c>
      <c r="E659" s="30" t="s">
        <v>1042</v>
      </c>
      <c r="F659" s="30" t="s">
        <v>1043</v>
      </c>
      <c r="G659" s="30" t="s">
        <v>117</v>
      </c>
      <c r="H659" s="30"/>
      <c r="I659" s="30" t="s">
        <v>119</v>
      </c>
      <c r="J659" s="30" t="s">
        <v>1871</v>
      </c>
      <c r="K659" s="30" t="s">
        <v>1872</v>
      </c>
      <c r="L659" s="30" t="s">
        <v>1873</v>
      </c>
      <c r="M659" s="30">
        <v>1000229</v>
      </c>
      <c r="N659" s="30" t="s">
        <v>138</v>
      </c>
      <c r="O659" s="30" t="s">
        <v>1989</v>
      </c>
      <c r="P659" s="30" t="s">
        <v>1988</v>
      </c>
      <c r="Q659" s="30" t="s">
        <v>1988</v>
      </c>
      <c r="R659" s="30" t="s">
        <v>1876</v>
      </c>
      <c r="S659" s="30"/>
      <c r="T659" s="30" t="s">
        <v>1752</v>
      </c>
      <c r="U659" s="30" t="s">
        <v>588</v>
      </c>
      <c r="V659" s="30" t="s">
        <v>589</v>
      </c>
      <c r="W659" s="30" t="s">
        <v>1975</v>
      </c>
      <c r="X659" s="89" t="s">
        <v>1757</v>
      </c>
      <c r="Y659" s="30" t="s">
        <v>128</v>
      </c>
      <c r="Z659" s="30" t="s">
        <v>128</v>
      </c>
      <c r="AA659" s="92" t="s">
        <v>891</v>
      </c>
      <c r="AB659" s="30" t="s">
        <v>1878</v>
      </c>
      <c r="AC659" s="30"/>
      <c r="AD659" s="30"/>
      <c r="AE659" s="30"/>
      <c r="AF659" s="30" t="s">
        <v>179</v>
      </c>
      <c r="AG659" s="30" t="s">
        <v>152</v>
      </c>
      <c r="AH659" s="132" t="s">
        <v>1879</v>
      </c>
      <c r="AI659" s="30"/>
      <c r="AJ659" s="30"/>
      <c r="AK659" s="50">
        <v>38448</v>
      </c>
      <c r="AL659" s="51">
        <f t="shared" si="460"/>
        <v>20.583561643835615</v>
      </c>
      <c r="AM659" s="30">
        <v>8</v>
      </c>
      <c r="AN659" s="30"/>
      <c r="AO659" s="30" t="s">
        <v>1050</v>
      </c>
      <c r="AP659" s="30" t="s">
        <v>1051</v>
      </c>
      <c r="AQ659" s="30">
        <v>1.5</v>
      </c>
      <c r="AR659" s="30">
        <v>1630</v>
      </c>
      <c r="AS659" s="30">
        <v>1380</v>
      </c>
      <c r="AT659" s="30">
        <v>2080</v>
      </c>
      <c r="AU659" s="54">
        <v>240303708</v>
      </c>
      <c r="AV659" s="54"/>
      <c r="AW659" s="54"/>
      <c r="AX659" s="54"/>
      <c r="AY659" s="54">
        <v>240302708</v>
      </c>
      <c r="AZ659" s="54">
        <v>0</v>
      </c>
      <c r="BA659" s="54">
        <v>1000</v>
      </c>
      <c r="BB659" s="55">
        <f>VLOOKUP(M659,[1]Sheet1!$E$6:$F$556,2,FALSE)</f>
        <v>1000</v>
      </c>
      <c r="BC659" s="74"/>
      <c r="BD659" s="74"/>
      <c r="BE659" s="30"/>
      <c r="BF659" s="30" t="s">
        <v>1745</v>
      </c>
      <c r="BG659" s="30" t="s">
        <v>1880</v>
      </c>
      <c r="BH659" s="30" t="s">
        <v>1054</v>
      </c>
      <c r="BI659" s="30" t="str">
        <f t="shared" si="454"/>
        <v>COF(Assy_FT)</v>
      </c>
      <c r="BJ659" s="47" t="s">
        <v>137</v>
      </c>
      <c r="BK659" s="56">
        <f t="shared" si="461"/>
        <v>4806074.16</v>
      </c>
      <c r="BL659" s="57">
        <f t="shared" si="429"/>
        <v>458156.88761566288</v>
      </c>
      <c r="BM659" s="57">
        <f t="shared" si="430"/>
        <v>152718.9625385543</v>
      </c>
      <c r="BU659" s="58">
        <f>BM659*3</f>
        <v>458156.88761566288</v>
      </c>
      <c r="BV659" s="58">
        <f t="shared" si="459"/>
        <v>458156.88761566288</v>
      </c>
      <c r="BW659" s="58">
        <f t="shared" si="439"/>
        <v>916313.77523132577</v>
      </c>
      <c r="BX659" s="58">
        <f t="shared" si="432"/>
        <v>458156.88761566288</v>
      </c>
      <c r="BY659" s="58">
        <f t="shared" si="433"/>
        <v>458156.88761566288</v>
      </c>
      <c r="BZ659" s="58">
        <f>BM659*3</f>
        <v>458156.88761566288</v>
      </c>
      <c r="CA659" s="58">
        <f t="shared" si="433"/>
        <v>458156.88761566288</v>
      </c>
      <c r="CB659" s="58">
        <f t="shared" si="455"/>
        <v>1832627.5504626515</v>
      </c>
      <c r="CC659" s="58">
        <f t="shared" si="456"/>
        <v>458156.88761566288</v>
      </c>
      <c r="CD659" s="58">
        <f t="shared" si="462"/>
        <v>458156.88761566288</v>
      </c>
      <c r="CE659" s="58">
        <f t="shared" si="462"/>
        <v>458156.88761566288</v>
      </c>
      <c r="CF659" s="58">
        <f t="shared" si="462"/>
        <v>458156.88761566288</v>
      </c>
      <c r="CG659" s="58">
        <f t="shared" si="457"/>
        <v>1832627.5504626515</v>
      </c>
      <c r="CH659" s="58">
        <f t="shared" si="434"/>
        <v>458156.88761566288</v>
      </c>
      <c r="CI659" s="58">
        <f t="shared" si="449"/>
        <v>458156.88761566288</v>
      </c>
      <c r="CJ659" s="58">
        <f t="shared" si="449"/>
        <v>458156.88761566288</v>
      </c>
      <c r="CK659" s="58">
        <f t="shared" si="449"/>
        <v>458156.88761566288</v>
      </c>
      <c r="CL659" s="58">
        <f t="shared" si="435"/>
        <v>1832627.5504626515</v>
      </c>
      <c r="CN659" s="59">
        <f t="shared" si="446"/>
        <v>4.6928315446196251E-4</v>
      </c>
      <c r="CO659" s="64">
        <f t="shared" si="447"/>
        <v>9854946.2437012121</v>
      </c>
      <c r="CP659" s="2">
        <f t="shared" si="458"/>
        <v>14661020.403701212</v>
      </c>
    </row>
    <row r="660" spans="1:94" ht="15" hidden="1" x14ac:dyDescent="0.3">
      <c r="A660" s="29">
        <v>655</v>
      </c>
      <c r="B660" s="30" t="s">
        <v>21</v>
      </c>
      <c r="C660" s="30"/>
      <c r="D660" s="30" t="s">
        <v>1725</v>
      </c>
      <c r="E660" s="30" t="s">
        <v>1042</v>
      </c>
      <c r="F660" s="30" t="s">
        <v>1043</v>
      </c>
      <c r="G660" s="30" t="s">
        <v>117</v>
      </c>
      <c r="H660" s="30"/>
      <c r="I660" s="30" t="s">
        <v>119</v>
      </c>
      <c r="J660" s="30" t="s">
        <v>1871</v>
      </c>
      <c r="K660" s="30" t="s">
        <v>1872</v>
      </c>
      <c r="L660" s="30" t="s">
        <v>1873</v>
      </c>
      <c r="M660" s="30">
        <v>1004743</v>
      </c>
      <c r="N660" s="30" t="s">
        <v>138</v>
      </c>
      <c r="O660" s="30" t="s">
        <v>1990</v>
      </c>
      <c r="P660" s="30" t="s">
        <v>1956</v>
      </c>
      <c r="Q660" s="30" t="s">
        <v>1956</v>
      </c>
      <c r="R660" s="30" t="s">
        <v>1876</v>
      </c>
      <c r="S660" s="30">
        <v>56</v>
      </c>
      <c r="T660" s="30" t="s">
        <v>1780</v>
      </c>
      <c r="U660" s="30" t="s">
        <v>588</v>
      </c>
      <c r="V660" s="30" t="s">
        <v>403</v>
      </c>
      <c r="W660" s="30" t="s">
        <v>1877</v>
      </c>
      <c r="X660" s="89"/>
      <c r="Y660" s="30" t="s">
        <v>128</v>
      </c>
      <c r="Z660" s="30" t="s">
        <v>128</v>
      </c>
      <c r="AA660" s="92" t="s">
        <v>891</v>
      </c>
      <c r="AB660" s="30" t="s">
        <v>1878</v>
      </c>
      <c r="AC660" s="30"/>
      <c r="AD660" s="30"/>
      <c r="AE660" s="30"/>
      <c r="AF660" s="30" t="s">
        <v>179</v>
      </c>
      <c r="AG660" s="30" t="s">
        <v>152</v>
      </c>
      <c r="AH660" s="132" t="s">
        <v>1879</v>
      </c>
      <c r="AI660" s="30"/>
      <c r="AJ660" s="30"/>
      <c r="AK660" s="50">
        <v>42548</v>
      </c>
      <c r="AL660" s="51">
        <f t="shared" si="460"/>
        <v>9.3506849315068497</v>
      </c>
      <c r="AM660" s="30">
        <v>8</v>
      </c>
      <c r="AN660" s="30"/>
      <c r="AO660" s="30" t="s">
        <v>1050</v>
      </c>
      <c r="AP660" s="30" t="s">
        <v>1187</v>
      </c>
      <c r="AQ660" s="30">
        <v>1.5</v>
      </c>
      <c r="AR660" s="30">
        <v>1720</v>
      </c>
      <c r="AS660" s="30">
        <v>1550</v>
      </c>
      <c r="AT660" s="30">
        <v>2300</v>
      </c>
      <c r="AU660" s="74">
        <v>202900000</v>
      </c>
      <c r="AV660" s="54"/>
      <c r="AW660" s="54"/>
      <c r="AX660" s="54"/>
      <c r="AY660" s="54">
        <v>202899000</v>
      </c>
      <c r="AZ660" s="54">
        <v>158072</v>
      </c>
      <c r="BA660" s="74">
        <v>1000</v>
      </c>
      <c r="BB660" s="55">
        <f>VLOOKUP(M660,[1]Sheet1!$E$6:$F$556,2,FALSE)</f>
        <v>1000</v>
      </c>
      <c r="BC660" s="74"/>
      <c r="BD660" s="74"/>
      <c r="BE660" s="30"/>
      <c r="BF660" s="30" t="s">
        <v>1745</v>
      </c>
      <c r="BG660" s="30" t="s">
        <v>1880</v>
      </c>
      <c r="BH660" s="30" t="s">
        <v>1054</v>
      </c>
      <c r="BI660" s="30" t="str">
        <f t="shared" si="454"/>
        <v>COF(Assy_FT)</v>
      </c>
      <c r="BJ660" s="30" t="s">
        <v>250</v>
      </c>
      <c r="BK660" s="56">
        <f t="shared" si="461"/>
        <v>4058000</v>
      </c>
      <c r="BL660" s="57">
        <f t="shared" si="429"/>
        <v>126812.5</v>
      </c>
      <c r="BM660" s="57">
        <f t="shared" si="430"/>
        <v>42270.833333333336</v>
      </c>
      <c r="BU660" s="58">
        <f>BM660*3</f>
        <v>126812.5</v>
      </c>
      <c r="BV660" s="58">
        <f t="shared" si="459"/>
        <v>126812.5</v>
      </c>
      <c r="BW660" s="58">
        <f t="shared" si="439"/>
        <v>253625</v>
      </c>
      <c r="BX660" s="58">
        <f t="shared" si="432"/>
        <v>126812.5</v>
      </c>
      <c r="BY660" s="58">
        <f t="shared" si="433"/>
        <v>126812.5</v>
      </c>
      <c r="BZ660" s="58">
        <f>BM660*3</f>
        <v>126812.5</v>
      </c>
      <c r="CA660" s="58">
        <f t="shared" si="433"/>
        <v>126812.5</v>
      </c>
      <c r="CB660" s="58">
        <f t="shared" si="455"/>
        <v>507250</v>
      </c>
      <c r="CC660" s="58">
        <f t="shared" si="456"/>
        <v>126812.5</v>
      </c>
      <c r="CD660" s="58">
        <f t="shared" si="462"/>
        <v>126812.5</v>
      </c>
      <c r="CE660" s="58">
        <f t="shared" si="462"/>
        <v>126812.5</v>
      </c>
      <c r="CF660" s="58">
        <f t="shared" si="462"/>
        <v>126812.5</v>
      </c>
      <c r="CG660" s="58">
        <f t="shared" si="457"/>
        <v>507250</v>
      </c>
      <c r="CH660" s="58">
        <f t="shared" si="434"/>
        <v>126812.5</v>
      </c>
      <c r="CI660" s="58">
        <f>CH660</f>
        <v>126812.5</v>
      </c>
      <c r="CJ660" s="58">
        <f>CI660</f>
        <v>126812.5</v>
      </c>
      <c r="CK660" s="58">
        <f>CJ660</f>
        <v>126812.5</v>
      </c>
      <c r="CL660" s="58">
        <f t="shared" si="435"/>
        <v>507250</v>
      </c>
      <c r="CP660" s="2">
        <f t="shared" si="458"/>
        <v>4058000</v>
      </c>
    </row>
    <row r="661" spans="1:94" ht="16.5" hidden="1" x14ac:dyDescent="0.3">
      <c r="A661" s="2">
        <v>656</v>
      </c>
      <c r="B661" s="47" t="s">
        <v>21</v>
      </c>
      <c r="C661" s="47"/>
      <c r="D661" s="30" t="s">
        <v>1725</v>
      </c>
      <c r="E661" s="30" t="s">
        <v>1042</v>
      </c>
      <c r="F661" s="30" t="s">
        <v>1043</v>
      </c>
      <c r="G661" s="30" t="s">
        <v>117</v>
      </c>
      <c r="H661" s="30"/>
      <c r="I661" s="30" t="s">
        <v>119</v>
      </c>
      <c r="J661" s="30" t="s">
        <v>1871</v>
      </c>
      <c r="K661" s="30" t="s">
        <v>1872</v>
      </c>
      <c r="L661" s="30" t="s">
        <v>1873</v>
      </c>
      <c r="M661" s="30">
        <v>1000565</v>
      </c>
      <c r="N661" s="30" t="s">
        <v>138</v>
      </c>
      <c r="O661" s="30" t="s">
        <v>1991</v>
      </c>
      <c r="P661" s="30" t="s">
        <v>1963</v>
      </c>
      <c r="Q661" s="30" t="s">
        <v>1963</v>
      </c>
      <c r="R661" s="30" t="s">
        <v>1876</v>
      </c>
      <c r="S661" s="30">
        <v>57</v>
      </c>
      <c r="T661" s="30" t="s">
        <v>1752</v>
      </c>
      <c r="U661" s="30" t="s">
        <v>588</v>
      </c>
      <c r="V661" s="30" t="s">
        <v>589</v>
      </c>
      <c r="W661" s="30" t="s">
        <v>1877</v>
      </c>
      <c r="X661" s="89" t="s">
        <v>1757</v>
      </c>
      <c r="Y661" s="30" t="s">
        <v>128</v>
      </c>
      <c r="Z661" s="30" t="s">
        <v>128</v>
      </c>
      <c r="AA661" s="92" t="s">
        <v>891</v>
      </c>
      <c r="AB661" s="30" t="s">
        <v>1878</v>
      </c>
      <c r="AC661" s="30"/>
      <c r="AD661" s="30"/>
      <c r="AE661" s="30"/>
      <c r="AF661" s="30" t="s">
        <v>179</v>
      </c>
      <c r="AG661" s="30" t="s">
        <v>152</v>
      </c>
      <c r="AH661" s="132" t="s">
        <v>1879</v>
      </c>
      <c r="AI661" s="30"/>
      <c r="AJ661" s="30"/>
      <c r="AK661" s="50">
        <v>38837</v>
      </c>
      <c r="AL661" s="51">
        <f t="shared" si="460"/>
        <v>19.517808219178082</v>
      </c>
      <c r="AM661" s="30">
        <v>8</v>
      </c>
      <c r="AN661" s="30"/>
      <c r="AO661" s="30" t="s">
        <v>1050</v>
      </c>
      <c r="AP661" s="30" t="s">
        <v>1051</v>
      </c>
      <c r="AQ661" s="30">
        <v>1.5</v>
      </c>
      <c r="AR661" s="30">
        <v>1630</v>
      </c>
      <c r="AS661" s="30">
        <v>1380</v>
      </c>
      <c r="AT661" s="30">
        <v>2080</v>
      </c>
      <c r="AU661" s="54">
        <v>128735833</v>
      </c>
      <c r="AV661" s="54"/>
      <c r="AW661" s="54"/>
      <c r="AX661" s="54"/>
      <c r="AY661" s="54">
        <v>128734833</v>
      </c>
      <c r="AZ661" s="54">
        <v>0</v>
      </c>
      <c r="BA661" s="54">
        <v>1000</v>
      </c>
      <c r="BB661" s="55">
        <f>VLOOKUP(M661,[1]Sheet1!$E$6:$F$556,2,FALSE)</f>
        <v>1000</v>
      </c>
      <c r="BC661" s="74"/>
      <c r="BD661" s="74"/>
      <c r="BE661" s="30"/>
      <c r="BF661" s="30" t="s">
        <v>1745</v>
      </c>
      <c r="BG661" s="30" t="s">
        <v>1880</v>
      </c>
      <c r="BH661" s="30" t="s">
        <v>1054</v>
      </c>
      <c r="BI661" s="30" t="str">
        <f t="shared" si="454"/>
        <v>COF(Assy_FT)</v>
      </c>
      <c r="BJ661" s="47" t="s">
        <v>137</v>
      </c>
      <c r="BK661" s="56">
        <f t="shared" si="461"/>
        <v>2574716.66</v>
      </c>
      <c r="BL661" s="57">
        <f t="shared" si="429"/>
        <v>245444.43805207431</v>
      </c>
      <c r="BM661" s="57">
        <f t="shared" si="430"/>
        <v>81814.812684024771</v>
      </c>
      <c r="BU661" s="58">
        <f t="shared" ref="BU661:BU674" si="463">BM661*3</f>
        <v>245444.43805207431</v>
      </c>
      <c r="BV661" s="58">
        <f t="shared" si="459"/>
        <v>245444.43805207431</v>
      </c>
      <c r="BW661" s="58">
        <f t="shared" si="439"/>
        <v>490888.87610414863</v>
      </c>
      <c r="BX661" s="58">
        <f t="shared" si="432"/>
        <v>245444.43805207431</v>
      </c>
      <c r="BY661" s="58">
        <f t="shared" si="433"/>
        <v>245444.43805207431</v>
      </c>
      <c r="BZ661" s="58">
        <f t="shared" ref="BZ661:BZ701" si="464">BM661*3</f>
        <v>245444.43805207431</v>
      </c>
      <c r="CA661" s="58">
        <f t="shared" si="433"/>
        <v>245444.43805207431</v>
      </c>
      <c r="CB661" s="58">
        <f t="shared" si="455"/>
        <v>981777.75220829726</v>
      </c>
      <c r="CC661" s="58">
        <f t="shared" si="456"/>
        <v>245444.43805207431</v>
      </c>
      <c r="CD661" s="58">
        <f t="shared" si="462"/>
        <v>245444.43805207431</v>
      </c>
      <c r="CE661" s="58">
        <f t="shared" si="462"/>
        <v>245444.43805207431</v>
      </c>
      <c r="CF661" s="58">
        <f t="shared" si="462"/>
        <v>245444.43805207431</v>
      </c>
      <c r="CG661" s="58">
        <f t="shared" si="457"/>
        <v>981777.75220829726</v>
      </c>
      <c r="CH661" s="58">
        <f t="shared" si="434"/>
        <v>245444.43805207431</v>
      </c>
      <c r="CI661" s="58">
        <f t="shared" si="449"/>
        <v>245444.43805207431</v>
      </c>
      <c r="CJ661" s="58">
        <f t="shared" si="449"/>
        <v>245444.43805207431</v>
      </c>
      <c r="CK661" s="58">
        <f t="shared" si="449"/>
        <v>245444.43805207431</v>
      </c>
      <c r="CL661" s="58">
        <f t="shared" si="435"/>
        <v>981777.75220829726</v>
      </c>
      <c r="CN661" s="59">
        <f t="shared" ref="CN661:CN666" si="465">BK661/$CN$3</f>
        <v>2.5140501703173226E-4</v>
      </c>
      <c r="CO661" s="64">
        <f t="shared" ref="CO661:CO666" si="466">CN661*$CO$4</f>
        <v>5279505.3576663779</v>
      </c>
      <c r="CP661" s="2">
        <f t="shared" si="458"/>
        <v>7854222.0176663781</v>
      </c>
    </row>
    <row r="662" spans="1:94" ht="16.5" hidden="1" x14ac:dyDescent="0.3">
      <c r="A662" s="2">
        <v>657</v>
      </c>
      <c r="B662" s="47" t="s">
        <v>21</v>
      </c>
      <c r="C662" s="47"/>
      <c r="D662" s="30" t="s">
        <v>1725</v>
      </c>
      <c r="E662" s="30" t="s">
        <v>1042</v>
      </c>
      <c r="F662" s="30" t="s">
        <v>1043</v>
      </c>
      <c r="G662" s="30" t="s">
        <v>117</v>
      </c>
      <c r="H662" s="30"/>
      <c r="I662" s="30" t="s">
        <v>119</v>
      </c>
      <c r="J662" s="30" t="s">
        <v>1871</v>
      </c>
      <c r="K662" s="30" t="s">
        <v>1872</v>
      </c>
      <c r="L662" s="30" t="s">
        <v>1873</v>
      </c>
      <c r="M662" s="30">
        <v>1000567</v>
      </c>
      <c r="N662" s="30" t="s">
        <v>138</v>
      </c>
      <c r="O662" s="30" t="s">
        <v>1992</v>
      </c>
      <c r="P662" s="30" t="s">
        <v>1963</v>
      </c>
      <c r="Q662" s="30" t="s">
        <v>1963</v>
      </c>
      <c r="R662" s="30" t="s">
        <v>1876</v>
      </c>
      <c r="S662" s="30">
        <v>58</v>
      </c>
      <c r="T662" s="30" t="s">
        <v>1752</v>
      </c>
      <c r="U662" s="30" t="s">
        <v>588</v>
      </c>
      <c r="V662" s="30" t="s">
        <v>437</v>
      </c>
      <c r="W662" s="30" t="s">
        <v>1877</v>
      </c>
      <c r="X662" s="89" t="s">
        <v>1757</v>
      </c>
      <c r="Y662" s="30" t="s">
        <v>128</v>
      </c>
      <c r="Z662" s="30" t="s">
        <v>128</v>
      </c>
      <c r="AA662" s="92" t="s">
        <v>891</v>
      </c>
      <c r="AB662" s="30" t="s">
        <v>1878</v>
      </c>
      <c r="AC662" s="30"/>
      <c r="AD662" s="30"/>
      <c r="AE662" s="30"/>
      <c r="AF662" s="30" t="s">
        <v>179</v>
      </c>
      <c r="AG662" s="30" t="s">
        <v>152</v>
      </c>
      <c r="AH662" s="132" t="s">
        <v>1879</v>
      </c>
      <c r="AI662" s="30"/>
      <c r="AJ662" s="30"/>
      <c r="AK662" s="50">
        <v>38837</v>
      </c>
      <c r="AL662" s="51">
        <f t="shared" si="460"/>
        <v>19.517808219178082</v>
      </c>
      <c r="AM662" s="30">
        <v>8</v>
      </c>
      <c r="AN662" s="30"/>
      <c r="AO662" s="30" t="s">
        <v>1050</v>
      </c>
      <c r="AP662" s="30" t="s">
        <v>1051</v>
      </c>
      <c r="AQ662" s="30">
        <v>1.5</v>
      </c>
      <c r="AR662" s="30">
        <v>1630</v>
      </c>
      <c r="AS662" s="30">
        <v>1380</v>
      </c>
      <c r="AT662" s="30">
        <v>2080</v>
      </c>
      <c r="AU662" s="54">
        <v>128735833</v>
      </c>
      <c r="AV662" s="54"/>
      <c r="AW662" s="54"/>
      <c r="AX662" s="54"/>
      <c r="AY662" s="54">
        <v>128734833</v>
      </c>
      <c r="AZ662" s="54">
        <v>0</v>
      </c>
      <c r="BA662" s="54">
        <v>1000</v>
      </c>
      <c r="BB662" s="55">
        <f>VLOOKUP(M662,[1]Sheet1!$E$6:$F$556,2,FALSE)</f>
        <v>1000</v>
      </c>
      <c r="BC662" s="74"/>
      <c r="BD662" s="74"/>
      <c r="BE662" s="30"/>
      <c r="BF662" s="30" t="s">
        <v>1745</v>
      </c>
      <c r="BG662" s="30" t="s">
        <v>1880</v>
      </c>
      <c r="BH662" s="30" t="s">
        <v>1054</v>
      </c>
      <c r="BI662" s="30" t="str">
        <f t="shared" si="454"/>
        <v>COF(Assy_FT)</v>
      </c>
      <c r="BJ662" s="47" t="s">
        <v>137</v>
      </c>
      <c r="BK662" s="56">
        <f t="shared" si="461"/>
        <v>2574716.66</v>
      </c>
      <c r="BL662" s="57">
        <f t="shared" si="429"/>
        <v>245444.43805207431</v>
      </c>
      <c r="BM662" s="57">
        <f t="shared" si="430"/>
        <v>81814.812684024771</v>
      </c>
      <c r="BU662" s="58">
        <f t="shared" si="463"/>
        <v>245444.43805207431</v>
      </c>
      <c r="BV662" s="58">
        <f t="shared" si="459"/>
        <v>245444.43805207431</v>
      </c>
      <c r="BW662" s="58">
        <f t="shared" si="439"/>
        <v>490888.87610414863</v>
      </c>
      <c r="BX662" s="58">
        <f t="shared" si="432"/>
        <v>245444.43805207431</v>
      </c>
      <c r="BY662" s="58">
        <f t="shared" si="433"/>
        <v>245444.43805207431</v>
      </c>
      <c r="BZ662" s="58">
        <f t="shared" si="464"/>
        <v>245444.43805207431</v>
      </c>
      <c r="CA662" s="58">
        <f t="shared" si="433"/>
        <v>245444.43805207431</v>
      </c>
      <c r="CB662" s="58">
        <f t="shared" si="455"/>
        <v>981777.75220829726</v>
      </c>
      <c r="CC662" s="58">
        <f t="shared" si="456"/>
        <v>245444.43805207431</v>
      </c>
      <c r="CD662" s="58">
        <f t="shared" si="462"/>
        <v>245444.43805207431</v>
      </c>
      <c r="CE662" s="58">
        <f t="shared" si="462"/>
        <v>245444.43805207431</v>
      </c>
      <c r="CF662" s="58">
        <f t="shared" si="462"/>
        <v>245444.43805207431</v>
      </c>
      <c r="CG662" s="58">
        <f t="shared" si="457"/>
        <v>981777.75220829726</v>
      </c>
      <c r="CH662" s="58">
        <f t="shared" si="434"/>
        <v>245444.43805207431</v>
      </c>
      <c r="CI662" s="58">
        <f t="shared" si="449"/>
        <v>245444.43805207431</v>
      </c>
      <c r="CJ662" s="58">
        <f t="shared" si="449"/>
        <v>245444.43805207431</v>
      </c>
      <c r="CK662" s="58">
        <f t="shared" si="449"/>
        <v>245444.43805207431</v>
      </c>
      <c r="CL662" s="58">
        <f t="shared" si="435"/>
        <v>981777.75220829726</v>
      </c>
      <c r="CN662" s="59">
        <f t="shared" si="465"/>
        <v>2.5140501703173226E-4</v>
      </c>
      <c r="CO662" s="64">
        <f t="shared" si="466"/>
        <v>5279505.3576663779</v>
      </c>
      <c r="CP662" s="2">
        <f t="shared" si="458"/>
        <v>7854222.0176663781</v>
      </c>
    </row>
    <row r="663" spans="1:94" ht="16.5" hidden="1" x14ac:dyDescent="0.3">
      <c r="A663" s="2">
        <v>658</v>
      </c>
      <c r="B663" s="47" t="s">
        <v>21</v>
      </c>
      <c r="C663" s="47"/>
      <c r="D663" s="30" t="s">
        <v>1725</v>
      </c>
      <c r="E663" s="30" t="s">
        <v>1042</v>
      </c>
      <c r="F663" s="30" t="s">
        <v>1043</v>
      </c>
      <c r="G663" s="30" t="s">
        <v>117</v>
      </c>
      <c r="H663" s="30"/>
      <c r="I663" s="30" t="s">
        <v>119</v>
      </c>
      <c r="J663" s="30" t="s">
        <v>1871</v>
      </c>
      <c r="K663" s="30" t="s">
        <v>1872</v>
      </c>
      <c r="L663" s="30" t="s">
        <v>1873</v>
      </c>
      <c r="M663" s="30">
        <v>1001452</v>
      </c>
      <c r="N663" s="30" t="s">
        <v>138</v>
      </c>
      <c r="O663" s="30" t="s">
        <v>1993</v>
      </c>
      <c r="P663" s="30" t="s">
        <v>1974</v>
      </c>
      <c r="Q663" s="30" t="s">
        <v>1974</v>
      </c>
      <c r="R663" s="30" t="s">
        <v>1876</v>
      </c>
      <c r="S663" s="30"/>
      <c r="T663" s="30" t="s">
        <v>1752</v>
      </c>
      <c r="U663" s="30" t="s">
        <v>588</v>
      </c>
      <c r="V663" s="30" t="s">
        <v>589</v>
      </c>
      <c r="W663" s="30" t="s">
        <v>1975</v>
      </c>
      <c r="X663" s="89" t="s">
        <v>1757</v>
      </c>
      <c r="Y663" s="30" t="s">
        <v>128</v>
      </c>
      <c r="Z663" s="30" t="s">
        <v>128</v>
      </c>
      <c r="AA663" s="92" t="s">
        <v>891</v>
      </c>
      <c r="AB663" s="30" t="s">
        <v>1878</v>
      </c>
      <c r="AC663" s="30"/>
      <c r="AD663" s="30"/>
      <c r="AE663" s="30"/>
      <c r="AF663" s="30" t="s">
        <v>179</v>
      </c>
      <c r="AG663" s="30" t="s">
        <v>152</v>
      </c>
      <c r="AH663" s="132" t="s">
        <v>1879</v>
      </c>
      <c r="AI663" s="30"/>
      <c r="AJ663" s="30"/>
      <c r="AK663" s="50">
        <v>39979</v>
      </c>
      <c r="AL663" s="51">
        <f t="shared" si="460"/>
        <v>16.389041095890413</v>
      </c>
      <c r="AM663" s="30">
        <v>8</v>
      </c>
      <c r="AN663" s="30"/>
      <c r="AO663" s="30" t="s">
        <v>1050</v>
      </c>
      <c r="AP663" s="30" t="s">
        <v>1051</v>
      </c>
      <c r="AQ663" s="30">
        <v>1.5</v>
      </c>
      <c r="AR663" s="30">
        <v>1760</v>
      </c>
      <c r="AS663" s="30">
        <v>1400</v>
      </c>
      <c r="AT663" s="30">
        <v>2100</v>
      </c>
      <c r="AU663" s="54">
        <v>93182586</v>
      </c>
      <c r="AV663" s="54"/>
      <c r="AW663" s="54"/>
      <c r="AX663" s="54"/>
      <c r="AY663" s="54">
        <v>93181586</v>
      </c>
      <c r="AZ663" s="54">
        <v>0</v>
      </c>
      <c r="BA663" s="54">
        <v>1000</v>
      </c>
      <c r="BB663" s="55">
        <f>VLOOKUP(M663,[1]Sheet1!$E$6:$F$556,2,FALSE)</f>
        <v>1000</v>
      </c>
      <c r="BC663" s="74"/>
      <c r="BD663" s="74"/>
      <c r="BE663" s="30"/>
      <c r="BF663" s="30" t="s">
        <v>1745</v>
      </c>
      <c r="BG663" s="30" t="s">
        <v>1880</v>
      </c>
      <c r="BH663" s="30" t="s">
        <v>1054</v>
      </c>
      <c r="BI663" s="30" t="str">
        <f t="shared" si="454"/>
        <v>COF(Assy_FT)</v>
      </c>
      <c r="BJ663" s="47" t="s">
        <v>137</v>
      </c>
      <c r="BK663" s="56">
        <f t="shared" si="461"/>
        <v>1863651.72</v>
      </c>
      <c r="BL663" s="57">
        <f t="shared" si="429"/>
        <v>177659.5290062642</v>
      </c>
      <c r="BM663" s="57">
        <f t="shared" si="430"/>
        <v>59219.84300208807</v>
      </c>
      <c r="BU663" s="58">
        <f t="shared" si="463"/>
        <v>177659.5290062642</v>
      </c>
      <c r="BV663" s="58">
        <f t="shared" si="459"/>
        <v>177659.5290062642</v>
      </c>
      <c r="BW663" s="58">
        <f t="shared" si="439"/>
        <v>355319.0580125284</v>
      </c>
      <c r="BX663" s="58">
        <f t="shared" si="432"/>
        <v>177659.5290062642</v>
      </c>
      <c r="BY663" s="58">
        <f t="shared" si="433"/>
        <v>177659.5290062642</v>
      </c>
      <c r="BZ663" s="58">
        <f t="shared" si="464"/>
        <v>177659.5290062642</v>
      </c>
      <c r="CA663" s="58">
        <f t="shared" si="433"/>
        <v>177659.5290062642</v>
      </c>
      <c r="CB663" s="58">
        <f t="shared" si="455"/>
        <v>710638.11602505681</v>
      </c>
      <c r="CC663" s="58">
        <f t="shared" si="456"/>
        <v>177659.5290062642</v>
      </c>
      <c r="CD663" s="58">
        <f t="shared" si="462"/>
        <v>177659.5290062642</v>
      </c>
      <c r="CE663" s="58">
        <f t="shared" si="462"/>
        <v>177659.5290062642</v>
      </c>
      <c r="CF663" s="58">
        <f t="shared" si="462"/>
        <v>177659.5290062642</v>
      </c>
      <c r="CG663" s="58">
        <f t="shared" si="457"/>
        <v>710638.11602505681</v>
      </c>
      <c r="CH663" s="58">
        <f t="shared" si="434"/>
        <v>177659.5290062642</v>
      </c>
      <c r="CI663" s="58">
        <f t="shared" si="449"/>
        <v>177659.5290062642</v>
      </c>
      <c r="CJ663" s="58">
        <f t="shared" si="449"/>
        <v>177659.5290062642</v>
      </c>
      <c r="CK663" s="58">
        <f t="shared" si="449"/>
        <v>177659.5290062642</v>
      </c>
      <c r="CL663" s="58">
        <f t="shared" si="435"/>
        <v>710638.11602505681</v>
      </c>
      <c r="CN663" s="59">
        <f t="shared" si="465"/>
        <v>1.8197396229525974E-4</v>
      </c>
      <c r="CO663" s="64">
        <f t="shared" si="466"/>
        <v>3821453.2082004547</v>
      </c>
      <c r="CP663" s="2">
        <f t="shared" si="458"/>
        <v>5685104.9282004545</v>
      </c>
    </row>
    <row r="664" spans="1:94" ht="16.5" hidden="1" x14ac:dyDescent="0.3">
      <c r="A664" s="2">
        <v>659</v>
      </c>
      <c r="B664" s="47" t="s">
        <v>21</v>
      </c>
      <c r="C664" s="47"/>
      <c r="D664" s="30" t="s">
        <v>1725</v>
      </c>
      <c r="E664" s="30" t="s">
        <v>1042</v>
      </c>
      <c r="F664" s="30" t="s">
        <v>1043</v>
      </c>
      <c r="G664" s="30" t="s">
        <v>117</v>
      </c>
      <c r="H664" s="30"/>
      <c r="I664" s="30" t="s">
        <v>119</v>
      </c>
      <c r="J664" s="30" t="s">
        <v>1871</v>
      </c>
      <c r="K664" s="30" t="s">
        <v>1872</v>
      </c>
      <c r="L664" s="30" t="s">
        <v>1873</v>
      </c>
      <c r="M664" s="30">
        <v>1000967</v>
      </c>
      <c r="N664" s="30" t="s">
        <v>138</v>
      </c>
      <c r="O664" s="30" t="s">
        <v>1994</v>
      </c>
      <c r="P664" s="30" t="s">
        <v>1974</v>
      </c>
      <c r="Q664" s="30" t="s">
        <v>1974</v>
      </c>
      <c r="R664" s="30" t="s">
        <v>1876</v>
      </c>
      <c r="S664" s="30"/>
      <c r="T664" s="30" t="s">
        <v>1752</v>
      </c>
      <c r="U664" s="30" t="s">
        <v>588</v>
      </c>
      <c r="V664" s="30" t="s">
        <v>600</v>
      </c>
      <c r="W664" s="30" t="s">
        <v>1975</v>
      </c>
      <c r="X664" s="89" t="s">
        <v>1757</v>
      </c>
      <c r="Y664" s="30" t="s">
        <v>128</v>
      </c>
      <c r="Z664" s="30" t="s">
        <v>128</v>
      </c>
      <c r="AA664" s="92" t="s">
        <v>891</v>
      </c>
      <c r="AB664" s="30" t="s">
        <v>1878</v>
      </c>
      <c r="AC664" s="30"/>
      <c r="AD664" s="30"/>
      <c r="AE664" s="30"/>
      <c r="AF664" s="30" t="s">
        <v>179</v>
      </c>
      <c r="AG664" s="30" t="s">
        <v>152</v>
      </c>
      <c r="AH664" s="132" t="s">
        <v>1879</v>
      </c>
      <c r="AI664" s="30"/>
      <c r="AJ664" s="30"/>
      <c r="AK664" s="50">
        <v>39350</v>
      </c>
      <c r="AL664" s="51">
        <f t="shared" si="460"/>
        <v>18.112328767123287</v>
      </c>
      <c r="AM664" s="30">
        <v>8</v>
      </c>
      <c r="AN664" s="30"/>
      <c r="AO664" s="30" t="s">
        <v>1050</v>
      </c>
      <c r="AP664" s="30" t="s">
        <v>1051</v>
      </c>
      <c r="AQ664" s="30">
        <v>1.5</v>
      </c>
      <c r="AR664" s="30">
        <v>1760</v>
      </c>
      <c r="AS664" s="30">
        <v>1400</v>
      </c>
      <c r="AT664" s="30">
        <v>2100</v>
      </c>
      <c r="AU664" s="54">
        <v>115000000</v>
      </c>
      <c r="AV664" s="54"/>
      <c r="AW664" s="54"/>
      <c r="AX664" s="54"/>
      <c r="AY664" s="54">
        <v>114999000</v>
      </c>
      <c r="AZ664" s="54">
        <v>0</v>
      </c>
      <c r="BA664" s="54">
        <v>1000</v>
      </c>
      <c r="BB664" s="55">
        <f>VLOOKUP(M664,[1]Sheet1!$E$6:$F$556,2,FALSE)</f>
        <v>1000</v>
      </c>
      <c r="BC664" s="74"/>
      <c r="BD664" s="74"/>
      <c r="BE664" s="30"/>
      <c r="BF664" s="30" t="s">
        <v>1745</v>
      </c>
      <c r="BG664" s="30" t="s">
        <v>1880</v>
      </c>
      <c r="BH664" s="30" t="s">
        <v>1054</v>
      </c>
      <c r="BI664" s="30" t="str">
        <f t="shared" si="454"/>
        <v>COF(Assy_FT)</v>
      </c>
      <c r="BJ664" s="47" t="s">
        <v>137</v>
      </c>
      <c r="BK664" s="56">
        <f t="shared" si="461"/>
        <v>2300000</v>
      </c>
      <c r="BL664" s="57">
        <f t="shared" si="429"/>
        <v>219256.05107933347</v>
      </c>
      <c r="BM664" s="57">
        <f t="shared" si="430"/>
        <v>73085.350359777818</v>
      </c>
      <c r="BU664" s="58">
        <f t="shared" si="463"/>
        <v>219256.05107933347</v>
      </c>
      <c r="BV664" s="58">
        <f t="shared" si="459"/>
        <v>219256.05107933347</v>
      </c>
      <c r="BW664" s="58">
        <f t="shared" si="439"/>
        <v>438512.10215866694</v>
      </c>
      <c r="BX664" s="58">
        <f t="shared" si="432"/>
        <v>219256.05107933347</v>
      </c>
      <c r="BY664" s="58">
        <f t="shared" si="433"/>
        <v>219256.05107933347</v>
      </c>
      <c r="BZ664" s="58">
        <f t="shared" si="464"/>
        <v>219256.05107933347</v>
      </c>
      <c r="CA664" s="58">
        <f t="shared" si="433"/>
        <v>219256.05107933347</v>
      </c>
      <c r="CB664" s="58">
        <f t="shared" si="455"/>
        <v>877024.20431733388</v>
      </c>
      <c r="CC664" s="58">
        <f t="shared" si="456"/>
        <v>219256.05107933347</v>
      </c>
      <c r="CD664" s="58">
        <f t="shared" si="462"/>
        <v>219256.05107933347</v>
      </c>
      <c r="CE664" s="58">
        <f t="shared" si="462"/>
        <v>219256.05107933347</v>
      </c>
      <c r="CF664" s="58">
        <f t="shared" si="462"/>
        <v>219256.05107933347</v>
      </c>
      <c r="CG664" s="58">
        <f t="shared" si="457"/>
        <v>877024.20431733388</v>
      </c>
      <c r="CH664" s="58">
        <f t="shared" si="434"/>
        <v>219256.05107933347</v>
      </c>
      <c r="CI664" s="58">
        <f t="shared" si="449"/>
        <v>219256.05107933347</v>
      </c>
      <c r="CJ664" s="58">
        <f t="shared" si="449"/>
        <v>219256.05107933347</v>
      </c>
      <c r="CK664" s="58">
        <f t="shared" si="449"/>
        <v>219256.05107933347</v>
      </c>
      <c r="CL664" s="58">
        <f t="shared" si="435"/>
        <v>877024.20431733388</v>
      </c>
      <c r="CN664" s="59">
        <f t="shared" si="465"/>
        <v>2.2458064926374622E-4</v>
      </c>
      <c r="CO664" s="64">
        <f t="shared" si="466"/>
        <v>4716193.634538671</v>
      </c>
      <c r="CP664" s="2">
        <f t="shared" si="458"/>
        <v>7016193.634538671</v>
      </c>
    </row>
    <row r="665" spans="1:94" ht="16.5" hidden="1" x14ac:dyDescent="0.3">
      <c r="A665" s="2">
        <v>660</v>
      </c>
      <c r="B665" s="47" t="s">
        <v>21</v>
      </c>
      <c r="C665" s="47"/>
      <c r="D665" s="30" t="s">
        <v>1725</v>
      </c>
      <c r="E665" s="30" t="s">
        <v>1042</v>
      </c>
      <c r="F665" s="30" t="s">
        <v>1043</v>
      </c>
      <c r="G665" s="30" t="s">
        <v>117</v>
      </c>
      <c r="H665" s="30"/>
      <c r="I665" s="30" t="s">
        <v>119</v>
      </c>
      <c r="J665" s="30" t="s">
        <v>1871</v>
      </c>
      <c r="K665" s="30" t="s">
        <v>1872</v>
      </c>
      <c r="L665" s="30" t="s">
        <v>1873</v>
      </c>
      <c r="M665" s="30">
        <v>1005472</v>
      </c>
      <c r="N665" s="30" t="s">
        <v>138</v>
      </c>
      <c r="O665" s="30" t="s">
        <v>1995</v>
      </c>
      <c r="P665" s="30" t="s">
        <v>1963</v>
      </c>
      <c r="Q665" s="30" t="s">
        <v>1963</v>
      </c>
      <c r="R665" s="30" t="s">
        <v>1876</v>
      </c>
      <c r="S665" s="30">
        <v>63</v>
      </c>
      <c r="T665" s="30" t="s">
        <v>1752</v>
      </c>
      <c r="U665" s="30" t="s">
        <v>588</v>
      </c>
      <c r="V665" s="30" t="s">
        <v>437</v>
      </c>
      <c r="W665" s="30" t="s">
        <v>1877</v>
      </c>
      <c r="X665" s="89" t="s">
        <v>1757</v>
      </c>
      <c r="Y665" s="30" t="s">
        <v>457</v>
      </c>
      <c r="Z665" s="30" t="s">
        <v>457</v>
      </c>
      <c r="AA665" s="92" t="s">
        <v>891</v>
      </c>
      <c r="AB665" s="30" t="s">
        <v>1878</v>
      </c>
      <c r="AC665" s="30"/>
      <c r="AD665" s="30"/>
      <c r="AE665" s="30"/>
      <c r="AF665" s="30" t="s">
        <v>179</v>
      </c>
      <c r="AG665" s="30" t="s">
        <v>152</v>
      </c>
      <c r="AH665" s="132" t="s">
        <v>1879</v>
      </c>
      <c r="AI665" s="30"/>
      <c r="AJ665" s="30"/>
      <c r="AK665" s="50">
        <v>43251</v>
      </c>
      <c r="AL665" s="51">
        <f t="shared" si="460"/>
        <v>7.4246575342465757</v>
      </c>
      <c r="AM665" s="30">
        <v>8</v>
      </c>
      <c r="AN665" s="30"/>
      <c r="AO665" s="30" t="s">
        <v>1050</v>
      </c>
      <c r="AP665" s="30" t="s">
        <v>1187</v>
      </c>
      <c r="AQ665" s="30">
        <v>1.5</v>
      </c>
      <c r="AR665" s="30">
        <v>1630</v>
      </c>
      <c r="AS665" s="30">
        <v>1380</v>
      </c>
      <c r="AT665" s="30">
        <v>2080</v>
      </c>
      <c r="AU665" s="54">
        <v>100549500</v>
      </c>
      <c r="AV665" s="54"/>
      <c r="AW665" s="54"/>
      <c r="AX665" s="54"/>
      <c r="AY665" s="54">
        <v>91122987</v>
      </c>
      <c r="AZ665" s="54">
        <v>1047391</v>
      </c>
      <c r="BA665" s="54">
        <v>6284340</v>
      </c>
      <c r="BB665" s="55">
        <f>VLOOKUP(M665,[1]Sheet1!$E$6:$F$556,2,FALSE)</f>
        <v>111169</v>
      </c>
      <c r="BC665" s="74"/>
      <c r="BD665" s="74"/>
      <c r="BE665" s="30"/>
      <c r="BF665" s="30" t="s">
        <v>1739</v>
      </c>
      <c r="BG665" s="30" t="s">
        <v>1880</v>
      </c>
      <c r="BH665" s="30" t="s">
        <v>1054</v>
      </c>
      <c r="BI665" s="30" t="str">
        <f t="shared" si="454"/>
        <v>COF(Assy_FT)</v>
      </c>
      <c r="BJ665" s="47" t="s">
        <v>137</v>
      </c>
      <c r="BK665" s="56">
        <f t="shared" si="461"/>
        <v>6598557</v>
      </c>
      <c r="BL665" s="57">
        <f t="shared" si="429"/>
        <v>629031.97853995359</v>
      </c>
      <c r="BM665" s="57">
        <f t="shared" si="430"/>
        <v>209677.32617998452</v>
      </c>
      <c r="BU665" s="58">
        <f t="shared" si="463"/>
        <v>629031.97853995359</v>
      </c>
      <c r="BV665" s="58">
        <f t="shared" si="459"/>
        <v>629031.97853995359</v>
      </c>
      <c r="BW665" s="58">
        <f t="shared" si="439"/>
        <v>1258063.9570799072</v>
      </c>
      <c r="BX665" s="58">
        <f t="shared" si="432"/>
        <v>629031.97853995359</v>
      </c>
      <c r="BY665" s="58">
        <f t="shared" si="433"/>
        <v>629031.97853995359</v>
      </c>
      <c r="BZ665" s="58">
        <f t="shared" si="464"/>
        <v>629031.97853995359</v>
      </c>
      <c r="CA665" s="58">
        <f t="shared" si="433"/>
        <v>629031.97853995359</v>
      </c>
      <c r="CB665" s="58">
        <f t="shared" si="455"/>
        <v>2516127.9141598144</v>
      </c>
      <c r="CC665" s="58">
        <f t="shared" si="456"/>
        <v>629031.97853995359</v>
      </c>
      <c r="CD665" s="58">
        <f t="shared" si="462"/>
        <v>629031.97853995359</v>
      </c>
      <c r="CE665" s="58">
        <f t="shared" si="462"/>
        <v>629031.97853995359</v>
      </c>
      <c r="CF665" s="58">
        <f t="shared" si="462"/>
        <v>629031.97853995359</v>
      </c>
      <c r="CG665" s="58">
        <f t="shared" si="457"/>
        <v>2516127.9141598144</v>
      </c>
      <c r="CH665" s="58">
        <f t="shared" si="434"/>
        <v>629031.97853995359</v>
      </c>
      <c r="CI665" s="58">
        <f t="shared" si="449"/>
        <v>629031.97853995359</v>
      </c>
      <c r="CJ665" s="58">
        <f t="shared" si="449"/>
        <v>629031.97853995359</v>
      </c>
      <c r="CK665" s="58">
        <f t="shared" si="449"/>
        <v>629031.97853995359</v>
      </c>
      <c r="CL665" s="58">
        <f t="shared" si="435"/>
        <v>2516127.9141598144</v>
      </c>
      <c r="CN665" s="59">
        <f t="shared" si="465"/>
        <v>6.4430791967992932E-4</v>
      </c>
      <c r="CO665" s="64">
        <f t="shared" si="466"/>
        <v>13530466.313278515</v>
      </c>
      <c r="CP665" s="2">
        <f t="shared" si="458"/>
        <v>20129023.313278515</v>
      </c>
    </row>
    <row r="666" spans="1:94" ht="16.5" hidden="1" x14ac:dyDescent="0.3">
      <c r="A666" s="2">
        <v>661</v>
      </c>
      <c r="B666" s="47" t="s">
        <v>21</v>
      </c>
      <c r="C666" s="47"/>
      <c r="D666" s="30" t="s">
        <v>1725</v>
      </c>
      <c r="E666" s="30" t="s">
        <v>1042</v>
      </c>
      <c r="F666" s="30" t="s">
        <v>1043</v>
      </c>
      <c r="G666" s="30" t="s">
        <v>117</v>
      </c>
      <c r="H666" s="30"/>
      <c r="I666" s="30" t="s">
        <v>119</v>
      </c>
      <c r="J666" s="30" t="s">
        <v>1871</v>
      </c>
      <c r="K666" s="30" t="s">
        <v>1872</v>
      </c>
      <c r="L666" s="30" t="s">
        <v>1873</v>
      </c>
      <c r="M666" s="30">
        <v>1000561</v>
      </c>
      <c r="N666" s="30" t="s">
        <v>138</v>
      </c>
      <c r="O666" s="30" t="s">
        <v>1996</v>
      </c>
      <c r="P666" s="30" t="s">
        <v>1974</v>
      </c>
      <c r="Q666" s="30" t="s">
        <v>1974</v>
      </c>
      <c r="R666" s="30" t="s">
        <v>1876</v>
      </c>
      <c r="S666" s="30"/>
      <c r="T666" s="30" t="s">
        <v>1752</v>
      </c>
      <c r="U666" s="30" t="s">
        <v>588</v>
      </c>
      <c r="V666" s="30" t="s">
        <v>589</v>
      </c>
      <c r="W666" s="30" t="s">
        <v>1997</v>
      </c>
      <c r="X666" s="89" t="s">
        <v>1757</v>
      </c>
      <c r="Y666" s="30" t="s">
        <v>457</v>
      </c>
      <c r="Z666" s="30" t="s">
        <v>457</v>
      </c>
      <c r="AA666" s="92" t="s">
        <v>891</v>
      </c>
      <c r="AB666" s="30" t="s">
        <v>1878</v>
      </c>
      <c r="AC666" s="30"/>
      <c r="AD666" s="30"/>
      <c r="AE666" s="30"/>
      <c r="AF666" s="30" t="s">
        <v>179</v>
      </c>
      <c r="AG666" s="30" t="s">
        <v>152</v>
      </c>
      <c r="AH666" s="132" t="s">
        <v>1879</v>
      </c>
      <c r="AI666" s="30"/>
      <c r="AJ666" s="30"/>
      <c r="AK666" s="50">
        <v>38837</v>
      </c>
      <c r="AL666" s="51">
        <f t="shared" si="460"/>
        <v>19.517808219178082</v>
      </c>
      <c r="AM666" s="30">
        <v>8</v>
      </c>
      <c r="AN666" s="30"/>
      <c r="AO666" s="30" t="s">
        <v>1050</v>
      </c>
      <c r="AP666" s="30" t="s">
        <v>1051</v>
      </c>
      <c r="AQ666" s="30">
        <v>1.5</v>
      </c>
      <c r="AR666" s="30">
        <v>1760</v>
      </c>
      <c r="AS666" s="30">
        <v>1400</v>
      </c>
      <c r="AT666" s="30">
        <v>2100</v>
      </c>
      <c r="AU666" s="54">
        <v>128705833</v>
      </c>
      <c r="AV666" s="54"/>
      <c r="AW666" s="54"/>
      <c r="AX666" s="54"/>
      <c r="AY666" s="54">
        <v>128704833</v>
      </c>
      <c r="AZ666" s="54">
        <v>0</v>
      </c>
      <c r="BA666" s="54">
        <v>1000</v>
      </c>
      <c r="BB666" s="55">
        <f>VLOOKUP(M666,[1]Sheet1!$E$6:$F$556,2,FALSE)</f>
        <v>1000</v>
      </c>
      <c r="BC666" s="74"/>
      <c r="BD666" s="74"/>
      <c r="BE666" s="30"/>
      <c r="BF666" s="30" t="s">
        <v>1745</v>
      </c>
      <c r="BG666" s="30" t="s">
        <v>1880</v>
      </c>
      <c r="BH666" s="30" t="s">
        <v>1054</v>
      </c>
      <c r="BI666" s="30" t="str">
        <f t="shared" si="454"/>
        <v>COF(Assy_FT)</v>
      </c>
      <c r="BJ666" s="47" t="s">
        <v>137</v>
      </c>
      <c r="BK666" s="56">
        <f t="shared" si="461"/>
        <v>2574116.66</v>
      </c>
      <c r="BL666" s="57">
        <f t="shared" si="429"/>
        <v>245387.24082135796</v>
      </c>
      <c r="BM666" s="57">
        <f t="shared" si="430"/>
        <v>81795.746940452649</v>
      </c>
      <c r="BU666" s="58">
        <f t="shared" si="463"/>
        <v>245387.24082135793</v>
      </c>
      <c r="BV666" s="58">
        <f t="shared" si="459"/>
        <v>245387.24082135793</v>
      </c>
      <c r="BW666" s="58">
        <f t="shared" si="439"/>
        <v>490774.48164271587</v>
      </c>
      <c r="BX666" s="58">
        <f t="shared" si="432"/>
        <v>245387.24082135793</v>
      </c>
      <c r="BY666" s="58">
        <f t="shared" si="433"/>
        <v>245387.24082135793</v>
      </c>
      <c r="BZ666" s="58">
        <f t="shared" si="464"/>
        <v>245387.24082135793</v>
      </c>
      <c r="CA666" s="58">
        <f t="shared" si="433"/>
        <v>245387.24082135793</v>
      </c>
      <c r="CB666" s="58">
        <f t="shared" si="455"/>
        <v>981548.96328543173</v>
      </c>
      <c r="CC666" s="58">
        <f t="shared" si="456"/>
        <v>245387.24082135793</v>
      </c>
      <c r="CD666" s="58">
        <f t="shared" si="462"/>
        <v>245387.24082135793</v>
      </c>
      <c r="CE666" s="58">
        <f t="shared" si="462"/>
        <v>245387.24082135793</v>
      </c>
      <c r="CF666" s="58">
        <f t="shared" si="462"/>
        <v>245387.24082135793</v>
      </c>
      <c r="CG666" s="58">
        <f t="shared" si="457"/>
        <v>981548.96328543173</v>
      </c>
      <c r="CH666" s="58">
        <f t="shared" si="434"/>
        <v>245387.24082135793</v>
      </c>
      <c r="CI666" s="58">
        <f t="shared" si="449"/>
        <v>245387.24082135793</v>
      </c>
      <c r="CJ666" s="58">
        <f t="shared" si="449"/>
        <v>245387.24082135793</v>
      </c>
      <c r="CK666" s="58">
        <f t="shared" si="449"/>
        <v>245387.24082135793</v>
      </c>
      <c r="CL666" s="58">
        <f t="shared" si="435"/>
        <v>981548.96328543173</v>
      </c>
      <c r="CN666" s="59">
        <f t="shared" si="465"/>
        <v>2.513464307754026E-4</v>
      </c>
      <c r="CO666" s="64">
        <f t="shared" si="466"/>
        <v>5278275.0462834546</v>
      </c>
      <c r="CP666" s="2">
        <f t="shared" si="458"/>
        <v>7852391.7062834548</v>
      </c>
    </row>
    <row r="667" spans="1:94" ht="15" hidden="1" x14ac:dyDescent="0.3">
      <c r="A667" s="29">
        <v>662</v>
      </c>
      <c r="B667" s="30" t="s">
        <v>21</v>
      </c>
      <c r="C667" s="30"/>
      <c r="D667" s="30" t="s">
        <v>1725</v>
      </c>
      <c r="E667" s="30" t="s">
        <v>1042</v>
      </c>
      <c r="F667" s="30" t="s">
        <v>1043</v>
      </c>
      <c r="G667" s="30" t="s">
        <v>117</v>
      </c>
      <c r="H667" s="30"/>
      <c r="I667" s="30" t="s">
        <v>119</v>
      </c>
      <c r="J667" s="30" t="s">
        <v>1871</v>
      </c>
      <c r="K667" s="30" t="s">
        <v>1872</v>
      </c>
      <c r="L667" s="30" t="s">
        <v>1873</v>
      </c>
      <c r="M667" s="30">
        <v>1005264</v>
      </c>
      <c r="N667" s="30" t="s">
        <v>138</v>
      </c>
      <c r="O667" s="30" t="s">
        <v>1998</v>
      </c>
      <c r="P667" s="30" t="s">
        <v>1956</v>
      </c>
      <c r="Q667" s="30" t="s">
        <v>1956</v>
      </c>
      <c r="R667" s="30" t="s">
        <v>1876</v>
      </c>
      <c r="S667" s="30">
        <v>65</v>
      </c>
      <c r="T667" s="30" t="s">
        <v>1780</v>
      </c>
      <c r="U667" s="30" t="s">
        <v>588</v>
      </c>
      <c r="V667" s="30" t="s">
        <v>403</v>
      </c>
      <c r="W667" s="30" t="s">
        <v>1877</v>
      </c>
      <c r="X667" s="89"/>
      <c r="Y667" s="30" t="s">
        <v>457</v>
      </c>
      <c r="Z667" s="30" t="s">
        <v>457</v>
      </c>
      <c r="AA667" s="92" t="s">
        <v>891</v>
      </c>
      <c r="AB667" s="30" t="s">
        <v>1878</v>
      </c>
      <c r="AC667" s="30"/>
      <c r="AD667" s="30"/>
      <c r="AE667" s="30"/>
      <c r="AF667" s="30" t="s">
        <v>179</v>
      </c>
      <c r="AG667" s="30" t="s">
        <v>152</v>
      </c>
      <c r="AH667" s="132" t="s">
        <v>1879</v>
      </c>
      <c r="AI667" s="30"/>
      <c r="AJ667" s="30"/>
      <c r="AK667" s="50">
        <v>43095</v>
      </c>
      <c r="AL667" s="51">
        <f t="shared" si="460"/>
        <v>7.8520547945205479</v>
      </c>
      <c r="AM667" s="30">
        <v>8</v>
      </c>
      <c r="AN667" s="30"/>
      <c r="AO667" s="30" t="s">
        <v>1050</v>
      </c>
      <c r="AP667" s="30" t="s">
        <v>1187</v>
      </c>
      <c r="AQ667" s="30">
        <v>1.5</v>
      </c>
      <c r="AR667" s="30">
        <v>1720</v>
      </c>
      <c r="AS667" s="30">
        <v>1550</v>
      </c>
      <c r="AT667" s="30">
        <v>2300</v>
      </c>
      <c r="AU667" s="74">
        <v>218106520</v>
      </c>
      <c r="AV667" s="54"/>
      <c r="AW667" s="54"/>
      <c r="AX667" s="54"/>
      <c r="AY667" s="54">
        <v>207571447</v>
      </c>
      <c r="AZ667" s="54">
        <v>2247833</v>
      </c>
      <c r="BA667" s="74">
        <v>3791574</v>
      </c>
      <c r="BB667" s="55">
        <f>VLOOKUP(M667,[1]Sheet1!$E$6:$F$556,2,FALSE)</f>
        <v>1000</v>
      </c>
      <c r="BC667" s="74"/>
      <c r="BD667" s="74"/>
      <c r="BE667" s="30"/>
      <c r="BF667" s="30" t="s">
        <v>1739</v>
      </c>
      <c r="BG667" s="30" t="s">
        <v>1880</v>
      </c>
      <c r="BH667" s="30" t="s">
        <v>1054</v>
      </c>
      <c r="BI667" s="30" t="str">
        <f t="shared" si="454"/>
        <v>COF(Assy_FT)</v>
      </c>
      <c r="BJ667" s="30" t="s">
        <v>250</v>
      </c>
      <c r="BK667" s="56">
        <f t="shared" si="461"/>
        <v>3981152.7</v>
      </c>
      <c r="BL667" s="57">
        <f t="shared" si="429"/>
        <v>124411.02187500001</v>
      </c>
      <c r="BM667" s="57">
        <f t="shared" si="430"/>
        <v>41470.340625000004</v>
      </c>
      <c r="BU667" s="58">
        <f t="shared" si="463"/>
        <v>124411.02187500001</v>
      </c>
      <c r="BV667" s="58">
        <f t="shared" ref="BT667:BV702" si="467">BU667</f>
        <v>124411.02187500001</v>
      </c>
      <c r="BW667" s="58">
        <f t="shared" si="439"/>
        <v>248822.04375000001</v>
      </c>
      <c r="BX667" s="58">
        <f t="shared" si="432"/>
        <v>124411.02187500001</v>
      </c>
      <c r="BY667" s="58">
        <f t="shared" si="433"/>
        <v>124411.02187500001</v>
      </c>
      <c r="BZ667" s="58">
        <f t="shared" si="464"/>
        <v>124411.02187500001</v>
      </c>
      <c r="CA667" s="58">
        <f t="shared" si="433"/>
        <v>124411.02187500001</v>
      </c>
      <c r="CB667" s="58">
        <f t="shared" si="455"/>
        <v>497644.08750000002</v>
      </c>
      <c r="CC667" s="58">
        <f t="shared" si="456"/>
        <v>124411.02187500001</v>
      </c>
      <c r="CD667" s="58">
        <f t="shared" si="462"/>
        <v>124411.02187500001</v>
      </c>
      <c r="CE667" s="58">
        <f t="shared" si="462"/>
        <v>124411.02187500001</v>
      </c>
      <c r="CF667" s="58">
        <f t="shared" si="462"/>
        <v>124411.02187500001</v>
      </c>
      <c r="CG667" s="58">
        <f t="shared" si="457"/>
        <v>497644.08750000002</v>
      </c>
      <c r="CH667" s="58">
        <f t="shared" si="434"/>
        <v>124411.02187500001</v>
      </c>
      <c r="CI667" s="58">
        <f t="shared" si="449"/>
        <v>124411.02187500001</v>
      </c>
      <c r="CJ667" s="58">
        <f t="shared" si="449"/>
        <v>124411.02187500001</v>
      </c>
      <c r="CK667" s="58">
        <f t="shared" si="449"/>
        <v>124411.02187500001</v>
      </c>
      <c r="CL667" s="58">
        <f t="shared" si="435"/>
        <v>497644.08750000002</v>
      </c>
      <c r="CP667" s="2">
        <f t="shared" si="458"/>
        <v>3981152.7</v>
      </c>
    </row>
    <row r="668" spans="1:94" ht="15" hidden="1" x14ac:dyDescent="0.3">
      <c r="A668" s="29">
        <v>663</v>
      </c>
      <c r="B668" s="30" t="s">
        <v>21</v>
      </c>
      <c r="C668" s="30"/>
      <c r="D668" s="30" t="s">
        <v>1725</v>
      </c>
      <c r="E668" s="30" t="s">
        <v>1042</v>
      </c>
      <c r="F668" s="30" t="s">
        <v>1043</v>
      </c>
      <c r="G668" s="30" t="s">
        <v>117</v>
      </c>
      <c r="H668" s="30"/>
      <c r="I668" s="30" t="s">
        <v>119</v>
      </c>
      <c r="J668" s="30" t="s">
        <v>1871</v>
      </c>
      <c r="K668" s="30" t="s">
        <v>1872</v>
      </c>
      <c r="L668" s="30" t="s">
        <v>1873</v>
      </c>
      <c r="M668" s="30">
        <v>1005265</v>
      </c>
      <c r="N668" s="30" t="s">
        <v>138</v>
      </c>
      <c r="O668" s="30" t="s">
        <v>1999</v>
      </c>
      <c r="P668" s="30" t="s">
        <v>1956</v>
      </c>
      <c r="Q668" s="30" t="s">
        <v>1956</v>
      </c>
      <c r="R668" s="30" t="s">
        <v>1876</v>
      </c>
      <c r="S668" s="30"/>
      <c r="T668" s="30" t="s">
        <v>1780</v>
      </c>
      <c r="U668" s="30" t="s">
        <v>588</v>
      </c>
      <c r="V668" s="30" t="s">
        <v>403</v>
      </c>
      <c r="W668" s="30" t="s">
        <v>1877</v>
      </c>
      <c r="X668" s="89"/>
      <c r="Y668" s="30" t="s">
        <v>457</v>
      </c>
      <c r="Z668" s="30" t="s">
        <v>457</v>
      </c>
      <c r="AA668" s="92" t="s">
        <v>891</v>
      </c>
      <c r="AB668" s="30" t="s">
        <v>1878</v>
      </c>
      <c r="AC668" s="30"/>
      <c r="AD668" s="30"/>
      <c r="AE668" s="30"/>
      <c r="AF668" s="30" t="s">
        <v>179</v>
      </c>
      <c r="AG668" s="30" t="s">
        <v>152</v>
      </c>
      <c r="AH668" s="132" t="s">
        <v>1879</v>
      </c>
      <c r="AI668" s="30"/>
      <c r="AJ668" s="30"/>
      <c r="AK668" s="50">
        <v>43095</v>
      </c>
      <c r="AL668" s="51">
        <f t="shared" si="460"/>
        <v>7.8520547945205479</v>
      </c>
      <c r="AM668" s="30">
        <v>8</v>
      </c>
      <c r="AN668" s="30"/>
      <c r="AO668" s="30" t="s">
        <v>1050</v>
      </c>
      <c r="AP668" s="30" t="s">
        <v>1187</v>
      </c>
      <c r="AQ668" s="30">
        <v>1.5</v>
      </c>
      <c r="AR668" s="30">
        <v>1720</v>
      </c>
      <c r="AS668" s="30">
        <v>1550</v>
      </c>
      <c r="AT668" s="30">
        <v>2300</v>
      </c>
      <c r="AU668" s="74">
        <v>218106520</v>
      </c>
      <c r="AV668" s="54"/>
      <c r="AW668" s="54"/>
      <c r="AX668" s="54"/>
      <c r="AY668" s="54">
        <v>207571447</v>
      </c>
      <c r="AZ668" s="54">
        <v>2247833</v>
      </c>
      <c r="BA668" s="74">
        <v>3791574</v>
      </c>
      <c r="BB668" s="55">
        <f>VLOOKUP(M668,[1]Sheet1!$E$6:$F$556,2,FALSE)</f>
        <v>1000</v>
      </c>
      <c r="BC668" s="74"/>
      <c r="BD668" s="74"/>
      <c r="BE668" s="30"/>
      <c r="BF668" s="30" t="s">
        <v>1739</v>
      </c>
      <c r="BG668" s="30" t="s">
        <v>1880</v>
      </c>
      <c r="BH668" s="30" t="s">
        <v>1054</v>
      </c>
      <c r="BI668" s="30" t="str">
        <f t="shared" si="454"/>
        <v>COF(Assy_FT)</v>
      </c>
      <c r="BJ668" s="30" t="s">
        <v>250</v>
      </c>
      <c r="BK668" s="56">
        <f t="shared" si="461"/>
        <v>3981152.7</v>
      </c>
      <c r="BL668" s="57">
        <f t="shared" si="429"/>
        <v>124411.02187500001</v>
      </c>
      <c r="BM668" s="57">
        <f t="shared" si="430"/>
        <v>41470.340625000004</v>
      </c>
      <c r="BU668" s="58">
        <f t="shared" si="463"/>
        <v>124411.02187500001</v>
      </c>
      <c r="BV668" s="58">
        <f t="shared" si="467"/>
        <v>124411.02187500001</v>
      </c>
      <c r="BW668" s="58">
        <f t="shared" si="439"/>
        <v>248822.04375000001</v>
      </c>
      <c r="BX668" s="58">
        <f t="shared" si="432"/>
        <v>124411.02187500001</v>
      </c>
      <c r="BY668" s="58">
        <f t="shared" si="433"/>
        <v>124411.02187500001</v>
      </c>
      <c r="BZ668" s="58">
        <f t="shared" si="464"/>
        <v>124411.02187500001</v>
      </c>
      <c r="CA668" s="58">
        <f t="shared" si="433"/>
        <v>124411.02187500001</v>
      </c>
      <c r="CB668" s="58">
        <f t="shared" si="455"/>
        <v>497644.08750000002</v>
      </c>
      <c r="CC668" s="58">
        <f t="shared" si="456"/>
        <v>124411.02187500001</v>
      </c>
      <c r="CD668" s="58">
        <f t="shared" si="462"/>
        <v>124411.02187500001</v>
      </c>
      <c r="CE668" s="58">
        <f t="shared" si="462"/>
        <v>124411.02187500001</v>
      </c>
      <c r="CF668" s="58">
        <f t="shared" si="462"/>
        <v>124411.02187500001</v>
      </c>
      <c r="CG668" s="58">
        <f t="shared" si="457"/>
        <v>497644.08750000002</v>
      </c>
      <c r="CH668" s="58">
        <f t="shared" si="434"/>
        <v>124411.02187500001</v>
      </c>
      <c r="CI668" s="58">
        <f t="shared" si="449"/>
        <v>124411.02187500001</v>
      </c>
      <c r="CJ668" s="58">
        <f t="shared" si="449"/>
        <v>124411.02187500001</v>
      </c>
      <c r="CK668" s="58">
        <f t="shared" si="449"/>
        <v>124411.02187500001</v>
      </c>
      <c r="CL668" s="58">
        <f t="shared" si="435"/>
        <v>497644.08750000002</v>
      </c>
      <c r="CP668" s="2">
        <f t="shared" si="458"/>
        <v>3981152.7</v>
      </c>
    </row>
    <row r="669" spans="1:94" ht="16.5" hidden="1" x14ac:dyDescent="0.3">
      <c r="A669" s="2">
        <v>664</v>
      </c>
      <c r="B669" s="47" t="s">
        <v>21</v>
      </c>
      <c r="C669" s="47"/>
      <c r="D669" s="30" t="s">
        <v>1725</v>
      </c>
      <c r="E669" s="30" t="s">
        <v>1042</v>
      </c>
      <c r="F669" s="30" t="s">
        <v>1043</v>
      </c>
      <c r="G669" s="30" t="s">
        <v>117</v>
      </c>
      <c r="H669" s="30"/>
      <c r="I669" s="30" t="s">
        <v>119</v>
      </c>
      <c r="J669" s="30" t="s">
        <v>1871</v>
      </c>
      <c r="K669" s="30" t="s">
        <v>1872</v>
      </c>
      <c r="L669" s="30" t="s">
        <v>1873</v>
      </c>
      <c r="M669" s="30">
        <v>1005285</v>
      </c>
      <c r="N669" s="30" t="s">
        <v>138</v>
      </c>
      <c r="O669" s="30" t="s">
        <v>2000</v>
      </c>
      <c r="P669" s="30" t="s">
        <v>2001</v>
      </c>
      <c r="Q669" s="30" t="s">
        <v>2001</v>
      </c>
      <c r="R669" s="30" t="s">
        <v>1876</v>
      </c>
      <c r="S669" s="30">
        <v>67</v>
      </c>
      <c r="T669" s="30" t="s">
        <v>1752</v>
      </c>
      <c r="U669" s="30" t="s">
        <v>588</v>
      </c>
      <c r="V669" s="30" t="s">
        <v>403</v>
      </c>
      <c r="W669" s="30" t="s">
        <v>1877</v>
      </c>
      <c r="X669" s="89" t="s">
        <v>1757</v>
      </c>
      <c r="Y669" s="30" t="s">
        <v>457</v>
      </c>
      <c r="Z669" s="30" t="s">
        <v>457</v>
      </c>
      <c r="AA669" s="92" t="s">
        <v>891</v>
      </c>
      <c r="AB669" s="30" t="s">
        <v>1878</v>
      </c>
      <c r="AC669" s="30"/>
      <c r="AD669" s="30"/>
      <c r="AE669" s="30"/>
      <c r="AF669" s="30" t="s">
        <v>179</v>
      </c>
      <c r="AG669" s="30" t="s">
        <v>152</v>
      </c>
      <c r="AH669" s="132" t="s">
        <v>1879</v>
      </c>
      <c r="AI669" s="30"/>
      <c r="AJ669" s="30"/>
      <c r="AK669" s="50">
        <v>43088</v>
      </c>
      <c r="AL669" s="51">
        <f t="shared" si="460"/>
        <v>7.8712328767123285</v>
      </c>
      <c r="AM669" s="30">
        <v>8</v>
      </c>
      <c r="AN669" s="30"/>
      <c r="AO669" s="30" t="s">
        <v>1050</v>
      </c>
      <c r="AP669" s="30" t="s">
        <v>1187</v>
      </c>
      <c r="AQ669" s="30">
        <v>1.5</v>
      </c>
      <c r="AR669" s="30">
        <v>1630</v>
      </c>
      <c r="AS669" s="30">
        <v>1380</v>
      </c>
      <c r="AT669" s="30">
        <v>2080</v>
      </c>
      <c r="AU669" s="54">
        <v>164120000</v>
      </c>
      <c r="AV669" s="54"/>
      <c r="AW669" s="54"/>
      <c r="AX669" s="54"/>
      <c r="AY669" s="54">
        <v>157502219</v>
      </c>
      <c r="AZ669" s="54">
        <v>1654435</v>
      </c>
      <c r="BA669" s="54">
        <v>1654476</v>
      </c>
      <c r="BB669" s="55">
        <f>VLOOKUP(M669,[1]Sheet1!$E$6:$F$556,2,FALSE)</f>
        <v>1000</v>
      </c>
      <c r="BC669" s="74"/>
      <c r="BD669" s="74"/>
      <c r="BE669" s="30"/>
      <c r="BF669" s="30" t="s">
        <v>1739</v>
      </c>
      <c r="BG669" s="30" t="s">
        <v>1880</v>
      </c>
      <c r="BH669" s="30" t="s">
        <v>1054</v>
      </c>
      <c r="BI669" s="30" t="str">
        <f t="shared" si="454"/>
        <v>COF(Assy_FT)</v>
      </c>
      <c r="BJ669" s="47" t="s">
        <v>137</v>
      </c>
      <c r="BK669" s="56">
        <f t="shared" si="461"/>
        <v>1737199.8</v>
      </c>
      <c r="BL669" s="57">
        <f t="shared" si="429"/>
        <v>165605.02960165561</v>
      </c>
      <c r="BM669" s="57">
        <f t="shared" si="430"/>
        <v>55201.676533885206</v>
      </c>
      <c r="BU669" s="58">
        <f t="shared" si="463"/>
        <v>165605.02960165561</v>
      </c>
      <c r="BV669" s="58">
        <f t="shared" si="467"/>
        <v>165605.02960165561</v>
      </c>
      <c r="BW669" s="58">
        <f t="shared" si="439"/>
        <v>331210.05920331122</v>
      </c>
      <c r="BX669" s="58">
        <f t="shared" si="432"/>
        <v>165605.02960165561</v>
      </c>
      <c r="BY669" s="58">
        <f t="shared" si="433"/>
        <v>165605.02960165561</v>
      </c>
      <c r="BZ669" s="58">
        <f t="shared" si="464"/>
        <v>165605.02960165561</v>
      </c>
      <c r="CA669" s="58">
        <f t="shared" si="433"/>
        <v>165605.02960165561</v>
      </c>
      <c r="CB669" s="58">
        <f t="shared" si="455"/>
        <v>662420.11840662244</v>
      </c>
      <c r="CC669" s="58">
        <f t="shared" si="456"/>
        <v>165605.02960165561</v>
      </c>
      <c r="CD669" s="58">
        <f t="shared" si="462"/>
        <v>165605.02960165561</v>
      </c>
      <c r="CE669" s="58">
        <f t="shared" si="462"/>
        <v>165605.02960165561</v>
      </c>
      <c r="CF669" s="58">
        <f t="shared" si="462"/>
        <v>165605.02960165561</v>
      </c>
      <c r="CG669" s="58">
        <f t="shared" si="457"/>
        <v>662420.11840662244</v>
      </c>
      <c r="CH669" s="58">
        <f t="shared" si="434"/>
        <v>165605.02960165561</v>
      </c>
      <c r="CI669" s="58">
        <f t="shared" si="449"/>
        <v>165605.02960165561</v>
      </c>
      <c r="CJ669" s="58">
        <f t="shared" si="449"/>
        <v>165605.02960165561</v>
      </c>
      <c r="CK669" s="58">
        <f t="shared" si="449"/>
        <v>165605.02960165561</v>
      </c>
      <c r="CL669" s="58">
        <f t="shared" si="435"/>
        <v>662420.11840662244</v>
      </c>
      <c r="CN669" s="59">
        <f>BK669/$CN$3</f>
        <v>1.6962672129776092E-4</v>
      </c>
      <c r="CO669" s="64">
        <f>CN669*$CO$4</f>
        <v>3562161.1472529792</v>
      </c>
      <c r="CP669" s="2">
        <f t="shared" si="458"/>
        <v>5299360.9472529795</v>
      </c>
    </row>
    <row r="670" spans="1:94" ht="15" hidden="1" x14ac:dyDescent="0.3">
      <c r="A670" s="29">
        <v>665</v>
      </c>
      <c r="B670" s="30" t="s">
        <v>21</v>
      </c>
      <c r="C670" s="30"/>
      <c r="D670" s="30" t="s">
        <v>1725</v>
      </c>
      <c r="E670" s="30" t="s">
        <v>1042</v>
      </c>
      <c r="F670" s="30" t="s">
        <v>1043</v>
      </c>
      <c r="G670" s="30" t="s">
        <v>117</v>
      </c>
      <c r="H670" s="30"/>
      <c r="I670" s="30" t="s">
        <v>119</v>
      </c>
      <c r="J670" s="30" t="s">
        <v>1871</v>
      </c>
      <c r="K670" s="30" t="s">
        <v>1872</v>
      </c>
      <c r="L670" s="30" t="s">
        <v>1873</v>
      </c>
      <c r="M670" s="30">
        <v>1005323</v>
      </c>
      <c r="N670" s="30" t="s">
        <v>138</v>
      </c>
      <c r="O670" s="30" t="s">
        <v>2002</v>
      </c>
      <c r="P670" s="30" t="s">
        <v>1956</v>
      </c>
      <c r="Q670" s="30" t="s">
        <v>1956</v>
      </c>
      <c r="R670" s="30" t="s">
        <v>1876</v>
      </c>
      <c r="S670" s="30"/>
      <c r="T670" s="30" t="s">
        <v>1780</v>
      </c>
      <c r="U670" s="30" t="s">
        <v>588</v>
      </c>
      <c r="V670" s="30" t="s">
        <v>403</v>
      </c>
      <c r="W670" s="30" t="s">
        <v>1877</v>
      </c>
      <c r="X670" s="89"/>
      <c r="Y670" s="30" t="s">
        <v>457</v>
      </c>
      <c r="Z670" s="30" t="s">
        <v>457</v>
      </c>
      <c r="AA670" s="92" t="s">
        <v>891</v>
      </c>
      <c r="AB670" s="30" t="s">
        <v>1878</v>
      </c>
      <c r="AC670" s="30"/>
      <c r="AD670" s="30"/>
      <c r="AE670" s="30"/>
      <c r="AF670" s="30" t="s">
        <v>179</v>
      </c>
      <c r="AG670" s="30" t="s">
        <v>152</v>
      </c>
      <c r="AH670" s="132" t="s">
        <v>1879</v>
      </c>
      <c r="AI670" s="30"/>
      <c r="AJ670" s="30"/>
      <c r="AK670" s="50">
        <v>43150</v>
      </c>
      <c r="AL670" s="51">
        <f t="shared" si="460"/>
        <v>7.7013698630136984</v>
      </c>
      <c r="AM670" s="30">
        <v>8</v>
      </c>
      <c r="AN670" s="30"/>
      <c r="AO670" s="30" t="s">
        <v>1050</v>
      </c>
      <c r="AP670" s="30" t="s">
        <v>1187</v>
      </c>
      <c r="AQ670" s="30">
        <v>1.5</v>
      </c>
      <c r="AR670" s="30">
        <v>1720</v>
      </c>
      <c r="AS670" s="30">
        <v>1550</v>
      </c>
      <c r="AT670" s="30">
        <v>2300</v>
      </c>
      <c r="AU670" s="74">
        <v>218750000</v>
      </c>
      <c r="AV670" s="54"/>
      <c r="AW670" s="54"/>
      <c r="AX670" s="54"/>
      <c r="AY670" s="54">
        <v>203641096</v>
      </c>
      <c r="AZ670" s="54">
        <v>2270755</v>
      </c>
      <c r="BA670" s="74">
        <v>8296639</v>
      </c>
      <c r="BB670" s="55">
        <f>VLOOKUP(M670,[1]Sheet1!$E$6:$F$556,2,FALSE)</f>
        <v>1000</v>
      </c>
      <c r="BC670" s="74"/>
      <c r="BD670" s="74"/>
      <c r="BE670" s="30"/>
      <c r="BF670" s="30" t="s">
        <v>1739</v>
      </c>
      <c r="BG670" s="30" t="s">
        <v>1880</v>
      </c>
      <c r="BH670" s="30" t="s">
        <v>1054</v>
      </c>
      <c r="BI670" s="30" t="str">
        <f t="shared" si="454"/>
        <v>COF(Assy_FT)</v>
      </c>
      <c r="BJ670" s="30" t="s">
        <v>250</v>
      </c>
      <c r="BK670" s="56">
        <f t="shared" si="461"/>
        <v>8711470.9500000011</v>
      </c>
      <c r="BL670" s="57">
        <f t="shared" si="429"/>
        <v>272233.46718750003</v>
      </c>
      <c r="BM670" s="57">
        <f t="shared" si="430"/>
        <v>90744.489062500012</v>
      </c>
      <c r="BU670" s="58">
        <f t="shared" si="463"/>
        <v>272233.46718750003</v>
      </c>
      <c r="BV670" s="58">
        <f t="shared" si="467"/>
        <v>272233.46718750003</v>
      </c>
      <c r="BW670" s="58">
        <f t="shared" si="439"/>
        <v>544466.93437500007</v>
      </c>
      <c r="BX670" s="58">
        <f t="shared" si="432"/>
        <v>272233.46718750003</v>
      </c>
      <c r="BY670" s="58">
        <f t="shared" si="433"/>
        <v>272233.46718750003</v>
      </c>
      <c r="BZ670" s="58">
        <f t="shared" si="464"/>
        <v>272233.46718750003</v>
      </c>
      <c r="CA670" s="58">
        <f t="shared" si="433"/>
        <v>272233.46718750003</v>
      </c>
      <c r="CB670" s="58">
        <f t="shared" si="455"/>
        <v>1088933.8687500001</v>
      </c>
      <c r="CC670" s="58">
        <f t="shared" si="456"/>
        <v>272233.46718750003</v>
      </c>
      <c r="CD670" s="58">
        <f t="shared" si="462"/>
        <v>272233.46718750003</v>
      </c>
      <c r="CE670" s="58">
        <f t="shared" si="462"/>
        <v>272233.46718750003</v>
      </c>
      <c r="CF670" s="58">
        <f t="shared" si="462"/>
        <v>272233.46718750003</v>
      </c>
      <c r="CG670" s="58">
        <f t="shared" si="457"/>
        <v>1088933.8687500001</v>
      </c>
      <c r="CH670" s="58">
        <f t="shared" si="434"/>
        <v>272233.46718750003</v>
      </c>
      <c r="CI670" s="58">
        <f t="shared" si="449"/>
        <v>272233.46718750003</v>
      </c>
      <c r="CJ670" s="58">
        <f t="shared" si="449"/>
        <v>272233.46718750003</v>
      </c>
      <c r="CK670" s="58">
        <f t="shared" si="449"/>
        <v>272233.46718750003</v>
      </c>
      <c r="CL670" s="58">
        <f t="shared" si="435"/>
        <v>1088933.8687500001</v>
      </c>
      <c r="CP670" s="2">
        <f t="shared" si="458"/>
        <v>8711470.9500000011</v>
      </c>
    </row>
    <row r="671" spans="1:94" ht="15" hidden="1" x14ac:dyDescent="0.3">
      <c r="A671" s="29">
        <v>666</v>
      </c>
      <c r="B671" s="30" t="s">
        <v>21</v>
      </c>
      <c r="C671" s="30"/>
      <c r="D671" s="30" t="s">
        <v>1725</v>
      </c>
      <c r="E671" s="30" t="s">
        <v>1042</v>
      </c>
      <c r="F671" s="30" t="s">
        <v>1043</v>
      </c>
      <c r="G671" s="30" t="s">
        <v>117</v>
      </c>
      <c r="H671" s="30"/>
      <c r="I671" s="30" t="s">
        <v>119</v>
      </c>
      <c r="J671" s="30" t="s">
        <v>1871</v>
      </c>
      <c r="K671" s="30" t="s">
        <v>1872</v>
      </c>
      <c r="L671" s="30" t="s">
        <v>1873</v>
      </c>
      <c r="M671" s="30">
        <v>1005324</v>
      </c>
      <c r="N671" s="30" t="s">
        <v>138</v>
      </c>
      <c r="O671" s="30" t="s">
        <v>2003</v>
      </c>
      <c r="P671" s="30" t="s">
        <v>1956</v>
      </c>
      <c r="Q671" s="30" t="s">
        <v>1956</v>
      </c>
      <c r="R671" s="30" t="s">
        <v>1876</v>
      </c>
      <c r="S671" s="30"/>
      <c r="T671" s="30" t="s">
        <v>1780</v>
      </c>
      <c r="U671" s="30" t="s">
        <v>588</v>
      </c>
      <c r="V671" s="30" t="s">
        <v>403</v>
      </c>
      <c r="W671" s="30" t="s">
        <v>1877</v>
      </c>
      <c r="X671" s="89"/>
      <c r="Y671" s="30" t="s">
        <v>457</v>
      </c>
      <c r="Z671" s="30" t="s">
        <v>457</v>
      </c>
      <c r="AA671" s="92" t="s">
        <v>891</v>
      </c>
      <c r="AB671" s="30" t="s">
        <v>1878</v>
      </c>
      <c r="AC671" s="30"/>
      <c r="AD671" s="30"/>
      <c r="AE671" s="30"/>
      <c r="AF671" s="30" t="s">
        <v>179</v>
      </c>
      <c r="AG671" s="30" t="s">
        <v>152</v>
      </c>
      <c r="AH671" s="132" t="s">
        <v>1879</v>
      </c>
      <c r="AI671" s="30"/>
      <c r="AJ671" s="30"/>
      <c r="AK671" s="50">
        <v>43150</v>
      </c>
      <c r="AL671" s="51">
        <f t="shared" si="460"/>
        <v>7.7013698630136984</v>
      </c>
      <c r="AM671" s="30">
        <v>8</v>
      </c>
      <c r="AN671" s="30"/>
      <c r="AO671" s="30" t="s">
        <v>1050</v>
      </c>
      <c r="AP671" s="30" t="s">
        <v>1187</v>
      </c>
      <c r="AQ671" s="30">
        <v>1.5</v>
      </c>
      <c r="AR671" s="30">
        <v>1720</v>
      </c>
      <c r="AS671" s="30">
        <v>1550</v>
      </c>
      <c r="AT671" s="30">
        <v>2300</v>
      </c>
      <c r="AU671" s="74">
        <v>218750000</v>
      </c>
      <c r="AV671" s="54"/>
      <c r="AW671" s="54"/>
      <c r="AX671" s="54"/>
      <c r="AY671" s="54">
        <v>203641096</v>
      </c>
      <c r="AZ671" s="54">
        <v>2270755</v>
      </c>
      <c r="BA671" s="74">
        <v>8296639</v>
      </c>
      <c r="BB671" s="55">
        <f>VLOOKUP(M671,[1]Sheet1!$E$6:$F$556,2,FALSE)</f>
        <v>1000</v>
      </c>
      <c r="BC671" s="74"/>
      <c r="BD671" s="74"/>
      <c r="BE671" s="30"/>
      <c r="BF671" s="30" t="s">
        <v>1739</v>
      </c>
      <c r="BG671" s="30" t="s">
        <v>1880</v>
      </c>
      <c r="BH671" s="30" t="s">
        <v>1054</v>
      </c>
      <c r="BI671" s="30" t="str">
        <f t="shared" si="454"/>
        <v>COF(Assy_FT)</v>
      </c>
      <c r="BJ671" s="30" t="s">
        <v>250</v>
      </c>
      <c r="BK671" s="56">
        <f t="shared" si="461"/>
        <v>8711470.9500000011</v>
      </c>
      <c r="BL671" s="57">
        <f t="shared" si="429"/>
        <v>272233.46718750003</v>
      </c>
      <c r="BM671" s="57">
        <f t="shared" si="430"/>
        <v>90744.489062500012</v>
      </c>
      <c r="BU671" s="58">
        <f t="shared" si="463"/>
        <v>272233.46718750003</v>
      </c>
      <c r="BV671" s="58">
        <f t="shared" si="467"/>
        <v>272233.46718750003</v>
      </c>
      <c r="BW671" s="58">
        <f t="shared" si="439"/>
        <v>544466.93437500007</v>
      </c>
      <c r="BX671" s="58">
        <f t="shared" si="432"/>
        <v>272233.46718750003</v>
      </c>
      <c r="BY671" s="58">
        <f t="shared" si="433"/>
        <v>272233.46718750003</v>
      </c>
      <c r="BZ671" s="58">
        <f t="shared" si="464"/>
        <v>272233.46718750003</v>
      </c>
      <c r="CA671" s="58">
        <f t="shared" si="433"/>
        <v>272233.46718750003</v>
      </c>
      <c r="CB671" s="58">
        <f t="shared" si="455"/>
        <v>1088933.8687500001</v>
      </c>
      <c r="CC671" s="58">
        <f t="shared" si="456"/>
        <v>272233.46718750003</v>
      </c>
      <c r="CD671" s="58">
        <f t="shared" si="462"/>
        <v>272233.46718750003</v>
      </c>
      <c r="CE671" s="58">
        <f t="shared" si="462"/>
        <v>272233.46718750003</v>
      </c>
      <c r="CF671" s="58">
        <f t="shared" si="462"/>
        <v>272233.46718750003</v>
      </c>
      <c r="CG671" s="58">
        <f t="shared" si="457"/>
        <v>1088933.8687500001</v>
      </c>
      <c r="CH671" s="58">
        <f t="shared" si="434"/>
        <v>272233.46718750003</v>
      </c>
      <c r="CI671" s="58">
        <f t="shared" si="449"/>
        <v>272233.46718750003</v>
      </c>
      <c r="CJ671" s="58">
        <f t="shared" si="449"/>
        <v>272233.46718750003</v>
      </c>
      <c r="CK671" s="58">
        <f t="shared" si="449"/>
        <v>272233.46718750003</v>
      </c>
      <c r="CL671" s="58">
        <f t="shared" si="435"/>
        <v>1088933.8687500001</v>
      </c>
      <c r="CP671" s="2">
        <f t="shared" si="458"/>
        <v>8711470.9500000011</v>
      </c>
    </row>
    <row r="672" spans="1:94" ht="15" hidden="1" x14ac:dyDescent="0.3">
      <c r="A672" s="29">
        <v>667</v>
      </c>
      <c r="B672" s="30" t="s">
        <v>21</v>
      </c>
      <c r="C672" s="30"/>
      <c r="D672" s="30" t="s">
        <v>1725</v>
      </c>
      <c r="E672" s="30" t="s">
        <v>1042</v>
      </c>
      <c r="F672" s="30" t="s">
        <v>1043</v>
      </c>
      <c r="G672" s="30" t="s">
        <v>117</v>
      </c>
      <c r="H672" s="30"/>
      <c r="I672" s="30" t="s">
        <v>119</v>
      </c>
      <c r="J672" s="30" t="s">
        <v>1871</v>
      </c>
      <c r="K672" s="30" t="s">
        <v>1872</v>
      </c>
      <c r="L672" s="30" t="s">
        <v>1873</v>
      </c>
      <c r="M672" s="30">
        <v>1005325</v>
      </c>
      <c r="N672" s="30" t="s">
        <v>138</v>
      </c>
      <c r="O672" s="30" t="s">
        <v>2004</v>
      </c>
      <c r="P672" s="30" t="s">
        <v>1956</v>
      </c>
      <c r="Q672" s="30" t="s">
        <v>1956</v>
      </c>
      <c r="R672" s="30" t="s">
        <v>1876</v>
      </c>
      <c r="S672" s="30"/>
      <c r="T672" s="30" t="s">
        <v>1780</v>
      </c>
      <c r="U672" s="30" t="s">
        <v>588</v>
      </c>
      <c r="V672" s="30" t="s">
        <v>403</v>
      </c>
      <c r="W672" s="30" t="s">
        <v>1877</v>
      </c>
      <c r="X672" s="89"/>
      <c r="Y672" s="30" t="s">
        <v>457</v>
      </c>
      <c r="Z672" s="30" t="s">
        <v>457</v>
      </c>
      <c r="AA672" s="92" t="s">
        <v>891</v>
      </c>
      <c r="AB672" s="30" t="s">
        <v>1878</v>
      </c>
      <c r="AC672" s="30"/>
      <c r="AD672" s="30"/>
      <c r="AE672" s="30"/>
      <c r="AF672" s="30" t="s">
        <v>179</v>
      </c>
      <c r="AG672" s="30" t="s">
        <v>152</v>
      </c>
      <c r="AH672" s="132" t="s">
        <v>1879</v>
      </c>
      <c r="AI672" s="30"/>
      <c r="AJ672" s="30"/>
      <c r="AK672" s="50">
        <v>43150</v>
      </c>
      <c r="AL672" s="51">
        <f t="shared" si="460"/>
        <v>7.7013698630136984</v>
      </c>
      <c r="AM672" s="30">
        <v>8</v>
      </c>
      <c r="AN672" s="30"/>
      <c r="AO672" s="30" t="s">
        <v>1050</v>
      </c>
      <c r="AP672" s="30" t="s">
        <v>1187</v>
      </c>
      <c r="AQ672" s="30">
        <v>1.5</v>
      </c>
      <c r="AR672" s="30">
        <v>1720</v>
      </c>
      <c r="AS672" s="30">
        <v>1550</v>
      </c>
      <c r="AT672" s="30">
        <v>2300</v>
      </c>
      <c r="AU672" s="74">
        <v>218750000</v>
      </c>
      <c r="AV672" s="54"/>
      <c r="AW672" s="54"/>
      <c r="AX672" s="54"/>
      <c r="AY672" s="54">
        <v>203641096</v>
      </c>
      <c r="AZ672" s="54">
        <v>2270755</v>
      </c>
      <c r="BA672" s="74">
        <v>8296639</v>
      </c>
      <c r="BB672" s="55">
        <f>VLOOKUP(M672,[1]Sheet1!$E$6:$F$556,2,FALSE)</f>
        <v>1000</v>
      </c>
      <c r="BC672" s="74"/>
      <c r="BD672" s="74"/>
      <c r="BE672" s="30"/>
      <c r="BF672" s="30" t="s">
        <v>1739</v>
      </c>
      <c r="BG672" s="30" t="s">
        <v>1880</v>
      </c>
      <c r="BH672" s="30" t="s">
        <v>1054</v>
      </c>
      <c r="BI672" s="30" t="str">
        <f t="shared" si="454"/>
        <v>COF(Assy_FT)</v>
      </c>
      <c r="BJ672" s="30" t="s">
        <v>250</v>
      </c>
      <c r="BK672" s="56">
        <f t="shared" si="461"/>
        <v>8711470.9500000011</v>
      </c>
      <c r="BL672" s="57">
        <f t="shared" si="429"/>
        <v>272233.46718750003</v>
      </c>
      <c r="BM672" s="57">
        <f t="shared" si="430"/>
        <v>90744.489062500012</v>
      </c>
      <c r="BU672" s="58">
        <f t="shared" si="463"/>
        <v>272233.46718750003</v>
      </c>
      <c r="BV672" s="58">
        <f t="shared" si="467"/>
        <v>272233.46718750003</v>
      </c>
      <c r="BW672" s="58">
        <f t="shared" si="439"/>
        <v>544466.93437500007</v>
      </c>
      <c r="BX672" s="58">
        <f t="shared" si="432"/>
        <v>272233.46718750003</v>
      </c>
      <c r="BY672" s="58">
        <f t="shared" si="433"/>
        <v>272233.46718750003</v>
      </c>
      <c r="BZ672" s="58">
        <f t="shared" si="464"/>
        <v>272233.46718750003</v>
      </c>
      <c r="CA672" s="58">
        <f t="shared" si="433"/>
        <v>272233.46718750003</v>
      </c>
      <c r="CB672" s="58">
        <f t="shared" si="455"/>
        <v>1088933.8687500001</v>
      </c>
      <c r="CC672" s="58">
        <f t="shared" si="456"/>
        <v>272233.46718750003</v>
      </c>
      <c r="CD672" s="58">
        <f t="shared" si="462"/>
        <v>272233.46718750003</v>
      </c>
      <c r="CE672" s="58">
        <f t="shared" si="462"/>
        <v>272233.46718750003</v>
      </c>
      <c r="CF672" s="58">
        <f t="shared" si="462"/>
        <v>272233.46718750003</v>
      </c>
      <c r="CG672" s="58">
        <f t="shared" si="457"/>
        <v>1088933.8687500001</v>
      </c>
      <c r="CH672" s="58">
        <f t="shared" si="434"/>
        <v>272233.46718750003</v>
      </c>
      <c r="CI672" s="58">
        <f t="shared" si="449"/>
        <v>272233.46718750003</v>
      </c>
      <c r="CJ672" s="58">
        <f t="shared" si="449"/>
        <v>272233.46718750003</v>
      </c>
      <c r="CK672" s="58">
        <f t="shared" si="449"/>
        <v>272233.46718750003</v>
      </c>
      <c r="CL672" s="58">
        <f t="shared" si="435"/>
        <v>1088933.8687500001</v>
      </c>
      <c r="CP672" s="2">
        <f t="shared" si="458"/>
        <v>8711470.9500000011</v>
      </c>
    </row>
    <row r="673" spans="1:94" ht="15" hidden="1" x14ac:dyDescent="0.3">
      <c r="A673" s="29">
        <v>668</v>
      </c>
      <c r="B673" s="30" t="s">
        <v>21</v>
      </c>
      <c r="C673" s="30"/>
      <c r="D673" s="30" t="s">
        <v>1725</v>
      </c>
      <c r="E673" s="30" t="s">
        <v>1042</v>
      </c>
      <c r="F673" s="30" t="s">
        <v>1043</v>
      </c>
      <c r="G673" s="30" t="s">
        <v>117</v>
      </c>
      <c r="H673" s="30"/>
      <c r="I673" s="30" t="s">
        <v>119</v>
      </c>
      <c r="J673" s="30" t="s">
        <v>1871</v>
      </c>
      <c r="K673" s="30" t="s">
        <v>1872</v>
      </c>
      <c r="L673" s="30" t="s">
        <v>1873</v>
      </c>
      <c r="M673" s="30">
        <v>1005326</v>
      </c>
      <c r="N673" s="30" t="s">
        <v>138</v>
      </c>
      <c r="O673" s="30" t="s">
        <v>2005</v>
      </c>
      <c r="P673" s="30" t="s">
        <v>1956</v>
      </c>
      <c r="Q673" s="30" t="s">
        <v>1956</v>
      </c>
      <c r="R673" s="30" t="s">
        <v>1876</v>
      </c>
      <c r="S673" s="30"/>
      <c r="T673" s="30" t="s">
        <v>1780</v>
      </c>
      <c r="U673" s="30" t="s">
        <v>588</v>
      </c>
      <c r="V673" s="30" t="s">
        <v>403</v>
      </c>
      <c r="W673" s="30" t="s">
        <v>1877</v>
      </c>
      <c r="X673" s="89"/>
      <c r="Y673" s="30" t="s">
        <v>457</v>
      </c>
      <c r="Z673" s="30" t="s">
        <v>457</v>
      </c>
      <c r="AA673" s="92" t="s">
        <v>891</v>
      </c>
      <c r="AB673" s="30" t="s">
        <v>1878</v>
      </c>
      <c r="AC673" s="30"/>
      <c r="AD673" s="30"/>
      <c r="AE673" s="30"/>
      <c r="AF673" s="30" t="s">
        <v>179</v>
      </c>
      <c r="AG673" s="30" t="s">
        <v>152</v>
      </c>
      <c r="AH673" s="132" t="s">
        <v>1879</v>
      </c>
      <c r="AI673" s="30"/>
      <c r="AJ673" s="30"/>
      <c r="AK673" s="50">
        <v>43190</v>
      </c>
      <c r="AL673" s="51">
        <f t="shared" si="460"/>
        <v>7.5917808219178085</v>
      </c>
      <c r="AM673" s="30">
        <v>8</v>
      </c>
      <c r="AN673" s="30"/>
      <c r="AO673" s="30" t="s">
        <v>1050</v>
      </c>
      <c r="AP673" s="30" t="s">
        <v>1187</v>
      </c>
      <c r="AQ673" s="30">
        <v>1.5</v>
      </c>
      <c r="AR673" s="30">
        <v>1720</v>
      </c>
      <c r="AS673" s="30">
        <v>1550</v>
      </c>
      <c r="AT673" s="30">
        <v>2300</v>
      </c>
      <c r="AU673" s="74">
        <v>218750000</v>
      </c>
      <c r="AV673" s="54"/>
      <c r="AW673" s="54"/>
      <c r="AX673" s="54"/>
      <c r="AY673" s="54">
        <v>201344790</v>
      </c>
      <c r="AZ673" s="54">
        <v>2278646</v>
      </c>
      <c r="BA673" s="74">
        <v>10569272</v>
      </c>
      <c r="BB673" s="55">
        <f>VLOOKUP(M673,[1]Sheet1!$E$6:$F$556,2,FALSE)</f>
        <v>1000</v>
      </c>
      <c r="BC673" s="74"/>
      <c r="BD673" s="74"/>
      <c r="BE673" s="30"/>
      <c r="BF673" s="30" t="s">
        <v>1739</v>
      </c>
      <c r="BG673" s="30" t="s">
        <v>1880</v>
      </c>
      <c r="BH673" s="30" t="s">
        <v>1054</v>
      </c>
      <c r="BI673" s="30" t="str">
        <f t="shared" si="454"/>
        <v>COF(Assy_FT)</v>
      </c>
      <c r="BJ673" s="30" t="s">
        <v>250</v>
      </c>
      <c r="BK673" s="56">
        <f t="shared" si="461"/>
        <v>11097735.6</v>
      </c>
      <c r="BL673" s="57">
        <f t="shared" si="429"/>
        <v>346804.23749999999</v>
      </c>
      <c r="BM673" s="57">
        <f t="shared" si="430"/>
        <v>115601.41249999999</v>
      </c>
      <c r="BU673" s="58">
        <f t="shared" si="463"/>
        <v>346804.23749999999</v>
      </c>
      <c r="BV673" s="58">
        <f t="shared" si="467"/>
        <v>346804.23749999999</v>
      </c>
      <c r="BW673" s="58">
        <f t="shared" si="439"/>
        <v>693608.47499999998</v>
      </c>
      <c r="BX673" s="58">
        <f t="shared" si="432"/>
        <v>346804.23749999999</v>
      </c>
      <c r="BY673" s="58">
        <f t="shared" si="433"/>
        <v>346804.23749999999</v>
      </c>
      <c r="BZ673" s="58">
        <f t="shared" si="464"/>
        <v>346804.23749999999</v>
      </c>
      <c r="CA673" s="58">
        <f t="shared" si="433"/>
        <v>346804.23749999999</v>
      </c>
      <c r="CB673" s="58">
        <f t="shared" si="455"/>
        <v>1387216.95</v>
      </c>
      <c r="CC673" s="58">
        <f t="shared" si="456"/>
        <v>346804.23749999999</v>
      </c>
      <c r="CD673" s="58">
        <f t="shared" si="462"/>
        <v>346804.23749999999</v>
      </c>
      <c r="CE673" s="58">
        <f t="shared" si="462"/>
        <v>346804.23749999999</v>
      </c>
      <c r="CF673" s="58">
        <f t="shared" si="462"/>
        <v>346804.23749999999</v>
      </c>
      <c r="CG673" s="58">
        <f t="shared" si="457"/>
        <v>1387216.95</v>
      </c>
      <c r="CH673" s="58">
        <f t="shared" si="434"/>
        <v>346804.23749999999</v>
      </c>
      <c r="CI673" s="58">
        <f t="shared" si="449"/>
        <v>346804.23749999999</v>
      </c>
      <c r="CJ673" s="58">
        <f t="shared" si="449"/>
        <v>346804.23749999999</v>
      </c>
      <c r="CK673" s="58">
        <f t="shared" si="449"/>
        <v>346804.23749999999</v>
      </c>
      <c r="CL673" s="58">
        <f t="shared" si="435"/>
        <v>1387216.95</v>
      </c>
      <c r="CP673" s="2">
        <f t="shared" si="458"/>
        <v>11097735.6</v>
      </c>
    </row>
    <row r="674" spans="1:94" ht="15" hidden="1" x14ac:dyDescent="0.3">
      <c r="A674" s="29">
        <v>669</v>
      </c>
      <c r="B674" s="30" t="s">
        <v>21</v>
      </c>
      <c r="C674" s="30"/>
      <c r="D674" s="30" t="s">
        <v>1725</v>
      </c>
      <c r="E674" s="30" t="s">
        <v>1042</v>
      </c>
      <c r="F674" s="30" t="s">
        <v>1043</v>
      </c>
      <c r="G674" s="30" t="s">
        <v>117</v>
      </c>
      <c r="H674" s="30"/>
      <c r="I674" s="30" t="s">
        <v>119</v>
      </c>
      <c r="J674" s="30" t="s">
        <v>1871</v>
      </c>
      <c r="K674" s="30" t="s">
        <v>1872</v>
      </c>
      <c r="L674" s="30" t="s">
        <v>1873</v>
      </c>
      <c r="M674" s="30">
        <v>1005327</v>
      </c>
      <c r="N674" s="30" t="s">
        <v>138</v>
      </c>
      <c r="O674" s="30" t="s">
        <v>2006</v>
      </c>
      <c r="P674" s="30" t="s">
        <v>1956</v>
      </c>
      <c r="Q674" s="30" t="s">
        <v>1956</v>
      </c>
      <c r="R674" s="30" t="s">
        <v>1876</v>
      </c>
      <c r="S674" s="30"/>
      <c r="T674" s="30" t="s">
        <v>1780</v>
      </c>
      <c r="U674" s="30" t="s">
        <v>588</v>
      </c>
      <c r="V674" s="30" t="s">
        <v>403</v>
      </c>
      <c r="W674" s="30" t="s">
        <v>1877</v>
      </c>
      <c r="X674" s="89"/>
      <c r="Y674" s="30" t="s">
        <v>457</v>
      </c>
      <c r="Z674" s="30" t="s">
        <v>457</v>
      </c>
      <c r="AA674" s="92" t="s">
        <v>891</v>
      </c>
      <c r="AB674" s="30" t="s">
        <v>1878</v>
      </c>
      <c r="AC674" s="30"/>
      <c r="AD674" s="30"/>
      <c r="AE674" s="30"/>
      <c r="AF674" s="30" t="s">
        <v>179</v>
      </c>
      <c r="AG674" s="30" t="s">
        <v>152</v>
      </c>
      <c r="AH674" s="132" t="s">
        <v>1879</v>
      </c>
      <c r="AI674" s="30"/>
      <c r="AJ674" s="30"/>
      <c r="AK674" s="50">
        <v>43190</v>
      </c>
      <c r="AL674" s="51">
        <f t="shared" si="460"/>
        <v>7.5917808219178085</v>
      </c>
      <c r="AM674" s="30">
        <v>8</v>
      </c>
      <c r="AN674" s="30"/>
      <c r="AO674" s="30" t="s">
        <v>1050</v>
      </c>
      <c r="AP674" s="30" t="s">
        <v>1187</v>
      </c>
      <c r="AQ674" s="30">
        <v>1.5</v>
      </c>
      <c r="AR674" s="30">
        <v>1720</v>
      </c>
      <c r="AS674" s="30">
        <v>1550</v>
      </c>
      <c r="AT674" s="30">
        <v>2300</v>
      </c>
      <c r="AU674" s="74">
        <v>218750000</v>
      </c>
      <c r="AV674" s="54"/>
      <c r="AW674" s="54"/>
      <c r="AX674" s="54"/>
      <c r="AY674" s="54">
        <v>201344790</v>
      </c>
      <c r="AZ674" s="54">
        <v>2278646</v>
      </c>
      <c r="BA674" s="74">
        <v>10569272</v>
      </c>
      <c r="BB674" s="55">
        <f>VLOOKUP(M674,[1]Sheet1!$E$6:$F$556,2,FALSE)</f>
        <v>1000</v>
      </c>
      <c r="BC674" s="74"/>
      <c r="BD674" s="74"/>
      <c r="BE674" s="30"/>
      <c r="BF674" s="30" t="s">
        <v>1739</v>
      </c>
      <c r="BG674" s="30" t="s">
        <v>1880</v>
      </c>
      <c r="BH674" s="30" t="s">
        <v>1054</v>
      </c>
      <c r="BI674" s="30" t="str">
        <f t="shared" si="454"/>
        <v>COF(Assy_FT)</v>
      </c>
      <c r="BJ674" s="30" t="s">
        <v>250</v>
      </c>
      <c r="BK674" s="56">
        <f t="shared" si="461"/>
        <v>11097735.6</v>
      </c>
      <c r="BL674" s="57">
        <f t="shared" si="429"/>
        <v>346804.23749999999</v>
      </c>
      <c r="BM674" s="57">
        <f t="shared" si="430"/>
        <v>115601.41249999999</v>
      </c>
      <c r="BU674" s="58">
        <f t="shared" si="463"/>
        <v>346804.23749999999</v>
      </c>
      <c r="BV674" s="58">
        <f t="shared" si="467"/>
        <v>346804.23749999999</v>
      </c>
      <c r="BW674" s="58">
        <f t="shared" si="439"/>
        <v>693608.47499999998</v>
      </c>
      <c r="BX674" s="58">
        <f t="shared" si="432"/>
        <v>346804.23749999999</v>
      </c>
      <c r="BY674" s="58">
        <f t="shared" si="433"/>
        <v>346804.23749999999</v>
      </c>
      <c r="BZ674" s="58">
        <f t="shared" si="464"/>
        <v>346804.23749999999</v>
      </c>
      <c r="CA674" s="58">
        <f t="shared" si="433"/>
        <v>346804.23749999999</v>
      </c>
      <c r="CB674" s="58">
        <f t="shared" si="455"/>
        <v>1387216.95</v>
      </c>
      <c r="CC674" s="58">
        <f t="shared" si="456"/>
        <v>346804.23749999999</v>
      </c>
      <c r="CD674" s="58">
        <f t="shared" si="462"/>
        <v>346804.23749999999</v>
      </c>
      <c r="CE674" s="58">
        <f t="shared" si="462"/>
        <v>346804.23749999999</v>
      </c>
      <c r="CF674" s="58">
        <f t="shared" si="462"/>
        <v>346804.23749999999</v>
      </c>
      <c r="CG674" s="58">
        <f t="shared" si="457"/>
        <v>1387216.95</v>
      </c>
      <c r="CH674" s="58">
        <f t="shared" si="434"/>
        <v>346804.23749999999</v>
      </c>
      <c r="CI674" s="58">
        <f t="shared" si="449"/>
        <v>346804.23749999999</v>
      </c>
      <c r="CJ674" s="58">
        <f t="shared" si="449"/>
        <v>346804.23749999999</v>
      </c>
      <c r="CK674" s="58">
        <f t="shared" si="449"/>
        <v>346804.23749999999</v>
      </c>
      <c r="CL674" s="58">
        <f t="shared" si="435"/>
        <v>1387216.95</v>
      </c>
      <c r="CP674" s="2">
        <f t="shared" si="458"/>
        <v>11097735.6</v>
      </c>
    </row>
    <row r="675" spans="1:94" ht="16.5" hidden="1" x14ac:dyDescent="0.3">
      <c r="A675" s="2">
        <v>670</v>
      </c>
      <c r="B675" s="47" t="s">
        <v>21</v>
      </c>
      <c r="C675" s="47"/>
      <c r="D675" s="30" t="s">
        <v>1725</v>
      </c>
      <c r="E675" s="30" t="s">
        <v>1042</v>
      </c>
      <c r="F675" s="30" t="s">
        <v>1043</v>
      </c>
      <c r="G675" s="30" t="s">
        <v>117</v>
      </c>
      <c r="H675" s="30"/>
      <c r="I675" s="30" t="s">
        <v>119</v>
      </c>
      <c r="J675" s="30" t="s">
        <v>1871</v>
      </c>
      <c r="K675" s="30" t="s">
        <v>1872</v>
      </c>
      <c r="L675" s="30" t="s">
        <v>1873</v>
      </c>
      <c r="M675" s="30">
        <v>1005531</v>
      </c>
      <c r="N675" s="30" t="s">
        <v>138</v>
      </c>
      <c r="O675" s="30" t="s">
        <v>2007</v>
      </c>
      <c r="P675" s="30" t="s">
        <v>1956</v>
      </c>
      <c r="Q675" s="30" t="s">
        <v>1956</v>
      </c>
      <c r="R675" s="30" t="s">
        <v>1876</v>
      </c>
      <c r="S675" s="30"/>
      <c r="T675" s="30" t="s">
        <v>1752</v>
      </c>
      <c r="U675" s="30" t="s">
        <v>588</v>
      </c>
      <c r="V675" s="30" t="s">
        <v>403</v>
      </c>
      <c r="W675" s="30" t="s">
        <v>1877</v>
      </c>
      <c r="X675" s="89" t="s">
        <v>1757</v>
      </c>
      <c r="Y675" s="30" t="s">
        <v>457</v>
      </c>
      <c r="Z675" s="30" t="s">
        <v>457</v>
      </c>
      <c r="AA675" s="92" t="s">
        <v>891</v>
      </c>
      <c r="AB675" s="30" t="s">
        <v>1878</v>
      </c>
      <c r="AC675" s="30"/>
      <c r="AD675" s="30"/>
      <c r="AE675" s="30"/>
      <c r="AF675" s="30" t="s">
        <v>179</v>
      </c>
      <c r="AG675" s="30" t="s">
        <v>152</v>
      </c>
      <c r="AH675" s="132" t="s">
        <v>1879</v>
      </c>
      <c r="AI675" s="30"/>
      <c r="AJ675" s="30"/>
      <c r="AK675" s="50">
        <v>43313</v>
      </c>
      <c r="AL675" s="51">
        <f t="shared" si="460"/>
        <v>7.2547945205479456</v>
      </c>
      <c r="AM675" s="30">
        <v>8</v>
      </c>
      <c r="AN675" s="30"/>
      <c r="AO675" s="30" t="s">
        <v>1050</v>
      </c>
      <c r="AP675" s="30" t="s">
        <v>1187</v>
      </c>
      <c r="AQ675" s="30">
        <v>1.5</v>
      </c>
      <c r="AR675" s="30">
        <v>1720</v>
      </c>
      <c r="AS675" s="30">
        <v>1550</v>
      </c>
      <c r="AT675" s="30">
        <v>2300</v>
      </c>
      <c r="AU675" s="54">
        <v>223097210</v>
      </c>
      <c r="AV675" s="54"/>
      <c r="AW675" s="54"/>
      <c r="AX675" s="54"/>
      <c r="AY675" s="54">
        <v>192518924</v>
      </c>
      <c r="AZ675" s="54">
        <v>2323929</v>
      </c>
      <c r="BA675" s="54">
        <v>23606499</v>
      </c>
      <c r="BB675" s="55">
        <f>VLOOKUP(M675,[1]Sheet1!$E$6:$F$556,2,FALSE)</f>
        <v>1142521</v>
      </c>
      <c r="BC675" s="74"/>
      <c r="BD675" s="74"/>
      <c r="BE675" s="30"/>
      <c r="BF675" s="30" t="s">
        <v>1739</v>
      </c>
      <c r="BG675" s="30" t="s">
        <v>1880</v>
      </c>
      <c r="BH675" s="30" t="s">
        <v>1054</v>
      </c>
      <c r="BI675" s="30" t="str">
        <f t="shared" si="454"/>
        <v>COF(Assy_FT)</v>
      </c>
      <c r="BJ675" s="47" t="s">
        <v>137</v>
      </c>
      <c r="BK675" s="56">
        <f t="shared" si="461"/>
        <v>24786823.949999999</v>
      </c>
      <c r="BL675" s="57">
        <f t="shared" si="429"/>
        <v>2362896.1469894112</v>
      </c>
      <c r="BM675" s="57">
        <f t="shared" si="430"/>
        <v>787632.0489964704</v>
      </c>
      <c r="BU675" s="58">
        <f>BM675*3</f>
        <v>2362896.1469894112</v>
      </c>
      <c r="BV675" s="58">
        <f t="shared" si="467"/>
        <v>2362896.1469894112</v>
      </c>
      <c r="BW675" s="58">
        <f>SUM(BS675:BV675)</f>
        <v>4725792.2939788224</v>
      </c>
      <c r="BX675" s="58">
        <f t="shared" si="432"/>
        <v>2362896.1469894112</v>
      </c>
      <c r="BY675" s="58">
        <f t="shared" si="433"/>
        <v>2362896.1469894112</v>
      </c>
      <c r="BZ675" s="58">
        <f t="shared" si="464"/>
        <v>2362896.1469894112</v>
      </c>
      <c r="CA675" s="58">
        <f t="shared" si="433"/>
        <v>2362896.1469894112</v>
      </c>
      <c r="CB675" s="58">
        <f t="shared" si="455"/>
        <v>9451584.5879576448</v>
      </c>
      <c r="CC675" s="58">
        <f t="shared" si="456"/>
        <v>2362896.1469894112</v>
      </c>
      <c r="CD675" s="58">
        <f t="shared" si="462"/>
        <v>2362896.1469894112</v>
      </c>
      <c r="CE675" s="58">
        <f t="shared" si="462"/>
        <v>2362896.1469894112</v>
      </c>
      <c r="CF675" s="58">
        <f t="shared" si="462"/>
        <v>2362896.1469894112</v>
      </c>
      <c r="CG675" s="58">
        <f t="shared" si="457"/>
        <v>9451584.5879576448</v>
      </c>
      <c r="CH675" s="58">
        <f t="shared" si="434"/>
        <v>2362896.1469894112</v>
      </c>
      <c r="CI675" s="58">
        <f t="shared" si="449"/>
        <v>2362896.1469894112</v>
      </c>
      <c r="CJ675" s="58">
        <f t="shared" si="449"/>
        <v>2362896.1469894112</v>
      </c>
      <c r="CK675" s="58">
        <f t="shared" si="449"/>
        <v>2362896.1469894112</v>
      </c>
      <c r="CL675" s="58">
        <f t="shared" si="435"/>
        <v>9451584.5879576448</v>
      </c>
      <c r="CN675" s="59">
        <f t="shared" ref="CN675:CN683" si="468">BK675/$CN$3</f>
        <v>2.4202787025552936E-3</v>
      </c>
      <c r="CO675" s="64">
        <f t="shared" ref="CO675:CO683" si="469">CN675*$CO$4</f>
        <v>50825852.753661163</v>
      </c>
      <c r="CP675" s="2">
        <f t="shared" si="458"/>
        <v>75612676.703661159</v>
      </c>
    </row>
    <row r="676" spans="1:94" ht="16.5" hidden="1" x14ac:dyDescent="0.3">
      <c r="A676" s="2">
        <v>671</v>
      </c>
      <c r="B676" s="47" t="s">
        <v>21</v>
      </c>
      <c r="C676" s="47"/>
      <c r="D676" s="30" t="s">
        <v>1725</v>
      </c>
      <c r="E676" s="30" t="s">
        <v>1042</v>
      </c>
      <c r="F676" s="30" t="s">
        <v>1043</v>
      </c>
      <c r="G676" s="30" t="s">
        <v>117</v>
      </c>
      <c r="H676" s="30"/>
      <c r="I676" s="30" t="s">
        <v>119</v>
      </c>
      <c r="J676" s="30" t="s">
        <v>1871</v>
      </c>
      <c r="K676" s="30" t="s">
        <v>1872</v>
      </c>
      <c r="L676" s="30" t="s">
        <v>1873</v>
      </c>
      <c r="M676" s="30">
        <v>1000440</v>
      </c>
      <c r="N676" s="30" t="s">
        <v>138</v>
      </c>
      <c r="O676" s="30" t="s">
        <v>2008</v>
      </c>
      <c r="P676" s="30" t="s">
        <v>1963</v>
      </c>
      <c r="Q676" s="30" t="s">
        <v>1963</v>
      </c>
      <c r="R676" s="30" t="s">
        <v>1876</v>
      </c>
      <c r="S676" s="30">
        <v>74</v>
      </c>
      <c r="T676" s="30" t="s">
        <v>1752</v>
      </c>
      <c r="U676" s="30" t="s">
        <v>588</v>
      </c>
      <c r="V676" s="30" t="s">
        <v>403</v>
      </c>
      <c r="W676" s="30" t="s">
        <v>1877</v>
      </c>
      <c r="X676" s="89" t="s">
        <v>1764</v>
      </c>
      <c r="Y676" s="125" t="s">
        <v>457</v>
      </c>
      <c r="Z676" s="125" t="s">
        <v>457</v>
      </c>
      <c r="AA676" s="92" t="s">
        <v>891</v>
      </c>
      <c r="AB676" s="30" t="s">
        <v>1878</v>
      </c>
      <c r="AC676" s="30"/>
      <c r="AD676" s="30"/>
      <c r="AE676" s="30"/>
      <c r="AF676" s="30" t="s">
        <v>179</v>
      </c>
      <c r="AG676" s="30" t="s">
        <v>152</v>
      </c>
      <c r="AH676" s="132" t="s">
        <v>1879</v>
      </c>
      <c r="AI676" s="30"/>
      <c r="AJ676" s="30"/>
      <c r="AK676" s="50">
        <v>38665</v>
      </c>
      <c r="AL676" s="51">
        <f t="shared" si="460"/>
        <v>19.989041095890411</v>
      </c>
      <c r="AM676" s="30">
        <v>8</v>
      </c>
      <c r="AN676" s="30"/>
      <c r="AO676" s="30" t="s">
        <v>1050</v>
      </c>
      <c r="AP676" s="30" t="s">
        <v>1051</v>
      </c>
      <c r="AQ676" s="30">
        <v>1.5</v>
      </c>
      <c r="AR676" s="30">
        <v>1630</v>
      </c>
      <c r="AS676" s="30">
        <v>1380</v>
      </c>
      <c r="AT676" s="30">
        <v>2080</v>
      </c>
      <c r="AU676" s="54">
        <v>239750000</v>
      </c>
      <c r="AV676" s="54"/>
      <c r="AW676" s="54"/>
      <c r="AX676" s="54"/>
      <c r="AY676" s="54">
        <v>239749000</v>
      </c>
      <c r="AZ676" s="54">
        <v>294268</v>
      </c>
      <c r="BA676" s="54">
        <v>1000</v>
      </c>
      <c r="BB676" s="55">
        <f>VLOOKUP(M676,[1]Sheet1!$E$6:$F$556,2,FALSE)</f>
        <v>1000</v>
      </c>
      <c r="BC676" s="74"/>
      <c r="BD676" s="74"/>
      <c r="BE676" s="30"/>
      <c r="BF676" s="30" t="s">
        <v>1745</v>
      </c>
      <c r="BG676" s="30" t="s">
        <v>1880</v>
      </c>
      <c r="BH676" s="30" t="s">
        <v>1054</v>
      </c>
      <c r="BI676" s="30" t="str">
        <f t="shared" si="454"/>
        <v>COF(Assy_FT)</v>
      </c>
      <c r="BJ676" s="47" t="s">
        <v>137</v>
      </c>
      <c r="BK676" s="67">
        <f t="shared" si="461"/>
        <v>4795000</v>
      </c>
      <c r="BL676" s="68">
        <f t="shared" si="429"/>
        <v>457101.20214148</v>
      </c>
      <c r="BM676" s="68">
        <f t="shared" si="430"/>
        <v>152367.06738049333</v>
      </c>
      <c r="BP676" s="69">
        <f>BM676*3</f>
        <v>457101.20214148</v>
      </c>
      <c r="BQ676" s="69">
        <f>BP676</f>
        <v>457101.20214148</v>
      </c>
      <c r="BR676" s="69">
        <f>SUM(BN676:BQ676)</f>
        <v>914202.40428295999</v>
      </c>
      <c r="BS676" s="69">
        <f>BQ676</f>
        <v>457101.20214148</v>
      </c>
      <c r="BT676" s="69">
        <f>BS676</f>
        <v>457101.20214148</v>
      </c>
      <c r="BU676" s="100">
        <f>BT676</f>
        <v>457101.20214148</v>
      </c>
      <c r="BV676" s="100">
        <f t="shared" si="467"/>
        <v>457101.20214148</v>
      </c>
      <c r="BW676" s="100">
        <f>SUM(BS676:BV676)</f>
        <v>1828404.80856592</v>
      </c>
      <c r="BX676" s="101">
        <f t="shared" si="432"/>
        <v>457101.20214148</v>
      </c>
      <c r="BY676" s="101">
        <f t="shared" si="433"/>
        <v>457101.20214148</v>
      </c>
      <c r="BZ676" s="18">
        <f t="shared" si="464"/>
        <v>457101.20214148</v>
      </c>
      <c r="CA676" s="18">
        <f t="shared" si="433"/>
        <v>457101.20214148</v>
      </c>
      <c r="CB676" s="70">
        <f t="shared" si="455"/>
        <v>1828404.80856592</v>
      </c>
      <c r="CC676" s="18">
        <f t="shared" si="456"/>
        <v>457101.20214148</v>
      </c>
      <c r="CD676" s="18">
        <f t="shared" si="462"/>
        <v>457101.20214148</v>
      </c>
      <c r="CE676" s="18">
        <f t="shared" si="462"/>
        <v>457101.20214148</v>
      </c>
      <c r="CF676" s="18">
        <f t="shared" si="462"/>
        <v>457101.20214148</v>
      </c>
      <c r="CG676" s="70">
        <f t="shared" si="457"/>
        <v>1828404.80856592</v>
      </c>
      <c r="CH676" s="18">
        <f t="shared" si="434"/>
        <v>457101.20214148</v>
      </c>
      <c r="CI676" s="18">
        <f t="shared" si="449"/>
        <v>457101.20214148</v>
      </c>
      <c r="CJ676" s="18">
        <f t="shared" si="449"/>
        <v>457101.20214148</v>
      </c>
      <c r="CK676" s="18">
        <f t="shared" si="449"/>
        <v>457101.20214148</v>
      </c>
      <c r="CL676" s="70">
        <f t="shared" si="435"/>
        <v>1828404.80856592</v>
      </c>
      <c r="CM676" s="71"/>
      <c r="CN676" s="59">
        <f t="shared" si="468"/>
        <v>4.6820183183463618E-4</v>
      </c>
      <c r="CO676" s="64">
        <f t="shared" si="469"/>
        <v>9832238.4685273599</v>
      </c>
      <c r="CP676" s="2">
        <f t="shared" si="458"/>
        <v>14627238.46852736</v>
      </c>
    </row>
    <row r="677" spans="1:94" ht="16.5" hidden="1" x14ac:dyDescent="0.3">
      <c r="A677" s="2">
        <v>672</v>
      </c>
      <c r="B677" s="47" t="s">
        <v>21</v>
      </c>
      <c r="C677" s="47"/>
      <c r="D677" s="30" t="s">
        <v>1725</v>
      </c>
      <c r="E677" s="30" t="s">
        <v>1042</v>
      </c>
      <c r="F677" s="30" t="s">
        <v>1043</v>
      </c>
      <c r="G677" s="30" t="s">
        <v>117</v>
      </c>
      <c r="H677" s="30"/>
      <c r="I677" s="30" t="s">
        <v>119</v>
      </c>
      <c r="J677" s="30" t="s">
        <v>1871</v>
      </c>
      <c r="K677" s="30" t="s">
        <v>1872</v>
      </c>
      <c r="L677" s="30" t="s">
        <v>1873</v>
      </c>
      <c r="M677" s="30">
        <v>1001954</v>
      </c>
      <c r="N677" s="30" t="s">
        <v>138</v>
      </c>
      <c r="O677" s="30" t="s">
        <v>2009</v>
      </c>
      <c r="P677" s="30" t="s">
        <v>1974</v>
      </c>
      <c r="Q677" s="30" t="s">
        <v>1974</v>
      </c>
      <c r="R677" s="30" t="s">
        <v>1876</v>
      </c>
      <c r="S677" s="30"/>
      <c r="T677" s="30" t="s">
        <v>1752</v>
      </c>
      <c r="U677" s="30" t="s">
        <v>588</v>
      </c>
      <c r="V677" s="30" t="s">
        <v>403</v>
      </c>
      <c r="W677" s="30" t="s">
        <v>1975</v>
      </c>
      <c r="X677" s="89" t="s">
        <v>1757</v>
      </c>
      <c r="Y677" s="30" t="s">
        <v>457</v>
      </c>
      <c r="Z677" s="30" t="s">
        <v>457</v>
      </c>
      <c r="AA677" s="92" t="s">
        <v>891</v>
      </c>
      <c r="AB677" s="30" t="s">
        <v>1878</v>
      </c>
      <c r="AC677" s="30"/>
      <c r="AD677" s="30"/>
      <c r="AE677" s="30"/>
      <c r="AF677" s="30" t="s">
        <v>179</v>
      </c>
      <c r="AG677" s="30" t="s">
        <v>152</v>
      </c>
      <c r="AH677" s="132" t="s">
        <v>1879</v>
      </c>
      <c r="AI677" s="30"/>
      <c r="AJ677" s="30"/>
      <c r="AK677" s="50">
        <v>40254</v>
      </c>
      <c r="AL677" s="51">
        <f t="shared" si="460"/>
        <v>15.635616438356164</v>
      </c>
      <c r="AM677" s="30">
        <v>8</v>
      </c>
      <c r="AN677" s="30"/>
      <c r="AO677" s="30" t="s">
        <v>1050</v>
      </c>
      <c r="AP677" s="30" t="s">
        <v>1051</v>
      </c>
      <c r="AQ677" s="30">
        <v>1.5</v>
      </c>
      <c r="AR677" s="30">
        <v>1760</v>
      </c>
      <c r="AS677" s="30">
        <v>1400</v>
      </c>
      <c r="AT677" s="30">
        <v>2100</v>
      </c>
      <c r="AU677" s="54">
        <v>190000000</v>
      </c>
      <c r="AV677" s="54"/>
      <c r="AW677" s="54"/>
      <c r="AX677" s="54"/>
      <c r="AY677" s="54">
        <v>189999000</v>
      </c>
      <c r="AZ677" s="54">
        <v>1205831</v>
      </c>
      <c r="BA677" s="54">
        <v>1000</v>
      </c>
      <c r="BB677" s="55">
        <f>VLOOKUP(M677,[1]Sheet1!$E$6:$F$556,2,FALSE)</f>
        <v>1000</v>
      </c>
      <c r="BC677" s="74"/>
      <c r="BD677" s="74"/>
      <c r="BE677" s="30"/>
      <c r="BF677" s="30" t="s">
        <v>1745</v>
      </c>
      <c r="BG677" s="30" t="s">
        <v>1880</v>
      </c>
      <c r="BH677" s="30" t="s">
        <v>1054</v>
      </c>
      <c r="BI677" s="30" t="str">
        <f t="shared" si="454"/>
        <v>COF(Assy_FT)</v>
      </c>
      <c r="BJ677" s="47" t="s">
        <v>137</v>
      </c>
      <c r="BK677" s="56">
        <f t="shared" si="461"/>
        <v>3800000</v>
      </c>
      <c r="BL677" s="57">
        <f t="shared" si="429"/>
        <v>362249.12787020311</v>
      </c>
      <c r="BM677" s="57">
        <f t="shared" si="430"/>
        <v>120749.70929006771</v>
      </c>
      <c r="BU677" s="58">
        <f>BM677*3</f>
        <v>362249.12787020311</v>
      </c>
      <c r="BV677" s="58">
        <f t="shared" si="467"/>
        <v>362249.12787020311</v>
      </c>
      <c r="BW677" s="58">
        <f>SUM(BS677:BV677)</f>
        <v>724498.25574040622</v>
      </c>
      <c r="BX677" s="58">
        <f t="shared" si="432"/>
        <v>362249.12787020311</v>
      </c>
      <c r="BY677" s="58">
        <f t="shared" si="433"/>
        <v>362249.12787020311</v>
      </c>
      <c r="BZ677" s="58">
        <f t="shared" si="464"/>
        <v>362249.12787020311</v>
      </c>
      <c r="CA677" s="58">
        <f t="shared" si="433"/>
        <v>362249.12787020311</v>
      </c>
      <c r="CB677" s="58">
        <f t="shared" si="455"/>
        <v>1448996.5114808124</v>
      </c>
      <c r="CC677" s="58">
        <f t="shared" si="456"/>
        <v>362249.12787020311</v>
      </c>
      <c r="CD677" s="58">
        <f t="shared" ref="CD677:CF692" si="470">CC677</f>
        <v>362249.12787020311</v>
      </c>
      <c r="CE677" s="58">
        <f t="shared" si="470"/>
        <v>362249.12787020311</v>
      </c>
      <c r="CF677" s="58">
        <f t="shared" si="470"/>
        <v>362249.12787020311</v>
      </c>
      <c r="CG677" s="58">
        <f t="shared" si="457"/>
        <v>1448996.5114808124</v>
      </c>
      <c r="CH677" s="58">
        <f t="shared" si="434"/>
        <v>362249.12787020311</v>
      </c>
      <c r="CI677" s="58">
        <f t="shared" si="449"/>
        <v>362249.12787020311</v>
      </c>
      <c r="CJ677" s="58">
        <f t="shared" si="449"/>
        <v>362249.12787020311</v>
      </c>
      <c r="CK677" s="58">
        <f t="shared" si="449"/>
        <v>362249.12787020311</v>
      </c>
      <c r="CL677" s="58">
        <f t="shared" si="435"/>
        <v>1448996.5114808124</v>
      </c>
      <c r="CN677" s="59">
        <f t="shared" si="468"/>
        <v>3.7104629008792854E-4</v>
      </c>
      <c r="CO677" s="64">
        <f t="shared" si="469"/>
        <v>7791972.0918464996</v>
      </c>
      <c r="CP677" s="2">
        <f t="shared" si="458"/>
        <v>11591972.0918465</v>
      </c>
    </row>
    <row r="678" spans="1:94" ht="16.5" hidden="1" x14ac:dyDescent="0.3">
      <c r="A678" s="2">
        <v>673</v>
      </c>
      <c r="B678" s="47" t="s">
        <v>21</v>
      </c>
      <c r="C678" s="47"/>
      <c r="D678" s="30" t="s">
        <v>1725</v>
      </c>
      <c r="E678" s="30" t="s">
        <v>1042</v>
      </c>
      <c r="F678" s="30" t="s">
        <v>1043</v>
      </c>
      <c r="G678" s="30" t="s">
        <v>117</v>
      </c>
      <c r="H678" s="30"/>
      <c r="I678" s="30" t="s">
        <v>119</v>
      </c>
      <c r="J678" s="30" t="s">
        <v>1871</v>
      </c>
      <c r="K678" s="30" t="s">
        <v>1872</v>
      </c>
      <c r="L678" s="30" t="s">
        <v>1873</v>
      </c>
      <c r="M678" s="30">
        <v>1001953</v>
      </c>
      <c r="N678" s="30" t="s">
        <v>138</v>
      </c>
      <c r="O678" s="30" t="s">
        <v>2010</v>
      </c>
      <c r="P678" s="30" t="s">
        <v>1974</v>
      </c>
      <c r="Q678" s="30" t="s">
        <v>1974</v>
      </c>
      <c r="R678" s="30" t="s">
        <v>1876</v>
      </c>
      <c r="S678" s="30"/>
      <c r="T678" s="30" t="s">
        <v>1752</v>
      </c>
      <c r="U678" s="30" t="s">
        <v>588</v>
      </c>
      <c r="V678" s="30" t="s">
        <v>403</v>
      </c>
      <c r="W678" s="30" t="s">
        <v>1975</v>
      </c>
      <c r="X678" s="89" t="s">
        <v>1757</v>
      </c>
      <c r="Y678" s="30" t="s">
        <v>457</v>
      </c>
      <c r="Z678" s="30" t="s">
        <v>457</v>
      </c>
      <c r="AA678" s="92" t="s">
        <v>891</v>
      </c>
      <c r="AB678" s="30" t="s">
        <v>1878</v>
      </c>
      <c r="AC678" s="30"/>
      <c r="AD678" s="30"/>
      <c r="AE678" s="30"/>
      <c r="AF678" s="30" t="s">
        <v>179</v>
      </c>
      <c r="AG678" s="30" t="s">
        <v>152</v>
      </c>
      <c r="AH678" s="132" t="s">
        <v>1879</v>
      </c>
      <c r="AI678" s="30"/>
      <c r="AJ678" s="30"/>
      <c r="AK678" s="50">
        <v>40254</v>
      </c>
      <c r="AL678" s="51">
        <f t="shared" si="460"/>
        <v>15.635616438356164</v>
      </c>
      <c r="AM678" s="30">
        <v>8</v>
      </c>
      <c r="AN678" s="30"/>
      <c r="AO678" s="30" t="s">
        <v>1050</v>
      </c>
      <c r="AP678" s="30" t="s">
        <v>1051</v>
      </c>
      <c r="AQ678" s="30">
        <v>1.5</v>
      </c>
      <c r="AR678" s="30">
        <v>1760</v>
      </c>
      <c r="AS678" s="30">
        <v>1400</v>
      </c>
      <c r="AT678" s="30">
        <v>2100</v>
      </c>
      <c r="AU678" s="54">
        <v>251720000</v>
      </c>
      <c r="AV678" s="54"/>
      <c r="AW678" s="54"/>
      <c r="AX678" s="54"/>
      <c r="AY678" s="54">
        <v>251719000</v>
      </c>
      <c r="AZ678" s="54">
        <v>796672</v>
      </c>
      <c r="BA678" s="54">
        <v>1000</v>
      </c>
      <c r="BB678" s="55">
        <f>VLOOKUP(M678,[1]Sheet1!$E$6:$F$556,2,FALSE)</f>
        <v>1000</v>
      </c>
      <c r="BC678" s="74"/>
      <c r="BD678" s="74"/>
      <c r="BE678" s="30"/>
      <c r="BF678" s="30" t="s">
        <v>1745</v>
      </c>
      <c r="BG678" s="30" t="s">
        <v>1880</v>
      </c>
      <c r="BH678" s="30" t="s">
        <v>1054</v>
      </c>
      <c r="BI678" s="30" t="str">
        <f t="shared" si="454"/>
        <v>COF(Assy_FT)</v>
      </c>
      <c r="BJ678" s="47" t="s">
        <v>137</v>
      </c>
      <c r="BK678" s="56">
        <f t="shared" si="461"/>
        <v>5034400</v>
      </c>
      <c r="BL678" s="57">
        <f t="shared" si="429"/>
        <v>479922.89719730278</v>
      </c>
      <c r="BM678" s="57">
        <f t="shared" si="430"/>
        <v>159974.29906576758</v>
      </c>
      <c r="BU678" s="58">
        <f>BM678*3</f>
        <v>479922.89719730278</v>
      </c>
      <c r="BV678" s="58">
        <f t="shared" si="467"/>
        <v>479922.89719730278</v>
      </c>
      <c r="BW678" s="58">
        <f>SUM(BS678:BV678)</f>
        <v>959845.79439460556</v>
      </c>
      <c r="BX678" s="58">
        <f t="shared" si="432"/>
        <v>479922.89719730278</v>
      </c>
      <c r="BY678" s="58">
        <f t="shared" si="433"/>
        <v>479922.89719730278</v>
      </c>
      <c r="BZ678" s="58">
        <f t="shared" si="464"/>
        <v>479922.89719730278</v>
      </c>
      <c r="CA678" s="58">
        <f t="shared" si="433"/>
        <v>479922.89719730278</v>
      </c>
      <c r="CB678" s="58">
        <f t="shared" si="455"/>
        <v>1919691.5887892111</v>
      </c>
      <c r="CC678" s="58">
        <f t="shared" si="456"/>
        <v>479922.89719730278</v>
      </c>
      <c r="CD678" s="58">
        <f t="shared" si="470"/>
        <v>479922.89719730278</v>
      </c>
      <c r="CE678" s="58">
        <f t="shared" si="470"/>
        <v>479922.89719730278</v>
      </c>
      <c r="CF678" s="58">
        <f t="shared" si="470"/>
        <v>479922.89719730278</v>
      </c>
      <c r="CG678" s="58">
        <f t="shared" si="457"/>
        <v>1919691.5887892111</v>
      </c>
      <c r="CH678" s="58">
        <f t="shared" si="434"/>
        <v>479922.89719730278</v>
      </c>
      <c r="CI678" s="58">
        <f t="shared" si="449"/>
        <v>479922.89719730278</v>
      </c>
      <c r="CJ678" s="58">
        <f t="shared" si="449"/>
        <v>479922.89719730278</v>
      </c>
      <c r="CK678" s="58">
        <f t="shared" si="449"/>
        <v>479922.89719730278</v>
      </c>
      <c r="CL678" s="58">
        <f t="shared" si="435"/>
        <v>1919691.5887892111</v>
      </c>
      <c r="CN678" s="59">
        <f t="shared" si="468"/>
        <v>4.9157774811017568E-4</v>
      </c>
      <c r="CO678" s="64">
        <f t="shared" si="469"/>
        <v>10323132.710313689</v>
      </c>
      <c r="CP678" s="2">
        <f t="shared" si="458"/>
        <v>15357532.710313689</v>
      </c>
    </row>
    <row r="679" spans="1:94" ht="16.5" hidden="1" x14ac:dyDescent="0.3">
      <c r="A679" s="2">
        <v>674</v>
      </c>
      <c r="B679" s="47" t="s">
        <v>21</v>
      </c>
      <c r="C679" s="47"/>
      <c r="D679" s="30" t="s">
        <v>1725</v>
      </c>
      <c r="E679" s="30" t="s">
        <v>1042</v>
      </c>
      <c r="F679" s="30" t="s">
        <v>1043</v>
      </c>
      <c r="G679" s="30" t="s">
        <v>117</v>
      </c>
      <c r="H679" s="30"/>
      <c r="I679" s="30" t="s">
        <v>119</v>
      </c>
      <c r="J679" s="30" t="s">
        <v>1871</v>
      </c>
      <c r="K679" s="30" t="s">
        <v>1872</v>
      </c>
      <c r="L679" s="30" t="s">
        <v>1873</v>
      </c>
      <c r="M679" s="30">
        <v>1005530</v>
      </c>
      <c r="N679" s="30" t="s">
        <v>138</v>
      </c>
      <c r="O679" s="30" t="s">
        <v>2011</v>
      </c>
      <c r="P679" s="30" t="s">
        <v>1956</v>
      </c>
      <c r="Q679" s="30" t="s">
        <v>1956</v>
      </c>
      <c r="R679" s="30" t="s">
        <v>1876</v>
      </c>
      <c r="S679" s="30"/>
      <c r="T679" s="30" t="s">
        <v>1752</v>
      </c>
      <c r="U679" s="30" t="s">
        <v>588</v>
      </c>
      <c r="V679" s="30" t="s">
        <v>403</v>
      </c>
      <c r="W679" s="30" t="s">
        <v>1877</v>
      </c>
      <c r="X679" s="89" t="s">
        <v>1764</v>
      </c>
      <c r="Y679" s="125" t="s">
        <v>457</v>
      </c>
      <c r="Z679" s="125" t="s">
        <v>457</v>
      </c>
      <c r="AA679" s="92" t="s">
        <v>891</v>
      </c>
      <c r="AB679" s="30" t="s">
        <v>1878</v>
      </c>
      <c r="AC679" s="30"/>
      <c r="AD679" s="30"/>
      <c r="AE679" s="30"/>
      <c r="AF679" s="30" t="s">
        <v>179</v>
      </c>
      <c r="AG679" s="30" t="s">
        <v>152</v>
      </c>
      <c r="AH679" s="132" t="s">
        <v>1879</v>
      </c>
      <c r="AI679" s="30"/>
      <c r="AJ679" s="30"/>
      <c r="AK679" s="50">
        <v>43313</v>
      </c>
      <c r="AL679" s="51">
        <f t="shared" si="460"/>
        <v>7.2547945205479456</v>
      </c>
      <c r="AM679" s="30">
        <v>8</v>
      </c>
      <c r="AN679" s="30"/>
      <c r="AO679" s="30" t="s">
        <v>1050</v>
      </c>
      <c r="AP679" s="30" t="s">
        <v>1187</v>
      </c>
      <c r="AQ679" s="30">
        <v>1.5</v>
      </c>
      <c r="AR679" s="30">
        <v>1720</v>
      </c>
      <c r="AS679" s="30">
        <v>1550</v>
      </c>
      <c r="AT679" s="30">
        <v>2300</v>
      </c>
      <c r="AU679" s="54">
        <v>217914820</v>
      </c>
      <c r="AV679" s="54"/>
      <c r="AW679" s="54"/>
      <c r="AX679" s="54"/>
      <c r="AY679" s="54">
        <v>184725468</v>
      </c>
      <c r="AZ679" s="54">
        <v>2199113</v>
      </c>
      <c r="BA679" s="54">
        <v>26521180</v>
      </c>
      <c r="BB679" s="55">
        <f>VLOOKUP(M679,[1]Sheet1!$E$6:$F$556,2,FALSE)</f>
        <v>1324609</v>
      </c>
      <c r="BC679" s="74"/>
      <c r="BD679" s="74"/>
      <c r="BE679" s="30"/>
      <c r="BF679" s="30" t="s">
        <v>1739</v>
      </c>
      <c r="BG679" s="30" t="s">
        <v>1880</v>
      </c>
      <c r="BH679" s="30" t="s">
        <v>1054</v>
      </c>
      <c r="BI679" s="30" t="str">
        <f t="shared" si="454"/>
        <v>COF(Assy_FT)</v>
      </c>
      <c r="BJ679" s="47" t="s">
        <v>137</v>
      </c>
      <c r="BK679" s="67">
        <f t="shared" si="461"/>
        <v>27847239</v>
      </c>
      <c r="BL679" s="68">
        <f t="shared" si="429"/>
        <v>2654641.5898271333</v>
      </c>
      <c r="BM679" s="68">
        <f t="shared" si="430"/>
        <v>884880.52994237782</v>
      </c>
      <c r="BP679" s="69">
        <f>BM679*3</f>
        <v>2654641.5898271333</v>
      </c>
      <c r="BQ679" s="69">
        <f>BP679</f>
        <v>2654641.5898271333</v>
      </c>
      <c r="BR679" s="69">
        <f>SUM(BN679:BQ679)</f>
        <v>5309283.1796542667</v>
      </c>
      <c r="BS679" s="69">
        <f>BQ679</f>
        <v>2654641.5898271333</v>
      </c>
      <c r="BT679" s="69">
        <f>BS679</f>
        <v>2654641.5898271333</v>
      </c>
      <c r="BU679" s="100">
        <f>BT679</f>
        <v>2654641.5898271333</v>
      </c>
      <c r="BV679" s="100">
        <f t="shared" si="467"/>
        <v>2654641.5898271333</v>
      </c>
      <c r="BW679" s="100">
        <f>SUM(BS679:BV679)</f>
        <v>10618566.359308533</v>
      </c>
      <c r="BX679" s="101">
        <f t="shared" si="432"/>
        <v>2654641.5898271333</v>
      </c>
      <c r="BY679" s="101">
        <f t="shared" si="433"/>
        <v>2654641.5898271333</v>
      </c>
      <c r="BZ679" s="18">
        <f t="shared" si="464"/>
        <v>2654641.5898271333</v>
      </c>
      <c r="CA679" s="18">
        <f t="shared" si="433"/>
        <v>2654641.5898271333</v>
      </c>
      <c r="CB679" s="70">
        <f t="shared" si="455"/>
        <v>10618566.359308533</v>
      </c>
      <c r="CC679" s="18">
        <f t="shared" si="456"/>
        <v>2654641.5898271333</v>
      </c>
      <c r="CD679" s="18">
        <f t="shared" si="470"/>
        <v>2654641.5898271333</v>
      </c>
      <c r="CE679" s="18">
        <f t="shared" si="470"/>
        <v>2654641.5898271333</v>
      </c>
      <c r="CF679" s="18">
        <f t="shared" si="470"/>
        <v>2654641.5898271333</v>
      </c>
      <c r="CG679" s="70">
        <f t="shared" si="457"/>
        <v>10618566.359308533</v>
      </c>
      <c r="CH679" s="18">
        <f t="shared" si="434"/>
        <v>2654641.5898271333</v>
      </c>
      <c r="CI679" s="18">
        <f t="shared" si="449"/>
        <v>2654641.5898271333</v>
      </c>
      <c r="CJ679" s="18">
        <f t="shared" si="449"/>
        <v>2654641.5898271333</v>
      </c>
      <c r="CK679" s="18">
        <f t="shared" si="449"/>
        <v>2654641.5898271333</v>
      </c>
      <c r="CL679" s="70">
        <f t="shared" si="435"/>
        <v>10618566.359308533</v>
      </c>
      <c r="CM679" s="71"/>
      <c r="CN679" s="59">
        <f t="shared" si="468"/>
        <v>2.7191091368794413E-3</v>
      </c>
      <c r="CO679" s="64">
        <f t="shared" si="469"/>
        <v>57101291.874468267</v>
      </c>
      <c r="CP679" s="2">
        <f t="shared" si="458"/>
        <v>84948530.874468267</v>
      </c>
    </row>
    <row r="680" spans="1:94" ht="16.5" hidden="1" x14ac:dyDescent="0.3">
      <c r="A680" s="2">
        <v>675</v>
      </c>
      <c r="B680" s="47" t="s">
        <v>21</v>
      </c>
      <c r="C680" s="47"/>
      <c r="D680" s="30" t="s">
        <v>1725</v>
      </c>
      <c r="E680" s="30" t="s">
        <v>1042</v>
      </c>
      <c r="F680" s="30" t="s">
        <v>1043</v>
      </c>
      <c r="G680" s="30" t="s">
        <v>117</v>
      </c>
      <c r="H680" s="30"/>
      <c r="I680" s="30" t="s">
        <v>119</v>
      </c>
      <c r="J680" s="30" t="s">
        <v>1871</v>
      </c>
      <c r="K680" s="30" t="s">
        <v>1872</v>
      </c>
      <c r="L680" s="30" t="s">
        <v>1873</v>
      </c>
      <c r="M680" s="30">
        <v>1005526</v>
      </c>
      <c r="N680" s="30" t="s">
        <v>138</v>
      </c>
      <c r="O680" s="30" t="s">
        <v>2012</v>
      </c>
      <c r="P680" s="30" t="s">
        <v>2001</v>
      </c>
      <c r="Q680" s="30" t="s">
        <v>2001</v>
      </c>
      <c r="R680" s="30" t="s">
        <v>1876</v>
      </c>
      <c r="S680" s="30">
        <v>78</v>
      </c>
      <c r="T680" s="30" t="s">
        <v>1752</v>
      </c>
      <c r="U680" s="30" t="s">
        <v>588</v>
      </c>
      <c r="V680" s="30" t="s">
        <v>403</v>
      </c>
      <c r="W680" s="30" t="s">
        <v>1877</v>
      </c>
      <c r="X680" s="89" t="s">
        <v>1757</v>
      </c>
      <c r="Y680" s="30" t="s">
        <v>457</v>
      </c>
      <c r="Z680" s="30" t="s">
        <v>457</v>
      </c>
      <c r="AA680" s="92" t="s">
        <v>891</v>
      </c>
      <c r="AB680" s="30" t="s">
        <v>1878</v>
      </c>
      <c r="AC680" s="30"/>
      <c r="AD680" s="30"/>
      <c r="AE680" s="30"/>
      <c r="AF680" s="30" t="s">
        <v>179</v>
      </c>
      <c r="AG680" s="30" t="s">
        <v>152</v>
      </c>
      <c r="AH680" s="132" t="s">
        <v>1879</v>
      </c>
      <c r="AI680" s="30"/>
      <c r="AJ680" s="30"/>
      <c r="AK680" s="50">
        <v>43318</v>
      </c>
      <c r="AL680" s="51">
        <f t="shared" si="460"/>
        <v>7.2410958904109588</v>
      </c>
      <c r="AM680" s="30">
        <v>8</v>
      </c>
      <c r="AN680" s="30"/>
      <c r="AO680" s="30" t="s">
        <v>1050</v>
      </c>
      <c r="AP680" s="30" t="s">
        <v>1187</v>
      </c>
      <c r="AQ680" s="30">
        <v>1.5</v>
      </c>
      <c r="AR680" s="30">
        <v>1630</v>
      </c>
      <c r="AS680" s="30">
        <v>1380</v>
      </c>
      <c r="AT680" s="30">
        <v>2080</v>
      </c>
      <c r="AU680" s="54">
        <v>160025000</v>
      </c>
      <c r="AV680" s="54"/>
      <c r="AW680" s="54"/>
      <c r="AX680" s="54"/>
      <c r="AY680" s="54">
        <v>140021874</v>
      </c>
      <c r="AZ680" s="54">
        <v>1666927</v>
      </c>
      <c r="BA680" s="54">
        <v>15002345</v>
      </c>
      <c r="BB680" s="55">
        <f>VLOOKUP(M680,[1]Sheet1!$E$6:$F$556,2,FALSE)</f>
        <v>703353</v>
      </c>
      <c r="BC680" s="74"/>
      <c r="BD680" s="74"/>
      <c r="BE680" s="30"/>
      <c r="BF680" s="30" t="s">
        <v>1739</v>
      </c>
      <c r="BG680" s="30" t="s">
        <v>1880</v>
      </c>
      <c r="BH680" s="30" t="s">
        <v>1054</v>
      </c>
      <c r="BI680" s="30" t="str">
        <f t="shared" si="454"/>
        <v>COF(Assy_FT)</v>
      </c>
      <c r="BJ680" s="47" t="s">
        <v>137</v>
      </c>
      <c r="BK680" s="56">
        <f t="shared" si="461"/>
        <v>15752462.25</v>
      </c>
      <c r="BL680" s="57">
        <f t="shared" si="429"/>
        <v>1501662.0294396835</v>
      </c>
      <c r="BM680" s="57">
        <f t="shared" si="430"/>
        <v>500554.00981322787</v>
      </c>
      <c r="BU680" s="58">
        <f t="shared" ref="BU680:BU687" si="471">BM680*3</f>
        <v>1501662.0294396835</v>
      </c>
      <c r="BV680" s="58">
        <f t="shared" si="467"/>
        <v>1501662.0294396835</v>
      </c>
      <c r="BW680" s="58">
        <f t="shared" ref="BW680:BW687" si="472">SUM(BS680:BV680)</f>
        <v>3003324.0588793671</v>
      </c>
      <c r="BX680" s="58">
        <f t="shared" si="432"/>
        <v>1501662.0294396835</v>
      </c>
      <c r="BY680" s="58">
        <f t="shared" si="433"/>
        <v>1501662.0294396835</v>
      </c>
      <c r="BZ680" s="58">
        <f t="shared" si="464"/>
        <v>1501662.0294396835</v>
      </c>
      <c r="CA680" s="58">
        <f t="shared" si="433"/>
        <v>1501662.0294396835</v>
      </c>
      <c r="CB680" s="58">
        <f t="shared" si="455"/>
        <v>6006648.1177587342</v>
      </c>
      <c r="CC680" s="58">
        <f t="shared" si="456"/>
        <v>1501662.0294396835</v>
      </c>
      <c r="CD680" s="58">
        <f t="shared" si="470"/>
        <v>1501662.0294396835</v>
      </c>
      <c r="CE680" s="58">
        <f t="shared" si="470"/>
        <v>1501662.0294396835</v>
      </c>
      <c r="CF680" s="58">
        <f t="shared" si="470"/>
        <v>1501662.0294396835</v>
      </c>
      <c r="CG680" s="58">
        <f t="shared" si="457"/>
        <v>6006648.1177587342</v>
      </c>
      <c r="CH680" s="58">
        <f t="shared" si="434"/>
        <v>1501662.0294396835</v>
      </c>
      <c r="CI680" s="58">
        <f t="shared" si="449"/>
        <v>1501662.0294396835</v>
      </c>
      <c r="CJ680" s="58">
        <f t="shared" si="449"/>
        <v>1501662.0294396835</v>
      </c>
      <c r="CK680" s="58">
        <f t="shared" si="449"/>
        <v>1501662.0294396835</v>
      </c>
      <c r="CL680" s="58">
        <f t="shared" si="435"/>
        <v>6006648.1177587342</v>
      </c>
      <c r="CN680" s="59">
        <f t="shared" si="468"/>
        <v>1.5381296520033273E-3</v>
      </c>
      <c r="CO680" s="64">
        <f t="shared" si="469"/>
        <v>32300722.692069873</v>
      </c>
      <c r="CP680" s="2">
        <f t="shared" si="458"/>
        <v>48053184.942069873</v>
      </c>
    </row>
    <row r="681" spans="1:94" ht="16.5" hidden="1" x14ac:dyDescent="0.3">
      <c r="A681" s="2">
        <v>676</v>
      </c>
      <c r="B681" s="47" t="s">
        <v>21</v>
      </c>
      <c r="C681" s="47"/>
      <c r="D681" s="30" t="s">
        <v>1725</v>
      </c>
      <c r="E681" s="30" t="s">
        <v>1042</v>
      </c>
      <c r="F681" s="30" t="s">
        <v>1043</v>
      </c>
      <c r="G681" s="30" t="s">
        <v>117</v>
      </c>
      <c r="H681" s="30"/>
      <c r="I681" s="30" t="s">
        <v>119</v>
      </c>
      <c r="J681" s="30" t="s">
        <v>1871</v>
      </c>
      <c r="K681" s="30" t="s">
        <v>1872</v>
      </c>
      <c r="L681" s="30" t="s">
        <v>1873</v>
      </c>
      <c r="M681" s="30">
        <v>1005527</v>
      </c>
      <c r="N681" s="30" t="s">
        <v>138</v>
      </c>
      <c r="O681" s="30" t="s">
        <v>2013</v>
      </c>
      <c r="P681" s="30" t="s">
        <v>2001</v>
      </c>
      <c r="Q681" s="30" t="s">
        <v>2001</v>
      </c>
      <c r="R681" s="30" t="s">
        <v>1876</v>
      </c>
      <c r="S681" s="30">
        <v>79</v>
      </c>
      <c r="T681" s="30" t="s">
        <v>1752</v>
      </c>
      <c r="U681" s="30" t="s">
        <v>588</v>
      </c>
      <c r="V681" s="30" t="s">
        <v>403</v>
      </c>
      <c r="W681" s="30" t="s">
        <v>1877</v>
      </c>
      <c r="X681" s="89" t="s">
        <v>1757</v>
      </c>
      <c r="Y681" s="30" t="s">
        <v>457</v>
      </c>
      <c r="Z681" s="30" t="s">
        <v>457</v>
      </c>
      <c r="AA681" s="92" t="s">
        <v>891</v>
      </c>
      <c r="AB681" s="30" t="s">
        <v>1878</v>
      </c>
      <c r="AC681" s="30"/>
      <c r="AD681" s="30"/>
      <c r="AE681" s="30"/>
      <c r="AF681" s="30" t="s">
        <v>179</v>
      </c>
      <c r="AG681" s="30" t="s">
        <v>152</v>
      </c>
      <c r="AH681" s="132" t="s">
        <v>1879</v>
      </c>
      <c r="AI681" s="30"/>
      <c r="AJ681" s="30"/>
      <c r="AK681" s="50">
        <v>43318</v>
      </c>
      <c r="AL681" s="51">
        <f t="shared" si="460"/>
        <v>7.2410958904109588</v>
      </c>
      <c r="AM681" s="30">
        <v>8</v>
      </c>
      <c r="AN681" s="30"/>
      <c r="AO681" s="30" t="s">
        <v>1050</v>
      </c>
      <c r="AP681" s="30" t="s">
        <v>1187</v>
      </c>
      <c r="AQ681" s="30">
        <v>1.5</v>
      </c>
      <c r="AR681" s="30">
        <v>1630</v>
      </c>
      <c r="AS681" s="30">
        <v>1380</v>
      </c>
      <c r="AT681" s="30">
        <v>2080</v>
      </c>
      <c r="AU681" s="54">
        <v>160025000</v>
      </c>
      <c r="AV681" s="54"/>
      <c r="AW681" s="54"/>
      <c r="AX681" s="54"/>
      <c r="AY681" s="54">
        <v>140021874</v>
      </c>
      <c r="AZ681" s="54">
        <v>1666927</v>
      </c>
      <c r="BA681" s="54">
        <v>15002345</v>
      </c>
      <c r="BB681" s="55">
        <f>VLOOKUP(M681,[1]Sheet1!$E$6:$F$556,2,FALSE)</f>
        <v>703353</v>
      </c>
      <c r="BC681" s="74"/>
      <c r="BD681" s="74"/>
      <c r="BE681" s="30"/>
      <c r="BF681" s="30" t="s">
        <v>1739</v>
      </c>
      <c r="BG681" s="30" t="s">
        <v>1880</v>
      </c>
      <c r="BH681" s="30" t="s">
        <v>1054</v>
      </c>
      <c r="BI681" s="30" t="str">
        <f t="shared" si="454"/>
        <v>COF(Assy_FT)</v>
      </c>
      <c r="BJ681" s="47" t="s">
        <v>137</v>
      </c>
      <c r="BK681" s="56">
        <f t="shared" si="461"/>
        <v>15752462.25</v>
      </c>
      <c r="BL681" s="57">
        <f t="shared" si="429"/>
        <v>1501662.0294396835</v>
      </c>
      <c r="BM681" s="57">
        <f t="shared" si="430"/>
        <v>500554.00981322787</v>
      </c>
      <c r="BU681" s="58">
        <f t="shared" si="471"/>
        <v>1501662.0294396835</v>
      </c>
      <c r="BV681" s="58">
        <f t="shared" si="467"/>
        <v>1501662.0294396835</v>
      </c>
      <c r="BW681" s="58">
        <f t="shared" si="472"/>
        <v>3003324.0588793671</v>
      </c>
      <c r="BX681" s="58">
        <f t="shared" si="432"/>
        <v>1501662.0294396835</v>
      </c>
      <c r="BY681" s="58">
        <f t="shared" si="433"/>
        <v>1501662.0294396835</v>
      </c>
      <c r="BZ681" s="58">
        <f t="shared" si="464"/>
        <v>1501662.0294396835</v>
      </c>
      <c r="CA681" s="58">
        <f t="shared" si="433"/>
        <v>1501662.0294396835</v>
      </c>
      <c r="CB681" s="58">
        <f t="shared" si="455"/>
        <v>6006648.1177587342</v>
      </c>
      <c r="CC681" s="58">
        <f t="shared" si="456"/>
        <v>1501662.0294396835</v>
      </c>
      <c r="CD681" s="58">
        <f t="shared" si="470"/>
        <v>1501662.0294396835</v>
      </c>
      <c r="CE681" s="58">
        <f t="shared" si="470"/>
        <v>1501662.0294396835</v>
      </c>
      <c r="CF681" s="58">
        <f t="shared" si="470"/>
        <v>1501662.0294396835</v>
      </c>
      <c r="CG681" s="58">
        <f t="shared" si="457"/>
        <v>6006648.1177587342</v>
      </c>
      <c r="CH681" s="58">
        <f t="shared" si="434"/>
        <v>1501662.0294396835</v>
      </c>
      <c r="CI681" s="58">
        <f t="shared" si="449"/>
        <v>1501662.0294396835</v>
      </c>
      <c r="CJ681" s="58">
        <f t="shared" si="449"/>
        <v>1501662.0294396835</v>
      </c>
      <c r="CK681" s="58">
        <f t="shared" si="449"/>
        <v>1501662.0294396835</v>
      </c>
      <c r="CL681" s="58">
        <f t="shared" si="435"/>
        <v>6006648.1177587342</v>
      </c>
      <c r="CN681" s="59">
        <f t="shared" si="468"/>
        <v>1.5381296520033273E-3</v>
      </c>
      <c r="CO681" s="64">
        <f t="shared" si="469"/>
        <v>32300722.692069873</v>
      </c>
      <c r="CP681" s="2">
        <f t="shared" si="458"/>
        <v>48053184.942069873</v>
      </c>
    </row>
    <row r="682" spans="1:94" ht="16.5" hidden="1" x14ac:dyDescent="0.3">
      <c r="A682" s="2">
        <v>677</v>
      </c>
      <c r="B682" s="47" t="s">
        <v>21</v>
      </c>
      <c r="C682" s="47"/>
      <c r="D682" s="30" t="s">
        <v>1725</v>
      </c>
      <c r="E682" s="30" t="s">
        <v>1042</v>
      </c>
      <c r="F682" s="30" t="s">
        <v>1043</v>
      </c>
      <c r="G682" s="30" t="s">
        <v>117</v>
      </c>
      <c r="H682" s="30"/>
      <c r="I682" s="30" t="s">
        <v>119</v>
      </c>
      <c r="J682" s="30" t="s">
        <v>1871</v>
      </c>
      <c r="K682" s="30" t="s">
        <v>1872</v>
      </c>
      <c r="L682" s="30" t="s">
        <v>1873</v>
      </c>
      <c r="M682" s="30">
        <v>1005528</v>
      </c>
      <c r="N682" s="30" t="s">
        <v>138</v>
      </c>
      <c r="O682" s="30" t="s">
        <v>2014</v>
      </c>
      <c r="P682" s="30" t="s">
        <v>1956</v>
      </c>
      <c r="Q682" s="30" t="s">
        <v>1956</v>
      </c>
      <c r="R682" s="30" t="s">
        <v>1876</v>
      </c>
      <c r="S682" s="30"/>
      <c r="T682" s="30" t="s">
        <v>1752</v>
      </c>
      <c r="U682" s="30" t="s">
        <v>588</v>
      </c>
      <c r="V682" s="30" t="s">
        <v>403</v>
      </c>
      <c r="W682" s="30" t="s">
        <v>1877</v>
      </c>
      <c r="X682" s="89" t="s">
        <v>1757</v>
      </c>
      <c r="Y682" s="30" t="s">
        <v>457</v>
      </c>
      <c r="Z682" s="30" t="s">
        <v>457</v>
      </c>
      <c r="AA682" s="92" t="s">
        <v>891</v>
      </c>
      <c r="AB682" s="30" t="s">
        <v>1878</v>
      </c>
      <c r="AC682" s="30"/>
      <c r="AD682" s="30"/>
      <c r="AE682" s="30"/>
      <c r="AF682" s="30" t="s">
        <v>179</v>
      </c>
      <c r="AG682" s="30" t="s">
        <v>152</v>
      </c>
      <c r="AH682" s="132" t="s">
        <v>1879</v>
      </c>
      <c r="AI682" s="30"/>
      <c r="AJ682" s="30"/>
      <c r="AK682" s="50">
        <v>43341</v>
      </c>
      <c r="AL682" s="51">
        <f t="shared" si="460"/>
        <v>7.1780821917808222</v>
      </c>
      <c r="AM682" s="30">
        <v>8</v>
      </c>
      <c r="AN682" s="30"/>
      <c r="AO682" s="30" t="s">
        <v>1050</v>
      </c>
      <c r="AP682" s="30" t="s">
        <v>1187</v>
      </c>
      <c r="AQ682" s="30">
        <v>1.5</v>
      </c>
      <c r="AR682" s="30">
        <v>1630</v>
      </c>
      <c r="AS682" s="30">
        <v>1380</v>
      </c>
      <c r="AT682" s="30">
        <v>2080</v>
      </c>
      <c r="AU682" s="54">
        <v>162875000</v>
      </c>
      <c r="AV682" s="54"/>
      <c r="AW682" s="54"/>
      <c r="AX682" s="54"/>
      <c r="AY682" s="54">
        <v>141209381</v>
      </c>
      <c r="AZ682" s="54">
        <v>1696615</v>
      </c>
      <c r="BA682" s="54">
        <v>16575774</v>
      </c>
      <c r="BB682" s="55">
        <f>VLOOKUP(M682,[1]Sheet1!$E$6:$F$556,2,FALSE)</f>
        <v>794563</v>
      </c>
      <c r="BC682" s="74"/>
      <c r="BD682" s="74"/>
      <c r="BE682" s="30"/>
      <c r="BF682" s="30" t="s">
        <v>1739</v>
      </c>
      <c r="BG682" s="30" t="s">
        <v>1880</v>
      </c>
      <c r="BH682" s="30" t="s">
        <v>1054</v>
      </c>
      <c r="BI682" s="30" t="str">
        <f t="shared" si="454"/>
        <v>COF(Assy_FT)</v>
      </c>
      <c r="BJ682" s="47" t="s">
        <v>137</v>
      </c>
      <c r="BK682" s="56">
        <f t="shared" si="461"/>
        <v>17404562.699999999</v>
      </c>
      <c r="BL682" s="57">
        <f t="shared" si="429"/>
        <v>1659154.6471150704</v>
      </c>
      <c r="BM682" s="57">
        <f t="shared" si="430"/>
        <v>553051.54903835675</v>
      </c>
      <c r="BU682" s="58">
        <f t="shared" si="471"/>
        <v>1659154.6471150704</v>
      </c>
      <c r="BV682" s="58">
        <f t="shared" si="467"/>
        <v>1659154.6471150704</v>
      </c>
      <c r="BW682" s="58">
        <f t="shared" si="472"/>
        <v>3318309.2942301407</v>
      </c>
      <c r="BX682" s="58">
        <f t="shared" si="432"/>
        <v>1659154.6471150704</v>
      </c>
      <c r="BY682" s="58">
        <f t="shared" si="433"/>
        <v>1659154.6471150704</v>
      </c>
      <c r="BZ682" s="58">
        <f t="shared" si="464"/>
        <v>1659154.6471150704</v>
      </c>
      <c r="CA682" s="58">
        <f t="shared" si="433"/>
        <v>1659154.6471150704</v>
      </c>
      <c r="CB682" s="58">
        <f t="shared" si="455"/>
        <v>6636618.5884602815</v>
      </c>
      <c r="CC682" s="58">
        <f t="shared" si="456"/>
        <v>1659154.6471150704</v>
      </c>
      <c r="CD682" s="58">
        <f t="shared" si="470"/>
        <v>1659154.6471150704</v>
      </c>
      <c r="CE682" s="58">
        <f t="shared" si="470"/>
        <v>1659154.6471150704</v>
      </c>
      <c r="CF682" s="58">
        <f t="shared" si="470"/>
        <v>1659154.6471150704</v>
      </c>
      <c r="CG682" s="58">
        <f t="shared" si="457"/>
        <v>6636618.5884602815</v>
      </c>
      <c r="CH682" s="58">
        <f t="shared" si="434"/>
        <v>1659154.6471150704</v>
      </c>
      <c r="CI682" s="58">
        <f t="shared" si="449"/>
        <v>1659154.6471150704</v>
      </c>
      <c r="CJ682" s="58">
        <f t="shared" si="449"/>
        <v>1659154.6471150704</v>
      </c>
      <c r="CK682" s="58">
        <f t="shared" si="449"/>
        <v>1659154.6471150704</v>
      </c>
      <c r="CL682" s="58">
        <f t="shared" si="435"/>
        <v>6636618.5884602815</v>
      </c>
      <c r="CN682" s="59">
        <f t="shared" si="468"/>
        <v>1.6994469527467739E-3</v>
      </c>
      <c r="CO682" s="64">
        <f t="shared" si="469"/>
        <v>35688386.007682249</v>
      </c>
      <c r="CP682" s="2">
        <f t="shared" si="458"/>
        <v>53092948.707682252</v>
      </c>
    </row>
    <row r="683" spans="1:94" ht="16.5" hidden="1" x14ac:dyDescent="0.3">
      <c r="A683" s="2">
        <v>678</v>
      </c>
      <c r="B683" s="47" t="s">
        <v>21</v>
      </c>
      <c r="C683" s="47"/>
      <c r="D683" s="30" t="s">
        <v>1725</v>
      </c>
      <c r="E683" s="30" t="s">
        <v>1042</v>
      </c>
      <c r="F683" s="30" t="s">
        <v>1043</v>
      </c>
      <c r="G683" s="30" t="s">
        <v>117</v>
      </c>
      <c r="H683" s="30"/>
      <c r="I683" s="30" t="s">
        <v>119</v>
      </c>
      <c r="J683" s="30" t="s">
        <v>1871</v>
      </c>
      <c r="K683" s="30" t="s">
        <v>1872</v>
      </c>
      <c r="L683" s="30" t="s">
        <v>1873</v>
      </c>
      <c r="M683" s="30">
        <v>1005609</v>
      </c>
      <c r="N683" s="30" t="s">
        <v>138</v>
      </c>
      <c r="O683" s="30" t="s">
        <v>2015</v>
      </c>
      <c r="P683" s="30" t="s">
        <v>2001</v>
      </c>
      <c r="Q683" s="30" t="s">
        <v>2001</v>
      </c>
      <c r="R683" s="30" t="s">
        <v>1876</v>
      </c>
      <c r="S683" s="30">
        <v>81</v>
      </c>
      <c r="T683" s="30" t="s">
        <v>1752</v>
      </c>
      <c r="U683" s="30" t="s">
        <v>588</v>
      </c>
      <c r="V683" s="30" t="s">
        <v>403</v>
      </c>
      <c r="W683" s="30" t="s">
        <v>1877</v>
      </c>
      <c r="X683" s="89" t="s">
        <v>1757</v>
      </c>
      <c r="Y683" s="30" t="s">
        <v>457</v>
      </c>
      <c r="Z683" s="30" t="s">
        <v>457</v>
      </c>
      <c r="AA683" s="92" t="s">
        <v>891</v>
      </c>
      <c r="AB683" s="30" t="s">
        <v>1878</v>
      </c>
      <c r="AC683" s="30"/>
      <c r="AD683" s="30"/>
      <c r="AE683" s="30"/>
      <c r="AF683" s="30" t="s">
        <v>179</v>
      </c>
      <c r="AG683" s="30" t="s">
        <v>152</v>
      </c>
      <c r="AH683" s="132" t="s">
        <v>1879</v>
      </c>
      <c r="AI683" s="30"/>
      <c r="AJ683" s="30"/>
      <c r="AK683" s="50">
        <v>43404</v>
      </c>
      <c r="AL683" s="51">
        <f t="shared" si="460"/>
        <v>7.0054794520547947</v>
      </c>
      <c r="AM683" s="30">
        <v>8</v>
      </c>
      <c r="AN683" s="30"/>
      <c r="AO683" s="30" t="s">
        <v>1050</v>
      </c>
      <c r="AP683" s="30" t="s">
        <v>1187</v>
      </c>
      <c r="AQ683" s="30">
        <v>1.5</v>
      </c>
      <c r="AR683" s="30">
        <v>1630</v>
      </c>
      <c r="AS683" s="30">
        <v>1380</v>
      </c>
      <c r="AT683" s="30">
        <v>2080</v>
      </c>
      <c r="AU683" s="54">
        <v>211413093</v>
      </c>
      <c r="AV683" s="54"/>
      <c r="AW683" s="54"/>
      <c r="AX683" s="54"/>
      <c r="AY683" s="54">
        <v>180582016</v>
      </c>
      <c r="AZ683" s="54">
        <v>2202220</v>
      </c>
      <c r="BA683" s="54">
        <v>24224417</v>
      </c>
      <c r="BB683" s="55">
        <f>VLOOKUP(M683,[1]Sheet1!$E$6:$F$556,2,FALSE)</f>
        <v>1393309</v>
      </c>
      <c r="BC683" s="74"/>
      <c r="BD683" s="74"/>
      <c r="BE683" s="30"/>
      <c r="BF683" s="30" t="s">
        <v>1739</v>
      </c>
      <c r="BG683" s="30" t="s">
        <v>1880</v>
      </c>
      <c r="BH683" s="30" t="s">
        <v>1054</v>
      </c>
      <c r="BI683" s="30" t="str">
        <f t="shared" si="454"/>
        <v>COF(Assy_FT)</v>
      </c>
      <c r="BJ683" s="47" t="s">
        <v>137</v>
      </c>
      <c r="BK683" s="56">
        <f t="shared" si="461"/>
        <v>25435637.850000001</v>
      </c>
      <c r="BL683" s="57">
        <f t="shared" ref="BL683:BL746" si="473">CP683/$BL$1/4</f>
        <v>2424746.7442065338</v>
      </c>
      <c r="BM683" s="57">
        <f t="shared" ref="BM683:BM746" si="474">CP683/$BL$1/12</f>
        <v>808248.91473551129</v>
      </c>
      <c r="BU683" s="58">
        <f t="shared" si="471"/>
        <v>2424746.7442065338</v>
      </c>
      <c r="BV683" s="58">
        <f t="shared" si="467"/>
        <v>2424746.7442065338</v>
      </c>
      <c r="BW683" s="58">
        <f t="shared" si="472"/>
        <v>4849493.4884130675</v>
      </c>
      <c r="BX683" s="58">
        <f>BV683</f>
        <v>2424746.7442065338</v>
      </c>
      <c r="BY683" s="58">
        <f>BX683</f>
        <v>2424746.7442065338</v>
      </c>
      <c r="BZ683" s="58">
        <f t="shared" si="464"/>
        <v>2424746.7442065338</v>
      </c>
      <c r="CA683" s="58">
        <f>BZ683</f>
        <v>2424746.7442065338</v>
      </c>
      <c r="CB683" s="58">
        <f t="shared" si="455"/>
        <v>9698986.9768261351</v>
      </c>
      <c r="CC683" s="58">
        <f t="shared" si="456"/>
        <v>2424746.7442065338</v>
      </c>
      <c r="CD683" s="58">
        <f t="shared" si="470"/>
        <v>2424746.7442065338</v>
      </c>
      <c r="CE683" s="58">
        <f t="shared" si="470"/>
        <v>2424746.7442065338</v>
      </c>
      <c r="CF683" s="58">
        <f t="shared" si="470"/>
        <v>2424746.7442065338</v>
      </c>
      <c r="CG683" s="58">
        <f t="shared" si="457"/>
        <v>9698986.9768261351</v>
      </c>
      <c r="CH683" s="58">
        <f>CF683</f>
        <v>2424746.7442065338</v>
      </c>
      <c r="CI683" s="58">
        <f t="shared" si="449"/>
        <v>2424746.7442065338</v>
      </c>
      <c r="CJ683" s="58">
        <f t="shared" si="449"/>
        <v>2424746.7442065338</v>
      </c>
      <c r="CK683" s="58">
        <f t="shared" si="449"/>
        <v>2424746.7442065338</v>
      </c>
      <c r="CL683" s="58">
        <f t="shared" ref="CL683:CL689" si="475">SUM(CH683:CK683)</f>
        <v>9698986.9768261351</v>
      </c>
      <c r="CN683" s="59">
        <f t="shared" si="468"/>
        <v>2.4836313316480515E-3</v>
      </c>
      <c r="CO683" s="64">
        <f t="shared" si="469"/>
        <v>52156257.964609079</v>
      </c>
      <c r="CP683" s="2">
        <f t="shared" si="458"/>
        <v>77591895.814609081</v>
      </c>
    </row>
    <row r="684" spans="1:94" ht="15" hidden="1" x14ac:dyDescent="0.3">
      <c r="A684" s="29">
        <v>679</v>
      </c>
      <c r="B684" s="30" t="s">
        <v>21</v>
      </c>
      <c r="C684" s="30"/>
      <c r="D684" s="30" t="s">
        <v>1725</v>
      </c>
      <c r="E684" s="30" t="s">
        <v>1042</v>
      </c>
      <c r="F684" s="30" t="s">
        <v>1043</v>
      </c>
      <c r="G684" s="30" t="s">
        <v>117</v>
      </c>
      <c r="H684" s="30"/>
      <c r="I684" s="30" t="s">
        <v>119</v>
      </c>
      <c r="J684" s="30" t="s">
        <v>1871</v>
      </c>
      <c r="K684" s="30" t="s">
        <v>1872</v>
      </c>
      <c r="L684" s="30" t="s">
        <v>1873</v>
      </c>
      <c r="M684" s="30">
        <v>1005642</v>
      </c>
      <c r="N684" s="30" t="s">
        <v>138</v>
      </c>
      <c r="O684" s="30" t="s">
        <v>2016</v>
      </c>
      <c r="P684" s="30" t="s">
        <v>1956</v>
      </c>
      <c r="Q684" s="30" t="s">
        <v>1956</v>
      </c>
      <c r="R684" s="30" t="s">
        <v>1876</v>
      </c>
      <c r="S684" s="30"/>
      <c r="T684" s="30" t="s">
        <v>1780</v>
      </c>
      <c r="U684" s="30" t="s">
        <v>588</v>
      </c>
      <c r="V684" s="30" t="s">
        <v>403</v>
      </c>
      <c r="W684" s="30" t="s">
        <v>1877</v>
      </c>
      <c r="X684" s="89"/>
      <c r="Y684" s="30" t="s">
        <v>457</v>
      </c>
      <c r="Z684" s="30" t="s">
        <v>457</v>
      </c>
      <c r="AA684" s="92" t="s">
        <v>891</v>
      </c>
      <c r="AB684" s="30" t="s">
        <v>1878</v>
      </c>
      <c r="AC684" s="30"/>
      <c r="AD684" s="30"/>
      <c r="AE684" s="30"/>
      <c r="AF684" s="30" t="s">
        <v>179</v>
      </c>
      <c r="AG684" s="30" t="s">
        <v>152</v>
      </c>
      <c r="AH684" s="132" t="s">
        <v>1879</v>
      </c>
      <c r="AI684" s="30"/>
      <c r="AJ684" s="30"/>
      <c r="AK684" s="50">
        <v>43382</v>
      </c>
      <c r="AL684" s="51">
        <f t="shared" si="460"/>
        <v>7.065753424657534</v>
      </c>
      <c r="AM684" s="30">
        <v>8</v>
      </c>
      <c r="AN684" s="30"/>
      <c r="AO684" s="30" t="s">
        <v>1050</v>
      </c>
      <c r="AP684" s="30" t="s">
        <v>1187</v>
      </c>
      <c r="AQ684" s="30">
        <v>1.5</v>
      </c>
      <c r="AR684" s="30">
        <v>1720</v>
      </c>
      <c r="AS684" s="30">
        <v>1550</v>
      </c>
      <c r="AT684" s="30">
        <v>2300</v>
      </c>
      <c r="AU684" s="74">
        <v>213749040</v>
      </c>
      <c r="AV684" s="54"/>
      <c r="AW684" s="54"/>
      <c r="AX684" s="54"/>
      <c r="AY684" s="54">
        <v>181330438</v>
      </c>
      <c r="AZ684" s="54">
        <v>2226553</v>
      </c>
      <c r="BA684" s="74">
        <v>25738943</v>
      </c>
      <c r="BB684" s="55">
        <f>VLOOKUP(M684,[1]Sheet1!$E$6:$F$556,2,FALSE)</f>
        <v>1496333</v>
      </c>
      <c r="BC684" s="74"/>
      <c r="BD684" s="74"/>
      <c r="BE684" s="30"/>
      <c r="BF684" s="30" t="s">
        <v>1739</v>
      </c>
      <c r="BG684" s="30" t="s">
        <v>1880</v>
      </c>
      <c r="BH684" s="30" t="s">
        <v>1054</v>
      </c>
      <c r="BI684" s="30" t="str">
        <f t="shared" si="454"/>
        <v>COF(Assy_FT)</v>
      </c>
      <c r="BJ684" s="30" t="s">
        <v>250</v>
      </c>
      <c r="BK684" s="56">
        <f t="shared" si="461"/>
        <v>27025890.150000002</v>
      </c>
      <c r="BL684" s="57">
        <f t="shared" si="473"/>
        <v>844559.06718750007</v>
      </c>
      <c r="BM684" s="57">
        <f t="shared" si="474"/>
        <v>281519.68906250002</v>
      </c>
      <c r="BU684" s="58">
        <f t="shared" si="471"/>
        <v>844559.06718750007</v>
      </c>
      <c r="BV684" s="58">
        <f t="shared" si="467"/>
        <v>844559.06718750007</v>
      </c>
      <c r="BW684" s="58">
        <f t="shared" si="472"/>
        <v>1689118.1343750001</v>
      </c>
      <c r="BX684" s="58">
        <f>BV684</f>
        <v>844559.06718750007</v>
      </c>
      <c r="BY684" s="58">
        <f>BX684</f>
        <v>844559.06718750007</v>
      </c>
      <c r="BZ684" s="58">
        <f t="shared" si="464"/>
        <v>844559.06718750007</v>
      </c>
      <c r="CA684" s="58">
        <f>BZ684</f>
        <v>844559.06718750007</v>
      </c>
      <c r="CB684" s="58">
        <f t="shared" si="455"/>
        <v>3378236.2687500003</v>
      </c>
      <c r="CC684" s="58">
        <f t="shared" si="456"/>
        <v>844559.06718750007</v>
      </c>
      <c r="CD684" s="58">
        <f t="shared" si="470"/>
        <v>844559.06718750007</v>
      </c>
      <c r="CE684" s="58">
        <f t="shared" si="470"/>
        <v>844559.06718750007</v>
      </c>
      <c r="CF684" s="58">
        <f t="shared" si="470"/>
        <v>844559.06718750007</v>
      </c>
      <c r="CG684" s="58">
        <f t="shared" si="457"/>
        <v>3378236.2687500003</v>
      </c>
      <c r="CH684" s="58">
        <f>CF684</f>
        <v>844559.06718750007</v>
      </c>
      <c r="CI684" s="58">
        <f t="shared" si="449"/>
        <v>844559.06718750007</v>
      </c>
      <c r="CJ684" s="58">
        <f t="shared" si="449"/>
        <v>844559.06718750007</v>
      </c>
      <c r="CK684" s="58">
        <f t="shared" si="449"/>
        <v>844559.06718750007</v>
      </c>
      <c r="CL684" s="58">
        <f t="shared" si="475"/>
        <v>3378236.2687500003</v>
      </c>
      <c r="CP684" s="2">
        <f t="shared" si="458"/>
        <v>27025890.150000002</v>
      </c>
    </row>
    <row r="685" spans="1:94" ht="15" hidden="1" x14ac:dyDescent="0.3">
      <c r="A685" s="29">
        <v>680</v>
      </c>
      <c r="B685" s="30" t="s">
        <v>21</v>
      </c>
      <c r="C685" s="30"/>
      <c r="D685" s="30" t="s">
        <v>1725</v>
      </c>
      <c r="E685" s="30" t="s">
        <v>1042</v>
      </c>
      <c r="F685" s="30" t="s">
        <v>1043</v>
      </c>
      <c r="G685" s="30" t="s">
        <v>117</v>
      </c>
      <c r="H685" s="30"/>
      <c r="I685" s="30" t="s">
        <v>119</v>
      </c>
      <c r="J685" s="30" t="s">
        <v>1871</v>
      </c>
      <c r="K685" s="30" t="s">
        <v>1872</v>
      </c>
      <c r="L685" s="30" t="s">
        <v>1873</v>
      </c>
      <c r="M685" s="30">
        <v>1005655</v>
      </c>
      <c r="N685" s="30" t="s">
        <v>138</v>
      </c>
      <c r="O685" s="30" t="s">
        <v>2017</v>
      </c>
      <c r="P685" s="30" t="s">
        <v>1956</v>
      </c>
      <c r="Q685" s="30" t="s">
        <v>1956</v>
      </c>
      <c r="R685" s="30" t="s">
        <v>1876</v>
      </c>
      <c r="S685" s="30"/>
      <c r="T685" s="30" t="s">
        <v>1780</v>
      </c>
      <c r="U685" s="30" t="s">
        <v>588</v>
      </c>
      <c r="V685" s="30" t="s">
        <v>403</v>
      </c>
      <c r="W685" s="30" t="s">
        <v>1877</v>
      </c>
      <c r="X685" s="89"/>
      <c r="Y685" s="30" t="s">
        <v>457</v>
      </c>
      <c r="Z685" s="30" t="s">
        <v>457</v>
      </c>
      <c r="AA685" s="92" t="s">
        <v>891</v>
      </c>
      <c r="AB685" s="30" t="s">
        <v>1878</v>
      </c>
      <c r="AC685" s="30"/>
      <c r="AD685" s="30"/>
      <c r="AE685" s="30"/>
      <c r="AF685" s="30" t="s">
        <v>179</v>
      </c>
      <c r="AG685" s="30" t="s">
        <v>152</v>
      </c>
      <c r="AH685" s="132" t="s">
        <v>1879</v>
      </c>
      <c r="AI685" s="30"/>
      <c r="AJ685" s="30"/>
      <c r="AK685" s="50">
        <v>43382</v>
      </c>
      <c r="AL685" s="51">
        <f t="shared" si="460"/>
        <v>7.065753424657534</v>
      </c>
      <c r="AM685" s="30">
        <v>8</v>
      </c>
      <c r="AN685" s="30"/>
      <c r="AO685" s="30" t="s">
        <v>1050</v>
      </c>
      <c r="AP685" s="30" t="s">
        <v>1187</v>
      </c>
      <c r="AQ685" s="30">
        <v>1.5</v>
      </c>
      <c r="AR685" s="30">
        <v>1720</v>
      </c>
      <c r="AS685" s="30">
        <v>1550</v>
      </c>
      <c r="AT685" s="30">
        <v>2300</v>
      </c>
      <c r="AU685" s="74">
        <v>213749040</v>
      </c>
      <c r="AV685" s="54"/>
      <c r="AW685" s="54"/>
      <c r="AX685" s="54"/>
      <c r="AY685" s="54">
        <v>181330438</v>
      </c>
      <c r="AZ685" s="54">
        <v>2226553</v>
      </c>
      <c r="BA685" s="74">
        <v>25738943</v>
      </c>
      <c r="BB685" s="55">
        <f>VLOOKUP(M685,[1]Sheet1!$E$6:$F$556,2,FALSE)</f>
        <v>1496333</v>
      </c>
      <c r="BC685" s="74"/>
      <c r="BD685" s="74"/>
      <c r="BE685" s="30"/>
      <c r="BF685" s="30" t="s">
        <v>1739</v>
      </c>
      <c r="BG685" s="30" t="s">
        <v>1880</v>
      </c>
      <c r="BH685" s="30" t="s">
        <v>1054</v>
      </c>
      <c r="BI685" s="30" t="str">
        <f t="shared" si="454"/>
        <v>COF(Assy_FT)</v>
      </c>
      <c r="BJ685" s="30" t="s">
        <v>250</v>
      </c>
      <c r="BK685" s="56">
        <f t="shared" si="461"/>
        <v>27025890.150000002</v>
      </c>
      <c r="BL685" s="57">
        <f t="shared" si="473"/>
        <v>844559.06718750007</v>
      </c>
      <c r="BM685" s="57">
        <f t="shared" si="474"/>
        <v>281519.68906250002</v>
      </c>
      <c r="BU685" s="58">
        <f t="shared" si="471"/>
        <v>844559.06718750007</v>
      </c>
      <c r="BV685" s="58">
        <f t="shared" si="467"/>
        <v>844559.06718750007</v>
      </c>
      <c r="BW685" s="58">
        <f t="shared" si="472"/>
        <v>1689118.1343750001</v>
      </c>
      <c r="BX685" s="58">
        <f>BV685</f>
        <v>844559.06718750007</v>
      </c>
      <c r="BY685" s="58">
        <f>BX685</f>
        <v>844559.06718750007</v>
      </c>
      <c r="BZ685" s="58">
        <f t="shared" si="464"/>
        <v>844559.06718750007</v>
      </c>
      <c r="CA685" s="58">
        <f>BZ685</f>
        <v>844559.06718750007</v>
      </c>
      <c r="CB685" s="58">
        <f t="shared" si="455"/>
        <v>3378236.2687500003</v>
      </c>
      <c r="CC685" s="58">
        <f t="shared" si="456"/>
        <v>844559.06718750007</v>
      </c>
      <c r="CD685" s="58">
        <f t="shared" si="470"/>
        <v>844559.06718750007</v>
      </c>
      <c r="CE685" s="58">
        <f t="shared" si="470"/>
        <v>844559.06718750007</v>
      </c>
      <c r="CF685" s="58">
        <f t="shared" si="470"/>
        <v>844559.06718750007</v>
      </c>
      <c r="CG685" s="58">
        <f t="shared" si="457"/>
        <v>3378236.2687500003</v>
      </c>
      <c r="CH685" s="58">
        <f>CF685</f>
        <v>844559.06718750007</v>
      </c>
      <c r="CI685" s="58">
        <f t="shared" si="449"/>
        <v>844559.06718750007</v>
      </c>
      <c r="CJ685" s="58">
        <f t="shared" si="449"/>
        <v>844559.06718750007</v>
      </c>
      <c r="CK685" s="58">
        <f t="shared" si="449"/>
        <v>844559.06718750007</v>
      </c>
      <c r="CL685" s="58">
        <f t="shared" si="475"/>
        <v>3378236.2687500003</v>
      </c>
      <c r="CP685" s="2">
        <f t="shared" si="458"/>
        <v>27025890.150000002</v>
      </c>
    </row>
    <row r="686" spans="1:94" ht="15" hidden="1" x14ac:dyDescent="0.3">
      <c r="A686" s="29">
        <v>681</v>
      </c>
      <c r="B686" s="30" t="s">
        <v>21</v>
      </c>
      <c r="C686" s="30"/>
      <c r="D686" s="30" t="s">
        <v>1725</v>
      </c>
      <c r="E686" s="30" t="s">
        <v>1042</v>
      </c>
      <c r="F686" s="30" t="s">
        <v>1043</v>
      </c>
      <c r="G686" s="30" t="s">
        <v>117</v>
      </c>
      <c r="H686" s="30"/>
      <c r="I686" s="30" t="s">
        <v>119</v>
      </c>
      <c r="J686" s="30" t="s">
        <v>1871</v>
      </c>
      <c r="K686" s="30" t="s">
        <v>1872</v>
      </c>
      <c r="L686" s="30" t="s">
        <v>1873</v>
      </c>
      <c r="M686" s="30">
        <v>1005656</v>
      </c>
      <c r="N686" s="30" t="s">
        <v>138</v>
      </c>
      <c r="O686" s="30" t="s">
        <v>2018</v>
      </c>
      <c r="P686" s="30" t="s">
        <v>1956</v>
      </c>
      <c r="Q686" s="30" t="s">
        <v>1956</v>
      </c>
      <c r="R686" s="30" t="s">
        <v>1876</v>
      </c>
      <c r="S686" s="30"/>
      <c r="T686" s="30" t="s">
        <v>1780</v>
      </c>
      <c r="U686" s="30" t="s">
        <v>588</v>
      </c>
      <c r="V686" s="30" t="s">
        <v>403</v>
      </c>
      <c r="W686" s="30" t="s">
        <v>1877</v>
      </c>
      <c r="X686" s="89"/>
      <c r="Y686" s="30" t="s">
        <v>457</v>
      </c>
      <c r="Z686" s="30" t="s">
        <v>457</v>
      </c>
      <c r="AA686" s="92" t="s">
        <v>891</v>
      </c>
      <c r="AB686" s="30" t="s">
        <v>1878</v>
      </c>
      <c r="AC686" s="30"/>
      <c r="AD686" s="30"/>
      <c r="AE686" s="30"/>
      <c r="AF686" s="30" t="s">
        <v>179</v>
      </c>
      <c r="AG686" s="30" t="s">
        <v>152</v>
      </c>
      <c r="AH686" s="132" t="s">
        <v>1879</v>
      </c>
      <c r="AI686" s="30"/>
      <c r="AJ686" s="30"/>
      <c r="AK686" s="50">
        <v>43393</v>
      </c>
      <c r="AL686" s="51">
        <f t="shared" si="460"/>
        <v>7.0356164383561648</v>
      </c>
      <c r="AM686" s="30">
        <v>8</v>
      </c>
      <c r="AN686" s="30"/>
      <c r="AO686" s="30" t="s">
        <v>1050</v>
      </c>
      <c r="AP686" s="30" t="s">
        <v>1187</v>
      </c>
      <c r="AQ686" s="30">
        <v>1.5</v>
      </c>
      <c r="AR686" s="30">
        <v>1720</v>
      </c>
      <c r="AS686" s="30">
        <v>1550</v>
      </c>
      <c r="AT686" s="30">
        <v>2300</v>
      </c>
      <c r="AU686" s="74">
        <v>213749040</v>
      </c>
      <c r="AV686" s="54"/>
      <c r="AW686" s="54"/>
      <c r="AX686" s="54"/>
      <c r="AY686" s="54">
        <v>181330438</v>
      </c>
      <c r="AZ686" s="54">
        <v>2226553</v>
      </c>
      <c r="BA686" s="74">
        <v>25738943</v>
      </c>
      <c r="BB686" s="55">
        <f>VLOOKUP(M686,[1]Sheet1!$E$6:$F$556,2,FALSE)</f>
        <v>1496333</v>
      </c>
      <c r="BC686" s="74"/>
      <c r="BD686" s="74"/>
      <c r="BE686" s="30"/>
      <c r="BF686" s="30" t="s">
        <v>1739</v>
      </c>
      <c r="BG686" s="30" t="s">
        <v>1880</v>
      </c>
      <c r="BH686" s="30" t="s">
        <v>1054</v>
      </c>
      <c r="BI686" s="30" t="str">
        <f t="shared" si="454"/>
        <v>COF(Assy_FT)</v>
      </c>
      <c r="BJ686" s="30" t="s">
        <v>250</v>
      </c>
      <c r="BK686" s="56">
        <f t="shared" si="461"/>
        <v>27025890.150000002</v>
      </c>
      <c r="BL686" s="57">
        <f t="shared" si="473"/>
        <v>844559.06718750007</v>
      </c>
      <c r="BM686" s="57">
        <f t="shared" si="474"/>
        <v>281519.68906250002</v>
      </c>
      <c r="BU686" s="58">
        <f t="shared" si="471"/>
        <v>844559.06718750007</v>
      </c>
      <c r="BV686" s="58">
        <f t="shared" si="467"/>
        <v>844559.06718750007</v>
      </c>
      <c r="BW686" s="58">
        <f t="shared" si="472"/>
        <v>1689118.1343750001</v>
      </c>
      <c r="BX686" s="58">
        <f>BV686</f>
        <v>844559.06718750007</v>
      </c>
      <c r="BY686" s="58">
        <f>BX686</f>
        <v>844559.06718750007</v>
      </c>
      <c r="BZ686" s="58">
        <f t="shared" si="464"/>
        <v>844559.06718750007</v>
      </c>
      <c r="CA686" s="58">
        <f>BZ686</f>
        <v>844559.06718750007</v>
      </c>
      <c r="CB686" s="58">
        <f t="shared" si="455"/>
        <v>3378236.2687500003</v>
      </c>
      <c r="CC686" s="58">
        <f t="shared" si="456"/>
        <v>844559.06718750007</v>
      </c>
      <c r="CD686" s="58">
        <f t="shared" si="470"/>
        <v>844559.06718750007</v>
      </c>
      <c r="CE686" s="58">
        <f t="shared" si="470"/>
        <v>844559.06718750007</v>
      </c>
      <c r="CF686" s="58">
        <f t="shared" si="470"/>
        <v>844559.06718750007</v>
      </c>
      <c r="CG686" s="58">
        <f t="shared" si="457"/>
        <v>3378236.2687500003</v>
      </c>
      <c r="CH686" s="58">
        <f>CF686</f>
        <v>844559.06718750007</v>
      </c>
      <c r="CI686" s="58">
        <f t="shared" si="449"/>
        <v>844559.06718750007</v>
      </c>
      <c r="CJ686" s="58">
        <f t="shared" si="449"/>
        <v>844559.06718750007</v>
      </c>
      <c r="CK686" s="58">
        <f t="shared" si="449"/>
        <v>844559.06718750007</v>
      </c>
      <c r="CL686" s="58">
        <f t="shared" si="475"/>
        <v>3378236.2687500003</v>
      </c>
      <c r="CP686" s="2">
        <f t="shared" si="458"/>
        <v>27025890.150000002</v>
      </c>
    </row>
    <row r="687" spans="1:94" ht="15" hidden="1" x14ac:dyDescent="0.3">
      <c r="A687" s="29">
        <v>682</v>
      </c>
      <c r="B687" s="30" t="s">
        <v>21</v>
      </c>
      <c r="C687" s="30"/>
      <c r="D687" s="30" t="s">
        <v>1725</v>
      </c>
      <c r="E687" s="30" t="s">
        <v>1042</v>
      </c>
      <c r="F687" s="30" t="s">
        <v>1043</v>
      </c>
      <c r="G687" s="30" t="s">
        <v>117</v>
      </c>
      <c r="H687" s="30"/>
      <c r="I687" s="30" t="s">
        <v>119</v>
      </c>
      <c r="J687" s="30" t="s">
        <v>1871</v>
      </c>
      <c r="K687" s="30" t="s">
        <v>1872</v>
      </c>
      <c r="L687" s="30" t="s">
        <v>1873</v>
      </c>
      <c r="M687" s="30">
        <v>1005658</v>
      </c>
      <c r="N687" s="30" t="s">
        <v>138</v>
      </c>
      <c r="O687" s="30" t="s">
        <v>2019</v>
      </c>
      <c r="P687" s="30" t="s">
        <v>1956</v>
      </c>
      <c r="Q687" s="30" t="s">
        <v>1956</v>
      </c>
      <c r="R687" s="30" t="s">
        <v>1876</v>
      </c>
      <c r="S687" s="30"/>
      <c r="T687" s="30" t="s">
        <v>1780</v>
      </c>
      <c r="U687" s="30" t="s">
        <v>588</v>
      </c>
      <c r="V687" s="30" t="s">
        <v>403</v>
      </c>
      <c r="W687" s="30" t="s">
        <v>1877</v>
      </c>
      <c r="X687" s="89"/>
      <c r="Y687" s="30" t="s">
        <v>457</v>
      </c>
      <c r="Z687" s="30" t="s">
        <v>457</v>
      </c>
      <c r="AA687" s="92" t="s">
        <v>891</v>
      </c>
      <c r="AB687" s="30" t="s">
        <v>1878</v>
      </c>
      <c r="AC687" s="30"/>
      <c r="AD687" s="30"/>
      <c r="AE687" s="30"/>
      <c r="AF687" s="30" t="s">
        <v>179</v>
      </c>
      <c r="AG687" s="30" t="s">
        <v>152</v>
      </c>
      <c r="AH687" s="132" t="s">
        <v>1879</v>
      </c>
      <c r="AI687" s="30"/>
      <c r="AJ687" s="30"/>
      <c r="AK687" s="50">
        <v>43393</v>
      </c>
      <c r="AL687" s="51">
        <f t="shared" si="460"/>
        <v>7.0356164383561648</v>
      </c>
      <c r="AM687" s="30">
        <v>8</v>
      </c>
      <c r="AN687" s="30"/>
      <c r="AO687" s="30" t="s">
        <v>1050</v>
      </c>
      <c r="AP687" s="30" t="s">
        <v>1187</v>
      </c>
      <c r="AQ687" s="30">
        <v>1.5</v>
      </c>
      <c r="AR687" s="30">
        <v>1720</v>
      </c>
      <c r="AS687" s="30">
        <v>1550</v>
      </c>
      <c r="AT687" s="30">
        <v>2300</v>
      </c>
      <c r="AU687" s="74">
        <v>213749040</v>
      </c>
      <c r="AV687" s="54"/>
      <c r="AW687" s="54"/>
      <c r="AX687" s="54"/>
      <c r="AY687" s="54">
        <v>181330438</v>
      </c>
      <c r="AZ687" s="54">
        <v>2226553</v>
      </c>
      <c r="BA687" s="74">
        <v>25738943</v>
      </c>
      <c r="BB687" s="55">
        <f>VLOOKUP(M687,[1]Sheet1!$E$6:$F$556,2,FALSE)</f>
        <v>1496333</v>
      </c>
      <c r="BC687" s="74"/>
      <c r="BD687" s="74"/>
      <c r="BE687" s="30"/>
      <c r="BF687" s="30" t="s">
        <v>1739</v>
      </c>
      <c r="BG687" s="30" t="s">
        <v>1880</v>
      </c>
      <c r="BH687" s="30" t="s">
        <v>1054</v>
      </c>
      <c r="BI687" s="30" t="str">
        <f t="shared" si="454"/>
        <v>COF(Assy_FT)</v>
      </c>
      <c r="BJ687" s="30" t="s">
        <v>250</v>
      </c>
      <c r="BK687" s="56">
        <f t="shared" si="461"/>
        <v>27025890.150000002</v>
      </c>
      <c r="BL687" s="57">
        <f t="shared" si="473"/>
        <v>844559.06718750007</v>
      </c>
      <c r="BM687" s="57">
        <f t="shared" si="474"/>
        <v>281519.68906250002</v>
      </c>
      <c r="BU687" s="58">
        <f t="shared" si="471"/>
        <v>844559.06718750007</v>
      </c>
      <c r="BV687" s="58">
        <f t="shared" si="467"/>
        <v>844559.06718750007</v>
      </c>
      <c r="BW687" s="58">
        <f t="shared" si="472"/>
        <v>1689118.1343750001</v>
      </c>
      <c r="BX687" s="58">
        <f>BV687</f>
        <v>844559.06718750007</v>
      </c>
      <c r="BY687" s="58">
        <f>BX687</f>
        <v>844559.06718750007</v>
      </c>
      <c r="BZ687" s="58">
        <f t="shared" si="464"/>
        <v>844559.06718750007</v>
      </c>
      <c r="CA687" s="58">
        <f>BZ687</f>
        <v>844559.06718750007</v>
      </c>
      <c r="CB687" s="58">
        <f t="shared" si="455"/>
        <v>3378236.2687500003</v>
      </c>
      <c r="CC687" s="58">
        <f t="shared" si="456"/>
        <v>844559.06718750007</v>
      </c>
      <c r="CD687" s="58">
        <f t="shared" si="470"/>
        <v>844559.06718750007</v>
      </c>
      <c r="CE687" s="58">
        <f t="shared" si="470"/>
        <v>844559.06718750007</v>
      </c>
      <c r="CF687" s="58">
        <f t="shared" si="470"/>
        <v>844559.06718750007</v>
      </c>
      <c r="CG687" s="58">
        <f t="shared" si="457"/>
        <v>3378236.2687500003</v>
      </c>
      <c r="CH687" s="58">
        <f>CF687</f>
        <v>844559.06718750007</v>
      </c>
      <c r="CI687" s="58">
        <f t="shared" si="449"/>
        <v>844559.06718750007</v>
      </c>
      <c r="CJ687" s="58">
        <f t="shared" si="449"/>
        <v>844559.06718750007</v>
      </c>
      <c r="CK687" s="58">
        <f t="shared" si="449"/>
        <v>844559.06718750007</v>
      </c>
      <c r="CL687" s="58">
        <f t="shared" si="475"/>
        <v>3378236.2687500003</v>
      </c>
      <c r="CP687" s="2">
        <f t="shared" si="458"/>
        <v>27025890.150000002</v>
      </c>
    </row>
    <row r="688" spans="1:94" ht="16.5" hidden="1" x14ac:dyDescent="0.3">
      <c r="A688" s="2">
        <v>683</v>
      </c>
      <c r="B688" s="47" t="s">
        <v>21</v>
      </c>
      <c r="C688" s="47"/>
      <c r="D688" s="30" t="s">
        <v>1725</v>
      </c>
      <c r="E688" s="30" t="s">
        <v>1042</v>
      </c>
      <c r="F688" s="30" t="s">
        <v>1043</v>
      </c>
      <c r="G688" s="30" t="s">
        <v>117</v>
      </c>
      <c r="H688" s="30"/>
      <c r="I688" s="30" t="s">
        <v>119</v>
      </c>
      <c r="J688" s="30" t="s">
        <v>1871</v>
      </c>
      <c r="K688" s="30" t="s">
        <v>1872</v>
      </c>
      <c r="L688" s="30" t="s">
        <v>1873</v>
      </c>
      <c r="M688" s="30">
        <v>1005610</v>
      </c>
      <c r="N688" s="30" t="s">
        <v>138</v>
      </c>
      <c r="O688" s="30" t="s">
        <v>2020</v>
      </c>
      <c r="P688" s="30" t="s">
        <v>1956</v>
      </c>
      <c r="Q688" s="30" t="s">
        <v>1956</v>
      </c>
      <c r="R688" s="30" t="s">
        <v>1876</v>
      </c>
      <c r="S688" s="30"/>
      <c r="T688" s="30" t="s">
        <v>1752</v>
      </c>
      <c r="U688" s="30" t="s">
        <v>588</v>
      </c>
      <c r="V688" s="30" t="s">
        <v>403</v>
      </c>
      <c r="W688" s="30" t="s">
        <v>1877</v>
      </c>
      <c r="X688" s="89" t="s">
        <v>1757</v>
      </c>
      <c r="Y688" s="30" t="s">
        <v>457</v>
      </c>
      <c r="Z688" s="30" t="s">
        <v>457</v>
      </c>
      <c r="AA688" s="92" t="s">
        <v>891</v>
      </c>
      <c r="AB688" s="30" t="s">
        <v>1878</v>
      </c>
      <c r="AC688" s="30"/>
      <c r="AD688" s="30"/>
      <c r="AE688" s="30"/>
      <c r="AF688" s="30" t="s">
        <v>179</v>
      </c>
      <c r="AG688" s="30" t="s">
        <v>152</v>
      </c>
      <c r="AH688" s="132" t="s">
        <v>1879</v>
      </c>
      <c r="AI688" s="30"/>
      <c r="AJ688" s="30"/>
      <c r="AK688" s="50">
        <v>43404</v>
      </c>
      <c r="AL688" s="51">
        <f t="shared" si="460"/>
        <v>7.0054794520547947</v>
      </c>
      <c r="AM688" s="30">
        <v>8</v>
      </c>
      <c r="AN688" s="30"/>
      <c r="AO688" s="30" t="s">
        <v>1050</v>
      </c>
      <c r="AP688" s="30" t="s">
        <v>1187</v>
      </c>
      <c r="AQ688" s="30">
        <v>1.5</v>
      </c>
      <c r="AR688" s="30">
        <v>1720</v>
      </c>
      <c r="AS688" s="30">
        <v>1550</v>
      </c>
      <c r="AT688" s="30">
        <v>2300</v>
      </c>
      <c r="AU688" s="54">
        <v>214263093</v>
      </c>
      <c r="AV688" s="54"/>
      <c r="AW688" s="54"/>
      <c r="AX688" s="54"/>
      <c r="AY688" s="54">
        <v>181769513</v>
      </c>
      <c r="AZ688" s="54">
        <v>2231907</v>
      </c>
      <c r="BA688" s="54">
        <v>25797859</v>
      </c>
      <c r="BB688" s="55">
        <f>VLOOKUP(M688,[1]Sheet1!$E$6:$F$556,2,FALSE)</f>
        <v>1499720</v>
      </c>
      <c r="BC688" s="74"/>
      <c r="BD688" s="74"/>
      <c r="BE688" s="30"/>
      <c r="BF688" s="30" t="s">
        <v>1739</v>
      </c>
      <c r="BG688" s="30" t="s">
        <v>1880</v>
      </c>
      <c r="BH688" s="30" t="s">
        <v>1054</v>
      </c>
      <c r="BI688" s="30" t="str">
        <f t="shared" si="454"/>
        <v>COF(Assy_FT)</v>
      </c>
      <c r="BJ688" s="47" t="s">
        <v>137</v>
      </c>
      <c r="BK688" s="56">
        <f t="shared" si="461"/>
        <v>27087751.950000003</v>
      </c>
      <c r="BL688" s="57">
        <f t="shared" si="473"/>
        <v>2582240.6631189194</v>
      </c>
      <c r="BM688" s="57">
        <f t="shared" si="474"/>
        <v>860746.88770630641</v>
      </c>
      <c r="BU688" s="58">
        <f>BM688*3</f>
        <v>2582240.6631189194</v>
      </c>
      <c r="BV688" s="58">
        <f t="shared" si="467"/>
        <v>2582240.6631189194</v>
      </c>
      <c r="BW688" s="58">
        <f>SUM(BS688:BV688)</f>
        <v>5164481.3262378387</v>
      </c>
      <c r="BX688" s="58">
        <f t="shared" ref="BX688:BX751" si="476">BV688</f>
        <v>2582240.6631189194</v>
      </c>
      <c r="BY688" s="58">
        <f t="shared" ref="BY688:BZ706" si="477">BX688</f>
        <v>2582240.6631189194</v>
      </c>
      <c r="BZ688" s="58">
        <f t="shared" si="464"/>
        <v>2582240.6631189194</v>
      </c>
      <c r="CA688" s="58">
        <f t="shared" ref="CA688:CA706" si="478">BZ688</f>
        <v>2582240.6631189194</v>
      </c>
      <c r="CB688" s="58">
        <f t="shared" si="455"/>
        <v>10328962.652475677</v>
      </c>
      <c r="CC688" s="58">
        <f t="shared" si="456"/>
        <v>2582240.6631189194</v>
      </c>
      <c r="CD688" s="58">
        <f t="shared" si="470"/>
        <v>2582240.6631189194</v>
      </c>
      <c r="CE688" s="58">
        <f t="shared" si="470"/>
        <v>2582240.6631189194</v>
      </c>
      <c r="CF688" s="58">
        <f t="shared" si="470"/>
        <v>2582240.6631189194</v>
      </c>
      <c r="CG688" s="58">
        <f t="shared" si="457"/>
        <v>10328962.652475677</v>
      </c>
      <c r="CH688" s="58">
        <f t="shared" ref="CH688:CH751" si="479">CF688</f>
        <v>2582240.6631189194</v>
      </c>
      <c r="CI688" s="58">
        <f t="shared" si="449"/>
        <v>2582240.6631189194</v>
      </c>
      <c r="CJ688" s="58">
        <f t="shared" si="449"/>
        <v>2582240.6631189194</v>
      </c>
      <c r="CK688" s="58">
        <f t="shared" si="449"/>
        <v>2582240.6631189194</v>
      </c>
      <c r="CL688" s="58">
        <f t="shared" si="475"/>
        <v>10328962.652475677</v>
      </c>
      <c r="CN688" s="59">
        <f t="shared" ref="CN688:CN689" si="480">BK688/$CN$3</f>
        <v>2.6449499652288298E-3</v>
      </c>
      <c r="CO688" s="64">
        <f t="shared" ref="CO688:CO689" si="481">CN688*$CO$4</f>
        <v>55543949.269805424</v>
      </c>
      <c r="CP688" s="2">
        <f t="shared" si="458"/>
        <v>82631701.219805419</v>
      </c>
    </row>
    <row r="689" spans="1:94" ht="16.5" hidden="1" x14ac:dyDescent="0.3">
      <c r="A689" s="2">
        <v>684</v>
      </c>
      <c r="B689" s="47" t="s">
        <v>21</v>
      </c>
      <c r="C689" s="47"/>
      <c r="D689" s="30" t="s">
        <v>1725</v>
      </c>
      <c r="E689" s="30" t="s">
        <v>1042</v>
      </c>
      <c r="F689" s="30" t="s">
        <v>1043</v>
      </c>
      <c r="G689" s="30" t="s">
        <v>117</v>
      </c>
      <c r="H689" s="30"/>
      <c r="I689" s="30" t="s">
        <v>119</v>
      </c>
      <c r="J689" s="30" t="s">
        <v>1871</v>
      </c>
      <c r="K689" s="30" t="s">
        <v>1872</v>
      </c>
      <c r="L689" s="30" t="s">
        <v>1873</v>
      </c>
      <c r="M689" s="30">
        <v>1005611</v>
      </c>
      <c r="N689" s="30" t="s">
        <v>138</v>
      </c>
      <c r="O689" s="30" t="s">
        <v>2021</v>
      </c>
      <c r="P689" s="30" t="s">
        <v>1956</v>
      </c>
      <c r="Q689" s="30" t="s">
        <v>1956</v>
      </c>
      <c r="R689" s="30" t="s">
        <v>1876</v>
      </c>
      <c r="S689" s="30"/>
      <c r="T689" s="30" t="s">
        <v>1752</v>
      </c>
      <c r="U689" s="30" t="s">
        <v>588</v>
      </c>
      <c r="V689" s="30" t="s">
        <v>403</v>
      </c>
      <c r="W689" s="30" t="s">
        <v>1877</v>
      </c>
      <c r="X689" s="89" t="s">
        <v>1764</v>
      </c>
      <c r="Y689" s="125" t="s">
        <v>457</v>
      </c>
      <c r="Z689" s="125" t="s">
        <v>457</v>
      </c>
      <c r="AA689" s="92" t="s">
        <v>891</v>
      </c>
      <c r="AB689" s="30" t="s">
        <v>1878</v>
      </c>
      <c r="AC689" s="30"/>
      <c r="AD689" s="30"/>
      <c r="AE689" s="30"/>
      <c r="AF689" s="30" t="s">
        <v>179</v>
      </c>
      <c r="AG689" s="30" t="s">
        <v>152</v>
      </c>
      <c r="AH689" s="132" t="s">
        <v>1879</v>
      </c>
      <c r="AI689" s="30"/>
      <c r="AJ689" s="30"/>
      <c r="AK689" s="50">
        <v>43404</v>
      </c>
      <c r="AL689" s="51">
        <f t="shared" si="460"/>
        <v>7.0054794520547947</v>
      </c>
      <c r="AM689" s="30">
        <v>8</v>
      </c>
      <c r="AN689" s="30"/>
      <c r="AO689" s="30" t="s">
        <v>1050</v>
      </c>
      <c r="AP689" s="30" t="s">
        <v>1187</v>
      </c>
      <c r="AQ689" s="30">
        <v>1.5</v>
      </c>
      <c r="AR689" s="30">
        <v>1720</v>
      </c>
      <c r="AS689" s="30">
        <v>1550</v>
      </c>
      <c r="AT689" s="30">
        <v>2300</v>
      </c>
      <c r="AU689" s="54">
        <v>214263094</v>
      </c>
      <c r="AV689" s="54"/>
      <c r="AW689" s="54"/>
      <c r="AX689" s="54"/>
      <c r="AY689" s="54">
        <v>181769513</v>
      </c>
      <c r="AZ689" s="54">
        <v>2231907</v>
      </c>
      <c r="BA689" s="54">
        <v>25797860</v>
      </c>
      <c r="BB689" s="55">
        <f>VLOOKUP(M689,[1]Sheet1!$E$6:$F$556,2,FALSE)</f>
        <v>1967677</v>
      </c>
      <c r="BC689" s="74"/>
      <c r="BD689" s="74"/>
      <c r="BE689" s="30"/>
      <c r="BF689" s="30" t="s">
        <v>1739</v>
      </c>
      <c r="BG689" s="30" t="s">
        <v>1880</v>
      </c>
      <c r="BH689" s="30" t="s">
        <v>1054</v>
      </c>
      <c r="BI689" s="30" t="str">
        <f t="shared" si="454"/>
        <v>COF(Assy_FT)</v>
      </c>
      <c r="BJ689" s="47" t="s">
        <v>137</v>
      </c>
      <c r="BK689" s="67">
        <f t="shared" si="461"/>
        <v>27087753</v>
      </c>
      <c r="BL689" s="68">
        <f t="shared" si="473"/>
        <v>2582240.7632140731</v>
      </c>
      <c r="BM689" s="68">
        <f t="shared" si="474"/>
        <v>860746.92107135768</v>
      </c>
      <c r="BP689" s="69">
        <f>BM689*3</f>
        <v>2582240.7632140731</v>
      </c>
      <c r="BQ689" s="69">
        <f>BP689</f>
        <v>2582240.7632140731</v>
      </c>
      <c r="BR689" s="69">
        <f>SUM(BN689:BQ689)</f>
        <v>5164481.5264281463</v>
      </c>
      <c r="BS689" s="69">
        <f>BQ689</f>
        <v>2582240.7632140731</v>
      </c>
      <c r="BT689" s="69">
        <f>BS689</f>
        <v>2582240.7632140731</v>
      </c>
      <c r="BU689" s="100">
        <f>BT689</f>
        <v>2582240.7632140731</v>
      </c>
      <c r="BV689" s="100">
        <f t="shared" si="467"/>
        <v>2582240.7632140731</v>
      </c>
      <c r="BW689" s="100">
        <f>SUM(BS689:BV689)</f>
        <v>10328963.052856293</v>
      </c>
      <c r="BX689" s="101">
        <f t="shared" si="476"/>
        <v>2582240.7632140731</v>
      </c>
      <c r="BY689" s="101">
        <f t="shared" si="477"/>
        <v>2582240.7632140731</v>
      </c>
      <c r="BZ689" s="18">
        <f t="shared" si="464"/>
        <v>2582240.7632140731</v>
      </c>
      <c r="CA689" s="18">
        <f t="shared" si="478"/>
        <v>2582240.7632140731</v>
      </c>
      <c r="CB689" s="70">
        <f t="shared" si="455"/>
        <v>10328963.052856293</v>
      </c>
      <c r="CC689" s="18">
        <f t="shared" si="456"/>
        <v>2582240.7632140731</v>
      </c>
      <c r="CD689" s="18">
        <f t="shared" si="470"/>
        <v>2582240.7632140731</v>
      </c>
      <c r="CE689" s="18">
        <f t="shared" si="470"/>
        <v>2582240.7632140731</v>
      </c>
      <c r="CF689" s="18">
        <f t="shared" si="470"/>
        <v>2582240.7632140731</v>
      </c>
      <c r="CG689" s="70">
        <f t="shared" si="457"/>
        <v>10328963.052856293</v>
      </c>
      <c r="CH689" s="18">
        <f t="shared" si="479"/>
        <v>2582240.7632140731</v>
      </c>
      <c r="CI689" s="18">
        <f t="shared" si="449"/>
        <v>2582240.7632140731</v>
      </c>
      <c r="CJ689" s="18">
        <f t="shared" si="449"/>
        <v>2582240.7632140731</v>
      </c>
      <c r="CK689" s="18">
        <f t="shared" si="449"/>
        <v>2582240.7632140731</v>
      </c>
      <c r="CL689" s="70">
        <f t="shared" si="475"/>
        <v>10328963.052856293</v>
      </c>
      <c r="CM689" s="71"/>
      <c r="CN689" s="59">
        <f t="shared" si="480"/>
        <v>2.644950067754778E-3</v>
      </c>
      <c r="CO689" s="64">
        <f t="shared" si="481"/>
        <v>55543951.422850341</v>
      </c>
      <c r="CP689" s="2">
        <f t="shared" si="458"/>
        <v>82631704.422850341</v>
      </c>
    </row>
    <row r="690" spans="1:94" ht="15" hidden="1" x14ac:dyDescent="0.3">
      <c r="A690" s="29">
        <v>685</v>
      </c>
      <c r="B690" s="30" t="s">
        <v>21</v>
      </c>
      <c r="C690" s="30"/>
      <c r="D690" s="30" t="s">
        <v>1725</v>
      </c>
      <c r="E690" s="30" t="s">
        <v>1042</v>
      </c>
      <c r="F690" s="30" t="s">
        <v>1043</v>
      </c>
      <c r="G690" s="30" t="s">
        <v>117</v>
      </c>
      <c r="H690" s="30"/>
      <c r="I690" s="30" t="s">
        <v>119</v>
      </c>
      <c r="J690" s="30" t="s">
        <v>1871</v>
      </c>
      <c r="K690" s="30" t="s">
        <v>1872</v>
      </c>
      <c r="L690" s="30" t="s">
        <v>1873</v>
      </c>
      <c r="M690" s="30">
        <v>1005909</v>
      </c>
      <c r="N690" s="30" t="s">
        <v>138</v>
      </c>
      <c r="O690" s="30" t="s">
        <v>2022</v>
      </c>
      <c r="P690" s="30" t="s">
        <v>1956</v>
      </c>
      <c r="Q690" s="30" t="s">
        <v>1956</v>
      </c>
      <c r="R690" s="30" t="s">
        <v>1876</v>
      </c>
      <c r="S690" s="30"/>
      <c r="T690" s="30" t="s">
        <v>1780</v>
      </c>
      <c r="U690" s="30" t="s">
        <v>588</v>
      </c>
      <c r="V690" s="30" t="s">
        <v>403</v>
      </c>
      <c r="W690" s="30" t="s">
        <v>1877</v>
      </c>
      <c r="X690" s="89"/>
      <c r="Y690" s="30" t="s">
        <v>457</v>
      </c>
      <c r="Z690" s="30" t="s">
        <v>457</v>
      </c>
      <c r="AA690" s="92" t="s">
        <v>891</v>
      </c>
      <c r="AB690" s="30" t="s">
        <v>1878</v>
      </c>
      <c r="AC690" s="30"/>
      <c r="AD690" s="30"/>
      <c r="AE690" s="30"/>
      <c r="AF690" s="30" t="s">
        <v>179</v>
      </c>
      <c r="AG690" s="30" t="s">
        <v>152</v>
      </c>
      <c r="AH690" s="132" t="s">
        <v>1879</v>
      </c>
      <c r="AI690" s="30"/>
      <c r="AJ690" s="30"/>
      <c r="AK690" s="50">
        <v>43579</v>
      </c>
      <c r="AL690" s="51">
        <f t="shared" si="460"/>
        <v>6.5260273972602736</v>
      </c>
      <c r="AM690" s="30">
        <v>8</v>
      </c>
      <c r="AN690" s="30"/>
      <c r="AO690" s="30" t="s">
        <v>1050</v>
      </c>
      <c r="AP690" s="30" t="s">
        <v>1051</v>
      </c>
      <c r="AQ690" s="30">
        <v>1.5</v>
      </c>
      <c r="AR690" s="30">
        <v>1720</v>
      </c>
      <c r="AS690" s="30">
        <v>1550</v>
      </c>
      <c r="AT690" s="30">
        <v>2300</v>
      </c>
      <c r="AU690" s="74">
        <v>213973800</v>
      </c>
      <c r="AV690" s="54"/>
      <c r="AW690" s="54"/>
      <c r="AX690" s="54"/>
      <c r="AY690" s="54">
        <v>168327178</v>
      </c>
      <c r="AZ690" s="54">
        <v>2228894</v>
      </c>
      <c r="BA690" s="74">
        <v>38959940</v>
      </c>
      <c r="BB690" s="55">
        <f>VLOOKUP(M690,[1]Sheet1!$E$6:$F$556,2,FALSE)</f>
        <v>2909834</v>
      </c>
      <c r="BC690" s="74"/>
      <c r="BD690" s="74"/>
      <c r="BE690" s="30"/>
      <c r="BF690" s="30" t="s">
        <v>1739</v>
      </c>
      <c r="BG690" s="30" t="s">
        <v>1880</v>
      </c>
      <c r="BH690" s="30" t="s">
        <v>1054</v>
      </c>
      <c r="BI690" s="30" t="str">
        <f t="shared" si="454"/>
        <v>COF(Assy_FT)</v>
      </c>
      <c r="BJ690" s="30" t="s">
        <v>250</v>
      </c>
      <c r="BK690" s="56">
        <f t="shared" si="461"/>
        <v>40907937</v>
      </c>
      <c r="BL690" s="57">
        <f t="shared" si="473"/>
        <v>1278373.03125</v>
      </c>
      <c r="BM690" s="57">
        <f t="shared" si="474"/>
        <v>426124.34375</v>
      </c>
      <c r="BU690" s="58">
        <f t="shared" ref="BU690:BU700" si="482">BM690*3</f>
        <v>1278373.03125</v>
      </c>
      <c r="BV690" s="58">
        <f t="shared" si="467"/>
        <v>1278373.03125</v>
      </c>
      <c r="BW690" s="58">
        <f t="shared" ref="BW690:BW753" si="483">SUM(BS690:BV690)</f>
        <v>2556746.0625</v>
      </c>
      <c r="BX690" s="58">
        <f t="shared" si="476"/>
        <v>1278373.03125</v>
      </c>
      <c r="BY690" s="58">
        <f t="shared" si="477"/>
        <v>1278373.03125</v>
      </c>
      <c r="BZ690" s="58">
        <f t="shared" si="464"/>
        <v>1278373.03125</v>
      </c>
      <c r="CA690" s="58">
        <f t="shared" si="478"/>
        <v>1278373.03125</v>
      </c>
      <c r="CB690" s="58">
        <f t="shared" si="455"/>
        <v>5113492.125</v>
      </c>
      <c r="CC690" s="58">
        <f t="shared" si="456"/>
        <v>1278373.03125</v>
      </c>
      <c r="CD690" s="58">
        <f t="shared" si="470"/>
        <v>1278373.03125</v>
      </c>
      <c r="CE690" s="58">
        <f t="shared" si="470"/>
        <v>1278373.03125</v>
      </c>
      <c r="CF690" s="58">
        <f t="shared" si="470"/>
        <v>1278373.03125</v>
      </c>
      <c r="CG690" s="58">
        <f t="shared" si="457"/>
        <v>5113492.125</v>
      </c>
      <c r="CH690" s="58">
        <f t="shared" si="479"/>
        <v>1278373.03125</v>
      </c>
      <c r="CI690" s="58">
        <f t="shared" si="449"/>
        <v>1278373.03125</v>
      </c>
      <c r="CJ690" s="58">
        <f t="shared" si="449"/>
        <v>1278373.03125</v>
      </c>
      <c r="CK690" s="58">
        <f t="shared" si="449"/>
        <v>1278373.03125</v>
      </c>
      <c r="CL690" s="58">
        <f t="shared" ref="CL690:CL753" si="484">SUM(CH690:CK690)</f>
        <v>5113492.125</v>
      </c>
      <c r="CP690" s="2">
        <f t="shared" si="458"/>
        <v>40907937</v>
      </c>
    </row>
    <row r="691" spans="1:94" ht="15" hidden="1" x14ac:dyDescent="0.3">
      <c r="A691" s="29">
        <v>686</v>
      </c>
      <c r="B691" s="30" t="s">
        <v>21</v>
      </c>
      <c r="C691" s="30"/>
      <c r="D691" s="30" t="s">
        <v>1725</v>
      </c>
      <c r="E691" s="30" t="s">
        <v>1042</v>
      </c>
      <c r="F691" s="30" t="s">
        <v>1043</v>
      </c>
      <c r="G691" s="30" t="s">
        <v>117</v>
      </c>
      <c r="H691" s="30"/>
      <c r="I691" s="30" t="s">
        <v>119</v>
      </c>
      <c r="J691" s="30" t="s">
        <v>1871</v>
      </c>
      <c r="K691" s="30" t="s">
        <v>1872</v>
      </c>
      <c r="L691" s="30" t="s">
        <v>1873</v>
      </c>
      <c r="M691" s="30">
        <v>1005910</v>
      </c>
      <c r="N691" s="30" t="s">
        <v>138</v>
      </c>
      <c r="O691" s="30" t="s">
        <v>2023</v>
      </c>
      <c r="P691" s="30" t="s">
        <v>1956</v>
      </c>
      <c r="Q691" s="30" t="s">
        <v>1956</v>
      </c>
      <c r="R691" s="30" t="s">
        <v>1876</v>
      </c>
      <c r="S691" s="30"/>
      <c r="T691" s="30" t="s">
        <v>1780</v>
      </c>
      <c r="U691" s="30" t="s">
        <v>588</v>
      </c>
      <c r="V691" s="30" t="s">
        <v>403</v>
      </c>
      <c r="W691" s="30" t="s">
        <v>1877</v>
      </c>
      <c r="X691" s="89"/>
      <c r="Y691" s="30" t="s">
        <v>457</v>
      </c>
      <c r="Z691" s="30" t="s">
        <v>457</v>
      </c>
      <c r="AA691" s="92" t="s">
        <v>891</v>
      </c>
      <c r="AB691" s="30" t="s">
        <v>1878</v>
      </c>
      <c r="AC691" s="30"/>
      <c r="AD691" s="30"/>
      <c r="AE691" s="30"/>
      <c r="AF691" s="30" t="s">
        <v>179</v>
      </c>
      <c r="AG691" s="30" t="s">
        <v>152</v>
      </c>
      <c r="AH691" s="132" t="s">
        <v>1879</v>
      </c>
      <c r="AI691" s="30"/>
      <c r="AJ691" s="30"/>
      <c r="AK691" s="50">
        <v>43579</v>
      </c>
      <c r="AL691" s="51">
        <f t="shared" si="460"/>
        <v>6.5260273972602736</v>
      </c>
      <c r="AM691" s="30">
        <v>8</v>
      </c>
      <c r="AN691" s="30"/>
      <c r="AO691" s="30" t="s">
        <v>1050</v>
      </c>
      <c r="AP691" s="30" t="s">
        <v>1051</v>
      </c>
      <c r="AQ691" s="30">
        <v>1.5</v>
      </c>
      <c r="AR691" s="30">
        <v>1720</v>
      </c>
      <c r="AS691" s="30">
        <v>1550</v>
      </c>
      <c r="AT691" s="30">
        <v>2300</v>
      </c>
      <c r="AU691" s="74">
        <v>213973800</v>
      </c>
      <c r="AV691" s="54"/>
      <c r="AW691" s="54"/>
      <c r="AX691" s="54"/>
      <c r="AY691" s="54">
        <v>168327178</v>
      </c>
      <c r="AZ691" s="54">
        <v>2228894</v>
      </c>
      <c r="BA691" s="74">
        <v>38959940</v>
      </c>
      <c r="BB691" s="55">
        <f>VLOOKUP(M691,[1]Sheet1!$E$6:$F$556,2,FALSE)</f>
        <v>2909834</v>
      </c>
      <c r="BC691" s="74"/>
      <c r="BD691" s="74"/>
      <c r="BE691" s="30"/>
      <c r="BF691" s="30" t="s">
        <v>1739</v>
      </c>
      <c r="BG691" s="30" t="s">
        <v>1880</v>
      </c>
      <c r="BH691" s="30" t="s">
        <v>1054</v>
      </c>
      <c r="BI691" s="30" t="str">
        <f t="shared" si="454"/>
        <v>COF(Assy_FT)</v>
      </c>
      <c r="BJ691" s="30" t="s">
        <v>250</v>
      </c>
      <c r="BK691" s="56">
        <f t="shared" si="461"/>
        <v>40907937</v>
      </c>
      <c r="BL691" s="57">
        <f t="shared" si="473"/>
        <v>1278373.03125</v>
      </c>
      <c r="BM691" s="57">
        <f t="shared" si="474"/>
        <v>426124.34375</v>
      </c>
      <c r="BU691" s="58">
        <f t="shared" si="482"/>
        <v>1278373.03125</v>
      </c>
      <c r="BV691" s="58">
        <f t="shared" si="467"/>
        <v>1278373.03125</v>
      </c>
      <c r="BW691" s="58">
        <f t="shared" si="483"/>
        <v>2556746.0625</v>
      </c>
      <c r="BX691" s="58">
        <f t="shared" si="476"/>
        <v>1278373.03125</v>
      </c>
      <c r="BY691" s="58">
        <f t="shared" si="477"/>
        <v>1278373.03125</v>
      </c>
      <c r="BZ691" s="58">
        <f t="shared" si="464"/>
        <v>1278373.03125</v>
      </c>
      <c r="CA691" s="58">
        <f t="shared" si="478"/>
        <v>1278373.03125</v>
      </c>
      <c r="CB691" s="58">
        <f t="shared" si="455"/>
        <v>5113492.125</v>
      </c>
      <c r="CC691" s="58">
        <f t="shared" si="456"/>
        <v>1278373.03125</v>
      </c>
      <c r="CD691" s="58">
        <f t="shared" si="470"/>
        <v>1278373.03125</v>
      </c>
      <c r="CE691" s="58">
        <f t="shared" si="470"/>
        <v>1278373.03125</v>
      </c>
      <c r="CF691" s="58">
        <f t="shared" si="470"/>
        <v>1278373.03125</v>
      </c>
      <c r="CG691" s="58">
        <f t="shared" si="457"/>
        <v>5113492.125</v>
      </c>
      <c r="CH691" s="58">
        <f t="shared" si="479"/>
        <v>1278373.03125</v>
      </c>
      <c r="CI691" s="58">
        <f t="shared" si="449"/>
        <v>1278373.03125</v>
      </c>
      <c r="CJ691" s="58">
        <f t="shared" si="449"/>
        <v>1278373.03125</v>
      </c>
      <c r="CK691" s="58">
        <f t="shared" si="449"/>
        <v>1278373.03125</v>
      </c>
      <c r="CL691" s="58">
        <f t="shared" si="484"/>
        <v>5113492.125</v>
      </c>
      <c r="CP691" s="2">
        <f t="shared" si="458"/>
        <v>40907937</v>
      </c>
    </row>
    <row r="692" spans="1:94" ht="15" hidden="1" x14ac:dyDescent="0.3">
      <c r="A692" s="29">
        <v>687</v>
      </c>
      <c r="B692" s="30" t="s">
        <v>21</v>
      </c>
      <c r="C692" s="30"/>
      <c r="D692" s="30" t="s">
        <v>1725</v>
      </c>
      <c r="E692" s="30" t="s">
        <v>1042</v>
      </c>
      <c r="F692" s="30" t="s">
        <v>1043</v>
      </c>
      <c r="G692" s="30" t="s">
        <v>117</v>
      </c>
      <c r="H692" s="30"/>
      <c r="I692" s="30" t="s">
        <v>119</v>
      </c>
      <c r="J692" s="30" t="s">
        <v>1871</v>
      </c>
      <c r="K692" s="30" t="s">
        <v>1872</v>
      </c>
      <c r="L692" s="30" t="s">
        <v>1873</v>
      </c>
      <c r="M692" s="30">
        <v>1005911</v>
      </c>
      <c r="N692" s="30" t="s">
        <v>138</v>
      </c>
      <c r="O692" s="30" t="s">
        <v>2024</v>
      </c>
      <c r="P692" s="30" t="s">
        <v>1956</v>
      </c>
      <c r="Q692" s="30" t="s">
        <v>1956</v>
      </c>
      <c r="R692" s="30" t="s">
        <v>1876</v>
      </c>
      <c r="S692" s="30"/>
      <c r="T692" s="30" t="s">
        <v>1780</v>
      </c>
      <c r="U692" s="30" t="s">
        <v>588</v>
      </c>
      <c r="V692" s="30" t="s">
        <v>403</v>
      </c>
      <c r="W692" s="30" t="s">
        <v>1877</v>
      </c>
      <c r="X692" s="89"/>
      <c r="Y692" s="30" t="s">
        <v>457</v>
      </c>
      <c r="Z692" s="30" t="s">
        <v>457</v>
      </c>
      <c r="AA692" s="92" t="s">
        <v>891</v>
      </c>
      <c r="AB692" s="30" t="s">
        <v>1878</v>
      </c>
      <c r="AC692" s="30"/>
      <c r="AD692" s="30"/>
      <c r="AE692" s="30"/>
      <c r="AF692" s="30" t="s">
        <v>179</v>
      </c>
      <c r="AG692" s="30" t="s">
        <v>152</v>
      </c>
      <c r="AH692" s="132" t="s">
        <v>1879</v>
      </c>
      <c r="AI692" s="30"/>
      <c r="AJ692" s="30"/>
      <c r="AK692" s="50">
        <v>43579</v>
      </c>
      <c r="AL692" s="51">
        <f t="shared" si="460"/>
        <v>6.5260273972602736</v>
      </c>
      <c r="AM692" s="30">
        <v>8</v>
      </c>
      <c r="AN692" s="30"/>
      <c r="AO692" s="30" t="s">
        <v>1050</v>
      </c>
      <c r="AP692" s="30" t="s">
        <v>1051</v>
      </c>
      <c r="AQ692" s="30">
        <v>1.5</v>
      </c>
      <c r="AR692" s="30">
        <v>1720</v>
      </c>
      <c r="AS692" s="30">
        <v>1550</v>
      </c>
      <c r="AT692" s="30">
        <v>2300</v>
      </c>
      <c r="AU692" s="74">
        <v>211123800</v>
      </c>
      <c r="AV692" s="54"/>
      <c r="AW692" s="54"/>
      <c r="AX692" s="54"/>
      <c r="AY692" s="54">
        <v>167139673</v>
      </c>
      <c r="AZ692" s="54">
        <v>2199206</v>
      </c>
      <c r="BA692" s="74">
        <v>37386509</v>
      </c>
      <c r="BB692" s="55">
        <f>VLOOKUP(M692,[1]Sheet1!$E$6:$F$556,2,FALSE)</f>
        <v>2782141</v>
      </c>
      <c r="BC692" s="74"/>
      <c r="BD692" s="74"/>
      <c r="BE692" s="30"/>
      <c r="BF692" s="30" t="s">
        <v>1739</v>
      </c>
      <c r="BG692" s="30" t="s">
        <v>1880</v>
      </c>
      <c r="BH692" s="30" t="s">
        <v>1054</v>
      </c>
      <c r="BI692" s="30" t="str">
        <f t="shared" si="454"/>
        <v>COF(Assy_FT)</v>
      </c>
      <c r="BJ692" s="30" t="s">
        <v>250</v>
      </c>
      <c r="BK692" s="56">
        <f t="shared" si="461"/>
        <v>39255834.450000003</v>
      </c>
      <c r="BL692" s="57">
        <f t="shared" si="473"/>
        <v>1226744.8265625001</v>
      </c>
      <c r="BM692" s="57">
        <f t="shared" si="474"/>
        <v>408914.94218750001</v>
      </c>
      <c r="BU692" s="58">
        <f t="shared" si="482"/>
        <v>1226744.8265625001</v>
      </c>
      <c r="BV692" s="58">
        <f t="shared" si="467"/>
        <v>1226744.8265625001</v>
      </c>
      <c r="BW692" s="58">
        <f t="shared" si="483"/>
        <v>2453489.6531250002</v>
      </c>
      <c r="BX692" s="58">
        <f t="shared" si="476"/>
        <v>1226744.8265625001</v>
      </c>
      <c r="BY692" s="58">
        <f t="shared" si="477"/>
        <v>1226744.8265625001</v>
      </c>
      <c r="BZ692" s="58">
        <f t="shared" si="464"/>
        <v>1226744.8265625001</v>
      </c>
      <c r="CA692" s="58">
        <f t="shared" si="478"/>
        <v>1226744.8265625001</v>
      </c>
      <c r="CB692" s="58">
        <f t="shared" si="455"/>
        <v>4906979.3062500004</v>
      </c>
      <c r="CC692" s="58">
        <f t="shared" si="456"/>
        <v>1226744.8265625001</v>
      </c>
      <c r="CD692" s="58">
        <f t="shared" si="470"/>
        <v>1226744.8265625001</v>
      </c>
      <c r="CE692" s="58">
        <f t="shared" si="470"/>
        <v>1226744.8265625001</v>
      </c>
      <c r="CF692" s="58">
        <f t="shared" si="470"/>
        <v>1226744.8265625001</v>
      </c>
      <c r="CG692" s="58">
        <f t="shared" si="457"/>
        <v>4906979.3062500004</v>
      </c>
      <c r="CH692" s="58">
        <f t="shared" si="479"/>
        <v>1226744.8265625001</v>
      </c>
      <c r="CI692" s="58">
        <f t="shared" si="449"/>
        <v>1226744.8265625001</v>
      </c>
      <c r="CJ692" s="58">
        <f t="shared" si="449"/>
        <v>1226744.8265625001</v>
      </c>
      <c r="CK692" s="58">
        <f t="shared" si="449"/>
        <v>1226744.8265625001</v>
      </c>
      <c r="CL692" s="58">
        <f t="shared" si="484"/>
        <v>4906979.3062500004</v>
      </c>
      <c r="CP692" s="2">
        <f t="shared" si="458"/>
        <v>39255834.450000003</v>
      </c>
    </row>
    <row r="693" spans="1:94" ht="15" hidden="1" x14ac:dyDescent="0.3">
      <c r="A693" s="29">
        <v>688</v>
      </c>
      <c r="B693" s="30" t="s">
        <v>21</v>
      </c>
      <c r="C693" s="30"/>
      <c r="D693" s="30" t="s">
        <v>1725</v>
      </c>
      <c r="E693" s="30" t="s">
        <v>1042</v>
      </c>
      <c r="F693" s="30" t="s">
        <v>1043</v>
      </c>
      <c r="G693" s="30" t="s">
        <v>117</v>
      </c>
      <c r="H693" s="30"/>
      <c r="I693" s="30" t="s">
        <v>119</v>
      </c>
      <c r="J693" s="30" t="s">
        <v>1871</v>
      </c>
      <c r="K693" s="30" t="s">
        <v>1872</v>
      </c>
      <c r="L693" s="30" t="s">
        <v>1873</v>
      </c>
      <c r="M693" s="30">
        <v>1005912</v>
      </c>
      <c r="N693" s="30" t="s">
        <v>138</v>
      </c>
      <c r="O693" s="30" t="s">
        <v>2025</v>
      </c>
      <c r="P693" s="30" t="s">
        <v>1956</v>
      </c>
      <c r="Q693" s="30" t="s">
        <v>1956</v>
      </c>
      <c r="R693" s="30" t="s">
        <v>1876</v>
      </c>
      <c r="S693" s="30"/>
      <c r="T693" s="30" t="s">
        <v>1780</v>
      </c>
      <c r="U693" s="30" t="s">
        <v>588</v>
      </c>
      <c r="V693" s="30" t="s">
        <v>403</v>
      </c>
      <c r="W693" s="30" t="s">
        <v>1877</v>
      </c>
      <c r="X693" s="89"/>
      <c r="Y693" s="30" t="s">
        <v>457</v>
      </c>
      <c r="Z693" s="30" t="s">
        <v>457</v>
      </c>
      <c r="AA693" s="92" t="s">
        <v>891</v>
      </c>
      <c r="AB693" s="30" t="s">
        <v>1878</v>
      </c>
      <c r="AC693" s="30"/>
      <c r="AD693" s="30"/>
      <c r="AE693" s="30"/>
      <c r="AF693" s="30" t="s">
        <v>179</v>
      </c>
      <c r="AG693" s="30" t="s">
        <v>152</v>
      </c>
      <c r="AH693" s="132" t="s">
        <v>1879</v>
      </c>
      <c r="AI693" s="30"/>
      <c r="AJ693" s="30"/>
      <c r="AK693" s="50">
        <v>43614</v>
      </c>
      <c r="AL693" s="51">
        <f t="shared" si="460"/>
        <v>6.4301369863013695</v>
      </c>
      <c r="AM693" s="30">
        <v>8</v>
      </c>
      <c r="AN693" s="30"/>
      <c r="AO693" s="30" t="s">
        <v>1050</v>
      </c>
      <c r="AP693" s="30" t="s">
        <v>1051</v>
      </c>
      <c r="AQ693" s="30">
        <v>1.5</v>
      </c>
      <c r="AR693" s="30">
        <v>1720</v>
      </c>
      <c r="AS693" s="30">
        <v>1550</v>
      </c>
      <c r="AT693" s="30">
        <v>2300</v>
      </c>
      <c r="AU693" s="74">
        <v>211123800</v>
      </c>
      <c r="AV693" s="54"/>
      <c r="AW693" s="54"/>
      <c r="AX693" s="54"/>
      <c r="AY693" s="54">
        <v>164940467</v>
      </c>
      <c r="AZ693" s="54">
        <v>2199206</v>
      </c>
      <c r="BA693" s="74">
        <v>39585715</v>
      </c>
      <c r="BB693" s="55">
        <f>VLOOKUP(M693,[1]Sheet1!$E$6:$F$556,2,FALSE)</f>
        <v>3013986</v>
      </c>
      <c r="BC693" s="74"/>
      <c r="BD693" s="74"/>
      <c r="BE693" s="30"/>
      <c r="BF693" s="30" t="s">
        <v>1739</v>
      </c>
      <c r="BG693" s="30" t="s">
        <v>1880</v>
      </c>
      <c r="BH693" s="30" t="s">
        <v>1054</v>
      </c>
      <c r="BI693" s="30" t="str">
        <f t="shared" si="454"/>
        <v>COF(Assy_FT)</v>
      </c>
      <c r="BJ693" s="30" t="s">
        <v>250</v>
      </c>
      <c r="BK693" s="56">
        <f t="shared" si="461"/>
        <v>41565000.75</v>
      </c>
      <c r="BL693" s="57">
        <f t="shared" si="473"/>
        <v>1298906.2734375</v>
      </c>
      <c r="BM693" s="57">
        <f t="shared" si="474"/>
        <v>432968.7578125</v>
      </c>
      <c r="BU693" s="58">
        <f t="shared" si="482"/>
        <v>1298906.2734375</v>
      </c>
      <c r="BV693" s="58">
        <f t="shared" si="467"/>
        <v>1298906.2734375</v>
      </c>
      <c r="BW693" s="58">
        <f t="shared" si="483"/>
        <v>2597812.546875</v>
      </c>
      <c r="BX693" s="58">
        <f t="shared" si="476"/>
        <v>1298906.2734375</v>
      </c>
      <c r="BY693" s="58">
        <f t="shared" si="477"/>
        <v>1298906.2734375</v>
      </c>
      <c r="BZ693" s="58">
        <f t="shared" si="464"/>
        <v>1298906.2734375</v>
      </c>
      <c r="CA693" s="58">
        <f t="shared" si="478"/>
        <v>1298906.2734375</v>
      </c>
      <c r="CB693" s="58">
        <f t="shared" si="455"/>
        <v>5195625.09375</v>
      </c>
      <c r="CC693" s="58">
        <f t="shared" si="456"/>
        <v>1298906.2734375</v>
      </c>
      <c r="CD693" s="58">
        <f t="shared" ref="CD693:CF710" si="485">CC693</f>
        <v>1298906.2734375</v>
      </c>
      <c r="CE693" s="58">
        <f t="shared" si="485"/>
        <v>1298906.2734375</v>
      </c>
      <c r="CF693" s="58">
        <f t="shared" si="485"/>
        <v>1298906.2734375</v>
      </c>
      <c r="CG693" s="58">
        <f t="shared" si="457"/>
        <v>5195625.09375</v>
      </c>
      <c r="CH693" s="58">
        <f t="shared" si="479"/>
        <v>1298906.2734375</v>
      </c>
      <c r="CI693" s="58">
        <f t="shared" si="449"/>
        <v>1298906.2734375</v>
      </c>
      <c r="CJ693" s="58">
        <f t="shared" si="449"/>
        <v>1298906.2734375</v>
      </c>
      <c r="CK693" s="58">
        <f t="shared" si="449"/>
        <v>1298906.2734375</v>
      </c>
      <c r="CL693" s="58">
        <f t="shared" si="484"/>
        <v>5195625.09375</v>
      </c>
      <c r="CP693" s="2">
        <f t="shared" si="458"/>
        <v>41565000.75</v>
      </c>
    </row>
    <row r="694" spans="1:94" ht="15" hidden="1" x14ac:dyDescent="0.3">
      <c r="A694" s="29">
        <v>689</v>
      </c>
      <c r="B694" s="30" t="s">
        <v>21</v>
      </c>
      <c r="C694" s="30"/>
      <c r="D694" s="30" t="s">
        <v>1725</v>
      </c>
      <c r="E694" s="30" t="s">
        <v>1042</v>
      </c>
      <c r="F694" s="30" t="s">
        <v>1043</v>
      </c>
      <c r="G694" s="30" t="s">
        <v>117</v>
      </c>
      <c r="H694" s="30"/>
      <c r="I694" s="30" t="s">
        <v>119</v>
      </c>
      <c r="J694" s="30" t="s">
        <v>1871</v>
      </c>
      <c r="K694" s="30" t="s">
        <v>1872</v>
      </c>
      <c r="L694" s="30" t="s">
        <v>1873</v>
      </c>
      <c r="M694" s="30">
        <v>1006027</v>
      </c>
      <c r="N694" s="30" t="s">
        <v>138</v>
      </c>
      <c r="O694" s="30" t="s">
        <v>2026</v>
      </c>
      <c r="P694" s="30" t="s">
        <v>1956</v>
      </c>
      <c r="Q694" s="30" t="s">
        <v>1956</v>
      </c>
      <c r="R694" s="30" t="s">
        <v>1876</v>
      </c>
      <c r="S694" s="30">
        <v>0</v>
      </c>
      <c r="T694" s="30" t="s">
        <v>1780</v>
      </c>
      <c r="U694" s="30" t="s">
        <v>588</v>
      </c>
      <c r="V694" s="30" t="s">
        <v>403</v>
      </c>
      <c r="W694" s="30" t="s">
        <v>1877</v>
      </c>
      <c r="X694" s="89"/>
      <c r="Y694" s="30" t="s">
        <v>457</v>
      </c>
      <c r="Z694" s="30" t="s">
        <v>457</v>
      </c>
      <c r="AA694" s="92" t="s">
        <v>891</v>
      </c>
      <c r="AB694" s="30" t="s">
        <v>1878</v>
      </c>
      <c r="AC694" s="30"/>
      <c r="AD694" s="30"/>
      <c r="AE694" s="30"/>
      <c r="AF694" s="30" t="s">
        <v>179</v>
      </c>
      <c r="AG694" s="30" t="s">
        <v>152</v>
      </c>
      <c r="AH694" s="132" t="s">
        <v>1879</v>
      </c>
      <c r="AI694" s="30"/>
      <c r="AJ694" s="30"/>
      <c r="AK694" s="50">
        <v>43825</v>
      </c>
      <c r="AL694" s="51">
        <f t="shared" si="460"/>
        <v>5.8520547945205479</v>
      </c>
      <c r="AM694" s="30">
        <v>8</v>
      </c>
      <c r="AN694" s="30"/>
      <c r="AO694" s="30" t="s">
        <v>1050</v>
      </c>
      <c r="AP694" s="30" t="s">
        <v>1187</v>
      </c>
      <c r="AQ694" s="30">
        <v>1.5</v>
      </c>
      <c r="AR694" s="30">
        <v>1720</v>
      </c>
      <c r="AS694" s="30">
        <v>1550</v>
      </c>
      <c r="AT694" s="30">
        <v>2300</v>
      </c>
      <c r="AU694" s="74">
        <v>175000000</v>
      </c>
      <c r="AV694" s="54"/>
      <c r="AW694" s="54"/>
      <c r="AX694" s="54"/>
      <c r="AY694" s="54">
        <v>123958335</v>
      </c>
      <c r="AZ694" s="54">
        <v>1822917</v>
      </c>
      <c r="BA694" s="74">
        <v>45572914</v>
      </c>
      <c r="BB694" s="55">
        <f>VLOOKUP(M694,[1]Sheet1!$E$6:$F$556,2,FALSE)</f>
        <v>3843516</v>
      </c>
      <c r="BC694" s="74"/>
      <c r="BD694" s="74"/>
      <c r="BE694" s="30"/>
      <c r="BF694" s="30" t="s">
        <v>1739</v>
      </c>
      <c r="BG694" s="30" t="s">
        <v>1880</v>
      </c>
      <c r="BH694" s="30" t="s">
        <v>1054</v>
      </c>
      <c r="BI694" s="30" t="str">
        <f t="shared" si="454"/>
        <v>COF(Assy_FT)</v>
      </c>
      <c r="BJ694" s="30" t="s">
        <v>250</v>
      </c>
      <c r="BK694" s="56">
        <f t="shared" si="461"/>
        <v>47851559.700000003</v>
      </c>
      <c r="BL694" s="57">
        <f t="shared" si="473"/>
        <v>1495361.2406250001</v>
      </c>
      <c r="BM694" s="57">
        <f t="shared" si="474"/>
        <v>498453.74687500001</v>
      </c>
      <c r="BU694" s="58">
        <f t="shared" si="482"/>
        <v>1495361.2406250001</v>
      </c>
      <c r="BV694" s="58">
        <f t="shared" si="467"/>
        <v>1495361.2406250001</v>
      </c>
      <c r="BW694" s="58">
        <f t="shared" si="483"/>
        <v>2990722.4812500002</v>
      </c>
      <c r="BX694" s="58">
        <f t="shared" si="476"/>
        <v>1495361.2406250001</v>
      </c>
      <c r="BY694" s="58">
        <f t="shared" si="477"/>
        <v>1495361.2406250001</v>
      </c>
      <c r="BZ694" s="58">
        <f t="shared" si="464"/>
        <v>1495361.2406250001</v>
      </c>
      <c r="CA694" s="58">
        <f t="shared" si="478"/>
        <v>1495361.2406250001</v>
      </c>
      <c r="CB694" s="58">
        <f t="shared" si="455"/>
        <v>5981444.9625000004</v>
      </c>
      <c r="CC694" s="58">
        <f t="shared" si="456"/>
        <v>1495361.2406250001</v>
      </c>
      <c r="CD694" s="58">
        <f t="shared" si="485"/>
        <v>1495361.2406250001</v>
      </c>
      <c r="CE694" s="58">
        <f t="shared" si="485"/>
        <v>1495361.2406250001</v>
      </c>
      <c r="CF694" s="58">
        <f t="shared" si="485"/>
        <v>1495361.2406250001</v>
      </c>
      <c r="CG694" s="58">
        <f t="shared" si="457"/>
        <v>5981444.9625000004</v>
      </c>
      <c r="CH694" s="58">
        <f t="shared" si="479"/>
        <v>1495361.2406250001</v>
      </c>
      <c r="CI694" s="58">
        <f t="shared" si="449"/>
        <v>1495361.2406250001</v>
      </c>
      <c r="CJ694" s="58">
        <f t="shared" si="449"/>
        <v>1495361.2406250001</v>
      </c>
      <c r="CK694" s="58">
        <f t="shared" si="449"/>
        <v>1495361.2406250001</v>
      </c>
      <c r="CL694" s="58">
        <f t="shared" si="484"/>
        <v>5981444.9625000004</v>
      </c>
      <c r="CP694" s="2">
        <f t="shared" si="458"/>
        <v>47851559.700000003</v>
      </c>
    </row>
    <row r="695" spans="1:94" ht="15" hidden="1" x14ac:dyDescent="0.3">
      <c r="A695" s="29">
        <v>690</v>
      </c>
      <c r="B695" s="30" t="s">
        <v>21</v>
      </c>
      <c r="C695" s="30"/>
      <c r="D695" s="30" t="s">
        <v>1725</v>
      </c>
      <c r="E695" s="30" t="s">
        <v>1042</v>
      </c>
      <c r="F695" s="30" t="s">
        <v>1043</v>
      </c>
      <c r="G695" s="30" t="s">
        <v>117</v>
      </c>
      <c r="H695" s="30"/>
      <c r="I695" s="30" t="s">
        <v>119</v>
      </c>
      <c r="J695" s="30" t="s">
        <v>1871</v>
      </c>
      <c r="K695" s="30" t="s">
        <v>1872</v>
      </c>
      <c r="L695" s="30" t="s">
        <v>1873</v>
      </c>
      <c r="M695" s="30">
        <v>1006037</v>
      </c>
      <c r="N695" s="30" t="s">
        <v>138</v>
      </c>
      <c r="O695" s="30" t="s">
        <v>2027</v>
      </c>
      <c r="P695" s="30" t="s">
        <v>1956</v>
      </c>
      <c r="Q695" s="30" t="s">
        <v>1956</v>
      </c>
      <c r="R695" s="30" t="s">
        <v>1876</v>
      </c>
      <c r="S695" s="30"/>
      <c r="T695" s="30" t="s">
        <v>1780</v>
      </c>
      <c r="U695" s="30" t="s">
        <v>588</v>
      </c>
      <c r="V695" s="30" t="s">
        <v>403</v>
      </c>
      <c r="W695" s="30" t="s">
        <v>1877</v>
      </c>
      <c r="X695" s="89"/>
      <c r="Y695" s="30" t="s">
        <v>457</v>
      </c>
      <c r="Z695" s="30" t="s">
        <v>457</v>
      </c>
      <c r="AA695" s="92" t="s">
        <v>891</v>
      </c>
      <c r="AB695" s="30" t="s">
        <v>1878</v>
      </c>
      <c r="AC695" s="30"/>
      <c r="AD695" s="30"/>
      <c r="AE695" s="30"/>
      <c r="AF695" s="30" t="s">
        <v>179</v>
      </c>
      <c r="AG695" s="30" t="s">
        <v>152</v>
      </c>
      <c r="AH695" s="132" t="s">
        <v>1879</v>
      </c>
      <c r="AI695" s="30"/>
      <c r="AJ695" s="30"/>
      <c r="AK695" s="50">
        <v>43825</v>
      </c>
      <c r="AL695" s="51">
        <f t="shared" si="460"/>
        <v>5.8520547945205479</v>
      </c>
      <c r="AM695" s="30">
        <v>8</v>
      </c>
      <c r="AN695" s="30"/>
      <c r="AO695" s="30" t="s">
        <v>1050</v>
      </c>
      <c r="AP695" s="30" t="s">
        <v>1187</v>
      </c>
      <c r="AQ695" s="30">
        <v>1.5</v>
      </c>
      <c r="AR695" s="30">
        <v>1720</v>
      </c>
      <c r="AS695" s="30">
        <v>1550</v>
      </c>
      <c r="AT695" s="30">
        <v>2300</v>
      </c>
      <c r="AU695" s="74">
        <v>175000000</v>
      </c>
      <c r="AV695" s="54"/>
      <c r="AW695" s="54"/>
      <c r="AX695" s="54"/>
      <c r="AY695" s="54">
        <v>123958335</v>
      </c>
      <c r="AZ695" s="54">
        <v>1822917</v>
      </c>
      <c r="BA695" s="74">
        <v>45572914</v>
      </c>
      <c r="BB695" s="55">
        <f>VLOOKUP(M695,[1]Sheet1!$E$6:$F$556,2,FALSE)</f>
        <v>3843516</v>
      </c>
      <c r="BC695" s="74"/>
      <c r="BD695" s="74"/>
      <c r="BE695" s="30"/>
      <c r="BF695" s="30" t="s">
        <v>1739</v>
      </c>
      <c r="BG695" s="30" t="s">
        <v>1880</v>
      </c>
      <c r="BH695" s="30" t="s">
        <v>1054</v>
      </c>
      <c r="BI695" s="30" t="str">
        <f t="shared" si="454"/>
        <v>COF(Assy_FT)</v>
      </c>
      <c r="BJ695" s="30" t="s">
        <v>250</v>
      </c>
      <c r="BK695" s="56">
        <f t="shared" si="461"/>
        <v>47851559.700000003</v>
      </c>
      <c r="BL695" s="57">
        <f t="shared" si="473"/>
        <v>1495361.2406250001</v>
      </c>
      <c r="BM695" s="57">
        <f t="shared" si="474"/>
        <v>498453.74687500001</v>
      </c>
      <c r="BU695" s="58">
        <f t="shared" si="482"/>
        <v>1495361.2406250001</v>
      </c>
      <c r="BV695" s="58">
        <f t="shared" si="467"/>
        <v>1495361.2406250001</v>
      </c>
      <c r="BW695" s="58">
        <f t="shared" si="483"/>
        <v>2990722.4812500002</v>
      </c>
      <c r="BX695" s="58">
        <f t="shared" si="476"/>
        <v>1495361.2406250001</v>
      </c>
      <c r="BY695" s="58">
        <f t="shared" si="477"/>
        <v>1495361.2406250001</v>
      </c>
      <c r="BZ695" s="58">
        <f t="shared" si="464"/>
        <v>1495361.2406250001</v>
      </c>
      <c r="CA695" s="58">
        <f t="shared" si="478"/>
        <v>1495361.2406250001</v>
      </c>
      <c r="CB695" s="58">
        <f t="shared" si="455"/>
        <v>5981444.9625000004</v>
      </c>
      <c r="CC695" s="58">
        <f t="shared" si="456"/>
        <v>1495361.2406250001</v>
      </c>
      <c r="CD695" s="58">
        <f t="shared" si="485"/>
        <v>1495361.2406250001</v>
      </c>
      <c r="CE695" s="58">
        <f t="shared" si="485"/>
        <v>1495361.2406250001</v>
      </c>
      <c r="CF695" s="58">
        <f t="shared" si="485"/>
        <v>1495361.2406250001</v>
      </c>
      <c r="CG695" s="58">
        <f t="shared" si="457"/>
        <v>5981444.9625000004</v>
      </c>
      <c r="CH695" s="58">
        <f t="shared" si="479"/>
        <v>1495361.2406250001</v>
      </c>
      <c r="CI695" s="58">
        <f t="shared" si="449"/>
        <v>1495361.2406250001</v>
      </c>
      <c r="CJ695" s="58">
        <f t="shared" si="449"/>
        <v>1495361.2406250001</v>
      </c>
      <c r="CK695" s="58">
        <f t="shared" si="449"/>
        <v>1495361.2406250001</v>
      </c>
      <c r="CL695" s="58">
        <f t="shared" si="484"/>
        <v>5981444.9625000004</v>
      </c>
      <c r="CP695" s="2">
        <f t="shared" si="458"/>
        <v>47851559.700000003</v>
      </c>
    </row>
    <row r="696" spans="1:94" ht="15" hidden="1" x14ac:dyDescent="0.3">
      <c r="A696" s="29">
        <v>691</v>
      </c>
      <c r="B696" s="30" t="s">
        <v>21</v>
      </c>
      <c r="C696" s="30"/>
      <c r="D696" s="30" t="s">
        <v>1725</v>
      </c>
      <c r="E696" s="30" t="s">
        <v>1042</v>
      </c>
      <c r="F696" s="30" t="s">
        <v>1043</v>
      </c>
      <c r="G696" s="30" t="s">
        <v>117</v>
      </c>
      <c r="H696" s="30"/>
      <c r="I696" s="30" t="s">
        <v>119</v>
      </c>
      <c r="J696" s="30" t="s">
        <v>1871</v>
      </c>
      <c r="K696" s="30" t="s">
        <v>1872</v>
      </c>
      <c r="L696" s="30" t="s">
        <v>1873</v>
      </c>
      <c r="M696" s="30">
        <v>1005529</v>
      </c>
      <c r="N696" s="30" t="s">
        <v>138</v>
      </c>
      <c r="O696" s="30" t="s">
        <v>2028</v>
      </c>
      <c r="P696" s="30" t="s">
        <v>1956</v>
      </c>
      <c r="Q696" s="30" t="s">
        <v>1956</v>
      </c>
      <c r="R696" s="30" t="s">
        <v>1876</v>
      </c>
      <c r="S696" s="30"/>
      <c r="T696" s="30" t="s">
        <v>1780</v>
      </c>
      <c r="U696" s="30" t="s">
        <v>588</v>
      </c>
      <c r="V696" s="30" t="s">
        <v>403</v>
      </c>
      <c r="W696" s="30" t="s">
        <v>1877</v>
      </c>
      <c r="X696" s="89"/>
      <c r="Y696" s="30" t="s">
        <v>457</v>
      </c>
      <c r="Z696" s="30" t="s">
        <v>457</v>
      </c>
      <c r="AA696" s="92" t="s">
        <v>891</v>
      </c>
      <c r="AB696" s="30" t="s">
        <v>1878</v>
      </c>
      <c r="AC696" s="30"/>
      <c r="AD696" s="30"/>
      <c r="AE696" s="30"/>
      <c r="AF696" s="30" t="s">
        <v>179</v>
      </c>
      <c r="AG696" s="30" t="s">
        <v>152</v>
      </c>
      <c r="AH696" s="132" t="s">
        <v>1879</v>
      </c>
      <c r="AI696" s="30"/>
      <c r="AJ696" s="30"/>
      <c r="AK696" s="50">
        <v>43313</v>
      </c>
      <c r="AL696" s="51">
        <f t="shared" si="460"/>
        <v>7.2547945205479456</v>
      </c>
      <c r="AM696" s="30">
        <v>8</v>
      </c>
      <c r="AN696" s="30"/>
      <c r="AO696" s="30" t="s">
        <v>1050</v>
      </c>
      <c r="AP696" s="30" t="s">
        <v>1187</v>
      </c>
      <c r="AQ696" s="30">
        <v>1.5</v>
      </c>
      <c r="AR696" s="30">
        <v>1720</v>
      </c>
      <c r="AS696" s="30">
        <v>1550</v>
      </c>
      <c r="AT696" s="30">
        <v>2300</v>
      </c>
      <c r="AU696" s="74">
        <v>211114820</v>
      </c>
      <c r="AV696" s="54"/>
      <c r="AW696" s="54"/>
      <c r="AX696" s="54"/>
      <c r="AY696" s="54">
        <v>184725468</v>
      </c>
      <c r="AZ696" s="54">
        <v>2199113</v>
      </c>
      <c r="BA696" s="74">
        <v>19792013</v>
      </c>
      <c r="BB696" s="55">
        <f>VLOOKUP(M696,[1]Sheet1!$E$6:$F$556,2,FALSE)</f>
        <v>927771</v>
      </c>
      <c r="BC696" s="74"/>
      <c r="BD696" s="74"/>
      <c r="BE696" s="30"/>
      <c r="BF696" s="30" t="s">
        <v>1739</v>
      </c>
      <c r="BG696" s="30" t="s">
        <v>1880</v>
      </c>
      <c r="BH696" s="30" t="s">
        <v>1054</v>
      </c>
      <c r="BI696" s="30" t="str">
        <f t="shared" si="454"/>
        <v>COF(Assy_FT)</v>
      </c>
      <c r="BJ696" s="30" t="s">
        <v>250</v>
      </c>
      <c r="BK696" s="56">
        <f t="shared" si="461"/>
        <v>20781613.650000002</v>
      </c>
      <c r="BL696" s="57">
        <f t="shared" si="473"/>
        <v>649425.42656250007</v>
      </c>
      <c r="BM696" s="57">
        <f t="shared" si="474"/>
        <v>216475.14218750002</v>
      </c>
      <c r="BU696" s="58">
        <f t="shared" si="482"/>
        <v>649425.42656250007</v>
      </c>
      <c r="BV696" s="58">
        <f t="shared" si="467"/>
        <v>649425.42656250007</v>
      </c>
      <c r="BW696" s="58">
        <f t="shared" si="483"/>
        <v>1298850.8531250001</v>
      </c>
      <c r="BX696" s="58">
        <f t="shared" si="476"/>
        <v>649425.42656250007</v>
      </c>
      <c r="BY696" s="58">
        <f t="shared" si="477"/>
        <v>649425.42656250007</v>
      </c>
      <c r="BZ696" s="58">
        <f t="shared" si="464"/>
        <v>649425.42656250007</v>
      </c>
      <c r="CA696" s="58">
        <f t="shared" si="478"/>
        <v>649425.42656250007</v>
      </c>
      <c r="CB696" s="58">
        <f t="shared" si="455"/>
        <v>2597701.7062500003</v>
      </c>
      <c r="CC696" s="58">
        <f t="shared" si="456"/>
        <v>649425.42656250007</v>
      </c>
      <c r="CD696" s="58">
        <f t="shared" si="485"/>
        <v>649425.42656250007</v>
      </c>
      <c r="CE696" s="58">
        <f t="shared" si="485"/>
        <v>649425.42656250007</v>
      </c>
      <c r="CF696" s="58">
        <f t="shared" si="485"/>
        <v>649425.42656250007</v>
      </c>
      <c r="CG696" s="58">
        <f t="shared" si="457"/>
        <v>2597701.7062500003</v>
      </c>
      <c r="CH696" s="58">
        <f t="shared" si="479"/>
        <v>649425.42656250007</v>
      </c>
      <c r="CI696" s="58">
        <f t="shared" si="449"/>
        <v>649425.42656250007</v>
      </c>
      <c r="CJ696" s="58">
        <f t="shared" si="449"/>
        <v>649425.42656250007</v>
      </c>
      <c r="CK696" s="58">
        <f t="shared" si="449"/>
        <v>649425.42656250007</v>
      </c>
      <c r="CL696" s="58">
        <f t="shared" si="484"/>
        <v>2597701.7062500003</v>
      </c>
      <c r="CP696" s="2">
        <f t="shared" si="458"/>
        <v>20781613.650000002</v>
      </c>
    </row>
    <row r="697" spans="1:94" ht="15" hidden="1" x14ac:dyDescent="0.3">
      <c r="A697" s="29">
        <v>692</v>
      </c>
      <c r="B697" s="30" t="s">
        <v>21</v>
      </c>
      <c r="C697" s="30"/>
      <c r="D697" s="30" t="s">
        <v>1725</v>
      </c>
      <c r="E697" s="30" t="s">
        <v>1042</v>
      </c>
      <c r="F697" s="30" t="s">
        <v>1043</v>
      </c>
      <c r="G697" s="30" t="s">
        <v>117</v>
      </c>
      <c r="H697" s="30"/>
      <c r="I697" s="30" t="s">
        <v>119</v>
      </c>
      <c r="J697" s="30" t="s">
        <v>1871</v>
      </c>
      <c r="K697" s="30" t="s">
        <v>1872</v>
      </c>
      <c r="L697" s="30" t="s">
        <v>1873</v>
      </c>
      <c r="M697" s="30">
        <v>1006724</v>
      </c>
      <c r="N697" s="30" t="s">
        <v>138</v>
      </c>
      <c r="O697" s="30" t="s">
        <v>2029</v>
      </c>
      <c r="P697" s="30" t="s">
        <v>1956</v>
      </c>
      <c r="Q697" s="30" t="s">
        <v>1956</v>
      </c>
      <c r="R697" s="30" t="s">
        <v>1876</v>
      </c>
      <c r="S697" s="30"/>
      <c r="T697" s="30" t="s">
        <v>1780</v>
      </c>
      <c r="U697" s="30" t="s">
        <v>588</v>
      </c>
      <c r="V697" s="30" t="s">
        <v>403</v>
      </c>
      <c r="W697" s="30" t="s">
        <v>1877</v>
      </c>
      <c r="X697" s="89"/>
      <c r="Y697" s="30" t="s">
        <v>457</v>
      </c>
      <c r="Z697" s="30" t="s">
        <v>457</v>
      </c>
      <c r="AA697" s="92" t="s">
        <v>891</v>
      </c>
      <c r="AB697" s="30" t="s">
        <v>1878</v>
      </c>
      <c r="AC697" s="30"/>
      <c r="AD697" s="30"/>
      <c r="AE697" s="30"/>
      <c r="AF697" s="30" t="s">
        <v>179</v>
      </c>
      <c r="AG697" s="30" t="s">
        <v>152</v>
      </c>
      <c r="AH697" s="132" t="s">
        <v>1879</v>
      </c>
      <c r="AI697" s="30"/>
      <c r="AJ697" s="30"/>
      <c r="AK697" s="50">
        <v>44391</v>
      </c>
      <c r="AL697" s="51">
        <f t="shared" si="460"/>
        <v>4.3013698630136989</v>
      </c>
      <c r="AM697" s="30">
        <v>8</v>
      </c>
      <c r="AN697" s="30"/>
      <c r="AO697" s="30" t="s">
        <v>1050</v>
      </c>
      <c r="AP697" s="30" t="s">
        <v>1187</v>
      </c>
      <c r="AQ697" s="30">
        <v>1.5</v>
      </c>
      <c r="AR697" s="30">
        <v>1720</v>
      </c>
      <c r="AS697" s="30">
        <v>1550</v>
      </c>
      <c r="AT697" s="30">
        <v>2300</v>
      </c>
      <c r="AU697" s="74">
        <v>210000000</v>
      </c>
      <c r="AV697" s="54"/>
      <c r="AW697" s="54"/>
      <c r="AX697" s="54"/>
      <c r="AY697" s="54">
        <v>107187500</v>
      </c>
      <c r="AZ697" s="54">
        <v>2187500</v>
      </c>
      <c r="BA697" s="74">
        <v>96250000</v>
      </c>
      <c r="BB697" s="55">
        <f>VLOOKUP(M697,[1]Sheet1!$E$6:$F$556,2,FALSE)</f>
        <v>8993828</v>
      </c>
      <c r="BC697" s="74"/>
      <c r="BD697" s="74"/>
      <c r="BE697" s="30"/>
      <c r="BF697" s="30" t="s">
        <v>1739</v>
      </c>
      <c r="BG697" s="30" t="s">
        <v>1880</v>
      </c>
      <c r="BH697" s="30" t="s">
        <v>1054</v>
      </c>
      <c r="BI697" s="30" t="str">
        <f t="shared" si="454"/>
        <v>COF(Assy_FT)</v>
      </c>
      <c r="BJ697" s="30" t="s">
        <v>250</v>
      </c>
      <c r="BK697" s="56">
        <f t="shared" si="461"/>
        <v>101062500</v>
      </c>
      <c r="BL697" s="57">
        <f t="shared" si="473"/>
        <v>3158203.125</v>
      </c>
      <c r="BM697" s="57">
        <f t="shared" si="474"/>
        <v>1052734.375</v>
      </c>
      <c r="BU697" s="58">
        <f t="shared" si="482"/>
        <v>3158203.125</v>
      </c>
      <c r="BV697" s="58">
        <f t="shared" si="467"/>
        <v>3158203.125</v>
      </c>
      <c r="BW697" s="58">
        <f t="shared" si="483"/>
        <v>6316406.25</v>
      </c>
      <c r="BX697" s="58">
        <f t="shared" si="476"/>
        <v>3158203.125</v>
      </c>
      <c r="BY697" s="58">
        <f t="shared" si="477"/>
        <v>3158203.125</v>
      </c>
      <c r="BZ697" s="58">
        <f t="shared" si="464"/>
        <v>3158203.125</v>
      </c>
      <c r="CA697" s="58">
        <f t="shared" si="478"/>
        <v>3158203.125</v>
      </c>
      <c r="CB697" s="58">
        <f t="shared" si="455"/>
        <v>12632812.5</v>
      </c>
      <c r="CC697" s="58">
        <f t="shared" si="456"/>
        <v>3158203.125</v>
      </c>
      <c r="CD697" s="58">
        <f t="shared" si="485"/>
        <v>3158203.125</v>
      </c>
      <c r="CE697" s="58">
        <f t="shared" si="485"/>
        <v>3158203.125</v>
      </c>
      <c r="CF697" s="58">
        <f t="shared" si="485"/>
        <v>3158203.125</v>
      </c>
      <c r="CG697" s="58">
        <f t="shared" si="457"/>
        <v>12632812.5</v>
      </c>
      <c r="CH697" s="58">
        <f t="shared" si="479"/>
        <v>3158203.125</v>
      </c>
      <c r="CI697" s="58">
        <f t="shared" si="449"/>
        <v>3158203.125</v>
      </c>
      <c r="CJ697" s="58">
        <f t="shared" si="449"/>
        <v>3158203.125</v>
      </c>
      <c r="CK697" s="58">
        <f t="shared" si="449"/>
        <v>3158203.125</v>
      </c>
      <c r="CL697" s="58">
        <f t="shared" si="484"/>
        <v>12632812.5</v>
      </c>
      <c r="CP697" s="2">
        <f t="shared" si="458"/>
        <v>101062500</v>
      </c>
    </row>
    <row r="698" spans="1:94" ht="15" hidden="1" x14ac:dyDescent="0.3">
      <c r="A698" s="29">
        <v>693</v>
      </c>
      <c r="B698" s="30" t="s">
        <v>21</v>
      </c>
      <c r="C698" s="30"/>
      <c r="D698" s="30" t="s">
        <v>1725</v>
      </c>
      <c r="E698" s="30" t="s">
        <v>1042</v>
      </c>
      <c r="F698" s="30" t="s">
        <v>1043</v>
      </c>
      <c r="G698" s="30" t="s">
        <v>117</v>
      </c>
      <c r="H698" s="30"/>
      <c r="I698" s="30" t="s">
        <v>119</v>
      </c>
      <c r="J698" s="30" t="s">
        <v>1871</v>
      </c>
      <c r="K698" s="30" t="s">
        <v>1872</v>
      </c>
      <c r="L698" s="30" t="s">
        <v>1873</v>
      </c>
      <c r="M698" s="30">
        <v>1006733</v>
      </c>
      <c r="N698" s="30" t="s">
        <v>138</v>
      </c>
      <c r="O698" s="30" t="s">
        <v>2030</v>
      </c>
      <c r="P698" s="30" t="s">
        <v>1956</v>
      </c>
      <c r="Q698" s="30" t="s">
        <v>1956</v>
      </c>
      <c r="R698" s="30" t="s">
        <v>1876</v>
      </c>
      <c r="S698" s="30"/>
      <c r="T698" s="30" t="s">
        <v>1780</v>
      </c>
      <c r="U698" s="30" t="s">
        <v>588</v>
      </c>
      <c r="V698" s="30" t="s">
        <v>403</v>
      </c>
      <c r="W698" s="30" t="s">
        <v>1877</v>
      </c>
      <c r="X698" s="89"/>
      <c r="Y698" s="30" t="s">
        <v>457</v>
      </c>
      <c r="Z698" s="30" t="s">
        <v>457</v>
      </c>
      <c r="AA698" s="92" t="s">
        <v>891</v>
      </c>
      <c r="AB698" s="30" t="s">
        <v>1878</v>
      </c>
      <c r="AC698" s="30"/>
      <c r="AD698" s="30"/>
      <c r="AE698" s="30"/>
      <c r="AF698" s="30" t="s">
        <v>179</v>
      </c>
      <c r="AG698" s="30" t="s">
        <v>152</v>
      </c>
      <c r="AH698" s="132" t="s">
        <v>1879</v>
      </c>
      <c r="AI698" s="30"/>
      <c r="AJ698" s="30"/>
      <c r="AK698" s="50">
        <v>44391</v>
      </c>
      <c r="AL698" s="51">
        <f t="shared" si="460"/>
        <v>4.3013698630136989</v>
      </c>
      <c r="AM698" s="30">
        <v>8</v>
      </c>
      <c r="AN698" s="30"/>
      <c r="AO698" s="30" t="s">
        <v>1050</v>
      </c>
      <c r="AP698" s="30" t="s">
        <v>1187</v>
      </c>
      <c r="AQ698" s="30">
        <v>1.5</v>
      </c>
      <c r="AR698" s="30">
        <v>1720</v>
      </c>
      <c r="AS698" s="30">
        <v>1550</v>
      </c>
      <c r="AT698" s="30">
        <v>2300</v>
      </c>
      <c r="AU698" s="74">
        <v>210000000</v>
      </c>
      <c r="AV698" s="54"/>
      <c r="AW698" s="54"/>
      <c r="AX698" s="54"/>
      <c r="AY698" s="54">
        <v>107187500</v>
      </c>
      <c r="AZ698" s="54">
        <v>2187500</v>
      </c>
      <c r="BA698" s="74">
        <v>96250000</v>
      </c>
      <c r="BB698" s="55">
        <f>VLOOKUP(M698,[1]Sheet1!$E$6:$F$556,2,FALSE)</f>
        <v>8993828</v>
      </c>
      <c r="BC698" s="74"/>
      <c r="BD698" s="74"/>
      <c r="BE698" s="30"/>
      <c r="BF698" s="30" t="s">
        <v>1739</v>
      </c>
      <c r="BG698" s="30" t="s">
        <v>1880</v>
      </c>
      <c r="BH698" s="30" t="s">
        <v>1054</v>
      </c>
      <c r="BI698" s="30" t="str">
        <f t="shared" si="454"/>
        <v>COF(Assy_FT)</v>
      </c>
      <c r="BJ698" s="30" t="s">
        <v>250</v>
      </c>
      <c r="BK698" s="56">
        <f t="shared" si="461"/>
        <v>101062500</v>
      </c>
      <c r="BL698" s="57">
        <f t="shared" si="473"/>
        <v>3158203.125</v>
      </c>
      <c r="BM698" s="57">
        <f t="shared" si="474"/>
        <v>1052734.375</v>
      </c>
      <c r="BU698" s="58">
        <f t="shared" si="482"/>
        <v>3158203.125</v>
      </c>
      <c r="BV698" s="58">
        <f t="shared" si="467"/>
        <v>3158203.125</v>
      </c>
      <c r="BW698" s="58">
        <f t="shared" si="483"/>
        <v>6316406.25</v>
      </c>
      <c r="BX698" s="58">
        <f t="shared" si="476"/>
        <v>3158203.125</v>
      </c>
      <c r="BY698" s="58">
        <f t="shared" si="477"/>
        <v>3158203.125</v>
      </c>
      <c r="BZ698" s="58">
        <f t="shared" si="464"/>
        <v>3158203.125</v>
      </c>
      <c r="CA698" s="58">
        <f t="shared" si="478"/>
        <v>3158203.125</v>
      </c>
      <c r="CB698" s="58">
        <f t="shared" si="455"/>
        <v>12632812.5</v>
      </c>
      <c r="CC698" s="58">
        <f t="shared" si="456"/>
        <v>3158203.125</v>
      </c>
      <c r="CD698" s="58">
        <f t="shared" si="485"/>
        <v>3158203.125</v>
      </c>
      <c r="CE698" s="58">
        <f t="shared" si="485"/>
        <v>3158203.125</v>
      </c>
      <c r="CF698" s="58">
        <f t="shared" si="485"/>
        <v>3158203.125</v>
      </c>
      <c r="CG698" s="58">
        <f t="shared" si="457"/>
        <v>12632812.5</v>
      </c>
      <c r="CH698" s="58">
        <f t="shared" si="479"/>
        <v>3158203.125</v>
      </c>
      <c r="CI698" s="58">
        <f t="shared" si="449"/>
        <v>3158203.125</v>
      </c>
      <c r="CJ698" s="58">
        <f t="shared" si="449"/>
        <v>3158203.125</v>
      </c>
      <c r="CK698" s="58">
        <f t="shared" si="449"/>
        <v>3158203.125</v>
      </c>
      <c r="CL698" s="58">
        <f t="shared" si="484"/>
        <v>12632812.5</v>
      </c>
      <c r="CP698" s="2">
        <f t="shared" si="458"/>
        <v>101062500</v>
      </c>
    </row>
    <row r="699" spans="1:94" ht="15" hidden="1" x14ac:dyDescent="0.3">
      <c r="A699" s="29">
        <v>694</v>
      </c>
      <c r="B699" s="30" t="s">
        <v>21</v>
      </c>
      <c r="C699" s="30"/>
      <c r="D699" s="30" t="s">
        <v>1725</v>
      </c>
      <c r="E699" s="30" t="s">
        <v>1042</v>
      </c>
      <c r="F699" s="30" t="s">
        <v>1043</v>
      </c>
      <c r="G699" s="30" t="s">
        <v>117</v>
      </c>
      <c r="H699" s="30"/>
      <c r="I699" s="30" t="s">
        <v>119</v>
      </c>
      <c r="J699" s="30" t="s">
        <v>1871</v>
      </c>
      <c r="K699" s="30" t="s">
        <v>1872</v>
      </c>
      <c r="L699" s="30" t="s">
        <v>1873</v>
      </c>
      <c r="M699" s="30">
        <v>1005473</v>
      </c>
      <c r="N699" s="30" t="s">
        <v>138</v>
      </c>
      <c r="O699" s="30" t="s">
        <v>2031</v>
      </c>
      <c r="P699" s="30" t="s">
        <v>1956</v>
      </c>
      <c r="Q699" s="30" t="s">
        <v>1956</v>
      </c>
      <c r="R699" s="30" t="s">
        <v>1876</v>
      </c>
      <c r="S699" s="30"/>
      <c r="T699" s="30" t="s">
        <v>1780</v>
      </c>
      <c r="U699" s="30" t="s">
        <v>588</v>
      </c>
      <c r="V699" s="30" t="s">
        <v>403</v>
      </c>
      <c r="W699" s="30" t="s">
        <v>1877</v>
      </c>
      <c r="X699" s="89"/>
      <c r="Y699" s="30" t="s">
        <v>457</v>
      </c>
      <c r="Z699" s="30" t="s">
        <v>457</v>
      </c>
      <c r="AA699" s="92" t="s">
        <v>891</v>
      </c>
      <c r="AB699" s="30" t="s">
        <v>1878</v>
      </c>
      <c r="AC699" s="30"/>
      <c r="AD699" s="30"/>
      <c r="AE699" s="30"/>
      <c r="AF699" s="30" t="s">
        <v>179</v>
      </c>
      <c r="AG699" s="30" t="s">
        <v>152</v>
      </c>
      <c r="AH699" s="132" t="s">
        <v>1879</v>
      </c>
      <c r="AI699" s="30"/>
      <c r="AJ699" s="30"/>
      <c r="AK699" s="50">
        <v>43279</v>
      </c>
      <c r="AL699" s="51">
        <f t="shared" si="460"/>
        <v>7.3479452054794523</v>
      </c>
      <c r="AM699" s="30">
        <v>8</v>
      </c>
      <c r="AN699" s="30"/>
      <c r="AO699" s="30" t="s">
        <v>1050</v>
      </c>
      <c r="AP699" s="30" t="s">
        <v>1187</v>
      </c>
      <c r="AQ699" s="30">
        <v>1.5</v>
      </c>
      <c r="AR699" s="30">
        <v>1720</v>
      </c>
      <c r="AS699" s="30">
        <v>1550</v>
      </c>
      <c r="AT699" s="30">
        <v>2300</v>
      </c>
      <c r="AU699" s="74">
        <v>219999500</v>
      </c>
      <c r="AV699" s="54"/>
      <c r="AW699" s="54"/>
      <c r="AX699" s="54"/>
      <c r="AY699" s="54">
        <v>195717252</v>
      </c>
      <c r="AZ699" s="54">
        <v>2291661</v>
      </c>
      <c r="BA699" s="74">
        <v>17407265</v>
      </c>
      <c r="BB699" s="55">
        <f>VLOOKUP(M699,[1]Sheet1!$E$6:$F$556,2,FALSE)</f>
        <v>541372</v>
      </c>
      <c r="BC699" s="74"/>
      <c r="BD699" s="74"/>
      <c r="BE699" s="30"/>
      <c r="BF699" s="30" t="s">
        <v>1739</v>
      </c>
      <c r="BG699" s="30" t="s">
        <v>1880</v>
      </c>
      <c r="BH699" s="30" t="s">
        <v>1054</v>
      </c>
      <c r="BI699" s="30" t="str">
        <f t="shared" si="454"/>
        <v>COF(Assy_FT)</v>
      </c>
      <c r="BJ699" s="30" t="s">
        <v>250</v>
      </c>
      <c r="BK699" s="56">
        <f t="shared" si="461"/>
        <v>18277628.25</v>
      </c>
      <c r="BL699" s="57">
        <f t="shared" si="473"/>
        <v>571175.8828125</v>
      </c>
      <c r="BM699" s="57">
        <f t="shared" si="474"/>
        <v>190391.9609375</v>
      </c>
      <c r="BU699" s="58">
        <f t="shared" si="482"/>
        <v>571175.8828125</v>
      </c>
      <c r="BV699" s="58">
        <f t="shared" si="467"/>
        <v>571175.8828125</v>
      </c>
      <c r="BW699" s="58">
        <f t="shared" si="483"/>
        <v>1142351.765625</v>
      </c>
      <c r="BX699" s="58">
        <f t="shared" si="476"/>
        <v>571175.8828125</v>
      </c>
      <c r="BY699" s="58">
        <f t="shared" si="477"/>
        <v>571175.8828125</v>
      </c>
      <c r="BZ699" s="58">
        <f t="shared" si="464"/>
        <v>571175.8828125</v>
      </c>
      <c r="CA699" s="58">
        <f t="shared" si="478"/>
        <v>571175.8828125</v>
      </c>
      <c r="CB699" s="58">
        <f t="shared" si="455"/>
        <v>2284703.53125</v>
      </c>
      <c r="CC699" s="58">
        <f t="shared" si="456"/>
        <v>571175.8828125</v>
      </c>
      <c r="CD699" s="58">
        <f t="shared" si="485"/>
        <v>571175.8828125</v>
      </c>
      <c r="CE699" s="58">
        <f t="shared" si="485"/>
        <v>571175.8828125</v>
      </c>
      <c r="CF699" s="58">
        <f t="shared" si="485"/>
        <v>571175.8828125</v>
      </c>
      <c r="CG699" s="58">
        <f t="shared" si="457"/>
        <v>2284703.53125</v>
      </c>
      <c r="CH699" s="58">
        <f t="shared" si="479"/>
        <v>571175.8828125</v>
      </c>
      <c r="CI699" s="58">
        <f t="shared" si="449"/>
        <v>571175.8828125</v>
      </c>
      <c r="CJ699" s="58">
        <f t="shared" si="449"/>
        <v>571175.8828125</v>
      </c>
      <c r="CK699" s="58">
        <f t="shared" si="449"/>
        <v>571175.8828125</v>
      </c>
      <c r="CL699" s="58">
        <f t="shared" si="484"/>
        <v>2284703.53125</v>
      </c>
      <c r="CP699" s="2">
        <f t="shared" si="458"/>
        <v>18277628.25</v>
      </c>
    </row>
    <row r="700" spans="1:94" ht="15" hidden="1" x14ac:dyDescent="0.3">
      <c r="A700" s="29">
        <v>695</v>
      </c>
      <c r="B700" s="30" t="s">
        <v>21</v>
      </c>
      <c r="C700" s="30"/>
      <c r="D700" s="30" t="s">
        <v>1725</v>
      </c>
      <c r="E700" s="30" t="s">
        <v>1042</v>
      </c>
      <c r="F700" s="30" t="s">
        <v>1043</v>
      </c>
      <c r="G700" s="30" t="s">
        <v>117</v>
      </c>
      <c r="H700" s="30"/>
      <c r="I700" s="30" t="s">
        <v>119</v>
      </c>
      <c r="J700" s="30" t="s">
        <v>1871</v>
      </c>
      <c r="K700" s="30" t="s">
        <v>1872</v>
      </c>
      <c r="L700" s="30" t="s">
        <v>1873</v>
      </c>
      <c r="M700" s="30">
        <v>1005532</v>
      </c>
      <c r="N700" s="30" t="s">
        <v>138</v>
      </c>
      <c r="O700" s="30" t="s">
        <v>2032</v>
      </c>
      <c r="P700" s="30" t="s">
        <v>1956</v>
      </c>
      <c r="Q700" s="30" t="s">
        <v>1956</v>
      </c>
      <c r="R700" s="30" t="s">
        <v>1876</v>
      </c>
      <c r="S700" s="30"/>
      <c r="T700" s="30" t="s">
        <v>1780</v>
      </c>
      <c r="U700" s="30" t="s">
        <v>588</v>
      </c>
      <c r="V700" s="30" t="s">
        <v>403</v>
      </c>
      <c r="W700" s="30" t="s">
        <v>1877</v>
      </c>
      <c r="X700" s="89"/>
      <c r="Y700" s="30" t="s">
        <v>457</v>
      </c>
      <c r="Z700" s="30" t="s">
        <v>457</v>
      </c>
      <c r="AA700" s="92" t="s">
        <v>891</v>
      </c>
      <c r="AB700" s="30" t="s">
        <v>1878</v>
      </c>
      <c r="AC700" s="30"/>
      <c r="AD700" s="30"/>
      <c r="AE700" s="30"/>
      <c r="AF700" s="30" t="s">
        <v>179</v>
      </c>
      <c r="AG700" s="30" t="s">
        <v>152</v>
      </c>
      <c r="AH700" s="132" t="s">
        <v>1879</v>
      </c>
      <c r="AI700" s="30"/>
      <c r="AJ700" s="30"/>
      <c r="AK700" s="50">
        <v>43313</v>
      </c>
      <c r="AL700" s="51">
        <f t="shared" si="460"/>
        <v>7.2547945205479456</v>
      </c>
      <c r="AM700" s="30">
        <v>8</v>
      </c>
      <c r="AN700" s="30"/>
      <c r="AO700" s="30" t="s">
        <v>1050</v>
      </c>
      <c r="AP700" s="30" t="s">
        <v>1187</v>
      </c>
      <c r="AQ700" s="30">
        <v>1.5</v>
      </c>
      <c r="AR700" s="30">
        <v>1720</v>
      </c>
      <c r="AS700" s="30">
        <v>1550</v>
      </c>
      <c r="AT700" s="30">
        <v>2300</v>
      </c>
      <c r="AU700" s="74">
        <v>225947210</v>
      </c>
      <c r="AV700" s="54"/>
      <c r="AW700" s="54"/>
      <c r="AX700" s="54"/>
      <c r="AY700" s="54">
        <v>193706429</v>
      </c>
      <c r="AZ700" s="54">
        <v>2353617</v>
      </c>
      <c r="BA700" s="74">
        <v>25179930</v>
      </c>
      <c r="BB700" s="55">
        <f>VLOOKUP(M700,[1]Sheet1!$E$6:$F$556,2,FALSE)</f>
        <v>1233730</v>
      </c>
      <c r="BC700" s="74"/>
      <c r="BD700" s="74"/>
      <c r="BE700" s="30"/>
      <c r="BF700" s="30" t="s">
        <v>1739</v>
      </c>
      <c r="BG700" s="30" t="s">
        <v>1880</v>
      </c>
      <c r="BH700" s="30" t="s">
        <v>1054</v>
      </c>
      <c r="BI700" s="30" t="str">
        <f t="shared" si="454"/>
        <v>COF(Assy_FT)</v>
      </c>
      <c r="BJ700" s="30" t="s">
        <v>250</v>
      </c>
      <c r="BK700" s="56">
        <f t="shared" si="461"/>
        <v>26438926.5</v>
      </c>
      <c r="BL700" s="57">
        <f t="shared" si="473"/>
        <v>826216.453125</v>
      </c>
      <c r="BM700" s="57">
        <f t="shared" si="474"/>
        <v>275405.484375</v>
      </c>
      <c r="BU700" s="58">
        <f t="shared" si="482"/>
        <v>826216.453125</v>
      </c>
      <c r="BV700" s="58">
        <f t="shared" si="467"/>
        <v>826216.453125</v>
      </c>
      <c r="BW700" s="58">
        <f t="shared" si="483"/>
        <v>1652432.90625</v>
      </c>
      <c r="BX700" s="58">
        <f t="shared" si="476"/>
        <v>826216.453125</v>
      </c>
      <c r="BY700" s="58">
        <f t="shared" si="477"/>
        <v>826216.453125</v>
      </c>
      <c r="BZ700" s="58">
        <f t="shared" si="464"/>
        <v>826216.453125</v>
      </c>
      <c r="CA700" s="58">
        <f t="shared" si="478"/>
        <v>826216.453125</v>
      </c>
      <c r="CB700" s="58">
        <f t="shared" si="455"/>
        <v>3304865.8125</v>
      </c>
      <c r="CC700" s="58">
        <f t="shared" si="456"/>
        <v>826216.453125</v>
      </c>
      <c r="CD700" s="58">
        <f t="shared" si="485"/>
        <v>826216.453125</v>
      </c>
      <c r="CE700" s="58">
        <f t="shared" si="485"/>
        <v>826216.453125</v>
      </c>
      <c r="CF700" s="58">
        <f t="shared" si="485"/>
        <v>826216.453125</v>
      </c>
      <c r="CG700" s="58">
        <f t="shared" si="457"/>
        <v>3304865.8125</v>
      </c>
      <c r="CH700" s="58">
        <f t="shared" si="479"/>
        <v>826216.453125</v>
      </c>
      <c r="CI700" s="58">
        <f t="shared" si="449"/>
        <v>826216.453125</v>
      </c>
      <c r="CJ700" s="58">
        <f t="shared" si="449"/>
        <v>826216.453125</v>
      </c>
      <c r="CK700" s="58">
        <f t="shared" si="449"/>
        <v>826216.453125</v>
      </c>
      <c r="CL700" s="58">
        <f t="shared" si="484"/>
        <v>3304865.8125</v>
      </c>
      <c r="CP700" s="2">
        <f t="shared" si="458"/>
        <v>26438926.5</v>
      </c>
    </row>
    <row r="701" spans="1:94" ht="16.5" hidden="1" x14ac:dyDescent="0.3">
      <c r="A701" s="2">
        <v>696</v>
      </c>
      <c r="B701" s="47" t="s">
        <v>21</v>
      </c>
      <c r="C701" s="47"/>
      <c r="D701" s="30" t="s">
        <v>1725</v>
      </c>
      <c r="E701" s="30" t="s">
        <v>1042</v>
      </c>
      <c r="F701" s="30" t="s">
        <v>1043</v>
      </c>
      <c r="G701" s="30" t="s">
        <v>117</v>
      </c>
      <c r="H701" s="30"/>
      <c r="I701" s="30" t="s">
        <v>119</v>
      </c>
      <c r="J701" s="30" t="s">
        <v>1871</v>
      </c>
      <c r="K701" s="30" t="s">
        <v>1872</v>
      </c>
      <c r="L701" s="30" t="s">
        <v>1873</v>
      </c>
      <c r="M701" s="30">
        <v>1003385</v>
      </c>
      <c r="N701" s="30" t="s">
        <v>138</v>
      </c>
      <c r="O701" s="30" t="s">
        <v>2033</v>
      </c>
      <c r="P701" s="30" t="s">
        <v>2034</v>
      </c>
      <c r="Q701" s="30" t="s">
        <v>141</v>
      </c>
      <c r="R701" s="30" t="s">
        <v>142</v>
      </c>
      <c r="S701" s="30">
        <v>310299620</v>
      </c>
      <c r="T701" s="30" t="s">
        <v>1756</v>
      </c>
      <c r="U701" s="30" t="s">
        <v>1753</v>
      </c>
      <c r="V701" s="30" t="s">
        <v>589</v>
      </c>
      <c r="W701" s="30" t="s">
        <v>2035</v>
      </c>
      <c r="X701" s="89" t="s">
        <v>1757</v>
      </c>
      <c r="Y701" s="30" t="s">
        <v>576</v>
      </c>
      <c r="Z701" s="30" t="s">
        <v>576</v>
      </c>
      <c r="AA701" s="20" t="s">
        <v>148</v>
      </c>
      <c r="AB701" s="142" t="s">
        <v>1953</v>
      </c>
      <c r="AC701" s="30" t="s">
        <v>1954</v>
      </c>
      <c r="AD701" s="48"/>
      <c r="AE701" s="48"/>
      <c r="AF701" s="48" t="s">
        <v>151</v>
      </c>
      <c r="AG701" s="48" t="s">
        <v>152</v>
      </c>
      <c r="AH701" s="48" t="s">
        <v>153</v>
      </c>
      <c r="AI701" s="30"/>
      <c r="AJ701" s="30"/>
      <c r="AK701" s="50">
        <v>41019</v>
      </c>
      <c r="AL701" s="51">
        <f t="shared" si="460"/>
        <v>13.53972602739726</v>
      </c>
      <c r="AM701" s="30">
        <v>8</v>
      </c>
      <c r="AN701" s="30"/>
      <c r="AO701" s="30" t="s">
        <v>1050</v>
      </c>
      <c r="AP701" s="30" t="s">
        <v>1051</v>
      </c>
      <c r="AQ701" s="30">
        <v>9.9451440000000009</v>
      </c>
      <c r="AR701" s="30">
        <v>950</v>
      </c>
      <c r="AS701" s="30">
        <v>1250</v>
      </c>
      <c r="AT701" s="30">
        <v>1800</v>
      </c>
      <c r="AU701" s="54">
        <v>362802006</v>
      </c>
      <c r="AV701" s="54"/>
      <c r="AW701" s="54"/>
      <c r="AX701" s="54"/>
      <c r="AY701" s="54">
        <v>362801006</v>
      </c>
      <c r="AZ701" s="54">
        <v>0</v>
      </c>
      <c r="BA701" s="54">
        <v>1000</v>
      </c>
      <c r="BB701" s="55">
        <f>VLOOKUP(M701,[1]Sheet1!$E$6:$F$556,2,FALSE)</f>
        <v>1000</v>
      </c>
      <c r="BC701" s="74"/>
      <c r="BD701" s="74"/>
      <c r="BE701" s="30"/>
      <c r="BF701" s="30" t="s">
        <v>1745</v>
      </c>
      <c r="BG701" s="30" t="s">
        <v>1880</v>
      </c>
      <c r="BH701" s="30" t="s">
        <v>1054</v>
      </c>
      <c r="BI701" s="30" t="str">
        <f t="shared" si="454"/>
        <v>COF(Assy_FT)</v>
      </c>
      <c r="BJ701" s="47" t="s">
        <v>137</v>
      </c>
      <c r="BK701" s="56">
        <f t="shared" si="461"/>
        <v>7256040.1200000001</v>
      </c>
      <c r="BL701" s="57">
        <f t="shared" si="473"/>
        <v>691709.00138452731</v>
      </c>
      <c r="BM701" s="57">
        <f t="shared" si="474"/>
        <v>230569.66712817576</v>
      </c>
      <c r="BU701" s="58">
        <f>BM701*3</f>
        <v>691709.00138452731</v>
      </c>
      <c r="BV701" s="58">
        <f t="shared" si="467"/>
        <v>691709.00138452731</v>
      </c>
      <c r="BW701" s="58">
        <f t="shared" si="483"/>
        <v>1383418.0027690546</v>
      </c>
      <c r="BX701" s="58">
        <f t="shared" si="476"/>
        <v>691709.00138452731</v>
      </c>
      <c r="BY701" s="58">
        <f t="shared" si="477"/>
        <v>691709.00138452731</v>
      </c>
      <c r="BZ701" s="58">
        <f t="shared" si="464"/>
        <v>691709.00138452731</v>
      </c>
      <c r="CA701" s="58">
        <f t="shared" si="478"/>
        <v>691709.00138452731</v>
      </c>
      <c r="CB701" s="58">
        <f t="shared" si="455"/>
        <v>2766836.0055381092</v>
      </c>
      <c r="CC701" s="58">
        <f t="shared" si="456"/>
        <v>691709.00138452731</v>
      </c>
      <c r="CD701" s="58">
        <f t="shared" si="485"/>
        <v>691709.00138452731</v>
      </c>
      <c r="CE701" s="58">
        <f t="shared" si="485"/>
        <v>691709.00138452731</v>
      </c>
      <c r="CF701" s="58">
        <f t="shared" si="485"/>
        <v>691709.00138452731</v>
      </c>
      <c r="CG701" s="58">
        <f t="shared" si="457"/>
        <v>2766836.0055381092</v>
      </c>
      <c r="CH701" s="58">
        <f t="shared" si="479"/>
        <v>691709.00138452731</v>
      </c>
      <c r="CI701" s="58">
        <f t="shared" si="449"/>
        <v>691709.00138452731</v>
      </c>
      <c r="CJ701" s="58">
        <f t="shared" si="449"/>
        <v>691709.00138452731</v>
      </c>
      <c r="CK701" s="58">
        <f t="shared" si="449"/>
        <v>691709.00138452731</v>
      </c>
      <c r="CL701" s="58">
        <f t="shared" si="484"/>
        <v>2766836.0055381092</v>
      </c>
      <c r="CN701" s="59">
        <f t="shared" ref="CN701:CN702" si="486">BK701/$CN$3</f>
        <v>7.0850704401451787E-4</v>
      </c>
      <c r="CO701" s="64">
        <f t="shared" ref="CO701:CO702" si="487">CN701*$CO$4</f>
        <v>14878647.924304875</v>
      </c>
      <c r="CP701" s="2">
        <f t="shared" si="458"/>
        <v>22134688.044304874</v>
      </c>
    </row>
    <row r="702" spans="1:94" ht="16.5" hidden="1" x14ac:dyDescent="0.3">
      <c r="A702" s="2">
        <v>697</v>
      </c>
      <c r="B702" s="47" t="s">
        <v>21</v>
      </c>
      <c r="C702" s="47"/>
      <c r="D702" s="30" t="s">
        <v>1725</v>
      </c>
      <c r="E702" s="30" t="s">
        <v>1042</v>
      </c>
      <c r="F702" s="30" t="s">
        <v>1043</v>
      </c>
      <c r="G702" s="30" t="s">
        <v>117</v>
      </c>
      <c r="H702" s="30"/>
      <c r="I702" s="30" t="s">
        <v>119</v>
      </c>
      <c r="J702" s="30" t="s">
        <v>1871</v>
      </c>
      <c r="K702" s="30" t="s">
        <v>1872</v>
      </c>
      <c r="L702" s="30" t="s">
        <v>1873</v>
      </c>
      <c r="M702" s="30">
        <v>1000139</v>
      </c>
      <c r="N702" s="30" t="s">
        <v>138</v>
      </c>
      <c r="O702" s="30" t="s">
        <v>2036</v>
      </c>
      <c r="P702" s="30" t="s">
        <v>1951</v>
      </c>
      <c r="Q702" s="30" t="s">
        <v>1951</v>
      </c>
      <c r="R702" s="30" t="s">
        <v>142</v>
      </c>
      <c r="S702" s="30" t="s">
        <v>2037</v>
      </c>
      <c r="T702" s="30" t="s">
        <v>1951</v>
      </c>
      <c r="U702" s="30" t="s">
        <v>588</v>
      </c>
      <c r="V702" s="30" t="s">
        <v>415</v>
      </c>
      <c r="W702" s="30" t="s">
        <v>167</v>
      </c>
      <c r="X702" s="89" t="s">
        <v>1764</v>
      </c>
      <c r="Y702" s="125" t="s">
        <v>576</v>
      </c>
      <c r="Z702" s="125" t="s">
        <v>576</v>
      </c>
      <c r="AA702" s="20" t="s">
        <v>148</v>
      </c>
      <c r="AB702" s="142" t="s">
        <v>1953</v>
      </c>
      <c r="AC702" s="30" t="s">
        <v>1954</v>
      </c>
      <c r="AD702" s="30"/>
      <c r="AE702" s="30"/>
      <c r="AF702" s="30" t="s">
        <v>151</v>
      </c>
      <c r="AG702" s="30" t="s">
        <v>152</v>
      </c>
      <c r="AH702" s="30" t="s">
        <v>1839</v>
      </c>
      <c r="AI702" s="30"/>
      <c r="AJ702" s="30"/>
      <c r="AK702" s="50">
        <v>38344</v>
      </c>
      <c r="AL702" s="51">
        <f t="shared" si="460"/>
        <v>20.86849315068493</v>
      </c>
      <c r="AM702" s="30">
        <v>8</v>
      </c>
      <c r="AN702" s="30"/>
      <c r="AO702" s="30" t="s">
        <v>1050</v>
      </c>
      <c r="AP702" s="30" t="s">
        <v>1051</v>
      </c>
      <c r="AQ702" s="30"/>
      <c r="AR702" s="30"/>
      <c r="AS702" s="30"/>
      <c r="AT702" s="30"/>
      <c r="AU702" s="54">
        <v>499969529</v>
      </c>
      <c r="AV702" s="54"/>
      <c r="AW702" s="54"/>
      <c r="AX702" s="54"/>
      <c r="AY702" s="54">
        <v>499968529</v>
      </c>
      <c r="AZ702" s="54">
        <v>0</v>
      </c>
      <c r="BA702" s="54">
        <v>1000</v>
      </c>
      <c r="BB702" s="55">
        <f>VLOOKUP(M702,[1]Sheet1!$E$6:$F$556,2,FALSE)</f>
        <v>1000</v>
      </c>
      <c r="BC702" s="74"/>
      <c r="BD702" s="74"/>
      <c r="BE702" s="30"/>
      <c r="BF702" s="30" t="s">
        <v>1745</v>
      </c>
      <c r="BG702" s="30" t="s">
        <v>1880</v>
      </c>
      <c r="BH702" s="30" t="s">
        <v>1054</v>
      </c>
      <c r="BI702" s="30" t="str">
        <f t="shared" si="454"/>
        <v>COF(Assy_FT)</v>
      </c>
      <c r="BJ702" s="47" t="s">
        <v>137</v>
      </c>
      <c r="BK702" s="67">
        <f t="shared" si="461"/>
        <v>9999390.5800000001</v>
      </c>
      <c r="BL702" s="68">
        <f t="shared" si="473"/>
        <v>953229.08337855898</v>
      </c>
      <c r="BM702" s="68">
        <f t="shared" si="474"/>
        <v>317743.02779285301</v>
      </c>
      <c r="BP702" s="69">
        <f>BM702*3</f>
        <v>953229.08337855898</v>
      </c>
      <c r="BQ702" s="69">
        <f>BP702</f>
        <v>953229.08337855898</v>
      </c>
      <c r="BR702" s="69">
        <f>SUM(BN702:BQ702)</f>
        <v>1906458.166757118</v>
      </c>
      <c r="BS702" s="69">
        <f>BQ702</f>
        <v>953229.08337855898</v>
      </c>
      <c r="BT702" s="69">
        <f t="shared" si="467"/>
        <v>953229.08337855898</v>
      </c>
      <c r="BU702" s="100">
        <f t="shared" si="467"/>
        <v>953229.08337855898</v>
      </c>
      <c r="BV702" s="100">
        <f t="shared" si="467"/>
        <v>953229.08337855898</v>
      </c>
      <c r="BW702" s="100">
        <f t="shared" si="483"/>
        <v>3812916.3335142359</v>
      </c>
      <c r="BX702" s="101">
        <f t="shared" si="476"/>
        <v>953229.08337855898</v>
      </c>
      <c r="BY702" s="101">
        <f t="shared" si="477"/>
        <v>953229.08337855898</v>
      </c>
      <c r="BZ702" s="18">
        <f t="shared" si="477"/>
        <v>953229.08337855898</v>
      </c>
      <c r="CA702" s="18">
        <f t="shared" si="478"/>
        <v>953229.08337855898</v>
      </c>
      <c r="CB702" s="70">
        <f t="shared" si="455"/>
        <v>3812916.3335142359</v>
      </c>
      <c r="CC702" s="18">
        <f t="shared" si="456"/>
        <v>953229.08337855898</v>
      </c>
      <c r="CD702" s="18">
        <f t="shared" si="485"/>
        <v>953229.08337855898</v>
      </c>
      <c r="CE702" s="18">
        <f t="shared" si="485"/>
        <v>953229.08337855898</v>
      </c>
      <c r="CF702" s="18">
        <f t="shared" si="485"/>
        <v>953229.08337855898</v>
      </c>
      <c r="CG702" s="70">
        <f t="shared" si="457"/>
        <v>3812916.3335142359</v>
      </c>
      <c r="CH702" s="18">
        <f t="shared" si="479"/>
        <v>953229.08337855898</v>
      </c>
      <c r="CI702" s="18">
        <f t="shared" si="449"/>
        <v>953229.08337855898</v>
      </c>
      <c r="CJ702" s="18">
        <f t="shared" si="449"/>
        <v>953229.08337855898</v>
      </c>
      <c r="CK702" s="18">
        <f t="shared" si="449"/>
        <v>953229.08337855898</v>
      </c>
      <c r="CL702" s="70">
        <f t="shared" si="484"/>
        <v>3812916.3335142359</v>
      </c>
      <c r="CM702" s="71"/>
      <c r="CN702" s="59">
        <f t="shared" si="486"/>
        <v>9.7637809943399475E-4</v>
      </c>
      <c r="CO702" s="64">
        <f t="shared" si="487"/>
        <v>20503940.088113889</v>
      </c>
      <c r="CP702" s="2">
        <f t="shared" si="458"/>
        <v>30503330.668113887</v>
      </c>
    </row>
    <row r="703" spans="1:94" hidden="1" x14ac:dyDescent="0.3">
      <c r="A703" s="29">
        <v>698</v>
      </c>
      <c r="B703" s="30" t="s">
        <v>21</v>
      </c>
      <c r="C703" s="30"/>
      <c r="D703" s="30" t="s">
        <v>1725</v>
      </c>
      <c r="E703" s="30" t="s">
        <v>1042</v>
      </c>
      <c r="F703" s="30" t="s">
        <v>1043</v>
      </c>
      <c r="G703" s="30" t="s">
        <v>117</v>
      </c>
      <c r="H703" s="30"/>
      <c r="I703" s="30" t="s">
        <v>119</v>
      </c>
      <c r="J703" s="30" t="s">
        <v>1871</v>
      </c>
      <c r="K703" s="30" t="s">
        <v>1872</v>
      </c>
      <c r="L703" s="30" t="s">
        <v>1873</v>
      </c>
      <c r="M703" s="30">
        <v>1006676</v>
      </c>
      <c r="N703" s="30" t="s">
        <v>138</v>
      </c>
      <c r="O703" s="30" t="s">
        <v>2038</v>
      </c>
      <c r="P703" s="30" t="s">
        <v>1837</v>
      </c>
      <c r="Q703" s="30" t="s">
        <v>2039</v>
      </c>
      <c r="R703" s="30" t="s">
        <v>142</v>
      </c>
      <c r="S703" s="30">
        <v>311273590</v>
      </c>
      <c r="T703" s="30" t="s">
        <v>1780</v>
      </c>
      <c r="U703" s="30" t="s">
        <v>588</v>
      </c>
      <c r="V703" s="30" t="s">
        <v>145</v>
      </c>
      <c r="W703" s="30" t="s">
        <v>399</v>
      </c>
      <c r="X703" s="89"/>
      <c r="Y703" s="30" t="s">
        <v>576</v>
      </c>
      <c r="Z703" s="30" t="s">
        <v>576</v>
      </c>
      <c r="AA703" s="20" t="s">
        <v>148</v>
      </c>
      <c r="AB703" s="142" t="s">
        <v>1953</v>
      </c>
      <c r="AC703" s="30" t="s">
        <v>1954</v>
      </c>
      <c r="AD703" s="30"/>
      <c r="AE703" s="30"/>
      <c r="AF703" s="30" t="s">
        <v>151</v>
      </c>
      <c r="AG703" s="30" t="s">
        <v>152</v>
      </c>
      <c r="AH703" s="30" t="s">
        <v>1839</v>
      </c>
      <c r="AI703" s="30"/>
      <c r="AJ703" s="30"/>
      <c r="AK703" s="50">
        <v>44466</v>
      </c>
      <c r="AL703" s="51">
        <f t="shared" si="460"/>
        <v>4.095890410958904</v>
      </c>
      <c r="AM703" s="30">
        <v>8</v>
      </c>
      <c r="AN703" s="30"/>
      <c r="AO703" s="30" t="s">
        <v>1050</v>
      </c>
      <c r="AP703" s="30" t="s">
        <v>1187</v>
      </c>
      <c r="AQ703" s="30">
        <v>13.3</v>
      </c>
      <c r="AR703" s="30">
        <v>1050</v>
      </c>
      <c r="AS703" s="30">
        <v>800</v>
      </c>
      <c r="AT703" s="30">
        <v>1600</v>
      </c>
      <c r="AU703" s="74">
        <v>952968821</v>
      </c>
      <c r="AV703" s="54"/>
      <c r="AW703" s="54"/>
      <c r="AX703" s="54"/>
      <c r="AY703" s="54">
        <v>466557653</v>
      </c>
      <c r="AZ703" s="54">
        <v>9926759</v>
      </c>
      <c r="BA703" s="74">
        <v>456630891</v>
      </c>
      <c r="BB703" s="55">
        <f>VLOOKUP(M703,[1]Sheet1!$E$6:$F$556,2,FALSE)</f>
        <v>42906514</v>
      </c>
      <c r="BC703" s="74"/>
      <c r="BD703" s="74"/>
      <c r="BE703" s="30"/>
      <c r="BF703" s="30" t="s">
        <v>1739</v>
      </c>
      <c r="BG703" s="30" t="s">
        <v>1880</v>
      </c>
      <c r="BH703" s="30" t="s">
        <v>1054</v>
      </c>
      <c r="BI703" s="30" t="str">
        <f t="shared" si="454"/>
        <v>COF(Assy_FT)</v>
      </c>
      <c r="BJ703" s="30" t="s">
        <v>250</v>
      </c>
      <c r="BK703" s="56">
        <f t="shared" si="461"/>
        <v>479462435.55000001</v>
      </c>
      <c r="BL703" s="57">
        <f t="shared" si="473"/>
        <v>14983201.1109375</v>
      </c>
      <c r="BM703" s="57">
        <f t="shared" si="474"/>
        <v>4994400.3703124998</v>
      </c>
      <c r="BU703" s="58">
        <f>BM703*3</f>
        <v>14983201.110937499</v>
      </c>
      <c r="BV703" s="58">
        <f t="shared" ref="BT703:BV706" si="488">BU703</f>
        <v>14983201.110937499</v>
      </c>
      <c r="BW703" s="58">
        <f t="shared" si="483"/>
        <v>29966402.221874997</v>
      </c>
      <c r="BX703" s="58">
        <f t="shared" si="476"/>
        <v>14983201.110937499</v>
      </c>
      <c r="BY703" s="58">
        <f t="shared" si="477"/>
        <v>14983201.110937499</v>
      </c>
      <c r="BZ703" s="58">
        <f>BM703*3</f>
        <v>14983201.110937499</v>
      </c>
      <c r="CA703" s="58">
        <f t="shared" si="478"/>
        <v>14983201.110937499</v>
      </c>
      <c r="CB703" s="58">
        <f t="shared" si="455"/>
        <v>59932804.443749994</v>
      </c>
      <c r="CC703" s="58">
        <f t="shared" si="456"/>
        <v>14983201.110937499</v>
      </c>
      <c r="CD703" s="58">
        <f t="shared" si="485"/>
        <v>14983201.110937499</v>
      </c>
      <c r="CE703" s="58">
        <f t="shared" si="485"/>
        <v>14983201.110937499</v>
      </c>
      <c r="CF703" s="58">
        <f t="shared" si="485"/>
        <v>14983201.110937499</v>
      </c>
      <c r="CG703" s="58">
        <f t="shared" si="457"/>
        <v>59932804.443749994</v>
      </c>
      <c r="CH703" s="58">
        <f t="shared" si="479"/>
        <v>14983201.110937499</v>
      </c>
      <c r="CI703" s="58">
        <f t="shared" ref="CI703:CK718" si="489">CH703</f>
        <v>14983201.110937499</v>
      </c>
      <c r="CJ703" s="58">
        <f t="shared" si="489"/>
        <v>14983201.110937499</v>
      </c>
      <c r="CK703" s="58">
        <f t="shared" si="489"/>
        <v>14983201.110937499</v>
      </c>
      <c r="CL703" s="58">
        <f t="shared" si="484"/>
        <v>59932804.443749994</v>
      </c>
      <c r="CP703" s="2">
        <f t="shared" si="458"/>
        <v>479462435.55000001</v>
      </c>
    </row>
    <row r="704" spans="1:94" ht="16.5" hidden="1" x14ac:dyDescent="0.3">
      <c r="A704" s="2">
        <v>699</v>
      </c>
      <c r="B704" s="47" t="s">
        <v>21</v>
      </c>
      <c r="C704" s="47"/>
      <c r="D704" s="30" t="s">
        <v>1725</v>
      </c>
      <c r="E704" s="30" t="s">
        <v>1042</v>
      </c>
      <c r="F704" s="30" t="s">
        <v>1043</v>
      </c>
      <c r="G704" s="30" t="s">
        <v>117</v>
      </c>
      <c r="H704" s="30"/>
      <c r="I704" s="30" t="s">
        <v>119</v>
      </c>
      <c r="J704" s="30" t="s">
        <v>1871</v>
      </c>
      <c r="K704" s="30" t="s">
        <v>1872</v>
      </c>
      <c r="L704" s="30" t="s">
        <v>1873</v>
      </c>
      <c r="M704" s="30">
        <v>1006678</v>
      </c>
      <c r="N704" s="30" t="s">
        <v>138</v>
      </c>
      <c r="O704" s="30" t="s">
        <v>2040</v>
      </c>
      <c r="P704" s="30" t="s">
        <v>1837</v>
      </c>
      <c r="Q704" s="30" t="s">
        <v>2039</v>
      </c>
      <c r="R704" s="30" t="s">
        <v>142</v>
      </c>
      <c r="S704" s="30">
        <v>311273591</v>
      </c>
      <c r="T704" s="30" t="s">
        <v>1780</v>
      </c>
      <c r="U704" s="30" t="s">
        <v>588</v>
      </c>
      <c r="V704" s="30" t="s">
        <v>145</v>
      </c>
      <c r="W704" s="30" t="s">
        <v>146</v>
      </c>
      <c r="X704" s="89" t="s">
        <v>1764</v>
      </c>
      <c r="Y704" s="125" t="s">
        <v>576</v>
      </c>
      <c r="Z704" s="125" t="s">
        <v>576</v>
      </c>
      <c r="AA704" s="20" t="s">
        <v>148</v>
      </c>
      <c r="AB704" s="142" t="s">
        <v>1953</v>
      </c>
      <c r="AC704" s="30" t="s">
        <v>1954</v>
      </c>
      <c r="AD704" s="30"/>
      <c r="AE704" s="30"/>
      <c r="AF704" s="30" t="s">
        <v>151</v>
      </c>
      <c r="AG704" s="30" t="s">
        <v>152</v>
      </c>
      <c r="AH704" s="30" t="s">
        <v>1839</v>
      </c>
      <c r="AI704" s="30"/>
      <c r="AJ704" s="30"/>
      <c r="AK704" s="50">
        <v>44466</v>
      </c>
      <c r="AL704" s="51">
        <f t="shared" si="460"/>
        <v>4.095890410958904</v>
      </c>
      <c r="AM704" s="30">
        <v>8</v>
      </c>
      <c r="AN704" s="30"/>
      <c r="AO704" s="30" t="s">
        <v>1050</v>
      </c>
      <c r="AP704" s="30" t="s">
        <v>1187</v>
      </c>
      <c r="AQ704" s="30">
        <v>13.3</v>
      </c>
      <c r="AR704" s="30">
        <v>1050</v>
      </c>
      <c r="AS704" s="30">
        <v>800</v>
      </c>
      <c r="AT704" s="30">
        <v>1600</v>
      </c>
      <c r="AU704" s="54">
        <v>980151575</v>
      </c>
      <c r="AV704" s="54"/>
      <c r="AW704" s="54"/>
      <c r="AX704" s="54"/>
      <c r="AY704" s="54">
        <v>455876292</v>
      </c>
      <c r="AZ704" s="54">
        <v>9699496</v>
      </c>
      <c r="BA704" s="54">
        <v>494666378</v>
      </c>
      <c r="BB704" s="55">
        <f>VLOOKUP(M704,[1]Sheet1!$E$6:$F$556,2,FALSE)</f>
        <v>46587270</v>
      </c>
      <c r="BC704" s="74"/>
      <c r="BD704" s="74"/>
      <c r="BE704" s="30"/>
      <c r="BF704" s="30" t="s">
        <v>1739</v>
      </c>
      <c r="BG704" s="30" t="s">
        <v>1880</v>
      </c>
      <c r="BH704" s="30" t="s">
        <v>1054</v>
      </c>
      <c r="BI704" s="30" t="str">
        <f t="shared" si="454"/>
        <v>COF(Assy_FT)</v>
      </c>
      <c r="BJ704" s="47" t="s">
        <v>137</v>
      </c>
      <c r="BK704" s="67">
        <f t="shared" si="461"/>
        <v>519399696.90000004</v>
      </c>
      <c r="BL704" s="68">
        <f t="shared" si="473"/>
        <v>49513707.162650749</v>
      </c>
      <c r="BM704" s="68">
        <f t="shared" si="474"/>
        <v>16504569.054216916</v>
      </c>
      <c r="BP704" s="69">
        <f>BM704*3</f>
        <v>49513707.162650749</v>
      </c>
      <c r="BQ704" s="69">
        <f>BP704</f>
        <v>49513707.162650749</v>
      </c>
      <c r="BR704" s="69">
        <f>SUM(BN704:BQ704)</f>
        <v>99027414.325301498</v>
      </c>
      <c r="BS704" s="69">
        <f>BQ704</f>
        <v>49513707.162650749</v>
      </c>
      <c r="BT704" s="69">
        <f t="shared" si="488"/>
        <v>49513707.162650749</v>
      </c>
      <c r="BU704" s="100">
        <f t="shared" si="488"/>
        <v>49513707.162650749</v>
      </c>
      <c r="BV704" s="100">
        <f t="shared" si="488"/>
        <v>49513707.162650749</v>
      </c>
      <c r="BW704" s="100">
        <f t="shared" si="483"/>
        <v>198054828.650603</v>
      </c>
      <c r="BX704" s="101">
        <f t="shared" si="476"/>
        <v>49513707.162650749</v>
      </c>
      <c r="BY704" s="101">
        <f t="shared" si="477"/>
        <v>49513707.162650749</v>
      </c>
      <c r="BZ704" s="18">
        <f t="shared" si="477"/>
        <v>49513707.162650749</v>
      </c>
      <c r="CA704" s="18">
        <f t="shared" si="478"/>
        <v>49513707.162650749</v>
      </c>
      <c r="CB704" s="70">
        <f t="shared" si="455"/>
        <v>198054828.650603</v>
      </c>
      <c r="CC704" s="18">
        <f t="shared" si="456"/>
        <v>49513707.162650749</v>
      </c>
      <c r="CD704" s="18">
        <f t="shared" si="485"/>
        <v>49513707.162650749</v>
      </c>
      <c r="CE704" s="18">
        <f t="shared" si="485"/>
        <v>49513707.162650749</v>
      </c>
      <c r="CF704" s="18">
        <f t="shared" si="485"/>
        <v>49513707.162650749</v>
      </c>
      <c r="CG704" s="70">
        <f t="shared" si="457"/>
        <v>198054828.650603</v>
      </c>
      <c r="CH704" s="18">
        <f t="shared" si="479"/>
        <v>49513707.162650749</v>
      </c>
      <c r="CI704" s="18">
        <f t="shared" si="489"/>
        <v>49513707.162650749</v>
      </c>
      <c r="CJ704" s="18">
        <f t="shared" si="489"/>
        <v>49513707.162650749</v>
      </c>
      <c r="CK704" s="18">
        <f t="shared" si="489"/>
        <v>49513707.162650749</v>
      </c>
      <c r="CL704" s="70">
        <f t="shared" si="484"/>
        <v>198054828.650603</v>
      </c>
      <c r="CM704" s="71"/>
      <c r="CN704" s="59">
        <f>BK704/$CN$3</f>
        <v>5.071613963356305E-2</v>
      </c>
      <c r="CO704" s="64">
        <f>CN704*$CO$4</f>
        <v>1065038932.304824</v>
      </c>
      <c r="CP704" s="2">
        <f t="shared" si="458"/>
        <v>1584438629.204824</v>
      </c>
    </row>
    <row r="705" spans="1:94" hidden="1" x14ac:dyDescent="0.3">
      <c r="A705" s="29">
        <v>700</v>
      </c>
      <c r="B705" s="30" t="s">
        <v>21</v>
      </c>
      <c r="C705" s="30"/>
      <c r="D705" s="30" t="s">
        <v>1725</v>
      </c>
      <c r="E705" s="30" t="s">
        <v>1042</v>
      </c>
      <c r="F705" s="30" t="s">
        <v>1043</v>
      </c>
      <c r="G705" s="30" t="s">
        <v>117</v>
      </c>
      <c r="H705" s="30"/>
      <c r="I705" s="30" t="s">
        <v>119</v>
      </c>
      <c r="J705" s="30" t="s">
        <v>1871</v>
      </c>
      <c r="K705" s="30" t="s">
        <v>1872</v>
      </c>
      <c r="L705" s="30" t="s">
        <v>1873</v>
      </c>
      <c r="M705" s="30">
        <v>1006602</v>
      </c>
      <c r="N705" s="30" t="s">
        <v>138</v>
      </c>
      <c r="O705" s="30" t="s">
        <v>2041</v>
      </c>
      <c r="P705" s="30" t="s">
        <v>1837</v>
      </c>
      <c r="Q705" s="30" t="s">
        <v>2039</v>
      </c>
      <c r="R705" s="30" t="s">
        <v>142</v>
      </c>
      <c r="S705" s="30">
        <v>311279590</v>
      </c>
      <c r="T705" s="30" t="s">
        <v>1780</v>
      </c>
      <c r="U705" s="30" t="s">
        <v>588</v>
      </c>
      <c r="V705" s="30" t="s">
        <v>145</v>
      </c>
      <c r="W705" s="30" t="s">
        <v>146</v>
      </c>
      <c r="X705" s="89"/>
      <c r="Y705" s="30" t="s">
        <v>576</v>
      </c>
      <c r="Z705" s="30" t="s">
        <v>576</v>
      </c>
      <c r="AA705" s="20" t="s">
        <v>148</v>
      </c>
      <c r="AB705" s="142" t="s">
        <v>1953</v>
      </c>
      <c r="AC705" s="30" t="s">
        <v>1954</v>
      </c>
      <c r="AD705" s="30"/>
      <c r="AE705" s="30"/>
      <c r="AF705" s="30" t="s">
        <v>151</v>
      </c>
      <c r="AG705" s="30" t="s">
        <v>152</v>
      </c>
      <c r="AH705" s="30" t="s">
        <v>1839</v>
      </c>
      <c r="AI705" s="30"/>
      <c r="AJ705" s="30"/>
      <c r="AK705" s="50">
        <v>44280</v>
      </c>
      <c r="AL705" s="51">
        <f t="shared" si="460"/>
        <v>4.6054794520547944</v>
      </c>
      <c r="AM705" s="30">
        <v>8</v>
      </c>
      <c r="AN705" s="30"/>
      <c r="AO705" s="30" t="s">
        <v>1050</v>
      </c>
      <c r="AP705" s="30" t="s">
        <v>1187</v>
      </c>
      <c r="AQ705" s="30">
        <v>13.3</v>
      </c>
      <c r="AR705" s="30">
        <v>1050</v>
      </c>
      <c r="AS705" s="30">
        <v>800</v>
      </c>
      <c r="AT705" s="30">
        <v>1600</v>
      </c>
      <c r="AU705" s="74">
        <v>984260781</v>
      </c>
      <c r="AV705" s="54"/>
      <c r="AW705" s="54"/>
      <c r="AX705" s="54"/>
      <c r="AY705" s="54">
        <v>543393967</v>
      </c>
      <c r="AZ705" s="54">
        <v>10252716</v>
      </c>
      <c r="BA705" s="74">
        <v>410108666</v>
      </c>
      <c r="BB705" s="55">
        <f>VLOOKUP(M705,[1]Sheet1!$E$6:$F$556,2,FALSE)</f>
        <v>37830221</v>
      </c>
      <c r="BC705" s="74"/>
      <c r="BD705" s="74"/>
      <c r="BE705" s="30"/>
      <c r="BF705" s="30" t="s">
        <v>1739</v>
      </c>
      <c r="BG705" s="30" t="s">
        <v>1880</v>
      </c>
      <c r="BH705" s="30" t="s">
        <v>1054</v>
      </c>
      <c r="BI705" s="30" t="str">
        <f t="shared" si="454"/>
        <v>COF(Assy_FT)</v>
      </c>
      <c r="BJ705" s="30" t="s">
        <v>250</v>
      </c>
      <c r="BK705" s="56">
        <f t="shared" si="461"/>
        <v>430614099.30000001</v>
      </c>
      <c r="BL705" s="57">
        <f t="shared" si="473"/>
        <v>13456690.603125</v>
      </c>
      <c r="BM705" s="57">
        <f t="shared" si="474"/>
        <v>4485563.5343749998</v>
      </c>
      <c r="BU705" s="58">
        <f>BM705*3</f>
        <v>13456690.603124999</v>
      </c>
      <c r="BV705" s="58">
        <f t="shared" si="488"/>
        <v>13456690.603124999</v>
      </c>
      <c r="BW705" s="58">
        <f t="shared" si="483"/>
        <v>26913381.206249997</v>
      </c>
      <c r="BX705" s="58">
        <f t="shared" si="476"/>
        <v>13456690.603124999</v>
      </c>
      <c r="BY705" s="58">
        <f t="shared" si="477"/>
        <v>13456690.603124999</v>
      </c>
      <c r="BZ705" s="58">
        <f>BM705*3</f>
        <v>13456690.603124999</v>
      </c>
      <c r="CA705" s="58">
        <f t="shared" si="478"/>
        <v>13456690.603124999</v>
      </c>
      <c r="CB705" s="58">
        <f t="shared" si="455"/>
        <v>53826762.412499994</v>
      </c>
      <c r="CC705" s="58">
        <f t="shared" si="456"/>
        <v>13456690.603124999</v>
      </c>
      <c r="CD705" s="58">
        <f t="shared" si="485"/>
        <v>13456690.603124999</v>
      </c>
      <c r="CE705" s="58">
        <f t="shared" si="485"/>
        <v>13456690.603124999</v>
      </c>
      <c r="CF705" s="58">
        <f t="shared" si="485"/>
        <v>13456690.603124999</v>
      </c>
      <c r="CG705" s="58">
        <f t="shared" si="457"/>
        <v>53826762.412499994</v>
      </c>
      <c r="CH705" s="58">
        <f t="shared" si="479"/>
        <v>13456690.603124999</v>
      </c>
      <c r="CI705" s="58">
        <f t="shared" si="489"/>
        <v>13456690.603124999</v>
      </c>
      <c r="CJ705" s="58">
        <f t="shared" si="489"/>
        <v>13456690.603124999</v>
      </c>
      <c r="CK705" s="58">
        <f t="shared" si="489"/>
        <v>13456690.603124999</v>
      </c>
      <c r="CL705" s="58">
        <f t="shared" si="484"/>
        <v>53826762.412499994</v>
      </c>
      <c r="CP705" s="2">
        <f t="shared" si="458"/>
        <v>430614099.30000001</v>
      </c>
    </row>
    <row r="706" spans="1:94" hidden="1" x14ac:dyDescent="0.3">
      <c r="A706" s="29">
        <v>701</v>
      </c>
      <c r="B706" s="30" t="s">
        <v>21</v>
      </c>
      <c r="C706" s="30"/>
      <c r="D706" s="30" t="s">
        <v>1725</v>
      </c>
      <c r="E706" s="30" t="s">
        <v>1042</v>
      </c>
      <c r="F706" s="30" t="s">
        <v>1043</v>
      </c>
      <c r="G706" s="30" t="s">
        <v>117</v>
      </c>
      <c r="H706" s="30"/>
      <c r="I706" s="30" t="s">
        <v>119</v>
      </c>
      <c r="J706" s="30" t="s">
        <v>1871</v>
      </c>
      <c r="K706" s="30" t="s">
        <v>1872</v>
      </c>
      <c r="L706" s="30" t="s">
        <v>1873</v>
      </c>
      <c r="M706" s="30">
        <v>1006611</v>
      </c>
      <c r="N706" s="30" t="s">
        <v>138</v>
      </c>
      <c r="O706" s="30" t="s">
        <v>2042</v>
      </c>
      <c r="P706" s="30" t="s">
        <v>1837</v>
      </c>
      <c r="Q706" s="30" t="s">
        <v>2039</v>
      </c>
      <c r="R706" s="30" t="s">
        <v>142</v>
      </c>
      <c r="S706" s="30">
        <v>311250979</v>
      </c>
      <c r="T706" s="30" t="s">
        <v>1780</v>
      </c>
      <c r="U706" s="30" t="s">
        <v>588</v>
      </c>
      <c r="V706" s="30" t="s">
        <v>145</v>
      </c>
      <c r="W706" s="30" t="s">
        <v>146</v>
      </c>
      <c r="X706" s="89"/>
      <c r="Y706" s="30" t="s">
        <v>576</v>
      </c>
      <c r="Z706" s="30" t="s">
        <v>576</v>
      </c>
      <c r="AA706" s="20" t="s">
        <v>148</v>
      </c>
      <c r="AB706" s="142" t="s">
        <v>1953</v>
      </c>
      <c r="AC706" s="30" t="s">
        <v>1954</v>
      </c>
      <c r="AD706" s="30"/>
      <c r="AE706" s="30"/>
      <c r="AF706" s="30" t="s">
        <v>151</v>
      </c>
      <c r="AG706" s="30" t="s">
        <v>152</v>
      </c>
      <c r="AH706" s="30" t="s">
        <v>1839</v>
      </c>
      <c r="AI706" s="30"/>
      <c r="AJ706" s="30"/>
      <c r="AK706" s="50">
        <v>44280</v>
      </c>
      <c r="AL706" s="51">
        <f t="shared" si="460"/>
        <v>4.6054794520547944</v>
      </c>
      <c r="AM706" s="30">
        <v>8</v>
      </c>
      <c r="AN706" s="30"/>
      <c r="AO706" s="30" t="s">
        <v>1050</v>
      </c>
      <c r="AP706" s="30" t="s">
        <v>1187</v>
      </c>
      <c r="AQ706" s="30">
        <v>13.3</v>
      </c>
      <c r="AR706" s="30">
        <v>1050</v>
      </c>
      <c r="AS706" s="30">
        <v>800</v>
      </c>
      <c r="AT706" s="30">
        <v>1600</v>
      </c>
      <c r="AU706" s="74">
        <v>983554482</v>
      </c>
      <c r="AV706" s="54"/>
      <c r="AW706" s="54"/>
      <c r="AX706" s="54"/>
      <c r="AY706" s="54">
        <v>543004034</v>
      </c>
      <c r="AZ706" s="54">
        <v>10245359</v>
      </c>
      <c r="BA706" s="74">
        <v>409814371</v>
      </c>
      <c r="BB706" s="55">
        <f>VLOOKUP(M706,[1]Sheet1!$E$6:$F$556,2,FALSE)</f>
        <v>37803075</v>
      </c>
      <c r="BC706" s="74"/>
      <c r="BD706" s="74"/>
      <c r="BE706" s="30"/>
      <c r="BF706" s="30" t="s">
        <v>1739</v>
      </c>
      <c r="BG706" s="30" t="s">
        <v>1880</v>
      </c>
      <c r="BH706" s="30" t="s">
        <v>1054</v>
      </c>
      <c r="BI706" s="30" t="str">
        <f t="shared" si="454"/>
        <v>COF(Assy_FT)</v>
      </c>
      <c r="BJ706" s="30" t="s">
        <v>250</v>
      </c>
      <c r="BK706" s="56">
        <f t="shared" si="461"/>
        <v>430305089.55000001</v>
      </c>
      <c r="BL706" s="57">
        <f t="shared" si="473"/>
        <v>13447034.0484375</v>
      </c>
      <c r="BM706" s="57">
        <f t="shared" si="474"/>
        <v>4482344.6828124998</v>
      </c>
      <c r="BU706" s="58">
        <f>BM706*3</f>
        <v>13447034.048437499</v>
      </c>
      <c r="BV706" s="58">
        <f t="shared" si="488"/>
        <v>13447034.048437499</v>
      </c>
      <c r="BW706" s="58">
        <f t="shared" si="483"/>
        <v>26894068.096874997</v>
      </c>
      <c r="BX706" s="58">
        <f t="shared" si="476"/>
        <v>13447034.048437499</v>
      </c>
      <c r="BY706" s="58">
        <f t="shared" si="477"/>
        <v>13447034.048437499</v>
      </c>
      <c r="BZ706" s="58">
        <f>BM706*3</f>
        <v>13447034.048437499</v>
      </c>
      <c r="CA706" s="58">
        <f t="shared" si="478"/>
        <v>13447034.048437499</v>
      </c>
      <c r="CB706" s="58">
        <f t="shared" si="455"/>
        <v>53788136.193749994</v>
      </c>
      <c r="CC706" s="58">
        <f t="shared" si="456"/>
        <v>13447034.048437499</v>
      </c>
      <c r="CD706" s="58">
        <f t="shared" si="485"/>
        <v>13447034.048437499</v>
      </c>
      <c r="CE706" s="58">
        <f t="shared" si="485"/>
        <v>13447034.048437499</v>
      </c>
      <c r="CF706" s="58">
        <f t="shared" si="485"/>
        <v>13447034.048437499</v>
      </c>
      <c r="CG706" s="58">
        <f t="shared" si="457"/>
        <v>53788136.193749994</v>
      </c>
      <c r="CH706" s="58">
        <f t="shared" si="479"/>
        <v>13447034.048437499</v>
      </c>
      <c r="CI706" s="58">
        <f t="shared" si="489"/>
        <v>13447034.048437499</v>
      </c>
      <c r="CJ706" s="58">
        <f t="shared" si="489"/>
        <v>13447034.048437499</v>
      </c>
      <c r="CK706" s="58">
        <f t="shared" si="489"/>
        <v>13447034.048437499</v>
      </c>
      <c r="CL706" s="58">
        <f t="shared" si="484"/>
        <v>53788136.193749994</v>
      </c>
      <c r="CP706" s="2">
        <f t="shared" si="458"/>
        <v>430305089.55000001</v>
      </c>
    </row>
    <row r="707" spans="1:94" ht="16.5" hidden="1" x14ac:dyDescent="0.3">
      <c r="A707" s="2">
        <v>702</v>
      </c>
      <c r="B707" s="47" t="s">
        <v>21</v>
      </c>
      <c r="C707" s="47"/>
      <c r="D707" s="30" t="s">
        <v>1725</v>
      </c>
      <c r="E707" s="30" t="s">
        <v>1042</v>
      </c>
      <c r="F707" s="30" t="s">
        <v>1043</v>
      </c>
      <c r="G707" s="30" t="s">
        <v>117</v>
      </c>
      <c r="H707" s="30"/>
      <c r="I707" s="30" t="s">
        <v>119</v>
      </c>
      <c r="J707" s="30" t="s">
        <v>1871</v>
      </c>
      <c r="K707" s="30" t="s">
        <v>1872</v>
      </c>
      <c r="L707" s="30" t="s">
        <v>1873</v>
      </c>
      <c r="M707" s="30">
        <v>1004583</v>
      </c>
      <c r="N707" s="30" t="s">
        <v>138</v>
      </c>
      <c r="O707" s="30" t="s">
        <v>2043</v>
      </c>
      <c r="P707" s="30" t="s">
        <v>1823</v>
      </c>
      <c r="Q707" s="30" t="s">
        <v>232</v>
      </c>
      <c r="R707" s="30" t="s">
        <v>142</v>
      </c>
      <c r="S707" s="30">
        <v>310718779</v>
      </c>
      <c r="T707" s="30" t="s">
        <v>1752</v>
      </c>
      <c r="U707" s="30" t="s">
        <v>588</v>
      </c>
      <c r="V707" s="30" t="s">
        <v>145</v>
      </c>
      <c r="W707" s="30" t="s">
        <v>146</v>
      </c>
      <c r="X707" s="89" t="s">
        <v>1764</v>
      </c>
      <c r="Y707" s="125" t="s">
        <v>576</v>
      </c>
      <c r="Z707" s="125" t="s">
        <v>576</v>
      </c>
      <c r="AA707" s="20" t="s">
        <v>148</v>
      </c>
      <c r="AB707" s="142" t="s">
        <v>1953</v>
      </c>
      <c r="AC707" s="30" t="s">
        <v>1954</v>
      </c>
      <c r="AD707" s="30"/>
      <c r="AE707" s="30"/>
      <c r="AF707" s="48" t="s">
        <v>151</v>
      </c>
      <c r="AG707" s="48" t="s">
        <v>152</v>
      </c>
      <c r="AH707" s="48" t="s">
        <v>153</v>
      </c>
      <c r="AI707" s="30"/>
      <c r="AJ707" s="30"/>
      <c r="AK707" s="50">
        <v>42130</v>
      </c>
      <c r="AL707" s="51">
        <f t="shared" si="460"/>
        <v>10.495890410958904</v>
      </c>
      <c r="AM707" s="30">
        <v>8</v>
      </c>
      <c r="AN707" s="30"/>
      <c r="AO707" s="30" t="s">
        <v>1050</v>
      </c>
      <c r="AP707" s="30" t="s">
        <v>1187</v>
      </c>
      <c r="AQ707" s="30">
        <v>9.83</v>
      </c>
      <c r="AR707" s="30">
        <v>1250</v>
      </c>
      <c r="AS707" s="30">
        <v>950</v>
      </c>
      <c r="AT707" s="30">
        <v>1800</v>
      </c>
      <c r="AU707" s="54">
        <v>514472086</v>
      </c>
      <c r="AV707" s="54"/>
      <c r="AW707" s="54"/>
      <c r="AX707" s="54"/>
      <c r="AY707" s="54">
        <v>514471086</v>
      </c>
      <c r="AZ707" s="54">
        <v>2419212</v>
      </c>
      <c r="BA707" s="54">
        <v>1000</v>
      </c>
      <c r="BB707" s="55">
        <f>VLOOKUP(M707,[1]Sheet1!$E$6:$F$556,2,FALSE)</f>
        <v>1000</v>
      </c>
      <c r="BC707" s="74"/>
      <c r="BD707" s="74"/>
      <c r="BE707" s="30"/>
      <c r="BF707" s="30" t="s">
        <v>1745</v>
      </c>
      <c r="BG707" s="30" t="s">
        <v>1880</v>
      </c>
      <c r="BH707" s="30" t="s">
        <v>1054</v>
      </c>
      <c r="BI707" s="30" t="str">
        <f t="shared" si="454"/>
        <v>COF(Assy_FT)</v>
      </c>
      <c r="BJ707" s="47" t="s">
        <v>137</v>
      </c>
      <c r="BK707" s="67">
        <f t="shared" si="461"/>
        <v>10289441.720000001</v>
      </c>
      <c r="BL707" s="68">
        <f t="shared" si="473"/>
        <v>980879.28666875861</v>
      </c>
      <c r="BM707" s="68">
        <f t="shared" si="474"/>
        <v>326959.76222291955</v>
      </c>
      <c r="BP707" s="69">
        <f>BM707*3</f>
        <v>980879.28666875861</v>
      </c>
      <c r="BQ707" s="69">
        <f>BP707</f>
        <v>980879.28666875861</v>
      </c>
      <c r="BR707" s="69">
        <f>SUM(BN707:BQ707)</f>
        <v>1961758.5733375172</v>
      </c>
      <c r="BS707" s="69">
        <f>BQ707</f>
        <v>980879.28666875861</v>
      </c>
      <c r="BT707" s="69">
        <f t="shared" ref="BT707:BV722" si="490">BS707</f>
        <v>980879.28666875861</v>
      </c>
      <c r="BU707" s="100">
        <f t="shared" si="490"/>
        <v>980879.28666875861</v>
      </c>
      <c r="BV707" s="100">
        <f t="shared" si="490"/>
        <v>980879.28666875861</v>
      </c>
      <c r="BW707" s="100">
        <f t="shared" si="483"/>
        <v>3923517.1466750344</v>
      </c>
      <c r="BX707" s="101">
        <f t="shared" si="476"/>
        <v>980879.28666875861</v>
      </c>
      <c r="BY707" s="101">
        <f t="shared" ref="BY707:CA722" si="491">BX707</f>
        <v>980879.28666875861</v>
      </c>
      <c r="BZ707" s="18">
        <f t="shared" si="491"/>
        <v>980879.28666875861</v>
      </c>
      <c r="CA707" s="18">
        <f t="shared" si="491"/>
        <v>980879.28666875861</v>
      </c>
      <c r="CB707" s="70">
        <f t="shared" si="455"/>
        <v>3923517.1466750344</v>
      </c>
      <c r="CC707" s="18">
        <f t="shared" si="456"/>
        <v>980879.28666875861</v>
      </c>
      <c r="CD707" s="18">
        <f t="shared" si="485"/>
        <v>980879.28666875861</v>
      </c>
      <c r="CE707" s="18">
        <f t="shared" si="485"/>
        <v>980879.28666875861</v>
      </c>
      <c r="CF707" s="18">
        <f t="shared" si="485"/>
        <v>980879.28666875861</v>
      </c>
      <c r="CG707" s="70">
        <f t="shared" si="457"/>
        <v>3923517.1466750344</v>
      </c>
      <c r="CH707" s="18">
        <f t="shared" si="479"/>
        <v>980879.28666875861</v>
      </c>
      <c r="CI707" s="18">
        <f t="shared" si="489"/>
        <v>980879.28666875861</v>
      </c>
      <c r="CJ707" s="18">
        <f t="shared" si="489"/>
        <v>980879.28666875861</v>
      </c>
      <c r="CK707" s="18">
        <f t="shared" si="489"/>
        <v>980879.28666875861</v>
      </c>
      <c r="CL707" s="70">
        <f t="shared" si="484"/>
        <v>3923517.1466750344</v>
      </c>
      <c r="CM707" s="71"/>
      <c r="CN707" s="59">
        <f t="shared" ref="CN707:CN728" si="492">BK707/$CN$3</f>
        <v>1.0046997834952513E-3</v>
      </c>
      <c r="CO707" s="64">
        <f t="shared" ref="CO707:CO728" si="493">CN707*$CO$4</f>
        <v>21098695.453400277</v>
      </c>
      <c r="CP707" s="2">
        <f t="shared" si="458"/>
        <v>31388137.173400275</v>
      </c>
    </row>
    <row r="708" spans="1:94" ht="16.5" hidden="1" x14ac:dyDescent="0.3">
      <c r="A708" s="2">
        <v>703</v>
      </c>
      <c r="B708" s="47" t="s">
        <v>21</v>
      </c>
      <c r="C708" s="47"/>
      <c r="D708" s="30" t="s">
        <v>1725</v>
      </c>
      <c r="E708" s="30" t="s">
        <v>1042</v>
      </c>
      <c r="F708" s="30" t="s">
        <v>1043</v>
      </c>
      <c r="G708" s="30" t="s">
        <v>117</v>
      </c>
      <c r="H708" s="30"/>
      <c r="I708" s="30" t="s">
        <v>119</v>
      </c>
      <c r="J708" s="30" t="s">
        <v>1871</v>
      </c>
      <c r="K708" s="30" t="s">
        <v>1872</v>
      </c>
      <c r="L708" s="30" t="s">
        <v>1873</v>
      </c>
      <c r="M708" s="30">
        <v>1000587</v>
      </c>
      <c r="N708" s="30" t="s">
        <v>138</v>
      </c>
      <c r="O708" s="30" t="s">
        <v>2044</v>
      </c>
      <c r="P708" s="30" t="s">
        <v>1825</v>
      </c>
      <c r="Q708" s="30" t="s">
        <v>141</v>
      </c>
      <c r="R708" s="30" t="s">
        <v>142</v>
      </c>
      <c r="S708" s="30">
        <v>310277435</v>
      </c>
      <c r="T708" s="30" t="s">
        <v>1756</v>
      </c>
      <c r="U708" s="30" t="s">
        <v>588</v>
      </c>
      <c r="V708" s="30" t="s">
        <v>600</v>
      </c>
      <c r="W708" s="30" t="s">
        <v>146</v>
      </c>
      <c r="X708" s="89" t="s">
        <v>1838</v>
      </c>
      <c r="Y708" s="125" t="s">
        <v>576</v>
      </c>
      <c r="Z708" s="125" t="s">
        <v>576</v>
      </c>
      <c r="AA708" s="20" t="s">
        <v>148</v>
      </c>
      <c r="AB708" s="142" t="s">
        <v>1953</v>
      </c>
      <c r="AC708" s="30" t="s">
        <v>1954</v>
      </c>
      <c r="AD708" s="48"/>
      <c r="AE708" s="48"/>
      <c r="AF708" s="48" t="s">
        <v>151</v>
      </c>
      <c r="AG708" s="48" t="s">
        <v>152</v>
      </c>
      <c r="AH708" s="48" t="s">
        <v>153</v>
      </c>
      <c r="AI708" s="30"/>
      <c r="AJ708" s="30"/>
      <c r="AK708" s="50">
        <v>38837</v>
      </c>
      <c r="AL708" s="51">
        <f t="shared" si="460"/>
        <v>19.517808219178082</v>
      </c>
      <c r="AM708" s="30">
        <v>8</v>
      </c>
      <c r="AN708" s="30"/>
      <c r="AO708" s="30" t="s">
        <v>1050</v>
      </c>
      <c r="AP708" s="30" t="s">
        <v>1051</v>
      </c>
      <c r="AQ708" s="30">
        <v>9.9451440000000009</v>
      </c>
      <c r="AR708" s="30">
        <v>950</v>
      </c>
      <c r="AS708" s="30">
        <v>1250</v>
      </c>
      <c r="AT708" s="30">
        <v>1800</v>
      </c>
      <c r="AU708" s="54">
        <v>489119878</v>
      </c>
      <c r="AV708" s="54"/>
      <c r="AW708" s="54"/>
      <c r="AX708" s="54"/>
      <c r="AY708" s="54">
        <v>489118878</v>
      </c>
      <c r="AZ708" s="54">
        <v>0</v>
      </c>
      <c r="BA708" s="54">
        <v>1000</v>
      </c>
      <c r="BB708" s="55">
        <f>VLOOKUP(M708,[1]Sheet1!$E$6:$F$556,2,FALSE)</f>
        <v>1000</v>
      </c>
      <c r="BC708" s="74"/>
      <c r="BD708" s="74"/>
      <c r="BE708" s="30"/>
      <c r="BF708" s="30" t="s">
        <v>1745</v>
      </c>
      <c r="BG708" s="30" t="s">
        <v>1880</v>
      </c>
      <c r="BH708" s="30" t="s">
        <v>1054</v>
      </c>
      <c r="BI708" s="30" t="str">
        <f t="shared" si="454"/>
        <v>COF(Assy_FT)</v>
      </c>
      <c r="BJ708" s="47" t="s">
        <v>137</v>
      </c>
      <c r="BK708" s="67">
        <f t="shared" si="461"/>
        <v>9782397.5600000005</v>
      </c>
      <c r="BL708" s="68">
        <f t="shared" si="473"/>
        <v>932543.41699726391</v>
      </c>
      <c r="BM708" s="68">
        <f t="shared" si="474"/>
        <v>310847.80566575465</v>
      </c>
      <c r="BP708" s="69">
        <f>BM708*3</f>
        <v>932543.41699726391</v>
      </c>
      <c r="BQ708" s="69">
        <f>BP708</f>
        <v>932543.41699726391</v>
      </c>
      <c r="BR708" s="69">
        <f>SUM(BN708:BQ708)</f>
        <v>1865086.8339945278</v>
      </c>
      <c r="BS708" s="69">
        <f>BQ708</f>
        <v>932543.41699726391</v>
      </c>
      <c r="BT708" s="69">
        <f t="shared" si="490"/>
        <v>932543.41699726391</v>
      </c>
      <c r="BU708" s="100">
        <f t="shared" si="490"/>
        <v>932543.41699726391</v>
      </c>
      <c r="BV708" s="100">
        <f t="shared" si="490"/>
        <v>932543.41699726391</v>
      </c>
      <c r="BW708" s="100">
        <f t="shared" si="483"/>
        <v>3730173.6679890556</v>
      </c>
      <c r="BX708" s="101">
        <f t="shared" si="476"/>
        <v>932543.41699726391</v>
      </c>
      <c r="BY708" s="101">
        <f t="shared" si="491"/>
        <v>932543.41699726391</v>
      </c>
      <c r="BZ708" s="18">
        <f t="shared" si="491"/>
        <v>932543.41699726391</v>
      </c>
      <c r="CA708" s="18">
        <f t="shared" si="491"/>
        <v>932543.41699726391</v>
      </c>
      <c r="CB708" s="70">
        <f t="shared" si="455"/>
        <v>3730173.6679890556</v>
      </c>
      <c r="CC708" s="18">
        <f t="shared" si="456"/>
        <v>932543.41699726391</v>
      </c>
      <c r="CD708" s="18">
        <f t="shared" si="485"/>
        <v>932543.41699726391</v>
      </c>
      <c r="CE708" s="18">
        <f t="shared" si="485"/>
        <v>932543.41699726391</v>
      </c>
      <c r="CF708" s="18">
        <f t="shared" si="485"/>
        <v>932543.41699726391</v>
      </c>
      <c r="CG708" s="70">
        <f t="shared" si="457"/>
        <v>3730173.6679890556</v>
      </c>
      <c r="CH708" s="18">
        <f t="shared" si="479"/>
        <v>932543.41699726391</v>
      </c>
      <c r="CI708" s="18">
        <f t="shared" si="489"/>
        <v>932543.41699726391</v>
      </c>
      <c r="CJ708" s="18">
        <f t="shared" si="489"/>
        <v>932543.41699726391</v>
      </c>
      <c r="CK708" s="18">
        <f t="shared" si="489"/>
        <v>932543.41699726391</v>
      </c>
      <c r="CL708" s="70">
        <f t="shared" si="484"/>
        <v>3730173.6679890556</v>
      </c>
      <c r="CM708" s="71"/>
      <c r="CN708" s="59">
        <f t="shared" si="492"/>
        <v>9.5519008494821173E-4</v>
      </c>
      <c r="CO708" s="64">
        <f t="shared" si="493"/>
        <v>20058991.783912446</v>
      </c>
      <c r="CP708" s="2">
        <f t="shared" si="458"/>
        <v>29841389.343912445</v>
      </c>
    </row>
    <row r="709" spans="1:94" ht="16.5" hidden="1" x14ac:dyDescent="0.3">
      <c r="A709" s="2">
        <v>704</v>
      </c>
      <c r="B709" s="47" t="s">
        <v>21</v>
      </c>
      <c r="C709" s="47"/>
      <c r="D709" s="30" t="s">
        <v>1725</v>
      </c>
      <c r="E709" s="30" t="s">
        <v>1042</v>
      </c>
      <c r="F709" s="30" t="s">
        <v>1043</v>
      </c>
      <c r="G709" s="30" t="s">
        <v>117</v>
      </c>
      <c r="H709" s="30"/>
      <c r="I709" s="30" t="s">
        <v>119</v>
      </c>
      <c r="J709" s="30" t="s">
        <v>1871</v>
      </c>
      <c r="K709" s="30" t="s">
        <v>1872</v>
      </c>
      <c r="L709" s="30" t="s">
        <v>1873</v>
      </c>
      <c r="M709" s="30">
        <v>1000586</v>
      </c>
      <c r="N709" s="30" t="s">
        <v>138</v>
      </c>
      <c r="O709" s="30" t="s">
        <v>2045</v>
      </c>
      <c r="P709" s="30" t="s">
        <v>1825</v>
      </c>
      <c r="Q709" s="30" t="s">
        <v>141</v>
      </c>
      <c r="R709" s="30" t="s">
        <v>142</v>
      </c>
      <c r="S709" s="30">
        <v>310275050</v>
      </c>
      <c r="T709" s="30" t="s">
        <v>1756</v>
      </c>
      <c r="U709" s="30" t="s">
        <v>588</v>
      </c>
      <c r="V709" s="30" t="s">
        <v>415</v>
      </c>
      <c r="W709" s="30" t="s">
        <v>146</v>
      </c>
      <c r="X709" s="89" t="s">
        <v>1764</v>
      </c>
      <c r="Y709" s="30" t="s">
        <v>576</v>
      </c>
      <c r="Z709" s="30" t="s">
        <v>576</v>
      </c>
      <c r="AA709" s="20" t="s">
        <v>148</v>
      </c>
      <c r="AB709" s="142" t="s">
        <v>1953</v>
      </c>
      <c r="AC709" s="30" t="s">
        <v>1954</v>
      </c>
      <c r="AD709" s="48"/>
      <c r="AE709" s="48"/>
      <c r="AF709" s="48" t="s">
        <v>151</v>
      </c>
      <c r="AG709" s="48" t="s">
        <v>152</v>
      </c>
      <c r="AH709" s="48" t="s">
        <v>153</v>
      </c>
      <c r="AI709" s="30"/>
      <c r="AJ709" s="30"/>
      <c r="AK709" s="50">
        <v>38837</v>
      </c>
      <c r="AL709" s="51">
        <f t="shared" si="460"/>
        <v>19.517808219178082</v>
      </c>
      <c r="AM709" s="30">
        <v>8</v>
      </c>
      <c r="AN709" s="30"/>
      <c r="AO709" s="30" t="s">
        <v>1050</v>
      </c>
      <c r="AP709" s="30" t="s">
        <v>1051</v>
      </c>
      <c r="AQ709" s="30">
        <v>9.9451440000000009</v>
      </c>
      <c r="AR709" s="30">
        <v>950</v>
      </c>
      <c r="AS709" s="30">
        <v>1250</v>
      </c>
      <c r="AT709" s="30">
        <v>1800</v>
      </c>
      <c r="AU709" s="54">
        <v>489119883</v>
      </c>
      <c r="AV709" s="54"/>
      <c r="AW709" s="54"/>
      <c r="AX709" s="54"/>
      <c r="AY709" s="54">
        <v>489118883</v>
      </c>
      <c r="AZ709" s="54">
        <v>0</v>
      </c>
      <c r="BA709" s="54">
        <v>1000</v>
      </c>
      <c r="BB709" s="55">
        <f>VLOOKUP(M709,[1]Sheet1!$E$6:$F$556,2,FALSE)</f>
        <v>1000</v>
      </c>
      <c r="BC709" s="74"/>
      <c r="BD709" s="74"/>
      <c r="BE709" s="30"/>
      <c r="BF709" s="30" t="s">
        <v>1745</v>
      </c>
      <c r="BG709" s="30" t="s">
        <v>1880</v>
      </c>
      <c r="BH709" s="30" t="s">
        <v>1054</v>
      </c>
      <c r="BI709" s="30" t="str">
        <f t="shared" si="454"/>
        <v>COF(Assy_FT)</v>
      </c>
      <c r="BJ709" s="47" t="s">
        <v>137</v>
      </c>
      <c r="BK709" s="56">
        <f t="shared" si="461"/>
        <v>9782397.6600000001</v>
      </c>
      <c r="BL709" s="57">
        <f t="shared" si="473"/>
        <v>932543.42653013568</v>
      </c>
      <c r="BM709" s="57">
        <f t="shared" si="474"/>
        <v>310847.80884337856</v>
      </c>
      <c r="BP709" s="63">
        <f>BM709*3</f>
        <v>932543.42653013568</v>
      </c>
      <c r="BQ709" s="63">
        <f>BP709</f>
        <v>932543.42653013568</v>
      </c>
      <c r="BR709" s="63">
        <f>SUM(BN709:BQ709)</f>
        <v>1865086.8530602714</v>
      </c>
      <c r="BS709" s="63">
        <f>BQ709</f>
        <v>932543.42653013568</v>
      </c>
      <c r="BT709" s="63">
        <f>BS709</f>
        <v>932543.42653013568</v>
      </c>
      <c r="BU709" s="58">
        <f t="shared" ref="BU709:BU714" si="494">BM709*3</f>
        <v>932543.42653013568</v>
      </c>
      <c r="BV709" s="58">
        <f t="shared" si="490"/>
        <v>932543.42653013568</v>
      </c>
      <c r="BW709" s="58">
        <f t="shared" si="483"/>
        <v>3730173.7061205427</v>
      </c>
      <c r="BX709" s="58">
        <f t="shared" si="476"/>
        <v>932543.42653013568</v>
      </c>
      <c r="BY709" s="58">
        <f t="shared" si="491"/>
        <v>932543.42653013568</v>
      </c>
      <c r="BZ709" s="58">
        <f t="shared" ref="BZ709:BZ714" si="495">BM709*3</f>
        <v>932543.42653013568</v>
      </c>
      <c r="CA709" s="58">
        <f t="shared" si="491"/>
        <v>932543.42653013568</v>
      </c>
      <c r="CB709" s="58">
        <f t="shared" si="455"/>
        <v>3730173.7061205427</v>
      </c>
      <c r="CC709" s="58">
        <f t="shared" si="456"/>
        <v>932543.42653013568</v>
      </c>
      <c r="CD709" s="58">
        <f t="shared" si="485"/>
        <v>932543.42653013568</v>
      </c>
      <c r="CE709" s="58">
        <f t="shared" si="485"/>
        <v>932543.42653013568</v>
      </c>
      <c r="CF709" s="58">
        <f t="shared" si="485"/>
        <v>932543.42653013568</v>
      </c>
      <c r="CG709" s="58">
        <f t="shared" si="457"/>
        <v>3730173.7061205427</v>
      </c>
      <c r="CH709" s="58">
        <f t="shared" si="479"/>
        <v>932543.42653013568</v>
      </c>
      <c r="CI709" s="58">
        <f t="shared" si="489"/>
        <v>932543.42653013568</v>
      </c>
      <c r="CJ709" s="58">
        <f t="shared" si="489"/>
        <v>932543.42653013568</v>
      </c>
      <c r="CK709" s="58">
        <f t="shared" si="489"/>
        <v>932543.42653013568</v>
      </c>
      <c r="CL709" s="58">
        <f t="shared" si="484"/>
        <v>3730173.7061205427</v>
      </c>
      <c r="CN709" s="59">
        <f t="shared" si="492"/>
        <v>9.5519009471258778E-4</v>
      </c>
      <c r="CO709" s="64">
        <f t="shared" si="493"/>
        <v>20058991.988964342</v>
      </c>
      <c r="CP709" s="2">
        <f t="shared" si="458"/>
        <v>29841389.648964342</v>
      </c>
    </row>
    <row r="710" spans="1:94" ht="16.5" hidden="1" x14ac:dyDescent="0.3">
      <c r="A710" s="2">
        <v>705</v>
      </c>
      <c r="B710" s="47" t="s">
        <v>21</v>
      </c>
      <c r="C710" s="47"/>
      <c r="D710" s="30" t="s">
        <v>1725</v>
      </c>
      <c r="E710" s="30" t="s">
        <v>1042</v>
      </c>
      <c r="F710" s="30" t="s">
        <v>1043</v>
      </c>
      <c r="G710" s="30" t="s">
        <v>117</v>
      </c>
      <c r="H710" s="30"/>
      <c r="I710" s="30" t="s">
        <v>119</v>
      </c>
      <c r="J710" s="30" t="s">
        <v>1871</v>
      </c>
      <c r="K710" s="30" t="s">
        <v>1872</v>
      </c>
      <c r="L710" s="30" t="s">
        <v>1873</v>
      </c>
      <c r="M710" s="30">
        <v>1000805</v>
      </c>
      <c r="N710" s="30" t="s">
        <v>138</v>
      </c>
      <c r="O710" s="30" t="s">
        <v>2046</v>
      </c>
      <c r="P710" s="30" t="s">
        <v>1825</v>
      </c>
      <c r="Q710" s="30" t="s">
        <v>141</v>
      </c>
      <c r="R710" s="30" t="s">
        <v>142</v>
      </c>
      <c r="S710" s="30">
        <v>310286543</v>
      </c>
      <c r="T710" s="30" t="s">
        <v>1756</v>
      </c>
      <c r="U710" s="30" t="s">
        <v>588</v>
      </c>
      <c r="V710" s="30" t="s">
        <v>600</v>
      </c>
      <c r="W710" s="30" t="s">
        <v>146</v>
      </c>
      <c r="X710" s="89" t="s">
        <v>1757</v>
      </c>
      <c r="Y710" s="30" t="s">
        <v>576</v>
      </c>
      <c r="Z710" s="30" t="s">
        <v>576</v>
      </c>
      <c r="AA710" s="20" t="s">
        <v>148</v>
      </c>
      <c r="AB710" s="142" t="s">
        <v>1953</v>
      </c>
      <c r="AC710" s="30" t="s">
        <v>1954</v>
      </c>
      <c r="AD710" s="48"/>
      <c r="AE710" s="48"/>
      <c r="AF710" s="48" t="s">
        <v>151</v>
      </c>
      <c r="AG710" s="48" t="s">
        <v>152</v>
      </c>
      <c r="AH710" s="48" t="s">
        <v>153</v>
      </c>
      <c r="AI710" s="30"/>
      <c r="AJ710" s="30"/>
      <c r="AK710" s="50">
        <v>38990</v>
      </c>
      <c r="AL710" s="51">
        <f t="shared" si="460"/>
        <v>19.098630136986301</v>
      </c>
      <c r="AM710" s="30">
        <v>8</v>
      </c>
      <c r="AN710" s="30"/>
      <c r="AO710" s="30" t="s">
        <v>1050</v>
      </c>
      <c r="AP710" s="30" t="s">
        <v>1051</v>
      </c>
      <c r="AQ710" s="30">
        <v>9.9451440000000009</v>
      </c>
      <c r="AR710" s="30">
        <v>950</v>
      </c>
      <c r="AS710" s="30">
        <v>1250</v>
      </c>
      <c r="AT710" s="30">
        <v>1800</v>
      </c>
      <c r="AU710" s="54">
        <v>498384274</v>
      </c>
      <c r="AV710" s="54"/>
      <c r="AW710" s="54"/>
      <c r="AX710" s="54"/>
      <c r="AY710" s="54">
        <v>498383274</v>
      </c>
      <c r="AZ710" s="54">
        <v>0</v>
      </c>
      <c r="BA710" s="54">
        <v>1000</v>
      </c>
      <c r="BB710" s="55">
        <f>VLOOKUP(M710,[1]Sheet1!$E$6:$F$556,2,FALSE)</f>
        <v>1000</v>
      </c>
      <c r="BC710" s="74"/>
      <c r="BD710" s="74"/>
      <c r="BE710" s="30"/>
      <c r="BF710" s="30" t="s">
        <v>1745</v>
      </c>
      <c r="BG710" s="30" t="s">
        <v>1880</v>
      </c>
      <c r="BH710" s="30" t="s">
        <v>1054</v>
      </c>
      <c r="BI710" s="30" t="str">
        <f t="shared" si="454"/>
        <v>COF(Assy_FT)</v>
      </c>
      <c r="BJ710" s="47" t="s">
        <v>137</v>
      </c>
      <c r="BK710" s="56">
        <f t="shared" si="461"/>
        <v>9967685.4800000004</v>
      </c>
      <c r="BL710" s="57">
        <f t="shared" si="473"/>
        <v>950206.67684591759</v>
      </c>
      <c r="BM710" s="57">
        <f t="shared" si="474"/>
        <v>316735.5589486392</v>
      </c>
      <c r="BU710" s="58">
        <f t="shared" si="494"/>
        <v>950206.67684591759</v>
      </c>
      <c r="BV710" s="58">
        <f t="shared" si="490"/>
        <v>950206.67684591759</v>
      </c>
      <c r="BW710" s="58">
        <f t="shared" si="483"/>
        <v>1900413.3536918352</v>
      </c>
      <c r="BX710" s="58">
        <f t="shared" si="476"/>
        <v>950206.67684591759</v>
      </c>
      <c r="BY710" s="58">
        <f t="shared" si="491"/>
        <v>950206.67684591759</v>
      </c>
      <c r="BZ710" s="58">
        <f t="shared" si="495"/>
        <v>950206.67684591759</v>
      </c>
      <c r="CA710" s="58">
        <f t="shared" si="491"/>
        <v>950206.67684591759</v>
      </c>
      <c r="CB710" s="58">
        <f t="shared" si="455"/>
        <v>3800826.7073836704</v>
      </c>
      <c r="CC710" s="58">
        <f t="shared" si="456"/>
        <v>950206.67684591759</v>
      </c>
      <c r="CD710" s="58">
        <f t="shared" si="485"/>
        <v>950206.67684591759</v>
      </c>
      <c r="CE710" s="58">
        <f t="shared" si="485"/>
        <v>950206.67684591759</v>
      </c>
      <c r="CF710" s="58">
        <f t="shared" si="485"/>
        <v>950206.67684591759</v>
      </c>
      <c r="CG710" s="58">
        <f t="shared" si="457"/>
        <v>3800826.7073836704</v>
      </c>
      <c r="CH710" s="58">
        <f t="shared" si="479"/>
        <v>950206.67684591759</v>
      </c>
      <c r="CI710" s="58">
        <f t="shared" si="489"/>
        <v>950206.67684591759</v>
      </c>
      <c r="CJ710" s="58">
        <f t="shared" si="489"/>
        <v>950206.67684591759</v>
      </c>
      <c r="CK710" s="58">
        <f t="shared" si="489"/>
        <v>950206.67684591759</v>
      </c>
      <c r="CL710" s="58">
        <f t="shared" si="484"/>
        <v>3800826.7073836704</v>
      </c>
      <c r="CN710" s="59">
        <f t="shared" si="492"/>
        <v>9.7328229424139829E-4</v>
      </c>
      <c r="CO710" s="64">
        <f t="shared" si="493"/>
        <v>20438928.179069363</v>
      </c>
      <c r="CP710" s="2">
        <f t="shared" si="458"/>
        <v>30406613.659069363</v>
      </c>
    </row>
    <row r="711" spans="1:94" ht="16.5" hidden="1" x14ac:dyDescent="0.3">
      <c r="A711" s="2">
        <v>706</v>
      </c>
      <c r="B711" s="47" t="s">
        <v>21</v>
      </c>
      <c r="C711" s="47"/>
      <c r="D711" s="30" t="s">
        <v>1725</v>
      </c>
      <c r="E711" s="30" t="s">
        <v>1042</v>
      </c>
      <c r="F711" s="30" t="s">
        <v>1043</v>
      </c>
      <c r="G711" s="30" t="s">
        <v>117</v>
      </c>
      <c r="H711" s="30"/>
      <c r="I711" s="30" t="s">
        <v>119</v>
      </c>
      <c r="J711" s="30" t="s">
        <v>1871</v>
      </c>
      <c r="K711" s="30" t="s">
        <v>1872</v>
      </c>
      <c r="L711" s="30" t="s">
        <v>1873</v>
      </c>
      <c r="M711" s="30">
        <v>1000806</v>
      </c>
      <c r="N711" s="30" t="s">
        <v>138</v>
      </c>
      <c r="O711" s="30" t="s">
        <v>2047</v>
      </c>
      <c r="P711" s="30" t="s">
        <v>1825</v>
      </c>
      <c r="Q711" s="30" t="s">
        <v>141</v>
      </c>
      <c r="R711" s="30" t="s">
        <v>142</v>
      </c>
      <c r="S711" s="30">
        <v>310286545</v>
      </c>
      <c r="T711" s="30" t="s">
        <v>1756</v>
      </c>
      <c r="U711" s="30" t="s">
        <v>588</v>
      </c>
      <c r="V711" s="30" t="s">
        <v>600</v>
      </c>
      <c r="W711" s="30" t="s">
        <v>146</v>
      </c>
      <c r="X711" s="89" t="s">
        <v>1757</v>
      </c>
      <c r="Y711" s="30" t="s">
        <v>576</v>
      </c>
      <c r="Z711" s="30" t="s">
        <v>576</v>
      </c>
      <c r="AA711" s="20" t="s">
        <v>148</v>
      </c>
      <c r="AB711" s="142" t="s">
        <v>1953</v>
      </c>
      <c r="AC711" s="30" t="s">
        <v>1954</v>
      </c>
      <c r="AD711" s="48"/>
      <c r="AE711" s="48"/>
      <c r="AF711" s="48" t="s">
        <v>151</v>
      </c>
      <c r="AG711" s="48" t="s">
        <v>152</v>
      </c>
      <c r="AH711" s="48" t="s">
        <v>153</v>
      </c>
      <c r="AI711" s="30"/>
      <c r="AJ711" s="30"/>
      <c r="AK711" s="50">
        <v>38990</v>
      </c>
      <c r="AL711" s="51">
        <f t="shared" si="460"/>
        <v>19.098630136986301</v>
      </c>
      <c r="AM711" s="30">
        <v>8</v>
      </c>
      <c r="AN711" s="30"/>
      <c r="AO711" s="30" t="s">
        <v>1050</v>
      </c>
      <c r="AP711" s="30" t="s">
        <v>1051</v>
      </c>
      <c r="AQ711" s="30">
        <v>9.9451440000000009</v>
      </c>
      <c r="AR711" s="30">
        <v>950</v>
      </c>
      <c r="AS711" s="30">
        <v>1250</v>
      </c>
      <c r="AT711" s="30">
        <v>1800</v>
      </c>
      <c r="AU711" s="54">
        <v>499027517</v>
      </c>
      <c r="AV711" s="54"/>
      <c r="AW711" s="54"/>
      <c r="AX711" s="54"/>
      <c r="AY711" s="54">
        <v>499026517</v>
      </c>
      <c r="AZ711" s="54">
        <v>0</v>
      </c>
      <c r="BA711" s="54">
        <v>1000</v>
      </c>
      <c r="BB711" s="55">
        <f>VLOOKUP(M711,[1]Sheet1!$E$6:$F$556,2,FALSE)</f>
        <v>1000</v>
      </c>
      <c r="BC711" s="74"/>
      <c r="BD711" s="74"/>
      <c r="BE711" s="30"/>
      <c r="BF711" s="30" t="s">
        <v>1745</v>
      </c>
      <c r="BG711" s="30" t="s">
        <v>1880</v>
      </c>
      <c r="BH711" s="30" t="s">
        <v>1054</v>
      </c>
      <c r="BI711" s="30" t="str">
        <f t="shared" ref="BI711:BI774" si="496">BH711</f>
        <v>COF(Assy_FT)</v>
      </c>
      <c r="BJ711" s="47" t="s">
        <v>137</v>
      </c>
      <c r="BK711" s="56">
        <f t="shared" si="461"/>
        <v>9980550.3399999999</v>
      </c>
      <c r="BL711" s="57">
        <f t="shared" si="473"/>
        <v>951433.06745517347</v>
      </c>
      <c r="BM711" s="57">
        <f t="shared" si="474"/>
        <v>317144.35581839114</v>
      </c>
      <c r="BU711" s="58">
        <f t="shared" si="494"/>
        <v>951433.06745517347</v>
      </c>
      <c r="BV711" s="58">
        <f t="shared" si="490"/>
        <v>951433.06745517347</v>
      </c>
      <c r="BW711" s="58">
        <f t="shared" si="483"/>
        <v>1902866.1349103469</v>
      </c>
      <c r="BX711" s="58">
        <f t="shared" si="476"/>
        <v>951433.06745517347</v>
      </c>
      <c r="BY711" s="58">
        <f t="shared" si="491"/>
        <v>951433.06745517347</v>
      </c>
      <c r="BZ711" s="58">
        <f t="shared" si="495"/>
        <v>951433.06745517347</v>
      </c>
      <c r="CA711" s="58">
        <f t="shared" si="491"/>
        <v>951433.06745517347</v>
      </c>
      <c r="CB711" s="58">
        <f t="shared" ref="CB711:CB774" si="497">SUM(BX711:CA711)</f>
        <v>3805732.2698206939</v>
      </c>
      <c r="CC711" s="58">
        <f t="shared" ref="CC711:CC774" si="498">CA711</f>
        <v>951433.06745517347</v>
      </c>
      <c r="CD711" s="58">
        <f t="shared" ref="CD711:CF730" si="499">CC711</f>
        <v>951433.06745517347</v>
      </c>
      <c r="CE711" s="58">
        <f t="shared" si="499"/>
        <v>951433.06745517347</v>
      </c>
      <c r="CF711" s="58">
        <f t="shared" si="499"/>
        <v>951433.06745517347</v>
      </c>
      <c r="CG711" s="58">
        <f t="shared" ref="CG711:CG774" si="500">SUM(CC711:CF711)</f>
        <v>3805732.2698206939</v>
      </c>
      <c r="CH711" s="58">
        <f t="shared" si="479"/>
        <v>951433.06745517347</v>
      </c>
      <c r="CI711" s="58">
        <f t="shared" si="489"/>
        <v>951433.06745517347</v>
      </c>
      <c r="CJ711" s="58">
        <f t="shared" si="489"/>
        <v>951433.06745517347</v>
      </c>
      <c r="CK711" s="58">
        <f t="shared" si="489"/>
        <v>951433.06745517347</v>
      </c>
      <c r="CL711" s="58">
        <f t="shared" si="484"/>
        <v>3805732.2698206939</v>
      </c>
      <c r="CN711" s="59">
        <f t="shared" si="492"/>
        <v>9.7453846755074047E-4</v>
      </c>
      <c r="CO711" s="64">
        <f t="shared" si="493"/>
        <v>20465307.818565551</v>
      </c>
      <c r="CP711" s="2">
        <f t="shared" ref="CP711:CP774" si="501">CO711+BK711</f>
        <v>30445858.158565551</v>
      </c>
    </row>
    <row r="712" spans="1:94" ht="16.5" hidden="1" x14ac:dyDescent="0.3">
      <c r="A712" s="2">
        <v>707</v>
      </c>
      <c r="B712" s="47" t="s">
        <v>21</v>
      </c>
      <c r="C712" s="47"/>
      <c r="D712" s="30" t="s">
        <v>1725</v>
      </c>
      <c r="E712" s="30" t="s">
        <v>1042</v>
      </c>
      <c r="F712" s="30" t="s">
        <v>1043</v>
      </c>
      <c r="G712" s="30" t="s">
        <v>117</v>
      </c>
      <c r="H712" s="30"/>
      <c r="I712" s="30" t="s">
        <v>119</v>
      </c>
      <c r="J712" s="30" t="s">
        <v>1871</v>
      </c>
      <c r="K712" s="30" t="s">
        <v>1872</v>
      </c>
      <c r="L712" s="30" t="s">
        <v>1873</v>
      </c>
      <c r="M712" s="30">
        <v>1004290</v>
      </c>
      <c r="N712" s="30" t="s">
        <v>138</v>
      </c>
      <c r="O712" s="30" t="s">
        <v>2048</v>
      </c>
      <c r="P712" s="30" t="s">
        <v>1823</v>
      </c>
      <c r="Q712" s="30" t="s">
        <v>232</v>
      </c>
      <c r="R712" s="30" t="s">
        <v>142</v>
      </c>
      <c r="S712" s="30">
        <v>310602700</v>
      </c>
      <c r="T712" s="30" t="s">
        <v>1752</v>
      </c>
      <c r="U712" s="30" t="s">
        <v>588</v>
      </c>
      <c r="V712" s="30" t="s">
        <v>145</v>
      </c>
      <c r="W712" s="30" t="s">
        <v>146</v>
      </c>
      <c r="X712" s="89" t="s">
        <v>1764</v>
      </c>
      <c r="Y712" s="125" t="s">
        <v>576</v>
      </c>
      <c r="Z712" s="125" t="s">
        <v>576</v>
      </c>
      <c r="AA712" s="20" t="s">
        <v>148</v>
      </c>
      <c r="AB712" s="142" t="s">
        <v>1953</v>
      </c>
      <c r="AC712" s="30" t="s">
        <v>1954</v>
      </c>
      <c r="AD712" s="30"/>
      <c r="AE712" s="30"/>
      <c r="AF712" s="48" t="s">
        <v>151</v>
      </c>
      <c r="AG712" s="48" t="s">
        <v>152</v>
      </c>
      <c r="AH712" s="48" t="s">
        <v>153</v>
      </c>
      <c r="AI712" s="30"/>
      <c r="AJ712" s="30"/>
      <c r="AK712" s="50">
        <v>41750</v>
      </c>
      <c r="AL712" s="51">
        <f t="shared" si="460"/>
        <v>11.536986301369863</v>
      </c>
      <c r="AM712" s="30">
        <v>8</v>
      </c>
      <c r="AN712" s="30"/>
      <c r="AO712" s="30" t="s">
        <v>1050</v>
      </c>
      <c r="AP712" s="30" t="s">
        <v>1051</v>
      </c>
      <c r="AQ712" s="30">
        <v>9.83</v>
      </c>
      <c r="AR712" s="30">
        <v>1250</v>
      </c>
      <c r="AS712" s="30">
        <v>950</v>
      </c>
      <c r="AT712" s="30">
        <v>1800</v>
      </c>
      <c r="AU712" s="54">
        <v>576676289</v>
      </c>
      <c r="AV712" s="54"/>
      <c r="AW712" s="54"/>
      <c r="AX712" s="54"/>
      <c r="AY712" s="54">
        <v>576675289</v>
      </c>
      <c r="AZ712" s="54">
        <v>244167</v>
      </c>
      <c r="BA712" s="54">
        <v>1000</v>
      </c>
      <c r="BB712" s="55">
        <f>VLOOKUP(M712,[1]Sheet1!$E$6:$F$556,2,FALSE)</f>
        <v>1000</v>
      </c>
      <c r="BC712" s="74"/>
      <c r="BD712" s="74"/>
      <c r="BE712" s="30"/>
      <c r="BF712" s="30" t="s">
        <v>1745</v>
      </c>
      <c r="BG712" s="30" t="s">
        <v>1880</v>
      </c>
      <c r="BH712" s="30" t="s">
        <v>1054</v>
      </c>
      <c r="BI712" s="30" t="str">
        <f t="shared" si="496"/>
        <v>COF(Assy_FT)</v>
      </c>
      <c r="BJ712" s="47" t="s">
        <v>137</v>
      </c>
      <c r="BK712" s="67">
        <f t="shared" si="461"/>
        <v>11533525.779999999</v>
      </c>
      <c r="BL712" s="68">
        <f t="shared" si="473"/>
        <v>1099476.2250193432</v>
      </c>
      <c r="BM712" s="68">
        <f t="shared" si="474"/>
        <v>366492.07500644773</v>
      </c>
      <c r="BP712" s="63">
        <f>BM712*3</f>
        <v>1099476.2250193432</v>
      </c>
      <c r="BQ712" s="63">
        <f>BP712</f>
        <v>1099476.2250193432</v>
      </c>
      <c r="BR712" s="63">
        <f>SUM(BN712:BQ712)</f>
        <v>2198952.4500386864</v>
      </c>
      <c r="BS712" s="63">
        <f>BQ712</f>
        <v>1099476.2250193432</v>
      </c>
      <c r="BT712" s="63">
        <f>BS712</f>
        <v>1099476.2250193432</v>
      </c>
      <c r="BU712" s="58">
        <f t="shared" si="494"/>
        <v>1099476.2250193432</v>
      </c>
      <c r="BV712" s="58">
        <f t="shared" si="490"/>
        <v>1099476.2250193432</v>
      </c>
      <c r="BW712" s="58">
        <f t="shared" si="483"/>
        <v>4397904.9000773728</v>
      </c>
      <c r="BX712" s="58">
        <f t="shared" si="476"/>
        <v>1099476.2250193432</v>
      </c>
      <c r="BY712" s="58">
        <f t="shared" si="491"/>
        <v>1099476.2250193432</v>
      </c>
      <c r="BZ712" s="58">
        <f t="shared" si="495"/>
        <v>1099476.2250193432</v>
      </c>
      <c r="CA712" s="58">
        <f t="shared" si="491"/>
        <v>1099476.2250193432</v>
      </c>
      <c r="CB712" s="58">
        <f t="shared" si="497"/>
        <v>4397904.9000773728</v>
      </c>
      <c r="CC712" s="58">
        <f t="shared" si="498"/>
        <v>1099476.2250193432</v>
      </c>
      <c r="CD712" s="58">
        <f t="shared" si="499"/>
        <v>1099476.2250193432</v>
      </c>
      <c r="CE712" s="58">
        <f t="shared" si="499"/>
        <v>1099476.2250193432</v>
      </c>
      <c r="CF712" s="58">
        <f t="shared" si="499"/>
        <v>1099476.2250193432</v>
      </c>
      <c r="CG712" s="58">
        <f t="shared" si="500"/>
        <v>4397904.9000773728</v>
      </c>
      <c r="CH712" s="58">
        <f t="shared" si="479"/>
        <v>1099476.2250193432</v>
      </c>
      <c r="CI712" s="58">
        <f t="shared" si="489"/>
        <v>1099476.2250193432</v>
      </c>
      <c r="CJ712" s="58">
        <f t="shared" si="489"/>
        <v>1099476.2250193432</v>
      </c>
      <c r="CK712" s="58">
        <f t="shared" si="489"/>
        <v>1099476.2250193432</v>
      </c>
      <c r="CL712" s="58">
        <f t="shared" si="484"/>
        <v>4397904.9000773728</v>
      </c>
      <c r="CN712" s="59">
        <f t="shared" si="492"/>
        <v>1.1261768295532848E-3</v>
      </c>
      <c r="CO712" s="64">
        <f t="shared" si="493"/>
        <v>23649713.420618981</v>
      </c>
      <c r="CP712" s="2">
        <f t="shared" si="501"/>
        <v>35183239.200618982</v>
      </c>
    </row>
    <row r="713" spans="1:94" ht="16.5" hidden="1" x14ac:dyDescent="0.3">
      <c r="A713" s="2">
        <v>708</v>
      </c>
      <c r="B713" s="47" t="s">
        <v>21</v>
      </c>
      <c r="C713" s="47"/>
      <c r="D713" s="30" t="s">
        <v>1725</v>
      </c>
      <c r="E713" s="30" t="s">
        <v>1042</v>
      </c>
      <c r="F713" s="30" t="s">
        <v>1043</v>
      </c>
      <c r="G713" s="30" t="s">
        <v>117</v>
      </c>
      <c r="H713" s="30"/>
      <c r="I713" s="30" t="s">
        <v>119</v>
      </c>
      <c r="J713" s="30" t="s">
        <v>1871</v>
      </c>
      <c r="K713" s="30" t="s">
        <v>1872</v>
      </c>
      <c r="L713" s="30" t="s">
        <v>1873</v>
      </c>
      <c r="M713" s="30">
        <v>1001224</v>
      </c>
      <c r="N713" s="30" t="s">
        <v>138</v>
      </c>
      <c r="O713" s="30" t="s">
        <v>2049</v>
      </c>
      <c r="P713" s="30" t="s">
        <v>2050</v>
      </c>
      <c r="Q713" s="30" t="s">
        <v>2050</v>
      </c>
      <c r="R713" s="30" t="s">
        <v>142</v>
      </c>
      <c r="S713" s="30" t="s">
        <v>2051</v>
      </c>
      <c r="T713" s="30" t="s">
        <v>2050</v>
      </c>
      <c r="U713" s="30" t="s">
        <v>588</v>
      </c>
      <c r="V713" s="30" t="s">
        <v>600</v>
      </c>
      <c r="W713" s="30" t="s">
        <v>1877</v>
      </c>
      <c r="X713" s="89" t="s">
        <v>1757</v>
      </c>
      <c r="Y713" s="30" t="s">
        <v>576</v>
      </c>
      <c r="Z713" s="30" t="s">
        <v>576</v>
      </c>
      <c r="AA713" s="30" t="s">
        <v>148</v>
      </c>
      <c r="AB713" s="142" t="s">
        <v>1953</v>
      </c>
      <c r="AC713" s="30" t="s">
        <v>1954</v>
      </c>
      <c r="AD713" s="30"/>
      <c r="AE713" s="30"/>
      <c r="AF713" s="48" t="s">
        <v>151</v>
      </c>
      <c r="AG713" s="30" t="s">
        <v>152</v>
      </c>
      <c r="AH713" s="30" t="s">
        <v>1839</v>
      </c>
      <c r="AI713" s="30"/>
      <c r="AJ713" s="30"/>
      <c r="AK713" s="50">
        <v>39722</v>
      </c>
      <c r="AL713" s="51">
        <f t="shared" si="460"/>
        <v>17.093150684931508</v>
      </c>
      <c r="AM713" s="30">
        <v>8</v>
      </c>
      <c r="AN713" s="30"/>
      <c r="AO713" s="30" t="s">
        <v>1050</v>
      </c>
      <c r="AP713" s="30" t="s">
        <v>1051</v>
      </c>
      <c r="AQ713" s="30">
        <v>6.1347440000000004</v>
      </c>
      <c r="AR713" s="30">
        <v>960</v>
      </c>
      <c r="AS713" s="30">
        <v>840</v>
      </c>
      <c r="AT713" s="30">
        <v>1860</v>
      </c>
      <c r="AU713" s="54">
        <v>398816554</v>
      </c>
      <c r="AV713" s="54"/>
      <c r="AW713" s="54"/>
      <c r="AX713" s="54"/>
      <c r="AY713" s="54">
        <v>398815554</v>
      </c>
      <c r="AZ713" s="54">
        <v>0</v>
      </c>
      <c r="BA713" s="54">
        <v>1000</v>
      </c>
      <c r="BB713" s="55">
        <f>VLOOKUP(M713,[1]Sheet1!$E$6:$F$556,2,FALSE)</f>
        <v>1000</v>
      </c>
      <c r="BC713" s="74"/>
      <c r="BD713" s="74"/>
      <c r="BE713" s="30"/>
      <c r="BF713" s="30" t="s">
        <v>1745</v>
      </c>
      <c r="BG713" s="30" t="s">
        <v>1880</v>
      </c>
      <c r="BH713" s="30" t="s">
        <v>1054</v>
      </c>
      <c r="BI713" s="30" t="str">
        <f t="shared" si="496"/>
        <v>COF(Assy_FT)</v>
      </c>
      <c r="BJ713" s="47" t="s">
        <v>137</v>
      </c>
      <c r="BK713" s="56">
        <f t="shared" si="461"/>
        <v>7976331.0800000001</v>
      </c>
      <c r="BL713" s="57">
        <f t="shared" si="473"/>
        <v>760373.41508789349</v>
      </c>
      <c r="BM713" s="57">
        <f t="shared" si="474"/>
        <v>253457.80502929783</v>
      </c>
      <c r="BU713" s="58">
        <f t="shared" si="494"/>
        <v>760373.41508789349</v>
      </c>
      <c r="BV713" s="58">
        <f t="shared" si="490"/>
        <v>760373.41508789349</v>
      </c>
      <c r="BW713" s="58">
        <f t="shared" si="483"/>
        <v>1520746.830175787</v>
      </c>
      <c r="BX713" s="58">
        <f t="shared" si="476"/>
        <v>760373.41508789349</v>
      </c>
      <c r="BY713" s="58">
        <f t="shared" si="491"/>
        <v>760373.41508789349</v>
      </c>
      <c r="BZ713" s="58">
        <f t="shared" si="495"/>
        <v>760373.41508789349</v>
      </c>
      <c r="CA713" s="58">
        <f t="shared" si="491"/>
        <v>760373.41508789349</v>
      </c>
      <c r="CB713" s="58">
        <f t="shared" si="497"/>
        <v>3041493.660351574</v>
      </c>
      <c r="CC713" s="58">
        <f t="shared" si="498"/>
        <v>760373.41508789349</v>
      </c>
      <c r="CD713" s="58">
        <f t="shared" si="499"/>
        <v>760373.41508789349</v>
      </c>
      <c r="CE713" s="58">
        <f t="shared" si="499"/>
        <v>760373.41508789349</v>
      </c>
      <c r="CF713" s="58">
        <f t="shared" si="499"/>
        <v>760373.41508789349</v>
      </c>
      <c r="CG713" s="58">
        <f t="shared" si="500"/>
        <v>3041493.660351574</v>
      </c>
      <c r="CH713" s="58">
        <f t="shared" si="479"/>
        <v>760373.41508789349</v>
      </c>
      <c r="CI713" s="58">
        <f t="shared" si="489"/>
        <v>760373.41508789349</v>
      </c>
      <c r="CJ713" s="58">
        <f t="shared" si="489"/>
        <v>760373.41508789349</v>
      </c>
      <c r="CK713" s="58">
        <f t="shared" si="489"/>
        <v>760373.41508789349</v>
      </c>
      <c r="CL713" s="58">
        <f t="shared" si="484"/>
        <v>3041493.660351574</v>
      </c>
      <c r="CN713" s="59">
        <f t="shared" si="492"/>
        <v>7.7883896203869481E-4</v>
      </c>
      <c r="CO713" s="64">
        <f t="shared" si="493"/>
        <v>16355618.202812592</v>
      </c>
      <c r="CP713" s="2">
        <f t="shared" si="501"/>
        <v>24331949.282812592</v>
      </c>
    </row>
    <row r="714" spans="1:94" ht="16.5" hidden="1" x14ac:dyDescent="0.3">
      <c r="A714" s="2">
        <v>709</v>
      </c>
      <c r="B714" s="47" t="s">
        <v>21</v>
      </c>
      <c r="C714" s="47"/>
      <c r="D714" s="30" t="s">
        <v>1725</v>
      </c>
      <c r="E714" s="30" t="s">
        <v>1042</v>
      </c>
      <c r="F714" s="30" t="s">
        <v>1043</v>
      </c>
      <c r="G714" s="30" t="s">
        <v>117</v>
      </c>
      <c r="H714" s="30"/>
      <c r="I714" s="30" t="s">
        <v>119</v>
      </c>
      <c r="J714" s="30" t="s">
        <v>1871</v>
      </c>
      <c r="K714" s="30" t="s">
        <v>1872</v>
      </c>
      <c r="L714" s="30" t="s">
        <v>1873</v>
      </c>
      <c r="M714" s="30">
        <v>1001460</v>
      </c>
      <c r="N714" s="30" t="s">
        <v>138</v>
      </c>
      <c r="O714" s="30" t="s">
        <v>2052</v>
      </c>
      <c r="P714" s="30" t="s">
        <v>2050</v>
      </c>
      <c r="Q714" s="30" t="s">
        <v>2050</v>
      </c>
      <c r="R714" s="30" t="s">
        <v>142</v>
      </c>
      <c r="S714" s="30" t="s">
        <v>2053</v>
      </c>
      <c r="T714" s="30" t="s">
        <v>2050</v>
      </c>
      <c r="U714" s="30" t="s">
        <v>588</v>
      </c>
      <c r="V714" s="30" t="s">
        <v>600</v>
      </c>
      <c r="W714" s="30" t="s">
        <v>167</v>
      </c>
      <c r="X714" s="89" t="s">
        <v>1757</v>
      </c>
      <c r="Y714" s="30" t="s">
        <v>576</v>
      </c>
      <c r="Z714" s="30" t="s">
        <v>576</v>
      </c>
      <c r="AA714" s="30" t="s">
        <v>148</v>
      </c>
      <c r="AB714" s="142" t="s">
        <v>1953</v>
      </c>
      <c r="AC714" s="30" t="s">
        <v>1954</v>
      </c>
      <c r="AD714" s="30"/>
      <c r="AE714" s="30"/>
      <c r="AF714" s="48" t="s">
        <v>151</v>
      </c>
      <c r="AG714" s="30" t="s">
        <v>152</v>
      </c>
      <c r="AH714" s="30" t="s">
        <v>1839</v>
      </c>
      <c r="AI714" s="30"/>
      <c r="AJ714" s="30"/>
      <c r="AK714" s="50">
        <v>39996</v>
      </c>
      <c r="AL714" s="51">
        <f t="shared" si="460"/>
        <v>16.342465753424658</v>
      </c>
      <c r="AM714" s="30">
        <v>8</v>
      </c>
      <c r="AN714" s="30"/>
      <c r="AO714" s="30" t="s">
        <v>1050</v>
      </c>
      <c r="AP714" s="30" t="s">
        <v>1051</v>
      </c>
      <c r="AQ714" s="30">
        <v>6.1347440000000004</v>
      </c>
      <c r="AR714" s="30">
        <v>960</v>
      </c>
      <c r="AS714" s="30">
        <v>840</v>
      </c>
      <c r="AT714" s="30">
        <v>1860</v>
      </c>
      <c r="AU714" s="54">
        <v>355264725</v>
      </c>
      <c r="AV714" s="54"/>
      <c r="AW714" s="54"/>
      <c r="AX714" s="54"/>
      <c r="AY714" s="54">
        <v>355263725</v>
      </c>
      <c r="AZ714" s="54">
        <v>0</v>
      </c>
      <c r="BA714" s="54">
        <v>1000</v>
      </c>
      <c r="BB714" s="55">
        <f>VLOOKUP(M714,[1]Sheet1!$E$6:$F$556,2,FALSE)</f>
        <v>1000</v>
      </c>
      <c r="BC714" s="74"/>
      <c r="BD714" s="74"/>
      <c r="BE714" s="30"/>
      <c r="BF714" s="30" t="s">
        <v>1745</v>
      </c>
      <c r="BG714" s="30" t="s">
        <v>1880</v>
      </c>
      <c r="BH714" s="30" t="s">
        <v>1054</v>
      </c>
      <c r="BI714" s="30" t="str">
        <f t="shared" si="496"/>
        <v>COF(Assy_FT)</v>
      </c>
      <c r="BJ714" s="47" t="s">
        <v>137</v>
      </c>
      <c r="BK714" s="56">
        <f t="shared" si="461"/>
        <v>7105294.5</v>
      </c>
      <c r="BL714" s="57">
        <f t="shared" si="473"/>
        <v>677338.61470682919</v>
      </c>
      <c r="BM714" s="57">
        <f t="shared" si="474"/>
        <v>225779.53823560974</v>
      </c>
      <c r="BU714" s="58">
        <f t="shared" si="494"/>
        <v>677338.61470682919</v>
      </c>
      <c r="BV714" s="58">
        <f t="shared" si="490"/>
        <v>677338.61470682919</v>
      </c>
      <c r="BW714" s="58">
        <f t="shared" si="483"/>
        <v>1354677.2294136584</v>
      </c>
      <c r="BX714" s="58">
        <f t="shared" si="476"/>
        <v>677338.61470682919</v>
      </c>
      <c r="BY714" s="58">
        <f t="shared" si="491"/>
        <v>677338.61470682919</v>
      </c>
      <c r="BZ714" s="58">
        <f t="shared" si="495"/>
        <v>677338.61470682919</v>
      </c>
      <c r="CA714" s="58">
        <f t="shared" si="491"/>
        <v>677338.61470682919</v>
      </c>
      <c r="CB714" s="58">
        <f t="shared" si="497"/>
        <v>2709354.4588273168</v>
      </c>
      <c r="CC714" s="58">
        <f t="shared" si="498"/>
        <v>677338.61470682919</v>
      </c>
      <c r="CD714" s="58">
        <f t="shared" si="499"/>
        <v>677338.61470682919</v>
      </c>
      <c r="CE714" s="58">
        <f t="shared" si="499"/>
        <v>677338.61470682919</v>
      </c>
      <c r="CF714" s="58">
        <f t="shared" si="499"/>
        <v>677338.61470682919</v>
      </c>
      <c r="CG714" s="58">
        <f t="shared" si="500"/>
        <v>2709354.4588273168</v>
      </c>
      <c r="CH714" s="58">
        <f t="shared" si="479"/>
        <v>677338.61470682919</v>
      </c>
      <c r="CI714" s="58">
        <f t="shared" si="489"/>
        <v>677338.61470682919</v>
      </c>
      <c r="CJ714" s="58">
        <f t="shared" si="489"/>
        <v>677338.61470682919</v>
      </c>
      <c r="CK714" s="58">
        <f t="shared" si="489"/>
        <v>677338.61470682919</v>
      </c>
      <c r="CL714" s="58">
        <f t="shared" si="484"/>
        <v>2709354.4588273168</v>
      </c>
      <c r="CN714" s="59">
        <f t="shared" si="492"/>
        <v>6.9378767479135871E-4</v>
      </c>
      <c r="CO714" s="64">
        <f t="shared" si="493"/>
        <v>14569541.170618532</v>
      </c>
      <c r="CP714" s="2">
        <f t="shared" si="501"/>
        <v>21674835.670618534</v>
      </c>
    </row>
    <row r="715" spans="1:94" ht="16.5" hidden="1" x14ac:dyDescent="0.3">
      <c r="A715" s="2">
        <v>710</v>
      </c>
      <c r="B715" s="47" t="s">
        <v>21</v>
      </c>
      <c r="C715" s="47"/>
      <c r="D715" s="30" t="s">
        <v>1725</v>
      </c>
      <c r="E715" s="30" t="s">
        <v>1042</v>
      </c>
      <c r="F715" s="30" t="s">
        <v>1043</v>
      </c>
      <c r="G715" s="30" t="s">
        <v>117</v>
      </c>
      <c r="H715" s="30"/>
      <c r="I715" s="30" t="s">
        <v>119</v>
      </c>
      <c r="J715" s="30" t="s">
        <v>1871</v>
      </c>
      <c r="K715" s="30" t="s">
        <v>1872</v>
      </c>
      <c r="L715" s="30" t="s">
        <v>1873</v>
      </c>
      <c r="M715" s="30">
        <v>1003904</v>
      </c>
      <c r="N715" s="30" t="s">
        <v>138</v>
      </c>
      <c r="O715" s="30" t="s">
        <v>2054</v>
      </c>
      <c r="P715" s="30" t="s">
        <v>1823</v>
      </c>
      <c r="Q715" s="30" t="s">
        <v>232</v>
      </c>
      <c r="R715" s="30" t="s">
        <v>142</v>
      </c>
      <c r="S715" s="30">
        <v>310632439</v>
      </c>
      <c r="T715" s="30" t="s">
        <v>1752</v>
      </c>
      <c r="U715" s="30" t="s">
        <v>588</v>
      </c>
      <c r="V715" s="30" t="s">
        <v>415</v>
      </c>
      <c r="W715" s="30" t="s">
        <v>2055</v>
      </c>
      <c r="X715" s="89" t="s">
        <v>1838</v>
      </c>
      <c r="Y715" s="125" t="s">
        <v>128</v>
      </c>
      <c r="Z715" s="125" t="s">
        <v>128</v>
      </c>
      <c r="AA715" s="20" t="s">
        <v>148</v>
      </c>
      <c r="AB715" s="142" t="s">
        <v>1953</v>
      </c>
      <c r="AC715" s="30" t="s">
        <v>1954</v>
      </c>
      <c r="AD715" s="30"/>
      <c r="AE715" s="30"/>
      <c r="AF715" s="48" t="s">
        <v>151</v>
      </c>
      <c r="AG715" s="48" t="s">
        <v>152</v>
      </c>
      <c r="AH715" s="48" t="s">
        <v>153</v>
      </c>
      <c r="AI715" s="30"/>
      <c r="AJ715" s="30"/>
      <c r="AK715" s="50">
        <v>41436</v>
      </c>
      <c r="AL715" s="51">
        <f t="shared" si="460"/>
        <v>12.397260273972602</v>
      </c>
      <c r="AM715" s="30">
        <v>8</v>
      </c>
      <c r="AN715" s="30"/>
      <c r="AO715" s="30" t="s">
        <v>1050</v>
      </c>
      <c r="AP715" s="30" t="s">
        <v>1051</v>
      </c>
      <c r="AQ715" s="30">
        <v>9.83</v>
      </c>
      <c r="AR715" s="30">
        <v>1250</v>
      </c>
      <c r="AS715" s="30">
        <v>950</v>
      </c>
      <c r="AT715" s="30">
        <v>1800</v>
      </c>
      <c r="AU715" s="54">
        <v>676997473</v>
      </c>
      <c r="AV715" s="54"/>
      <c r="AW715" s="54"/>
      <c r="AX715" s="54"/>
      <c r="AY715" s="54">
        <v>676996473</v>
      </c>
      <c r="AZ715" s="54">
        <v>0</v>
      </c>
      <c r="BA715" s="54">
        <v>1000</v>
      </c>
      <c r="BB715" s="55">
        <f>VLOOKUP(M715,[1]Sheet1!$E$6:$F$556,2,FALSE)</f>
        <v>1000</v>
      </c>
      <c r="BC715" s="74"/>
      <c r="BD715" s="74"/>
      <c r="BE715" s="30"/>
      <c r="BF715" s="30" t="s">
        <v>1745</v>
      </c>
      <c r="BG715" s="30" t="s">
        <v>1880</v>
      </c>
      <c r="BH715" s="30" t="s">
        <v>1054</v>
      </c>
      <c r="BI715" s="30" t="str">
        <f t="shared" si="496"/>
        <v>COF(Assy_FT)</v>
      </c>
      <c r="BJ715" s="47" t="s">
        <v>137</v>
      </c>
      <c r="BK715" s="67">
        <f t="shared" si="461"/>
        <v>13539949.460000001</v>
      </c>
      <c r="BL715" s="68">
        <f t="shared" si="473"/>
        <v>1290746.0219188496</v>
      </c>
      <c r="BM715" s="68">
        <f t="shared" si="474"/>
        <v>430248.67397294985</v>
      </c>
      <c r="BP715" s="69">
        <f t="shared" ref="BP715:BP725" si="502">BM715*3</f>
        <v>1290746.0219188496</v>
      </c>
      <c r="BQ715" s="69">
        <f t="shared" ref="BQ715:BQ725" si="503">BP715</f>
        <v>1290746.0219188496</v>
      </c>
      <c r="BR715" s="69">
        <f t="shared" ref="BR715:BR725" si="504">SUM(BN715:BQ715)</f>
        <v>2581492.0438376991</v>
      </c>
      <c r="BS715" s="69">
        <f t="shared" ref="BS715:BS725" si="505">BQ715</f>
        <v>1290746.0219188496</v>
      </c>
      <c r="BT715" s="69">
        <f t="shared" ref="BT715:BV730" si="506">BS715</f>
        <v>1290746.0219188496</v>
      </c>
      <c r="BU715" s="100">
        <f t="shared" si="506"/>
        <v>1290746.0219188496</v>
      </c>
      <c r="BV715" s="100">
        <f t="shared" si="490"/>
        <v>1290746.0219188496</v>
      </c>
      <c r="BW715" s="100">
        <f t="shared" si="483"/>
        <v>5162984.0876753982</v>
      </c>
      <c r="BX715" s="101">
        <f t="shared" si="476"/>
        <v>1290746.0219188496</v>
      </c>
      <c r="BY715" s="101">
        <f t="shared" si="491"/>
        <v>1290746.0219188496</v>
      </c>
      <c r="BZ715" s="18">
        <f t="shared" si="491"/>
        <v>1290746.0219188496</v>
      </c>
      <c r="CA715" s="18">
        <f t="shared" si="491"/>
        <v>1290746.0219188496</v>
      </c>
      <c r="CB715" s="70">
        <f t="shared" si="497"/>
        <v>5162984.0876753982</v>
      </c>
      <c r="CC715" s="18">
        <f t="shared" si="498"/>
        <v>1290746.0219188496</v>
      </c>
      <c r="CD715" s="18">
        <f t="shared" si="499"/>
        <v>1290746.0219188496</v>
      </c>
      <c r="CE715" s="18">
        <f t="shared" si="499"/>
        <v>1290746.0219188496</v>
      </c>
      <c r="CF715" s="18">
        <f t="shared" si="499"/>
        <v>1290746.0219188496</v>
      </c>
      <c r="CG715" s="70">
        <f t="shared" si="500"/>
        <v>5162984.0876753982</v>
      </c>
      <c r="CH715" s="18">
        <f t="shared" si="479"/>
        <v>1290746.0219188496</v>
      </c>
      <c r="CI715" s="18">
        <f t="shared" si="489"/>
        <v>1290746.0219188496</v>
      </c>
      <c r="CJ715" s="18">
        <f t="shared" si="489"/>
        <v>1290746.0219188496</v>
      </c>
      <c r="CK715" s="18">
        <f t="shared" si="489"/>
        <v>1290746.0219188496</v>
      </c>
      <c r="CL715" s="70">
        <f t="shared" si="484"/>
        <v>5162984.0876753982</v>
      </c>
      <c r="CM715" s="71"/>
      <c r="CN715" s="59">
        <f t="shared" si="492"/>
        <v>1.3220915829239611E-3</v>
      </c>
      <c r="CO715" s="64">
        <f t="shared" si="493"/>
        <v>27763923.241403185</v>
      </c>
      <c r="CP715" s="2">
        <f t="shared" si="501"/>
        <v>41303872.701403186</v>
      </c>
    </row>
    <row r="716" spans="1:94" ht="16.5" hidden="1" x14ac:dyDescent="0.3">
      <c r="A716" s="2">
        <v>711</v>
      </c>
      <c r="B716" s="47" t="s">
        <v>21</v>
      </c>
      <c r="C716" s="47"/>
      <c r="D716" s="30" t="s">
        <v>1725</v>
      </c>
      <c r="E716" s="30" t="s">
        <v>1042</v>
      </c>
      <c r="F716" s="30" t="s">
        <v>1043</v>
      </c>
      <c r="G716" s="30" t="s">
        <v>117</v>
      </c>
      <c r="H716" s="30"/>
      <c r="I716" s="30" t="s">
        <v>119</v>
      </c>
      <c r="J716" s="30" t="s">
        <v>1871</v>
      </c>
      <c r="K716" s="30" t="s">
        <v>1872</v>
      </c>
      <c r="L716" s="30" t="s">
        <v>1873</v>
      </c>
      <c r="M716" s="30">
        <v>1004333</v>
      </c>
      <c r="N716" s="30" t="s">
        <v>138</v>
      </c>
      <c r="O716" s="30" t="s">
        <v>2056</v>
      </c>
      <c r="P716" s="30" t="s">
        <v>1823</v>
      </c>
      <c r="Q716" s="30" t="s">
        <v>232</v>
      </c>
      <c r="R716" s="30" t="s">
        <v>142</v>
      </c>
      <c r="S716" s="30">
        <v>310669848</v>
      </c>
      <c r="T716" s="30" t="s">
        <v>1752</v>
      </c>
      <c r="U716" s="30" t="s">
        <v>588</v>
      </c>
      <c r="V716" s="30" t="s">
        <v>415</v>
      </c>
      <c r="W716" s="30" t="s">
        <v>146</v>
      </c>
      <c r="X716" s="89" t="s">
        <v>1838</v>
      </c>
      <c r="Y716" s="125" t="s">
        <v>128</v>
      </c>
      <c r="Z716" s="125" t="s">
        <v>128</v>
      </c>
      <c r="AA716" s="20" t="s">
        <v>148</v>
      </c>
      <c r="AB716" s="142" t="s">
        <v>1953</v>
      </c>
      <c r="AC716" s="30" t="s">
        <v>1954</v>
      </c>
      <c r="AD716" s="30"/>
      <c r="AE716" s="30"/>
      <c r="AF716" s="48" t="s">
        <v>151</v>
      </c>
      <c r="AG716" s="48" t="s">
        <v>152</v>
      </c>
      <c r="AH716" s="48" t="s">
        <v>153</v>
      </c>
      <c r="AI716" s="30"/>
      <c r="AJ716" s="30"/>
      <c r="AK716" s="50">
        <v>41782</v>
      </c>
      <c r="AL716" s="51">
        <f t="shared" si="460"/>
        <v>11.449315068493151</v>
      </c>
      <c r="AM716" s="30">
        <v>8</v>
      </c>
      <c r="AN716" s="30"/>
      <c r="AO716" s="30" t="s">
        <v>1050</v>
      </c>
      <c r="AP716" s="30" t="s">
        <v>1051</v>
      </c>
      <c r="AQ716" s="30">
        <v>9.83</v>
      </c>
      <c r="AR716" s="30">
        <v>1250</v>
      </c>
      <c r="AS716" s="30">
        <v>950</v>
      </c>
      <c r="AT716" s="30">
        <v>1800</v>
      </c>
      <c r="AU716" s="54">
        <v>573701930</v>
      </c>
      <c r="AV716" s="54"/>
      <c r="AW716" s="54"/>
      <c r="AX716" s="54"/>
      <c r="AY716" s="54">
        <v>573700930</v>
      </c>
      <c r="AZ716" s="54">
        <v>477083</v>
      </c>
      <c r="BA716" s="54">
        <v>1000</v>
      </c>
      <c r="BB716" s="55">
        <f>VLOOKUP(M716,[1]Sheet1!$E$6:$F$556,2,FALSE)</f>
        <v>1000</v>
      </c>
      <c r="BC716" s="74"/>
      <c r="BD716" s="74"/>
      <c r="BE716" s="30"/>
      <c r="BF716" s="30" t="s">
        <v>1745</v>
      </c>
      <c r="BG716" s="30" t="s">
        <v>1880</v>
      </c>
      <c r="BH716" s="30" t="s">
        <v>1054</v>
      </c>
      <c r="BI716" s="30" t="str">
        <f t="shared" si="496"/>
        <v>COF(Assy_FT)</v>
      </c>
      <c r="BJ716" s="47" t="s">
        <v>137</v>
      </c>
      <c r="BK716" s="67">
        <f t="shared" si="461"/>
        <v>11474038.6</v>
      </c>
      <c r="BL716" s="68">
        <f t="shared" si="473"/>
        <v>1093805.3884208016</v>
      </c>
      <c r="BM716" s="68">
        <f t="shared" si="474"/>
        <v>364601.79614026722</v>
      </c>
      <c r="BP716" s="69">
        <f t="shared" si="502"/>
        <v>1093805.3884208016</v>
      </c>
      <c r="BQ716" s="69">
        <f t="shared" si="503"/>
        <v>1093805.3884208016</v>
      </c>
      <c r="BR716" s="69">
        <f t="shared" si="504"/>
        <v>2187610.7768416032</v>
      </c>
      <c r="BS716" s="69">
        <f t="shared" si="505"/>
        <v>1093805.3884208016</v>
      </c>
      <c r="BT716" s="69">
        <f t="shared" si="506"/>
        <v>1093805.3884208016</v>
      </c>
      <c r="BU716" s="100">
        <f t="shared" si="506"/>
        <v>1093805.3884208016</v>
      </c>
      <c r="BV716" s="100">
        <f t="shared" si="490"/>
        <v>1093805.3884208016</v>
      </c>
      <c r="BW716" s="100">
        <f t="shared" si="483"/>
        <v>4375221.5536832064</v>
      </c>
      <c r="BX716" s="101">
        <f t="shared" si="476"/>
        <v>1093805.3884208016</v>
      </c>
      <c r="BY716" s="101">
        <f t="shared" si="491"/>
        <v>1093805.3884208016</v>
      </c>
      <c r="BZ716" s="18">
        <f t="shared" si="491"/>
        <v>1093805.3884208016</v>
      </c>
      <c r="CA716" s="18">
        <f t="shared" si="491"/>
        <v>1093805.3884208016</v>
      </c>
      <c r="CB716" s="70">
        <f t="shared" si="497"/>
        <v>4375221.5536832064</v>
      </c>
      <c r="CC716" s="18">
        <f t="shared" si="498"/>
        <v>1093805.3884208016</v>
      </c>
      <c r="CD716" s="18">
        <f t="shared" si="499"/>
        <v>1093805.3884208016</v>
      </c>
      <c r="CE716" s="18">
        <f t="shared" si="499"/>
        <v>1093805.3884208016</v>
      </c>
      <c r="CF716" s="18">
        <f t="shared" si="499"/>
        <v>1093805.3884208016</v>
      </c>
      <c r="CG716" s="70">
        <f t="shared" si="500"/>
        <v>4375221.5536832064</v>
      </c>
      <c r="CH716" s="18">
        <f t="shared" si="479"/>
        <v>1093805.3884208016</v>
      </c>
      <c r="CI716" s="18">
        <f t="shared" si="489"/>
        <v>1093805.3884208016</v>
      </c>
      <c r="CJ716" s="18">
        <f t="shared" si="489"/>
        <v>1093805.3884208016</v>
      </c>
      <c r="CK716" s="18">
        <f t="shared" si="489"/>
        <v>1093805.3884208016</v>
      </c>
      <c r="CL716" s="70">
        <f t="shared" si="484"/>
        <v>4375221.5536832064</v>
      </c>
      <c r="CM716" s="71"/>
      <c r="CN716" s="59">
        <f t="shared" si="492"/>
        <v>1.1203682775936025E-3</v>
      </c>
      <c r="CO716" s="64">
        <f t="shared" si="493"/>
        <v>23527733.82946565</v>
      </c>
      <c r="CP716" s="2">
        <f t="shared" si="501"/>
        <v>35001772.429465652</v>
      </c>
    </row>
    <row r="717" spans="1:94" ht="16.5" hidden="1" x14ac:dyDescent="0.3">
      <c r="A717" s="2">
        <v>712</v>
      </c>
      <c r="B717" s="47" t="s">
        <v>21</v>
      </c>
      <c r="C717" s="47"/>
      <c r="D717" s="30" t="s">
        <v>1725</v>
      </c>
      <c r="E717" s="30" t="s">
        <v>1042</v>
      </c>
      <c r="F717" s="30" t="s">
        <v>1043</v>
      </c>
      <c r="G717" s="30" t="s">
        <v>117</v>
      </c>
      <c r="H717" s="30"/>
      <c r="I717" s="30" t="s">
        <v>119</v>
      </c>
      <c r="J717" s="30" t="s">
        <v>1871</v>
      </c>
      <c r="K717" s="30" t="s">
        <v>1872</v>
      </c>
      <c r="L717" s="30" t="s">
        <v>1873</v>
      </c>
      <c r="M717" s="30">
        <v>1003964</v>
      </c>
      <c r="N717" s="30" t="s">
        <v>138</v>
      </c>
      <c r="O717" s="30" t="s">
        <v>2057</v>
      </c>
      <c r="P717" s="30" t="s">
        <v>1823</v>
      </c>
      <c r="Q717" s="30" t="s">
        <v>232</v>
      </c>
      <c r="R717" s="30" t="s">
        <v>142</v>
      </c>
      <c r="S717" s="30">
        <v>310646161</v>
      </c>
      <c r="T717" s="30" t="s">
        <v>1752</v>
      </c>
      <c r="U717" s="30" t="s">
        <v>588</v>
      </c>
      <c r="V717" s="30" t="s">
        <v>600</v>
      </c>
      <c r="W717" s="30" t="s">
        <v>146</v>
      </c>
      <c r="X717" s="89" t="s">
        <v>1838</v>
      </c>
      <c r="Y717" s="125" t="s">
        <v>128</v>
      </c>
      <c r="Z717" s="125" t="s">
        <v>128</v>
      </c>
      <c r="AA717" s="20" t="s">
        <v>148</v>
      </c>
      <c r="AB717" s="142" t="s">
        <v>1953</v>
      </c>
      <c r="AC717" s="30" t="s">
        <v>1954</v>
      </c>
      <c r="AD717" s="30"/>
      <c r="AE717" s="30"/>
      <c r="AF717" s="48" t="s">
        <v>151</v>
      </c>
      <c r="AG717" s="48" t="s">
        <v>152</v>
      </c>
      <c r="AH717" s="48" t="s">
        <v>153</v>
      </c>
      <c r="AI717" s="30"/>
      <c r="AJ717" s="30"/>
      <c r="AK717" s="50">
        <v>41498</v>
      </c>
      <c r="AL717" s="51">
        <f t="shared" si="460"/>
        <v>12.227397260273973</v>
      </c>
      <c r="AM717" s="30">
        <v>8</v>
      </c>
      <c r="AN717" s="30"/>
      <c r="AO717" s="30" t="s">
        <v>1050</v>
      </c>
      <c r="AP717" s="30" t="s">
        <v>1051</v>
      </c>
      <c r="AQ717" s="30">
        <v>9.83</v>
      </c>
      <c r="AR717" s="30">
        <v>1250</v>
      </c>
      <c r="AS717" s="30">
        <v>950</v>
      </c>
      <c r="AT717" s="30">
        <v>1800</v>
      </c>
      <c r="AU717" s="54">
        <v>683670710</v>
      </c>
      <c r="AV717" s="54"/>
      <c r="AW717" s="54"/>
      <c r="AX717" s="54"/>
      <c r="AY717" s="54">
        <v>683669710</v>
      </c>
      <c r="AZ717" s="54">
        <v>0</v>
      </c>
      <c r="BA717" s="54">
        <v>1000</v>
      </c>
      <c r="BB717" s="55">
        <f>VLOOKUP(M717,[1]Sheet1!$E$6:$F$556,2,FALSE)</f>
        <v>1000</v>
      </c>
      <c r="BC717" s="74"/>
      <c r="BD717" s="74"/>
      <c r="BE717" s="30"/>
      <c r="BF717" s="30" t="s">
        <v>1745</v>
      </c>
      <c r="BG717" s="30" t="s">
        <v>1880</v>
      </c>
      <c r="BH717" s="30" t="s">
        <v>1054</v>
      </c>
      <c r="BI717" s="30" t="str">
        <f t="shared" si="496"/>
        <v>COF(Assy_FT)</v>
      </c>
      <c r="BJ717" s="47" t="s">
        <v>137</v>
      </c>
      <c r="BK717" s="67">
        <f t="shared" si="461"/>
        <v>13673414.200000001</v>
      </c>
      <c r="BL717" s="68">
        <f t="shared" si="473"/>
        <v>1303469.0444626452</v>
      </c>
      <c r="BM717" s="68">
        <f t="shared" si="474"/>
        <v>434489.6814875484</v>
      </c>
      <c r="BP717" s="69">
        <f t="shared" si="502"/>
        <v>1303469.0444626452</v>
      </c>
      <c r="BQ717" s="69">
        <f t="shared" si="503"/>
        <v>1303469.0444626452</v>
      </c>
      <c r="BR717" s="69">
        <f t="shared" si="504"/>
        <v>2606938.0889252904</v>
      </c>
      <c r="BS717" s="69">
        <f t="shared" si="505"/>
        <v>1303469.0444626452</v>
      </c>
      <c r="BT717" s="69">
        <f t="shared" si="506"/>
        <v>1303469.0444626452</v>
      </c>
      <c r="BU717" s="100">
        <f t="shared" si="506"/>
        <v>1303469.0444626452</v>
      </c>
      <c r="BV717" s="100">
        <f t="shared" si="490"/>
        <v>1303469.0444626452</v>
      </c>
      <c r="BW717" s="100">
        <f t="shared" si="483"/>
        <v>5213876.1778505808</v>
      </c>
      <c r="BX717" s="101">
        <f t="shared" si="476"/>
        <v>1303469.0444626452</v>
      </c>
      <c r="BY717" s="101">
        <f t="shared" si="491"/>
        <v>1303469.0444626452</v>
      </c>
      <c r="BZ717" s="18">
        <f t="shared" si="491"/>
        <v>1303469.0444626452</v>
      </c>
      <c r="CA717" s="18">
        <f t="shared" si="491"/>
        <v>1303469.0444626452</v>
      </c>
      <c r="CB717" s="70">
        <f t="shared" si="497"/>
        <v>5213876.1778505808</v>
      </c>
      <c r="CC717" s="18">
        <f t="shared" si="498"/>
        <v>1303469.0444626452</v>
      </c>
      <c r="CD717" s="18">
        <f t="shared" si="499"/>
        <v>1303469.0444626452</v>
      </c>
      <c r="CE717" s="18">
        <f t="shared" si="499"/>
        <v>1303469.0444626452</v>
      </c>
      <c r="CF717" s="18">
        <f t="shared" si="499"/>
        <v>1303469.0444626452</v>
      </c>
      <c r="CG717" s="70">
        <f t="shared" si="500"/>
        <v>5213876.1778505808</v>
      </c>
      <c r="CH717" s="18">
        <f t="shared" si="479"/>
        <v>1303469.0444626452</v>
      </c>
      <c r="CI717" s="18">
        <f t="shared" si="489"/>
        <v>1303469.0444626452</v>
      </c>
      <c r="CJ717" s="18">
        <f t="shared" si="489"/>
        <v>1303469.0444626452</v>
      </c>
      <c r="CK717" s="18">
        <f t="shared" si="489"/>
        <v>1303469.0444626452</v>
      </c>
      <c r="CL717" s="70">
        <f t="shared" si="484"/>
        <v>5213876.1778505808</v>
      </c>
      <c r="CM717" s="71"/>
      <c r="CN717" s="59">
        <f t="shared" si="492"/>
        <v>1.3351235820383163E-3</v>
      </c>
      <c r="CO717" s="64">
        <f t="shared" si="493"/>
        <v>28037595.222804643</v>
      </c>
      <c r="CP717" s="2">
        <f t="shared" si="501"/>
        <v>41711009.422804646</v>
      </c>
    </row>
    <row r="718" spans="1:94" ht="16.5" hidden="1" x14ac:dyDescent="0.3">
      <c r="A718" s="2">
        <v>713</v>
      </c>
      <c r="B718" s="47" t="s">
        <v>21</v>
      </c>
      <c r="C718" s="47"/>
      <c r="D718" s="30" t="s">
        <v>1725</v>
      </c>
      <c r="E718" s="30" t="s">
        <v>1042</v>
      </c>
      <c r="F718" s="30" t="s">
        <v>1043</v>
      </c>
      <c r="G718" s="30" t="s">
        <v>117</v>
      </c>
      <c r="H718" s="30"/>
      <c r="I718" s="30" t="s">
        <v>119</v>
      </c>
      <c r="J718" s="30" t="s">
        <v>1871</v>
      </c>
      <c r="K718" s="30" t="s">
        <v>1872</v>
      </c>
      <c r="L718" s="30" t="s">
        <v>1873</v>
      </c>
      <c r="M718" s="30">
        <v>1003903</v>
      </c>
      <c r="N718" s="30" t="s">
        <v>138</v>
      </c>
      <c r="O718" s="30" t="s">
        <v>2058</v>
      </c>
      <c r="P718" s="30" t="s">
        <v>1823</v>
      </c>
      <c r="Q718" s="30" t="s">
        <v>232</v>
      </c>
      <c r="R718" s="30" t="s">
        <v>142</v>
      </c>
      <c r="S718" s="30">
        <v>310632438</v>
      </c>
      <c r="T718" s="30" t="s">
        <v>1752</v>
      </c>
      <c r="U718" s="30" t="s">
        <v>588</v>
      </c>
      <c r="V718" s="30" t="s">
        <v>415</v>
      </c>
      <c r="W718" s="30" t="s">
        <v>2055</v>
      </c>
      <c r="X718" s="89" t="s">
        <v>1838</v>
      </c>
      <c r="Y718" s="125" t="s">
        <v>128</v>
      </c>
      <c r="Z718" s="125" t="s">
        <v>128</v>
      </c>
      <c r="AA718" s="20" t="s">
        <v>148</v>
      </c>
      <c r="AB718" s="142" t="s">
        <v>1953</v>
      </c>
      <c r="AC718" s="30" t="s">
        <v>1954</v>
      </c>
      <c r="AD718" s="30"/>
      <c r="AE718" s="30"/>
      <c r="AF718" s="48" t="s">
        <v>151</v>
      </c>
      <c r="AG718" s="48" t="s">
        <v>152</v>
      </c>
      <c r="AH718" s="48" t="s">
        <v>153</v>
      </c>
      <c r="AI718" s="30"/>
      <c r="AJ718" s="30"/>
      <c r="AK718" s="50">
        <v>41436</v>
      </c>
      <c r="AL718" s="51">
        <f t="shared" si="460"/>
        <v>12.397260273972602</v>
      </c>
      <c r="AM718" s="30">
        <v>8</v>
      </c>
      <c r="AN718" s="30"/>
      <c r="AO718" s="30" t="s">
        <v>1050</v>
      </c>
      <c r="AP718" s="30" t="s">
        <v>1051</v>
      </c>
      <c r="AQ718" s="30">
        <v>9.83</v>
      </c>
      <c r="AR718" s="30">
        <v>1250</v>
      </c>
      <c r="AS718" s="30">
        <v>950</v>
      </c>
      <c r="AT718" s="30">
        <v>1800</v>
      </c>
      <c r="AU718" s="54">
        <v>676997470</v>
      </c>
      <c r="AV718" s="54"/>
      <c r="AW718" s="54"/>
      <c r="AX718" s="54"/>
      <c r="AY718" s="54">
        <v>676996470</v>
      </c>
      <c r="AZ718" s="54">
        <v>0</v>
      </c>
      <c r="BA718" s="54">
        <v>1000</v>
      </c>
      <c r="BB718" s="55">
        <f>VLOOKUP(M718,[1]Sheet1!$E$6:$F$556,2,FALSE)</f>
        <v>1000</v>
      </c>
      <c r="BC718" s="74"/>
      <c r="BD718" s="74"/>
      <c r="BE718" s="30"/>
      <c r="BF718" s="30" t="s">
        <v>1745</v>
      </c>
      <c r="BG718" s="30" t="s">
        <v>1880</v>
      </c>
      <c r="BH718" s="30" t="s">
        <v>1054</v>
      </c>
      <c r="BI718" s="30" t="str">
        <f t="shared" si="496"/>
        <v>COF(Assy_FT)</v>
      </c>
      <c r="BJ718" s="47" t="s">
        <v>137</v>
      </c>
      <c r="BK718" s="67">
        <f t="shared" si="461"/>
        <v>13539949.4</v>
      </c>
      <c r="BL718" s="68">
        <f t="shared" si="473"/>
        <v>1290746.0161991264</v>
      </c>
      <c r="BM718" s="68">
        <f t="shared" si="474"/>
        <v>430248.67206637544</v>
      </c>
      <c r="BP718" s="69">
        <f t="shared" si="502"/>
        <v>1290746.0161991264</v>
      </c>
      <c r="BQ718" s="69">
        <f t="shared" si="503"/>
        <v>1290746.0161991264</v>
      </c>
      <c r="BR718" s="69">
        <f t="shared" si="504"/>
        <v>2581492.0323982527</v>
      </c>
      <c r="BS718" s="69">
        <f t="shared" si="505"/>
        <v>1290746.0161991264</v>
      </c>
      <c r="BT718" s="69">
        <f t="shared" si="506"/>
        <v>1290746.0161991264</v>
      </c>
      <c r="BU718" s="100">
        <f t="shared" si="506"/>
        <v>1290746.0161991264</v>
      </c>
      <c r="BV718" s="100">
        <f t="shared" si="490"/>
        <v>1290746.0161991264</v>
      </c>
      <c r="BW718" s="100">
        <f t="shared" si="483"/>
        <v>5162984.0647965055</v>
      </c>
      <c r="BX718" s="101">
        <f t="shared" si="476"/>
        <v>1290746.0161991264</v>
      </c>
      <c r="BY718" s="101">
        <f t="shared" si="491"/>
        <v>1290746.0161991264</v>
      </c>
      <c r="BZ718" s="18">
        <f t="shared" si="491"/>
        <v>1290746.0161991264</v>
      </c>
      <c r="CA718" s="18">
        <f t="shared" si="491"/>
        <v>1290746.0161991264</v>
      </c>
      <c r="CB718" s="70">
        <f t="shared" si="497"/>
        <v>5162984.0647965055</v>
      </c>
      <c r="CC718" s="18">
        <f t="shared" si="498"/>
        <v>1290746.0161991264</v>
      </c>
      <c r="CD718" s="18">
        <f t="shared" si="499"/>
        <v>1290746.0161991264</v>
      </c>
      <c r="CE718" s="18">
        <f t="shared" si="499"/>
        <v>1290746.0161991264</v>
      </c>
      <c r="CF718" s="18">
        <f t="shared" si="499"/>
        <v>1290746.0161991264</v>
      </c>
      <c r="CG718" s="70">
        <f t="shared" si="500"/>
        <v>5162984.0647965055</v>
      </c>
      <c r="CH718" s="18">
        <f t="shared" si="479"/>
        <v>1290746.0161991264</v>
      </c>
      <c r="CI718" s="18">
        <f t="shared" si="489"/>
        <v>1290746.0161991264</v>
      </c>
      <c r="CJ718" s="18">
        <f t="shared" si="489"/>
        <v>1290746.0161991264</v>
      </c>
      <c r="CK718" s="18">
        <f t="shared" si="489"/>
        <v>1290746.0161991264</v>
      </c>
      <c r="CL718" s="70">
        <f t="shared" si="484"/>
        <v>5162984.0647965055</v>
      </c>
      <c r="CM718" s="71"/>
      <c r="CN718" s="59">
        <f t="shared" si="492"/>
        <v>1.3220915770653353E-3</v>
      </c>
      <c r="CO718" s="64">
        <f t="shared" si="493"/>
        <v>27763923.118372042</v>
      </c>
      <c r="CP718" s="2">
        <f t="shared" si="501"/>
        <v>41303872.518372044</v>
      </c>
    </row>
    <row r="719" spans="1:94" ht="16.5" hidden="1" x14ac:dyDescent="0.3">
      <c r="A719" s="2">
        <v>714</v>
      </c>
      <c r="B719" s="47" t="s">
        <v>21</v>
      </c>
      <c r="C719" s="47"/>
      <c r="D719" s="30" t="s">
        <v>1725</v>
      </c>
      <c r="E719" s="30" t="s">
        <v>1042</v>
      </c>
      <c r="F719" s="30" t="s">
        <v>1043</v>
      </c>
      <c r="G719" s="30" t="s">
        <v>117</v>
      </c>
      <c r="H719" s="30"/>
      <c r="I719" s="30" t="s">
        <v>119</v>
      </c>
      <c r="J719" s="30" t="s">
        <v>1871</v>
      </c>
      <c r="K719" s="30" t="s">
        <v>1872</v>
      </c>
      <c r="L719" s="30" t="s">
        <v>1873</v>
      </c>
      <c r="M719" s="30">
        <v>1002024</v>
      </c>
      <c r="N719" s="30" t="s">
        <v>138</v>
      </c>
      <c r="O719" s="30" t="s">
        <v>2059</v>
      </c>
      <c r="P719" s="30" t="s">
        <v>1823</v>
      </c>
      <c r="Q719" s="30" t="s">
        <v>232</v>
      </c>
      <c r="R719" s="30" t="s">
        <v>142</v>
      </c>
      <c r="S719" s="30">
        <v>310458735</v>
      </c>
      <c r="T719" s="30" t="s">
        <v>1752</v>
      </c>
      <c r="U719" s="30" t="s">
        <v>588</v>
      </c>
      <c r="V719" s="30" t="s">
        <v>415</v>
      </c>
      <c r="W719" s="30" t="s">
        <v>146</v>
      </c>
      <c r="X719" s="89" t="s">
        <v>1838</v>
      </c>
      <c r="Y719" s="125" t="s">
        <v>128</v>
      </c>
      <c r="Z719" s="125" t="s">
        <v>128</v>
      </c>
      <c r="AA719" s="20" t="s">
        <v>148</v>
      </c>
      <c r="AB719" s="142" t="s">
        <v>1953</v>
      </c>
      <c r="AC719" s="30" t="s">
        <v>1954</v>
      </c>
      <c r="AD719" s="30"/>
      <c r="AE719" s="30"/>
      <c r="AF719" s="48" t="s">
        <v>151</v>
      </c>
      <c r="AG719" s="48" t="s">
        <v>152</v>
      </c>
      <c r="AH719" s="48" t="s">
        <v>153</v>
      </c>
      <c r="AI719" s="30"/>
      <c r="AJ719" s="30"/>
      <c r="AK719" s="50">
        <v>40246</v>
      </c>
      <c r="AL719" s="51">
        <f t="shared" si="460"/>
        <v>15.657534246575343</v>
      </c>
      <c r="AM719" s="30">
        <v>8</v>
      </c>
      <c r="AN719" s="30"/>
      <c r="AO719" s="30" t="s">
        <v>1050</v>
      </c>
      <c r="AP719" s="30" t="s">
        <v>1051</v>
      </c>
      <c r="AQ719" s="30">
        <v>9.83</v>
      </c>
      <c r="AR719" s="30">
        <v>1250</v>
      </c>
      <c r="AS719" s="30">
        <v>950</v>
      </c>
      <c r="AT719" s="30">
        <v>1800</v>
      </c>
      <c r="AU719" s="54">
        <v>813986540</v>
      </c>
      <c r="AV719" s="54"/>
      <c r="AW719" s="54"/>
      <c r="AX719" s="54"/>
      <c r="AY719" s="54">
        <v>813985540</v>
      </c>
      <c r="AZ719" s="54">
        <v>0</v>
      </c>
      <c r="BA719" s="54">
        <v>1000</v>
      </c>
      <c r="BB719" s="55">
        <f>VLOOKUP(M719,[1]Sheet1!$E$6:$F$556,2,FALSE)</f>
        <v>1000</v>
      </c>
      <c r="BC719" s="74"/>
      <c r="BD719" s="74"/>
      <c r="BE719" s="30"/>
      <c r="BF719" s="30" t="s">
        <v>1745</v>
      </c>
      <c r="BG719" s="30" t="s">
        <v>1880</v>
      </c>
      <c r="BH719" s="30" t="s">
        <v>1054</v>
      </c>
      <c r="BI719" s="30" t="str">
        <f t="shared" si="496"/>
        <v>COF(Assy_FT)</v>
      </c>
      <c r="BJ719" s="47" t="s">
        <v>137</v>
      </c>
      <c r="BK719" s="67">
        <f t="shared" si="461"/>
        <v>16279730.800000001</v>
      </c>
      <c r="BL719" s="68">
        <f t="shared" si="473"/>
        <v>1551925.8642793908</v>
      </c>
      <c r="BM719" s="68">
        <f t="shared" si="474"/>
        <v>517308.62142646359</v>
      </c>
      <c r="BP719" s="69">
        <f t="shared" si="502"/>
        <v>1551925.8642793908</v>
      </c>
      <c r="BQ719" s="69">
        <f t="shared" si="503"/>
        <v>1551925.8642793908</v>
      </c>
      <c r="BR719" s="69">
        <f t="shared" si="504"/>
        <v>3103851.7285587816</v>
      </c>
      <c r="BS719" s="69">
        <f t="shared" si="505"/>
        <v>1551925.8642793908</v>
      </c>
      <c r="BT719" s="69">
        <f t="shared" si="506"/>
        <v>1551925.8642793908</v>
      </c>
      <c r="BU719" s="100">
        <f t="shared" si="506"/>
        <v>1551925.8642793908</v>
      </c>
      <c r="BV719" s="100">
        <f t="shared" si="490"/>
        <v>1551925.8642793908</v>
      </c>
      <c r="BW719" s="100">
        <f t="shared" si="483"/>
        <v>6207703.4571175631</v>
      </c>
      <c r="BX719" s="101">
        <f t="shared" si="476"/>
        <v>1551925.8642793908</v>
      </c>
      <c r="BY719" s="101">
        <f t="shared" si="491"/>
        <v>1551925.8642793908</v>
      </c>
      <c r="BZ719" s="18">
        <f t="shared" si="491"/>
        <v>1551925.8642793908</v>
      </c>
      <c r="CA719" s="18">
        <f t="shared" si="491"/>
        <v>1551925.8642793908</v>
      </c>
      <c r="CB719" s="70">
        <f t="shared" si="497"/>
        <v>6207703.4571175631</v>
      </c>
      <c r="CC719" s="18">
        <f t="shared" si="498"/>
        <v>1551925.8642793908</v>
      </c>
      <c r="CD719" s="18">
        <f t="shared" si="499"/>
        <v>1551925.8642793908</v>
      </c>
      <c r="CE719" s="18">
        <f t="shared" si="499"/>
        <v>1551925.8642793908</v>
      </c>
      <c r="CF719" s="18">
        <f t="shared" si="499"/>
        <v>1551925.8642793908</v>
      </c>
      <c r="CG719" s="70">
        <f t="shared" si="500"/>
        <v>6207703.4571175631</v>
      </c>
      <c r="CH719" s="18">
        <f t="shared" si="479"/>
        <v>1551925.8642793908</v>
      </c>
      <c r="CI719" s="18">
        <f t="shared" ref="CI719:CK738" si="507">CH719</f>
        <v>1551925.8642793908</v>
      </c>
      <c r="CJ719" s="18">
        <f t="shared" si="507"/>
        <v>1551925.8642793908</v>
      </c>
      <c r="CK719" s="18">
        <f t="shared" si="507"/>
        <v>1551925.8642793908</v>
      </c>
      <c r="CL719" s="70">
        <f t="shared" si="484"/>
        <v>6207703.4571175631</v>
      </c>
      <c r="CM719" s="71"/>
      <c r="CN719" s="59">
        <f t="shared" si="492"/>
        <v>1.5896141360447857E-3</v>
      </c>
      <c r="CO719" s="64">
        <f t="shared" si="493"/>
        <v>33381896.8569405</v>
      </c>
      <c r="CP719" s="2">
        <f t="shared" si="501"/>
        <v>49661627.656940505</v>
      </c>
    </row>
    <row r="720" spans="1:94" ht="16.5" hidden="1" x14ac:dyDescent="0.3">
      <c r="A720" s="2">
        <v>715</v>
      </c>
      <c r="B720" s="47" t="s">
        <v>21</v>
      </c>
      <c r="C720" s="47"/>
      <c r="D720" s="30" t="s">
        <v>1725</v>
      </c>
      <c r="E720" s="30" t="s">
        <v>1042</v>
      </c>
      <c r="F720" s="30" t="s">
        <v>1043</v>
      </c>
      <c r="G720" s="30" t="s">
        <v>117</v>
      </c>
      <c r="H720" s="30"/>
      <c r="I720" s="30" t="s">
        <v>119</v>
      </c>
      <c r="J720" s="30" t="s">
        <v>1871</v>
      </c>
      <c r="K720" s="30" t="s">
        <v>1872</v>
      </c>
      <c r="L720" s="30" t="s">
        <v>1873</v>
      </c>
      <c r="M720" s="30">
        <v>1001962</v>
      </c>
      <c r="N720" s="30" t="s">
        <v>138</v>
      </c>
      <c r="O720" s="30" t="s">
        <v>2060</v>
      </c>
      <c r="P720" s="30" t="s">
        <v>1823</v>
      </c>
      <c r="Q720" s="30" t="s">
        <v>232</v>
      </c>
      <c r="R720" s="30" t="s">
        <v>142</v>
      </c>
      <c r="S720" s="30">
        <v>310459634</v>
      </c>
      <c r="T720" s="30" t="s">
        <v>1752</v>
      </c>
      <c r="U720" s="30" t="s">
        <v>588</v>
      </c>
      <c r="V720" s="30" t="s">
        <v>415</v>
      </c>
      <c r="W720" s="30" t="s">
        <v>146</v>
      </c>
      <c r="X720" s="89" t="s">
        <v>1838</v>
      </c>
      <c r="Y720" s="125" t="s">
        <v>128</v>
      </c>
      <c r="Z720" s="125" t="s">
        <v>128</v>
      </c>
      <c r="AA720" s="20" t="s">
        <v>148</v>
      </c>
      <c r="AB720" s="142" t="s">
        <v>1953</v>
      </c>
      <c r="AC720" s="30" t="s">
        <v>1954</v>
      </c>
      <c r="AD720" s="30"/>
      <c r="AE720" s="30"/>
      <c r="AF720" s="48" t="s">
        <v>151</v>
      </c>
      <c r="AG720" s="48" t="s">
        <v>152</v>
      </c>
      <c r="AH720" s="48" t="s">
        <v>153</v>
      </c>
      <c r="AI720" s="30"/>
      <c r="AJ720" s="30"/>
      <c r="AK720" s="50">
        <v>40251</v>
      </c>
      <c r="AL720" s="51">
        <f t="shared" si="460"/>
        <v>15.643835616438356</v>
      </c>
      <c r="AM720" s="30">
        <v>8</v>
      </c>
      <c r="AN720" s="30"/>
      <c r="AO720" s="30" t="s">
        <v>1050</v>
      </c>
      <c r="AP720" s="30" t="s">
        <v>1051</v>
      </c>
      <c r="AQ720" s="30">
        <v>9.83</v>
      </c>
      <c r="AR720" s="30">
        <v>1250</v>
      </c>
      <c r="AS720" s="30">
        <v>950</v>
      </c>
      <c r="AT720" s="30">
        <v>1800</v>
      </c>
      <c r="AU720" s="54">
        <v>699078876</v>
      </c>
      <c r="AV720" s="54"/>
      <c r="AW720" s="54"/>
      <c r="AX720" s="54"/>
      <c r="AY720" s="54">
        <v>699077876</v>
      </c>
      <c r="AZ720" s="54">
        <v>0</v>
      </c>
      <c r="BA720" s="54">
        <v>1000</v>
      </c>
      <c r="BB720" s="55">
        <f>VLOOKUP(M720,[1]Sheet1!$E$6:$F$556,2,FALSE)</f>
        <v>1000</v>
      </c>
      <c r="BC720" s="74"/>
      <c r="BD720" s="74"/>
      <c r="BE720" s="30"/>
      <c r="BF720" s="30" t="s">
        <v>1745</v>
      </c>
      <c r="BG720" s="30" t="s">
        <v>1880</v>
      </c>
      <c r="BH720" s="30" t="s">
        <v>1054</v>
      </c>
      <c r="BI720" s="30" t="str">
        <f t="shared" si="496"/>
        <v>COF(Assy_FT)</v>
      </c>
      <c r="BJ720" s="47" t="s">
        <v>137</v>
      </c>
      <c r="BK720" s="67">
        <f t="shared" si="461"/>
        <v>13981577.52</v>
      </c>
      <c r="BL720" s="68">
        <f t="shared" si="473"/>
        <v>1332845.8586499046</v>
      </c>
      <c r="BM720" s="68">
        <f t="shared" si="474"/>
        <v>444281.95288330154</v>
      </c>
      <c r="BP720" s="69">
        <f t="shared" si="502"/>
        <v>1332845.8586499046</v>
      </c>
      <c r="BQ720" s="69">
        <f t="shared" si="503"/>
        <v>1332845.8586499046</v>
      </c>
      <c r="BR720" s="69">
        <f t="shared" si="504"/>
        <v>2665691.7172998092</v>
      </c>
      <c r="BS720" s="69">
        <f t="shared" si="505"/>
        <v>1332845.8586499046</v>
      </c>
      <c r="BT720" s="69">
        <f t="shared" si="506"/>
        <v>1332845.8586499046</v>
      </c>
      <c r="BU720" s="100">
        <f t="shared" si="506"/>
        <v>1332845.8586499046</v>
      </c>
      <c r="BV720" s="100">
        <f t="shared" si="490"/>
        <v>1332845.8586499046</v>
      </c>
      <c r="BW720" s="100">
        <f t="shared" si="483"/>
        <v>5331383.4345996184</v>
      </c>
      <c r="BX720" s="101">
        <f t="shared" si="476"/>
        <v>1332845.8586499046</v>
      </c>
      <c r="BY720" s="101">
        <f t="shared" si="491"/>
        <v>1332845.8586499046</v>
      </c>
      <c r="BZ720" s="18">
        <f t="shared" si="491"/>
        <v>1332845.8586499046</v>
      </c>
      <c r="CA720" s="18">
        <f t="shared" si="491"/>
        <v>1332845.8586499046</v>
      </c>
      <c r="CB720" s="70">
        <f t="shared" si="497"/>
        <v>5331383.4345996184</v>
      </c>
      <c r="CC720" s="18">
        <f t="shared" si="498"/>
        <v>1332845.8586499046</v>
      </c>
      <c r="CD720" s="18">
        <f t="shared" si="499"/>
        <v>1332845.8586499046</v>
      </c>
      <c r="CE720" s="18">
        <f t="shared" si="499"/>
        <v>1332845.8586499046</v>
      </c>
      <c r="CF720" s="18">
        <f t="shared" si="499"/>
        <v>1332845.8586499046</v>
      </c>
      <c r="CG720" s="70">
        <f t="shared" si="500"/>
        <v>5331383.4345996184</v>
      </c>
      <c r="CH720" s="18">
        <f t="shared" si="479"/>
        <v>1332845.8586499046</v>
      </c>
      <c r="CI720" s="18">
        <f t="shared" si="507"/>
        <v>1332845.8586499046</v>
      </c>
      <c r="CJ720" s="18">
        <f t="shared" si="507"/>
        <v>1332845.8586499046</v>
      </c>
      <c r="CK720" s="18">
        <f t="shared" si="507"/>
        <v>1332845.8586499046</v>
      </c>
      <c r="CL720" s="70">
        <f t="shared" si="484"/>
        <v>5331383.4345996184</v>
      </c>
      <c r="CM720" s="71"/>
      <c r="CN720" s="59">
        <f t="shared" si="492"/>
        <v>1.3652138074665213E-3</v>
      </c>
      <c r="CO720" s="64">
        <f t="shared" si="493"/>
        <v>28669489.956796948</v>
      </c>
      <c r="CP720" s="2">
        <f t="shared" si="501"/>
        <v>42651067.476796947</v>
      </c>
    </row>
    <row r="721" spans="1:94" ht="16.5" hidden="1" x14ac:dyDescent="0.3">
      <c r="A721" s="2">
        <v>716</v>
      </c>
      <c r="B721" s="47" t="s">
        <v>21</v>
      </c>
      <c r="C721" s="47"/>
      <c r="D721" s="30" t="s">
        <v>1725</v>
      </c>
      <c r="E721" s="30" t="s">
        <v>1042</v>
      </c>
      <c r="F721" s="30" t="s">
        <v>1043</v>
      </c>
      <c r="G721" s="30" t="s">
        <v>117</v>
      </c>
      <c r="H721" s="30"/>
      <c r="I721" s="30" t="s">
        <v>119</v>
      </c>
      <c r="J721" s="30" t="s">
        <v>1871</v>
      </c>
      <c r="K721" s="30" t="s">
        <v>1872</v>
      </c>
      <c r="L721" s="30" t="s">
        <v>1873</v>
      </c>
      <c r="M721" s="30">
        <v>1001949</v>
      </c>
      <c r="N721" s="30" t="s">
        <v>138</v>
      </c>
      <c r="O721" s="30" t="s">
        <v>2061</v>
      </c>
      <c r="P721" s="30" t="s">
        <v>1823</v>
      </c>
      <c r="Q721" s="30" t="s">
        <v>232</v>
      </c>
      <c r="R721" s="30" t="s">
        <v>142</v>
      </c>
      <c r="S721" s="30">
        <v>310459636</v>
      </c>
      <c r="T721" s="30" t="s">
        <v>1752</v>
      </c>
      <c r="U721" s="30" t="s">
        <v>588</v>
      </c>
      <c r="V721" s="30" t="s">
        <v>415</v>
      </c>
      <c r="W721" s="30" t="s">
        <v>146</v>
      </c>
      <c r="X721" s="89" t="s">
        <v>1838</v>
      </c>
      <c r="Y721" s="125" t="s">
        <v>128</v>
      </c>
      <c r="Z721" s="125" t="s">
        <v>128</v>
      </c>
      <c r="AA721" s="20" t="s">
        <v>148</v>
      </c>
      <c r="AB721" s="142" t="s">
        <v>1953</v>
      </c>
      <c r="AC721" s="30" t="s">
        <v>1954</v>
      </c>
      <c r="AD721" s="30"/>
      <c r="AE721" s="30"/>
      <c r="AF721" s="48" t="s">
        <v>151</v>
      </c>
      <c r="AG721" s="48" t="s">
        <v>152</v>
      </c>
      <c r="AH721" s="48" t="s">
        <v>153</v>
      </c>
      <c r="AI721" s="30"/>
      <c r="AJ721" s="30"/>
      <c r="AK721" s="50">
        <v>40254</v>
      </c>
      <c r="AL721" s="51">
        <f t="shared" ref="AL721:AL784" si="508">($AL$1-AK721)/365</f>
        <v>15.635616438356164</v>
      </c>
      <c r="AM721" s="30">
        <v>8</v>
      </c>
      <c r="AN721" s="30"/>
      <c r="AO721" s="30" t="s">
        <v>1050</v>
      </c>
      <c r="AP721" s="30" t="s">
        <v>1051</v>
      </c>
      <c r="AQ721" s="30">
        <v>9.83</v>
      </c>
      <c r="AR721" s="30">
        <v>1250</v>
      </c>
      <c r="AS721" s="30">
        <v>950</v>
      </c>
      <c r="AT721" s="30">
        <v>1800</v>
      </c>
      <c r="AU721" s="54">
        <v>804691904</v>
      </c>
      <c r="AV721" s="54"/>
      <c r="AW721" s="54"/>
      <c r="AX721" s="54"/>
      <c r="AY721" s="54">
        <v>804690904</v>
      </c>
      <c r="AZ721" s="54">
        <v>0</v>
      </c>
      <c r="BA721" s="54">
        <v>1000</v>
      </c>
      <c r="BB721" s="55">
        <f>VLOOKUP(M721,[1]Sheet1!$E$6:$F$556,2,FALSE)</f>
        <v>1000</v>
      </c>
      <c r="BC721" s="74"/>
      <c r="BD721" s="74"/>
      <c r="BE721" s="30"/>
      <c r="BF721" s="30" t="s">
        <v>1745</v>
      </c>
      <c r="BG721" s="30" t="s">
        <v>1880</v>
      </c>
      <c r="BH721" s="30" t="s">
        <v>1054</v>
      </c>
      <c r="BI721" s="30" t="str">
        <f t="shared" si="496"/>
        <v>COF(Assy_FT)</v>
      </c>
      <c r="BJ721" s="47" t="s">
        <v>137</v>
      </c>
      <c r="BK721" s="67">
        <f t="shared" ref="BK721:BK784" si="509">IF(OR(BA721=1000, BA721=0), AU721*$BQ$1, BA721*(1+$BL$2))</f>
        <v>16093838.08</v>
      </c>
      <c r="BL721" s="68">
        <f t="shared" si="473"/>
        <v>1534204.9496221747</v>
      </c>
      <c r="BM721" s="68">
        <f t="shared" si="474"/>
        <v>511401.64987405826</v>
      </c>
      <c r="BP721" s="69">
        <f t="shared" si="502"/>
        <v>1534204.9496221747</v>
      </c>
      <c r="BQ721" s="69">
        <f t="shared" si="503"/>
        <v>1534204.9496221747</v>
      </c>
      <c r="BR721" s="69">
        <f t="shared" si="504"/>
        <v>3068409.8992443494</v>
      </c>
      <c r="BS721" s="69">
        <f t="shared" si="505"/>
        <v>1534204.9496221747</v>
      </c>
      <c r="BT721" s="69">
        <f t="shared" si="506"/>
        <v>1534204.9496221747</v>
      </c>
      <c r="BU721" s="100">
        <f t="shared" si="506"/>
        <v>1534204.9496221747</v>
      </c>
      <c r="BV721" s="100">
        <f t="shared" si="490"/>
        <v>1534204.9496221747</v>
      </c>
      <c r="BW721" s="100">
        <f t="shared" si="483"/>
        <v>6136819.7984886989</v>
      </c>
      <c r="BX721" s="101">
        <f t="shared" si="476"/>
        <v>1534204.9496221747</v>
      </c>
      <c r="BY721" s="101">
        <f t="shared" si="491"/>
        <v>1534204.9496221747</v>
      </c>
      <c r="BZ721" s="18">
        <f t="shared" si="491"/>
        <v>1534204.9496221747</v>
      </c>
      <c r="CA721" s="18">
        <f t="shared" si="491"/>
        <v>1534204.9496221747</v>
      </c>
      <c r="CB721" s="70">
        <f t="shared" si="497"/>
        <v>6136819.7984886989</v>
      </c>
      <c r="CC721" s="18">
        <f t="shared" si="498"/>
        <v>1534204.9496221747</v>
      </c>
      <c r="CD721" s="18">
        <f t="shared" si="499"/>
        <v>1534204.9496221747</v>
      </c>
      <c r="CE721" s="18">
        <f t="shared" si="499"/>
        <v>1534204.9496221747</v>
      </c>
      <c r="CF721" s="18">
        <f t="shared" si="499"/>
        <v>1534204.9496221747</v>
      </c>
      <c r="CG721" s="70">
        <f t="shared" si="500"/>
        <v>6136819.7984886989</v>
      </c>
      <c r="CH721" s="18">
        <f t="shared" si="479"/>
        <v>1534204.9496221747</v>
      </c>
      <c r="CI721" s="18">
        <f t="shared" si="507"/>
        <v>1534204.9496221747</v>
      </c>
      <c r="CJ721" s="18">
        <f t="shared" si="507"/>
        <v>1534204.9496221747</v>
      </c>
      <c r="CK721" s="18">
        <f t="shared" si="507"/>
        <v>1534204.9496221747</v>
      </c>
      <c r="CL721" s="70">
        <f t="shared" si="484"/>
        <v>6136819.7984886989</v>
      </c>
      <c r="CM721" s="71"/>
      <c r="CN721" s="59">
        <f t="shared" si="492"/>
        <v>1.5714628718052188E-3</v>
      </c>
      <c r="CO721" s="64">
        <f t="shared" si="493"/>
        <v>33000720.307909593</v>
      </c>
      <c r="CP721" s="2">
        <f t="shared" si="501"/>
        <v>49094558.387909591</v>
      </c>
    </row>
    <row r="722" spans="1:94" ht="16.5" hidden="1" x14ac:dyDescent="0.3">
      <c r="A722" s="2">
        <v>717</v>
      </c>
      <c r="B722" s="47" t="s">
        <v>21</v>
      </c>
      <c r="C722" s="47"/>
      <c r="D722" s="30" t="s">
        <v>1725</v>
      </c>
      <c r="E722" s="30" t="s">
        <v>1042</v>
      </c>
      <c r="F722" s="30" t="s">
        <v>1043</v>
      </c>
      <c r="G722" s="30" t="s">
        <v>117</v>
      </c>
      <c r="H722" s="30"/>
      <c r="I722" s="30" t="s">
        <v>119</v>
      </c>
      <c r="J722" s="30" t="s">
        <v>1871</v>
      </c>
      <c r="K722" s="30" t="s">
        <v>1872</v>
      </c>
      <c r="L722" s="30" t="s">
        <v>1873</v>
      </c>
      <c r="M722" s="30">
        <v>1002248</v>
      </c>
      <c r="N722" s="30" t="s">
        <v>138</v>
      </c>
      <c r="O722" s="30" t="s">
        <v>2062</v>
      </c>
      <c r="P722" s="30" t="s">
        <v>1823</v>
      </c>
      <c r="Q722" s="30" t="s">
        <v>232</v>
      </c>
      <c r="R722" s="30" t="s">
        <v>142</v>
      </c>
      <c r="S722" s="30">
        <v>310470052</v>
      </c>
      <c r="T722" s="30" t="s">
        <v>1752</v>
      </c>
      <c r="U722" s="30" t="s">
        <v>588</v>
      </c>
      <c r="V722" s="30" t="s">
        <v>600</v>
      </c>
      <c r="W722" s="30" t="s">
        <v>146</v>
      </c>
      <c r="X722" s="89" t="s">
        <v>1838</v>
      </c>
      <c r="Y722" s="125" t="s">
        <v>128</v>
      </c>
      <c r="Z722" s="125" t="s">
        <v>128</v>
      </c>
      <c r="AA722" s="20" t="s">
        <v>148</v>
      </c>
      <c r="AB722" s="142" t="s">
        <v>1953</v>
      </c>
      <c r="AC722" s="30" t="s">
        <v>1954</v>
      </c>
      <c r="AD722" s="30"/>
      <c r="AE722" s="30"/>
      <c r="AF722" s="48" t="s">
        <v>151</v>
      </c>
      <c r="AG722" s="48" t="s">
        <v>152</v>
      </c>
      <c r="AH722" s="48" t="s">
        <v>153</v>
      </c>
      <c r="AI722" s="30"/>
      <c r="AJ722" s="30"/>
      <c r="AK722" s="50">
        <v>40351</v>
      </c>
      <c r="AL722" s="51">
        <f t="shared" si="508"/>
        <v>15.36986301369863</v>
      </c>
      <c r="AM722" s="30">
        <v>8</v>
      </c>
      <c r="AN722" s="30"/>
      <c r="AO722" s="30" t="s">
        <v>1050</v>
      </c>
      <c r="AP722" s="30" t="s">
        <v>1051</v>
      </c>
      <c r="AQ722" s="30">
        <v>9.83</v>
      </c>
      <c r="AR722" s="30">
        <v>1250</v>
      </c>
      <c r="AS722" s="30">
        <v>950</v>
      </c>
      <c r="AT722" s="30">
        <v>1800</v>
      </c>
      <c r="AU722" s="54">
        <v>821625064</v>
      </c>
      <c r="AV722" s="54"/>
      <c r="AW722" s="54"/>
      <c r="AX722" s="54"/>
      <c r="AY722" s="54">
        <v>821624064</v>
      </c>
      <c r="AZ722" s="54">
        <v>0</v>
      </c>
      <c r="BA722" s="54">
        <v>1000</v>
      </c>
      <c r="BB722" s="55">
        <f>VLOOKUP(M722,[1]Sheet1!$E$6:$F$556,2,FALSE)</f>
        <v>1000</v>
      </c>
      <c r="BC722" s="74"/>
      <c r="BD722" s="74"/>
      <c r="BE722" s="30"/>
      <c r="BF722" s="30" t="s">
        <v>1745</v>
      </c>
      <c r="BG722" s="30" t="s">
        <v>1880</v>
      </c>
      <c r="BH722" s="30" t="s">
        <v>1054</v>
      </c>
      <c r="BI722" s="30" t="str">
        <f t="shared" si="496"/>
        <v>COF(Assy_FT)</v>
      </c>
      <c r="BJ722" s="47" t="s">
        <v>137</v>
      </c>
      <c r="BK722" s="67">
        <f t="shared" si="509"/>
        <v>16432501.280000001</v>
      </c>
      <c r="BL722" s="68">
        <f t="shared" si="473"/>
        <v>1566489.2782647361</v>
      </c>
      <c r="BM722" s="68">
        <f t="shared" si="474"/>
        <v>522163.09275491204</v>
      </c>
      <c r="BP722" s="69">
        <f t="shared" si="502"/>
        <v>1566489.2782647361</v>
      </c>
      <c r="BQ722" s="69">
        <f t="shared" si="503"/>
        <v>1566489.2782647361</v>
      </c>
      <c r="BR722" s="69">
        <f t="shared" si="504"/>
        <v>3132978.5565294721</v>
      </c>
      <c r="BS722" s="69">
        <f t="shared" si="505"/>
        <v>1566489.2782647361</v>
      </c>
      <c r="BT722" s="69">
        <f t="shared" si="506"/>
        <v>1566489.2782647361</v>
      </c>
      <c r="BU722" s="100">
        <f t="shared" si="506"/>
        <v>1566489.2782647361</v>
      </c>
      <c r="BV722" s="100">
        <f t="shared" si="490"/>
        <v>1566489.2782647361</v>
      </c>
      <c r="BW722" s="100">
        <f t="shared" si="483"/>
        <v>6265957.1130589442</v>
      </c>
      <c r="BX722" s="101">
        <f t="shared" si="476"/>
        <v>1566489.2782647361</v>
      </c>
      <c r="BY722" s="101">
        <f t="shared" si="491"/>
        <v>1566489.2782647361</v>
      </c>
      <c r="BZ722" s="18">
        <f t="shared" si="491"/>
        <v>1566489.2782647361</v>
      </c>
      <c r="CA722" s="18">
        <f t="shared" si="491"/>
        <v>1566489.2782647361</v>
      </c>
      <c r="CB722" s="70">
        <f t="shared" si="497"/>
        <v>6265957.1130589442</v>
      </c>
      <c r="CC722" s="18">
        <f t="shared" si="498"/>
        <v>1566489.2782647361</v>
      </c>
      <c r="CD722" s="18">
        <f t="shared" si="499"/>
        <v>1566489.2782647361</v>
      </c>
      <c r="CE722" s="18">
        <f t="shared" si="499"/>
        <v>1566489.2782647361</v>
      </c>
      <c r="CF722" s="18">
        <f t="shared" si="499"/>
        <v>1566489.2782647361</v>
      </c>
      <c r="CG722" s="70">
        <f t="shared" si="500"/>
        <v>6265957.1130589442</v>
      </c>
      <c r="CH722" s="18">
        <f t="shared" si="479"/>
        <v>1566489.2782647361</v>
      </c>
      <c r="CI722" s="18">
        <f t="shared" si="507"/>
        <v>1566489.2782647361</v>
      </c>
      <c r="CJ722" s="18">
        <f t="shared" si="507"/>
        <v>1566489.2782647361</v>
      </c>
      <c r="CK722" s="18">
        <f t="shared" si="507"/>
        <v>1566489.2782647361</v>
      </c>
      <c r="CL722" s="70">
        <f t="shared" si="484"/>
        <v>6265957.1130589442</v>
      </c>
      <c r="CM722" s="71"/>
      <c r="CN722" s="59">
        <f t="shared" si="492"/>
        <v>1.604531220212931E-3</v>
      </c>
      <c r="CO722" s="64">
        <f t="shared" si="493"/>
        <v>33695155.624471553</v>
      </c>
      <c r="CP722" s="2">
        <f t="shared" si="501"/>
        <v>50127656.904471554</v>
      </c>
    </row>
    <row r="723" spans="1:94" ht="16.5" hidden="1" x14ac:dyDescent="0.3">
      <c r="A723" s="2">
        <v>718</v>
      </c>
      <c r="B723" s="47" t="s">
        <v>21</v>
      </c>
      <c r="C723" s="47"/>
      <c r="D723" s="30" t="s">
        <v>1725</v>
      </c>
      <c r="E723" s="30" t="s">
        <v>1042</v>
      </c>
      <c r="F723" s="30" t="s">
        <v>1043</v>
      </c>
      <c r="G723" s="30" t="s">
        <v>117</v>
      </c>
      <c r="H723" s="30"/>
      <c r="I723" s="30" t="s">
        <v>119</v>
      </c>
      <c r="J723" s="30" t="s">
        <v>1871</v>
      </c>
      <c r="K723" s="30" t="s">
        <v>1872</v>
      </c>
      <c r="L723" s="30" t="s">
        <v>1873</v>
      </c>
      <c r="M723" s="30">
        <v>1002242</v>
      </c>
      <c r="N723" s="30" t="s">
        <v>138</v>
      </c>
      <c r="O723" s="30" t="s">
        <v>2063</v>
      </c>
      <c r="P723" s="30" t="s">
        <v>1823</v>
      </c>
      <c r="Q723" s="30" t="s">
        <v>232</v>
      </c>
      <c r="R723" s="30" t="s">
        <v>142</v>
      </c>
      <c r="S723" s="30">
        <v>310470048</v>
      </c>
      <c r="T723" s="30" t="s">
        <v>1752</v>
      </c>
      <c r="U723" s="30" t="s">
        <v>588</v>
      </c>
      <c r="V723" s="30" t="s">
        <v>415</v>
      </c>
      <c r="W723" s="30" t="s">
        <v>146</v>
      </c>
      <c r="X723" s="89" t="s">
        <v>1838</v>
      </c>
      <c r="Y723" s="125" t="s">
        <v>128</v>
      </c>
      <c r="Z723" s="125" t="s">
        <v>128</v>
      </c>
      <c r="AA723" s="20" t="s">
        <v>148</v>
      </c>
      <c r="AB723" s="142" t="s">
        <v>1953</v>
      </c>
      <c r="AC723" s="30" t="s">
        <v>1954</v>
      </c>
      <c r="AD723" s="30"/>
      <c r="AE723" s="30"/>
      <c r="AF723" s="48" t="s">
        <v>151</v>
      </c>
      <c r="AG723" s="48" t="s">
        <v>152</v>
      </c>
      <c r="AH723" s="48" t="s">
        <v>153</v>
      </c>
      <c r="AI723" s="30"/>
      <c r="AJ723" s="30"/>
      <c r="AK723" s="50">
        <v>40351</v>
      </c>
      <c r="AL723" s="51">
        <f t="shared" si="508"/>
        <v>15.36986301369863</v>
      </c>
      <c r="AM723" s="30">
        <v>8</v>
      </c>
      <c r="AN723" s="30"/>
      <c r="AO723" s="30" t="s">
        <v>1050</v>
      </c>
      <c r="AP723" s="30" t="s">
        <v>1051</v>
      </c>
      <c r="AQ723" s="30">
        <v>9.83</v>
      </c>
      <c r="AR723" s="30">
        <v>1250</v>
      </c>
      <c r="AS723" s="30">
        <v>950</v>
      </c>
      <c r="AT723" s="30">
        <v>1800</v>
      </c>
      <c r="AU723" s="54">
        <v>821625064</v>
      </c>
      <c r="AV723" s="54"/>
      <c r="AW723" s="54"/>
      <c r="AX723" s="54"/>
      <c r="AY723" s="54">
        <v>821624064</v>
      </c>
      <c r="AZ723" s="54">
        <v>0</v>
      </c>
      <c r="BA723" s="54">
        <v>1000</v>
      </c>
      <c r="BB723" s="55">
        <f>VLOOKUP(M723,[1]Sheet1!$E$6:$F$556,2,FALSE)</f>
        <v>1000</v>
      </c>
      <c r="BC723" s="74"/>
      <c r="BD723" s="74"/>
      <c r="BE723" s="30"/>
      <c r="BF723" s="30" t="s">
        <v>1745</v>
      </c>
      <c r="BG723" s="30" t="s">
        <v>1880</v>
      </c>
      <c r="BH723" s="30" t="s">
        <v>1054</v>
      </c>
      <c r="BI723" s="30" t="str">
        <f t="shared" si="496"/>
        <v>COF(Assy_FT)</v>
      </c>
      <c r="BJ723" s="47" t="s">
        <v>137</v>
      </c>
      <c r="BK723" s="67">
        <f t="shared" si="509"/>
        <v>16432501.280000001</v>
      </c>
      <c r="BL723" s="68">
        <f t="shared" si="473"/>
        <v>1566489.2782647361</v>
      </c>
      <c r="BM723" s="68">
        <f t="shared" si="474"/>
        <v>522163.09275491204</v>
      </c>
      <c r="BP723" s="69">
        <f t="shared" si="502"/>
        <v>1566489.2782647361</v>
      </c>
      <c r="BQ723" s="69">
        <f t="shared" si="503"/>
        <v>1566489.2782647361</v>
      </c>
      <c r="BR723" s="69">
        <f t="shared" si="504"/>
        <v>3132978.5565294721</v>
      </c>
      <c r="BS723" s="69">
        <f t="shared" si="505"/>
        <v>1566489.2782647361</v>
      </c>
      <c r="BT723" s="69">
        <f t="shared" si="506"/>
        <v>1566489.2782647361</v>
      </c>
      <c r="BU723" s="100">
        <f t="shared" si="506"/>
        <v>1566489.2782647361</v>
      </c>
      <c r="BV723" s="100">
        <f t="shared" si="506"/>
        <v>1566489.2782647361</v>
      </c>
      <c r="BW723" s="100">
        <f t="shared" si="483"/>
        <v>6265957.1130589442</v>
      </c>
      <c r="BX723" s="101">
        <f t="shared" si="476"/>
        <v>1566489.2782647361</v>
      </c>
      <c r="BY723" s="101">
        <f t="shared" ref="BY723:CA754" si="510">BX723</f>
        <v>1566489.2782647361</v>
      </c>
      <c r="BZ723" s="18">
        <f t="shared" si="510"/>
        <v>1566489.2782647361</v>
      </c>
      <c r="CA723" s="18">
        <f t="shared" si="510"/>
        <v>1566489.2782647361</v>
      </c>
      <c r="CB723" s="70">
        <f t="shared" si="497"/>
        <v>6265957.1130589442</v>
      </c>
      <c r="CC723" s="18">
        <f t="shared" si="498"/>
        <v>1566489.2782647361</v>
      </c>
      <c r="CD723" s="18">
        <f t="shared" si="499"/>
        <v>1566489.2782647361</v>
      </c>
      <c r="CE723" s="18">
        <f t="shared" si="499"/>
        <v>1566489.2782647361</v>
      </c>
      <c r="CF723" s="18">
        <f t="shared" si="499"/>
        <v>1566489.2782647361</v>
      </c>
      <c r="CG723" s="70">
        <f t="shared" si="500"/>
        <v>6265957.1130589442</v>
      </c>
      <c r="CH723" s="18">
        <f t="shared" si="479"/>
        <v>1566489.2782647361</v>
      </c>
      <c r="CI723" s="18">
        <f t="shared" si="507"/>
        <v>1566489.2782647361</v>
      </c>
      <c r="CJ723" s="18">
        <f t="shared" si="507"/>
        <v>1566489.2782647361</v>
      </c>
      <c r="CK723" s="18">
        <f t="shared" si="507"/>
        <v>1566489.2782647361</v>
      </c>
      <c r="CL723" s="70">
        <f t="shared" si="484"/>
        <v>6265957.1130589442</v>
      </c>
      <c r="CM723" s="71"/>
      <c r="CN723" s="59">
        <f t="shared" si="492"/>
        <v>1.604531220212931E-3</v>
      </c>
      <c r="CO723" s="64">
        <f t="shared" si="493"/>
        <v>33695155.624471553</v>
      </c>
      <c r="CP723" s="2">
        <f t="shared" si="501"/>
        <v>50127656.904471554</v>
      </c>
    </row>
    <row r="724" spans="1:94" ht="16.5" hidden="1" x14ac:dyDescent="0.3">
      <c r="A724" s="2">
        <v>719</v>
      </c>
      <c r="B724" s="47" t="s">
        <v>21</v>
      </c>
      <c r="C724" s="47"/>
      <c r="D724" s="30" t="s">
        <v>1725</v>
      </c>
      <c r="E724" s="30" t="s">
        <v>1042</v>
      </c>
      <c r="F724" s="30" t="s">
        <v>1043</v>
      </c>
      <c r="G724" s="30" t="s">
        <v>117</v>
      </c>
      <c r="H724" s="30"/>
      <c r="I724" s="30" t="s">
        <v>119</v>
      </c>
      <c r="J724" s="30" t="s">
        <v>1871</v>
      </c>
      <c r="K724" s="30" t="s">
        <v>1872</v>
      </c>
      <c r="L724" s="30" t="s">
        <v>1873</v>
      </c>
      <c r="M724" s="30">
        <v>1002249</v>
      </c>
      <c r="N724" s="30" t="s">
        <v>138</v>
      </c>
      <c r="O724" s="30" t="s">
        <v>2064</v>
      </c>
      <c r="P724" s="30" t="s">
        <v>1823</v>
      </c>
      <c r="Q724" s="30" t="s">
        <v>232</v>
      </c>
      <c r="R724" s="30" t="s">
        <v>142</v>
      </c>
      <c r="S724" s="30">
        <v>310470046</v>
      </c>
      <c r="T724" s="30" t="s">
        <v>1752</v>
      </c>
      <c r="U724" s="30" t="s">
        <v>588</v>
      </c>
      <c r="V724" s="30" t="s">
        <v>600</v>
      </c>
      <c r="W724" s="30" t="s">
        <v>146</v>
      </c>
      <c r="X724" s="89" t="s">
        <v>1838</v>
      </c>
      <c r="Y724" s="125" t="s">
        <v>128</v>
      </c>
      <c r="Z724" s="125" t="s">
        <v>128</v>
      </c>
      <c r="AA724" s="20" t="s">
        <v>148</v>
      </c>
      <c r="AB724" s="142" t="s">
        <v>1953</v>
      </c>
      <c r="AC724" s="30" t="s">
        <v>1954</v>
      </c>
      <c r="AD724" s="30"/>
      <c r="AE724" s="30"/>
      <c r="AF724" s="48" t="s">
        <v>151</v>
      </c>
      <c r="AG724" s="48" t="s">
        <v>152</v>
      </c>
      <c r="AH724" s="48" t="s">
        <v>153</v>
      </c>
      <c r="AI724" s="30"/>
      <c r="AJ724" s="30"/>
      <c r="AK724" s="50">
        <v>40351</v>
      </c>
      <c r="AL724" s="51">
        <f t="shared" si="508"/>
        <v>15.36986301369863</v>
      </c>
      <c r="AM724" s="30">
        <v>8</v>
      </c>
      <c r="AN724" s="30"/>
      <c r="AO724" s="30" t="s">
        <v>1050</v>
      </c>
      <c r="AP724" s="30" t="s">
        <v>1051</v>
      </c>
      <c r="AQ724" s="30">
        <v>9.83</v>
      </c>
      <c r="AR724" s="30">
        <v>1250</v>
      </c>
      <c r="AS724" s="30">
        <v>950</v>
      </c>
      <c r="AT724" s="30">
        <v>1800</v>
      </c>
      <c r="AU724" s="54">
        <v>821625168</v>
      </c>
      <c r="AV724" s="54"/>
      <c r="AW724" s="54"/>
      <c r="AX724" s="54"/>
      <c r="AY724" s="54">
        <v>821624168</v>
      </c>
      <c r="AZ724" s="54">
        <v>0</v>
      </c>
      <c r="BA724" s="54">
        <v>1000</v>
      </c>
      <c r="BB724" s="55">
        <f>VLOOKUP(M724,[1]Sheet1!$E$6:$F$556,2,FALSE)</f>
        <v>1000</v>
      </c>
      <c r="BC724" s="74"/>
      <c r="BD724" s="74"/>
      <c r="BE724" s="30"/>
      <c r="BF724" s="30" t="s">
        <v>1745</v>
      </c>
      <c r="BG724" s="30" t="s">
        <v>1880</v>
      </c>
      <c r="BH724" s="30" t="s">
        <v>1054</v>
      </c>
      <c r="BI724" s="30" t="str">
        <f t="shared" si="496"/>
        <v>COF(Assy_FT)</v>
      </c>
      <c r="BJ724" s="47" t="s">
        <v>137</v>
      </c>
      <c r="BK724" s="67">
        <f t="shared" si="509"/>
        <v>16432503.360000001</v>
      </c>
      <c r="BL724" s="68">
        <f t="shared" si="473"/>
        <v>1566489.4765484692</v>
      </c>
      <c r="BM724" s="68">
        <f t="shared" si="474"/>
        <v>522163.1588494897</v>
      </c>
      <c r="BP724" s="69">
        <f t="shared" si="502"/>
        <v>1566489.4765484692</v>
      </c>
      <c r="BQ724" s="69">
        <f t="shared" si="503"/>
        <v>1566489.4765484692</v>
      </c>
      <c r="BR724" s="69">
        <f t="shared" si="504"/>
        <v>3132978.9530969383</v>
      </c>
      <c r="BS724" s="69">
        <f t="shared" si="505"/>
        <v>1566489.4765484692</v>
      </c>
      <c r="BT724" s="69">
        <f t="shared" si="506"/>
        <v>1566489.4765484692</v>
      </c>
      <c r="BU724" s="100">
        <f t="shared" si="506"/>
        <v>1566489.4765484692</v>
      </c>
      <c r="BV724" s="100">
        <f t="shared" si="506"/>
        <v>1566489.4765484692</v>
      </c>
      <c r="BW724" s="100">
        <f t="shared" si="483"/>
        <v>6265957.9061938766</v>
      </c>
      <c r="BX724" s="101">
        <f t="shared" si="476"/>
        <v>1566489.4765484692</v>
      </c>
      <c r="BY724" s="101">
        <f t="shared" si="510"/>
        <v>1566489.4765484692</v>
      </c>
      <c r="BZ724" s="18">
        <f t="shared" si="510"/>
        <v>1566489.4765484692</v>
      </c>
      <c r="CA724" s="18">
        <f t="shared" si="510"/>
        <v>1566489.4765484692</v>
      </c>
      <c r="CB724" s="70">
        <f t="shared" si="497"/>
        <v>6265957.9061938766</v>
      </c>
      <c r="CC724" s="18">
        <f t="shared" si="498"/>
        <v>1566489.4765484692</v>
      </c>
      <c r="CD724" s="18">
        <f t="shared" si="499"/>
        <v>1566489.4765484692</v>
      </c>
      <c r="CE724" s="18">
        <f t="shared" si="499"/>
        <v>1566489.4765484692</v>
      </c>
      <c r="CF724" s="18">
        <f t="shared" si="499"/>
        <v>1566489.4765484692</v>
      </c>
      <c r="CG724" s="70">
        <f t="shared" si="500"/>
        <v>6265957.9061938766</v>
      </c>
      <c r="CH724" s="18">
        <f t="shared" si="479"/>
        <v>1566489.4765484692</v>
      </c>
      <c r="CI724" s="18">
        <f t="shared" si="507"/>
        <v>1566489.4765484692</v>
      </c>
      <c r="CJ724" s="18">
        <f t="shared" si="507"/>
        <v>1566489.4765484692</v>
      </c>
      <c r="CK724" s="18">
        <f t="shared" si="507"/>
        <v>1566489.4765484692</v>
      </c>
      <c r="CL724" s="70">
        <f t="shared" si="484"/>
        <v>6265957.9061938766</v>
      </c>
      <c r="CM724" s="71"/>
      <c r="CN724" s="59">
        <f t="shared" si="492"/>
        <v>1.604531423311953E-3</v>
      </c>
      <c r="CO724" s="64">
        <f t="shared" si="493"/>
        <v>33695159.889551014</v>
      </c>
      <c r="CP724" s="2">
        <f t="shared" si="501"/>
        <v>50127663.249551013</v>
      </c>
    </row>
    <row r="725" spans="1:94" ht="16.5" hidden="1" x14ac:dyDescent="0.3">
      <c r="A725" s="2">
        <v>720</v>
      </c>
      <c r="B725" s="47" t="s">
        <v>21</v>
      </c>
      <c r="C725" s="47"/>
      <c r="D725" s="30" t="s">
        <v>1725</v>
      </c>
      <c r="E725" s="30" t="s">
        <v>1042</v>
      </c>
      <c r="F725" s="30" t="s">
        <v>1043</v>
      </c>
      <c r="G725" s="30" t="s">
        <v>117</v>
      </c>
      <c r="H725" s="30"/>
      <c r="I725" s="30" t="s">
        <v>119</v>
      </c>
      <c r="J725" s="30" t="s">
        <v>1871</v>
      </c>
      <c r="K725" s="30" t="s">
        <v>1872</v>
      </c>
      <c r="L725" s="30" t="s">
        <v>1873</v>
      </c>
      <c r="M725" s="30">
        <v>1002243</v>
      </c>
      <c r="N725" s="30" t="s">
        <v>138</v>
      </c>
      <c r="O725" s="30" t="s">
        <v>2065</v>
      </c>
      <c r="P725" s="30" t="s">
        <v>1823</v>
      </c>
      <c r="Q725" s="30" t="s">
        <v>232</v>
      </c>
      <c r="R725" s="30" t="s">
        <v>142</v>
      </c>
      <c r="S725" s="30">
        <v>310470053</v>
      </c>
      <c r="T725" s="30" t="s">
        <v>1752</v>
      </c>
      <c r="U725" s="30" t="s">
        <v>588</v>
      </c>
      <c r="V725" s="30" t="s">
        <v>415</v>
      </c>
      <c r="W725" s="30" t="s">
        <v>146</v>
      </c>
      <c r="X725" s="89" t="s">
        <v>1838</v>
      </c>
      <c r="Y725" s="125" t="s">
        <v>128</v>
      </c>
      <c r="Z725" s="125" t="s">
        <v>128</v>
      </c>
      <c r="AA725" s="20" t="s">
        <v>148</v>
      </c>
      <c r="AB725" s="142" t="s">
        <v>1953</v>
      </c>
      <c r="AC725" s="30" t="s">
        <v>1954</v>
      </c>
      <c r="AD725" s="30"/>
      <c r="AE725" s="30"/>
      <c r="AF725" s="48" t="s">
        <v>151</v>
      </c>
      <c r="AG725" s="48" t="s">
        <v>152</v>
      </c>
      <c r="AH725" s="48" t="s">
        <v>153</v>
      </c>
      <c r="AI725" s="30"/>
      <c r="AJ725" s="30"/>
      <c r="AK725" s="50">
        <v>40351</v>
      </c>
      <c r="AL725" s="51">
        <f t="shared" si="508"/>
        <v>15.36986301369863</v>
      </c>
      <c r="AM725" s="30">
        <v>8</v>
      </c>
      <c r="AN725" s="30"/>
      <c r="AO725" s="30" t="s">
        <v>1050</v>
      </c>
      <c r="AP725" s="30" t="s">
        <v>1051</v>
      </c>
      <c r="AQ725" s="30">
        <v>9.83</v>
      </c>
      <c r="AR725" s="30">
        <v>1250</v>
      </c>
      <c r="AS725" s="30">
        <v>950</v>
      </c>
      <c r="AT725" s="30">
        <v>1800</v>
      </c>
      <c r="AU725" s="54">
        <v>817580625</v>
      </c>
      <c r="AV725" s="54"/>
      <c r="AW725" s="54"/>
      <c r="AX725" s="54"/>
      <c r="AY725" s="54">
        <v>817579625</v>
      </c>
      <c r="AZ725" s="54">
        <v>0</v>
      </c>
      <c r="BA725" s="54">
        <v>1000</v>
      </c>
      <c r="BB725" s="55">
        <f>VLOOKUP(M725,[1]Sheet1!$E$6:$F$556,2,FALSE)</f>
        <v>1000</v>
      </c>
      <c r="BC725" s="74"/>
      <c r="BD725" s="74"/>
      <c r="BE725" s="30"/>
      <c r="BF725" s="30" t="s">
        <v>1745</v>
      </c>
      <c r="BG725" s="30" t="s">
        <v>1880</v>
      </c>
      <c r="BH725" s="30" t="s">
        <v>1054</v>
      </c>
      <c r="BI725" s="30" t="str">
        <f t="shared" si="496"/>
        <v>COF(Assy_FT)</v>
      </c>
      <c r="BJ725" s="47" t="s">
        <v>137</v>
      </c>
      <c r="BK725" s="67">
        <f t="shared" si="509"/>
        <v>16351612.5</v>
      </c>
      <c r="BL725" s="68">
        <f t="shared" si="473"/>
        <v>1558778.2545780293</v>
      </c>
      <c r="BM725" s="68">
        <f t="shared" si="474"/>
        <v>519592.75152600976</v>
      </c>
      <c r="BP725" s="69">
        <f t="shared" si="502"/>
        <v>1558778.2545780293</v>
      </c>
      <c r="BQ725" s="69">
        <f t="shared" si="503"/>
        <v>1558778.2545780293</v>
      </c>
      <c r="BR725" s="69">
        <f t="shared" si="504"/>
        <v>3117556.5091560585</v>
      </c>
      <c r="BS725" s="69">
        <f t="shared" si="505"/>
        <v>1558778.2545780293</v>
      </c>
      <c r="BT725" s="69">
        <f t="shared" si="506"/>
        <v>1558778.2545780293</v>
      </c>
      <c r="BU725" s="100">
        <f t="shared" si="506"/>
        <v>1558778.2545780293</v>
      </c>
      <c r="BV725" s="100">
        <f t="shared" si="506"/>
        <v>1558778.2545780293</v>
      </c>
      <c r="BW725" s="100">
        <f t="shared" si="483"/>
        <v>6235113.0183121171</v>
      </c>
      <c r="BX725" s="101">
        <f t="shared" si="476"/>
        <v>1558778.2545780293</v>
      </c>
      <c r="BY725" s="101">
        <f t="shared" si="510"/>
        <v>1558778.2545780293</v>
      </c>
      <c r="BZ725" s="18">
        <f t="shared" si="510"/>
        <v>1558778.2545780293</v>
      </c>
      <c r="CA725" s="18">
        <f t="shared" si="510"/>
        <v>1558778.2545780293</v>
      </c>
      <c r="CB725" s="70">
        <f t="shared" si="497"/>
        <v>6235113.0183121171</v>
      </c>
      <c r="CC725" s="18">
        <f t="shared" si="498"/>
        <v>1558778.2545780293</v>
      </c>
      <c r="CD725" s="18">
        <f t="shared" si="499"/>
        <v>1558778.2545780293</v>
      </c>
      <c r="CE725" s="18">
        <f t="shared" si="499"/>
        <v>1558778.2545780293</v>
      </c>
      <c r="CF725" s="18">
        <f t="shared" si="499"/>
        <v>1558778.2545780293</v>
      </c>
      <c r="CG725" s="70">
        <f t="shared" si="500"/>
        <v>6235113.0183121171</v>
      </c>
      <c r="CH725" s="18">
        <f t="shared" si="479"/>
        <v>1558778.2545780293</v>
      </c>
      <c r="CI725" s="18">
        <f t="shared" si="507"/>
        <v>1558778.2545780293</v>
      </c>
      <c r="CJ725" s="18">
        <f t="shared" si="507"/>
        <v>1558778.2545780293</v>
      </c>
      <c r="CK725" s="18">
        <f t="shared" si="507"/>
        <v>1558778.2545780293</v>
      </c>
      <c r="CL725" s="70">
        <f t="shared" si="484"/>
        <v>6235113.0183121171</v>
      </c>
      <c r="CM725" s="71"/>
      <c r="CN725" s="59">
        <f t="shared" si="492"/>
        <v>1.5966329355474732E-3</v>
      </c>
      <c r="CO725" s="64">
        <f t="shared" si="493"/>
        <v>33529291.646496937</v>
      </c>
      <c r="CP725" s="2">
        <f t="shared" si="501"/>
        <v>49880904.146496937</v>
      </c>
    </row>
    <row r="726" spans="1:94" ht="16.5" hidden="1" x14ac:dyDescent="0.3">
      <c r="A726" s="2">
        <v>721</v>
      </c>
      <c r="B726" s="47" t="s">
        <v>21</v>
      </c>
      <c r="C726" s="47"/>
      <c r="D726" s="30" t="s">
        <v>1725</v>
      </c>
      <c r="E726" s="30" t="s">
        <v>1042</v>
      </c>
      <c r="F726" s="30" t="s">
        <v>1043</v>
      </c>
      <c r="G726" s="30" t="s">
        <v>117</v>
      </c>
      <c r="H726" s="30"/>
      <c r="I726" s="30" t="s">
        <v>119</v>
      </c>
      <c r="J726" s="30" t="s">
        <v>1871</v>
      </c>
      <c r="K726" s="30" t="s">
        <v>1872</v>
      </c>
      <c r="L726" s="30" t="s">
        <v>1873</v>
      </c>
      <c r="M726" s="30">
        <v>1002883</v>
      </c>
      <c r="N726" s="30" t="s">
        <v>138</v>
      </c>
      <c r="O726" s="30" t="s">
        <v>2066</v>
      </c>
      <c r="P726" s="30" t="s">
        <v>1823</v>
      </c>
      <c r="Q726" s="30" t="s">
        <v>232</v>
      </c>
      <c r="R726" s="30" t="s">
        <v>142</v>
      </c>
      <c r="S726" s="30">
        <v>310480866</v>
      </c>
      <c r="T726" s="30" t="s">
        <v>1752</v>
      </c>
      <c r="U726" s="30" t="s">
        <v>2067</v>
      </c>
      <c r="V726" s="30" t="s">
        <v>600</v>
      </c>
      <c r="W726" s="30" t="s">
        <v>146</v>
      </c>
      <c r="X726" s="89" t="s">
        <v>1757</v>
      </c>
      <c r="Y726" s="30" t="s">
        <v>128</v>
      </c>
      <c r="Z726" s="30" t="s">
        <v>128</v>
      </c>
      <c r="AA726" s="20" t="s">
        <v>148</v>
      </c>
      <c r="AB726" s="142" t="s">
        <v>1953</v>
      </c>
      <c r="AC726" s="30" t="s">
        <v>1954</v>
      </c>
      <c r="AD726" s="30"/>
      <c r="AE726" s="30"/>
      <c r="AF726" s="48" t="s">
        <v>151</v>
      </c>
      <c r="AG726" s="48" t="s">
        <v>152</v>
      </c>
      <c r="AH726" s="48" t="s">
        <v>153</v>
      </c>
      <c r="AI726" s="30"/>
      <c r="AJ726" s="30"/>
      <c r="AK726" s="50">
        <v>41067</v>
      </c>
      <c r="AL726" s="51">
        <f t="shared" si="508"/>
        <v>13.408219178082192</v>
      </c>
      <c r="AM726" s="30">
        <v>8</v>
      </c>
      <c r="AN726" s="30"/>
      <c r="AO726" s="30" t="s">
        <v>1050</v>
      </c>
      <c r="AP726" s="30" t="s">
        <v>1051</v>
      </c>
      <c r="AQ726" s="30">
        <v>9.83</v>
      </c>
      <c r="AR726" s="30">
        <v>1250</v>
      </c>
      <c r="AS726" s="30">
        <v>950</v>
      </c>
      <c r="AT726" s="30">
        <v>1800</v>
      </c>
      <c r="AU726" s="54">
        <v>664582701</v>
      </c>
      <c r="AV726" s="54"/>
      <c r="AW726" s="54"/>
      <c r="AX726" s="54"/>
      <c r="AY726" s="54">
        <v>664581701</v>
      </c>
      <c r="AZ726" s="54">
        <v>0</v>
      </c>
      <c r="BA726" s="54">
        <v>1000</v>
      </c>
      <c r="BB726" s="55">
        <f>VLOOKUP(M726,[1]Sheet1!$E$6:$F$556,2,FALSE)</f>
        <v>1000</v>
      </c>
      <c r="BC726" s="74"/>
      <c r="BD726" s="74"/>
      <c r="BE726" s="30"/>
      <c r="BF726" s="30" t="s">
        <v>1745</v>
      </c>
      <c r="BG726" s="30" t="s">
        <v>1880</v>
      </c>
      <c r="BH726" s="30" t="s">
        <v>1054</v>
      </c>
      <c r="BI726" s="30" t="str">
        <f t="shared" si="496"/>
        <v>COF(Assy_FT)</v>
      </c>
      <c r="BJ726" s="47" t="s">
        <v>137</v>
      </c>
      <c r="BK726" s="56">
        <f t="shared" si="509"/>
        <v>13291654.02</v>
      </c>
      <c r="BL726" s="57">
        <f t="shared" si="473"/>
        <v>1267076.3359730206</v>
      </c>
      <c r="BM726" s="57">
        <f t="shared" si="474"/>
        <v>422358.77865767357</v>
      </c>
      <c r="BU726" s="58">
        <f t="shared" ref="BU726:BU744" si="511">BM726*3</f>
        <v>1267076.3359730206</v>
      </c>
      <c r="BV726" s="58">
        <f t="shared" si="506"/>
        <v>1267076.3359730206</v>
      </c>
      <c r="BW726" s="58">
        <f t="shared" si="483"/>
        <v>2534152.6719460413</v>
      </c>
      <c r="BX726" s="58">
        <f t="shared" si="476"/>
        <v>1267076.3359730206</v>
      </c>
      <c r="BY726" s="58">
        <f t="shared" si="510"/>
        <v>1267076.3359730206</v>
      </c>
      <c r="BZ726" s="58">
        <f t="shared" ref="BZ726:BZ769" si="512">BM726*3</f>
        <v>1267076.3359730206</v>
      </c>
      <c r="CA726" s="58">
        <f t="shared" si="510"/>
        <v>1267076.3359730206</v>
      </c>
      <c r="CB726" s="58">
        <f t="shared" si="497"/>
        <v>5068305.3438920826</v>
      </c>
      <c r="CC726" s="58">
        <f t="shared" si="498"/>
        <v>1267076.3359730206</v>
      </c>
      <c r="CD726" s="58">
        <f t="shared" si="499"/>
        <v>1267076.3359730206</v>
      </c>
      <c r="CE726" s="58">
        <f t="shared" si="499"/>
        <v>1267076.3359730206</v>
      </c>
      <c r="CF726" s="58">
        <f t="shared" si="499"/>
        <v>1267076.3359730206</v>
      </c>
      <c r="CG726" s="58">
        <f t="shared" si="500"/>
        <v>5068305.3438920826</v>
      </c>
      <c r="CH726" s="58">
        <f t="shared" si="479"/>
        <v>1267076.3359730206</v>
      </c>
      <c r="CI726" s="58">
        <f t="shared" si="507"/>
        <v>1267076.3359730206</v>
      </c>
      <c r="CJ726" s="58">
        <f t="shared" si="507"/>
        <v>1267076.3359730206</v>
      </c>
      <c r="CK726" s="58">
        <f t="shared" si="507"/>
        <v>1267076.3359730206</v>
      </c>
      <c r="CL726" s="58">
        <f t="shared" si="484"/>
        <v>5068305.3438920826</v>
      </c>
      <c r="CN726" s="59">
        <f t="shared" si="492"/>
        <v>1.2978470824350794E-3</v>
      </c>
      <c r="CO726" s="64">
        <f t="shared" si="493"/>
        <v>27254788.731136665</v>
      </c>
      <c r="CP726" s="2">
        <f t="shared" si="501"/>
        <v>40546442.751136661</v>
      </c>
    </row>
    <row r="727" spans="1:94" ht="16.5" hidden="1" x14ac:dyDescent="0.3">
      <c r="A727" s="2">
        <v>722</v>
      </c>
      <c r="B727" s="47" t="s">
        <v>21</v>
      </c>
      <c r="C727" s="47"/>
      <c r="D727" s="30" t="s">
        <v>1725</v>
      </c>
      <c r="E727" s="30" t="s">
        <v>1042</v>
      </c>
      <c r="F727" s="30" t="s">
        <v>1043</v>
      </c>
      <c r="G727" s="30" t="s">
        <v>117</v>
      </c>
      <c r="H727" s="30"/>
      <c r="I727" s="30" t="s">
        <v>119</v>
      </c>
      <c r="J727" s="30" t="s">
        <v>1871</v>
      </c>
      <c r="K727" s="30" t="s">
        <v>1872</v>
      </c>
      <c r="L727" s="30" t="s">
        <v>1873</v>
      </c>
      <c r="M727" s="30">
        <v>1004526</v>
      </c>
      <c r="N727" s="30" t="s">
        <v>138</v>
      </c>
      <c r="O727" s="30" t="s">
        <v>2068</v>
      </c>
      <c r="P727" s="30" t="s">
        <v>1823</v>
      </c>
      <c r="Q727" s="30" t="s">
        <v>232</v>
      </c>
      <c r="R727" s="30" t="s">
        <v>142</v>
      </c>
      <c r="S727" s="30">
        <v>310703464</v>
      </c>
      <c r="T727" s="30" t="s">
        <v>1752</v>
      </c>
      <c r="U727" s="30" t="s">
        <v>588</v>
      </c>
      <c r="V727" s="30" t="s">
        <v>415</v>
      </c>
      <c r="W727" s="30" t="s">
        <v>146</v>
      </c>
      <c r="X727" s="89" t="s">
        <v>1757</v>
      </c>
      <c r="Y727" s="30" t="s">
        <v>128</v>
      </c>
      <c r="Z727" s="30" t="s">
        <v>128</v>
      </c>
      <c r="AA727" s="20" t="s">
        <v>148</v>
      </c>
      <c r="AB727" s="142" t="s">
        <v>1953</v>
      </c>
      <c r="AC727" s="30" t="s">
        <v>1954</v>
      </c>
      <c r="AD727" s="30"/>
      <c r="AE727" s="30"/>
      <c r="AF727" s="48" t="s">
        <v>151</v>
      </c>
      <c r="AG727" s="48" t="s">
        <v>152</v>
      </c>
      <c r="AH727" s="48" t="s">
        <v>153</v>
      </c>
      <c r="AI727" s="30"/>
      <c r="AJ727" s="30"/>
      <c r="AK727" s="50">
        <v>42033</v>
      </c>
      <c r="AL727" s="51">
        <f t="shared" si="508"/>
        <v>10.761643835616438</v>
      </c>
      <c r="AM727" s="30">
        <v>8</v>
      </c>
      <c r="AN727" s="30"/>
      <c r="AO727" s="30" t="s">
        <v>1050</v>
      </c>
      <c r="AP727" s="30" t="s">
        <v>1051</v>
      </c>
      <c r="AQ727" s="30">
        <v>9.83</v>
      </c>
      <c r="AR727" s="30">
        <v>1250</v>
      </c>
      <c r="AS727" s="30">
        <v>950</v>
      </c>
      <c r="AT727" s="30">
        <v>1800</v>
      </c>
      <c r="AU727" s="54">
        <v>518344912</v>
      </c>
      <c r="AV727" s="54"/>
      <c r="AW727" s="54"/>
      <c r="AX727" s="54"/>
      <c r="AY727" s="54">
        <v>518343912</v>
      </c>
      <c r="AZ727" s="54">
        <v>1860876</v>
      </c>
      <c r="BA727" s="54">
        <v>1000</v>
      </c>
      <c r="BB727" s="55">
        <f>VLOOKUP(M727,[1]Sheet1!$E$6:$F$556,2,FALSE)</f>
        <v>1000</v>
      </c>
      <c r="BC727" s="74"/>
      <c r="BD727" s="74"/>
      <c r="BE727" s="30"/>
      <c r="BF727" s="30" t="s">
        <v>1745</v>
      </c>
      <c r="BG727" s="30" t="s">
        <v>1880</v>
      </c>
      <c r="BH727" s="30" t="s">
        <v>1054</v>
      </c>
      <c r="BI727" s="30" t="str">
        <f t="shared" si="496"/>
        <v>COF(Assy_FT)</v>
      </c>
      <c r="BJ727" s="47" t="s">
        <v>137</v>
      </c>
      <c r="BK727" s="56">
        <f t="shared" si="509"/>
        <v>10366898.24</v>
      </c>
      <c r="BL727" s="57">
        <f t="shared" si="473"/>
        <v>988263.117410301</v>
      </c>
      <c r="BM727" s="57">
        <f t="shared" si="474"/>
        <v>329421.03913676698</v>
      </c>
      <c r="BU727" s="58">
        <f t="shared" si="511"/>
        <v>988263.117410301</v>
      </c>
      <c r="BV727" s="58">
        <f t="shared" si="506"/>
        <v>988263.117410301</v>
      </c>
      <c r="BW727" s="58">
        <f t="shared" si="483"/>
        <v>1976526.234820602</v>
      </c>
      <c r="BX727" s="58">
        <f t="shared" si="476"/>
        <v>988263.117410301</v>
      </c>
      <c r="BY727" s="58">
        <f t="shared" si="510"/>
        <v>988263.117410301</v>
      </c>
      <c r="BZ727" s="58">
        <f t="shared" si="512"/>
        <v>988263.117410301</v>
      </c>
      <c r="CA727" s="58">
        <f t="shared" si="510"/>
        <v>988263.117410301</v>
      </c>
      <c r="CB727" s="58">
        <f t="shared" si="497"/>
        <v>3953052.469641204</v>
      </c>
      <c r="CC727" s="58">
        <f t="shared" si="498"/>
        <v>988263.117410301</v>
      </c>
      <c r="CD727" s="58">
        <f t="shared" si="499"/>
        <v>988263.117410301</v>
      </c>
      <c r="CE727" s="58">
        <f t="shared" si="499"/>
        <v>988263.117410301</v>
      </c>
      <c r="CF727" s="58">
        <f t="shared" si="499"/>
        <v>988263.117410301</v>
      </c>
      <c r="CG727" s="58">
        <f t="shared" si="500"/>
        <v>3953052.469641204</v>
      </c>
      <c r="CH727" s="58">
        <f t="shared" si="479"/>
        <v>988263.117410301</v>
      </c>
      <c r="CI727" s="58">
        <f t="shared" si="507"/>
        <v>988263.117410301</v>
      </c>
      <c r="CJ727" s="58">
        <f t="shared" si="507"/>
        <v>988263.117410301</v>
      </c>
      <c r="CK727" s="58">
        <f t="shared" si="507"/>
        <v>988263.117410301</v>
      </c>
      <c r="CL727" s="58">
        <f t="shared" si="484"/>
        <v>3953052.469641204</v>
      </c>
      <c r="CN727" s="59">
        <f t="shared" si="492"/>
        <v>1.0122629293871253E-3</v>
      </c>
      <c r="CO727" s="64">
        <f t="shared" si="493"/>
        <v>21257521.51712963</v>
      </c>
      <c r="CP727" s="2">
        <f t="shared" si="501"/>
        <v>31624419.757129632</v>
      </c>
    </row>
    <row r="728" spans="1:94" ht="16.5" hidden="1" x14ac:dyDescent="0.3">
      <c r="A728" s="2">
        <v>723</v>
      </c>
      <c r="B728" s="47" t="s">
        <v>21</v>
      </c>
      <c r="C728" s="47"/>
      <c r="D728" s="30" t="s">
        <v>1725</v>
      </c>
      <c r="E728" s="30" t="s">
        <v>1042</v>
      </c>
      <c r="F728" s="30" t="s">
        <v>1043</v>
      </c>
      <c r="G728" s="30" t="s">
        <v>117</v>
      </c>
      <c r="H728" s="30"/>
      <c r="I728" s="30" t="s">
        <v>119</v>
      </c>
      <c r="J728" s="30" t="s">
        <v>1871</v>
      </c>
      <c r="K728" s="30" t="s">
        <v>1872</v>
      </c>
      <c r="L728" s="30" t="s">
        <v>1873</v>
      </c>
      <c r="M728" s="30">
        <v>1004543</v>
      </c>
      <c r="N728" s="30" t="s">
        <v>138</v>
      </c>
      <c r="O728" s="30" t="s">
        <v>2069</v>
      </c>
      <c r="P728" s="30" t="s">
        <v>1823</v>
      </c>
      <c r="Q728" s="30" t="s">
        <v>232</v>
      </c>
      <c r="R728" s="30" t="s">
        <v>142</v>
      </c>
      <c r="S728" s="30">
        <v>310703474</v>
      </c>
      <c r="T728" s="30" t="s">
        <v>1752</v>
      </c>
      <c r="U728" s="30" t="s">
        <v>588</v>
      </c>
      <c r="V728" s="30" t="s">
        <v>415</v>
      </c>
      <c r="W728" s="30" t="s">
        <v>146</v>
      </c>
      <c r="X728" s="89" t="s">
        <v>1757</v>
      </c>
      <c r="Y728" s="30" t="s">
        <v>128</v>
      </c>
      <c r="Z728" s="30" t="s">
        <v>128</v>
      </c>
      <c r="AA728" s="20" t="s">
        <v>148</v>
      </c>
      <c r="AB728" s="142" t="s">
        <v>1953</v>
      </c>
      <c r="AC728" s="30" t="s">
        <v>1954</v>
      </c>
      <c r="AD728" s="30"/>
      <c r="AE728" s="30"/>
      <c r="AF728" s="48" t="s">
        <v>151</v>
      </c>
      <c r="AG728" s="48" t="s">
        <v>152</v>
      </c>
      <c r="AH728" s="48" t="s">
        <v>153</v>
      </c>
      <c r="AI728" s="30"/>
      <c r="AJ728" s="30"/>
      <c r="AK728" s="50">
        <v>42063</v>
      </c>
      <c r="AL728" s="51">
        <f t="shared" si="508"/>
        <v>10.67945205479452</v>
      </c>
      <c r="AM728" s="30">
        <v>8</v>
      </c>
      <c r="AN728" s="30"/>
      <c r="AO728" s="30" t="s">
        <v>1050</v>
      </c>
      <c r="AP728" s="30" t="s">
        <v>1051</v>
      </c>
      <c r="AQ728" s="30">
        <v>9.83</v>
      </c>
      <c r="AR728" s="30">
        <v>1250</v>
      </c>
      <c r="AS728" s="30">
        <v>950</v>
      </c>
      <c r="AT728" s="30">
        <v>1800</v>
      </c>
      <c r="AU728" s="54">
        <v>519279925</v>
      </c>
      <c r="AV728" s="54"/>
      <c r="AW728" s="54"/>
      <c r="AX728" s="54"/>
      <c r="AY728" s="54">
        <v>519278925</v>
      </c>
      <c r="AZ728" s="54">
        <v>2015983</v>
      </c>
      <c r="BA728" s="54">
        <v>1000</v>
      </c>
      <c r="BB728" s="55">
        <f>VLOOKUP(M728,[1]Sheet1!$E$6:$F$556,2,FALSE)</f>
        <v>1000</v>
      </c>
      <c r="BC728" s="74"/>
      <c r="BD728" s="74"/>
      <c r="BE728" s="30"/>
      <c r="BF728" s="30" t="s">
        <v>1745</v>
      </c>
      <c r="BG728" s="30" t="s">
        <v>1880</v>
      </c>
      <c r="BH728" s="30" t="s">
        <v>1054</v>
      </c>
      <c r="BI728" s="30" t="str">
        <f t="shared" si="496"/>
        <v>COF(Assy_FT)</v>
      </c>
      <c r="BJ728" s="47" t="s">
        <v>137</v>
      </c>
      <c r="BK728" s="56">
        <f t="shared" si="509"/>
        <v>10385598.5</v>
      </c>
      <c r="BL728" s="57">
        <f t="shared" si="473"/>
        <v>990045.78921976045</v>
      </c>
      <c r="BM728" s="57">
        <f t="shared" si="474"/>
        <v>330015.2630732535</v>
      </c>
      <c r="BU728" s="58">
        <f t="shared" si="511"/>
        <v>990045.78921976057</v>
      </c>
      <c r="BV728" s="58">
        <f t="shared" si="506"/>
        <v>990045.78921976057</v>
      </c>
      <c r="BW728" s="58">
        <f t="shared" si="483"/>
        <v>1980091.5784395211</v>
      </c>
      <c r="BX728" s="58">
        <f t="shared" si="476"/>
        <v>990045.78921976057</v>
      </c>
      <c r="BY728" s="58">
        <f t="shared" si="510"/>
        <v>990045.78921976057</v>
      </c>
      <c r="BZ728" s="58">
        <f t="shared" si="512"/>
        <v>990045.78921976057</v>
      </c>
      <c r="CA728" s="58">
        <f t="shared" si="510"/>
        <v>990045.78921976057</v>
      </c>
      <c r="CB728" s="58">
        <f t="shared" si="497"/>
        <v>3960183.1568790423</v>
      </c>
      <c r="CC728" s="58">
        <f t="shared" si="498"/>
        <v>990045.78921976057</v>
      </c>
      <c r="CD728" s="58">
        <f t="shared" si="499"/>
        <v>990045.78921976057</v>
      </c>
      <c r="CE728" s="58">
        <f t="shared" si="499"/>
        <v>990045.78921976057</v>
      </c>
      <c r="CF728" s="58">
        <f t="shared" si="499"/>
        <v>990045.78921976057</v>
      </c>
      <c r="CG728" s="58">
        <f t="shared" si="500"/>
        <v>3960183.1568790423</v>
      </c>
      <c r="CH728" s="58">
        <f t="shared" si="479"/>
        <v>990045.78921976057</v>
      </c>
      <c r="CI728" s="58">
        <f t="shared" si="507"/>
        <v>990045.78921976057</v>
      </c>
      <c r="CJ728" s="58">
        <f t="shared" si="507"/>
        <v>990045.78921976057</v>
      </c>
      <c r="CK728" s="58">
        <f t="shared" si="507"/>
        <v>990045.78921976057</v>
      </c>
      <c r="CL728" s="58">
        <f t="shared" si="484"/>
        <v>3960183.1568790423</v>
      </c>
      <c r="CN728" s="59">
        <f t="shared" si="492"/>
        <v>1.0140888930967778E-3</v>
      </c>
      <c r="CO728" s="64">
        <f t="shared" si="493"/>
        <v>21295866.755032334</v>
      </c>
      <c r="CP728" s="2">
        <f t="shared" si="501"/>
        <v>31681465.255032334</v>
      </c>
    </row>
    <row r="729" spans="1:94" hidden="1" x14ac:dyDescent="0.3">
      <c r="A729" s="29">
        <v>724</v>
      </c>
      <c r="B729" s="30" t="s">
        <v>21</v>
      </c>
      <c r="C729" s="30"/>
      <c r="D729" s="30" t="s">
        <v>1725</v>
      </c>
      <c r="E729" s="30" t="s">
        <v>1042</v>
      </c>
      <c r="F729" s="30" t="s">
        <v>1043</v>
      </c>
      <c r="G729" s="30" t="s">
        <v>117</v>
      </c>
      <c r="H729" s="30"/>
      <c r="I729" s="30" t="s">
        <v>119</v>
      </c>
      <c r="J729" s="30" t="s">
        <v>1871</v>
      </c>
      <c r="K729" s="30" t="s">
        <v>1872</v>
      </c>
      <c r="L729" s="30" t="s">
        <v>1873</v>
      </c>
      <c r="M729" s="30">
        <v>1004742</v>
      </c>
      <c r="N729" s="30" t="s">
        <v>138</v>
      </c>
      <c r="O729" s="30" t="s">
        <v>2070</v>
      </c>
      <c r="P729" s="30" t="s">
        <v>1837</v>
      </c>
      <c r="Q729" s="30" t="s">
        <v>2039</v>
      </c>
      <c r="R729" s="30" t="s">
        <v>142</v>
      </c>
      <c r="S729" s="30">
        <v>310750563</v>
      </c>
      <c r="T729" s="30" t="s">
        <v>1780</v>
      </c>
      <c r="U729" s="30" t="s">
        <v>2067</v>
      </c>
      <c r="V729" s="30" t="s">
        <v>415</v>
      </c>
      <c r="W729" s="30" t="s">
        <v>146</v>
      </c>
      <c r="X729" s="89"/>
      <c r="Y729" s="30" t="s">
        <v>128</v>
      </c>
      <c r="Z729" s="30" t="s">
        <v>128</v>
      </c>
      <c r="AA729" s="20" t="s">
        <v>148</v>
      </c>
      <c r="AB729" s="142" t="s">
        <v>1953</v>
      </c>
      <c r="AC729" s="30" t="s">
        <v>1954</v>
      </c>
      <c r="AD729" s="30"/>
      <c r="AE729" s="30"/>
      <c r="AF729" s="30" t="s">
        <v>151</v>
      </c>
      <c r="AG729" s="30" t="s">
        <v>152</v>
      </c>
      <c r="AH729" s="30" t="s">
        <v>1839</v>
      </c>
      <c r="AI729" s="30"/>
      <c r="AJ729" s="30"/>
      <c r="AK729" s="50">
        <v>42548</v>
      </c>
      <c r="AL729" s="51">
        <f t="shared" si="508"/>
        <v>9.3506849315068497</v>
      </c>
      <c r="AM729" s="30">
        <v>8</v>
      </c>
      <c r="AN729" s="30"/>
      <c r="AO729" s="30" t="s">
        <v>1050</v>
      </c>
      <c r="AP729" s="30" t="s">
        <v>1187</v>
      </c>
      <c r="AQ729" s="30">
        <v>13.3</v>
      </c>
      <c r="AR729" s="30">
        <v>1050</v>
      </c>
      <c r="AS729" s="30">
        <v>800</v>
      </c>
      <c r="AT729" s="30">
        <v>1600</v>
      </c>
      <c r="AU729" s="74">
        <v>1083144387</v>
      </c>
      <c r="AV729" s="54"/>
      <c r="AW729" s="54"/>
      <c r="AX729" s="54"/>
      <c r="AY729" s="54">
        <v>1083143387</v>
      </c>
      <c r="AZ729" s="54">
        <v>10233961</v>
      </c>
      <c r="BA729" s="74">
        <v>1000</v>
      </c>
      <c r="BB729" s="55">
        <f>VLOOKUP(M729,[1]Sheet1!$E$6:$F$556,2,FALSE)</f>
        <v>1000</v>
      </c>
      <c r="BC729" s="74"/>
      <c r="BD729" s="74"/>
      <c r="BE729" s="30"/>
      <c r="BF729" s="30" t="s">
        <v>1745</v>
      </c>
      <c r="BG729" s="30" t="s">
        <v>1880</v>
      </c>
      <c r="BH729" s="30" t="s">
        <v>1054</v>
      </c>
      <c r="BI729" s="30" t="str">
        <f t="shared" si="496"/>
        <v>COF(Assy_FT)</v>
      </c>
      <c r="BJ729" s="30" t="s">
        <v>250</v>
      </c>
      <c r="BK729" s="56">
        <f t="shared" si="509"/>
        <v>21662887.740000002</v>
      </c>
      <c r="BL729" s="57">
        <f t="shared" si="473"/>
        <v>676965.24187500007</v>
      </c>
      <c r="BM729" s="57">
        <f t="shared" si="474"/>
        <v>225655.08062500003</v>
      </c>
      <c r="BU729" s="58">
        <f t="shared" si="511"/>
        <v>676965.24187500007</v>
      </c>
      <c r="BV729" s="58">
        <f t="shared" si="506"/>
        <v>676965.24187500007</v>
      </c>
      <c r="BW729" s="58">
        <f t="shared" si="483"/>
        <v>1353930.4837500001</v>
      </c>
      <c r="BX729" s="58">
        <f t="shared" si="476"/>
        <v>676965.24187500007</v>
      </c>
      <c r="BY729" s="58">
        <f t="shared" si="510"/>
        <v>676965.24187500007</v>
      </c>
      <c r="BZ729" s="58">
        <f t="shared" si="512"/>
        <v>676965.24187500007</v>
      </c>
      <c r="CA729" s="58">
        <f t="shared" si="510"/>
        <v>676965.24187500007</v>
      </c>
      <c r="CB729" s="58">
        <f t="shared" si="497"/>
        <v>2707860.9675000003</v>
      </c>
      <c r="CC729" s="58">
        <f t="shared" si="498"/>
        <v>676965.24187500007</v>
      </c>
      <c r="CD729" s="58">
        <f t="shared" si="499"/>
        <v>676965.24187500007</v>
      </c>
      <c r="CE729" s="58">
        <f t="shared" si="499"/>
        <v>676965.24187500007</v>
      </c>
      <c r="CF729" s="58">
        <f t="shared" si="499"/>
        <v>676965.24187500007</v>
      </c>
      <c r="CG729" s="58">
        <f t="shared" si="500"/>
        <v>2707860.9675000003</v>
      </c>
      <c r="CH729" s="58">
        <f t="shared" si="479"/>
        <v>676965.24187500007</v>
      </c>
      <c r="CI729" s="58">
        <f t="shared" si="507"/>
        <v>676965.24187500007</v>
      </c>
      <c r="CJ729" s="58">
        <f t="shared" si="507"/>
        <v>676965.24187500007</v>
      </c>
      <c r="CK729" s="58">
        <f t="shared" si="507"/>
        <v>676965.24187500007</v>
      </c>
      <c r="CL729" s="58">
        <f t="shared" si="484"/>
        <v>2707860.9675000003</v>
      </c>
      <c r="CP729" s="2">
        <f t="shared" si="501"/>
        <v>21662887.740000002</v>
      </c>
    </row>
    <row r="730" spans="1:94" ht="16.5" hidden="1" x14ac:dyDescent="0.3">
      <c r="A730" s="2">
        <v>725</v>
      </c>
      <c r="B730" s="47" t="s">
        <v>21</v>
      </c>
      <c r="C730" s="47"/>
      <c r="D730" s="30" t="s">
        <v>1725</v>
      </c>
      <c r="E730" s="30" t="s">
        <v>1042</v>
      </c>
      <c r="F730" s="30" t="s">
        <v>1043</v>
      </c>
      <c r="G730" s="30" t="s">
        <v>117</v>
      </c>
      <c r="H730" s="30"/>
      <c r="I730" s="30" t="s">
        <v>119</v>
      </c>
      <c r="J730" s="30" t="s">
        <v>1871</v>
      </c>
      <c r="K730" s="30" t="s">
        <v>1872</v>
      </c>
      <c r="L730" s="30" t="s">
        <v>1873</v>
      </c>
      <c r="M730" s="30">
        <v>1004862</v>
      </c>
      <c r="N730" s="30" t="s">
        <v>138</v>
      </c>
      <c r="O730" s="30" t="s">
        <v>2071</v>
      </c>
      <c r="P730" s="30" t="s">
        <v>1823</v>
      </c>
      <c r="Q730" s="30" t="s">
        <v>232</v>
      </c>
      <c r="R730" s="30" t="s">
        <v>142</v>
      </c>
      <c r="S730" s="30">
        <v>310584981</v>
      </c>
      <c r="T730" s="30" t="s">
        <v>1752</v>
      </c>
      <c r="U730" s="30" t="s">
        <v>588</v>
      </c>
      <c r="V730" s="30" t="s">
        <v>415</v>
      </c>
      <c r="W730" s="30" t="s">
        <v>146</v>
      </c>
      <c r="X730" s="89" t="s">
        <v>1757</v>
      </c>
      <c r="Y730" s="30" t="s">
        <v>128</v>
      </c>
      <c r="Z730" s="30" t="s">
        <v>128</v>
      </c>
      <c r="AA730" s="20" t="s">
        <v>148</v>
      </c>
      <c r="AB730" s="142" t="s">
        <v>1953</v>
      </c>
      <c r="AC730" s="30" t="s">
        <v>1954</v>
      </c>
      <c r="AD730" s="30"/>
      <c r="AE730" s="30"/>
      <c r="AF730" s="48" t="s">
        <v>151</v>
      </c>
      <c r="AG730" s="48" t="s">
        <v>152</v>
      </c>
      <c r="AH730" s="48" t="s">
        <v>153</v>
      </c>
      <c r="AI730" s="30"/>
      <c r="AJ730" s="30"/>
      <c r="AK730" s="50">
        <v>42576</v>
      </c>
      <c r="AL730" s="51">
        <f t="shared" si="508"/>
        <v>9.2739726027397253</v>
      </c>
      <c r="AM730" s="30">
        <v>8</v>
      </c>
      <c r="AN730" s="30"/>
      <c r="AO730" s="30" t="s">
        <v>1050</v>
      </c>
      <c r="AP730" s="30" t="s">
        <v>1051</v>
      </c>
      <c r="AQ730" s="30">
        <v>9.83</v>
      </c>
      <c r="AR730" s="30">
        <v>1250</v>
      </c>
      <c r="AS730" s="30">
        <v>950</v>
      </c>
      <c r="AT730" s="30">
        <v>1800</v>
      </c>
      <c r="AU730" s="54">
        <v>542030000</v>
      </c>
      <c r="AV730" s="54"/>
      <c r="AW730" s="54"/>
      <c r="AX730" s="54"/>
      <c r="AY730" s="54">
        <v>542029000</v>
      </c>
      <c r="AZ730" s="54">
        <v>4159316</v>
      </c>
      <c r="BA730" s="54">
        <v>1000</v>
      </c>
      <c r="BB730" s="55">
        <f>VLOOKUP(M730,[1]Sheet1!$E$6:$F$556,2,FALSE)</f>
        <v>1000</v>
      </c>
      <c r="BC730" s="74"/>
      <c r="BD730" s="74"/>
      <c r="BE730" s="30"/>
      <c r="BF730" s="30" t="s">
        <v>1745</v>
      </c>
      <c r="BG730" s="30" t="s">
        <v>1880</v>
      </c>
      <c r="BH730" s="30" t="s">
        <v>1054</v>
      </c>
      <c r="BI730" s="30" t="str">
        <f t="shared" si="496"/>
        <v>COF(Assy_FT)</v>
      </c>
      <c r="BJ730" s="47" t="s">
        <v>137</v>
      </c>
      <c r="BK730" s="56">
        <f t="shared" si="509"/>
        <v>10840600</v>
      </c>
      <c r="BL730" s="57">
        <f t="shared" si="473"/>
        <v>1033420.4988394011</v>
      </c>
      <c r="BM730" s="57">
        <f t="shared" si="474"/>
        <v>344473.49961313367</v>
      </c>
      <c r="BU730" s="58">
        <f t="shared" si="511"/>
        <v>1033420.4988394009</v>
      </c>
      <c r="BV730" s="58">
        <f t="shared" si="506"/>
        <v>1033420.4988394009</v>
      </c>
      <c r="BW730" s="58">
        <f t="shared" si="483"/>
        <v>2066840.9976788019</v>
      </c>
      <c r="BX730" s="58">
        <f t="shared" si="476"/>
        <v>1033420.4988394009</v>
      </c>
      <c r="BY730" s="58">
        <f t="shared" si="510"/>
        <v>1033420.4988394009</v>
      </c>
      <c r="BZ730" s="58">
        <f t="shared" si="512"/>
        <v>1033420.4988394009</v>
      </c>
      <c r="CA730" s="58">
        <f t="shared" si="510"/>
        <v>1033420.4988394009</v>
      </c>
      <c r="CB730" s="58">
        <f t="shared" si="497"/>
        <v>4133681.9953576038</v>
      </c>
      <c r="CC730" s="58">
        <f t="shared" si="498"/>
        <v>1033420.4988394009</v>
      </c>
      <c r="CD730" s="58">
        <f t="shared" si="499"/>
        <v>1033420.4988394009</v>
      </c>
      <c r="CE730" s="58">
        <f t="shared" si="499"/>
        <v>1033420.4988394009</v>
      </c>
      <c r="CF730" s="58">
        <f t="shared" si="499"/>
        <v>1033420.4988394009</v>
      </c>
      <c r="CG730" s="58">
        <f t="shared" si="500"/>
        <v>4133681.9953576038</v>
      </c>
      <c r="CH730" s="58">
        <f t="shared" si="479"/>
        <v>1033420.4988394009</v>
      </c>
      <c r="CI730" s="58">
        <f t="shared" si="507"/>
        <v>1033420.4988394009</v>
      </c>
      <c r="CJ730" s="58">
        <f t="shared" si="507"/>
        <v>1033420.4988394009</v>
      </c>
      <c r="CK730" s="58">
        <f t="shared" si="507"/>
        <v>1033420.4988394009</v>
      </c>
      <c r="CL730" s="58">
        <f t="shared" si="484"/>
        <v>4133681.9953576038</v>
      </c>
      <c r="CN730" s="59">
        <f t="shared" ref="CN730:CN735" si="513">BK730/$CN$3</f>
        <v>1.0585169506124206E-3</v>
      </c>
      <c r="CO730" s="64">
        <f t="shared" ref="CO730:CO735" si="514">CN730*$CO$4</f>
        <v>22228855.962860834</v>
      </c>
      <c r="CP730" s="2">
        <f t="shared" si="501"/>
        <v>33069455.962860834</v>
      </c>
    </row>
    <row r="731" spans="1:94" ht="16.5" hidden="1" x14ac:dyDescent="0.3">
      <c r="A731" s="2">
        <v>726</v>
      </c>
      <c r="B731" s="47" t="s">
        <v>21</v>
      </c>
      <c r="C731" s="47"/>
      <c r="D731" s="30" t="s">
        <v>1725</v>
      </c>
      <c r="E731" s="30" t="s">
        <v>1042</v>
      </c>
      <c r="F731" s="30" t="s">
        <v>1043</v>
      </c>
      <c r="G731" s="30" t="s">
        <v>117</v>
      </c>
      <c r="H731" s="30"/>
      <c r="I731" s="30" t="s">
        <v>119</v>
      </c>
      <c r="J731" s="30" t="s">
        <v>1871</v>
      </c>
      <c r="K731" s="30" t="s">
        <v>1872</v>
      </c>
      <c r="L731" s="30" t="s">
        <v>1873</v>
      </c>
      <c r="M731" s="30">
        <v>1004863</v>
      </c>
      <c r="N731" s="30" t="s">
        <v>138</v>
      </c>
      <c r="O731" s="30" t="s">
        <v>2072</v>
      </c>
      <c r="P731" s="30" t="s">
        <v>1823</v>
      </c>
      <c r="Q731" s="30" t="s">
        <v>232</v>
      </c>
      <c r="R731" s="30" t="s">
        <v>142</v>
      </c>
      <c r="S731" s="30">
        <v>310591264</v>
      </c>
      <c r="T731" s="30" t="s">
        <v>1752</v>
      </c>
      <c r="U731" s="30" t="s">
        <v>588</v>
      </c>
      <c r="V731" s="30" t="s">
        <v>415</v>
      </c>
      <c r="W731" s="30" t="s">
        <v>146</v>
      </c>
      <c r="X731" s="89" t="s">
        <v>1757</v>
      </c>
      <c r="Y731" s="30" t="s">
        <v>128</v>
      </c>
      <c r="Z731" s="30" t="s">
        <v>128</v>
      </c>
      <c r="AA731" s="20" t="s">
        <v>148</v>
      </c>
      <c r="AB731" s="142" t="s">
        <v>1953</v>
      </c>
      <c r="AC731" s="30" t="s">
        <v>1954</v>
      </c>
      <c r="AD731" s="30"/>
      <c r="AE731" s="30"/>
      <c r="AF731" s="48" t="s">
        <v>151</v>
      </c>
      <c r="AG731" s="48" t="s">
        <v>152</v>
      </c>
      <c r="AH731" s="48" t="s">
        <v>153</v>
      </c>
      <c r="AI731" s="30"/>
      <c r="AJ731" s="30"/>
      <c r="AK731" s="50">
        <v>42576</v>
      </c>
      <c r="AL731" s="51">
        <f t="shared" si="508"/>
        <v>9.2739726027397253</v>
      </c>
      <c r="AM731" s="30">
        <v>8</v>
      </c>
      <c r="AN731" s="30"/>
      <c r="AO731" s="30" t="s">
        <v>1050</v>
      </c>
      <c r="AP731" s="30" t="s">
        <v>1051</v>
      </c>
      <c r="AQ731" s="30">
        <v>9.83</v>
      </c>
      <c r="AR731" s="30">
        <v>1250</v>
      </c>
      <c r="AS731" s="30">
        <v>950</v>
      </c>
      <c r="AT731" s="30">
        <v>1800</v>
      </c>
      <c r="AU731" s="54">
        <v>542030000</v>
      </c>
      <c r="AV731" s="54"/>
      <c r="AW731" s="54"/>
      <c r="AX731" s="54"/>
      <c r="AY731" s="54">
        <v>542029000</v>
      </c>
      <c r="AZ731" s="54">
        <v>4159316</v>
      </c>
      <c r="BA731" s="54">
        <v>1000</v>
      </c>
      <c r="BB731" s="55">
        <f>VLOOKUP(M731,[1]Sheet1!$E$6:$F$556,2,FALSE)</f>
        <v>1000</v>
      </c>
      <c r="BC731" s="74"/>
      <c r="BD731" s="74"/>
      <c r="BE731" s="30"/>
      <c r="BF731" s="30" t="s">
        <v>1745</v>
      </c>
      <c r="BG731" s="30" t="s">
        <v>1880</v>
      </c>
      <c r="BH731" s="30" t="s">
        <v>1054</v>
      </c>
      <c r="BI731" s="30" t="str">
        <f t="shared" si="496"/>
        <v>COF(Assy_FT)</v>
      </c>
      <c r="BJ731" s="47" t="s">
        <v>137</v>
      </c>
      <c r="BK731" s="56">
        <f t="shared" si="509"/>
        <v>10840600</v>
      </c>
      <c r="BL731" s="57">
        <f t="shared" si="473"/>
        <v>1033420.4988394011</v>
      </c>
      <c r="BM731" s="57">
        <f t="shared" si="474"/>
        <v>344473.49961313367</v>
      </c>
      <c r="BU731" s="58">
        <f t="shared" si="511"/>
        <v>1033420.4988394009</v>
      </c>
      <c r="BV731" s="58">
        <f t="shared" ref="BT731:BV790" si="515">BU731</f>
        <v>1033420.4988394009</v>
      </c>
      <c r="BW731" s="58">
        <f t="shared" si="483"/>
        <v>2066840.9976788019</v>
      </c>
      <c r="BX731" s="58">
        <f t="shared" si="476"/>
        <v>1033420.4988394009</v>
      </c>
      <c r="BY731" s="58">
        <f t="shared" si="510"/>
        <v>1033420.4988394009</v>
      </c>
      <c r="BZ731" s="58">
        <f t="shared" si="512"/>
        <v>1033420.4988394009</v>
      </c>
      <c r="CA731" s="58">
        <f t="shared" si="510"/>
        <v>1033420.4988394009</v>
      </c>
      <c r="CB731" s="58">
        <f t="shared" si="497"/>
        <v>4133681.9953576038</v>
      </c>
      <c r="CC731" s="58">
        <f t="shared" si="498"/>
        <v>1033420.4988394009</v>
      </c>
      <c r="CD731" s="58">
        <f t="shared" ref="CD731:CF750" si="516">CC731</f>
        <v>1033420.4988394009</v>
      </c>
      <c r="CE731" s="58">
        <f t="shared" si="516"/>
        <v>1033420.4988394009</v>
      </c>
      <c r="CF731" s="58">
        <f t="shared" si="516"/>
        <v>1033420.4988394009</v>
      </c>
      <c r="CG731" s="58">
        <f t="shared" si="500"/>
        <v>4133681.9953576038</v>
      </c>
      <c r="CH731" s="58">
        <f t="shared" si="479"/>
        <v>1033420.4988394009</v>
      </c>
      <c r="CI731" s="58">
        <f t="shared" si="507"/>
        <v>1033420.4988394009</v>
      </c>
      <c r="CJ731" s="58">
        <f t="shared" si="507"/>
        <v>1033420.4988394009</v>
      </c>
      <c r="CK731" s="58">
        <f t="shared" si="507"/>
        <v>1033420.4988394009</v>
      </c>
      <c r="CL731" s="58">
        <f t="shared" si="484"/>
        <v>4133681.9953576038</v>
      </c>
      <c r="CN731" s="59">
        <f t="shared" si="513"/>
        <v>1.0585169506124206E-3</v>
      </c>
      <c r="CO731" s="64">
        <f t="shared" si="514"/>
        <v>22228855.962860834</v>
      </c>
      <c r="CP731" s="2">
        <f t="shared" si="501"/>
        <v>33069455.962860834</v>
      </c>
    </row>
    <row r="732" spans="1:94" ht="16.5" hidden="1" x14ac:dyDescent="0.3">
      <c r="A732" s="2">
        <v>727</v>
      </c>
      <c r="B732" s="47" t="s">
        <v>21</v>
      </c>
      <c r="C732" s="47"/>
      <c r="D732" s="30" t="s">
        <v>1725</v>
      </c>
      <c r="E732" s="30" t="s">
        <v>1042</v>
      </c>
      <c r="F732" s="30" t="s">
        <v>1043</v>
      </c>
      <c r="G732" s="30" t="s">
        <v>117</v>
      </c>
      <c r="H732" s="30"/>
      <c r="I732" s="30" t="s">
        <v>119</v>
      </c>
      <c r="J732" s="30" t="s">
        <v>1871</v>
      </c>
      <c r="K732" s="30" t="s">
        <v>1872</v>
      </c>
      <c r="L732" s="30" t="s">
        <v>1873</v>
      </c>
      <c r="M732" s="30">
        <v>1004224</v>
      </c>
      <c r="N732" s="30" t="s">
        <v>138</v>
      </c>
      <c r="O732" s="30" t="s">
        <v>2073</v>
      </c>
      <c r="P732" s="30" t="s">
        <v>1823</v>
      </c>
      <c r="Q732" s="30" t="s">
        <v>232</v>
      </c>
      <c r="R732" s="30" t="s">
        <v>142</v>
      </c>
      <c r="S732" s="30">
        <v>310653486</v>
      </c>
      <c r="T732" s="30" t="s">
        <v>1752</v>
      </c>
      <c r="U732" s="30" t="s">
        <v>588</v>
      </c>
      <c r="V732" s="30" t="s">
        <v>600</v>
      </c>
      <c r="W732" s="30" t="s">
        <v>146</v>
      </c>
      <c r="X732" s="89" t="s">
        <v>1757</v>
      </c>
      <c r="Y732" s="30" t="s">
        <v>128</v>
      </c>
      <c r="Z732" s="30" t="s">
        <v>128</v>
      </c>
      <c r="AA732" s="20" t="s">
        <v>148</v>
      </c>
      <c r="AB732" s="142" t="s">
        <v>1953</v>
      </c>
      <c r="AC732" s="30" t="s">
        <v>1954</v>
      </c>
      <c r="AD732" s="30"/>
      <c r="AE732" s="30"/>
      <c r="AF732" s="48" t="s">
        <v>151</v>
      </c>
      <c r="AG732" s="48" t="s">
        <v>152</v>
      </c>
      <c r="AH732" s="48" t="s">
        <v>153</v>
      </c>
      <c r="AI732" s="30"/>
      <c r="AJ732" s="30"/>
      <c r="AK732" s="50">
        <v>41710</v>
      </c>
      <c r="AL732" s="51">
        <f t="shared" si="508"/>
        <v>11.646575342465754</v>
      </c>
      <c r="AM732" s="30">
        <v>8</v>
      </c>
      <c r="AN732" s="30"/>
      <c r="AO732" s="30" t="s">
        <v>1050</v>
      </c>
      <c r="AP732" s="30" t="s">
        <v>1051</v>
      </c>
      <c r="AQ732" s="30">
        <v>9.83</v>
      </c>
      <c r="AR732" s="30">
        <v>1250</v>
      </c>
      <c r="AS732" s="30">
        <v>950</v>
      </c>
      <c r="AT732" s="30">
        <v>1800</v>
      </c>
      <c r="AU732" s="54">
        <v>613755962</v>
      </c>
      <c r="AV732" s="54"/>
      <c r="AW732" s="54"/>
      <c r="AX732" s="54"/>
      <c r="AY732" s="54">
        <v>613754962</v>
      </c>
      <c r="AZ732" s="54">
        <v>0</v>
      </c>
      <c r="BA732" s="54">
        <v>1000</v>
      </c>
      <c r="BB732" s="55">
        <f>VLOOKUP(M732,[1]Sheet1!$E$6:$F$556,2,FALSE)</f>
        <v>1000</v>
      </c>
      <c r="BC732" s="74"/>
      <c r="BD732" s="74"/>
      <c r="BE732" s="30"/>
      <c r="BF732" s="30" t="s">
        <v>1745</v>
      </c>
      <c r="BG732" s="30" t="s">
        <v>1880</v>
      </c>
      <c r="BH732" s="30" t="s">
        <v>1054</v>
      </c>
      <c r="BI732" s="30" t="str">
        <f t="shared" si="496"/>
        <v>COF(Assy_FT)</v>
      </c>
      <c r="BJ732" s="47" t="s">
        <v>137</v>
      </c>
      <c r="BK732" s="56">
        <f t="shared" si="509"/>
        <v>12275119.24</v>
      </c>
      <c r="BL732" s="57">
        <f t="shared" si="473"/>
        <v>1170171.3787349344</v>
      </c>
      <c r="BM732" s="57">
        <f t="shared" si="474"/>
        <v>390057.12624497811</v>
      </c>
      <c r="BU732" s="58">
        <f t="shared" si="511"/>
        <v>1170171.3787349344</v>
      </c>
      <c r="BV732" s="58">
        <f t="shared" si="515"/>
        <v>1170171.3787349344</v>
      </c>
      <c r="BW732" s="58">
        <f t="shared" si="483"/>
        <v>2340342.7574698688</v>
      </c>
      <c r="BX732" s="58">
        <f t="shared" si="476"/>
        <v>1170171.3787349344</v>
      </c>
      <c r="BY732" s="58">
        <f t="shared" si="510"/>
        <v>1170171.3787349344</v>
      </c>
      <c r="BZ732" s="58">
        <f t="shared" si="512"/>
        <v>1170171.3787349344</v>
      </c>
      <c r="CA732" s="58">
        <f t="shared" si="510"/>
        <v>1170171.3787349344</v>
      </c>
      <c r="CB732" s="58">
        <f t="shared" si="497"/>
        <v>4680685.5149397375</v>
      </c>
      <c r="CC732" s="58">
        <f t="shared" si="498"/>
        <v>1170171.3787349344</v>
      </c>
      <c r="CD732" s="58">
        <f t="shared" si="516"/>
        <v>1170171.3787349344</v>
      </c>
      <c r="CE732" s="58">
        <f t="shared" si="516"/>
        <v>1170171.3787349344</v>
      </c>
      <c r="CF732" s="58">
        <f t="shared" si="516"/>
        <v>1170171.3787349344</v>
      </c>
      <c r="CG732" s="58">
        <f t="shared" si="500"/>
        <v>4680685.5149397375</v>
      </c>
      <c r="CH732" s="58">
        <f t="shared" si="479"/>
        <v>1170171.3787349344</v>
      </c>
      <c r="CI732" s="58">
        <f t="shared" si="507"/>
        <v>1170171.3787349344</v>
      </c>
      <c r="CJ732" s="58">
        <f t="shared" si="507"/>
        <v>1170171.3787349344</v>
      </c>
      <c r="CK732" s="58">
        <f t="shared" si="507"/>
        <v>1170171.3787349344</v>
      </c>
      <c r="CL732" s="58">
        <f t="shared" si="484"/>
        <v>4680685.5149397375</v>
      </c>
      <c r="CN732" s="59">
        <f t="shared" si="513"/>
        <v>1.1985888037865666E-3</v>
      </c>
      <c r="CO732" s="64">
        <f t="shared" si="514"/>
        <v>25170364.879517898</v>
      </c>
      <c r="CP732" s="2">
        <f t="shared" si="501"/>
        <v>37445484.1195179</v>
      </c>
    </row>
    <row r="733" spans="1:94" ht="16.5" hidden="1" x14ac:dyDescent="0.3">
      <c r="A733" s="2">
        <v>728</v>
      </c>
      <c r="B733" s="47" t="s">
        <v>21</v>
      </c>
      <c r="C733" s="47"/>
      <c r="D733" s="30" t="s">
        <v>1725</v>
      </c>
      <c r="E733" s="30" t="s">
        <v>1042</v>
      </c>
      <c r="F733" s="30" t="s">
        <v>1043</v>
      </c>
      <c r="G733" s="30" t="s">
        <v>117</v>
      </c>
      <c r="H733" s="30"/>
      <c r="I733" s="30" t="s">
        <v>119</v>
      </c>
      <c r="J733" s="30" t="s">
        <v>1871</v>
      </c>
      <c r="K733" s="30" t="s">
        <v>1872</v>
      </c>
      <c r="L733" s="30" t="s">
        <v>1873</v>
      </c>
      <c r="M733" s="30">
        <v>1004168</v>
      </c>
      <c r="N733" s="30" t="s">
        <v>138</v>
      </c>
      <c r="O733" s="30" t="s">
        <v>2074</v>
      </c>
      <c r="P733" s="30" t="s">
        <v>1823</v>
      </c>
      <c r="Q733" s="30" t="s">
        <v>232</v>
      </c>
      <c r="R733" s="30" t="s">
        <v>142</v>
      </c>
      <c r="S733" s="30">
        <v>310653469</v>
      </c>
      <c r="T733" s="30" t="s">
        <v>1752</v>
      </c>
      <c r="U733" s="30" t="s">
        <v>588</v>
      </c>
      <c r="V733" s="30" t="s">
        <v>415</v>
      </c>
      <c r="W733" s="30" t="s">
        <v>146</v>
      </c>
      <c r="X733" s="89" t="s">
        <v>1757</v>
      </c>
      <c r="Y733" s="30" t="s">
        <v>457</v>
      </c>
      <c r="Z733" s="30" t="s">
        <v>457</v>
      </c>
      <c r="AA733" s="20" t="s">
        <v>148</v>
      </c>
      <c r="AB733" s="142" t="s">
        <v>1953</v>
      </c>
      <c r="AC733" s="30" t="s">
        <v>1954</v>
      </c>
      <c r="AD733" s="30"/>
      <c r="AE733" s="30"/>
      <c r="AF733" s="48" t="s">
        <v>151</v>
      </c>
      <c r="AG733" s="48" t="s">
        <v>152</v>
      </c>
      <c r="AH733" s="48" t="s">
        <v>153</v>
      </c>
      <c r="AI733" s="30"/>
      <c r="AJ733" s="30"/>
      <c r="AK733" s="50">
        <v>41670</v>
      </c>
      <c r="AL733" s="51">
        <f t="shared" si="508"/>
        <v>11.756164383561643</v>
      </c>
      <c r="AM733" s="30">
        <v>8</v>
      </c>
      <c r="AN733" s="30"/>
      <c r="AO733" s="30" t="s">
        <v>1050</v>
      </c>
      <c r="AP733" s="30" t="s">
        <v>1051</v>
      </c>
      <c r="AQ733" s="30">
        <v>9.83</v>
      </c>
      <c r="AR733" s="30">
        <v>1250</v>
      </c>
      <c r="AS733" s="30">
        <v>950</v>
      </c>
      <c r="AT733" s="30">
        <v>1800</v>
      </c>
      <c r="AU733" s="54">
        <v>616361520</v>
      </c>
      <c r="AV733" s="54"/>
      <c r="AW733" s="54"/>
      <c r="AX733" s="54"/>
      <c r="AY733" s="54">
        <v>616360520</v>
      </c>
      <c r="AZ733" s="54">
        <v>0</v>
      </c>
      <c r="BA733" s="54">
        <v>1000</v>
      </c>
      <c r="BB733" s="55">
        <f>VLOOKUP(M733,[1]Sheet1!$E$6:$F$556,2,FALSE)</f>
        <v>1000</v>
      </c>
      <c r="BC733" s="74"/>
      <c r="BD733" s="74"/>
      <c r="BE733" s="30"/>
      <c r="BF733" s="30" t="s">
        <v>1745</v>
      </c>
      <c r="BG733" s="30" t="s">
        <v>1880</v>
      </c>
      <c r="BH733" s="30" t="s">
        <v>1054</v>
      </c>
      <c r="BI733" s="30" t="str">
        <f t="shared" si="496"/>
        <v>COF(Assy_FT)</v>
      </c>
      <c r="BJ733" s="47" t="s">
        <v>137</v>
      </c>
      <c r="BK733" s="56">
        <f t="shared" si="509"/>
        <v>12327230.4</v>
      </c>
      <c r="BL733" s="57">
        <f t="shared" si="473"/>
        <v>1175139.0688039619</v>
      </c>
      <c r="BM733" s="57">
        <f t="shared" si="474"/>
        <v>391713.02293465397</v>
      </c>
      <c r="BU733" s="58">
        <f t="shared" si="511"/>
        <v>1175139.0688039619</v>
      </c>
      <c r="BV733" s="58">
        <f t="shared" si="515"/>
        <v>1175139.0688039619</v>
      </c>
      <c r="BW733" s="58">
        <f t="shared" si="483"/>
        <v>2350278.1376079237</v>
      </c>
      <c r="BX733" s="58">
        <f t="shared" si="476"/>
        <v>1175139.0688039619</v>
      </c>
      <c r="BY733" s="58">
        <f t="shared" si="510"/>
        <v>1175139.0688039619</v>
      </c>
      <c r="BZ733" s="58">
        <f t="shared" si="512"/>
        <v>1175139.0688039619</v>
      </c>
      <c r="CA733" s="58">
        <f t="shared" si="510"/>
        <v>1175139.0688039619</v>
      </c>
      <c r="CB733" s="58">
        <f t="shared" si="497"/>
        <v>4700556.2752158474</v>
      </c>
      <c r="CC733" s="58">
        <f t="shared" si="498"/>
        <v>1175139.0688039619</v>
      </c>
      <c r="CD733" s="58">
        <f t="shared" si="516"/>
        <v>1175139.0688039619</v>
      </c>
      <c r="CE733" s="58">
        <f t="shared" si="516"/>
        <v>1175139.0688039619</v>
      </c>
      <c r="CF733" s="58">
        <f t="shared" si="516"/>
        <v>1175139.0688039619</v>
      </c>
      <c r="CG733" s="58">
        <f t="shared" si="500"/>
        <v>4700556.2752158474</v>
      </c>
      <c r="CH733" s="58">
        <f t="shared" si="479"/>
        <v>1175139.0688039619</v>
      </c>
      <c r="CI733" s="58">
        <f t="shared" si="507"/>
        <v>1175139.0688039619</v>
      </c>
      <c r="CJ733" s="58">
        <f t="shared" si="507"/>
        <v>1175139.0688039619</v>
      </c>
      <c r="CK733" s="58">
        <f t="shared" si="507"/>
        <v>1175139.0688039619</v>
      </c>
      <c r="CL733" s="58">
        <f t="shared" si="484"/>
        <v>4700556.2752158474</v>
      </c>
      <c r="CN733" s="59">
        <f t="shared" si="513"/>
        <v>1.2036771334155609E-3</v>
      </c>
      <c r="CO733" s="64">
        <f t="shared" si="514"/>
        <v>25277219.801726781</v>
      </c>
      <c r="CP733" s="2">
        <f t="shared" si="501"/>
        <v>37604450.201726779</v>
      </c>
    </row>
    <row r="734" spans="1:94" ht="16.5" hidden="1" x14ac:dyDescent="0.3">
      <c r="A734" s="2">
        <v>729</v>
      </c>
      <c r="B734" s="47" t="s">
        <v>21</v>
      </c>
      <c r="C734" s="47"/>
      <c r="D734" s="30" t="s">
        <v>1725</v>
      </c>
      <c r="E734" s="30" t="s">
        <v>1042</v>
      </c>
      <c r="F734" s="30" t="s">
        <v>1043</v>
      </c>
      <c r="G734" s="30" t="s">
        <v>117</v>
      </c>
      <c r="H734" s="30"/>
      <c r="I734" s="30" t="s">
        <v>119</v>
      </c>
      <c r="J734" s="30" t="s">
        <v>1871</v>
      </c>
      <c r="K734" s="30" t="s">
        <v>1872</v>
      </c>
      <c r="L734" s="30" t="s">
        <v>1873</v>
      </c>
      <c r="M734" s="30">
        <v>1004332</v>
      </c>
      <c r="N734" s="30" t="s">
        <v>138</v>
      </c>
      <c r="O734" s="30" t="s">
        <v>2075</v>
      </c>
      <c r="P734" s="30" t="s">
        <v>1823</v>
      </c>
      <c r="Q734" s="30" t="s">
        <v>232</v>
      </c>
      <c r="R734" s="30" t="s">
        <v>142</v>
      </c>
      <c r="S734" s="30">
        <v>310672328</v>
      </c>
      <c r="T734" s="30" t="s">
        <v>1752</v>
      </c>
      <c r="U734" s="30" t="s">
        <v>588</v>
      </c>
      <c r="V734" s="30" t="s">
        <v>415</v>
      </c>
      <c r="W734" s="30" t="s">
        <v>146</v>
      </c>
      <c r="X734" s="89" t="s">
        <v>1757</v>
      </c>
      <c r="Y734" s="30" t="s">
        <v>457</v>
      </c>
      <c r="Z734" s="30" t="s">
        <v>457</v>
      </c>
      <c r="AA734" s="20" t="s">
        <v>148</v>
      </c>
      <c r="AB734" s="142" t="s">
        <v>1953</v>
      </c>
      <c r="AC734" s="30" t="s">
        <v>1954</v>
      </c>
      <c r="AD734" s="30"/>
      <c r="AE734" s="30"/>
      <c r="AF734" s="48" t="s">
        <v>151</v>
      </c>
      <c r="AG734" s="48" t="s">
        <v>152</v>
      </c>
      <c r="AH734" s="48" t="s">
        <v>153</v>
      </c>
      <c r="AI734" s="30"/>
      <c r="AJ734" s="30"/>
      <c r="AK734" s="50">
        <v>41782</v>
      </c>
      <c r="AL734" s="51">
        <f t="shared" si="508"/>
        <v>11.449315068493151</v>
      </c>
      <c r="AM734" s="30">
        <v>8</v>
      </c>
      <c r="AN734" s="30"/>
      <c r="AO734" s="30" t="s">
        <v>1050</v>
      </c>
      <c r="AP734" s="30" t="s">
        <v>1051</v>
      </c>
      <c r="AQ734" s="30">
        <v>9.83</v>
      </c>
      <c r="AR734" s="30">
        <v>1250</v>
      </c>
      <c r="AS734" s="30">
        <v>950</v>
      </c>
      <c r="AT734" s="30">
        <v>1800</v>
      </c>
      <c r="AU734" s="54">
        <v>587701924</v>
      </c>
      <c r="AV734" s="54"/>
      <c r="AW734" s="54"/>
      <c r="AX734" s="54"/>
      <c r="AY734" s="54">
        <v>587700924</v>
      </c>
      <c r="AZ734" s="54">
        <v>675429</v>
      </c>
      <c r="BA734" s="54">
        <v>1000</v>
      </c>
      <c r="BB734" s="55">
        <f>VLOOKUP(M734,[1]Sheet1!$E$6:$F$556,2,FALSE)</f>
        <v>1000</v>
      </c>
      <c r="BC734" s="74"/>
      <c r="BD734" s="74"/>
      <c r="BE734" s="30"/>
      <c r="BF734" s="30" t="s">
        <v>1745</v>
      </c>
      <c r="BG734" s="30" t="s">
        <v>1880</v>
      </c>
      <c r="BH734" s="30" t="s">
        <v>1054</v>
      </c>
      <c r="BI734" s="30" t="str">
        <f t="shared" si="496"/>
        <v>COF(Assy_FT)</v>
      </c>
      <c r="BJ734" s="47" t="s">
        <v>137</v>
      </c>
      <c r="BK734" s="56">
        <f t="shared" si="509"/>
        <v>11754038.48</v>
      </c>
      <c r="BL734" s="57">
        <f t="shared" si="473"/>
        <v>1120497.417982318</v>
      </c>
      <c r="BM734" s="57">
        <f t="shared" si="474"/>
        <v>373499.1393274393</v>
      </c>
      <c r="BU734" s="58">
        <f t="shared" si="511"/>
        <v>1120497.417982318</v>
      </c>
      <c r="BV734" s="58">
        <f t="shared" si="515"/>
        <v>1120497.417982318</v>
      </c>
      <c r="BW734" s="58">
        <f t="shared" si="483"/>
        <v>2240994.8359646359</v>
      </c>
      <c r="BX734" s="58">
        <f t="shared" si="476"/>
        <v>1120497.417982318</v>
      </c>
      <c r="BY734" s="58">
        <f t="shared" si="510"/>
        <v>1120497.417982318</v>
      </c>
      <c r="BZ734" s="58">
        <f t="shared" si="512"/>
        <v>1120497.417982318</v>
      </c>
      <c r="CA734" s="58">
        <f t="shared" si="510"/>
        <v>1120497.417982318</v>
      </c>
      <c r="CB734" s="58">
        <f t="shared" si="497"/>
        <v>4481989.6719292719</v>
      </c>
      <c r="CC734" s="58">
        <f t="shared" si="498"/>
        <v>1120497.417982318</v>
      </c>
      <c r="CD734" s="58">
        <f t="shared" si="516"/>
        <v>1120497.417982318</v>
      </c>
      <c r="CE734" s="58">
        <f t="shared" si="516"/>
        <v>1120497.417982318</v>
      </c>
      <c r="CF734" s="58">
        <f t="shared" si="516"/>
        <v>1120497.417982318</v>
      </c>
      <c r="CG734" s="58">
        <f t="shared" si="500"/>
        <v>4481989.6719292719</v>
      </c>
      <c r="CH734" s="58">
        <f t="shared" si="479"/>
        <v>1120497.417982318</v>
      </c>
      <c r="CI734" s="58">
        <f t="shared" si="507"/>
        <v>1120497.417982318</v>
      </c>
      <c r="CJ734" s="58">
        <f t="shared" si="507"/>
        <v>1120497.417982318</v>
      </c>
      <c r="CK734" s="58">
        <f t="shared" si="507"/>
        <v>1120497.417982318</v>
      </c>
      <c r="CL734" s="58">
        <f t="shared" si="484"/>
        <v>4481989.6719292719</v>
      </c>
      <c r="CN734" s="59">
        <f t="shared" si="513"/>
        <v>1.1477085188301987E-3</v>
      </c>
      <c r="CO734" s="64">
        <f t="shared" si="514"/>
        <v>24101878.895434175</v>
      </c>
      <c r="CP734" s="2">
        <f t="shared" si="501"/>
        <v>35855917.375434175</v>
      </c>
    </row>
    <row r="735" spans="1:94" ht="16.5" hidden="1" x14ac:dyDescent="0.3">
      <c r="A735" s="2">
        <v>730</v>
      </c>
      <c r="B735" s="47" t="s">
        <v>21</v>
      </c>
      <c r="C735" s="47"/>
      <c r="D735" s="30" t="s">
        <v>1725</v>
      </c>
      <c r="E735" s="30" t="s">
        <v>1042</v>
      </c>
      <c r="F735" s="30" t="s">
        <v>1043</v>
      </c>
      <c r="G735" s="30" t="s">
        <v>117</v>
      </c>
      <c r="H735" s="30"/>
      <c r="I735" s="30" t="s">
        <v>119</v>
      </c>
      <c r="J735" s="30" t="s">
        <v>1871</v>
      </c>
      <c r="K735" s="30" t="s">
        <v>1872</v>
      </c>
      <c r="L735" s="30" t="s">
        <v>1873</v>
      </c>
      <c r="M735" s="30">
        <v>1004297</v>
      </c>
      <c r="N735" s="30" t="s">
        <v>138</v>
      </c>
      <c r="O735" s="30" t="s">
        <v>2076</v>
      </c>
      <c r="P735" s="30" t="s">
        <v>1823</v>
      </c>
      <c r="Q735" s="30" t="s">
        <v>232</v>
      </c>
      <c r="R735" s="30" t="s">
        <v>142</v>
      </c>
      <c r="S735" s="30">
        <v>310669329</v>
      </c>
      <c r="T735" s="30" t="s">
        <v>1752</v>
      </c>
      <c r="U735" s="30" t="s">
        <v>588</v>
      </c>
      <c r="V735" s="30" t="s">
        <v>415</v>
      </c>
      <c r="W735" s="30" t="s">
        <v>146</v>
      </c>
      <c r="X735" s="89" t="s">
        <v>1757</v>
      </c>
      <c r="Y735" s="30" t="s">
        <v>457</v>
      </c>
      <c r="Z735" s="30" t="s">
        <v>457</v>
      </c>
      <c r="AA735" s="20" t="s">
        <v>148</v>
      </c>
      <c r="AB735" s="142" t="s">
        <v>1953</v>
      </c>
      <c r="AC735" s="30" t="s">
        <v>1954</v>
      </c>
      <c r="AD735" s="30"/>
      <c r="AE735" s="30"/>
      <c r="AF735" s="48" t="s">
        <v>151</v>
      </c>
      <c r="AG735" s="48" t="s">
        <v>152</v>
      </c>
      <c r="AH735" s="48" t="s">
        <v>153</v>
      </c>
      <c r="AI735" s="30"/>
      <c r="AJ735" s="30"/>
      <c r="AK735" s="50">
        <v>41750</v>
      </c>
      <c r="AL735" s="51">
        <f t="shared" si="508"/>
        <v>11.536986301369863</v>
      </c>
      <c r="AM735" s="30">
        <v>8</v>
      </c>
      <c r="AN735" s="30"/>
      <c r="AO735" s="30" t="s">
        <v>1050</v>
      </c>
      <c r="AP735" s="30" t="s">
        <v>1051</v>
      </c>
      <c r="AQ735" s="30">
        <v>9.83</v>
      </c>
      <c r="AR735" s="30">
        <v>1250</v>
      </c>
      <c r="AS735" s="30">
        <v>950</v>
      </c>
      <c r="AT735" s="30">
        <v>1800</v>
      </c>
      <c r="AU735" s="54">
        <v>590676290</v>
      </c>
      <c r="AV735" s="54"/>
      <c r="AW735" s="54"/>
      <c r="AX735" s="54"/>
      <c r="AY735" s="54">
        <v>590675290</v>
      </c>
      <c r="AZ735" s="54">
        <v>446586</v>
      </c>
      <c r="BA735" s="54">
        <v>1000</v>
      </c>
      <c r="BB735" s="55">
        <f>VLOOKUP(M735,[1]Sheet1!$E$6:$F$556,2,FALSE)</f>
        <v>1000</v>
      </c>
      <c r="BC735" s="74"/>
      <c r="BD735" s="74"/>
      <c r="BE735" s="30"/>
      <c r="BF735" s="30" t="s">
        <v>1745</v>
      </c>
      <c r="BG735" s="30" t="s">
        <v>1880</v>
      </c>
      <c r="BH735" s="30" t="s">
        <v>1054</v>
      </c>
      <c r="BI735" s="30" t="str">
        <f t="shared" si="496"/>
        <v>COF(Assy_FT)</v>
      </c>
      <c r="BJ735" s="47" t="s">
        <v>137</v>
      </c>
      <c r="BK735" s="56">
        <f t="shared" si="509"/>
        <v>11813525.800000001</v>
      </c>
      <c r="BL735" s="57">
        <f t="shared" si="473"/>
        <v>1126168.2679268799</v>
      </c>
      <c r="BM735" s="57">
        <f t="shared" si="474"/>
        <v>375389.42264229333</v>
      </c>
      <c r="BU735" s="58">
        <f t="shared" si="511"/>
        <v>1126168.2679268799</v>
      </c>
      <c r="BV735" s="58">
        <f t="shared" si="515"/>
        <v>1126168.2679268799</v>
      </c>
      <c r="BW735" s="58">
        <f t="shared" si="483"/>
        <v>2252336.5358537599</v>
      </c>
      <c r="BX735" s="58">
        <f t="shared" si="476"/>
        <v>1126168.2679268799</v>
      </c>
      <c r="BY735" s="58">
        <f t="shared" si="510"/>
        <v>1126168.2679268799</v>
      </c>
      <c r="BZ735" s="58">
        <f t="shared" si="512"/>
        <v>1126168.2679268799</v>
      </c>
      <c r="CA735" s="58">
        <f t="shared" si="510"/>
        <v>1126168.2679268799</v>
      </c>
      <c r="CB735" s="58">
        <f t="shared" si="497"/>
        <v>4504673.0717075197</v>
      </c>
      <c r="CC735" s="58">
        <f t="shared" si="498"/>
        <v>1126168.2679268799</v>
      </c>
      <c r="CD735" s="58">
        <f t="shared" si="516"/>
        <v>1126168.2679268799</v>
      </c>
      <c r="CE735" s="58">
        <f t="shared" si="516"/>
        <v>1126168.2679268799</v>
      </c>
      <c r="CF735" s="58">
        <f t="shared" si="516"/>
        <v>1126168.2679268799</v>
      </c>
      <c r="CG735" s="58">
        <f t="shared" si="500"/>
        <v>4504673.0717075197</v>
      </c>
      <c r="CH735" s="58">
        <f t="shared" si="479"/>
        <v>1126168.2679268799</v>
      </c>
      <c r="CI735" s="58">
        <f t="shared" si="507"/>
        <v>1126168.2679268799</v>
      </c>
      <c r="CJ735" s="58">
        <f t="shared" si="507"/>
        <v>1126168.2679268799</v>
      </c>
      <c r="CK735" s="58">
        <f t="shared" si="507"/>
        <v>1126168.2679268799</v>
      </c>
      <c r="CL735" s="58">
        <f t="shared" si="484"/>
        <v>4504673.0717075197</v>
      </c>
      <c r="CN735" s="59">
        <f t="shared" si="513"/>
        <v>1.1535170844600075E-3</v>
      </c>
      <c r="CO735" s="64">
        <f t="shared" si="514"/>
        <v>24223858.773660157</v>
      </c>
      <c r="CP735" s="2">
        <f t="shared" si="501"/>
        <v>36037384.573660158</v>
      </c>
    </row>
    <row r="736" spans="1:94" hidden="1" x14ac:dyDescent="0.3">
      <c r="A736" s="29">
        <v>731</v>
      </c>
      <c r="B736" s="30" t="s">
        <v>21</v>
      </c>
      <c r="C736" s="30"/>
      <c r="D736" s="30" t="s">
        <v>1725</v>
      </c>
      <c r="E736" s="30" t="s">
        <v>1042</v>
      </c>
      <c r="F736" s="30" t="s">
        <v>1043</v>
      </c>
      <c r="G736" s="30" t="s">
        <v>117</v>
      </c>
      <c r="H736" s="30"/>
      <c r="I736" s="30" t="s">
        <v>119</v>
      </c>
      <c r="J736" s="30" t="s">
        <v>1871</v>
      </c>
      <c r="K736" s="30" t="s">
        <v>1872</v>
      </c>
      <c r="L736" s="30" t="s">
        <v>1873</v>
      </c>
      <c r="M736" s="30">
        <v>1005262</v>
      </c>
      <c r="N736" s="30" t="s">
        <v>138</v>
      </c>
      <c r="O736" s="30" t="s">
        <v>2077</v>
      </c>
      <c r="P736" s="30" t="s">
        <v>1837</v>
      </c>
      <c r="Q736" s="30" t="s">
        <v>2039</v>
      </c>
      <c r="R736" s="30" t="s">
        <v>142</v>
      </c>
      <c r="S736" s="30">
        <v>310872873</v>
      </c>
      <c r="T736" s="30" t="s">
        <v>1780</v>
      </c>
      <c r="U736" s="30" t="s">
        <v>588</v>
      </c>
      <c r="V736" s="30" t="s">
        <v>415</v>
      </c>
      <c r="W736" s="30" t="s">
        <v>146</v>
      </c>
      <c r="X736" s="89"/>
      <c r="Y736" s="30" t="s">
        <v>457</v>
      </c>
      <c r="Z736" s="30" t="s">
        <v>457</v>
      </c>
      <c r="AA736" s="20" t="s">
        <v>148</v>
      </c>
      <c r="AB736" s="142" t="s">
        <v>1953</v>
      </c>
      <c r="AC736" s="30" t="s">
        <v>1954</v>
      </c>
      <c r="AD736" s="30"/>
      <c r="AE736" s="30"/>
      <c r="AF736" s="30" t="s">
        <v>151</v>
      </c>
      <c r="AG736" s="30" t="s">
        <v>152</v>
      </c>
      <c r="AH736" s="30" t="s">
        <v>1839</v>
      </c>
      <c r="AI736" s="30"/>
      <c r="AJ736" s="30"/>
      <c r="AK736" s="50">
        <v>43095</v>
      </c>
      <c r="AL736" s="51">
        <f t="shared" si="508"/>
        <v>7.8520547945205479</v>
      </c>
      <c r="AM736" s="30">
        <v>8</v>
      </c>
      <c r="AN736" s="30"/>
      <c r="AO736" s="30" t="s">
        <v>1050</v>
      </c>
      <c r="AP736" s="30" t="s">
        <v>1187</v>
      </c>
      <c r="AQ736" s="30">
        <v>13.3</v>
      </c>
      <c r="AR736" s="30">
        <v>1050</v>
      </c>
      <c r="AS736" s="30">
        <v>800</v>
      </c>
      <c r="AT736" s="30">
        <v>1600</v>
      </c>
      <c r="AU736" s="74">
        <v>933270724</v>
      </c>
      <c r="AV736" s="54"/>
      <c r="AW736" s="54"/>
      <c r="AX736" s="54"/>
      <c r="AY736" s="54">
        <v>894801676</v>
      </c>
      <c r="AZ736" s="54">
        <v>9617261</v>
      </c>
      <c r="BA736" s="74">
        <v>9617265</v>
      </c>
      <c r="BB736" s="55">
        <f>VLOOKUP(M736,[1]Sheet1!$E$6:$F$556,2,FALSE)</f>
        <v>0</v>
      </c>
      <c r="BC736" s="74"/>
      <c r="BD736" s="74"/>
      <c r="BE736" s="30"/>
      <c r="BF736" s="30" t="s">
        <v>1739</v>
      </c>
      <c r="BG736" s="30" t="s">
        <v>1880</v>
      </c>
      <c r="BH736" s="30" t="s">
        <v>1054</v>
      </c>
      <c r="BI736" s="30" t="str">
        <f t="shared" si="496"/>
        <v>COF(Assy_FT)</v>
      </c>
      <c r="BJ736" s="30" t="s">
        <v>250</v>
      </c>
      <c r="BK736" s="56">
        <f t="shared" si="509"/>
        <v>10098128.25</v>
      </c>
      <c r="BL736" s="57">
        <f t="shared" si="473"/>
        <v>315566.5078125</v>
      </c>
      <c r="BM736" s="57">
        <f t="shared" si="474"/>
        <v>105188.8359375</v>
      </c>
      <c r="BU736" s="58">
        <f t="shared" si="511"/>
        <v>315566.5078125</v>
      </c>
      <c r="BV736" s="58">
        <f t="shared" si="515"/>
        <v>315566.5078125</v>
      </c>
      <c r="BW736" s="58">
        <f t="shared" si="483"/>
        <v>631133.015625</v>
      </c>
      <c r="BX736" s="58">
        <f t="shared" si="476"/>
        <v>315566.5078125</v>
      </c>
      <c r="BY736" s="58">
        <f t="shared" si="510"/>
        <v>315566.5078125</v>
      </c>
      <c r="BZ736" s="58">
        <f t="shared" si="512"/>
        <v>315566.5078125</v>
      </c>
      <c r="CA736" s="58">
        <f t="shared" si="510"/>
        <v>315566.5078125</v>
      </c>
      <c r="CB736" s="58">
        <f t="shared" si="497"/>
        <v>1262266.03125</v>
      </c>
      <c r="CC736" s="58">
        <f t="shared" si="498"/>
        <v>315566.5078125</v>
      </c>
      <c r="CD736" s="58">
        <f t="shared" si="516"/>
        <v>315566.5078125</v>
      </c>
      <c r="CE736" s="58">
        <f t="shared" si="516"/>
        <v>315566.5078125</v>
      </c>
      <c r="CF736" s="58">
        <f t="shared" si="516"/>
        <v>315566.5078125</v>
      </c>
      <c r="CG736" s="58">
        <f t="shared" si="500"/>
        <v>1262266.03125</v>
      </c>
      <c r="CH736" s="58">
        <f t="shared" si="479"/>
        <v>315566.5078125</v>
      </c>
      <c r="CI736" s="58">
        <f t="shared" si="507"/>
        <v>315566.5078125</v>
      </c>
      <c r="CJ736" s="58">
        <f t="shared" si="507"/>
        <v>315566.5078125</v>
      </c>
      <c r="CK736" s="58">
        <f t="shared" si="507"/>
        <v>315566.5078125</v>
      </c>
      <c r="CL736" s="58">
        <f t="shared" si="484"/>
        <v>1262266.03125</v>
      </c>
      <c r="CP736" s="2">
        <f t="shared" si="501"/>
        <v>10098128.25</v>
      </c>
    </row>
    <row r="737" spans="1:94" hidden="1" x14ac:dyDescent="0.3">
      <c r="A737" s="29">
        <v>732</v>
      </c>
      <c r="B737" s="30" t="s">
        <v>21</v>
      </c>
      <c r="C737" s="30"/>
      <c r="D737" s="30" t="s">
        <v>1725</v>
      </c>
      <c r="E737" s="30" t="s">
        <v>1042</v>
      </c>
      <c r="F737" s="30" t="s">
        <v>1043</v>
      </c>
      <c r="G737" s="30" t="s">
        <v>117</v>
      </c>
      <c r="H737" s="30"/>
      <c r="I737" s="30" t="s">
        <v>119</v>
      </c>
      <c r="J737" s="30" t="s">
        <v>1871</v>
      </c>
      <c r="K737" s="30" t="s">
        <v>1872</v>
      </c>
      <c r="L737" s="30" t="s">
        <v>1873</v>
      </c>
      <c r="M737" s="30">
        <v>1005263</v>
      </c>
      <c r="N737" s="30" t="s">
        <v>138</v>
      </c>
      <c r="O737" s="30" t="s">
        <v>2078</v>
      </c>
      <c r="P737" s="30" t="s">
        <v>1837</v>
      </c>
      <c r="Q737" s="30" t="s">
        <v>2039</v>
      </c>
      <c r="R737" s="30" t="s">
        <v>142</v>
      </c>
      <c r="S737" s="30">
        <v>310872897</v>
      </c>
      <c r="T737" s="30" t="s">
        <v>1780</v>
      </c>
      <c r="U737" s="30" t="s">
        <v>588</v>
      </c>
      <c r="V737" s="30" t="s">
        <v>415</v>
      </c>
      <c r="W737" s="30" t="s">
        <v>146</v>
      </c>
      <c r="X737" s="89"/>
      <c r="Y737" s="30" t="s">
        <v>457</v>
      </c>
      <c r="Z737" s="30" t="s">
        <v>457</v>
      </c>
      <c r="AA737" s="20" t="s">
        <v>148</v>
      </c>
      <c r="AB737" s="142" t="s">
        <v>1953</v>
      </c>
      <c r="AC737" s="30" t="s">
        <v>1954</v>
      </c>
      <c r="AD737" s="30"/>
      <c r="AE737" s="30"/>
      <c r="AF737" s="30" t="s">
        <v>151</v>
      </c>
      <c r="AG737" s="30" t="s">
        <v>152</v>
      </c>
      <c r="AH737" s="30" t="s">
        <v>1839</v>
      </c>
      <c r="AI737" s="30"/>
      <c r="AJ737" s="30"/>
      <c r="AK737" s="50">
        <v>43095</v>
      </c>
      <c r="AL737" s="51">
        <f t="shared" si="508"/>
        <v>7.8520547945205479</v>
      </c>
      <c r="AM737" s="30">
        <v>8</v>
      </c>
      <c r="AN737" s="30"/>
      <c r="AO737" s="30" t="s">
        <v>1050</v>
      </c>
      <c r="AP737" s="30" t="s">
        <v>1187</v>
      </c>
      <c r="AQ737" s="30">
        <v>13.3</v>
      </c>
      <c r="AR737" s="30">
        <v>1050</v>
      </c>
      <c r="AS737" s="30">
        <v>800</v>
      </c>
      <c r="AT737" s="30">
        <v>1600</v>
      </c>
      <c r="AU737" s="74">
        <v>933270724</v>
      </c>
      <c r="AV737" s="54"/>
      <c r="AW737" s="54"/>
      <c r="AX737" s="54"/>
      <c r="AY737" s="54">
        <v>894801676</v>
      </c>
      <c r="AZ737" s="54">
        <v>9617261</v>
      </c>
      <c r="BA737" s="74">
        <v>9617265</v>
      </c>
      <c r="BB737" s="55">
        <f>VLOOKUP(M737,[1]Sheet1!$E$6:$F$556,2,FALSE)</f>
        <v>0</v>
      </c>
      <c r="BC737" s="74"/>
      <c r="BD737" s="74"/>
      <c r="BE737" s="30"/>
      <c r="BF737" s="30" t="s">
        <v>1739</v>
      </c>
      <c r="BG737" s="30" t="s">
        <v>1880</v>
      </c>
      <c r="BH737" s="30" t="s">
        <v>1054</v>
      </c>
      <c r="BI737" s="30" t="str">
        <f t="shared" si="496"/>
        <v>COF(Assy_FT)</v>
      </c>
      <c r="BJ737" s="30" t="s">
        <v>250</v>
      </c>
      <c r="BK737" s="56">
        <f t="shared" si="509"/>
        <v>10098128.25</v>
      </c>
      <c r="BL737" s="57">
        <f t="shared" si="473"/>
        <v>315566.5078125</v>
      </c>
      <c r="BM737" s="57">
        <f t="shared" si="474"/>
        <v>105188.8359375</v>
      </c>
      <c r="BU737" s="58">
        <f t="shared" si="511"/>
        <v>315566.5078125</v>
      </c>
      <c r="BV737" s="58">
        <f t="shared" si="515"/>
        <v>315566.5078125</v>
      </c>
      <c r="BW737" s="58">
        <f t="shared" si="483"/>
        <v>631133.015625</v>
      </c>
      <c r="BX737" s="58">
        <f t="shared" si="476"/>
        <v>315566.5078125</v>
      </c>
      <c r="BY737" s="58">
        <f t="shared" si="510"/>
        <v>315566.5078125</v>
      </c>
      <c r="BZ737" s="58">
        <f t="shared" si="512"/>
        <v>315566.5078125</v>
      </c>
      <c r="CA737" s="58">
        <f t="shared" si="510"/>
        <v>315566.5078125</v>
      </c>
      <c r="CB737" s="58">
        <f t="shared" si="497"/>
        <v>1262266.03125</v>
      </c>
      <c r="CC737" s="58">
        <f t="shared" si="498"/>
        <v>315566.5078125</v>
      </c>
      <c r="CD737" s="58">
        <f t="shared" si="516"/>
        <v>315566.5078125</v>
      </c>
      <c r="CE737" s="58">
        <f t="shared" si="516"/>
        <v>315566.5078125</v>
      </c>
      <c r="CF737" s="58">
        <f t="shared" si="516"/>
        <v>315566.5078125</v>
      </c>
      <c r="CG737" s="58">
        <f t="shared" si="500"/>
        <v>1262266.03125</v>
      </c>
      <c r="CH737" s="58">
        <f t="shared" si="479"/>
        <v>315566.5078125</v>
      </c>
      <c r="CI737" s="58">
        <f t="shared" si="507"/>
        <v>315566.5078125</v>
      </c>
      <c r="CJ737" s="58">
        <f t="shared" si="507"/>
        <v>315566.5078125</v>
      </c>
      <c r="CK737" s="58">
        <f t="shared" si="507"/>
        <v>315566.5078125</v>
      </c>
      <c r="CL737" s="58">
        <f t="shared" si="484"/>
        <v>1262266.03125</v>
      </c>
      <c r="CP737" s="2">
        <f t="shared" si="501"/>
        <v>10098128.25</v>
      </c>
    </row>
    <row r="738" spans="1:94" ht="16.5" hidden="1" x14ac:dyDescent="0.3">
      <c r="A738" s="2">
        <v>733</v>
      </c>
      <c r="B738" s="47" t="s">
        <v>21</v>
      </c>
      <c r="C738" s="47"/>
      <c r="D738" s="30" t="s">
        <v>1725</v>
      </c>
      <c r="E738" s="30" t="s">
        <v>1042</v>
      </c>
      <c r="F738" s="30" t="s">
        <v>1043</v>
      </c>
      <c r="G738" s="30" t="s">
        <v>117</v>
      </c>
      <c r="H738" s="30"/>
      <c r="I738" s="30" t="s">
        <v>119</v>
      </c>
      <c r="J738" s="30" t="s">
        <v>1871</v>
      </c>
      <c r="K738" s="30" t="s">
        <v>1872</v>
      </c>
      <c r="L738" s="30" t="s">
        <v>1873</v>
      </c>
      <c r="M738" s="30">
        <v>1004544</v>
      </c>
      <c r="N738" s="30" t="s">
        <v>138</v>
      </c>
      <c r="O738" s="30" t="s">
        <v>2079</v>
      </c>
      <c r="P738" s="30" t="s">
        <v>1823</v>
      </c>
      <c r="Q738" s="30" t="s">
        <v>232</v>
      </c>
      <c r="R738" s="30" t="s">
        <v>142</v>
      </c>
      <c r="S738" s="30">
        <v>310703484</v>
      </c>
      <c r="T738" s="30" t="s">
        <v>1752</v>
      </c>
      <c r="U738" s="30" t="s">
        <v>588</v>
      </c>
      <c r="V738" s="30" t="s">
        <v>415</v>
      </c>
      <c r="W738" s="30" t="s">
        <v>146</v>
      </c>
      <c r="X738" s="89"/>
      <c r="Y738" s="30" t="s">
        <v>457</v>
      </c>
      <c r="Z738" s="30" t="s">
        <v>457</v>
      </c>
      <c r="AA738" s="20" t="s">
        <v>148</v>
      </c>
      <c r="AB738" s="142" t="s">
        <v>1953</v>
      </c>
      <c r="AC738" s="30" t="s">
        <v>1954</v>
      </c>
      <c r="AD738" s="30"/>
      <c r="AE738" s="30"/>
      <c r="AF738" s="48" t="s">
        <v>151</v>
      </c>
      <c r="AG738" s="48" t="s">
        <v>152</v>
      </c>
      <c r="AH738" s="48" t="s">
        <v>153</v>
      </c>
      <c r="AI738" s="30"/>
      <c r="AJ738" s="30"/>
      <c r="AK738" s="50">
        <v>42063</v>
      </c>
      <c r="AL738" s="51">
        <f t="shared" si="508"/>
        <v>10.67945205479452</v>
      </c>
      <c r="AM738" s="30">
        <v>8</v>
      </c>
      <c r="AN738" s="30"/>
      <c r="AO738" s="30" t="s">
        <v>1050</v>
      </c>
      <c r="AP738" s="30" t="s">
        <v>1051</v>
      </c>
      <c r="AQ738" s="30">
        <v>9.83</v>
      </c>
      <c r="AR738" s="30">
        <v>1250</v>
      </c>
      <c r="AS738" s="30">
        <v>950</v>
      </c>
      <c r="AT738" s="30">
        <v>1800</v>
      </c>
      <c r="AU738" s="54">
        <v>532350533</v>
      </c>
      <c r="AV738" s="54"/>
      <c r="AW738" s="54"/>
      <c r="AX738" s="54"/>
      <c r="AY738" s="54">
        <v>532349533</v>
      </c>
      <c r="AZ738" s="54">
        <v>2185497</v>
      </c>
      <c r="BA738" s="54">
        <v>1000</v>
      </c>
      <c r="BB738" s="55">
        <f>VLOOKUP(M738,[1]Sheet1!$E$6:$F$556,2,FALSE)</f>
        <v>1000</v>
      </c>
      <c r="BC738" s="74"/>
      <c r="BD738" s="74"/>
      <c r="BE738" s="30"/>
      <c r="BF738" s="30" t="s">
        <v>1745</v>
      </c>
      <c r="BG738" s="30" t="s">
        <v>1880</v>
      </c>
      <c r="BH738" s="30" t="s">
        <v>1054</v>
      </c>
      <c r="BI738" s="30" t="str">
        <f t="shared" si="496"/>
        <v>COF(Assy_FT)</v>
      </c>
      <c r="BJ738" s="47" t="s">
        <v>137</v>
      </c>
      <c r="BK738" s="56">
        <f t="shared" si="509"/>
        <v>10647010.66</v>
      </c>
      <c r="BL738" s="57">
        <f t="shared" si="473"/>
        <v>332719.083125</v>
      </c>
      <c r="BM738" s="57">
        <f t="shared" si="474"/>
        <v>110906.36104166666</v>
      </c>
      <c r="BU738" s="58">
        <f t="shared" si="511"/>
        <v>332719.083125</v>
      </c>
      <c r="BV738" s="58">
        <f t="shared" si="515"/>
        <v>332719.083125</v>
      </c>
      <c r="BW738" s="58">
        <f t="shared" si="483"/>
        <v>665438.16625000001</v>
      </c>
      <c r="BX738" s="58">
        <f t="shared" si="476"/>
        <v>332719.083125</v>
      </c>
      <c r="BY738" s="58">
        <f t="shared" si="510"/>
        <v>332719.083125</v>
      </c>
      <c r="BZ738" s="58">
        <f t="shared" si="512"/>
        <v>332719.083125</v>
      </c>
      <c r="CA738" s="58">
        <f t="shared" si="510"/>
        <v>332719.083125</v>
      </c>
      <c r="CB738" s="58">
        <f t="shared" si="497"/>
        <v>1330876.3325</v>
      </c>
      <c r="CC738" s="58">
        <f t="shared" si="498"/>
        <v>332719.083125</v>
      </c>
      <c r="CD738" s="58">
        <f t="shared" si="516"/>
        <v>332719.083125</v>
      </c>
      <c r="CE738" s="58">
        <f t="shared" si="516"/>
        <v>332719.083125</v>
      </c>
      <c r="CF738" s="58">
        <f t="shared" si="516"/>
        <v>332719.083125</v>
      </c>
      <c r="CG738" s="58">
        <f t="shared" si="500"/>
        <v>1330876.3325</v>
      </c>
      <c r="CH738" s="58">
        <f t="shared" si="479"/>
        <v>332719.083125</v>
      </c>
      <c r="CI738" s="58">
        <f t="shared" si="507"/>
        <v>332719.083125</v>
      </c>
      <c r="CJ738" s="58">
        <f t="shared" si="507"/>
        <v>332719.083125</v>
      </c>
      <c r="CK738" s="58">
        <f t="shared" si="507"/>
        <v>332719.083125</v>
      </c>
      <c r="CL738" s="58">
        <f t="shared" si="484"/>
        <v>1330876.3325</v>
      </c>
      <c r="CP738" s="2">
        <f t="shared" si="501"/>
        <v>10647010.66</v>
      </c>
    </row>
    <row r="739" spans="1:94" hidden="1" x14ac:dyDescent="0.3">
      <c r="A739" s="29">
        <v>734</v>
      </c>
      <c r="B739" s="30" t="s">
        <v>21</v>
      </c>
      <c r="C739" s="30"/>
      <c r="D739" s="30" t="s">
        <v>1725</v>
      </c>
      <c r="E739" s="30" t="s">
        <v>1042</v>
      </c>
      <c r="F739" s="30" t="s">
        <v>1043</v>
      </c>
      <c r="G739" s="30" t="s">
        <v>117</v>
      </c>
      <c r="H739" s="30"/>
      <c r="I739" s="30" t="s">
        <v>119</v>
      </c>
      <c r="J739" s="30" t="s">
        <v>1871</v>
      </c>
      <c r="K739" s="30" t="s">
        <v>1872</v>
      </c>
      <c r="L739" s="30" t="s">
        <v>1873</v>
      </c>
      <c r="M739" s="30">
        <v>1005328</v>
      </c>
      <c r="N739" s="30" t="s">
        <v>138</v>
      </c>
      <c r="O739" s="30" t="s">
        <v>2080</v>
      </c>
      <c r="P739" s="30" t="s">
        <v>1837</v>
      </c>
      <c r="Q739" s="30" t="s">
        <v>2039</v>
      </c>
      <c r="R739" s="30" t="s">
        <v>142</v>
      </c>
      <c r="S739" s="30">
        <v>310892876</v>
      </c>
      <c r="T739" s="30" t="s">
        <v>1780</v>
      </c>
      <c r="U739" s="30" t="s">
        <v>588</v>
      </c>
      <c r="V739" s="30" t="s">
        <v>415</v>
      </c>
      <c r="W739" s="30" t="s">
        <v>146</v>
      </c>
      <c r="X739" s="89"/>
      <c r="Y739" s="30" t="s">
        <v>457</v>
      </c>
      <c r="Z739" s="30" t="s">
        <v>457</v>
      </c>
      <c r="AA739" s="20" t="s">
        <v>148</v>
      </c>
      <c r="AB739" s="142" t="s">
        <v>1953</v>
      </c>
      <c r="AC739" s="30" t="s">
        <v>1954</v>
      </c>
      <c r="AD739" s="30"/>
      <c r="AE739" s="30"/>
      <c r="AF739" s="30" t="s">
        <v>151</v>
      </c>
      <c r="AG739" s="30" t="s">
        <v>152</v>
      </c>
      <c r="AH739" s="30" t="s">
        <v>1839</v>
      </c>
      <c r="AI739" s="30"/>
      <c r="AJ739" s="30"/>
      <c r="AK739" s="50">
        <v>43150</v>
      </c>
      <c r="AL739" s="51">
        <f t="shared" si="508"/>
        <v>7.7013698630136984</v>
      </c>
      <c r="AM739" s="30">
        <v>8</v>
      </c>
      <c r="AN739" s="30"/>
      <c r="AO739" s="30" t="s">
        <v>1050</v>
      </c>
      <c r="AP739" s="30" t="s">
        <v>1051</v>
      </c>
      <c r="AQ739" s="30">
        <v>13.3</v>
      </c>
      <c r="AR739" s="30">
        <v>1050</v>
      </c>
      <c r="AS739" s="30">
        <v>800</v>
      </c>
      <c r="AT739" s="30">
        <v>1600</v>
      </c>
      <c r="AU739" s="74">
        <v>929939407</v>
      </c>
      <c r="AV739" s="54"/>
      <c r="AW739" s="54"/>
      <c r="AX739" s="54"/>
      <c r="AY739" s="54">
        <v>872022143</v>
      </c>
      <c r="AZ739" s="54">
        <v>9652880</v>
      </c>
      <c r="BA739" s="74">
        <v>28958624</v>
      </c>
      <c r="BB739" s="55">
        <f>VLOOKUP(M739,[1]Sheet1!$E$6:$F$556,2,FALSE)</f>
        <v>1000</v>
      </c>
      <c r="BC739" s="74"/>
      <c r="BD739" s="74"/>
      <c r="BE739" s="30"/>
      <c r="BF739" s="30" t="s">
        <v>1739</v>
      </c>
      <c r="BG739" s="30" t="s">
        <v>1880</v>
      </c>
      <c r="BH739" s="30" t="s">
        <v>1054</v>
      </c>
      <c r="BI739" s="30" t="str">
        <f t="shared" si="496"/>
        <v>COF(Assy_FT)</v>
      </c>
      <c r="BJ739" s="30" t="s">
        <v>250</v>
      </c>
      <c r="BK739" s="56">
        <f t="shared" si="509"/>
        <v>30406555.200000003</v>
      </c>
      <c r="BL739" s="57">
        <f t="shared" si="473"/>
        <v>950204.85000000009</v>
      </c>
      <c r="BM739" s="57">
        <f t="shared" si="474"/>
        <v>316734.95</v>
      </c>
      <c r="BU739" s="58">
        <f t="shared" si="511"/>
        <v>950204.85000000009</v>
      </c>
      <c r="BV739" s="58">
        <f t="shared" si="515"/>
        <v>950204.85000000009</v>
      </c>
      <c r="BW739" s="58">
        <f t="shared" si="483"/>
        <v>1900409.7000000002</v>
      </c>
      <c r="BX739" s="58">
        <f t="shared" si="476"/>
        <v>950204.85000000009</v>
      </c>
      <c r="BY739" s="58">
        <f t="shared" si="510"/>
        <v>950204.85000000009</v>
      </c>
      <c r="BZ739" s="58">
        <f t="shared" si="512"/>
        <v>950204.85000000009</v>
      </c>
      <c r="CA739" s="58">
        <f t="shared" si="510"/>
        <v>950204.85000000009</v>
      </c>
      <c r="CB739" s="58">
        <f t="shared" si="497"/>
        <v>3800819.4000000004</v>
      </c>
      <c r="CC739" s="58">
        <f t="shared" si="498"/>
        <v>950204.85000000009</v>
      </c>
      <c r="CD739" s="58">
        <f t="shared" si="516"/>
        <v>950204.85000000009</v>
      </c>
      <c r="CE739" s="58">
        <f t="shared" si="516"/>
        <v>950204.85000000009</v>
      </c>
      <c r="CF739" s="58">
        <f t="shared" si="516"/>
        <v>950204.85000000009</v>
      </c>
      <c r="CG739" s="58">
        <f t="shared" si="500"/>
        <v>3800819.4000000004</v>
      </c>
      <c r="CH739" s="58">
        <f t="shared" si="479"/>
        <v>950204.85000000009</v>
      </c>
      <c r="CI739" s="58">
        <f t="shared" ref="CI739:CK758" si="517">CH739</f>
        <v>950204.85000000009</v>
      </c>
      <c r="CJ739" s="58">
        <f t="shared" si="517"/>
        <v>950204.85000000009</v>
      </c>
      <c r="CK739" s="58">
        <f t="shared" si="517"/>
        <v>950204.85000000009</v>
      </c>
      <c r="CL739" s="58">
        <f t="shared" si="484"/>
        <v>3800819.4000000004</v>
      </c>
      <c r="CP739" s="2">
        <f t="shared" si="501"/>
        <v>30406555.200000003</v>
      </c>
    </row>
    <row r="740" spans="1:94" hidden="1" x14ac:dyDescent="0.3">
      <c r="A740" s="29">
        <v>735</v>
      </c>
      <c r="B740" s="30" t="s">
        <v>21</v>
      </c>
      <c r="C740" s="30"/>
      <c r="D740" s="30" t="s">
        <v>1725</v>
      </c>
      <c r="E740" s="30" t="s">
        <v>1042</v>
      </c>
      <c r="F740" s="30" t="s">
        <v>1043</v>
      </c>
      <c r="G740" s="30" t="s">
        <v>117</v>
      </c>
      <c r="H740" s="30"/>
      <c r="I740" s="30" t="s">
        <v>119</v>
      </c>
      <c r="J740" s="30" t="s">
        <v>1871</v>
      </c>
      <c r="K740" s="30" t="s">
        <v>1872</v>
      </c>
      <c r="L740" s="30" t="s">
        <v>1873</v>
      </c>
      <c r="M740" s="30">
        <v>1005329</v>
      </c>
      <c r="N740" s="30" t="s">
        <v>138</v>
      </c>
      <c r="O740" s="30" t="s">
        <v>2081</v>
      </c>
      <c r="P740" s="30" t="s">
        <v>1837</v>
      </c>
      <c r="Q740" s="30" t="s">
        <v>2039</v>
      </c>
      <c r="R740" s="30" t="s">
        <v>142</v>
      </c>
      <c r="S740" s="30">
        <v>310892877</v>
      </c>
      <c r="T740" s="30" t="s">
        <v>1780</v>
      </c>
      <c r="U740" s="30" t="s">
        <v>588</v>
      </c>
      <c r="V740" s="30" t="s">
        <v>415</v>
      </c>
      <c r="W740" s="30" t="s">
        <v>146</v>
      </c>
      <c r="X740" s="89"/>
      <c r="Y740" s="30" t="s">
        <v>457</v>
      </c>
      <c r="Z740" s="30" t="s">
        <v>457</v>
      </c>
      <c r="AA740" s="20" t="s">
        <v>148</v>
      </c>
      <c r="AB740" s="142" t="s">
        <v>1953</v>
      </c>
      <c r="AC740" s="30" t="s">
        <v>1954</v>
      </c>
      <c r="AD740" s="30"/>
      <c r="AE740" s="30"/>
      <c r="AF740" s="30" t="s">
        <v>151</v>
      </c>
      <c r="AG740" s="30" t="s">
        <v>152</v>
      </c>
      <c r="AH740" s="30" t="s">
        <v>1839</v>
      </c>
      <c r="AI740" s="30"/>
      <c r="AJ740" s="30"/>
      <c r="AK740" s="50">
        <v>43150</v>
      </c>
      <c r="AL740" s="51">
        <f t="shared" si="508"/>
        <v>7.7013698630136984</v>
      </c>
      <c r="AM740" s="30">
        <v>8</v>
      </c>
      <c r="AN740" s="30"/>
      <c r="AO740" s="30" t="s">
        <v>1050</v>
      </c>
      <c r="AP740" s="30" t="s">
        <v>1051</v>
      </c>
      <c r="AQ740" s="30">
        <v>13.3</v>
      </c>
      <c r="AR740" s="30">
        <v>1050</v>
      </c>
      <c r="AS740" s="30">
        <v>800</v>
      </c>
      <c r="AT740" s="30">
        <v>1600</v>
      </c>
      <c r="AU740" s="74">
        <v>929939407</v>
      </c>
      <c r="AV740" s="54"/>
      <c r="AW740" s="54"/>
      <c r="AX740" s="54"/>
      <c r="AY740" s="54">
        <v>872022143</v>
      </c>
      <c r="AZ740" s="54">
        <v>9652880</v>
      </c>
      <c r="BA740" s="74">
        <v>28958624</v>
      </c>
      <c r="BB740" s="55">
        <f>VLOOKUP(M740,[1]Sheet1!$E$6:$F$556,2,FALSE)</f>
        <v>1000</v>
      </c>
      <c r="BC740" s="74"/>
      <c r="BD740" s="74"/>
      <c r="BE740" s="30"/>
      <c r="BF740" s="30" t="s">
        <v>1739</v>
      </c>
      <c r="BG740" s="30" t="s">
        <v>1880</v>
      </c>
      <c r="BH740" s="30" t="s">
        <v>1054</v>
      </c>
      <c r="BI740" s="30" t="str">
        <f t="shared" si="496"/>
        <v>COF(Assy_FT)</v>
      </c>
      <c r="BJ740" s="30" t="s">
        <v>250</v>
      </c>
      <c r="BK740" s="56">
        <f t="shared" si="509"/>
        <v>30406555.200000003</v>
      </c>
      <c r="BL740" s="57">
        <f t="shared" si="473"/>
        <v>950204.85000000009</v>
      </c>
      <c r="BM740" s="57">
        <f t="shared" si="474"/>
        <v>316734.95</v>
      </c>
      <c r="BU740" s="58">
        <f t="shared" si="511"/>
        <v>950204.85000000009</v>
      </c>
      <c r="BV740" s="58">
        <f t="shared" si="515"/>
        <v>950204.85000000009</v>
      </c>
      <c r="BW740" s="58">
        <f t="shared" si="483"/>
        <v>1900409.7000000002</v>
      </c>
      <c r="BX740" s="58">
        <f t="shared" si="476"/>
        <v>950204.85000000009</v>
      </c>
      <c r="BY740" s="58">
        <f t="shared" si="510"/>
        <v>950204.85000000009</v>
      </c>
      <c r="BZ740" s="58">
        <f t="shared" si="512"/>
        <v>950204.85000000009</v>
      </c>
      <c r="CA740" s="58">
        <f t="shared" si="510"/>
        <v>950204.85000000009</v>
      </c>
      <c r="CB740" s="58">
        <f t="shared" si="497"/>
        <v>3800819.4000000004</v>
      </c>
      <c r="CC740" s="58">
        <f t="shared" si="498"/>
        <v>950204.85000000009</v>
      </c>
      <c r="CD740" s="58">
        <f t="shared" si="516"/>
        <v>950204.85000000009</v>
      </c>
      <c r="CE740" s="58">
        <f t="shared" si="516"/>
        <v>950204.85000000009</v>
      </c>
      <c r="CF740" s="58">
        <f t="shared" si="516"/>
        <v>950204.85000000009</v>
      </c>
      <c r="CG740" s="58">
        <f t="shared" si="500"/>
        <v>3800819.4000000004</v>
      </c>
      <c r="CH740" s="58">
        <f t="shared" si="479"/>
        <v>950204.85000000009</v>
      </c>
      <c r="CI740" s="58">
        <f t="shared" si="517"/>
        <v>950204.85000000009</v>
      </c>
      <c r="CJ740" s="58">
        <f t="shared" si="517"/>
        <v>950204.85000000009</v>
      </c>
      <c r="CK740" s="58">
        <f t="shared" si="517"/>
        <v>950204.85000000009</v>
      </c>
      <c r="CL740" s="58">
        <f t="shared" si="484"/>
        <v>3800819.4000000004</v>
      </c>
      <c r="CP740" s="2">
        <f t="shared" si="501"/>
        <v>30406555.200000003</v>
      </c>
    </row>
    <row r="741" spans="1:94" hidden="1" x14ac:dyDescent="0.3">
      <c r="A741" s="29">
        <v>736</v>
      </c>
      <c r="B741" s="30" t="s">
        <v>21</v>
      </c>
      <c r="C741" s="30"/>
      <c r="D741" s="30" t="s">
        <v>1725</v>
      </c>
      <c r="E741" s="30" t="s">
        <v>1042</v>
      </c>
      <c r="F741" s="30" t="s">
        <v>1043</v>
      </c>
      <c r="G741" s="30" t="s">
        <v>117</v>
      </c>
      <c r="H741" s="30"/>
      <c r="I741" s="30" t="s">
        <v>119</v>
      </c>
      <c r="J741" s="30" t="s">
        <v>1871</v>
      </c>
      <c r="K741" s="30" t="s">
        <v>1872</v>
      </c>
      <c r="L741" s="30" t="s">
        <v>1873</v>
      </c>
      <c r="M741" s="30">
        <v>1005330</v>
      </c>
      <c r="N741" s="30" t="s">
        <v>138</v>
      </c>
      <c r="O741" s="30" t="s">
        <v>2082</v>
      </c>
      <c r="P741" s="30" t="s">
        <v>1837</v>
      </c>
      <c r="Q741" s="30" t="s">
        <v>2039</v>
      </c>
      <c r="R741" s="30" t="s">
        <v>142</v>
      </c>
      <c r="S741" s="30">
        <v>310892894</v>
      </c>
      <c r="T741" s="30" t="s">
        <v>1780</v>
      </c>
      <c r="U741" s="30" t="s">
        <v>588</v>
      </c>
      <c r="V741" s="30" t="s">
        <v>415</v>
      </c>
      <c r="W741" s="30" t="s">
        <v>146</v>
      </c>
      <c r="X741" s="89"/>
      <c r="Y741" s="30" t="s">
        <v>457</v>
      </c>
      <c r="Z741" s="30" t="s">
        <v>457</v>
      </c>
      <c r="AA741" s="20" t="s">
        <v>148</v>
      </c>
      <c r="AB741" s="142" t="s">
        <v>1953</v>
      </c>
      <c r="AC741" s="30" t="s">
        <v>1954</v>
      </c>
      <c r="AD741" s="30"/>
      <c r="AE741" s="30"/>
      <c r="AF741" s="30" t="s">
        <v>151</v>
      </c>
      <c r="AG741" s="30" t="s">
        <v>152</v>
      </c>
      <c r="AH741" s="30" t="s">
        <v>1839</v>
      </c>
      <c r="AI741" s="30"/>
      <c r="AJ741" s="30"/>
      <c r="AK741" s="50">
        <v>43150</v>
      </c>
      <c r="AL741" s="51">
        <f t="shared" si="508"/>
        <v>7.7013698630136984</v>
      </c>
      <c r="AM741" s="30">
        <v>8</v>
      </c>
      <c r="AN741" s="30"/>
      <c r="AO741" s="30" t="s">
        <v>1050</v>
      </c>
      <c r="AP741" s="30" t="s">
        <v>1051</v>
      </c>
      <c r="AQ741" s="30">
        <v>13.3</v>
      </c>
      <c r="AR741" s="30">
        <v>1050</v>
      </c>
      <c r="AS741" s="30">
        <v>800</v>
      </c>
      <c r="AT741" s="30">
        <v>1600</v>
      </c>
      <c r="AU741" s="74">
        <v>929939407</v>
      </c>
      <c r="AV741" s="54"/>
      <c r="AW741" s="54"/>
      <c r="AX741" s="54"/>
      <c r="AY741" s="54">
        <v>872022143</v>
      </c>
      <c r="AZ741" s="54">
        <v>9652880</v>
      </c>
      <c r="BA741" s="74">
        <v>28958624</v>
      </c>
      <c r="BB741" s="55">
        <f>VLOOKUP(M741,[1]Sheet1!$E$6:$F$556,2,FALSE)</f>
        <v>1000</v>
      </c>
      <c r="BC741" s="74"/>
      <c r="BD741" s="74"/>
      <c r="BE741" s="30"/>
      <c r="BF741" s="30" t="s">
        <v>1739</v>
      </c>
      <c r="BG741" s="30" t="s">
        <v>1880</v>
      </c>
      <c r="BH741" s="30" t="s">
        <v>1054</v>
      </c>
      <c r="BI741" s="30" t="str">
        <f t="shared" si="496"/>
        <v>COF(Assy_FT)</v>
      </c>
      <c r="BJ741" s="30" t="s">
        <v>250</v>
      </c>
      <c r="BK741" s="56">
        <f t="shared" si="509"/>
        <v>30406555.200000003</v>
      </c>
      <c r="BL741" s="57">
        <f t="shared" si="473"/>
        <v>950204.85000000009</v>
      </c>
      <c r="BM741" s="57">
        <f t="shared" si="474"/>
        <v>316734.95</v>
      </c>
      <c r="BU741" s="58">
        <f t="shared" si="511"/>
        <v>950204.85000000009</v>
      </c>
      <c r="BV741" s="58">
        <f t="shared" si="515"/>
        <v>950204.85000000009</v>
      </c>
      <c r="BW741" s="58">
        <f t="shared" si="483"/>
        <v>1900409.7000000002</v>
      </c>
      <c r="BX741" s="58">
        <f t="shared" si="476"/>
        <v>950204.85000000009</v>
      </c>
      <c r="BY741" s="58">
        <f t="shared" si="510"/>
        <v>950204.85000000009</v>
      </c>
      <c r="BZ741" s="58">
        <f t="shared" si="512"/>
        <v>950204.85000000009</v>
      </c>
      <c r="CA741" s="58">
        <f t="shared" si="510"/>
        <v>950204.85000000009</v>
      </c>
      <c r="CB741" s="58">
        <f t="shared" si="497"/>
        <v>3800819.4000000004</v>
      </c>
      <c r="CC741" s="58">
        <f t="shared" si="498"/>
        <v>950204.85000000009</v>
      </c>
      <c r="CD741" s="58">
        <f t="shared" si="516"/>
        <v>950204.85000000009</v>
      </c>
      <c r="CE741" s="58">
        <f t="shared" si="516"/>
        <v>950204.85000000009</v>
      </c>
      <c r="CF741" s="58">
        <f t="shared" si="516"/>
        <v>950204.85000000009</v>
      </c>
      <c r="CG741" s="58">
        <f t="shared" si="500"/>
        <v>3800819.4000000004</v>
      </c>
      <c r="CH741" s="58">
        <f t="shared" si="479"/>
        <v>950204.85000000009</v>
      </c>
      <c r="CI741" s="58">
        <f t="shared" si="517"/>
        <v>950204.85000000009</v>
      </c>
      <c r="CJ741" s="58">
        <f t="shared" si="517"/>
        <v>950204.85000000009</v>
      </c>
      <c r="CK741" s="58">
        <f t="shared" si="517"/>
        <v>950204.85000000009</v>
      </c>
      <c r="CL741" s="58">
        <f t="shared" si="484"/>
        <v>3800819.4000000004</v>
      </c>
      <c r="CP741" s="2">
        <f t="shared" si="501"/>
        <v>30406555.200000003</v>
      </c>
    </row>
    <row r="742" spans="1:94" hidden="1" x14ac:dyDescent="0.3">
      <c r="A742" s="29">
        <v>737</v>
      </c>
      <c r="B742" s="30" t="s">
        <v>21</v>
      </c>
      <c r="C742" s="30"/>
      <c r="D742" s="30" t="s">
        <v>1725</v>
      </c>
      <c r="E742" s="30" t="s">
        <v>1042</v>
      </c>
      <c r="F742" s="30" t="s">
        <v>1043</v>
      </c>
      <c r="G742" s="30" t="s">
        <v>117</v>
      </c>
      <c r="H742" s="30"/>
      <c r="I742" s="30" t="s">
        <v>119</v>
      </c>
      <c r="J742" s="30" t="s">
        <v>1871</v>
      </c>
      <c r="K742" s="30" t="s">
        <v>1872</v>
      </c>
      <c r="L742" s="30" t="s">
        <v>1873</v>
      </c>
      <c r="M742" s="30">
        <v>1005363</v>
      </c>
      <c r="N742" s="30" t="s">
        <v>138</v>
      </c>
      <c r="O742" s="30" t="s">
        <v>2083</v>
      </c>
      <c r="P742" s="30" t="s">
        <v>1837</v>
      </c>
      <c r="Q742" s="30" t="s">
        <v>2039</v>
      </c>
      <c r="R742" s="30" t="s">
        <v>142</v>
      </c>
      <c r="S742" s="30">
        <v>310899004</v>
      </c>
      <c r="T742" s="30" t="s">
        <v>1780</v>
      </c>
      <c r="U742" s="30" t="s">
        <v>588</v>
      </c>
      <c r="V742" s="30" t="s">
        <v>415</v>
      </c>
      <c r="W742" s="30" t="s">
        <v>146</v>
      </c>
      <c r="X742" s="89"/>
      <c r="Y742" s="30" t="s">
        <v>457</v>
      </c>
      <c r="Z742" s="30" t="s">
        <v>457</v>
      </c>
      <c r="AA742" s="20" t="s">
        <v>148</v>
      </c>
      <c r="AB742" s="142" t="s">
        <v>1953</v>
      </c>
      <c r="AC742" s="30" t="s">
        <v>1954</v>
      </c>
      <c r="AD742" s="30"/>
      <c r="AE742" s="30"/>
      <c r="AF742" s="30" t="s">
        <v>151</v>
      </c>
      <c r="AG742" s="30" t="s">
        <v>152</v>
      </c>
      <c r="AH742" s="30" t="s">
        <v>1839</v>
      </c>
      <c r="AI742" s="30"/>
      <c r="AJ742" s="30"/>
      <c r="AK742" s="50">
        <v>43190</v>
      </c>
      <c r="AL742" s="51">
        <f t="shared" si="508"/>
        <v>7.5917808219178085</v>
      </c>
      <c r="AM742" s="30">
        <v>8</v>
      </c>
      <c r="AN742" s="30"/>
      <c r="AO742" s="30" t="s">
        <v>1050</v>
      </c>
      <c r="AP742" s="30" t="s">
        <v>1051</v>
      </c>
      <c r="AQ742" s="30">
        <v>13.3</v>
      </c>
      <c r="AR742" s="30">
        <v>1050</v>
      </c>
      <c r="AS742" s="30">
        <v>800</v>
      </c>
      <c r="AT742" s="30">
        <v>1600</v>
      </c>
      <c r="AU742" s="74">
        <v>965204627</v>
      </c>
      <c r="AV742" s="54"/>
      <c r="AW742" s="54"/>
      <c r="AX742" s="54"/>
      <c r="AY742" s="54">
        <v>894825123</v>
      </c>
      <c r="AZ742" s="54">
        <v>10054215</v>
      </c>
      <c r="BA742" s="74">
        <v>40216859</v>
      </c>
      <c r="BB742" s="55">
        <f>VLOOKUP(M742,[1]Sheet1!$E$6:$F$556,2,FALSE)</f>
        <v>1000</v>
      </c>
      <c r="BC742" s="74"/>
      <c r="BD742" s="74"/>
      <c r="BE742" s="30"/>
      <c r="BF742" s="30" t="s">
        <v>1739</v>
      </c>
      <c r="BG742" s="30" t="s">
        <v>1880</v>
      </c>
      <c r="BH742" s="30" t="s">
        <v>1054</v>
      </c>
      <c r="BI742" s="30" t="str">
        <f t="shared" si="496"/>
        <v>COF(Assy_FT)</v>
      </c>
      <c r="BJ742" s="30" t="s">
        <v>250</v>
      </c>
      <c r="BK742" s="56">
        <f t="shared" si="509"/>
        <v>42227701.950000003</v>
      </c>
      <c r="BL742" s="57">
        <f t="shared" si="473"/>
        <v>1319615.6859375001</v>
      </c>
      <c r="BM742" s="57">
        <f t="shared" si="474"/>
        <v>439871.89531250001</v>
      </c>
      <c r="BU742" s="58">
        <f t="shared" si="511"/>
        <v>1319615.6859375001</v>
      </c>
      <c r="BV742" s="58">
        <f t="shared" si="515"/>
        <v>1319615.6859375001</v>
      </c>
      <c r="BW742" s="58">
        <f t="shared" si="483"/>
        <v>2639231.3718750002</v>
      </c>
      <c r="BX742" s="58">
        <f t="shared" si="476"/>
        <v>1319615.6859375001</v>
      </c>
      <c r="BY742" s="58">
        <f t="shared" si="510"/>
        <v>1319615.6859375001</v>
      </c>
      <c r="BZ742" s="58">
        <f t="shared" si="512"/>
        <v>1319615.6859375001</v>
      </c>
      <c r="CA742" s="58">
        <f t="shared" si="510"/>
        <v>1319615.6859375001</v>
      </c>
      <c r="CB742" s="58">
        <f t="shared" si="497"/>
        <v>5278462.7437500004</v>
      </c>
      <c r="CC742" s="58">
        <f t="shared" si="498"/>
        <v>1319615.6859375001</v>
      </c>
      <c r="CD742" s="58">
        <f t="shared" si="516"/>
        <v>1319615.6859375001</v>
      </c>
      <c r="CE742" s="58">
        <f t="shared" si="516"/>
        <v>1319615.6859375001</v>
      </c>
      <c r="CF742" s="58">
        <f t="shared" si="516"/>
        <v>1319615.6859375001</v>
      </c>
      <c r="CG742" s="58">
        <f t="shared" si="500"/>
        <v>5278462.7437500004</v>
      </c>
      <c r="CH742" s="58">
        <f t="shared" si="479"/>
        <v>1319615.6859375001</v>
      </c>
      <c r="CI742" s="58">
        <f t="shared" si="517"/>
        <v>1319615.6859375001</v>
      </c>
      <c r="CJ742" s="58">
        <f t="shared" si="517"/>
        <v>1319615.6859375001</v>
      </c>
      <c r="CK742" s="58">
        <f t="shared" si="517"/>
        <v>1319615.6859375001</v>
      </c>
      <c r="CL742" s="58">
        <f t="shared" si="484"/>
        <v>5278462.7437500004</v>
      </c>
      <c r="CP742" s="2">
        <f t="shared" si="501"/>
        <v>42227701.950000003</v>
      </c>
    </row>
    <row r="743" spans="1:94" hidden="1" x14ac:dyDescent="0.3">
      <c r="A743" s="29">
        <v>738</v>
      </c>
      <c r="B743" s="30" t="s">
        <v>21</v>
      </c>
      <c r="C743" s="30"/>
      <c r="D743" s="30" t="s">
        <v>1725</v>
      </c>
      <c r="E743" s="30" t="s">
        <v>1042</v>
      </c>
      <c r="F743" s="30" t="s">
        <v>1043</v>
      </c>
      <c r="G743" s="30" t="s">
        <v>117</v>
      </c>
      <c r="H743" s="30"/>
      <c r="I743" s="30" t="s">
        <v>119</v>
      </c>
      <c r="J743" s="30" t="s">
        <v>1871</v>
      </c>
      <c r="K743" s="30" t="s">
        <v>1872</v>
      </c>
      <c r="L743" s="30" t="s">
        <v>1873</v>
      </c>
      <c r="M743" s="30">
        <v>1005364</v>
      </c>
      <c r="N743" s="30" t="s">
        <v>138</v>
      </c>
      <c r="O743" s="30" t="s">
        <v>2084</v>
      </c>
      <c r="P743" s="30" t="s">
        <v>1837</v>
      </c>
      <c r="Q743" s="30" t="s">
        <v>2039</v>
      </c>
      <c r="R743" s="30" t="s">
        <v>142</v>
      </c>
      <c r="S743" s="30">
        <v>310899034</v>
      </c>
      <c r="T743" s="30" t="s">
        <v>1780</v>
      </c>
      <c r="U743" s="30" t="s">
        <v>588</v>
      </c>
      <c r="V743" s="30" t="s">
        <v>415</v>
      </c>
      <c r="W743" s="30" t="s">
        <v>146</v>
      </c>
      <c r="X743" s="89"/>
      <c r="Y743" s="30" t="s">
        <v>457</v>
      </c>
      <c r="Z743" s="30" t="s">
        <v>457</v>
      </c>
      <c r="AA743" s="20" t="s">
        <v>148</v>
      </c>
      <c r="AB743" s="142" t="s">
        <v>1953</v>
      </c>
      <c r="AC743" s="30" t="s">
        <v>1954</v>
      </c>
      <c r="AD743" s="30"/>
      <c r="AE743" s="30"/>
      <c r="AF743" s="30" t="s">
        <v>151</v>
      </c>
      <c r="AG743" s="30" t="s">
        <v>152</v>
      </c>
      <c r="AH743" s="30" t="s">
        <v>1839</v>
      </c>
      <c r="AI743" s="30"/>
      <c r="AJ743" s="30"/>
      <c r="AK743" s="50">
        <v>43190</v>
      </c>
      <c r="AL743" s="51">
        <f t="shared" si="508"/>
        <v>7.5917808219178085</v>
      </c>
      <c r="AM743" s="30">
        <v>8</v>
      </c>
      <c r="AN743" s="30"/>
      <c r="AO743" s="30" t="s">
        <v>1050</v>
      </c>
      <c r="AP743" s="30" t="s">
        <v>1051</v>
      </c>
      <c r="AQ743" s="30">
        <v>13.3</v>
      </c>
      <c r="AR743" s="30">
        <v>1050</v>
      </c>
      <c r="AS743" s="30">
        <v>800</v>
      </c>
      <c r="AT743" s="30">
        <v>1600</v>
      </c>
      <c r="AU743" s="74">
        <v>965204628</v>
      </c>
      <c r="AV743" s="54"/>
      <c r="AW743" s="54"/>
      <c r="AX743" s="54"/>
      <c r="AY743" s="54">
        <v>894825123</v>
      </c>
      <c r="AZ743" s="54">
        <v>10054215</v>
      </c>
      <c r="BA743" s="74">
        <v>40216860</v>
      </c>
      <c r="BB743" s="55">
        <f>VLOOKUP(M743,[1]Sheet1!$E$6:$F$556,2,FALSE)</f>
        <v>1000</v>
      </c>
      <c r="BC743" s="74"/>
      <c r="BD743" s="74"/>
      <c r="BE743" s="30"/>
      <c r="BF743" s="30" t="s">
        <v>1739</v>
      </c>
      <c r="BG743" s="30" t="s">
        <v>1880</v>
      </c>
      <c r="BH743" s="30" t="s">
        <v>1054</v>
      </c>
      <c r="BI743" s="30" t="str">
        <f t="shared" si="496"/>
        <v>COF(Assy_FT)</v>
      </c>
      <c r="BJ743" s="30" t="s">
        <v>250</v>
      </c>
      <c r="BK743" s="56">
        <f t="shared" si="509"/>
        <v>42227703</v>
      </c>
      <c r="BL743" s="57">
        <f t="shared" si="473"/>
        <v>1319615.71875</v>
      </c>
      <c r="BM743" s="57">
        <f t="shared" si="474"/>
        <v>439871.90625</v>
      </c>
      <c r="BU743" s="58">
        <f t="shared" si="511"/>
        <v>1319615.71875</v>
      </c>
      <c r="BV743" s="58">
        <f t="shared" si="515"/>
        <v>1319615.71875</v>
      </c>
      <c r="BW743" s="58">
        <f t="shared" si="483"/>
        <v>2639231.4375</v>
      </c>
      <c r="BX743" s="58">
        <f t="shared" si="476"/>
        <v>1319615.71875</v>
      </c>
      <c r="BY743" s="58">
        <f t="shared" si="510"/>
        <v>1319615.71875</v>
      </c>
      <c r="BZ743" s="58">
        <f t="shared" si="512"/>
        <v>1319615.71875</v>
      </c>
      <c r="CA743" s="58">
        <f t="shared" si="510"/>
        <v>1319615.71875</v>
      </c>
      <c r="CB743" s="58">
        <f t="shared" si="497"/>
        <v>5278462.875</v>
      </c>
      <c r="CC743" s="58">
        <f t="shared" si="498"/>
        <v>1319615.71875</v>
      </c>
      <c r="CD743" s="58">
        <f t="shared" si="516"/>
        <v>1319615.71875</v>
      </c>
      <c r="CE743" s="58">
        <f t="shared" si="516"/>
        <v>1319615.71875</v>
      </c>
      <c r="CF743" s="58">
        <f t="shared" si="516"/>
        <v>1319615.71875</v>
      </c>
      <c r="CG743" s="58">
        <f t="shared" si="500"/>
        <v>5278462.875</v>
      </c>
      <c r="CH743" s="58">
        <f t="shared" si="479"/>
        <v>1319615.71875</v>
      </c>
      <c r="CI743" s="58">
        <f t="shared" si="517"/>
        <v>1319615.71875</v>
      </c>
      <c r="CJ743" s="58">
        <f t="shared" si="517"/>
        <v>1319615.71875</v>
      </c>
      <c r="CK743" s="58">
        <f t="shared" si="517"/>
        <v>1319615.71875</v>
      </c>
      <c r="CL743" s="58">
        <f t="shared" si="484"/>
        <v>5278462.875</v>
      </c>
      <c r="CP743" s="2">
        <f t="shared" si="501"/>
        <v>42227703</v>
      </c>
    </row>
    <row r="744" spans="1:94" ht="16.5" hidden="1" x14ac:dyDescent="0.3">
      <c r="A744" s="2">
        <v>739</v>
      </c>
      <c r="B744" s="47" t="s">
        <v>21</v>
      </c>
      <c r="C744" s="47"/>
      <c r="D744" s="30" t="s">
        <v>1725</v>
      </c>
      <c r="E744" s="30" t="s">
        <v>1042</v>
      </c>
      <c r="F744" s="30" t="s">
        <v>1043</v>
      </c>
      <c r="G744" s="30" t="s">
        <v>117</v>
      </c>
      <c r="H744" s="30"/>
      <c r="I744" s="30" t="s">
        <v>119</v>
      </c>
      <c r="J744" s="30" t="s">
        <v>1871</v>
      </c>
      <c r="K744" s="30" t="s">
        <v>1872</v>
      </c>
      <c r="L744" s="30" t="s">
        <v>1873</v>
      </c>
      <c r="M744" s="30">
        <v>1004238</v>
      </c>
      <c r="N744" s="30" t="s">
        <v>138</v>
      </c>
      <c r="O744" s="30" t="s">
        <v>2085</v>
      </c>
      <c r="P744" s="30" t="s">
        <v>1823</v>
      </c>
      <c r="Q744" s="30" t="s">
        <v>232</v>
      </c>
      <c r="R744" s="30" t="s">
        <v>142</v>
      </c>
      <c r="S744" s="30">
        <v>310663974</v>
      </c>
      <c r="T744" s="30" t="s">
        <v>1752</v>
      </c>
      <c r="U744" s="30" t="s">
        <v>588</v>
      </c>
      <c r="V744" s="30" t="s">
        <v>600</v>
      </c>
      <c r="W744" s="30" t="s">
        <v>146</v>
      </c>
      <c r="X744" s="89"/>
      <c r="Y744" s="30" t="s">
        <v>457</v>
      </c>
      <c r="Z744" s="30" t="s">
        <v>457</v>
      </c>
      <c r="AA744" s="20" t="s">
        <v>148</v>
      </c>
      <c r="AB744" s="142" t="s">
        <v>1953</v>
      </c>
      <c r="AC744" s="30" t="s">
        <v>1954</v>
      </c>
      <c r="AD744" s="30"/>
      <c r="AE744" s="30"/>
      <c r="AF744" s="48" t="s">
        <v>151</v>
      </c>
      <c r="AG744" s="48" t="s">
        <v>152</v>
      </c>
      <c r="AH744" s="48" t="s">
        <v>153</v>
      </c>
      <c r="AI744" s="30"/>
      <c r="AJ744" s="30"/>
      <c r="AK744" s="50">
        <v>41715</v>
      </c>
      <c r="AL744" s="51">
        <f t="shared" si="508"/>
        <v>11.632876712328768</v>
      </c>
      <c r="AM744" s="30">
        <v>8</v>
      </c>
      <c r="AN744" s="30"/>
      <c r="AO744" s="30" t="s">
        <v>1050</v>
      </c>
      <c r="AP744" s="30" t="s">
        <v>1051</v>
      </c>
      <c r="AQ744" s="30">
        <v>9.83</v>
      </c>
      <c r="AR744" s="30">
        <v>1250</v>
      </c>
      <c r="AS744" s="30">
        <v>950</v>
      </c>
      <c r="AT744" s="30">
        <v>1800</v>
      </c>
      <c r="AU744" s="54">
        <v>623947043</v>
      </c>
      <c r="AV744" s="54"/>
      <c r="AW744" s="54"/>
      <c r="AX744" s="54"/>
      <c r="AY744" s="54">
        <v>623946043</v>
      </c>
      <c r="AZ744" s="54">
        <v>0</v>
      </c>
      <c r="BA744" s="54">
        <v>1000</v>
      </c>
      <c r="BB744" s="55">
        <f>VLOOKUP(M744,[1]Sheet1!$E$6:$F$556,2,FALSE)</f>
        <v>1000</v>
      </c>
      <c r="BC744" s="74"/>
      <c r="BD744" s="74"/>
      <c r="BE744" s="30"/>
      <c r="BF744" s="30" t="s">
        <v>1745</v>
      </c>
      <c r="BG744" s="30" t="s">
        <v>1880</v>
      </c>
      <c r="BH744" s="30" t="s">
        <v>1054</v>
      </c>
      <c r="BI744" s="30" t="str">
        <f t="shared" si="496"/>
        <v>COF(Assy_FT)</v>
      </c>
      <c r="BJ744" s="47" t="s">
        <v>137</v>
      </c>
      <c r="BK744" s="56">
        <f t="shared" si="509"/>
        <v>12478940.859999999</v>
      </c>
      <c r="BL744" s="57">
        <f t="shared" si="473"/>
        <v>389966.90187499998</v>
      </c>
      <c r="BM744" s="57">
        <f t="shared" si="474"/>
        <v>129988.96729166666</v>
      </c>
      <c r="BU744" s="58">
        <f t="shared" si="511"/>
        <v>389966.90187499998</v>
      </c>
      <c r="BV744" s="58">
        <f t="shared" si="515"/>
        <v>389966.90187499998</v>
      </c>
      <c r="BW744" s="58">
        <f t="shared" si="483"/>
        <v>779933.80374999996</v>
      </c>
      <c r="BX744" s="58">
        <f t="shared" si="476"/>
        <v>389966.90187499998</v>
      </c>
      <c r="BY744" s="58">
        <f t="shared" si="510"/>
        <v>389966.90187499998</v>
      </c>
      <c r="BZ744" s="58">
        <f t="shared" si="512"/>
        <v>389966.90187499998</v>
      </c>
      <c r="CA744" s="58">
        <f t="shared" si="510"/>
        <v>389966.90187499998</v>
      </c>
      <c r="CB744" s="58">
        <f t="shared" si="497"/>
        <v>1559867.6074999999</v>
      </c>
      <c r="CC744" s="58">
        <f t="shared" si="498"/>
        <v>389966.90187499998</v>
      </c>
      <c r="CD744" s="58">
        <f t="shared" si="516"/>
        <v>389966.90187499998</v>
      </c>
      <c r="CE744" s="58">
        <f t="shared" si="516"/>
        <v>389966.90187499998</v>
      </c>
      <c r="CF744" s="58">
        <f t="shared" si="516"/>
        <v>389966.90187499998</v>
      </c>
      <c r="CG744" s="58">
        <f t="shared" si="500"/>
        <v>1559867.6074999999</v>
      </c>
      <c r="CH744" s="58">
        <f t="shared" si="479"/>
        <v>389966.90187499998</v>
      </c>
      <c r="CI744" s="58">
        <f t="shared" si="517"/>
        <v>389966.90187499998</v>
      </c>
      <c r="CJ744" s="58">
        <f t="shared" si="517"/>
        <v>389966.90187499998</v>
      </c>
      <c r="CK744" s="58">
        <f t="shared" si="517"/>
        <v>389966.90187499998</v>
      </c>
      <c r="CL744" s="58">
        <f t="shared" si="484"/>
        <v>1559867.6074999999</v>
      </c>
      <c r="CP744" s="2">
        <f t="shared" si="501"/>
        <v>12478940.859999999</v>
      </c>
    </row>
    <row r="745" spans="1:94" ht="16.5" hidden="1" x14ac:dyDescent="0.3">
      <c r="A745" s="2">
        <v>740</v>
      </c>
      <c r="B745" s="47" t="s">
        <v>21</v>
      </c>
      <c r="C745" s="47"/>
      <c r="D745" s="30" t="s">
        <v>1725</v>
      </c>
      <c r="E745" s="30" t="s">
        <v>1042</v>
      </c>
      <c r="F745" s="30" t="s">
        <v>1043</v>
      </c>
      <c r="G745" s="30" t="s">
        <v>117</v>
      </c>
      <c r="H745" s="30"/>
      <c r="I745" s="30" t="s">
        <v>119</v>
      </c>
      <c r="J745" s="30" t="s">
        <v>1871</v>
      </c>
      <c r="K745" s="30" t="s">
        <v>1872</v>
      </c>
      <c r="L745" s="30" t="s">
        <v>1873</v>
      </c>
      <c r="M745" s="30">
        <v>1004233</v>
      </c>
      <c r="N745" s="30" t="s">
        <v>138</v>
      </c>
      <c r="O745" s="30" t="s">
        <v>2086</v>
      </c>
      <c r="P745" s="30" t="s">
        <v>1823</v>
      </c>
      <c r="Q745" s="30" t="s">
        <v>232</v>
      </c>
      <c r="R745" s="30" t="s">
        <v>142</v>
      </c>
      <c r="S745" s="30">
        <v>310633975</v>
      </c>
      <c r="T745" s="30" t="s">
        <v>1752</v>
      </c>
      <c r="U745" s="30" t="s">
        <v>588</v>
      </c>
      <c r="V745" s="30" t="s">
        <v>415</v>
      </c>
      <c r="W745" s="30" t="s">
        <v>146</v>
      </c>
      <c r="X745" s="89" t="s">
        <v>1838</v>
      </c>
      <c r="Y745" s="125" t="s">
        <v>457</v>
      </c>
      <c r="Z745" s="125" t="s">
        <v>457</v>
      </c>
      <c r="AA745" s="20" t="s">
        <v>148</v>
      </c>
      <c r="AB745" s="142" t="s">
        <v>1953</v>
      </c>
      <c r="AC745" s="30" t="s">
        <v>1954</v>
      </c>
      <c r="AD745" s="30"/>
      <c r="AE745" s="30"/>
      <c r="AF745" s="48" t="s">
        <v>151</v>
      </c>
      <c r="AG745" s="48" t="s">
        <v>152</v>
      </c>
      <c r="AH745" s="48" t="s">
        <v>153</v>
      </c>
      <c r="AI745" s="30"/>
      <c r="AJ745" s="30"/>
      <c r="AK745" s="50">
        <v>41715</v>
      </c>
      <c r="AL745" s="51">
        <f t="shared" si="508"/>
        <v>11.632876712328768</v>
      </c>
      <c r="AM745" s="30">
        <v>8</v>
      </c>
      <c r="AN745" s="30"/>
      <c r="AO745" s="30" t="s">
        <v>1050</v>
      </c>
      <c r="AP745" s="30" t="s">
        <v>1051</v>
      </c>
      <c r="AQ745" s="30">
        <v>9.83</v>
      </c>
      <c r="AR745" s="30">
        <v>1250</v>
      </c>
      <c r="AS745" s="30">
        <v>950</v>
      </c>
      <c r="AT745" s="30">
        <v>1800</v>
      </c>
      <c r="AU745" s="54">
        <v>623947044</v>
      </c>
      <c r="AV745" s="54"/>
      <c r="AW745" s="54"/>
      <c r="AX745" s="54"/>
      <c r="AY745" s="54">
        <v>623946044</v>
      </c>
      <c r="AZ745" s="54">
        <v>0</v>
      </c>
      <c r="BA745" s="54">
        <v>1000</v>
      </c>
      <c r="BB745" s="55">
        <f>VLOOKUP(M745,[1]Sheet1!$E$6:$F$556,2,FALSE)</f>
        <v>1000</v>
      </c>
      <c r="BC745" s="74"/>
      <c r="BD745" s="74"/>
      <c r="BE745" s="30"/>
      <c r="BF745" s="30" t="s">
        <v>1745</v>
      </c>
      <c r="BG745" s="30" t="s">
        <v>1880</v>
      </c>
      <c r="BH745" s="30" t="s">
        <v>1054</v>
      </c>
      <c r="BI745" s="30" t="str">
        <f t="shared" si="496"/>
        <v>COF(Assy_FT)</v>
      </c>
      <c r="BJ745" s="47" t="s">
        <v>137</v>
      </c>
      <c r="BK745" s="67">
        <f t="shared" si="509"/>
        <v>12478940.880000001</v>
      </c>
      <c r="BL745" s="68">
        <f t="shared" si="473"/>
        <v>1189601.4343483751</v>
      </c>
      <c r="BM745" s="68">
        <f t="shared" si="474"/>
        <v>396533.81144945836</v>
      </c>
      <c r="BP745" s="69">
        <f>BM745*3</f>
        <v>1189601.4343483751</v>
      </c>
      <c r="BQ745" s="69">
        <f>BP745</f>
        <v>1189601.4343483751</v>
      </c>
      <c r="BR745" s="69">
        <f>SUM(BN745:BQ745)</f>
        <v>2379202.8686967501</v>
      </c>
      <c r="BS745" s="69">
        <f>BQ745</f>
        <v>1189601.4343483751</v>
      </c>
      <c r="BT745" s="69">
        <f>BS745</f>
        <v>1189601.4343483751</v>
      </c>
      <c r="BU745" s="100">
        <f>BT745</f>
        <v>1189601.4343483751</v>
      </c>
      <c r="BV745" s="100">
        <f t="shared" si="515"/>
        <v>1189601.4343483751</v>
      </c>
      <c r="BW745" s="100">
        <f t="shared" si="483"/>
        <v>4758405.7373935003</v>
      </c>
      <c r="BX745" s="101">
        <f t="shared" si="476"/>
        <v>1189601.4343483751</v>
      </c>
      <c r="BY745" s="101">
        <f t="shared" si="510"/>
        <v>1189601.4343483751</v>
      </c>
      <c r="BZ745" s="18">
        <f t="shared" si="512"/>
        <v>1189601.4343483751</v>
      </c>
      <c r="CA745" s="18">
        <f t="shared" si="510"/>
        <v>1189601.4343483751</v>
      </c>
      <c r="CB745" s="70">
        <f t="shared" si="497"/>
        <v>4758405.7373935003</v>
      </c>
      <c r="CC745" s="18">
        <f t="shared" si="498"/>
        <v>1189601.4343483751</v>
      </c>
      <c r="CD745" s="18">
        <f t="shared" si="516"/>
        <v>1189601.4343483751</v>
      </c>
      <c r="CE745" s="18">
        <f t="shared" si="516"/>
        <v>1189601.4343483751</v>
      </c>
      <c r="CF745" s="18">
        <f t="shared" si="516"/>
        <v>1189601.4343483751</v>
      </c>
      <c r="CG745" s="70">
        <f t="shared" si="500"/>
        <v>4758405.7373935003</v>
      </c>
      <c r="CH745" s="18">
        <f t="shared" si="479"/>
        <v>1189601.4343483751</v>
      </c>
      <c r="CI745" s="18">
        <f t="shared" si="517"/>
        <v>1189601.4343483751</v>
      </c>
      <c r="CJ745" s="18">
        <f t="shared" si="517"/>
        <v>1189601.4343483751</v>
      </c>
      <c r="CK745" s="18">
        <f t="shared" si="517"/>
        <v>1189601.4343483751</v>
      </c>
      <c r="CL745" s="70">
        <f t="shared" si="484"/>
        <v>4758405.7373935003</v>
      </c>
      <c r="CM745" s="71"/>
      <c r="CN745" s="59">
        <f>BK745/$CN$3</f>
        <v>1.2184907151975238E-3</v>
      </c>
      <c r="CO745" s="64">
        <f>CN745*$CO$4</f>
        <v>25588305.019148</v>
      </c>
      <c r="CP745" s="2">
        <f t="shared" si="501"/>
        <v>38067245.899148002</v>
      </c>
    </row>
    <row r="746" spans="1:94" ht="16.5" hidden="1" x14ac:dyDescent="0.3">
      <c r="A746" s="2">
        <v>741</v>
      </c>
      <c r="B746" s="47" t="s">
        <v>21</v>
      </c>
      <c r="C746" s="47"/>
      <c r="D746" s="30" t="s">
        <v>1725</v>
      </c>
      <c r="E746" s="30" t="s">
        <v>1042</v>
      </c>
      <c r="F746" s="30" t="s">
        <v>1043</v>
      </c>
      <c r="G746" s="30" t="s">
        <v>117</v>
      </c>
      <c r="H746" s="30"/>
      <c r="I746" s="30" t="s">
        <v>119</v>
      </c>
      <c r="J746" s="30" t="s">
        <v>1871</v>
      </c>
      <c r="K746" s="30" t="s">
        <v>1872</v>
      </c>
      <c r="L746" s="30" t="s">
        <v>1873</v>
      </c>
      <c r="M746" s="30">
        <v>1004293</v>
      </c>
      <c r="N746" s="30" t="s">
        <v>138</v>
      </c>
      <c r="O746" s="30" t="s">
        <v>2087</v>
      </c>
      <c r="P746" s="30" t="s">
        <v>1823</v>
      </c>
      <c r="Q746" s="30" t="s">
        <v>232</v>
      </c>
      <c r="R746" s="30" t="s">
        <v>142</v>
      </c>
      <c r="S746" s="30">
        <v>310668816</v>
      </c>
      <c r="T746" s="30" t="s">
        <v>1752</v>
      </c>
      <c r="U746" s="30" t="s">
        <v>588</v>
      </c>
      <c r="V746" s="30" t="s">
        <v>415</v>
      </c>
      <c r="W746" s="30" t="s">
        <v>146</v>
      </c>
      <c r="X746" s="89"/>
      <c r="Y746" s="30" t="s">
        <v>457</v>
      </c>
      <c r="Z746" s="30" t="s">
        <v>457</v>
      </c>
      <c r="AA746" s="20" t="s">
        <v>148</v>
      </c>
      <c r="AB746" s="142" t="s">
        <v>1953</v>
      </c>
      <c r="AC746" s="30" t="s">
        <v>1954</v>
      </c>
      <c r="AD746" s="30"/>
      <c r="AE746" s="30"/>
      <c r="AF746" s="48" t="s">
        <v>151</v>
      </c>
      <c r="AG746" s="48" t="s">
        <v>152</v>
      </c>
      <c r="AH746" s="48" t="s">
        <v>153</v>
      </c>
      <c r="AI746" s="30"/>
      <c r="AJ746" s="30"/>
      <c r="AK746" s="50">
        <v>41750</v>
      </c>
      <c r="AL746" s="51">
        <f t="shared" si="508"/>
        <v>11.536986301369863</v>
      </c>
      <c r="AM746" s="30">
        <v>8</v>
      </c>
      <c r="AN746" s="30"/>
      <c r="AO746" s="30" t="s">
        <v>1050</v>
      </c>
      <c r="AP746" s="30" t="s">
        <v>1051</v>
      </c>
      <c r="AQ746" s="30">
        <v>9.83</v>
      </c>
      <c r="AR746" s="30">
        <v>1250</v>
      </c>
      <c r="AS746" s="30">
        <v>950</v>
      </c>
      <c r="AT746" s="30">
        <v>1800</v>
      </c>
      <c r="AU746" s="54">
        <v>576676290</v>
      </c>
      <c r="AV746" s="54"/>
      <c r="AW746" s="54"/>
      <c r="AX746" s="54"/>
      <c r="AY746" s="54">
        <v>576675290</v>
      </c>
      <c r="AZ746" s="54">
        <v>244168</v>
      </c>
      <c r="BA746" s="54">
        <v>1000</v>
      </c>
      <c r="BB746" s="55">
        <f>VLOOKUP(M746,[1]Sheet1!$E$6:$F$556,2,FALSE)</f>
        <v>1000</v>
      </c>
      <c r="BC746" s="74"/>
      <c r="BD746" s="74"/>
      <c r="BE746" s="30"/>
      <c r="BF746" s="30" t="s">
        <v>1745</v>
      </c>
      <c r="BG746" s="30" t="s">
        <v>1880</v>
      </c>
      <c r="BH746" s="30" t="s">
        <v>1054</v>
      </c>
      <c r="BI746" s="30" t="str">
        <f t="shared" si="496"/>
        <v>COF(Assy_FT)</v>
      </c>
      <c r="BJ746" s="47" t="s">
        <v>137</v>
      </c>
      <c r="BK746" s="56">
        <f t="shared" si="509"/>
        <v>11533525.800000001</v>
      </c>
      <c r="BL746" s="57">
        <f t="shared" si="473"/>
        <v>360422.68125000002</v>
      </c>
      <c r="BM746" s="57">
        <f t="shared" si="474"/>
        <v>120140.89375</v>
      </c>
      <c r="BU746" s="58">
        <f>BM746*3</f>
        <v>360422.68125000002</v>
      </c>
      <c r="BV746" s="58">
        <f t="shared" si="515"/>
        <v>360422.68125000002</v>
      </c>
      <c r="BW746" s="58">
        <f t="shared" si="483"/>
        <v>720845.36250000005</v>
      </c>
      <c r="BX746" s="58">
        <f t="shared" si="476"/>
        <v>360422.68125000002</v>
      </c>
      <c r="BY746" s="58">
        <f t="shared" si="510"/>
        <v>360422.68125000002</v>
      </c>
      <c r="BZ746" s="58">
        <f t="shared" si="512"/>
        <v>360422.68125000002</v>
      </c>
      <c r="CA746" s="58">
        <f t="shared" si="510"/>
        <v>360422.68125000002</v>
      </c>
      <c r="CB746" s="58">
        <f t="shared" si="497"/>
        <v>1441690.7250000001</v>
      </c>
      <c r="CC746" s="58">
        <f t="shared" si="498"/>
        <v>360422.68125000002</v>
      </c>
      <c r="CD746" s="58">
        <f t="shared" si="516"/>
        <v>360422.68125000002</v>
      </c>
      <c r="CE746" s="58">
        <f t="shared" si="516"/>
        <v>360422.68125000002</v>
      </c>
      <c r="CF746" s="58">
        <f t="shared" si="516"/>
        <v>360422.68125000002</v>
      </c>
      <c r="CG746" s="58">
        <f t="shared" si="500"/>
        <v>1441690.7250000001</v>
      </c>
      <c r="CH746" s="58">
        <f t="shared" si="479"/>
        <v>360422.68125000002</v>
      </c>
      <c r="CI746" s="58">
        <f t="shared" si="517"/>
        <v>360422.68125000002</v>
      </c>
      <c r="CJ746" s="58">
        <f t="shared" si="517"/>
        <v>360422.68125000002</v>
      </c>
      <c r="CK746" s="58">
        <f t="shared" si="517"/>
        <v>360422.68125000002</v>
      </c>
      <c r="CL746" s="58">
        <f t="shared" si="484"/>
        <v>1441690.7250000001</v>
      </c>
      <c r="CP746" s="2">
        <f t="shared" si="501"/>
        <v>11533525.800000001</v>
      </c>
    </row>
    <row r="747" spans="1:94" ht="16.5" hidden="1" x14ac:dyDescent="0.3">
      <c r="A747" s="2">
        <v>742</v>
      </c>
      <c r="B747" s="47" t="s">
        <v>21</v>
      </c>
      <c r="C747" s="47"/>
      <c r="D747" s="30" t="s">
        <v>1725</v>
      </c>
      <c r="E747" s="30" t="s">
        <v>1042</v>
      </c>
      <c r="F747" s="30" t="s">
        <v>1043</v>
      </c>
      <c r="G747" s="30" t="s">
        <v>117</v>
      </c>
      <c r="H747" s="30"/>
      <c r="I747" s="30" t="s">
        <v>119</v>
      </c>
      <c r="J747" s="30" t="s">
        <v>1871</v>
      </c>
      <c r="K747" s="30" t="s">
        <v>1872</v>
      </c>
      <c r="L747" s="30" t="s">
        <v>1873</v>
      </c>
      <c r="M747" s="30">
        <v>1004239</v>
      </c>
      <c r="N747" s="30" t="s">
        <v>138</v>
      </c>
      <c r="O747" s="30" t="s">
        <v>2088</v>
      </c>
      <c r="P747" s="30" t="s">
        <v>1823</v>
      </c>
      <c r="Q747" s="30" t="s">
        <v>232</v>
      </c>
      <c r="R747" s="30" t="s">
        <v>142</v>
      </c>
      <c r="S747" s="30">
        <v>310663976</v>
      </c>
      <c r="T747" s="30" t="s">
        <v>1752</v>
      </c>
      <c r="U747" s="30" t="s">
        <v>588</v>
      </c>
      <c r="V747" s="30" t="s">
        <v>600</v>
      </c>
      <c r="W747" s="30" t="s">
        <v>146</v>
      </c>
      <c r="X747" s="89"/>
      <c r="Y747" s="30" t="s">
        <v>457</v>
      </c>
      <c r="Z747" s="30" t="s">
        <v>457</v>
      </c>
      <c r="AA747" s="20" t="s">
        <v>148</v>
      </c>
      <c r="AB747" s="142" t="s">
        <v>1953</v>
      </c>
      <c r="AC747" s="30" t="s">
        <v>1954</v>
      </c>
      <c r="AD747" s="30"/>
      <c r="AE747" s="30"/>
      <c r="AF747" s="48" t="s">
        <v>151</v>
      </c>
      <c r="AG747" s="48" t="s">
        <v>152</v>
      </c>
      <c r="AH747" s="48" t="s">
        <v>153</v>
      </c>
      <c r="AI747" s="30"/>
      <c r="AJ747" s="30"/>
      <c r="AK747" s="50">
        <v>41715</v>
      </c>
      <c r="AL747" s="51">
        <f t="shared" si="508"/>
        <v>11.632876712328768</v>
      </c>
      <c r="AM747" s="30">
        <v>8</v>
      </c>
      <c r="AN747" s="30"/>
      <c r="AO747" s="30" t="s">
        <v>1050</v>
      </c>
      <c r="AP747" s="30" t="s">
        <v>1051</v>
      </c>
      <c r="AQ747" s="30">
        <v>9.83</v>
      </c>
      <c r="AR747" s="30">
        <v>1250</v>
      </c>
      <c r="AS747" s="30">
        <v>950</v>
      </c>
      <c r="AT747" s="30">
        <v>1800</v>
      </c>
      <c r="AU747" s="54">
        <v>701947044</v>
      </c>
      <c r="AV747" s="54"/>
      <c r="AW747" s="54"/>
      <c r="AX747" s="54"/>
      <c r="AY747" s="54">
        <v>701946044</v>
      </c>
      <c r="AZ747" s="54">
        <v>337529</v>
      </c>
      <c r="BA747" s="54">
        <v>1000</v>
      </c>
      <c r="BB747" s="55">
        <f>VLOOKUP(M747,[1]Sheet1!$E$6:$F$556,2,FALSE)</f>
        <v>1000</v>
      </c>
      <c r="BC747" s="74"/>
      <c r="BD747" s="74"/>
      <c r="BE747" s="30"/>
      <c r="BF747" s="30" t="s">
        <v>1745</v>
      </c>
      <c r="BG747" s="30" t="s">
        <v>1880</v>
      </c>
      <c r="BH747" s="30" t="s">
        <v>1054</v>
      </c>
      <c r="BI747" s="30" t="str">
        <f t="shared" si="496"/>
        <v>COF(Assy_FT)</v>
      </c>
      <c r="BJ747" s="47" t="s">
        <v>137</v>
      </c>
      <c r="BK747" s="56">
        <f t="shared" si="509"/>
        <v>14038940.880000001</v>
      </c>
      <c r="BL747" s="57">
        <f t="shared" ref="BL747:BL789" si="518">CP747/$BL$1/4</f>
        <v>438716.90250000003</v>
      </c>
      <c r="BM747" s="57">
        <f t="shared" ref="BM747:BM789" si="519">CP747/$BL$1/12</f>
        <v>146238.9675</v>
      </c>
      <c r="BU747" s="58">
        <f>BM747*3</f>
        <v>438716.90249999997</v>
      </c>
      <c r="BV747" s="58">
        <f t="shared" si="515"/>
        <v>438716.90249999997</v>
      </c>
      <c r="BW747" s="58">
        <f t="shared" si="483"/>
        <v>877433.80499999993</v>
      </c>
      <c r="BX747" s="58">
        <f t="shared" si="476"/>
        <v>438716.90249999997</v>
      </c>
      <c r="BY747" s="58">
        <f t="shared" si="510"/>
        <v>438716.90249999997</v>
      </c>
      <c r="BZ747" s="58">
        <f t="shared" si="512"/>
        <v>438716.90249999997</v>
      </c>
      <c r="CA747" s="58">
        <f t="shared" si="510"/>
        <v>438716.90249999997</v>
      </c>
      <c r="CB747" s="58">
        <f t="shared" si="497"/>
        <v>1754867.6099999999</v>
      </c>
      <c r="CC747" s="58">
        <f t="shared" si="498"/>
        <v>438716.90249999997</v>
      </c>
      <c r="CD747" s="58">
        <f t="shared" si="516"/>
        <v>438716.90249999997</v>
      </c>
      <c r="CE747" s="58">
        <f t="shared" si="516"/>
        <v>438716.90249999997</v>
      </c>
      <c r="CF747" s="58">
        <f t="shared" si="516"/>
        <v>438716.90249999997</v>
      </c>
      <c r="CG747" s="58">
        <f t="shared" si="500"/>
        <v>1754867.6099999999</v>
      </c>
      <c r="CH747" s="58">
        <f t="shared" si="479"/>
        <v>438716.90249999997</v>
      </c>
      <c r="CI747" s="58">
        <f t="shared" si="517"/>
        <v>438716.90249999997</v>
      </c>
      <c r="CJ747" s="58">
        <f t="shared" si="517"/>
        <v>438716.90249999997</v>
      </c>
      <c r="CK747" s="58">
        <f t="shared" si="517"/>
        <v>438716.90249999997</v>
      </c>
      <c r="CL747" s="58">
        <f t="shared" si="484"/>
        <v>1754867.6099999999</v>
      </c>
      <c r="CP747" s="2">
        <f t="shared" si="501"/>
        <v>14038940.880000001</v>
      </c>
    </row>
    <row r="748" spans="1:94" ht="16.5" hidden="1" x14ac:dyDescent="0.3">
      <c r="A748" s="2">
        <v>743</v>
      </c>
      <c r="B748" s="47" t="s">
        <v>21</v>
      </c>
      <c r="C748" s="47"/>
      <c r="D748" s="30" t="s">
        <v>1725</v>
      </c>
      <c r="E748" s="30" t="s">
        <v>1042</v>
      </c>
      <c r="F748" s="30" t="s">
        <v>1043</v>
      </c>
      <c r="G748" s="30" t="s">
        <v>117</v>
      </c>
      <c r="H748" s="30"/>
      <c r="I748" s="30" t="s">
        <v>119</v>
      </c>
      <c r="J748" s="30" t="s">
        <v>1871</v>
      </c>
      <c r="K748" s="30" t="s">
        <v>1872</v>
      </c>
      <c r="L748" s="30" t="s">
        <v>1873</v>
      </c>
      <c r="M748" s="30">
        <v>1004234</v>
      </c>
      <c r="N748" s="30" t="s">
        <v>138</v>
      </c>
      <c r="O748" s="30" t="s">
        <v>2089</v>
      </c>
      <c r="P748" s="30" t="s">
        <v>1823</v>
      </c>
      <c r="Q748" s="30" t="s">
        <v>232</v>
      </c>
      <c r="R748" s="30" t="s">
        <v>142</v>
      </c>
      <c r="S748" s="30">
        <v>310664636</v>
      </c>
      <c r="T748" s="30" t="s">
        <v>1752</v>
      </c>
      <c r="U748" s="30" t="s">
        <v>2090</v>
      </c>
      <c r="V748" s="30" t="s">
        <v>415</v>
      </c>
      <c r="W748" s="30" t="s">
        <v>146</v>
      </c>
      <c r="X748" s="89" t="s">
        <v>1838</v>
      </c>
      <c r="Y748" s="125" t="s">
        <v>457</v>
      </c>
      <c r="Z748" s="125" t="s">
        <v>457</v>
      </c>
      <c r="AA748" s="20" t="s">
        <v>148</v>
      </c>
      <c r="AB748" s="142" t="s">
        <v>1953</v>
      </c>
      <c r="AC748" s="30" t="s">
        <v>1954</v>
      </c>
      <c r="AD748" s="30"/>
      <c r="AE748" s="30"/>
      <c r="AF748" s="48" t="s">
        <v>151</v>
      </c>
      <c r="AG748" s="48" t="s">
        <v>152</v>
      </c>
      <c r="AH748" s="48" t="s">
        <v>153</v>
      </c>
      <c r="AI748" s="30"/>
      <c r="AJ748" s="30"/>
      <c r="AK748" s="50">
        <v>41715</v>
      </c>
      <c r="AL748" s="51">
        <f t="shared" si="508"/>
        <v>11.632876712328768</v>
      </c>
      <c r="AM748" s="30">
        <v>8</v>
      </c>
      <c r="AN748" s="30"/>
      <c r="AO748" s="30" t="s">
        <v>1050</v>
      </c>
      <c r="AP748" s="30" t="s">
        <v>1051</v>
      </c>
      <c r="AQ748" s="30">
        <v>9.83</v>
      </c>
      <c r="AR748" s="30">
        <v>1250</v>
      </c>
      <c r="AS748" s="30">
        <v>950</v>
      </c>
      <c r="AT748" s="30">
        <v>1800</v>
      </c>
      <c r="AU748" s="54">
        <v>623947043</v>
      </c>
      <c r="AV748" s="54"/>
      <c r="AW748" s="54"/>
      <c r="AX748" s="54"/>
      <c r="AY748" s="54">
        <v>623946043</v>
      </c>
      <c r="AZ748" s="54">
        <v>0</v>
      </c>
      <c r="BA748" s="54">
        <v>1000</v>
      </c>
      <c r="BB748" s="55">
        <f>VLOOKUP(M748,[1]Sheet1!$E$6:$F$556,2,FALSE)</f>
        <v>1000</v>
      </c>
      <c r="BC748" s="74"/>
      <c r="BD748" s="74"/>
      <c r="BE748" s="30"/>
      <c r="BF748" s="30" t="s">
        <v>1745</v>
      </c>
      <c r="BG748" s="30" t="s">
        <v>1880</v>
      </c>
      <c r="BH748" s="30" t="s">
        <v>1054</v>
      </c>
      <c r="BI748" s="30" t="str">
        <f t="shared" si="496"/>
        <v>COF(Assy_FT)</v>
      </c>
      <c r="BJ748" s="47" t="s">
        <v>137</v>
      </c>
      <c r="BK748" s="67">
        <f t="shared" si="509"/>
        <v>12478940.859999999</v>
      </c>
      <c r="BL748" s="68">
        <f t="shared" si="518"/>
        <v>1189601.4324418006</v>
      </c>
      <c r="BM748" s="68">
        <f t="shared" si="519"/>
        <v>396533.81081393355</v>
      </c>
      <c r="BP748" s="69">
        <f>BM748*3</f>
        <v>1189601.4324418006</v>
      </c>
      <c r="BQ748" s="69">
        <f>BP748</f>
        <v>1189601.4324418006</v>
      </c>
      <c r="BR748" s="69">
        <f>SUM(BN748:BQ748)</f>
        <v>2379202.8648836012</v>
      </c>
      <c r="BS748" s="69">
        <f>BQ748</f>
        <v>1189601.4324418006</v>
      </c>
      <c r="BT748" s="69">
        <f>BS748</f>
        <v>1189601.4324418006</v>
      </c>
      <c r="BU748" s="100">
        <f>BT748</f>
        <v>1189601.4324418006</v>
      </c>
      <c r="BV748" s="100">
        <f t="shared" si="515"/>
        <v>1189601.4324418006</v>
      </c>
      <c r="BW748" s="100">
        <f t="shared" si="483"/>
        <v>4758405.7297672024</v>
      </c>
      <c r="BX748" s="101">
        <f t="shared" si="476"/>
        <v>1189601.4324418006</v>
      </c>
      <c r="BY748" s="101">
        <f t="shared" si="510"/>
        <v>1189601.4324418006</v>
      </c>
      <c r="BZ748" s="18">
        <f t="shared" si="512"/>
        <v>1189601.4324418006</v>
      </c>
      <c r="CA748" s="18">
        <f t="shared" si="510"/>
        <v>1189601.4324418006</v>
      </c>
      <c r="CB748" s="70">
        <f t="shared" si="497"/>
        <v>4758405.7297672024</v>
      </c>
      <c r="CC748" s="18">
        <f t="shared" si="498"/>
        <v>1189601.4324418006</v>
      </c>
      <c r="CD748" s="18">
        <f t="shared" si="516"/>
        <v>1189601.4324418006</v>
      </c>
      <c r="CE748" s="18">
        <f t="shared" si="516"/>
        <v>1189601.4324418006</v>
      </c>
      <c r="CF748" s="18">
        <f t="shared" si="516"/>
        <v>1189601.4324418006</v>
      </c>
      <c r="CG748" s="70">
        <f t="shared" si="500"/>
        <v>4758405.7297672024</v>
      </c>
      <c r="CH748" s="18">
        <f t="shared" si="479"/>
        <v>1189601.4324418006</v>
      </c>
      <c r="CI748" s="18">
        <f t="shared" si="517"/>
        <v>1189601.4324418006</v>
      </c>
      <c r="CJ748" s="18">
        <f t="shared" si="517"/>
        <v>1189601.4324418006</v>
      </c>
      <c r="CK748" s="18">
        <f t="shared" si="517"/>
        <v>1189601.4324418006</v>
      </c>
      <c r="CL748" s="70">
        <f t="shared" si="484"/>
        <v>4758405.7297672024</v>
      </c>
      <c r="CM748" s="71"/>
      <c r="CN748" s="59">
        <f>BK748/$CN$3</f>
        <v>1.2184907132446485E-3</v>
      </c>
      <c r="CO748" s="64">
        <f>CN748*$CO$4</f>
        <v>25588304.97813762</v>
      </c>
      <c r="CP748" s="2">
        <f t="shared" si="501"/>
        <v>38067245.838137619</v>
      </c>
    </row>
    <row r="749" spans="1:94" ht="16.5" hidden="1" x14ac:dyDescent="0.3">
      <c r="A749" s="2">
        <v>744</v>
      </c>
      <c r="B749" s="47" t="s">
        <v>21</v>
      </c>
      <c r="C749" s="47"/>
      <c r="D749" s="30" t="s">
        <v>1725</v>
      </c>
      <c r="E749" s="30" t="s">
        <v>1042</v>
      </c>
      <c r="F749" s="30" t="s">
        <v>1043</v>
      </c>
      <c r="G749" s="30" t="s">
        <v>117</v>
      </c>
      <c r="H749" s="30"/>
      <c r="I749" s="30" t="s">
        <v>119</v>
      </c>
      <c r="J749" s="30" t="s">
        <v>1871</v>
      </c>
      <c r="K749" s="30" t="s">
        <v>1872</v>
      </c>
      <c r="L749" s="30" t="s">
        <v>1873</v>
      </c>
      <c r="M749" s="30">
        <v>1003882</v>
      </c>
      <c r="N749" s="30" t="s">
        <v>138</v>
      </c>
      <c r="O749" s="30" t="s">
        <v>2091</v>
      </c>
      <c r="P749" s="30" t="s">
        <v>1823</v>
      </c>
      <c r="Q749" s="30" t="s">
        <v>232</v>
      </c>
      <c r="R749" s="30" t="s">
        <v>142</v>
      </c>
      <c r="S749" s="30">
        <v>310633692</v>
      </c>
      <c r="T749" s="30" t="s">
        <v>1752</v>
      </c>
      <c r="U749" s="30" t="s">
        <v>588</v>
      </c>
      <c r="V749" s="30" t="s">
        <v>415</v>
      </c>
      <c r="W749" s="30" t="s">
        <v>146</v>
      </c>
      <c r="X749" s="89"/>
      <c r="Y749" s="30" t="s">
        <v>457</v>
      </c>
      <c r="Z749" s="30" t="s">
        <v>457</v>
      </c>
      <c r="AA749" s="20" t="s">
        <v>148</v>
      </c>
      <c r="AB749" s="142" t="s">
        <v>1953</v>
      </c>
      <c r="AC749" s="30" t="s">
        <v>1954</v>
      </c>
      <c r="AD749" s="30"/>
      <c r="AE749" s="30"/>
      <c r="AF749" s="48" t="s">
        <v>151</v>
      </c>
      <c r="AG749" s="48" t="s">
        <v>152</v>
      </c>
      <c r="AH749" s="48" t="s">
        <v>153</v>
      </c>
      <c r="AI749" s="30"/>
      <c r="AJ749" s="30"/>
      <c r="AK749" s="50">
        <v>41436</v>
      </c>
      <c r="AL749" s="51">
        <f t="shared" si="508"/>
        <v>12.397260273972602</v>
      </c>
      <c r="AM749" s="30">
        <v>8</v>
      </c>
      <c r="AN749" s="30"/>
      <c r="AO749" s="30" t="s">
        <v>1050</v>
      </c>
      <c r="AP749" s="30" t="s">
        <v>1051</v>
      </c>
      <c r="AQ749" s="30">
        <v>9.83</v>
      </c>
      <c r="AR749" s="30">
        <v>1250</v>
      </c>
      <c r="AS749" s="30">
        <v>950</v>
      </c>
      <c r="AT749" s="30">
        <v>1800</v>
      </c>
      <c r="AU749" s="54">
        <v>662489658</v>
      </c>
      <c r="AV749" s="54"/>
      <c r="AW749" s="54"/>
      <c r="AX749" s="54"/>
      <c r="AY749" s="54">
        <v>662488658</v>
      </c>
      <c r="AZ749" s="54">
        <v>0</v>
      </c>
      <c r="BA749" s="54">
        <v>1000</v>
      </c>
      <c r="BB749" s="55">
        <f>VLOOKUP(M749,[1]Sheet1!$E$6:$F$556,2,FALSE)</f>
        <v>1000</v>
      </c>
      <c r="BC749" s="74"/>
      <c r="BD749" s="74"/>
      <c r="BE749" s="30"/>
      <c r="BF749" s="30" t="s">
        <v>1745</v>
      </c>
      <c r="BG749" s="30" t="s">
        <v>1880</v>
      </c>
      <c r="BH749" s="30" t="s">
        <v>1054</v>
      </c>
      <c r="BI749" s="30" t="str">
        <f t="shared" si="496"/>
        <v>COF(Assy_FT)</v>
      </c>
      <c r="BJ749" s="47" t="s">
        <v>137</v>
      </c>
      <c r="BK749" s="56">
        <f t="shared" si="509"/>
        <v>13249793.16</v>
      </c>
      <c r="BL749" s="57">
        <f t="shared" si="518"/>
        <v>414056.03625</v>
      </c>
      <c r="BM749" s="57">
        <f t="shared" si="519"/>
        <v>138018.67874999999</v>
      </c>
      <c r="BU749" s="58">
        <f>BM749*3</f>
        <v>414056.03625</v>
      </c>
      <c r="BV749" s="58">
        <f t="shared" si="515"/>
        <v>414056.03625</v>
      </c>
      <c r="BW749" s="58">
        <f t="shared" si="483"/>
        <v>828112.07250000001</v>
      </c>
      <c r="BX749" s="58">
        <f t="shared" si="476"/>
        <v>414056.03625</v>
      </c>
      <c r="BY749" s="58">
        <f t="shared" si="510"/>
        <v>414056.03625</v>
      </c>
      <c r="BZ749" s="58">
        <f t="shared" si="512"/>
        <v>414056.03625</v>
      </c>
      <c r="CA749" s="58">
        <f t="shared" si="510"/>
        <v>414056.03625</v>
      </c>
      <c r="CB749" s="58">
        <f t="shared" si="497"/>
        <v>1656224.145</v>
      </c>
      <c r="CC749" s="58">
        <f t="shared" si="498"/>
        <v>414056.03625</v>
      </c>
      <c r="CD749" s="58">
        <f t="shared" si="516"/>
        <v>414056.03625</v>
      </c>
      <c r="CE749" s="58">
        <f t="shared" si="516"/>
        <v>414056.03625</v>
      </c>
      <c r="CF749" s="58">
        <f t="shared" si="516"/>
        <v>414056.03625</v>
      </c>
      <c r="CG749" s="58">
        <f t="shared" si="500"/>
        <v>1656224.145</v>
      </c>
      <c r="CH749" s="58">
        <f t="shared" si="479"/>
        <v>414056.03625</v>
      </c>
      <c r="CI749" s="58">
        <f t="shared" si="517"/>
        <v>414056.03625</v>
      </c>
      <c r="CJ749" s="58">
        <f t="shared" si="517"/>
        <v>414056.03625</v>
      </c>
      <c r="CK749" s="58">
        <f t="shared" si="517"/>
        <v>414056.03625</v>
      </c>
      <c r="CL749" s="58">
        <f t="shared" si="484"/>
        <v>1656224.145</v>
      </c>
      <c r="CP749" s="2">
        <f t="shared" si="501"/>
        <v>13249793.16</v>
      </c>
    </row>
    <row r="750" spans="1:94" ht="16.5" hidden="1" x14ac:dyDescent="0.3">
      <c r="A750" s="2">
        <v>745</v>
      </c>
      <c r="B750" s="47" t="s">
        <v>21</v>
      </c>
      <c r="C750" s="47"/>
      <c r="D750" s="30" t="s">
        <v>1725</v>
      </c>
      <c r="E750" s="30" t="s">
        <v>1042</v>
      </c>
      <c r="F750" s="30" t="s">
        <v>1043</v>
      </c>
      <c r="G750" s="30" t="s">
        <v>117</v>
      </c>
      <c r="H750" s="30"/>
      <c r="I750" s="30" t="s">
        <v>119</v>
      </c>
      <c r="J750" s="30" t="s">
        <v>1871</v>
      </c>
      <c r="K750" s="30" t="s">
        <v>1872</v>
      </c>
      <c r="L750" s="30" t="s">
        <v>1873</v>
      </c>
      <c r="M750" s="30">
        <v>1003906</v>
      </c>
      <c r="N750" s="30" t="s">
        <v>138</v>
      </c>
      <c r="O750" s="30" t="s">
        <v>2092</v>
      </c>
      <c r="P750" s="30" t="s">
        <v>1823</v>
      </c>
      <c r="Q750" s="30" t="s">
        <v>232</v>
      </c>
      <c r="R750" s="30" t="s">
        <v>142</v>
      </c>
      <c r="S750" s="30">
        <v>310632437</v>
      </c>
      <c r="T750" s="30" t="s">
        <v>1752</v>
      </c>
      <c r="U750" s="30" t="s">
        <v>588</v>
      </c>
      <c r="V750" s="30" t="s">
        <v>600</v>
      </c>
      <c r="W750" s="30" t="s">
        <v>2055</v>
      </c>
      <c r="X750" s="89"/>
      <c r="Y750" s="30" t="s">
        <v>457</v>
      </c>
      <c r="Z750" s="30" t="s">
        <v>457</v>
      </c>
      <c r="AA750" s="20" t="s">
        <v>148</v>
      </c>
      <c r="AB750" s="142" t="s">
        <v>1953</v>
      </c>
      <c r="AC750" s="30" t="s">
        <v>1954</v>
      </c>
      <c r="AD750" s="30"/>
      <c r="AE750" s="30"/>
      <c r="AF750" s="48" t="s">
        <v>151</v>
      </c>
      <c r="AG750" s="48" t="s">
        <v>152</v>
      </c>
      <c r="AH750" s="48" t="s">
        <v>153</v>
      </c>
      <c r="AI750" s="30"/>
      <c r="AJ750" s="30"/>
      <c r="AK750" s="50">
        <v>41449</v>
      </c>
      <c r="AL750" s="51">
        <f t="shared" si="508"/>
        <v>12.361643835616439</v>
      </c>
      <c r="AM750" s="30">
        <v>8</v>
      </c>
      <c r="AN750" s="30"/>
      <c r="AO750" s="30" t="s">
        <v>1050</v>
      </c>
      <c r="AP750" s="30" t="s">
        <v>1051</v>
      </c>
      <c r="AQ750" s="30">
        <v>9.83</v>
      </c>
      <c r="AR750" s="30">
        <v>1250</v>
      </c>
      <c r="AS750" s="30">
        <v>950</v>
      </c>
      <c r="AT750" s="30">
        <v>1800</v>
      </c>
      <c r="AU750" s="54">
        <v>699323073</v>
      </c>
      <c r="AV750" s="54"/>
      <c r="AW750" s="54"/>
      <c r="AX750" s="54"/>
      <c r="AY750" s="54">
        <v>699322073</v>
      </c>
      <c r="AZ750" s="54">
        <v>0</v>
      </c>
      <c r="BA750" s="54">
        <v>1000</v>
      </c>
      <c r="BB750" s="55">
        <f>VLOOKUP(M750,[1]Sheet1!$E$6:$F$556,2,FALSE)</f>
        <v>1000</v>
      </c>
      <c r="BC750" s="74"/>
      <c r="BD750" s="74"/>
      <c r="BE750" s="30"/>
      <c r="BF750" s="30" t="s">
        <v>1745</v>
      </c>
      <c r="BG750" s="30" t="s">
        <v>1880</v>
      </c>
      <c r="BH750" s="30" t="s">
        <v>1054</v>
      </c>
      <c r="BI750" s="30" t="str">
        <f t="shared" si="496"/>
        <v>COF(Assy_FT)</v>
      </c>
      <c r="BJ750" s="47" t="s">
        <v>137</v>
      </c>
      <c r="BK750" s="56">
        <f t="shared" si="509"/>
        <v>13986461.460000001</v>
      </c>
      <c r="BL750" s="57">
        <f t="shared" si="518"/>
        <v>437076.92062500003</v>
      </c>
      <c r="BM750" s="57">
        <f t="shared" si="519"/>
        <v>145692.30687500001</v>
      </c>
      <c r="BU750" s="58">
        <f>BM750*3</f>
        <v>437076.92062500003</v>
      </c>
      <c r="BV750" s="58">
        <f t="shared" si="515"/>
        <v>437076.92062500003</v>
      </c>
      <c r="BW750" s="58">
        <f t="shared" si="483"/>
        <v>874153.84125000006</v>
      </c>
      <c r="BX750" s="58">
        <f t="shared" si="476"/>
        <v>437076.92062500003</v>
      </c>
      <c r="BY750" s="58">
        <f t="shared" si="510"/>
        <v>437076.92062500003</v>
      </c>
      <c r="BZ750" s="58">
        <f t="shared" si="512"/>
        <v>437076.92062500003</v>
      </c>
      <c r="CA750" s="58">
        <f t="shared" si="510"/>
        <v>437076.92062500003</v>
      </c>
      <c r="CB750" s="58">
        <f t="shared" si="497"/>
        <v>1748307.6825000001</v>
      </c>
      <c r="CC750" s="58">
        <f t="shared" si="498"/>
        <v>437076.92062500003</v>
      </c>
      <c r="CD750" s="58">
        <f t="shared" si="516"/>
        <v>437076.92062500003</v>
      </c>
      <c r="CE750" s="58">
        <f t="shared" si="516"/>
        <v>437076.92062500003</v>
      </c>
      <c r="CF750" s="58">
        <f t="shared" si="516"/>
        <v>437076.92062500003</v>
      </c>
      <c r="CG750" s="58">
        <f t="shared" si="500"/>
        <v>1748307.6825000001</v>
      </c>
      <c r="CH750" s="58">
        <f t="shared" si="479"/>
        <v>437076.92062500003</v>
      </c>
      <c r="CI750" s="58">
        <f t="shared" si="517"/>
        <v>437076.92062500003</v>
      </c>
      <c r="CJ750" s="58">
        <f t="shared" si="517"/>
        <v>437076.92062500003</v>
      </c>
      <c r="CK750" s="58">
        <f t="shared" si="517"/>
        <v>437076.92062500003</v>
      </c>
      <c r="CL750" s="58">
        <f t="shared" si="484"/>
        <v>1748307.6825000001</v>
      </c>
      <c r="CP750" s="2">
        <f t="shared" si="501"/>
        <v>13986461.460000001</v>
      </c>
    </row>
    <row r="751" spans="1:94" ht="16.5" hidden="1" x14ac:dyDescent="0.3">
      <c r="A751" s="2">
        <v>746</v>
      </c>
      <c r="B751" s="47" t="s">
        <v>21</v>
      </c>
      <c r="C751" s="47"/>
      <c r="D751" s="30" t="s">
        <v>1725</v>
      </c>
      <c r="E751" s="30" t="s">
        <v>1042</v>
      </c>
      <c r="F751" s="30" t="s">
        <v>1043</v>
      </c>
      <c r="G751" s="30" t="s">
        <v>117</v>
      </c>
      <c r="H751" s="30"/>
      <c r="I751" s="30" t="s">
        <v>119</v>
      </c>
      <c r="J751" s="30" t="s">
        <v>1871</v>
      </c>
      <c r="K751" s="30" t="s">
        <v>1872</v>
      </c>
      <c r="L751" s="30" t="s">
        <v>1873</v>
      </c>
      <c r="M751" s="30">
        <v>1003907</v>
      </c>
      <c r="N751" s="30" t="s">
        <v>138</v>
      </c>
      <c r="O751" s="30" t="s">
        <v>2093</v>
      </c>
      <c r="P751" s="30" t="s">
        <v>1823</v>
      </c>
      <c r="Q751" s="30" t="s">
        <v>232</v>
      </c>
      <c r="R751" s="30" t="s">
        <v>142</v>
      </c>
      <c r="S751" s="30">
        <v>310633691</v>
      </c>
      <c r="T751" s="30" t="s">
        <v>1752</v>
      </c>
      <c r="U751" s="30" t="s">
        <v>588</v>
      </c>
      <c r="V751" s="30" t="s">
        <v>415</v>
      </c>
      <c r="W751" s="30" t="s">
        <v>2055</v>
      </c>
      <c r="X751" s="89"/>
      <c r="Y751" s="30" t="s">
        <v>457</v>
      </c>
      <c r="Z751" s="30" t="s">
        <v>457</v>
      </c>
      <c r="AA751" s="20" t="s">
        <v>148</v>
      </c>
      <c r="AB751" s="142" t="s">
        <v>1953</v>
      </c>
      <c r="AC751" s="30" t="s">
        <v>1954</v>
      </c>
      <c r="AD751" s="30"/>
      <c r="AE751" s="30"/>
      <c r="AF751" s="48" t="s">
        <v>151</v>
      </c>
      <c r="AG751" s="48" t="s">
        <v>152</v>
      </c>
      <c r="AH751" s="48" t="s">
        <v>153</v>
      </c>
      <c r="AI751" s="30"/>
      <c r="AJ751" s="30"/>
      <c r="AK751" s="50">
        <v>41449</v>
      </c>
      <c r="AL751" s="51">
        <f t="shared" si="508"/>
        <v>12.361643835616439</v>
      </c>
      <c r="AM751" s="30">
        <v>8</v>
      </c>
      <c r="AN751" s="30"/>
      <c r="AO751" s="30" t="s">
        <v>1050</v>
      </c>
      <c r="AP751" s="30" t="s">
        <v>1051</v>
      </c>
      <c r="AQ751" s="30">
        <v>9.83</v>
      </c>
      <c r="AR751" s="30">
        <v>1250</v>
      </c>
      <c r="AS751" s="30">
        <v>950</v>
      </c>
      <c r="AT751" s="30">
        <v>1800</v>
      </c>
      <c r="AU751" s="54">
        <v>699323073</v>
      </c>
      <c r="AV751" s="54"/>
      <c r="AW751" s="54"/>
      <c r="AX751" s="54"/>
      <c r="AY751" s="54">
        <v>699322073</v>
      </c>
      <c r="AZ751" s="54">
        <v>0</v>
      </c>
      <c r="BA751" s="54">
        <v>1000</v>
      </c>
      <c r="BB751" s="55">
        <f>VLOOKUP(M751,[1]Sheet1!$E$6:$F$556,2,FALSE)</f>
        <v>1000</v>
      </c>
      <c r="BC751" s="74"/>
      <c r="BD751" s="74"/>
      <c r="BE751" s="30"/>
      <c r="BF751" s="30" t="s">
        <v>1745</v>
      </c>
      <c r="BG751" s="30" t="s">
        <v>1880</v>
      </c>
      <c r="BH751" s="30" t="s">
        <v>1054</v>
      </c>
      <c r="BI751" s="30" t="str">
        <f t="shared" si="496"/>
        <v>COF(Assy_FT)</v>
      </c>
      <c r="BJ751" s="47" t="s">
        <v>137</v>
      </c>
      <c r="BK751" s="56">
        <f t="shared" si="509"/>
        <v>13986461.460000001</v>
      </c>
      <c r="BL751" s="57">
        <f t="shared" si="518"/>
        <v>437076.92062500003</v>
      </c>
      <c r="BM751" s="57">
        <f t="shared" si="519"/>
        <v>145692.30687500001</v>
      </c>
      <c r="BU751" s="58">
        <f>BM751*3</f>
        <v>437076.92062500003</v>
      </c>
      <c r="BV751" s="58">
        <f t="shared" si="515"/>
        <v>437076.92062500003</v>
      </c>
      <c r="BW751" s="58">
        <f t="shared" si="483"/>
        <v>874153.84125000006</v>
      </c>
      <c r="BX751" s="58">
        <f t="shared" si="476"/>
        <v>437076.92062500003</v>
      </c>
      <c r="BY751" s="58">
        <f t="shared" si="510"/>
        <v>437076.92062500003</v>
      </c>
      <c r="BZ751" s="58">
        <f t="shared" si="512"/>
        <v>437076.92062500003</v>
      </c>
      <c r="CA751" s="58">
        <f t="shared" si="510"/>
        <v>437076.92062500003</v>
      </c>
      <c r="CB751" s="58">
        <f t="shared" si="497"/>
        <v>1748307.6825000001</v>
      </c>
      <c r="CC751" s="58">
        <f t="shared" si="498"/>
        <v>437076.92062500003</v>
      </c>
      <c r="CD751" s="58">
        <f t="shared" ref="CD751:CF766" si="520">CC751</f>
        <v>437076.92062500003</v>
      </c>
      <c r="CE751" s="58">
        <f t="shared" si="520"/>
        <v>437076.92062500003</v>
      </c>
      <c r="CF751" s="58">
        <f t="shared" si="520"/>
        <v>437076.92062500003</v>
      </c>
      <c r="CG751" s="58">
        <f t="shared" si="500"/>
        <v>1748307.6825000001</v>
      </c>
      <c r="CH751" s="58">
        <f t="shared" si="479"/>
        <v>437076.92062500003</v>
      </c>
      <c r="CI751" s="58">
        <f t="shared" si="517"/>
        <v>437076.92062500003</v>
      </c>
      <c r="CJ751" s="58">
        <f t="shared" si="517"/>
        <v>437076.92062500003</v>
      </c>
      <c r="CK751" s="58">
        <f t="shared" si="517"/>
        <v>437076.92062500003</v>
      </c>
      <c r="CL751" s="58">
        <f t="shared" si="484"/>
        <v>1748307.6825000001</v>
      </c>
      <c r="CP751" s="2">
        <f t="shared" si="501"/>
        <v>13986461.460000001</v>
      </c>
    </row>
    <row r="752" spans="1:94" ht="16.5" hidden="1" x14ac:dyDescent="0.3">
      <c r="A752" s="2">
        <v>747</v>
      </c>
      <c r="B752" s="47" t="s">
        <v>21</v>
      </c>
      <c r="C752" s="47"/>
      <c r="D752" s="30" t="s">
        <v>1725</v>
      </c>
      <c r="E752" s="30" t="s">
        <v>1042</v>
      </c>
      <c r="F752" s="30" t="s">
        <v>1043</v>
      </c>
      <c r="G752" s="30" t="s">
        <v>117</v>
      </c>
      <c r="H752" s="30"/>
      <c r="I752" s="30" t="s">
        <v>119</v>
      </c>
      <c r="J752" s="30" t="s">
        <v>1871</v>
      </c>
      <c r="K752" s="30" t="s">
        <v>1872</v>
      </c>
      <c r="L752" s="30" t="s">
        <v>1873</v>
      </c>
      <c r="M752" s="30">
        <v>1004545</v>
      </c>
      <c r="N752" s="30" t="s">
        <v>138</v>
      </c>
      <c r="O752" s="30" t="s">
        <v>2094</v>
      </c>
      <c r="P752" s="30" t="s">
        <v>1823</v>
      </c>
      <c r="Q752" s="30" t="s">
        <v>232</v>
      </c>
      <c r="R752" s="30" t="s">
        <v>142</v>
      </c>
      <c r="S752" s="30">
        <v>310703487</v>
      </c>
      <c r="T752" s="30" t="s">
        <v>1752</v>
      </c>
      <c r="U752" s="30" t="s">
        <v>588</v>
      </c>
      <c r="V752" s="30" t="s">
        <v>415</v>
      </c>
      <c r="W752" s="30" t="s">
        <v>146</v>
      </c>
      <c r="X752" s="89"/>
      <c r="Y752" s="30" t="s">
        <v>457</v>
      </c>
      <c r="Z752" s="30" t="s">
        <v>457</v>
      </c>
      <c r="AA752" s="20" t="s">
        <v>148</v>
      </c>
      <c r="AB752" s="142" t="s">
        <v>1953</v>
      </c>
      <c r="AC752" s="30" t="s">
        <v>1954</v>
      </c>
      <c r="AD752" s="30"/>
      <c r="AE752" s="30"/>
      <c r="AF752" s="48" t="s">
        <v>151</v>
      </c>
      <c r="AG752" s="48" t="s">
        <v>152</v>
      </c>
      <c r="AH752" s="48" t="s">
        <v>153</v>
      </c>
      <c r="AI752" s="30"/>
      <c r="AJ752" s="30"/>
      <c r="AK752" s="50">
        <v>42063</v>
      </c>
      <c r="AL752" s="51">
        <f t="shared" si="508"/>
        <v>10.67945205479452</v>
      </c>
      <c r="AM752" s="30">
        <v>8</v>
      </c>
      <c r="AN752" s="30"/>
      <c r="AO752" s="30" t="s">
        <v>1050</v>
      </c>
      <c r="AP752" s="30" t="s">
        <v>1051</v>
      </c>
      <c r="AQ752" s="30">
        <v>9.83</v>
      </c>
      <c r="AR752" s="30">
        <v>1250</v>
      </c>
      <c r="AS752" s="30">
        <v>950</v>
      </c>
      <c r="AT752" s="30">
        <v>1800</v>
      </c>
      <c r="AU752" s="54">
        <v>518350533</v>
      </c>
      <c r="AV752" s="54"/>
      <c r="AW752" s="54"/>
      <c r="AX752" s="54"/>
      <c r="AY752" s="54">
        <v>518349533</v>
      </c>
      <c r="AZ752" s="54">
        <v>2012378</v>
      </c>
      <c r="BA752" s="54">
        <v>1000</v>
      </c>
      <c r="BB752" s="55">
        <f>VLOOKUP(M752,[1]Sheet1!$E$6:$F$556,2,FALSE)</f>
        <v>1000</v>
      </c>
      <c r="BC752" s="74"/>
      <c r="BD752" s="74"/>
      <c r="BE752" s="30"/>
      <c r="BF752" s="30" t="s">
        <v>1745</v>
      </c>
      <c r="BG752" s="30" t="s">
        <v>1880</v>
      </c>
      <c r="BH752" s="30" t="s">
        <v>1054</v>
      </c>
      <c r="BI752" s="30" t="str">
        <f t="shared" si="496"/>
        <v>COF(Assy_FT)</v>
      </c>
      <c r="BJ752" s="47" t="s">
        <v>137</v>
      </c>
      <c r="BK752" s="56">
        <f t="shared" si="509"/>
        <v>10367010.66</v>
      </c>
      <c r="BL752" s="57">
        <f t="shared" si="518"/>
        <v>323969.083125</v>
      </c>
      <c r="BM752" s="57">
        <f t="shared" si="519"/>
        <v>107989.69437500001</v>
      </c>
      <c r="BU752" s="58">
        <f>BM752*3</f>
        <v>323969.083125</v>
      </c>
      <c r="BV752" s="58">
        <f t="shared" si="515"/>
        <v>323969.083125</v>
      </c>
      <c r="BW752" s="58">
        <f t="shared" si="483"/>
        <v>647938.16625000001</v>
      </c>
      <c r="BX752" s="58">
        <f t="shared" ref="BX752:BX815" si="521">BV752</f>
        <v>323969.083125</v>
      </c>
      <c r="BY752" s="58">
        <f t="shared" si="510"/>
        <v>323969.083125</v>
      </c>
      <c r="BZ752" s="58">
        <f t="shared" si="512"/>
        <v>323969.083125</v>
      </c>
      <c r="CA752" s="58">
        <f t="shared" si="510"/>
        <v>323969.083125</v>
      </c>
      <c r="CB752" s="58">
        <f t="shared" si="497"/>
        <v>1295876.3325</v>
      </c>
      <c r="CC752" s="58">
        <f t="shared" si="498"/>
        <v>323969.083125</v>
      </c>
      <c r="CD752" s="58">
        <f t="shared" si="520"/>
        <v>323969.083125</v>
      </c>
      <c r="CE752" s="58">
        <f t="shared" si="520"/>
        <v>323969.083125</v>
      </c>
      <c r="CF752" s="58">
        <f t="shared" si="520"/>
        <v>323969.083125</v>
      </c>
      <c r="CG752" s="58">
        <f t="shared" si="500"/>
        <v>1295876.3325</v>
      </c>
      <c r="CH752" s="58">
        <f t="shared" ref="CH752:CH794" si="522">CF752</f>
        <v>323969.083125</v>
      </c>
      <c r="CI752" s="58">
        <f t="shared" si="517"/>
        <v>323969.083125</v>
      </c>
      <c r="CJ752" s="58">
        <f t="shared" si="517"/>
        <v>323969.083125</v>
      </c>
      <c r="CK752" s="58">
        <f t="shared" si="517"/>
        <v>323969.083125</v>
      </c>
      <c r="CL752" s="58">
        <f t="shared" si="484"/>
        <v>1295876.3325</v>
      </c>
      <c r="CP752" s="2">
        <f t="shared" si="501"/>
        <v>10367010.66</v>
      </c>
    </row>
    <row r="753" spans="1:94" ht="16.5" hidden="1" x14ac:dyDescent="0.3">
      <c r="A753" s="2">
        <v>748</v>
      </c>
      <c r="B753" s="47" t="s">
        <v>21</v>
      </c>
      <c r="C753" s="47"/>
      <c r="D753" s="30" t="s">
        <v>1725</v>
      </c>
      <c r="E753" s="30" t="s">
        <v>1042</v>
      </c>
      <c r="F753" s="30" t="s">
        <v>1043</v>
      </c>
      <c r="G753" s="30" t="s">
        <v>117</v>
      </c>
      <c r="H753" s="30"/>
      <c r="I753" s="30" t="s">
        <v>119</v>
      </c>
      <c r="J753" s="30" t="s">
        <v>1871</v>
      </c>
      <c r="K753" s="30" t="s">
        <v>1872</v>
      </c>
      <c r="L753" s="30" t="s">
        <v>1873</v>
      </c>
      <c r="M753" s="30">
        <v>1005645</v>
      </c>
      <c r="N753" s="30" t="s">
        <v>138</v>
      </c>
      <c r="O753" s="30" t="s">
        <v>2095</v>
      </c>
      <c r="P753" s="30" t="s">
        <v>1837</v>
      </c>
      <c r="Q753" s="30" t="s">
        <v>2039</v>
      </c>
      <c r="R753" s="30" t="s">
        <v>142</v>
      </c>
      <c r="S753" s="30">
        <v>310993228</v>
      </c>
      <c r="T753" s="30" t="s">
        <v>1780</v>
      </c>
      <c r="U753" s="30" t="s">
        <v>588</v>
      </c>
      <c r="V753" s="30" t="s">
        <v>415</v>
      </c>
      <c r="W753" s="30" t="s">
        <v>146</v>
      </c>
      <c r="X753" s="89" t="s">
        <v>1838</v>
      </c>
      <c r="Y753" s="125" t="s">
        <v>457</v>
      </c>
      <c r="Z753" s="125" t="s">
        <v>457</v>
      </c>
      <c r="AA753" s="20" t="s">
        <v>148</v>
      </c>
      <c r="AB753" s="142" t="s">
        <v>1953</v>
      </c>
      <c r="AC753" s="30" t="s">
        <v>1954</v>
      </c>
      <c r="AD753" s="30"/>
      <c r="AE753" s="30"/>
      <c r="AF753" s="30" t="s">
        <v>151</v>
      </c>
      <c r="AG753" s="30" t="s">
        <v>152</v>
      </c>
      <c r="AH753" s="30" t="s">
        <v>1839</v>
      </c>
      <c r="AI753" s="30"/>
      <c r="AJ753" s="30"/>
      <c r="AK753" s="50">
        <v>43382</v>
      </c>
      <c r="AL753" s="51">
        <f t="shared" si="508"/>
        <v>7.065753424657534</v>
      </c>
      <c r="AM753" s="30">
        <v>8</v>
      </c>
      <c r="AN753" s="30"/>
      <c r="AO753" s="30" t="s">
        <v>1050</v>
      </c>
      <c r="AP753" s="30" t="s">
        <v>1187</v>
      </c>
      <c r="AQ753" s="30">
        <v>13.3</v>
      </c>
      <c r="AR753" s="30">
        <v>1050</v>
      </c>
      <c r="AS753" s="30">
        <v>800</v>
      </c>
      <c r="AT753" s="30">
        <v>1600</v>
      </c>
      <c r="AU753" s="54">
        <v>818419916</v>
      </c>
      <c r="AV753" s="54"/>
      <c r="AW753" s="54"/>
      <c r="AX753" s="54"/>
      <c r="AY753" s="54">
        <v>699067004</v>
      </c>
      <c r="AZ753" s="54">
        <v>8525207</v>
      </c>
      <c r="BA753" s="54">
        <v>93777291</v>
      </c>
      <c r="BB753" s="55">
        <f>VLOOKUP(M753,[1]Sheet1!$E$6:$F$556,2,FALSE)</f>
        <v>5392807</v>
      </c>
      <c r="BC753" s="74"/>
      <c r="BD753" s="74"/>
      <c r="BE753" s="30"/>
      <c r="BF753" s="30" t="s">
        <v>1739</v>
      </c>
      <c r="BG753" s="30" t="s">
        <v>1880</v>
      </c>
      <c r="BH753" s="30" t="s">
        <v>1054</v>
      </c>
      <c r="BI753" s="30" t="str">
        <f t="shared" si="496"/>
        <v>COF(Assy_FT)</v>
      </c>
      <c r="BJ753" s="47" t="s">
        <v>137</v>
      </c>
      <c r="BK753" s="67">
        <f t="shared" si="509"/>
        <v>98466155.549999997</v>
      </c>
      <c r="BL753" s="68">
        <f t="shared" si="518"/>
        <v>9386652.3612419106</v>
      </c>
      <c r="BM753" s="68">
        <f t="shared" si="519"/>
        <v>3128884.1204139702</v>
      </c>
      <c r="BP753" s="69">
        <f>BM753*3</f>
        <v>9386652.3612419106</v>
      </c>
      <c r="BQ753" s="69">
        <f>BP753</f>
        <v>9386652.3612419106</v>
      </c>
      <c r="BR753" s="69">
        <f>SUM(BN753:BQ753)</f>
        <v>18773304.722483821</v>
      </c>
      <c r="BS753" s="69">
        <f>BQ753</f>
        <v>9386652.3612419106</v>
      </c>
      <c r="BT753" s="69">
        <f>BS753</f>
        <v>9386652.3612419106</v>
      </c>
      <c r="BU753" s="100">
        <f>BT753</f>
        <v>9386652.3612419106</v>
      </c>
      <c r="BV753" s="100">
        <f t="shared" si="515"/>
        <v>9386652.3612419106</v>
      </c>
      <c r="BW753" s="100">
        <f t="shared" si="483"/>
        <v>37546609.444967642</v>
      </c>
      <c r="BX753" s="101">
        <f t="shared" si="521"/>
        <v>9386652.3612419106</v>
      </c>
      <c r="BY753" s="101">
        <f t="shared" si="510"/>
        <v>9386652.3612419106</v>
      </c>
      <c r="BZ753" s="18">
        <f t="shared" si="512"/>
        <v>9386652.3612419106</v>
      </c>
      <c r="CA753" s="18">
        <f t="shared" si="510"/>
        <v>9386652.3612419106</v>
      </c>
      <c r="CB753" s="70">
        <f t="shared" si="497"/>
        <v>37546609.444967642</v>
      </c>
      <c r="CC753" s="18">
        <f t="shared" si="498"/>
        <v>9386652.3612419106</v>
      </c>
      <c r="CD753" s="18">
        <f t="shared" si="520"/>
        <v>9386652.3612419106</v>
      </c>
      <c r="CE753" s="18">
        <f t="shared" si="520"/>
        <v>9386652.3612419106</v>
      </c>
      <c r="CF753" s="18">
        <f t="shared" si="520"/>
        <v>9386652.3612419106</v>
      </c>
      <c r="CG753" s="70">
        <f t="shared" si="500"/>
        <v>37546609.444967642</v>
      </c>
      <c r="CH753" s="18">
        <f t="shared" si="522"/>
        <v>9386652.3612419106</v>
      </c>
      <c r="CI753" s="18">
        <f t="shared" si="517"/>
        <v>9386652.3612419106</v>
      </c>
      <c r="CJ753" s="18">
        <f t="shared" si="517"/>
        <v>9386652.3612419106</v>
      </c>
      <c r="CK753" s="18">
        <f t="shared" si="517"/>
        <v>9386652.3612419106</v>
      </c>
      <c r="CL753" s="70">
        <f t="shared" si="484"/>
        <v>37546609.444967642</v>
      </c>
      <c r="CM753" s="71"/>
      <c r="CN753" s="59">
        <f>BK753/$CN$3</f>
        <v>9.6146057147495773E-3</v>
      </c>
      <c r="CO753" s="64">
        <f>CN753*$CO$4</f>
        <v>201906720.00974113</v>
      </c>
      <c r="CP753" s="2">
        <f t="shared" si="501"/>
        <v>300372875.55974114</v>
      </c>
    </row>
    <row r="754" spans="1:94" hidden="1" x14ac:dyDescent="0.3">
      <c r="A754" s="29">
        <v>749</v>
      </c>
      <c r="B754" s="30" t="s">
        <v>21</v>
      </c>
      <c r="C754" s="30"/>
      <c r="D754" s="30" t="s">
        <v>1725</v>
      </c>
      <c r="E754" s="30" t="s">
        <v>1042</v>
      </c>
      <c r="F754" s="30" t="s">
        <v>1043</v>
      </c>
      <c r="G754" s="30" t="s">
        <v>117</v>
      </c>
      <c r="H754" s="30"/>
      <c r="I754" s="30" t="s">
        <v>119</v>
      </c>
      <c r="J754" s="30" t="s">
        <v>1871</v>
      </c>
      <c r="K754" s="30" t="s">
        <v>1872</v>
      </c>
      <c r="L754" s="30" t="s">
        <v>1873</v>
      </c>
      <c r="M754" s="30">
        <v>1005646</v>
      </c>
      <c r="N754" s="30" t="s">
        <v>138</v>
      </c>
      <c r="O754" s="30" t="s">
        <v>2096</v>
      </c>
      <c r="P754" s="30" t="s">
        <v>1837</v>
      </c>
      <c r="Q754" s="30" t="s">
        <v>2039</v>
      </c>
      <c r="R754" s="30" t="s">
        <v>142</v>
      </c>
      <c r="S754" s="30">
        <v>310993247</v>
      </c>
      <c r="T754" s="30" t="s">
        <v>1780</v>
      </c>
      <c r="U754" s="30" t="s">
        <v>588</v>
      </c>
      <c r="V754" s="30" t="s">
        <v>415</v>
      </c>
      <c r="W754" s="30" t="s">
        <v>146</v>
      </c>
      <c r="X754" s="89"/>
      <c r="Y754" s="30" t="s">
        <v>457</v>
      </c>
      <c r="Z754" s="30" t="s">
        <v>457</v>
      </c>
      <c r="AA754" s="20" t="s">
        <v>148</v>
      </c>
      <c r="AB754" s="142" t="s">
        <v>1953</v>
      </c>
      <c r="AC754" s="30" t="s">
        <v>1954</v>
      </c>
      <c r="AD754" s="30"/>
      <c r="AE754" s="30"/>
      <c r="AF754" s="30" t="s">
        <v>151</v>
      </c>
      <c r="AG754" s="30" t="s">
        <v>152</v>
      </c>
      <c r="AH754" s="30" t="s">
        <v>1839</v>
      </c>
      <c r="AI754" s="30"/>
      <c r="AJ754" s="30"/>
      <c r="AK754" s="50">
        <v>43382</v>
      </c>
      <c r="AL754" s="51">
        <f t="shared" si="508"/>
        <v>7.065753424657534</v>
      </c>
      <c r="AM754" s="30">
        <v>8</v>
      </c>
      <c r="AN754" s="30"/>
      <c r="AO754" s="30" t="s">
        <v>1050</v>
      </c>
      <c r="AP754" s="30" t="s">
        <v>1187</v>
      </c>
      <c r="AQ754" s="30">
        <v>13.3</v>
      </c>
      <c r="AR754" s="30">
        <v>1050</v>
      </c>
      <c r="AS754" s="30">
        <v>800</v>
      </c>
      <c r="AT754" s="30">
        <v>1600</v>
      </c>
      <c r="AU754" s="74">
        <v>818419916</v>
      </c>
      <c r="AV754" s="54"/>
      <c r="AW754" s="54"/>
      <c r="AX754" s="54"/>
      <c r="AY754" s="54">
        <v>699067004</v>
      </c>
      <c r="AZ754" s="54">
        <v>8525207</v>
      </c>
      <c r="BA754" s="74">
        <v>93777291</v>
      </c>
      <c r="BB754" s="55">
        <f>VLOOKUP(M754,[1]Sheet1!$E$6:$F$556,2,FALSE)</f>
        <v>5392807</v>
      </c>
      <c r="BC754" s="74"/>
      <c r="BD754" s="74"/>
      <c r="BE754" s="30"/>
      <c r="BF754" s="30" t="s">
        <v>1739</v>
      </c>
      <c r="BG754" s="30" t="s">
        <v>1880</v>
      </c>
      <c r="BH754" s="30" t="s">
        <v>1054</v>
      </c>
      <c r="BI754" s="30" t="str">
        <f t="shared" si="496"/>
        <v>COF(Assy_FT)</v>
      </c>
      <c r="BJ754" s="30" t="s">
        <v>250</v>
      </c>
      <c r="BK754" s="56">
        <f t="shared" si="509"/>
        <v>98466155.549999997</v>
      </c>
      <c r="BL754" s="57">
        <f t="shared" si="518"/>
        <v>3077067.3609374999</v>
      </c>
      <c r="BM754" s="57">
        <f t="shared" si="519"/>
        <v>1025689.1203124999</v>
      </c>
      <c r="BU754" s="58">
        <f>BM754*3</f>
        <v>3077067.3609374999</v>
      </c>
      <c r="BV754" s="58">
        <f t="shared" si="515"/>
        <v>3077067.3609374999</v>
      </c>
      <c r="BW754" s="58">
        <f t="shared" ref="BW754:BW817" si="523">SUM(BS754:BV754)</f>
        <v>6154134.7218749998</v>
      </c>
      <c r="BX754" s="58">
        <f t="shared" si="521"/>
        <v>3077067.3609374999</v>
      </c>
      <c r="BY754" s="58">
        <f t="shared" si="510"/>
        <v>3077067.3609374999</v>
      </c>
      <c r="BZ754" s="58">
        <f t="shared" si="512"/>
        <v>3077067.3609374999</v>
      </c>
      <c r="CA754" s="58">
        <f t="shared" si="510"/>
        <v>3077067.3609374999</v>
      </c>
      <c r="CB754" s="58">
        <f t="shared" si="497"/>
        <v>12308269.44375</v>
      </c>
      <c r="CC754" s="58">
        <f t="shared" si="498"/>
        <v>3077067.3609374999</v>
      </c>
      <c r="CD754" s="58">
        <f t="shared" si="520"/>
        <v>3077067.3609374999</v>
      </c>
      <c r="CE754" s="58">
        <f t="shared" si="520"/>
        <v>3077067.3609374999</v>
      </c>
      <c r="CF754" s="58">
        <f t="shared" si="520"/>
        <v>3077067.3609374999</v>
      </c>
      <c r="CG754" s="58">
        <f t="shared" si="500"/>
        <v>12308269.44375</v>
      </c>
      <c r="CH754" s="58">
        <f t="shared" si="522"/>
        <v>3077067.3609374999</v>
      </c>
      <c r="CI754" s="58">
        <f t="shared" si="517"/>
        <v>3077067.3609374999</v>
      </c>
      <c r="CJ754" s="58">
        <f t="shared" si="517"/>
        <v>3077067.3609374999</v>
      </c>
      <c r="CK754" s="58">
        <f t="shared" si="517"/>
        <v>3077067.3609374999</v>
      </c>
      <c r="CL754" s="58">
        <f t="shared" ref="CL754:CL794" si="524">SUM(CH754:CK754)</f>
        <v>12308269.44375</v>
      </c>
      <c r="CP754" s="2">
        <f t="shared" si="501"/>
        <v>98466155.549999997</v>
      </c>
    </row>
    <row r="755" spans="1:94" hidden="1" x14ac:dyDescent="0.3">
      <c r="A755" s="29">
        <v>750</v>
      </c>
      <c r="B755" s="30" t="s">
        <v>21</v>
      </c>
      <c r="C755" s="30"/>
      <c r="D755" s="30" t="s">
        <v>1725</v>
      </c>
      <c r="E755" s="30" t="s">
        <v>1042</v>
      </c>
      <c r="F755" s="30" t="s">
        <v>1043</v>
      </c>
      <c r="G755" s="30" t="s">
        <v>117</v>
      </c>
      <c r="H755" s="30"/>
      <c r="I755" s="30" t="s">
        <v>119</v>
      </c>
      <c r="J755" s="30" t="s">
        <v>1871</v>
      </c>
      <c r="K755" s="30" t="s">
        <v>1872</v>
      </c>
      <c r="L755" s="30" t="s">
        <v>1873</v>
      </c>
      <c r="M755" s="30">
        <v>1005698</v>
      </c>
      <c r="N755" s="30" t="s">
        <v>138</v>
      </c>
      <c r="O755" s="30" t="s">
        <v>2097</v>
      </c>
      <c r="P755" s="30" t="s">
        <v>1837</v>
      </c>
      <c r="Q755" s="30" t="s">
        <v>2039</v>
      </c>
      <c r="R755" s="30" t="s">
        <v>142</v>
      </c>
      <c r="S755" s="30">
        <v>310993265</v>
      </c>
      <c r="T755" s="30" t="s">
        <v>1780</v>
      </c>
      <c r="U755" s="30" t="s">
        <v>588</v>
      </c>
      <c r="V755" s="30" t="s">
        <v>415</v>
      </c>
      <c r="W755" s="30" t="s">
        <v>146</v>
      </c>
      <c r="X755" s="89"/>
      <c r="Y755" s="30" t="s">
        <v>457</v>
      </c>
      <c r="Z755" s="30" t="s">
        <v>457</v>
      </c>
      <c r="AA755" s="20" t="s">
        <v>148</v>
      </c>
      <c r="AB755" s="142" t="s">
        <v>1953</v>
      </c>
      <c r="AC755" s="30" t="s">
        <v>1954</v>
      </c>
      <c r="AD755" s="30"/>
      <c r="AE755" s="30"/>
      <c r="AF755" s="30" t="s">
        <v>151</v>
      </c>
      <c r="AG755" s="30" t="s">
        <v>152</v>
      </c>
      <c r="AH755" s="30" t="s">
        <v>1839</v>
      </c>
      <c r="AI755" s="30"/>
      <c r="AJ755" s="30"/>
      <c r="AK755" s="50">
        <v>43393</v>
      </c>
      <c r="AL755" s="51">
        <f t="shared" si="508"/>
        <v>7.0356164383561648</v>
      </c>
      <c r="AM755" s="30">
        <v>8</v>
      </c>
      <c r="AN755" s="30"/>
      <c r="AO755" s="30" t="s">
        <v>1050</v>
      </c>
      <c r="AP755" s="30" t="s">
        <v>1187</v>
      </c>
      <c r="AQ755" s="30">
        <v>13.3</v>
      </c>
      <c r="AR755" s="30">
        <v>1050</v>
      </c>
      <c r="AS755" s="30">
        <v>800</v>
      </c>
      <c r="AT755" s="30">
        <v>1600</v>
      </c>
      <c r="AU755" s="74">
        <v>802338319</v>
      </c>
      <c r="AV755" s="54"/>
      <c r="AW755" s="54"/>
      <c r="AX755" s="54"/>
      <c r="AY755" s="54">
        <v>685330644</v>
      </c>
      <c r="AZ755" s="54">
        <v>8357691</v>
      </c>
      <c r="BA755" s="74">
        <v>91934602</v>
      </c>
      <c r="BB755" s="55">
        <f>VLOOKUP(M755,[1]Sheet1!$E$6:$F$556,2,FALSE)</f>
        <v>5286848</v>
      </c>
      <c r="BC755" s="74"/>
      <c r="BD755" s="74"/>
      <c r="BE755" s="30"/>
      <c r="BF755" s="30" t="s">
        <v>1739</v>
      </c>
      <c r="BG755" s="30" t="s">
        <v>1880</v>
      </c>
      <c r="BH755" s="30" t="s">
        <v>1054</v>
      </c>
      <c r="BI755" s="30" t="str">
        <f t="shared" si="496"/>
        <v>COF(Assy_FT)</v>
      </c>
      <c r="BJ755" s="30" t="s">
        <v>250</v>
      </c>
      <c r="BK755" s="56">
        <f t="shared" si="509"/>
        <v>96531332.100000009</v>
      </c>
      <c r="BL755" s="57">
        <f t="shared" si="518"/>
        <v>3016604.1281250003</v>
      </c>
      <c r="BM755" s="57">
        <f t="shared" si="519"/>
        <v>1005534.7093750001</v>
      </c>
      <c r="BU755" s="58">
        <f>BM755*3</f>
        <v>3016604.1281250003</v>
      </c>
      <c r="BV755" s="58">
        <f t="shared" si="515"/>
        <v>3016604.1281250003</v>
      </c>
      <c r="BW755" s="58">
        <f t="shared" si="523"/>
        <v>6033208.2562500006</v>
      </c>
      <c r="BX755" s="58">
        <f t="shared" si="521"/>
        <v>3016604.1281250003</v>
      </c>
      <c r="BY755" s="58">
        <f t="shared" ref="BY755:BZ772" si="525">BX755</f>
        <v>3016604.1281250003</v>
      </c>
      <c r="BZ755" s="58">
        <f t="shared" si="512"/>
        <v>3016604.1281250003</v>
      </c>
      <c r="CA755" s="58">
        <f t="shared" ref="CA755:CA810" si="526">BZ755</f>
        <v>3016604.1281250003</v>
      </c>
      <c r="CB755" s="58">
        <f t="shared" si="497"/>
        <v>12066416.512500001</v>
      </c>
      <c r="CC755" s="58">
        <f t="shared" si="498"/>
        <v>3016604.1281250003</v>
      </c>
      <c r="CD755" s="58">
        <f t="shared" si="520"/>
        <v>3016604.1281250003</v>
      </c>
      <c r="CE755" s="58">
        <f t="shared" si="520"/>
        <v>3016604.1281250003</v>
      </c>
      <c r="CF755" s="58">
        <f t="shared" si="520"/>
        <v>3016604.1281250003</v>
      </c>
      <c r="CG755" s="58">
        <f t="shared" si="500"/>
        <v>12066416.512500001</v>
      </c>
      <c r="CH755" s="58">
        <f t="shared" si="522"/>
        <v>3016604.1281250003</v>
      </c>
      <c r="CI755" s="58">
        <f t="shared" si="517"/>
        <v>3016604.1281250003</v>
      </c>
      <c r="CJ755" s="58">
        <f t="shared" si="517"/>
        <v>3016604.1281250003</v>
      </c>
      <c r="CK755" s="58">
        <f t="shared" si="517"/>
        <v>3016604.1281250003</v>
      </c>
      <c r="CL755" s="58">
        <f t="shared" si="524"/>
        <v>12066416.512500001</v>
      </c>
      <c r="CP755" s="2">
        <f t="shared" si="501"/>
        <v>96531332.100000009</v>
      </c>
    </row>
    <row r="756" spans="1:94" hidden="1" x14ac:dyDescent="0.3">
      <c r="A756" s="29">
        <v>751</v>
      </c>
      <c r="B756" s="30" t="s">
        <v>21</v>
      </c>
      <c r="C756" s="30"/>
      <c r="D756" s="30" t="s">
        <v>1725</v>
      </c>
      <c r="E756" s="30" t="s">
        <v>1042</v>
      </c>
      <c r="F756" s="30" t="s">
        <v>1043</v>
      </c>
      <c r="G756" s="30" t="s">
        <v>117</v>
      </c>
      <c r="H756" s="30"/>
      <c r="I756" s="30" t="s">
        <v>119</v>
      </c>
      <c r="J756" s="30" t="s">
        <v>1871</v>
      </c>
      <c r="K756" s="30" t="s">
        <v>1872</v>
      </c>
      <c r="L756" s="30" t="s">
        <v>1873</v>
      </c>
      <c r="M756" s="30">
        <v>1005700</v>
      </c>
      <c r="N756" s="30" t="s">
        <v>138</v>
      </c>
      <c r="O756" s="30" t="s">
        <v>2098</v>
      </c>
      <c r="P756" s="30" t="s">
        <v>1837</v>
      </c>
      <c r="Q756" s="30" t="s">
        <v>2039</v>
      </c>
      <c r="R756" s="30" t="s">
        <v>142</v>
      </c>
      <c r="S756" s="30">
        <v>310993295</v>
      </c>
      <c r="T756" s="30" t="s">
        <v>1780</v>
      </c>
      <c r="U756" s="30" t="s">
        <v>588</v>
      </c>
      <c r="V756" s="30" t="s">
        <v>415</v>
      </c>
      <c r="W756" s="30" t="s">
        <v>2055</v>
      </c>
      <c r="X756" s="89"/>
      <c r="Y756" s="30" t="s">
        <v>457</v>
      </c>
      <c r="Z756" s="30" t="s">
        <v>457</v>
      </c>
      <c r="AA756" s="20" t="s">
        <v>148</v>
      </c>
      <c r="AB756" s="142" t="s">
        <v>1953</v>
      </c>
      <c r="AC756" s="30" t="s">
        <v>1954</v>
      </c>
      <c r="AD756" s="30"/>
      <c r="AE756" s="30"/>
      <c r="AF756" s="30" t="s">
        <v>151</v>
      </c>
      <c r="AG756" s="30" t="s">
        <v>152</v>
      </c>
      <c r="AH756" s="30" t="s">
        <v>1839</v>
      </c>
      <c r="AI756" s="30"/>
      <c r="AJ756" s="30"/>
      <c r="AK756" s="50">
        <v>43393</v>
      </c>
      <c r="AL756" s="51">
        <f t="shared" si="508"/>
        <v>7.0356164383561648</v>
      </c>
      <c r="AM756" s="30">
        <v>8</v>
      </c>
      <c r="AN756" s="30"/>
      <c r="AO756" s="30" t="s">
        <v>1050</v>
      </c>
      <c r="AP756" s="30" t="s">
        <v>1187</v>
      </c>
      <c r="AQ756" s="30">
        <v>13.3</v>
      </c>
      <c r="AR756" s="30">
        <v>1050</v>
      </c>
      <c r="AS756" s="30">
        <v>800</v>
      </c>
      <c r="AT756" s="30">
        <v>1600</v>
      </c>
      <c r="AU756" s="74">
        <v>806637876</v>
      </c>
      <c r="AV756" s="54"/>
      <c r="AW756" s="54"/>
      <c r="AX756" s="54"/>
      <c r="AY756" s="54">
        <v>685876939</v>
      </c>
      <c r="AZ756" s="54">
        <v>8402478</v>
      </c>
      <c r="BA756" s="74">
        <v>95553503</v>
      </c>
      <c r="BB756" s="55">
        <f>VLOOKUP(M756,[1]Sheet1!$E$6:$F$556,2,FALSE)</f>
        <v>5534894</v>
      </c>
      <c r="BC756" s="74"/>
      <c r="BD756" s="74"/>
      <c r="BE756" s="30"/>
      <c r="BF756" s="30" t="s">
        <v>1739</v>
      </c>
      <c r="BG756" s="30" t="s">
        <v>1880</v>
      </c>
      <c r="BH756" s="30" t="s">
        <v>1054</v>
      </c>
      <c r="BI756" s="30" t="str">
        <f t="shared" si="496"/>
        <v>COF(Assy_FT)</v>
      </c>
      <c r="BJ756" s="30" t="s">
        <v>250</v>
      </c>
      <c r="BK756" s="56">
        <f t="shared" si="509"/>
        <v>100331178.15000001</v>
      </c>
      <c r="BL756" s="57">
        <f t="shared" si="518"/>
        <v>3135349.3171875002</v>
      </c>
      <c r="BM756" s="57">
        <f t="shared" si="519"/>
        <v>1045116.4390625</v>
      </c>
      <c r="BU756" s="58">
        <f>BM756*3</f>
        <v>3135349.3171875002</v>
      </c>
      <c r="BV756" s="58">
        <f t="shared" si="515"/>
        <v>3135349.3171875002</v>
      </c>
      <c r="BW756" s="58">
        <f t="shared" si="523"/>
        <v>6270698.6343750004</v>
      </c>
      <c r="BX756" s="58">
        <f t="shared" si="521"/>
        <v>3135349.3171875002</v>
      </c>
      <c r="BY756" s="58">
        <f t="shared" si="525"/>
        <v>3135349.3171875002</v>
      </c>
      <c r="BZ756" s="58">
        <f t="shared" si="512"/>
        <v>3135349.3171875002</v>
      </c>
      <c r="CA756" s="58">
        <f t="shared" si="526"/>
        <v>3135349.3171875002</v>
      </c>
      <c r="CB756" s="58">
        <f t="shared" si="497"/>
        <v>12541397.268750001</v>
      </c>
      <c r="CC756" s="58">
        <f t="shared" si="498"/>
        <v>3135349.3171875002</v>
      </c>
      <c r="CD756" s="58">
        <f t="shared" si="520"/>
        <v>3135349.3171875002</v>
      </c>
      <c r="CE756" s="58">
        <f t="shared" si="520"/>
        <v>3135349.3171875002</v>
      </c>
      <c r="CF756" s="58">
        <f t="shared" si="520"/>
        <v>3135349.3171875002</v>
      </c>
      <c r="CG756" s="58">
        <f t="shared" si="500"/>
        <v>12541397.268750001</v>
      </c>
      <c r="CH756" s="58">
        <f t="shared" si="522"/>
        <v>3135349.3171875002</v>
      </c>
      <c r="CI756" s="58">
        <f t="shared" si="517"/>
        <v>3135349.3171875002</v>
      </c>
      <c r="CJ756" s="58">
        <f t="shared" si="517"/>
        <v>3135349.3171875002</v>
      </c>
      <c r="CK756" s="58">
        <f t="shared" si="517"/>
        <v>3135349.3171875002</v>
      </c>
      <c r="CL756" s="58">
        <f t="shared" si="524"/>
        <v>12541397.268750001</v>
      </c>
      <c r="CP756" s="2">
        <f t="shared" si="501"/>
        <v>100331178.15000001</v>
      </c>
    </row>
    <row r="757" spans="1:94" ht="16.5" hidden="1" x14ac:dyDescent="0.3">
      <c r="A757" s="2">
        <v>752</v>
      </c>
      <c r="B757" s="47" t="s">
        <v>21</v>
      </c>
      <c r="C757" s="47"/>
      <c r="D757" s="30" t="s">
        <v>1725</v>
      </c>
      <c r="E757" s="30" t="s">
        <v>1042</v>
      </c>
      <c r="F757" s="30" t="s">
        <v>1043</v>
      </c>
      <c r="G757" s="30" t="s">
        <v>117</v>
      </c>
      <c r="H757" s="30"/>
      <c r="I757" s="30" t="s">
        <v>119</v>
      </c>
      <c r="J757" s="30" t="s">
        <v>1871</v>
      </c>
      <c r="K757" s="30" t="s">
        <v>1872</v>
      </c>
      <c r="L757" s="30" t="s">
        <v>1873</v>
      </c>
      <c r="M757" s="30">
        <v>1004528</v>
      </c>
      <c r="N757" s="30" t="s">
        <v>138</v>
      </c>
      <c r="O757" s="30" t="s">
        <v>2099</v>
      </c>
      <c r="P757" s="30" t="s">
        <v>1823</v>
      </c>
      <c r="Q757" s="30" t="s">
        <v>232</v>
      </c>
      <c r="R757" s="30" t="s">
        <v>142</v>
      </c>
      <c r="S757" s="30">
        <v>310703469</v>
      </c>
      <c r="T757" s="30" t="s">
        <v>1752</v>
      </c>
      <c r="U757" s="30" t="s">
        <v>588</v>
      </c>
      <c r="V757" s="30" t="s">
        <v>415</v>
      </c>
      <c r="W757" s="30" t="s">
        <v>146</v>
      </c>
      <c r="X757" s="89"/>
      <c r="Y757" s="30" t="s">
        <v>457</v>
      </c>
      <c r="Z757" s="30" t="s">
        <v>457</v>
      </c>
      <c r="AA757" s="20" t="s">
        <v>148</v>
      </c>
      <c r="AB757" s="142" t="s">
        <v>1953</v>
      </c>
      <c r="AC757" s="30" t="s">
        <v>1954</v>
      </c>
      <c r="AD757" s="30"/>
      <c r="AE757" s="30"/>
      <c r="AF757" s="48" t="s">
        <v>151</v>
      </c>
      <c r="AG757" s="48" t="s">
        <v>152</v>
      </c>
      <c r="AH757" s="48" t="s">
        <v>153</v>
      </c>
      <c r="AI757" s="30"/>
      <c r="AJ757" s="30"/>
      <c r="AK757" s="50">
        <v>42033</v>
      </c>
      <c r="AL757" s="51">
        <f t="shared" si="508"/>
        <v>10.761643835616438</v>
      </c>
      <c r="AM757" s="30">
        <v>8</v>
      </c>
      <c r="AN757" s="30"/>
      <c r="AO757" s="30" t="s">
        <v>1050</v>
      </c>
      <c r="AP757" s="30" t="s">
        <v>1051</v>
      </c>
      <c r="AQ757" s="30">
        <v>9.83</v>
      </c>
      <c r="AR757" s="30">
        <v>1250</v>
      </c>
      <c r="AS757" s="30">
        <v>950</v>
      </c>
      <c r="AT757" s="30">
        <v>1800</v>
      </c>
      <c r="AU757" s="54">
        <v>518768804</v>
      </c>
      <c r="AV757" s="54"/>
      <c r="AW757" s="54"/>
      <c r="AX757" s="54"/>
      <c r="AY757" s="54">
        <v>518767804</v>
      </c>
      <c r="AZ757" s="54">
        <v>1862380</v>
      </c>
      <c r="BA757" s="54">
        <v>1000</v>
      </c>
      <c r="BB757" s="55">
        <f>VLOOKUP(M757,[1]Sheet1!$E$6:$F$556,2,FALSE)</f>
        <v>1000</v>
      </c>
      <c r="BC757" s="74"/>
      <c r="BD757" s="74"/>
      <c r="BE757" s="30"/>
      <c r="BF757" s="30" t="s">
        <v>1745</v>
      </c>
      <c r="BG757" s="30" t="s">
        <v>1880</v>
      </c>
      <c r="BH757" s="30" t="s">
        <v>1054</v>
      </c>
      <c r="BI757" s="30" t="str">
        <f t="shared" si="496"/>
        <v>COF(Assy_FT)</v>
      </c>
      <c r="BJ757" s="47" t="s">
        <v>137</v>
      </c>
      <c r="BK757" s="56">
        <f t="shared" si="509"/>
        <v>10375376.08</v>
      </c>
      <c r="BL757" s="57">
        <f t="shared" si="518"/>
        <v>324230.5025</v>
      </c>
      <c r="BM757" s="57">
        <f t="shared" si="519"/>
        <v>108076.83416666667</v>
      </c>
      <c r="BU757" s="58">
        <f>BM757*3</f>
        <v>324230.5025</v>
      </c>
      <c r="BV757" s="58">
        <f t="shared" si="515"/>
        <v>324230.5025</v>
      </c>
      <c r="BW757" s="58">
        <f t="shared" si="523"/>
        <v>648461.005</v>
      </c>
      <c r="BX757" s="58">
        <f t="shared" si="521"/>
        <v>324230.5025</v>
      </c>
      <c r="BY757" s="58">
        <f t="shared" si="525"/>
        <v>324230.5025</v>
      </c>
      <c r="BZ757" s="58">
        <f t="shared" si="512"/>
        <v>324230.5025</v>
      </c>
      <c r="CA757" s="58">
        <f t="shared" si="526"/>
        <v>324230.5025</v>
      </c>
      <c r="CB757" s="58">
        <f t="shared" si="497"/>
        <v>1296922.01</v>
      </c>
      <c r="CC757" s="58">
        <f t="shared" si="498"/>
        <v>324230.5025</v>
      </c>
      <c r="CD757" s="58">
        <f t="shared" si="520"/>
        <v>324230.5025</v>
      </c>
      <c r="CE757" s="58">
        <f t="shared" si="520"/>
        <v>324230.5025</v>
      </c>
      <c r="CF757" s="58">
        <f t="shared" si="520"/>
        <v>324230.5025</v>
      </c>
      <c r="CG757" s="58">
        <f t="shared" si="500"/>
        <v>1296922.01</v>
      </c>
      <c r="CH757" s="58">
        <f t="shared" si="522"/>
        <v>324230.5025</v>
      </c>
      <c r="CI757" s="58">
        <f t="shared" si="517"/>
        <v>324230.5025</v>
      </c>
      <c r="CJ757" s="58">
        <f t="shared" si="517"/>
        <v>324230.5025</v>
      </c>
      <c r="CK757" s="58">
        <f t="shared" si="517"/>
        <v>324230.5025</v>
      </c>
      <c r="CL757" s="58">
        <f t="shared" si="524"/>
        <v>1296922.01</v>
      </c>
      <c r="CP757" s="2">
        <f t="shared" si="501"/>
        <v>10375376.08</v>
      </c>
    </row>
    <row r="758" spans="1:94" ht="16.5" hidden="1" x14ac:dyDescent="0.3">
      <c r="A758" s="2">
        <v>753</v>
      </c>
      <c r="B758" s="47" t="s">
        <v>21</v>
      </c>
      <c r="C758" s="47"/>
      <c r="D758" s="30" t="s">
        <v>1725</v>
      </c>
      <c r="E758" s="30" t="s">
        <v>1042</v>
      </c>
      <c r="F758" s="30" t="s">
        <v>1043</v>
      </c>
      <c r="G758" s="30" t="s">
        <v>117</v>
      </c>
      <c r="H758" s="30"/>
      <c r="I758" s="30" t="s">
        <v>119</v>
      </c>
      <c r="J758" s="30" t="s">
        <v>1871</v>
      </c>
      <c r="K758" s="30" t="s">
        <v>1872</v>
      </c>
      <c r="L758" s="30" t="s">
        <v>1873</v>
      </c>
      <c r="M758" s="30">
        <v>1004327</v>
      </c>
      <c r="N758" s="30" t="s">
        <v>138</v>
      </c>
      <c r="O758" s="30" t="s">
        <v>2100</v>
      </c>
      <c r="P758" s="30" t="s">
        <v>1823</v>
      </c>
      <c r="Q758" s="30" t="s">
        <v>232</v>
      </c>
      <c r="R758" s="30" t="s">
        <v>142</v>
      </c>
      <c r="S758" s="30">
        <v>310672320</v>
      </c>
      <c r="T758" s="30" t="s">
        <v>1752</v>
      </c>
      <c r="U758" s="30" t="s">
        <v>2090</v>
      </c>
      <c r="V758" s="30" t="s">
        <v>415</v>
      </c>
      <c r="W758" s="30" t="s">
        <v>146</v>
      </c>
      <c r="X758" s="89" t="s">
        <v>1838</v>
      </c>
      <c r="Y758" s="125" t="s">
        <v>457</v>
      </c>
      <c r="Z758" s="125" t="s">
        <v>457</v>
      </c>
      <c r="AA758" s="20" t="s">
        <v>148</v>
      </c>
      <c r="AB758" s="142" t="s">
        <v>1953</v>
      </c>
      <c r="AC758" s="30" t="s">
        <v>1954</v>
      </c>
      <c r="AD758" s="30"/>
      <c r="AE758" s="30"/>
      <c r="AF758" s="48" t="s">
        <v>151</v>
      </c>
      <c r="AG758" s="48" t="s">
        <v>152</v>
      </c>
      <c r="AH758" s="48" t="s">
        <v>153</v>
      </c>
      <c r="AI758" s="30"/>
      <c r="AJ758" s="30"/>
      <c r="AK758" s="50">
        <v>41782</v>
      </c>
      <c r="AL758" s="51">
        <f t="shared" si="508"/>
        <v>11.449315068493151</v>
      </c>
      <c r="AM758" s="30">
        <v>8</v>
      </c>
      <c r="AN758" s="30"/>
      <c r="AO758" s="30" t="s">
        <v>1050</v>
      </c>
      <c r="AP758" s="30" t="s">
        <v>1051</v>
      </c>
      <c r="AQ758" s="30">
        <v>9.83</v>
      </c>
      <c r="AR758" s="30">
        <v>1250</v>
      </c>
      <c r="AS758" s="30">
        <v>950</v>
      </c>
      <c r="AT758" s="30">
        <v>1800</v>
      </c>
      <c r="AU758" s="54">
        <v>573701925</v>
      </c>
      <c r="AV758" s="54"/>
      <c r="AW758" s="54"/>
      <c r="AX758" s="54"/>
      <c r="AY758" s="54">
        <v>573700925</v>
      </c>
      <c r="AZ758" s="54">
        <v>477084</v>
      </c>
      <c r="BA758" s="54">
        <v>1000</v>
      </c>
      <c r="BB758" s="55">
        <f>VLOOKUP(M758,[1]Sheet1!$E$6:$F$556,2,FALSE)</f>
        <v>1000</v>
      </c>
      <c r="BC758" s="74"/>
      <c r="BD758" s="74"/>
      <c r="BE758" s="30"/>
      <c r="BF758" s="30" t="s">
        <v>1745</v>
      </c>
      <c r="BG758" s="30" t="s">
        <v>1880</v>
      </c>
      <c r="BH758" s="30" t="s">
        <v>1054</v>
      </c>
      <c r="BI758" s="30" t="str">
        <f t="shared" si="496"/>
        <v>COF(Assy_FT)</v>
      </c>
      <c r="BJ758" s="47" t="s">
        <v>137</v>
      </c>
      <c r="BK758" s="67">
        <f t="shared" si="509"/>
        <v>11474038.5</v>
      </c>
      <c r="BL758" s="68">
        <f t="shared" si="518"/>
        <v>1093805.37888793</v>
      </c>
      <c r="BM758" s="68">
        <f t="shared" si="519"/>
        <v>364601.79296264332</v>
      </c>
      <c r="BP758" s="69">
        <f>BM758*3</f>
        <v>1093805.37888793</v>
      </c>
      <c r="BQ758" s="69">
        <f>BP758</f>
        <v>1093805.37888793</v>
      </c>
      <c r="BR758" s="69">
        <f>SUM(BN758:BQ758)</f>
        <v>2187610.7577758599</v>
      </c>
      <c r="BS758" s="69">
        <f>BQ758</f>
        <v>1093805.37888793</v>
      </c>
      <c r="BT758" s="69">
        <f>BS758</f>
        <v>1093805.37888793</v>
      </c>
      <c r="BU758" s="100">
        <f>BT758</f>
        <v>1093805.37888793</v>
      </c>
      <c r="BV758" s="100">
        <f t="shared" si="515"/>
        <v>1093805.37888793</v>
      </c>
      <c r="BW758" s="100">
        <f t="shared" si="523"/>
        <v>4375221.5155517198</v>
      </c>
      <c r="BX758" s="101">
        <f t="shared" si="521"/>
        <v>1093805.37888793</v>
      </c>
      <c r="BY758" s="101">
        <f t="shared" si="525"/>
        <v>1093805.37888793</v>
      </c>
      <c r="BZ758" s="18">
        <f t="shared" si="512"/>
        <v>1093805.37888793</v>
      </c>
      <c r="CA758" s="18">
        <f t="shared" si="526"/>
        <v>1093805.37888793</v>
      </c>
      <c r="CB758" s="70">
        <f t="shared" si="497"/>
        <v>4375221.5155517198</v>
      </c>
      <c r="CC758" s="18">
        <f t="shared" si="498"/>
        <v>1093805.37888793</v>
      </c>
      <c r="CD758" s="18">
        <f t="shared" si="520"/>
        <v>1093805.37888793</v>
      </c>
      <c r="CE758" s="18">
        <f t="shared" si="520"/>
        <v>1093805.37888793</v>
      </c>
      <c r="CF758" s="18">
        <f t="shared" si="520"/>
        <v>1093805.37888793</v>
      </c>
      <c r="CG758" s="70">
        <f t="shared" si="500"/>
        <v>4375221.5155517198</v>
      </c>
      <c r="CH758" s="18">
        <f t="shared" si="522"/>
        <v>1093805.37888793</v>
      </c>
      <c r="CI758" s="18">
        <f t="shared" si="517"/>
        <v>1093805.37888793</v>
      </c>
      <c r="CJ758" s="18">
        <f t="shared" si="517"/>
        <v>1093805.37888793</v>
      </c>
      <c r="CK758" s="18">
        <f t="shared" si="517"/>
        <v>1093805.37888793</v>
      </c>
      <c r="CL758" s="70">
        <f t="shared" si="524"/>
        <v>4375221.5155517198</v>
      </c>
      <c r="CM758" s="71"/>
      <c r="CN758" s="59">
        <f>BK758/$CN$3</f>
        <v>1.1203682678292265E-3</v>
      </c>
      <c r="CO758" s="64">
        <f>CN758*$CO$4</f>
        <v>23527733.624413759</v>
      </c>
      <c r="CP758" s="2">
        <f t="shared" si="501"/>
        <v>35001772.124413759</v>
      </c>
    </row>
    <row r="759" spans="1:94" hidden="1" x14ac:dyDescent="0.3">
      <c r="A759" s="29">
        <v>754</v>
      </c>
      <c r="B759" s="30" t="s">
        <v>21</v>
      </c>
      <c r="C759" s="30"/>
      <c r="D759" s="30" t="s">
        <v>1725</v>
      </c>
      <c r="E759" s="30" t="s">
        <v>1042</v>
      </c>
      <c r="F759" s="30" t="s">
        <v>1043</v>
      </c>
      <c r="G759" s="30" t="s">
        <v>117</v>
      </c>
      <c r="H759" s="30"/>
      <c r="I759" s="30" t="s">
        <v>119</v>
      </c>
      <c r="J759" s="30" t="s">
        <v>1871</v>
      </c>
      <c r="K759" s="30" t="s">
        <v>1872</v>
      </c>
      <c r="L759" s="30" t="s">
        <v>1873</v>
      </c>
      <c r="M759" s="30">
        <v>1005921</v>
      </c>
      <c r="N759" s="30" t="s">
        <v>138</v>
      </c>
      <c r="O759" s="30" t="s">
        <v>2101</v>
      </c>
      <c r="P759" s="30" t="s">
        <v>1837</v>
      </c>
      <c r="Q759" s="30" t="s">
        <v>2039</v>
      </c>
      <c r="R759" s="30" t="s">
        <v>142</v>
      </c>
      <c r="S759" s="30">
        <v>311069897</v>
      </c>
      <c r="T759" s="30" t="s">
        <v>1780</v>
      </c>
      <c r="U759" s="30" t="s">
        <v>588</v>
      </c>
      <c r="V759" s="30" t="s">
        <v>415</v>
      </c>
      <c r="W759" s="30" t="s">
        <v>146</v>
      </c>
      <c r="X759" s="89"/>
      <c r="Y759" s="30" t="s">
        <v>457</v>
      </c>
      <c r="Z759" s="30" t="s">
        <v>457</v>
      </c>
      <c r="AA759" s="20" t="s">
        <v>148</v>
      </c>
      <c r="AB759" s="142" t="s">
        <v>1953</v>
      </c>
      <c r="AC759" s="30" t="s">
        <v>1954</v>
      </c>
      <c r="AD759" s="30"/>
      <c r="AE759" s="30"/>
      <c r="AF759" s="30" t="s">
        <v>151</v>
      </c>
      <c r="AG759" s="30" t="s">
        <v>152</v>
      </c>
      <c r="AH759" s="30" t="s">
        <v>1839</v>
      </c>
      <c r="AI759" s="30"/>
      <c r="AJ759" s="30"/>
      <c r="AK759" s="50">
        <v>43579</v>
      </c>
      <c r="AL759" s="51">
        <f t="shared" si="508"/>
        <v>6.5260273972602736</v>
      </c>
      <c r="AM759" s="30">
        <v>8</v>
      </c>
      <c r="AN759" s="30"/>
      <c r="AO759" s="30" t="s">
        <v>1050</v>
      </c>
      <c r="AP759" s="30" t="s">
        <v>1051</v>
      </c>
      <c r="AQ759" s="30">
        <v>13.3</v>
      </c>
      <c r="AR759" s="30">
        <v>1050</v>
      </c>
      <c r="AS759" s="30">
        <v>800</v>
      </c>
      <c r="AT759" s="30">
        <v>1600</v>
      </c>
      <c r="AU759" s="74">
        <v>1006314630</v>
      </c>
      <c r="AV759" s="54"/>
      <c r="AW759" s="54"/>
      <c r="AX759" s="54"/>
      <c r="AY759" s="54">
        <v>787175047</v>
      </c>
      <c r="AZ759" s="54">
        <v>10482444</v>
      </c>
      <c r="BA759" s="74">
        <v>187692251</v>
      </c>
      <c r="BB759" s="55">
        <f>VLOOKUP(M759,[1]Sheet1!$E$6:$F$556,2,FALSE)</f>
        <v>14061406</v>
      </c>
      <c r="BC759" s="74"/>
      <c r="BD759" s="74"/>
      <c r="BE759" s="30"/>
      <c r="BF759" s="30" t="s">
        <v>1739</v>
      </c>
      <c r="BG759" s="30" t="s">
        <v>1880</v>
      </c>
      <c r="BH759" s="30" t="s">
        <v>1054</v>
      </c>
      <c r="BI759" s="30" t="str">
        <f t="shared" si="496"/>
        <v>COF(Assy_FT)</v>
      </c>
      <c r="BJ759" s="30" t="s">
        <v>250</v>
      </c>
      <c r="BK759" s="56">
        <f t="shared" si="509"/>
        <v>197076863.55000001</v>
      </c>
      <c r="BL759" s="57">
        <f t="shared" si="518"/>
        <v>6158651.9859375004</v>
      </c>
      <c r="BM759" s="57">
        <f t="shared" si="519"/>
        <v>2052883.9953125</v>
      </c>
      <c r="BU759" s="58">
        <f t="shared" ref="BU759:BU767" si="527">BM759*3</f>
        <v>6158651.9859375004</v>
      </c>
      <c r="BV759" s="58">
        <f t="shared" si="515"/>
        <v>6158651.9859375004</v>
      </c>
      <c r="BW759" s="58">
        <f t="shared" si="523"/>
        <v>12317303.971875001</v>
      </c>
      <c r="BX759" s="58">
        <f t="shared" si="521"/>
        <v>6158651.9859375004</v>
      </c>
      <c r="BY759" s="58">
        <f t="shared" si="525"/>
        <v>6158651.9859375004</v>
      </c>
      <c r="BZ759" s="58">
        <f t="shared" si="512"/>
        <v>6158651.9859375004</v>
      </c>
      <c r="CA759" s="58">
        <f t="shared" si="526"/>
        <v>6158651.9859375004</v>
      </c>
      <c r="CB759" s="58">
        <f t="shared" si="497"/>
        <v>24634607.943750001</v>
      </c>
      <c r="CC759" s="58">
        <f t="shared" si="498"/>
        <v>6158651.9859375004</v>
      </c>
      <c r="CD759" s="58">
        <f t="shared" si="520"/>
        <v>6158651.9859375004</v>
      </c>
      <c r="CE759" s="58">
        <f t="shared" si="520"/>
        <v>6158651.9859375004</v>
      </c>
      <c r="CF759" s="58">
        <f t="shared" si="520"/>
        <v>6158651.9859375004</v>
      </c>
      <c r="CG759" s="58">
        <f t="shared" si="500"/>
        <v>24634607.943750001</v>
      </c>
      <c r="CH759" s="58">
        <f t="shared" si="522"/>
        <v>6158651.9859375004</v>
      </c>
      <c r="CI759" s="58">
        <f t="shared" ref="CI759:CK794" si="528">CH759</f>
        <v>6158651.9859375004</v>
      </c>
      <c r="CJ759" s="58">
        <f t="shared" si="528"/>
        <v>6158651.9859375004</v>
      </c>
      <c r="CK759" s="58">
        <f t="shared" si="528"/>
        <v>6158651.9859375004</v>
      </c>
      <c r="CL759" s="58">
        <f t="shared" si="524"/>
        <v>24634607.943750001</v>
      </c>
      <c r="CP759" s="2">
        <f t="shared" si="501"/>
        <v>197076863.55000001</v>
      </c>
    </row>
    <row r="760" spans="1:94" hidden="1" x14ac:dyDescent="0.3">
      <c r="A760" s="29">
        <v>755</v>
      </c>
      <c r="B760" s="30" t="s">
        <v>21</v>
      </c>
      <c r="C760" s="30"/>
      <c r="D760" s="30" t="s">
        <v>1725</v>
      </c>
      <c r="E760" s="30" t="s">
        <v>1042</v>
      </c>
      <c r="F760" s="30" t="s">
        <v>1043</v>
      </c>
      <c r="G760" s="30" t="s">
        <v>117</v>
      </c>
      <c r="H760" s="30"/>
      <c r="I760" s="30" t="s">
        <v>119</v>
      </c>
      <c r="J760" s="30" t="s">
        <v>1871</v>
      </c>
      <c r="K760" s="30" t="s">
        <v>1872</v>
      </c>
      <c r="L760" s="30" t="s">
        <v>1873</v>
      </c>
      <c r="M760" s="30">
        <v>1005922</v>
      </c>
      <c r="N760" s="30" t="s">
        <v>138</v>
      </c>
      <c r="O760" s="30" t="s">
        <v>2102</v>
      </c>
      <c r="P760" s="30" t="s">
        <v>1837</v>
      </c>
      <c r="Q760" s="30" t="s">
        <v>2039</v>
      </c>
      <c r="R760" s="30" t="s">
        <v>142</v>
      </c>
      <c r="S760" s="30">
        <v>311070257</v>
      </c>
      <c r="T760" s="30" t="s">
        <v>1780</v>
      </c>
      <c r="U760" s="30" t="s">
        <v>588</v>
      </c>
      <c r="V760" s="30" t="s">
        <v>415</v>
      </c>
      <c r="W760" s="30" t="s">
        <v>146</v>
      </c>
      <c r="X760" s="89"/>
      <c r="Y760" s="30" t="s">
        <v>457</v>
      </c>
      <c r="Z760" s="30" t="s">
        <v>457</v>
      </c>
      <c r="AA760" s="20" t="s">
        <v>148</v>
      </c>
      <c r="AB760" s="142" t="s">
        <v>1953</v>
      </c>
      <c r="AC760" s="30" t="s">
        <v>1954</v>
      </c>
      <c r="AD760" s="30"/>
      <c r="AE760" s="30"/>
      <c r="AF760" s="30" t="s">
        <v>151</v>
      </c>
      <c r="AG760" s="30" t="s">
        <v>152</v>
      </c>
      <c r="AH760" s="30" t="s">
        <v>1839</v>
      </c>
      <c r="AI760" s="30"/>
      <c r="AJ760" s="30"/>
      <c r="AK760" s="50">
        <v>43579</v>
      </c>
      <c r="AL760" s="51">
        <f t="shared" si="508"/>
        <v>6.5260273972602736</v>
      </c>
      <c r="AM760" s="30">
        <v>8</v>
      </c>
      <c r="AN760" s="30"/>
      <c r="AO760" s="30" t="s">
        <v>1050</v>
      </c>
      <c r="AP760" s="30" t="s">
        <v>1051</v>
      </c>
      <c r="AQ760" s="30">
        <v>13.3</v>
      </c>
      <c r="AR760" s="30">
        <v>1050</v>
      </c>
      <c r="AS760" s="30">
        <v>800</v>
      </c>
      <c r="AT760" s="30">
        <v>1600</v>
      </c>
      <c r="AU760" s="74">
        <v>1114148346</v>
      </c>
      <c r="AV760" s="54"/>
      <c r="AW760" s="54"/>
      <c r="AX760" s="54"/>
      <c r="AY760" s="54">
        <v>853242873</v>
      </c>
      <c r="AZ760" s="54">
        <v>11605712</v>
      </c>
      <c r="BA760" s="74">
        <v>226088337</v>
      </c>
      <c r="BB760" s="55">
        <f>VLOOKUP(M760,[1]Sheet1!$E$6:$F$556,2,FALSE)</f>
        <v>17110178</v>
      </c>
      <c r="BC760" s="74"/>
      <c r="BD760" s="74"/>
      <c r="BE760" s="30"/>
      <c r="BF760" s="30" t="s">
        <v>1739</v>
      </c>
      <c r="BG760" s="30" t="s">
        <v>1880</v>
      </c>
      <c r="BH760" s="30" t="s">
        <v>1054</v>
      </c>
      <c r="BI760" s="30" t="str">
        <f t="shared" si="496"/>
        <v>COF(Assy_FT)</v>
      </c>
      <c r="BJ760" s="30" t="s">
        <v>250</v>
      </c>
      <c r="BK760" s="56">
        <f t="shared" si="509"/>
        <v>237392753.85000002</v>
      </c>
      <c r="BL760" s="57">
        <f t="shared" si="518"/>
        <v>7418523.5578125007</v>
      </c>
      <c r="BM760" s="57">
        <f t="shared" si="519"/>
        <v>2472841.1859375001</v>
      </c>
      <c r="BU760" s="58">
        <f t="shared" si="527"/>
        <v>7418523.5578125007</v>
      </c>
      <c r="BV760" s="58">
        <f t="shared" si="515"/>
        <v>7418523.5578125007</v>
      </c>
      <c r="BW760" s="58">
        <f t="shared" si="523"/>
        <v>14837047.115625001</v>
      </c>
      <c r="BX760" s="58">
        <f t="shared" si="521"/>
        <v>7418523.5578125007</v>
      </c>
      <c r="BY760" s="58">
        <f t="shared" si="525"/>
        <v>7418523.5578125007</v>
      </c>
      <c r="BZ760" s="58">
        <f t="shared" si="512"/>
        <v>7418523.5578125007</v>
      </c>
      <c r="CA760" s="58">
        <f t="shared" si="526"/>
        <v>7418523.5578125007</v>
      </c>
      <c r="CB760" s="58">
        <f t="shared" si="497"/>
        <v>29674094.231250003</v>
      </c>
      <c r="CC760" s="58">
        <f t="shared" si="498"/>
        <v>7418523.5578125007</v>
      </c>
      <c r="CD760" s="58">
        <f t="shared" si="520"/>
        <v>7418523.5578125007</v>
      </c>
      <c r="CE760" s="58">
        <f t="shared" si="520"/>
        <v>7418523.5578125007</v>
      </c>
      <c r="CF760" s="58">
        <f t="shared" si="520"/>
        <v>7418523.5578125007</v>
      </c>
      <c r="CG760" s="58">
        <f t="shared" si="500"/>
        <v>29674094.231250003</v>
      </c>
      <c r="CH760" s="58">
        <f t="shared" si="522"/>
        <v>7418523.5578125007</v>
      </c>
      <c r="CI760" s="58">
        <f t="shared" si="528"/>
        <v>7418523.5578125007</v>
      </c>
      <c r="CJ760" s="58">
        <f t="shared" si="528"/>
        <v>7418523.5578125007</v>
      </c>
      <c r="CK760" s="58">
        <f t="shared" si="528"/>
        <v>7418523.5578125007</v>
      </c>
      <c r="CL760" s="58">
        <f t="shared" si="524"/>
        <v>29674094.231250003</v>
      </c>
      <c r="CP760" s="2">
        <f t="shared" si="501"/>
        <v>237392753.85000002</v>
      </c>
    </row>
    <row r="761" spans="1:94" hidden="1" x14ac:dyDescent="0.3">
      <c r="A761" s="29">
        <v>756</v>
      </c>
      <c r="B761" s="30" t="s">
        <v>21</v>
      </c>
      <c r="C761" s="30"/>
      <c r="D761" s="30" t="s">
        <v>1725</v>
      </c>
      <c r="E761" s="30" t="s">
        <v>1042</v>
      </c>
      <c r="F761" s="30" t="s">
        <v>1043</v>
      </c>
      <c r="G761" s="30" t="s">
        <v>117</v>
      </c>
      <c r="H761" s="30"/>
      <c r="I761" s="30" t="s">
        <v>119</v>
      </c>
      <c r="J761" s="30" t="s">
        <v>1871</v>
      </c>
      <c r="K761" s="30" t="s">
        <v>1872</v>
      </c>
      <c r="L761" s="30" t="s">
        <v>1873</v>
      </c>
      <c r="M761" s="30">
        <v>1005923</v>
      </c>
      <c r="N761" s="30" t="s">
        <v>138</v>
      </c>
      <c r="O761" s="30" t="s">
        <v>2103</v>
      </c>
      <c r="P761" s="30" t="s">
        <v>1837</v>
      </c>
      <c r="Q761" s="30" t="s">
        <v>2039</v>
      </c>
      <c r="R761" s="30" t="s">
        <v>142</v>
      </c>
      <c r="S761" s="30">
        <v>311070215</v>
      </c>
      <c r="T761" s="30" t="s">
        <v>1780</v>
      </c>
      <c r="U761" s="30" t="s">
        <v>588</v>
      </c>
      <c r="V761" s="30" t="s">
        <v>415</v>
      </c>
      <c r="W761" s="30" t="s">
        <v>146</v>
      </c>
      <c r="X761" s="89"/>
      <c r="Y761" s="30" t="s">
        <v>457</v>
      </c>
      <c r="Z761" s="30" t="s">
        <v>457</v>
      </c>
      <c r="AA761" s="20" t="s">
        <v>148</v>
      </c>
      <c r="AB761" s="142" t="s">
        <v>1953</v>
      </c>
      <c r="AC761" s="30" t="s">
        <v>1954</v>
      </c>
      <c r="AD761" s="30"/>
      <c r="AE761" s="30"/>
      <c r="AF761" s="30" t="s">
        <v>151</v>
      </c>
      <c r="AG761" s="30" t="s">
        <v>152</v>
      </c>
      <c r="AH761" s="30" t="s">
        <v>1839</v>
      </c>
      <c r="AI761" s="30"/>
      <c r="AJ761" s="30"/>
      <c r="AK761" s="50">
        <v>43579</v>
      </c>
      <c r="AL761" s="51">
        <f t="shared" si="508"/>
        <v>6.5260273972602736</v>
      </c>
      <c r="AM761" s="30">
        <v>8</v>
      </c>
      <c r="AN761" s="30"/>
      <c r="AO761" s="30" t="s">
        <v>1050</v>
      </c>
      <c r="AP761" s="30" t="s">
        <v>1051</v>
      </c>
      <c r="AQ761" s="30">
        <v>13.3</v>
      </c>
      <c r="AR761" s="30">
        <v>1050</v>
      </c>
      <c r="AS761" s="30">
        <v>800</v>
      </c>
      <c r="AT761" s="30">
        <v>1600</v>
      </c>
      <c r="AU761" s="74">
        <v>1006764629</v>
      </c>
      <c r="AV761" s="54"/>
      <c r="AW761" s="54"/>
      <c r="AX761" s="54"/>
      <c r="AY761" s="54">
        <v>787531306</v>
      </c>
      <c r="AZ761" s="54">
        <v>10487132</v>
      </c>
      <c r="BA761" s="74">
        <v>187771927</v>
      </c>
      <c r="BB761" s="55">
        <f>VLOOKUP(M761,[1]Sheet1!$E$6:$F$556,2,FALSE)</f>
        <v>14067336</v>
      </c>
      <c r="BC761" s="74"/>
      <c r="BD761" s="74"/>
      <c r="BE761" s="30"/>
      <c r="BF761" s="30" t="s">
        <v>1739</v>
      </c>
      <c r="BG761" s="30" t="s">
        <v>1880</v>
      </c>
      <c r="BH761" s="30" t="s">
        <v>1054</v>
      </c>
      <c r="BI761" s="30" t="str">
        <f t="shared" si="496"/>
        <v>COF(Assy_FT)</v>
      </c>
      <c r="BJ761" s="30" t="s">
        <v>250</v>
      </c>
      <c r="BK761" s="56">
        <f t="shared" si="509"/>
        <v>197160523.34999999</v>
      </c>
      <c r="BL761" s="57">
        <f t="shared" si="518"/>
        <v>6161266.3546874998</v>
      </c>
      <c r="BM761" s="57">
        <f t="shared" si="519"/>
        <v>2053755.4515624999</v>
      </c>
      <c r="BU761" s="58">
        <f t="shared" si="527"/>
        <v>6161266.3546874998</v>
      </c>
      <c r="BV761" s="58">
        <f t="shared" si="515"/>
        <v>6161266.3546874998</v>
      </c>
      <c r="BW761" s="58">
        <f t="shared" si="523"/>
        <v>12322532.709375</v>
      </c>
      <c r="BX761" s="58">
        <f t="shared" si="521"/>
        <v>6161266.3546874998</v>
      </c>
      <c r="BY761" s="58">
        <f t="shared" si="525"/>
        <v>6161266.3546874998</v>
      </c>
      <c r="BZ761" s="58">
        <f t="shared" si="512"/>
        <v>6161266.3546874998</v>
      </c>
      <c r="CA761" s="58">
        <f t="shared" si="526"/>
        <v>6161266.3546874998</v>
      </c>
      <c r="CB761" s="58">
        <f t="shared" si="497"/>
        <v>24645065.418749999</v>
      </c>
      <c r="CC761" s="58">
        <f t="shared" si="498"/>
        <v>6161266.3546874998</v>
      </c>
      <c r="CD761" s="58">
        <f t="shared" si="520"/>
        <v>6161266.3546874998</v>
      </c>
      <c r="CE761" s="58">
        <f t="shared" si="520"/>
        <v>6161266.3546874998</v>
      </c>
      <c r="CF761" s="58">
        <f t="shared" si="520"/>
        <v>6161266.3546874998</v>
      </c>
      <c r="CG761" s="58">
        <f t="shared" si="500"/>
        <v>24645065.418749999</v>
      </c>
      <c r="CH761" s="58">
        <f t="shared" si="522"/>
        <v>6161266.3546874998</v>
      </c>
      <c r="CI761" s="58">
        <f t="shared" si="528"/>
        <v>6161266.3546874998</v>
      </c>
      <c r="CJ761" s="58">
        <f t="shared" si="528"/>
        <v>6161266.3546874998</v>
      </c>
      <c r="CK761" s="58">
        <f t="shared" si="528"/>
        <v>6161266.3546874998</v>
      </c>
      <c r="CL761" s="58">
        <f t="shared" si="524"/>
        <v>24645065.418749999</v>
      </c>
      <c r="CP761" s="2">
        <f t="shared" si="501"/>
        <v>197160523.34999999</v>
      </c>
    </row>
    <row r="762" spans="1:94" hidden="1" x14ac:dyDescent="0.3">
      <c r="A762" s="29">
        <v>757</v>
      </c>
      <c r="B762" s="30" t="s">
        <v>21</v>
      </c>
      <c r="C762" s="30"/>
      <c r="D762" s="30" t="s">
        <v>1725</v>
      </c>
      <c r="E762" s="30" t="s">
        <v>1042</v>
      </c>
      <c r="F762" s="30" t="s">
        <v>1043</v>
      </c>
      <c r="G762" s="30" t="s">
        <v>117</v>
      </c>
      <c r="H762" s="30"/>
      <c r="I762" s="30" t="s">
        <v>119</v>
      </c>
      <c r="J762" s="30" t="s">
        <v>1871</v>
      </c>
      <c r="K762" s="30" t="s">
        <v>1872</v>
      </c>
      <c r="L762" s="30" t="s">
        <v>1873</v>
      </c>
      <c r="M762" s="30">
        <v>1005902</v>
      </c>
      <c r="N762" s="30" t="s">
        <v>138</v>
      </c>
      <c r="O762" s="30" t="s">
        <v>2104</v>
      </c>
      <c r="P762" s="30" t="s">
        <v>1837</v>
      </c>
      <c r="Q762" s="30" t="s">
        <v>2039</v>
      </c>
      <c r="R762" s="30" t="s">
        <v>142</v>
      </c>
      <c r="S762" s="30">
        <v>311072929</v>
      </c>
      <c r="T762" s="30" t="s">
        <v>1780</v>
      </c>
      <c r="U762" s="30" t="s">
        <v>588</v>
      </c>
      <c r="V762" s="30" t="s">
        <v>415</v>
      </c>
      <c r="W762" s="30" t="s">
        <v>146</v>
      </c>
      <c r="X762" s="89"/>
      <c r="Y762" s="30" t="s">
        <v>457</v>
      </c>
      <c r="Z762" s="30" t="s">
        <v>457</v>
      </c>
      <c r="AA762" s="20" t="s">
        <v>148</v>
      </c>
      <c r="AB762" s="142" t="s">
        <v>1953</v>
      </c>
      <c r="AC762" s="30" t="s">
        <v>1954</v>
      </c>
      <c r="AD762" s="30"/>
      <c r="AE762" s="30"/>
      <c r="AF762" s="30" t="s">
        <v>151</v>
      </c>
      <c r="AG762" s="30" t="s">
        <v>152</v>
      </c>
      <c r="AH762" s="30" t="s">
        <v>1839</v>
      </c>
      <c r="AI762" s="30"/>
      <c r="AJ762" s="30"/>
      <c r="AK762" s="50">
        <v>43614</v>
      </c>
      <c r="AL762" s="51">
        <f t="shared" si="508"/>
        <v>6.4301369863013695</v>
      </c>
      <c r="AM762" s="30">
        <v>8</v>
      </c>
      <c r="AN762" s="30"/>
      <c r="AO762" s="30" t="s">
        <v>1050</v>
      </c>
      <c r="AP762" s="30" t="s">
        <v>1051</v>
      </c>
      <c r="AQ762" s="30">
        <v>13.3</v>
      </c>
      <c r="AR762" s="30">
        <v>1050</v>
      </c>
      <c r="AS762" s="30">
        <v>800</v>
      </c>
      <c r="AT762" s="30">
        <v>1600</v>
      </c>
      <c r="AU762" s="74">
        <v>989036010</v>
      </c>
      <c r="AV762" s="54"/>
      <c r="AW762" s="54"/>
      <c r="AX762" s="54"/>
      <c r="AY762" s="54">
        <v>772684378</v>
      </c>
      <c r="AZ762" s="54">
        <v>10302458</v>
      </c>
      <c r="BA762" s="74">
        <v>185444258</v>
      </c>
      <c r="BB762" s="55">
        <f>VLOOKUP(M762,[1]Sheet1!$E$6:$F$556,2,FALSE)</f>
        <v>14119398</v>
      </c>
      <c r="BC762" s="74"/>
      <c r="BD762" s="74"/>
      <c r="BE762" s="30"/>
      <c r="BF762" s="30" t="s">
        <v>1739</v>
      </c>
      <c r="BG762" s="30" t="s">
        <v>1880</v>
      </c>
      <c r="BH762" s="30" t="s">
        <v>1054</v>
      </c>
      <c r="BI762" s="30" t="str">
        <f t="shared" si="496"/>
        <v>COF(Assy_FT)</v>
      </c>
      <c r="BJ762" s="30" t="s">
        <v>250</v>
      </c>
      <c r="BK762" s="56">
        <f t="shared" si="509"/>
        <v>194716470.90000001</v>
      </c>
      <c r="BL762" s="57">
        <f t="shared" si="518"/>
        <v>6084889.7156250002</v>
      </c>
      <c r="BM762" s="57">
        <f t="shared" si="519"/>
        <v>2028296.5718750001</v>
      </c>
      <c r="BU762" s="58">
        <f t="shared" si="527"/>
        <v>6084889.7156250002</v>
      </c>
      <c r="BV762" s="58">
        <f t="shared" si="515"/>
        <v>6084889.7156250002</v>
      </c>
      <c r="BW762" s="58">
        <f t="shared" si="523"/>
        <v>12169779.43125</v>
      </c>
      <c r="BX762" s="58">
        <f t="shared" si="521"/>
        <v>6084889.7156250002</v>
      </c>
      <c r="BY762" s="58">
        <f t="shared" si="525"/>
        <v>6084889.7156250002</v>
      </c>
      <c r="BZ762" s="58">
        <f t="shared" si="512"/>
        <v>6084889.7156250002</v>
      </c>
      <c r="CA762" s="58">
        <f t="shared" si="526"/>
        <v>6084889.7156250002</v>
      </c>
      <c r="CB762" s="58">
        <f t="shared" si="497"/>
        <v>24339558.862500001</v>
      </c>
      <c r="CC762" s="58">
        <f t="shared" si="498"/>
        <v>6084889.7156250002</v>
      </c>
      <c r="CD762" s="58">
        <f t="shared" si="520"/>
        <v>6084889.7156250002</v>
      </c>
      <c r="CE762" s="58">
        <f t="shared" si="520"/>
        <v>6084889.7156250002</v>
      </c>
      <c r="CF762" s="58">
        <f t="shared" si="520"/>
        <v>6084889.7156250002</v>
      </c>
      <c r="CG762" s="58">
        <f t="shared" si="500"/>
        <v>24339558.862500001</v>
      </c>
      <c r="CH762" s="58">
        <f t="shared" si="522"/>
        <v>6084889.7156250002</v>
      </c>
      <c r="CI762" s="58">
        <f t="shared" si="528"/>
        <v>6084889.7156250002</v>
      </c>
      <c r="CJ762" s="58">
        <f t="shared" si="528"/>
        <v>6084889.7156250002</v>
      </c>
      <c r="CK762" s="58">
        <f t="shared" si="528"/>
        <v>6084889.7156250002</v>
      </c>
      <c r="CL762" s="58">
        <f t="shared" si="524"/>
        <v>24339558.862500001</v>
      </c>
      <c r="CP762" s="2">
        <f t="shared" si="501"/>
        <v>194716470.90000001</v>
      </c>
    </row>
    <row r="763" spans="1:94" hidden="1" x14ac:dyDescent="0.3">
      <c r="A763" s="29">
        <v>758</v>
      </c>
      <c r="B763" s="30" t="s">
        <v>21</v>
      </c>
      <c r="C763" s="30"/>
      <c r="D763" s="30" t="s">
        <v>1725</v>
      </c>
      <c r="E763" s="30" t="s">
        <v>1042</v>
      </c>
      <c r="F763" s="30" t="s">
        <v>1043</v>
      </c>
      <c r="G763" s="30" t="s">
        <v>117</v>
      </c>
      <c r="H763" s="30"/>
      <c r="I763" s="30" t="s">
        <v>119</v>
      </c>
      <c r="J763" s="30" t="s">
        <v>1871</v>
      </c>
      <c r="K763" s="30" t="s">
        <v>1872</v>
      </c>
      <c r="L763" s="30" t="s">
        <v>1873</v>
      </c>
      <c r="M763" s="30">
        <v>1006038</v>
      </c>
      <c r="N763" s="30" t="s">
        <v>138</v>
      </c>
      <c r="O763" s="30" t="s">
        <v>2105</v>
      </c>
      <c r="P763" s="30" t="s">
        <v>1837</v>
      </c>
      <c r="Q763" s="30" t="s">
        <v>2039</v>
      </c>
      <c r="R763" s="30" t="s">
        <v>142</v>
      </c>
      <c r="S763" s="30">
        <v>311081435</v>
      </c>
      <c r="T763" s="30" t="s">
        <v>1780</v>
      </c>
      <c r="U763" s="30" t="s">
        <v>588</v>
      </c>
      <c r="V763" s="30" t="s">
        <v>415</v>
      </c>
      <c r="W763" s="30" t="s">
        <v>146</v>
      </c>
      <c r="X763" s="89"/>
      <c r="Y763" s="30" t="s">
        <v>457</v>
      </c>
      <c r="Z763" s="30" t="s">
        <v>457</v>
      </c>
      <c r="AA763" s="20" t="s">
        <v>148</v>
      </c>
      <c r="AB763" s="142" t="s">
        <v>1953</v>
      </c>
      <c r="AC763" s="30" t="s">
        <v>1954</v>
      </c>
      <c r="AD763" s="30"/>
      <c r="AE763" s="30"/>
      <c r="AF763" s="30" t="s">
        <v>151</v>
      </c>
      <c r="AG763" s="30" t="s">
        <v>152</v>
      </c>
      <c r="AH763" s="30" t="s">
        <v>1839</v>
      </c>
      <c r="AI763" s="30"/>
      <c r="AJ763" s="30"/>
      <c r="AK763" s="50">
        <v>43699</v>
      </c>
      <c r="AL763" s="51">
        <f t="shared" si="508"/>
        <v>6.1972602739726028</v>
      </c>
      <c r="AM763" s="30">
        <v>8</v>
      </c>
      <c r="AN763" s="30"/>
      <c r="AO763" s="30" t="s">
        <v>1050</v>
      </c>
      <c r="AP763" s="30" t="s">
        <v>1187</v>
      </c>
      <c r="AQ763" s="30">
        <v>13.3</v>
      </c>
      <c r="AR763" s="30">
        <v>1050</v>
      </c>
      <c r="AS763" s="30">
        <v>800</v>
      </c>
      <c r="AT763" s="30">
        <v>1600</v>
      </c>
      <c r="AU763" s="74">
        <v>890457383</v>
      </c>
      <c r="AV763" s="54"/>
      <c r="AW763" s="54"/>
      <c r="AX763" s="54"/>
      <c r="AY763" s="54">
        <v>665169875</v>
      </c>
      <c r="AZ763" s="54">
        <v>9275598</v>
      </c>
      <c r="BA763" s="74">
        <v>197460714</v>
      </c>
      <c r="BB763" s="55">
        <f>VLOOKUP(M763,[1]Sheet1!$E$6:$F$556,2,FALSE)</f>
        <v>15882970</v>
      </c>
      <c r="BC763" s="74"/>
      <c r="BD763" s="74"/>
      <c r="BE763" s="30"/>
      <c r="BF763" s="30" t="s">
        <v>1739</v>
      </c>
      <c r="BG763" s="30" t="s">
        <v>1880</v>
      </c>
      <c r="BH763" s="30" t="s">
        <v>1054</v>
      </c>
      <c r="BI763" s="30" t="str">
        <f t="shared" si="496"/>
        <v>COF(Assy_FT)</v>
      </c>
      <c r="BJ763" s="30" t="s">
        <v>250</v>
      </c>
      <c r="BK763" s="56">
        <f t="shared" si="509"/>
        <v>207333749.70000002</v>
      </c>
      <c r="BL763" s="57">
        <f t="shared" si="518"/>
        <v>6479179.6781250006</v>
      </c>
      <c r="BM763" s="57">
        <f t="shared" si="519"/>
        <v>2159726.5593750002</v>
      </c>
      <c r="BU763" s="58">
        <f t="shared" si="527"/>
        <v>6479179.6781250006</v>
      </c>
      <c r="BV763" s="58">
        <f t="shared" si="515"/>
        <v>6479179.6781250006</v>
      </c>
      <c r="BW763" s="58">
        <f t="shared" si="523"/>
        <v>12958359.356250001</v>
      </c>
      <c r="BX763" s="58">
        <f t="shared" si="521"/>
        <v>6479179.6781250006</v>
      </c>
      <c r="BY763" s="58">
        <f t="shared" si="525"/>
        <v>6479179.6781250006</v>
      </c>
      <c r="BZ763" s="58">
        <f t="shared" si="512"/>
        <v>6479179.6781250006</v>
      </c>
      <c r="CA763" s="58">
        <f t="shared" si="526"/>
        <v>6479179.6781250006</v>
      </c>
      <c r="CB763" s="58">
        <f t="shared" si="497"/>
        <v>25916718.712500002</v>
      </c>
      <c r="CC763" s="58">
        <f t="shared" si="498"/>
        <v>6479179.6781250006</v>
      </c>
      <c r="CD763" s="58">
        <f t="shared" si="520"/>
        <v>6479179.6781250006</v>
      </c>
      <c r="CE763" s="58">
        <f t="shared" si="520"/>
        <v>6479179.6781250006</v>
      </c>
      <c r="CF763" s="58">
        <f t="shared" si="520"/>
        <v>6479179.6781250006</v>
      </c>
      <c r="CG763" s="58">
        <f t="shared" si="500"/>
        <v>25916718.712500002</v>
      </c>
      <c r="CH763" s="58">
        <f t="shared" si="522"/>
        <v>6479179.6781250006</v>
      </c>
      <c r="CI763" s="58">
        <f t="shared" si="528"/>
        <v>6479179.6781250006</v>
      </c>
      <c r="CJ763" s="58">
        <f t="shared" si="528"/>
        <v>6479179.6781250006</v>
      </c>
      <c r="CK763" s="58">
        <f t="shared" si="528"/>
        <v>6479179.6781250006</v>
      </c>
      <c r="CL763" s="58">
        <f t="shared" si="524"/>
        <v>25916718.712500002</v>
      </c>
      <c r="CP763" s="2">
        <f t="shared" si="501"/>
        <v>207333749.70000002</v>
      </c>
    </row>
    <row r="764" spans="1:94" hidden="1" x14ac:dyDescent="0.3">
      <c r="A764" s="29">
        <v>759</v>
      </c>
      <c r="B764" s="30" t="s">
        <v>21</v>
      </c>
      <c r="C764" s="30"/>
      <c r="D764" s="30" t="s">
        <v>1725</v>
      </c>
      <c r="E764" s="30" t="s">
        <v>1042</v>
      </c>
      <c r="F764" s="30" t="s">
        <v>1043</v>
      </c>
      <c r="G764" s="30" t="s">
        <v>117</v>
      </c>
      <c r="H764" s="30"/>
      <c r="I764" s="30" t="s">
        <v>119</v>
      </c>
      <c r="J764" s="30" t="s">
        <v>1871</v>
      </c>
      <c r="K764" s="30" t="s">
        <v>1872</v>
      </c>
      <c r="L764" s="30" t="s">
        <v>1873</v>
      </c>
      <c r="M764" s="30">
        <v>1006033</v>
      </c>
      <c r="N764" s="30" t="s">
        <v>138</v>
      </c>
      <c r="O764" s="30" t="s">
        <v>2106</v>
      </c>
      <c r="P764" s="30" t="s">
        <v>1837</v>
      </c>
      <c r="Q764" s="30" t="s">
        <v>2039</v>
      </c>
      <c r="R764" s="30" t="s">
        <v>142</v>
      </c>
      <c r="S764" s="30">
        <v>311081454</v>
      </c>
      <c r="T764" s="30" t="s">
        <v>1780</v>
      </c>
      <c r="U764" s="30" t="s">
        <v>588</v>
      </c>
      <c r="V764" s="30" t="s">
        <v>415</v>
      </c>
      <c r="W764" s="30" t="s">
        <v>146</v>
      </c>
      <c r="X764" s="89"/>
      <c r="Y764" s="30" t="s">
        <v>457</v>
      </c>
      <c r="Z764" s="30" t="s">
        <v>457</v>
      </c>
      <c r="AA764" s="20" t="s">
        <v>148</v>
      </c>
      <c r="AB764" s="142" t="s">
        <v>1953</v>
      </c>
      <c r="AC764" s="30" t="s">
        <v>1954</v>
      </c>
      <c r="AD764" s="30"/>
      <c r="AE764" s="30"/>
      <c r="AF764" s="30" t="s">
        <v>151</v>
      </c>
      <c r="AG764" s="30" t="s">
        <v>152</v>
      </c>
      <c r="AH764" s="30" t="s">
        <v>1839</v>
      </c>
      <c r="AI764" s="30"/>
      <c r="AJ764" s="30"/>
      <c r="AK764" s="50">
        <v>43699</v>
      </c>
      <c r="AL764" s="51">
        <f t="shared" si="508"/>
        <v>6.1972602739726028</v>
      </c>
      <c r="AM764" s="30">
        <v>8</v>
      </c>
      <c r="AN764" s="30"/>
      <c r="AO764" s="30" t="s">
        <v>1050</v>
      </c>
      <c r="AP764" s="30" t="s">
        <v>1187</v>
      </c>
      <c r="AQ764" s="30">
        <v>13.3</v>
      </c>
      <c r="AR764" s="30">
        <v>1050</v>
      </c>
      <c r="AS764" s="30">
        <v>800</v>
      </c>
      <c r="AT764" s="30">
        <v>1600</v>
      </c>
      <c r="AU764" s="74">
        <v>890907383</v>
      </c>
      <c r="AV764" s="54"/>
      <c r="AW764" s="54"/>
      <c r="AX764" s="54"/>
      <c r="AY764" s="54">
        <v>665507365</v>
      </c>
      <c r="AZ764" s="54">
        <v>9280285</v>
      </c>
      <c r="BA764" s="74">
        <v>197559163</v>
      </c>
      <c r="BB764" s="55">
        <f>VLOOKUP(M764,[1]Sheet1!$E$6:$F$556,2,FALSE)</f>
        <v>15890878</v>
      </c>
      <c r="BC764" s="74"/>
      <c r="BD764" s="74"/>
      <c r="BE764" s="30"/>
      <c r="BF764" s="30" t="s">
        <v>1739</v>
      </c>
      <c r="BG764" s="30" t="s">
        <v>1880</v>
      </c>
      <c r="BH764" s="30" t="s">
        <v>1054</v>
      </c>
      <c r="BI764" s="30" t="str">
        <f t="shared" si="496"/>
        <v>COF(Assy_FT)</v>
      </c>
      <c r="BJ764" s="30" t="s">
        <v>250</v>
      </c>
      <c r="BK764" s="56">
        <f t="shared" si="509"/>
        <v>207437121.15000001</v>
      </c>
      <c r="BL764" s="57">
        <f t="shared" si="518"/>
        <v>6482410.0359375002</v>
      </c>
      <c r="BM764" s="57">
        <f t="shared" si="519"/>
        <v>2160803.3453124999</v>
      </c>
      <c r="BU764" s="58">
        <f t="shared" si="527"/>
        <v>6482410.0359374993</v>
      </c>
      <c r="BV764" s="58">
        <f t="shared" si="515"/>
        <v>6482410.0359374993</v>
      </c>
      <c r="BW764" s="58">
        <f t="shared" si="523"/>
        <v>12964820.071874999</v>
      </c>
      <c r="BX764" s="58">
        <f t="shared" si="521"/>
        <v>6482410.0359374993</v>
      </c>
      <c r="BY764" s="58">
        <f t="shared" si="525"/>
        <v>6482410.0359374993</v>
      </c>
      <c r="BZ764" s="58">
        <f t="shared" si="512"/>
        <v>6482410.0359374993</v>
      </c>
      <c r="CA764" s="58">
        <f t="shared" si="526"/>
        <v>6482410.0359374993</v>
      </c>
      <c r="CB764" s="58">
        <f t="shared" si="497"/>
        <v>25929640.143749997</v>
      </c>
      <c r="CC764" s="58">
        <f t="shared" si="498"/>
        <v>6482410.0359374993</v>
      </c>
      <c r="CD764" s="58">
        <f t="shared" si="520"/>
        <v>6482410.0359374993</v>
      </c>
      <c r="CE764" s="58">
        <f t="shared" si="520"/>
        <v>6482410.0359374993</v>
      </c>
      <c r="CF764" s="58">
        <f t="shared" si="520"/>
        <v>6482410.0359374993</v>
      </c>
      <c r="CG764" s="58">
        <f t="shared" si="500"/>
        <v>25929640.143749997</v>
      </c>
      <c r="CH764" s="58">
        <f t="shared" si="522"/>
        <v>6482410.0359374993</v>
      </c>
      <c r="CI764" s="58">
        <f t="shared" si="528"/>
        <v>6482410.0359374993</v>
      </c>
      <c r="CJ764" s="58">
        <f t="shared" si="528"/>
        <v>6482410.0359374993</v>
      </c>
      <c r="CK764" s="58">
        <f t="shared" si="528"/>
        <v>6482410.0359374993</v>
      </c>
      <c r="CL764" s="58">
        <f t="shared" si="524"/>
        <v>25929640.143749997</v>
      </c>
      <c r="CP764" s="2">
        <f t="shared" si="501"/>
        <v>207437121.15000001</v>
      </c>
    </row>
    <row r="765" spans="1:94" hidden="1" x14ac:dyDescent="0.3">
      <c r="A765" s="29">
        <v>760</v>
      </c>
      <c r="B765" s="30" t="s">
        <v>21</v>
      </c>
      <c r="C765" s="30"/>
      <c r="D765" s="30" t="s">
        <v>1725</v>
      </c>
      <c r="E765" s="30" t="s">
        <v>1042</v>
      </c>
      <c r="F765" s="30" t="s">
        <v>1043</v>
      </c>
      <c r="G765" s="30" t="s">
        <v>117</v>
      </c>
      <c r="H765" s="30"/>
      <c r="I765" s="30" t="s">
        <v>119</v>
      </c>
      <c r="J765" s="30" t="s">
        <v>1871</v>
      </c>
      <c r="K765" s="30" t="s">
        <v>1872</v>
      </c>
      <c r="L765" s="30" t="s">
        <v>1873</v>
      </c>
      <c r="M765" s="30">
        <v>1005523</v>
      </c>
      <c r="N765" s="30" t="s">
        <v>138</v>
      </c>
      <c r="O765" s="30" t="s">
        <v>2107</v>
      </c>
      <c r="P765" s="30" t="s">
        <v>1837</v>
      </c>
      <c r="Q765" s="30" t="s">
        <v>2039</v>
      </c>
      <c r="R765" s="30" t="s">
        <v>142</v>
      </c>
      <c r="S765" s="30">
        <v>310953164</v>
      </c>
      <c r="T765" s="30" t="s">
        <v>1780</v>
      </c>
      <c r="U765" s="30" t="s">
        <v>588</v>
      </c>
      <c r="V765" s="30" t="s">
        <v>415</v>
      </c>
      <c r="W765" s="30" t="s">
        <v>146</v>
      </c>
      <c r="X765" s="89"/>
      <c r="Y765" s="30" t="s">
        <v>457</v>
      </c>
      <c r="Z765" s="30" t="s">
        <v>457</v>
      </c>
      <c r="AA765" s="20" t="s">
        <v>148</v>
      </c>
      <c r="AB765" s="142" t="s">
        <v>1953</v>
      </c>
      <c r="AC765" s="30" t="s">
        <v>1954</v>
      </c>
      <c r="AD765" s="30"/>
      <c r="AE765" s="30"/>
      <c r="AF765" s="30" t="s">
        <v>151</v>
      </c>
      <c r="AG765" s="30" t="s">
        <v>152</v>
      </c>
      <c r="AH765" s="30" t="s">
        <v>1839</v>
      </c>
      <c r="AI765" s="30"/>
      <c r="AJ765" s="30"/>
      <c r="AK765" s="50">
        <v>43304</v>
      </c>
      <c r="AL765" s="51">
        <f t="shared" si="508"/>
        <v>7.279452054794521</v>
      </c>
      <c r="AM765" s="30">
        <v>8</v>
      </c>
      <c r="AN765" s="30"/>
      <c r="AO765" s="30" t="s">
        <v>1050</v>
      </c>
      <c r="AP765" s="30" t="s">
        <v>1187</v>
      </c>
      <c r="AQ765" s="30">
        <v>13.3</v>
      </c>
      <c r="AR765" s="30">
        <v>1050</v>
      </c>
      <c r="AS765" s="30">
        <v>800</v>
      </c>
      <c r="AT765" s="30">
        <v>1600</v>
      </c>
      <c r="AU765" s="74">
        <v>708599271</v>
      </c>
      <c r="AV765" s="54"/>
      <c r="AW765" s="54"/>
      <c r="AX765" s="54"/>
      <c r="AY765" s="54">
        <v>627405594</v>
      </c>
      <c r="AZ765" s="54">
        <v>7381242</v>
      </c>
      <c r="BA765" s="74">
        <v>59049951</v>
      </c>
      <c r="BB765" s="55">
        <f>VLOOKUP(M765,[1]Sheet1!$E$6:$F$556,2,FALSE)</f>
        <v>2334940</v>
      </c>
      <c r="BC765" s="74"/>
      <c r="BD765" s="74"/>
      <c r="BE765" s="30"/>
      <c r="BF765" s="30" t="s">
        <v>1739</v>
      </c>
      <c r="BG765" s="30" t="s">
        <v>1880</v>
      </c>
      <c r="BH765" s="30" t="s">
        <v>1054</v>
      </c>
      <c r="BI765" s="30" t="str">
        <f t="shared" si="496"/>
        <v>COF(Assy_FT)</v>
      </c>
      <c r="BJ765" s="30" t="s">
        <v>250</v>
      </c>
      <c r="BK765" s="56">
        <f t="shared" si="509"/>
        <v>62002448.550000004</v>
      </c>
      <c r="BL765" s="57">
        <f t="shared" si="518"/>
        <v>1937576.5171875001</v>
      </c>
      <c r="BM765" s="57">
        <f t="shared" si="519"/>
        <v>645858.83906250005</v>
      </c>
      <c r="BU765" s="58">
        <f t="shared" si="527"/>
        <v>1937576.5171875001</v>
      </c>
      <c r="BV765" s="58">
        <f t="shared" si="515"/>
        <v>1937576.5171875001</v>
      </c>
      <c r="BW765" s="58">
        <f t="shared" si="523"/>
        <v>3875153.0343750003</v>
      </c>
      <c r="BX765" s="58">
        <f t="shared" si="521"/>
        <v>1937576.5171875001</v>
      </c>
      <c r="BY765" s="58">
        <f t="shared" si="525"/>
        <v>1937576.5171875001</v>
      </c>
      <c r="BZ765" s="58">
        <f t="shared" si="512"/>
        <v>1937576.5171875001</v>
      </c>
      <c r="CA765" s="58">
        <f t="shared" si="526"/>
        <v>1937576.5171875001</v>
      </c>
      <c r="CB765" s="58">
        <f t="shared" si="497"/>
        <v>7750306.0687500006</v>
      </c>
      <c r="CC765" s="58">
        <f t="shared" si="498"/>
        <v>1937576.5171875001</v>
      </c>
      <c r="CD765" s="58">
        <f t="shared" si="520"/>
        <v>1937576.5171875001</v>
      </c>
      <c r="CE765" s="58">
        <f t="shared" si="520"/>
        <v>1937576.5171875001</v>
      </c>
      <c r="CF765" s="58">
        <f t="shared" si="520"/>
        <v>1937576.5171875001</v>
      </c>
      <c r="CG765" s="58">
        <f t="shared" si="500"/>
        <v>7750306.0687500006</v>
      </c>
      <c r="CH765" s="58">
        <f t="shared" si="522"/>
        <v>1937576.5171875001</v>
      </c>
      <c r="CI765" s="58">
        <f t="shared" si="528"/>
        <v>1937576.5171875001</v>
      </c>
      <c r="CJ765" s="58">
        <f t="shared" si="528"/>
        <v>1937576.5171875001</v>
      </c>
      <c r="CK765" s="58">
        <f t="shared" si="528"/>
        <v>1937576.5171875001</v>
      </c>
      <c r="CL765" s="58">
        <f t="shared" si="524"/>
        <v>7750306.0687500006</v>
      </c>
      <c r="CP765" s="2">
        <f t="shared" si="501"/>
        <v>62002448.550000004</v>
      </c>
    </row>
    <row r="766" spans="1:94" hidden="1" x14ac:dyDescent="0.3">
      <c r="A766" s="29">
        <v>761</v>
      </c>
      <c r="B766" s="30" t="s">
        <v>21</v>
      </c>
      <c r="C766" s="30"/>
      <c r="D766" s="30" t="s">
        <v>1725</v>
      </c>
      <c r="E766" s="30" t="s">
        <v>1042</v>
      </c>
      <c r="F766" s="30" t="s">
        <v>1043</v>
      </c>
      <c r="G766" s="30" t="s">
        <v>117</v>
      </c>
      <c r="H766" s="30"/>
      <c r="I766" s="30" t="s">
        <v>119</v>
      </c>
      <c r="J766" s="30" t="s">
        <v>1871</v>
      </c>
      <c r="K766" s="30" t="s">
        <v>1872</v>
      </c>
      <c r="L766" s="30" t="s">
        <v>1873</v>
      </c>
      <c r="M766" s="30">
        <v>1006729</v>
      </c>
      <c r="N766" s="30" t="s">
        <v>138</v>
      </c>
      <c r="O766" s="30" t="s">
        <v>2108</v>
      </c>
      <c r="P766" s="30" t="s">
        <v>1837</v>
      </c>
      <c r="Q766" s="30" t="s">
        <v>2039</v>
      </c>
      <c r="R766" s="30" t="s">
        <v>142</v>
      </c>
      <c r="S766" s="30">
        <v>311289922</v>
      </c>
      <c r="T766" s="30" t="s">
        <v>1780</v>
      </c>
      <c r="U766" s="30" t="s">
        <v>588</v>
      </c>
      <c r="V766" s="30" t="s">
        <v>415</v>
      </c>
      <c r="W766" s="30" t="s">
        <v>146</v>
      </c>
      <c r="X766" s="89"/>
      <c r="Y766" s="30" t="s">
        <v>457</v>
      </c>
      <c r="Z766" s="30" t="s">
        <v>457</v>
      </c>
      <c r="AA766" s="20" t="s">
        <v>148</v>
      </c>
      <c r="AB766" s="142" t="s">
        <v>1953</v>
      </c>
      <c r="AC766" s="30" t="s">
        <v>1954</v>
      </c>
      <c r="AD766" s="30"/>
      <c r="AE766" s="30"/>
      <c r="AF766" s="30" t="s">
        <v>151</v>
      </c>
      <c r="AG766" s="30" t="s">
        <v>152</v>
      </c>
      <c r="AH766" s="30" t="s">
        <v>1839</v>
      </c>
      <c r="AI766" s="30"/>
      <c r="AJ766" s="30"/>
      <c r="AK766" s="50">
        <v>44391</v>
      </c>
      <c r="AL766" s="51">
        <f t="shared" si="508"/>
        <v>4.3013698630136989</v>
      </c>
      <c r="AM766" s="30">
        <v>8</v>
      </c>
      <c r="AN766" s="30"/>
      <c r="AO766" s="30" t="s">
        <v>1050</v>
      </c>
      <c r="AP766" s="30" t="s">
        <v>1187</v>
      </c>
      <c r="AQ766" s="30">
        <v>13.3</v>
      </c>
      <c r="AR766" s="30">
        <v>1050</v>
      </c>
      <c r="AS766" s="30">
        <v>800</v>
      </c>
      <c r="AT766" s="30">
        <v>1600</v>
      </c>
      <c r="AU766" s="74">
        <v>1017696605</v>
      </c>
      <c r="AV766" s="54"/>
      <c r="AW766" s="54"/>
      <c r="AX766" s="54"/>
      <c r="AY766" s="54">
        <v>519449304</v>
      </c>
      <c r="AZ766" s="54">
        <v>10601006</v>
      </c>
      <c r="BA766" s="74">
        <v>466444283</v>
      </c>
      <c r="BB766" s="55">
        <f>VLOOKUP(M766,[1]Sheet1!$E$6:$F$556,2,FALSE)</f>
        <v>43585658</v>
      </c>
      <c r="BC766" s="74"/>
      <c r="BD766" s="74"/>
      <c r="BE766" s="30"/>
      <c r="BF766" s="30" t="s">
        <v>1739</v>
      </c>
      <c r="BG766" s="30" t="s">
        <v>1880</v>
      </c>
      <c r="BH766" s="30" t="s">
        <v>1054</v>
      </c>
      <c r="BI766" s="30" t="str">
        <f t="shared" si="496"/>
        <v>COF(Assy_FT)</v>
      </c>
      <c r="BJ766" s="30" t="s">
        <v>250</v>
      </c>
      <c r="BK766" s="56">
        <f t="shared" si="509"/>
        <v>489766497.15000004</v>
      </c>
      <c r="BL766" s="57">
        <f t="shared" si="518"/>
        <v>15305203.035937501</v>
      </c>
      <c r="BM766" s="57">
        <f t="shared" si="519"/>
        <v>5101734.3453125004</v>
      </c>
      <c r="BU766" s="58">
        <f t="shared" si="527"/>
        <v>15305203.035937501</v>
      </c>
      <c r="BV766" s="58">
        <f t="shared" si="515"/>
        <v>15305203.035937501</v>
      </c>
      <c r="BW766" s="58">
        <f t="shared" si="523"/>
        <v>30610406.071875002</v>
      </c>
      <c r="BX766" s="58">
        <f t="shared" si="521"/>
        <v>15305203.035937501</v>
      </c>
      <c r="BY766" s="58">
        <f t="shared" si="525"/>
        <v>15305203.035937501</v>
      </c>
      <c r="BZ766" s="58">
        <f t="shared" si="512"/>
        <v>15305203.035937501</v>
      </c>
      <c r="CA766" s="58">
        <f t="shared" si="526"/>
        <v>15305203.035937501</v>
      </c>
      <c r="CB766" s="58">
        <f t="shared" si="497"/>
        <v>61220812.143750004</v>
      </c>
      <c r="CC766" s="58">
        <f t="shared" si="498"/>
        <v>15305203.035937501</v>
      </c>
      <c r="CD766" s="58">
        <f t="shared" si="520"/>
        <v>15305203.035937501</v>
      </c>
      <c r="CE766" s="58">
        <f t="shared" si="520"/>
        <v>15305203.035937501</v>
      </c>
      <c r="CF766" s="58">
        <f t="shared" si="520"/>
        <v>15305203.035937501</v>
      </c>
      <c r="CG766" s="58">
        <f t="shared" si="500"/>
        <v>61220812.143750004</v>
      </c>
      <c r="CH766" s="58">
        <f t="shared" si="522"/>
        <v>15305203.035937501</v>
      </c>
      <c r="CI766" s="58">
        <f t="shared" si="528"/>
        <v>15305203.035937501</v>
      </c>
      <c r="CJ766" s="58">
        <f t="shared" si="528"/>
        <v>15305203.035937501</v>
      </c>
      <c r="CK766" s="58">
        <f t="shared" si="528"/>
        <v>15305203.035937501</v>
      </c>
      <c r="CL766" s="58">
        <f t="shared" si="524"/>
        <v>61220812.143750004</v>
      </c>
      <c r="CP766" s="2">
        <f t="shared" si="501"/>
        <v>489766497.15000004</v>
      </c>
    </row>
    <row r="767" spans="1:94" hidden="1" x14ac:dyDescent="0.3">
      <c r="A767" s="29">
        <v>762</v>
      </c>
      <c r="B767" s="30" t="s">
        <v>21</v>
      </c>
      <c r="C767" s="30"/>
      <c r="D767" s="30" t="s">
        <v>1725</v>
      </c>
      <c r="E767" s="30" t="s">
        <v>1042</v>
      </c>
      <c r="F767" s="30" t="s">
        <v>1043</v>
      </c>
      <c r="G767" s="30" t="s">
        <v>117</v>
      </c>
      <c r="H767" s="30"/>
      <c r="I767" s="30" t="s">
        <v>119</v>
      </c>
      <c r="J767" s="30" t="s">
        <v>1871</v>
      </c>
      <c r="K767" s="30" t="s">
        <v>1872</v>
      </c>
      <c r="L767" s="30" t="s">
        <v>1873</v>
      </c>
      <c r="M767" s="30">
        <v>1006722</v>
      </c>
      <c r="N767" s="30" t="s">
        <v>138</v>
      </c>
      <c r="O767" s="30" t="s">
        <v>2109</v>
      </c>
      <c r="P767" s="30" t="s">
        <v>1837</v>
      </c>
      <c r="Q767" s="30" t="s">
        <v>2039</v>
      </c>
      <c r="R767" s="30" t="s">
        <v>142</v>
      </c>
      <c r="S767" s="30">
        <v>311299028</v>
      </c>
      <c r="T767" s="30" t="s">
        <v>1780</v>
      </c>
      <c r="U767" s="30" t="s">
        <v>588</v>
      </c>
      <c r="V767" s="30" t="s">
        <v>415</v>
      </c>
      <c r="W767" s="30" t="s">
        <v>146</v>
      </c>
      <c r="X767" s="89"/>
      <c r="Y767" s="30" t="s">
        <v>457</v>
      </c>
      <c r="Z767" s="30" t="s">
        <v>457</v>
      </c>
      <c r="AA767" s="20" t="s">
        <v>148</v>
      </c>
      <c r="AB767" s="142" t="s">
        <v>1953</v>
      </c>
      <c r="AC767" s="30" t="s">
        <v>1954</v>
      </c>
      <c r="AD767" s="30"/>
      <c r="AE767" s="30"/>
      <c r="AF767" s="30" t="s">
        <v>151</v>
      </c>
      <c r="AG767" s="30" t="s">
        <v>152</v>
      </c>
      <c r="AH767" s="30" t="s">
        <v>1839</v>
      </c>
      <c r="AI767" s="30"/>
      <c r="AJ767" s="30"/>
      <c r="AK767" s="50">
        <v>44391</v>
      </c>
      <c r="AL767" s="51">
        <f t="shared" si="508"/>
        <v>4.3013698630136989</v>
      </c>
      <c r="AM767" s="30">
        <v>8</v>
      </c>
      <c r="AN767" s="30"/>
      <c r="AO767" s="30" t="s">
        <v>1050</v>
      </c>
      <c r="AP767" s="30" t="s">
        <v>1187</v>
      </c>
      <c r="AQ767" s="30">
        <v>13.3</v>
      </c>
      <c r="AR767" s="30">
        <v>1050</v>
      </c>
      <c r="AS767" s="30">
        <v>800</v>
      </c>
      <c r="AT767" s="30">
        <v>1600</v>
      </c>
      <c r="AU767" s="74">
        <v>1017440015</v>
      </c>
      <c r="AV767" s="54"/>
      <c r="AW767" s="54"/>
      <c r="AX767" s="54"/>
      <c r="AY767" s="54">
        <v>519318334</v>
      </c>
      <c r="AZ767" s="54">
        <v>10598333</v>
      </c>
      <c r="BA767" s="74">
        <v>466326682</v>
      </c>
      <c r="BB767" s="55">
        <f>VLOOKUP(M767,[1]Sheet1!$E$6:$F$556,2,FALSE)</f>
        <v>43574669</v>
      </c>
      <c r="BC767" s="74"/>
      <c r="BD767" s="74"/>
      <c r="BE767" s="30"/>
      <c r="BF767" s="30" t="s">
        <v>1739</v>
      </c>
      <c r="BG767" s="30" t="s">
        <v>1880</v>
      </c>
      <c r="BH767" s="30" t="s">
        <v>1054</v>
      </c>
      <c r="BI767" s="30" t="str">
        <f t="shared" si="496"/>
        <v>COF(Assy_FT)</v>
      </c>
      <c r="BJ767" s="30" t="s">
        <v>250</v>
      </c>
      <c r="BK767" s="56">
        <f t="shared" si="509"/>
        <v>489643016.10000002</v>
      </c>
      <c r="BL767" s="57">
        <f t="shared" si="518"/>
        <v>15301344.253125001</v>
      </c>
      <c r="BM767" s="57">
        <f t="shared" si="519"/>
        <v>5100448.0843750006</v>
      </c>
      <c r="BU767" s="58">
        <f t="shared" si="527"/>
        <v>15301344.253125001</v>
      </c>
      <c r="BV767" s="58">
        <f t="shared" si="515"/>
        <v>15301344.253125001</v>
      </c>
      <c r="BW767" s="58">
        <f t="shared" si="523"/>
        <v>30602688.506250001</v>
      </c>
      <c r="BX767" s="58">
        <f t="shared" si="521"/>
        <v>15301344.253125001</v>
      </c>
      <c r="BY767" s="58">
        <f t="shared" si="525"/>
        <v>15301344.253125001</v>
      </c>
      <c r="BZ767" s="58">
        <f t="shared" si="512"/>
        <v>15301344.253125001</v>
      </c>
      <c r="CA767" s="58">
        <f t="shared" si="526"/>
        <v>15301344.253125001</v>
      </c>
      <c r="CB767" s="58">
        <f t="shared" si="497"/>
        <v>61205377.012500003</v>
      </c>
      <c r="CC767" s="58">
        <f t="shared" si="498"/>
        <v>15301344.253125001</v>
      </c>
      <c r="CD767" s="58">
        <f t="shared" ref="CD767:CF768" si="529">CC767</f>
        <v>15301344.253125001</v>
      </c>
      <c r="CE767" s="58">
        <f t="shared" si="529"/>
        <v>15301344.253125001</v>
      </c>
      <c r="CF767" s="58">
        <f t="shared" si="529"/>
        <v>15301344.253125001</v>
      </c>
      <c r="CG767" s="58">
        <f t="shared" si="500"/>
        <v>61205377.012500003</v>
      </c>
      <c r="CH767" s="58">
        <f t="shared" si="522"/>
        <v>15301344.253125001</v>
      </c>
      <c r="CI767" s="58">
        <f t="shared" si="528"/>
        <v>15301344.253125001</v>
      </c>
      <c r="CJ767" s="58">
        <f t="shared" si="528"/>
        <v>15301344.253125001</v>
      </c>
      <c r="CK767" s="58">
        <f t="shared" si="528"/>
        <v>15301344.253125001</v>
      </c>
      <c r="CL767" s="58">
        <f t="shared" si="524"/>
        <v>61205377.012500003</v>
      </c>
      <c r="CP767" s="2">
        <f t="shared" si="501"/>
        <v>489643016.10000002</v>
      </c>
    </row>
    <row r="768" spans="1:94" ht="16.5" hidden="1" x14ac:dyDescent="0.3">
      <c r="A768" s="2">
        <v>763</v>
      </c>
      <c r="B768" s="47" t="s">
        <v>21</v>
      </c>
      <c r="C768" s="47"/>
      <c r="D768" s="30" t="s">
        <v>1725</v>
      </c>
      <c r="E768" s="30" t="s">
        <v>1042</v>
      </c>
      <c r="F768" s="30" t="s">
        <v>1043</v>
      </c>
      <c r="G768" s="30" t="s">
        <v>117</v>
      </c>
      <c r="H768" s="30"/>
      <c r="I768" s="30" t="s">
        <v>119</v>
      </c>
      <c r="J768" s="30" t="s">
        <v>1871</v>
      </c>
      <c r="K768" s="30" t="s">
        <v>1872</v>
      </c>
      <c r="L768" s="30" t="s">
        <v>1873</v>
      </c>
      <c r="M768" s="30">
        <v>1006681</v>
      </c>
      <c r="N768" s="30" t="s">
        <v>138</v>
      </c>
      <c r="O768" s="30" t="s">
        <v>2110</v>
      </c>
      <c r="P768" s="30" t="s">
        <v>1837</v>
      </c>
      <c r="Q768" s="30" t="s">
        <v>2039</v>
      </c>
      <c r="R768" s="30" t="s">
        <v>142</v>
      </c>
      <c r="S768" s="30">
        <v>311284963</v>
      </c>
      <c r="T768" s="30" t="s">
        <v>1780</v>
      </c>
      <c r="U768" s="30" t="s">
        <v>588</v>
      </c>
      <c r="V768" s="30" t="s">
        <v>415</v>
      </c>
      <c r="W768" s="30" t="s">
        <v>146</v>
      </c>
      <c r="X768" s="89" t="s">
        <v>1838</v>
      </c>
      <c r="Y768" s="125" t="s">
        <v>457</v>
      </c>
      <c r="Z768" s="125" t="s">
        <v>457</v>
      </c>
      <c r="AA768" s="20" t="s">
        <v>148</v>
      </c>
      <c r="AB768" s="142" t="s">
        <v>1953</v>
      </c>
      <c r="AC768" s="30" t="s">
        <v>1954</v>
      </c>
      <c r="AD768" s="30"/>
      <c r="AE768" s="30"/>
      <c r="AF768" s="30" t="s">
        <v>151</v>
      </c>
      <c r="AG768" s="30" t="s">
        <v>152</v>
      </c>
      <c r="AH768" s="30" t="s">
        <v>1839</v>
      </c>
      <c r="AI768" s="30"/>
      <c r="AJ768" s="30"/>
      <c r="AK768" s="50">
        <v>44392</v>
      </c>
      <c r="AL768" s="51">
        <f t="shared" si="508"/>
        <v>4.2986301369863016</v>
      </c>
      <c r="AM768" s="30">
        <v>8</v>
      </c>
      <c r="AN768" s="30"/>
      <c r="AO768" s="30" t="s">
        <v>1050</v>
      </c>
      <c r="AP768" s="30" t="s">
        <v>1187</v>
      </c>
      <c r="AQ768" s="30">
        <v>13.3</v>
      </c>
      <c r="AR768" s="30">
        <v>1050</v>
      </c>
      <c r="AS768" s="30">
        <v>800</v>
      </c>
      <c r="AT768" s="30">
        <v>1600</v>
      </c>
      <c r="AU768" s="54">
        <v>951141373</v>
      </c>
      <c r="AV768" s="54"/>
      <c r="AW768" s="54"/>
      <c r="AX768" s="54"/>
      <c r="AY768" s="54">
        <v>485478409</v>
      </c>
      <c r="AZ768" s="54">
        <v>9907723</v>
      </c>
      <c r="BA768" s="54">
        <v>435939795</v>
      </c>
      <c r="BB768" s="55">
        <f>VLOOKUP(M768,[1]Sheet1!$E$6:$F$556,2,FALSE)</f>
        <v>40735245</v>
      </c>
      <c r="BC768" s="74"/>
      <c r="BD768" s="74"/>
      <c r="BE768" s="30"/>
      <c r="BF768" s="30" t="s">
        <v>1739</v>
      </c>
      <c r="BG768" s="30" t="s">
        <v>1880</v>
      </c>
      <c r="BH768" s="30" t="s">
        <v>1054</v>
      </c>
      <c r="BI768" s="30" t="str">
        <f t="shared" si="496"/>
        <v>COF(Assy_FT)</v>
      </c>
      <c r="BJ768" s="47" t="s">
        <v>137</v>
      </c>
      <c r="BK768" s="67">
        <f t="shared" si="509"/>
        <v>457736784.75</v>
      </c>
      <c r="BL768" s="68">
        <f t="shared" si="518"/>
        <v>43635460.807841681</v>
      </c>
      <c r="BM768" s="68">
        <f t="shared" si="519"/>
        <v>14545153.602613894</v>
      </c>
      <c r="BP768" s="69">
        <f>BM768*3</f>
        <v>43635460.807841681</v>
      </c>
      <c r="BQ768" s="69">
        <f>BP768</f>
        <v>43635460.807841681</v>
      </c>
      <c r="BR768" s="69">
        <f>SUM(BN768:BQ768)</f>
        <v>87270921.615683362</v>
      </c>
      <c r="BS768" s="69">
        <f>BQ768</f>
        <v>43635460.807841681</v>
      </c>
      <c r="BT768" s="69">
        <f>BS768</f>
        <v>43635460.807841681</v>
      </c>
      <c r="BU768" s="100">
        <f>BT768</f>
        <v>43635460.807841681</v>
      </c>
      <c r="BV768" s="100">
        <f t="shared" si="515"/>
        <v>43635460.807841681</v>
      </c>
      <c r="BW768" s="100">
        <f t="shared" si="523"/>
        <v>174541843.23136672</v>
      </c>
      <c r="BX768" s="101">
        <f t="shared" si="521"/>
        <v>43635460.807841681</v>
      </c>
      <c r="BY768" s="101">
        <f t="shared" si="525"/>
        <v>43635460.807841681</v>
      </c>
      <c r="BZ768" s="18">
        <f t="shared" si="512"/>
        <v>43635460.807841681</v>
      </c>
      <c r="CA768" s="18">
        <f t="shared" si="526"/>
        <v>43635460.807841681</v>
      </c>
      <c r="CB768" s="70">
        <f t="shared" si="497"/>
        <v>174541843.23136672</v>
      </c>
      <c r="CC768" s="18">
        <f t="shared" si="498"/>
        <v>43635460.807841681</v>
      </c>
      <c r="CD768" s="18">
        <f t="shared" si="529"/>
        <v>43635460.807841681</v>
      </c>
      <c r="CE768" s="18">
        <f t="shared" si="529"/>
        <v>43635460.807841681</v>
      </c>
      <c r="CF768" s="18">
        <f t="shared" si="529"/>
        <v>43635460.807841681</v>
      </c>
      <c r="CG768" s="70">
        <f t="shared" si="500"/>
        <v>174541843.23136672</v>
      </c>
      <c r="CH768" s="18">
        <f t="shared" si="522"/>
        <v>43635460.807841681</v>
      </c>
      <c r="CI768" s="18">
        <f t="shared" si="528"/>
        <v>43635460.807841681</v>
      </c>
      <c r="CJ768" s="18">
        <f t="shared" si="528"/>
        <v>43635460.807841681</v>
      </c>
      <c r="CK768" s="18">
        <f t="shared" si="528"/>
        <v>43635460.807841681</v>
      </c>
      <c r="CL768" s="70">
        <f t="shared" si="524"/>
        <v>174541843.23136672</v>
      </c>
      <c r="CM768" s="71"/>
      <c r="CN768" s="59">
        <f>BK768/$CN$3</f>
        <v>4.4695141004806371E-2</v>
      </c>
      <c r="CO768" s="64">
        <f>CN768*$CO$4</f>
        <v>938597961.10093379</v>
      </c>
      <c r="CP768" s="2">
        <f t="shared" si="501"/>
        <v>1396334745.8509338</v>
      </c>
    </row>
    <row r="769" spans="1:94" hidden="1" x14ac:dyDescent="0.3">
      <c r="A769" s="29">
        <v>764</v>
      </c>
      <c r="B769" s="47" t="s">
        <v>21</v>
      </c>
      <c r="C769" s="30"/>
      <c r="D769" s="30" t="s">
        <v>1725</v>
      </c>
      <c r="E769" s="30" t="s">
        <v>1042</v>
      </c>
      <c r="F769" s="30" t="s">
        <v>1043</v>
      </c>
      <c r="G769" s="30" t="s">
        <v>117</v>
      </c>
      <c r="H769" s="30"/>
      <c r="I769" s="30" t="s">
        <v>119</v>
      </c>
      <c r="J769" s="30" t="s">
        <v>1871</v>
      </c>
      <c r="K769" s="30" t="s">
        <v>1872</v>
      </c>
      <c r="L769" s="30" t="s">
        <v>1873</v>
      </c>
      <c r="M769" s="30">
        <v>1006661</v>
      </c>
      <c r="N769" s="30" t="s">
        <v>138</v>
      </c>
      <c r="O769" s="30" t="s">
        <v>2111</v>
      </c>
      <c r="P769" s="30" t="s">
        <v>1837</v>
      </c>
      <c r="Q769" s="30" t="s">
        <v>2039</v>
      </c>
      <c r="R769" s="30" t="s">
        <v>142</v>
      </c>
      <c r="S769" s="30">
        <v>311282450</v>
      </c>
      <c r="T769" s="30" t="s">
        <v>1780</v>
      </c>
      <c r="U769" s="30" t="s">
        <v>588</v>
      </c>
      <c r="V769" s="30" t="s">
        <v>415</v>
      </c>
      <c r="W769" s="30" t="s">
        <v>146</v>
      </c>
      <c r="X769" s="89"/>
      <c r="Y769" s="30" t="s">
        <v>457</v>
      </c>
      <c r="Z769" s="30" t="s">
        <v>457</v>
      </c>
      <c r="AA769" s="20" t="s">
        <v>148</v>
      </c>
      <c r="AB769" s="142" t="s">
        <v>1953</v>
      </c>
      <c r="AC769" s="30" t="s">
        <v>1954</v>
      </c>
      <c r="AD769" s="30"/>
      <c r="AE769" s="30"/>
      <c r="AF769" s="30" t="s">
        <v>151</v>
      </c>
      <c r="AG769" s="30" t="s">
        <v>152</v>
      </c>
      <c r="AH769" s="30" t="s">
        <v>1839</v>
      </c>
      <c r="AI769" s="30"/>
      <c r="AJ769" s="30"/>
      <c r="AK769" s="50">
        <v>44439</v>
      </c>
      <c r="AL769" s="51">
        <f t="shared" si="508"/>
        <v>4.1698630136986301</v>
      </c>
      <c r="AM769" s="30">
        <v>8</v>
      </c>
      <c r="AN769" s="30"/>
      <c r="AO769" s="30" t="s">
        <v>1050</v>
      </c>
      <c r="AP769" s="30" t="s">
        <v>1187</v>
      </c>
      <c r="AQ769" s="30">
        <v>13.3</v>
      </c>
      <c r="AR769" s="30">
        <v>1050</v>
      </c>
      <c r="AS769" s="30">
        <v>800</v>
      </c>
      <c r="AT769" s="30">
        <v>1600</v>
      </c>
      <c r="AU769" s="74">
        <v>953063546</v>
      </c>
      <c r="AV769" s="54"/>
      <c r="AW769" s="54"/>
      <c r="AX769" s="54"/>
      <c r="AY769" s="54">
        <v>476531770</v>
      </c>
      <c r="AZ769" s="54">
        <v>9927745</v>
      </c>
      <c r="BA769" s="74">
        <v>446748541</v>
      </c>
      <c r="BB769" s="55">
        <f>VLOOKUP(M769,[1]Sheet1!$E$6:$F$556,2,FALSE)</f>
        <v>41864174</v>
      </c>
      <c r="BC769" s="74"/>
      <c r="BD769" s="74"/>
      <c r="BE769" s="30"/>
      <c r="BF769" s="30" t="s">
        <v>1739</v>
      </c>
      <c r="BG769" s="30" t="s">
        <v>1880</v>
      </c>
      <c r="BH769" s="30" t="s">
        <v>1054</v>
      </c>
      <c r="BI769" s="30" t="str">
        <f t="shared" si="496"/>
        <v>COF(Assy_FT)</v>
      </c>
      <c r="BJ769" s="30" t="s">
        <v>250</v>
      </c>
      <c r="BK769" s="56">
        <f t="shared" si="509"/>
        <v>469085968.05000001</v>
      </c>
      <c r="BL769" s="57">
        <f t="shared" si="518"/>
        <v>14658936.5015625</v>
      </c>
      <c r="BM769" s="57">
        <f t="shared" si="519"/>
        <v>4886312.1671874998</v>
      </c>
      <c r="BU769" s="58">
        <f>BM769*3</f>
        <v>14658936.501562499</v>
      </c>
      <c r="BV769" s="58">
        <f t="shared" si="515"/>
        <v>14658936.501562499</v>
      </c>
      <c r="BW769" s="58">
        <f t="shared" si="523"/>
        <v>29317873.003124997</v>
      </c>
      <c r="BX769" s="58">
        <f t="shared" si="521"/>
        <v>14658936.501562499</v>
      </c>
      <c r="BY769" s="58">
        <f t="shared" si="525"/>
        <v>14658936.501562499</v>
      </c>
      <c r="BZ769" s="58">
        <f t="shared" si="512"/>
        <v>14658936.501562499</v>
      </c>
      <c r="CA769" s="58">
        <f t="shared" si="526"/>
        <v>14658936.501562499</v>
      </c>
      <c r="CB769" s="58">
        <f t="shared" si="497"/>
        <v>58635746.006249994</v>
      </c>
      <c r="CC769" s="58">
        <f t="shared" si="498"/>
        <v>14658936.501562499</v>
      </c>
      <c r="CD769" s="58">
        <f>CC769</f>
        <v>14658936.501562499</v>
      </c>
      <c r="CE769" s="58">
        <f>CD769</f>
        <v>14658936.501562499</v>
      </c>
      <c r="CF769" s="58">
        <f>CE769</f>
        <v>14658936.501562499</v>
      </c>
      <c r="CG769" s="58">
        <f t="shared" si="500"/>
        <v>58635746.006249994</v>
      </c>
      <c r="CH769" s="58">
        <f t="shared" si="522"/>
        <v>14658936.501562499</v>
      </c>
      <c r="CI769" s="58">
        <f t="shared" si="528"/>
        <v>14658936.501562499</v>
      </c>
      <c r="CJ769" s="58">
        <f t="shared" si="528"/>
        <v>14658936.501562499</v>
      </c>
      <c r="CK769" s="58">
        <f t="shared" si="528"/>
        <v>14658936.501562499</v>
      </c>
      <c r="CL769" s="58">
        <f t="shared" si="524"/>
        <v>58635746.006249994</v>
      </c>
      <c r="CP769" s="2">
        <f t="shared" si="501"/>
        <v>469085968.05000001</v>
      </c>
    </row>
    <row r="770" spans="1:94" ht="16.5" hidden="1" x14ac:dyDescent="0.3">
      <c r="A770" s="2">
        <v>765</v>
      </c>
      <c r="B770" s="47" t="s">
        <v>21</v>
      </c>
      <c r="C770" s="47"/>
      <c r="D770" s="30" t="s">
        <v>1725</v>
      </c>
      <c r="E770" s="30" t="s">
        <v>1042</v>
      </c>
      <c r="F770" s="30" t="s">
        <v>1043</v>
      </c>
      <c r="G770" s="30" t="s">
        <v>117</v>
      </c>
      <c r="H770" s="30"/>
      <c r="I770" s="30" t="s">
        <v>119</v>
      </c>
      <c r="J770" s="30" t="s">
        <v>1044</v>
      </c>
      <c r="K770" s="30" t="s">
        <v>1872</v>
      </c>
      <c r="L770" s="30" t="s">
        <v>2112</v>
      </c>
      <c r="M770" s="30">
        <v>1007745</v>
      </c>
      <c r="N770" s="30" t="s">
        <v>138</v>
      </c>
      <c r="O770" s="30" t="s">
        <v>2113</v>
      </c>
      <c r="P770" s="30" t="s">
        <v>2114</v>
      </c>
      <c r="Q770" s="30" t="s">
        <v>2114</v>
      </c>
      <c r="R770" s="30" t="s">
        <v>2115</v>
      </c>
      <c r="S770" s="30"/>
      <c r="T770" s="30"/>
      <c r="U770" s="30" t="s">
        <v>588</v>
      </c>
      <c r="V770" s="30"/>
      <c r="W770" s="30" t="s">
        <v>2116</v>
      </c>
      <c r="X770" s="89" t="s">
        <v>1764</v>
      </c>
      <c r="Y770" s="125" t="s">
        <v>576</v>
      </c>
      <c r="Z770" s="125" t="s">
        <v>576</v>
      </c>
      <c r="AA770" s="30" t="s">
        <v>129</v>
      </c>
      <c r="AB770" s="30" t="s">
        <v>2117</v>
      </c>
      <c r="AC770" s="30"/>
      <c r="AD770" s="30" t="s">
        <v>2118</v>
      </c>
      <c r="AE770" s="30"/>
      <c r="AF770" s="30" t="s">
        <v>131</v>
      </c>
      <c r="AG770" s="30" t="s">
        <v>2119</v>
      </c>
      <c r="AH770" s="30"/>
      <c r="AI770" s="30"/>
      <c r="AJ770" s="30"/>
      <c r="AK770" s="50">
        <v>45596</v>
      </c>
      <c r="AL770" s="51">
        <f t="shared" si="508"/>
        <v>1</v>
      </c>
      <c r="AM770" s="30">
        <v>8</v>
      </c>
      <c r="AN770" s="30"/>
      <c r="AO770" s="30" t="s">
        <v>1050</v>
      </c>
      <c r="AP770" s="30" t="s">
        <v>1051</v>
      </c>
      <c r="AQ770" s="30">
        <v>2</v>
      </c>
      <c r="AR770" s="30">
        <v>1415</v>
      </c>
      <c r="AS770" s="30">
        <v>1910</v>
      </c>
      <c r="AT770" s="30">
        <v>1035</v>
      </c>
      <c r="AU770" s="54">
        <v>10500000</v>
      </c>
      <c r="AV770" s="54"/>
      <c r="AW770" s="54"/>
      <c r="AX770" s="54"/>
      <c r="AY770" s="54">
        <v>1093750</v>
      </c>
      <c r="AZ770" s="54">
        <v>109375</v>
      </c>
      <c r="BA770" s="54">
        <v>9078125</v>
      </c>
      <c r="BB770" s="55">
        <f>VLOOKUP(M770,[1]Sheet1!$E$6:$F$556,2,FALSE)</f>
        <v>899381</v>
      </c>
      <c r="BC770" s="74"/>
      <c r="BD770" s="74"/>
      <c r="BE770" s="30"/>
      <c r="BF770" s="30" t="s">
        <v>1739</v>
      </c>
      <c r="BG770" s="30" t="s">
        <v>2120</v>
      </c>
      <c r="BH770" s="30" t="s">
        <v>1054</v>
      </c>
      <c r="BI770" s="30" t="str">
        <f t="shared" si="496"/>
        <v>COF(Assy_FT)</v>
      </c>
      <c r="BJ770" s="47" t="s">
        <v>137</v>
      </c>
      <c r="BK770" s="67">
        <f t="shared" si="509"/>
        <v>9532031.25</v>
      </c>
      <c r="BL770" s="68">
        <f t="shared" si="518"/>
        <v>908676.31766947953</v>
      </c>
      <c r="BM770" s="68">
        <f t="shared" si="519"/>
        <v>302892.10588982649</v>
      </c>
      <c r="BP770" s="69">
        <f>BM770*3</f>
        <v>908676.31766947941</v>
      </c>
      <c r="BQ770" s="69">
        <f>BP770</f>
        <v>908676.31766947941</v>
      </c>
      <c r="BR770" s="69">
        <f>SUM(BN770:BQ770)</f>
        <v>1817352.6353389588</v>
      </c>
      <c r="BS770" s="69">
        <f>BQ770</f>
        <v>908676.31766947941</v>
      </c>
      <c r="BT770" s="69">
        <f>BS770</f>
        <v>908676.31766947941</v>
      </c>
      <c r="BU770" s="100">
        <f>BT770</f>
        <v>908676.31766947941</v>
      </c>
      <c r="BV770" s="100">
        <f t="shared" si="515"/>
        <v>908676.31766947941</v>
      </c>
      <c r="BW770" s="100">
        <f t="shared" si="523"/>
        <v>3634705.2706779176</v>
      </c>
      <c r="BX770" s="101">
        <f t="shared" si="521"/>
        <v>908676.31766947941</v>
      </c>
      <c r="BY770" s="101">
        <f t="shared" si="525"/>
        <v>908676.31766947941</v>
      </c>
      <c r="BZ770" s="18">
        <f t="shared" si="525"/>
        <v>908676.31766947941</v>
      </c>
      <c r="CA770" s="18">
        <f t="shared" si="526"/>
        <v>908676.31766947941</v>
      </c>
      <c r="CB770" s="70">
        <f t="shared" si="497"/>
        <v>3634705.2706779176</v>
      </c>
      <c r="CC770" s="18">
        <f t="shared" si="498"/>
        <v>908676.31766947941</v>
      </c>
      <c r="CD770" s="18">
        <f t="shared" ref="CD770:CF788" si="530">CC770</f>
        <v>908676.31766947941</v>
      </c>
      <c r="CE770" s="18">
        <f t="shared" si="530"/>
        <v>908676.31766947941</v>
      </c>
      <c r="CF770" s="18">
        <f t="shared" si="530"/>
        <v>908676.31766947941</v>
      </c>
      <c r="CG770" s="70">
        <f t="shared" si="500"/>
        <v>3634705.2706779176</v>
      </c>
      <c r="CH770" s="18">
        <f t="shared" si="522"/>
        <v>908676.31766947941</v>
      </c>
      <c r="CI770" s="18">
        <f t="shared" si="528"/>
        <v>908676.31766947941</v>
      </c>
      <c r="CJ770" s="18">
        <f t="shared" si="528"/>
        <v>908676.31766947941</v>
      </c>
      <c r="CK770" s="18">
        <f t="shared" si="528"/>
        <v>908676.31766947941</v>
      </c>
      <c r="CL770" s="70">
        <f t="shared" si="524"/>
        <v>3634705.2706779176</v>
      </c>
      <c r="CM770" s="71"/>
      <c r="CN770" s="59">
        <f t="shared" ref="CN770:CN771" si="531">BK770/$CN$3</f>
        <v>9.3074337692492111E-4</v>
      </c>
      <c r="CO770" s="64">
        <f t="shared" ref="CO770:CO771" si="532">CN770*$CO$4</f>
        <v>19545610.915423345</v>
      </c>
      <c r="CP770" s="2">
        <f t="shared" si="501"/>
        <v>29077642.165423345</v>
      </c>
    </row>
    <row r="771" spans="1:94" ht="16.5" hidden="1" x14ac:dyDescent="0.3">
      <c r="A771" s="2">
        <v>766</v>
      </c>
      <c r="B771" s="47" t="s">
        <v>21</v>
      </c>
      <c r="C771" s="47"/>
      <c r="D771" s="30" t="s">
        <v>1725</v>
      </c>
      <c r="E771" s="30" t="s">
        <v>1042</v>
      </c>
      <c r="F771" s="30" t="s">
        <v>1043</v>
      </c>
      <c r="G771" s="30" t="s">
        <v>117</v>
      </c>
      <c r="H771" s="30"/>
      <c r="I771" s="30" t="s">
        <v>119</v>
      </c>
      <c r="J771" s="30" t="s">
        <v>1044</v>
      </c>
      <c r="K771" s="30" t="s">
        <v>1872</v>
      </c>
      <c r="L771" s="30" t="s">
        <v>2112</v>
      </c>
      <c r="M771" s="30">
        <v>1007746</v>
      </c>
      <c r="N771" s="30" t="s">
        <v>138</v>
      </c>
      <c r="O771" s="30" t="s">
        <v>2121</v>
      </c>
      <c r="P771" s="30" t="s">
        <v>2114</v>
      </c>
      <c r="Q771" s="30" t="s">
        <v>2114</v>
      </c>
      <c r="R771" s="30" t="s">
        <v>2115</v>
      </c>
      <c r="S771" s="30"/>
      <c r="T771" s="30"/>
      <c r="U771" s="30" t="s">
        <v>588</v>
      </c>
      <c r="V771" s="30"/>
      <c r="W771" s="30" t="s">
        <v>2116</v>
      </c>
      <c r="X771" s="89" t="s">
        <v>1757</v>
      </c>
      <c r="Y771" s="30" t="s">
        <v>576</v>
      </c>
      <c r="Z771" s="30" t="s">
        <v>576</v>
      </c>
      <c r="AA771" s="30" t="s">
        <v>129</v>
      </c>
      <c r="AB771" s="30" t="s">
        <v>2117</v>
      </c>
      <c r="AC771" s="30"/>
      <c r="AD771" s="30" t="s">
        <v>2118</v>
      </c>
      <c r="AE771" s="30"/>
      <c r="AF771" s="30" t="s">
        <v>131</v>
      </c>
      <c r="AG771" s="30" t="s">
        <v>2119</v>
      </c>
      <c r="AH771" s="30"/>
      <c r="AI771" s="30"/>
      <c r="AJ771" s="30"/>
      <c r="AK771" s="50">
        <v>45596</v>
      </c>
      <c r="AL771" s="51">
        <f t="shared" si="508"/>
        <v>1</v>
      </c>
      <c r="AM771" s="30">
        <v>8</v>
      </c>
      <c r="AN771" s="30"/>
      <c r="AO771" s="30" t="s">
        <v>1050</v>
      </c>
      <c r="AP771" s="30" t="s">
        <v>1051</v>
      </c>
      <c r="AQ771" s="30">
        <v>2</v>
      </c>
      <c r="AR771" s="30">
        <v>1415</v>
      </c>
      <c r="AS771" s="30">
        <v>1910</v>
      </c>
      <c r="AT771" s="30">
        <v>1035</v>
      </c>
      <c r="AU771" s="54">
        <v>10500000</v>
      </c>
      <c r="AV771" s="54"/>
      <c r="AW771" s="54"/>
      <c r="AX771" s="54"/>
      <c r="AY771" s="54">
        <v>1093750</v>
      </c>
      <c r="AZ771" s="54">
        <v>109375</v>
      </c>
      <c r="BA771" s="54">
        <v>9078125</v>
      </c>
      <c r="BB771" s="55">
        <f>VLOOKUP(M771,[1]Sheet1!$E$6:$F$556,2,FALSE)</f>
        <v>899381</v>
      </c>
      <c r="BC771" s="74"/>
      <c r="BD771" s="74"/>
      <c r="BE771" s="30"/>
      <c r="BF771" s="30" t="s">
        <v>1739</v>
      </c>
      <c r="BG771" s="30" t="s">
        <v>2120</v>
      </c>
      <c r="BH771" s="30" t="s">
        <v>1054</v>
      </c>
      <c r="BI771" s="30" t="str">
        <f t="shared" si="496"/>
        <v>COF(Assy_FT)</v>
      </c>
      <c r="BJ771" s="47" t="s">
        <v>137</v>
      </c>
      <c r="BK771" s="56">
        <f t="shared" si="509"/>
        <v>9532031.25</v>
      </c>
      <c r="BL771" s="57">
        <f t="shared" si="518"/>
        <v>908676.31766947953</v>
      </c>
      <c r="BM771" s="57">
        <f t="shared" si="519"/>
        <v>302892.10588982649</v>
      </c>
      <c r="BU771" s="58">
        <f>BM771*3</f>
        <v>908676.31766947941</v>
      </c>
      <c r="BV771" s="58">
        <f t="shared" si="515"/>
        <v>908676.31766947941</v>
      </c>
      <c r="BW771" s="58">
        <f t="shared" si="523"/>
        <v>1817352.6353389588</v>
      </c>
      <c r="BX771" s="58">
        <f t="shared" si="521"/>
        <v>908676.31766947941</v>
      </c>
      <c r="BY771" s="58">
        <f t="shared" si="525"/>
        <v>908676.31766947941</v>
      </c>
      <c r="BZ771" s="58">
        <f>BM771*3</f>
        <v>908676.31766947941</v>
      </c>
      <c r="CA771" s="58">
        <f t="shared" si="526"/>
        <v>908676.31766947941</v>
      </c>
      <c r="CB771" s="58">
        <f t="shared" si="497"/>
        <v>3634705.2706779176</v>
      </c>
      <c r="CC771" s="58">
        <f t="shared" si="498"/>
        <v>908676.31766947941</v>
      </c>
      <c r="CD771" s="58">
        <f t="shared" si="530"/>
        <v>908676.31766947941</v>
      </c>
      <c r="CE771" s="58">
        <f t="shared" si="530"/>
        <v>908676.31766947941</v>
      </c>
      <c r="CF771" s="58">
        <f t="shared" si="530"/>
        <v>908676.31766947941</v>
      </c>
      <c r="CG771" s="58">
        <f t="shared" si="500"/>
        <v>3634705.2706779176</v>
      </c>
      <c r="CH771" s="58">
        <f t="shared" si="522"/>
        <v>908676.31766947941</v>
      </c>
      <c r="CI771" s="58">
        <f t="shared" si="528"/>
        <v>908676.31766947941</v>
      </c>
      <c r="CJ771" s="58">
        <f t="shared" si="528"/>
        <v>908676.31766947941</v>
      </c>
      <c r="CK771" s="58">
        <f t="shared" si="528"/>
        <v>908676.31766947941</v>
      </c>
      <c r="CL771" s="58">
        <f t="shared" si="524"/>
        <v>3634705.2706779176</v>
      </c>
      <c r="CN771" s="59">
        <f t="shared" si="531"/>
        <v>9.3074337692492111E-4</v>
      </c>
      <c r="CO771" s="64">
        <f t="shared" si="532"/>
        <v>19545610.915423345</v>
      </c>
      <c r="CP771" s="2">
        <f t="shared" si="501"/>
        <v>29077642.165423345</v>
      </c>
    </row>
    <row r="772" spans="1:94" hidden="1" x14ac:dyDescent="0.3">
      <c r="A772" s="29">
        <v>767</v>
      </c>
      <c r="B772" s="30" t="s">
        <v>21</v>
      </c>
      <c r="C772" s="30"/>
      <c r="D772" s="30" t="s">
        <v>1725</v>
      </c>
      <c r="E772" s="30" t="s">
        <v>1042</v>
      </c>
      <c r="F772" s="30" t="s">
        <v>1043</v>
      </c>
      <c r="G772" s="30" t="s">
        <v>117</v>
      </c>
      <c r="H772" s="30"/>
      <c r="I772" s="30" t="s">
        <v>119</v>
      </c>
      <c r="J772" s="30" t="s">
        <v>1044</v>
      </c>
      <c r="K772" s="30" t="s">
        <v>1872</v>
      </c>
      <c r="L772" s="30" t="s">
        <v>2112</v>
      </c>
      <c r="M772" s="30">
        <v>1007747</v>
      </c>
      <c r="N772" s="30" t="s">
        <v>138</v>
      </c>
      <c r="O772" s="30" t="s">
        <v>2122</v>
      </c>
      <c r="P772" s="30" t="s">
        <v>2114</v>
      </c>
      <c r="Q772" s="30" t="s">
        <v>2114</v>
      </c>
      <c r="R772" s="30" t="s">
        <v>2115</v>
      </c>
      <c r="S772" s="30"/>
      <c r="T772" s="30"/>
      <c r="U772" s="30" t="s">
        <v>588</v>
      </c>
      <c r="V772" s="30"/>
      <c r="W772" s="30" t="s">
        <v>2116</v>
      </c>
      <c r="X772" s="89"/>
      <c r="Y772" s="30" t="s">
        <v>128</v>
      </c>
      <c r="Z772" s="30" t="s">
        <v>128</v>
      </c>
      <c r="AA772" s="30" t="s">
        <v>129</v>
      </c>
      <c r="AB772" s="30" t="s">
        <v>2117</v>
      </c>
      <c r="AC772" s="30"/>
      <c r="AD772" s="30" t="s">
        <v>2118</v>
      </c>
      <c r="AE772" s="30"/>
      <c r="AF772" s="30" t="s">
        <v>131</v>
      </c>
      <c r="AG772" s="30" t="s">
        <v>2119</v>
      </c>
      <c r="AH772" s="30"/>
      <c r="AI772" s="30"/>
      <c r="AJ772" s="30"/>
      <c r="AK772" s="50">
        <v>45596</v>
      </c>
      <c r="AL772" s="51">
        <f t="shared" si="508"/>
        <v>1</v>
      </c>
      <c r="AM772" s="30">
        <v>8</v>
      </c>
      <c r="AN772" s="30"/>
      <c r="AO772" s="30" t="s">
        <v>1050</v>
      </c>
      <c r="AP772" s="30" t="s">
        <v>1051</v>
      </c>
      <c r="AQ772" s="30">
        <v>2</v>
      </c>
      <c r="AR772" s="30">
        <v>1415</v>
      </c>
      <c r="AS772" s="30">
        <v>1910</v>
      </c>
      <c r="AT772" s="30">
        <v>1035</v>
      </c>
      <c r="AU772" s="74">
        <v>10500000</v>
      </c>
      <c r="AV772" s="54"/>
      <c r="AW772" s="54"/>
      <c r="AX772" s="54"/>
      <c r="AY772" s="54">
        <v>1093750</v>
      </c>
      <c r="AZ772" s="54">
        <v>109375</v>
      </c>
      <c r="BA772" s="74">
        <v>9078125</v>
      </c>
      <c r="BB772" s="55">
        <f>VLOOKUP(M772,[1]Sheet1!$E$6:$F$556,2,FALSE)</f>
        <v>899381</v>
      </c>
      <c r="BC772" s="74"/>
      <c r="BD772" s="74"/>
      <c r="BE772" s="30"/>
      <c r="BF772" s="30" t="s">
        <v>1739</v>
      </c>
      <c r="BG772" s="30" t="s">
        <v>2120</v>
      </c>
      <c r="BH772" s="30" t="s">
        <v>1054</v>
      </c>
      <c r="BI772" s="30" t="str">
        <f t="shared" si="496"/>
        <v>COF(Assy_FT)</v>
      </c>
      <c r="BJ772" s="30" t="s">
        <v>250</v>
      </c>
      <c r="BK772" s="56">
        <f t="shared" si="509"/>
        <v>9532031.25</v>
      </c>
      <c r="BL772" s="57">
        <f t="shared" si="518"/>
        <v>297875.9765625</v>
      </c>
      <c r="BM772" s="57">
        <f t="shared" si="519"/>
        <v>99291.9921875</v>
      </c>
      <c r="BU772" s="58">
        <f>BM772*3</f>
        <v>297875.9765625</v>
      </c>
      <c r="BV772" s="58">
        <f t="shared" si="515"/>
        <v>297875.9765625</v>
      </c>
      <c r="BW772" s="58">
        <f t="shared" si="523"/>
        <v>595751.953125</v>
      </c>
      <c r="BX772" s="58">
        <f t="shared" si="521"/>
        <v>297875.9765625</v>
      </c>
      <c r="BY772" s="58">
        <f t="shared" si="525"/>
        <v>297875.9765625</v>
      </c>
      <c r="BZ772" s="58">
        <f>BM772*3</f>
        <v>297875.9765625</v>
      </c>
      <c r="CA772" s="58">
        <f t="shared" si="526"/>
        <v>297875.9765625</v>
      </c>
      <c r="CB772" s="58">
        <f t="shared" si="497"/>
        <v>1191503.90625</v>
      </c>
      <c r="CC772" s="58">
        <f t="shared" si="498"/>
        <v>297875.9765625</v>
      </c>
      <c r="CD772" s="58">
        <f t="shared" si="530"/>
        <v>297875.9765625</v>
      </c>
      <c r="CE772" s="58">
        <f t="shared" si="530"/>
        <v>297875.9765625</v>
      </c>
      <c r="CF772" s="58">
        <f t="shared" si="530"/>
        <v>297875.9765625</v>
      </c>
      <c r="CG772" s="58">
        <f t="shared" si="500"/>
        <v>1191503.90625</v>
      </c>
      <c r="CH772" s="58">
        <f t="shared" si="522"/>
        <v>297875.9765625</v>
      </c>
      <c r="CI772" s="58">
        <f t="shared" si="528"/>
        <v>297875.9765625</v>
      </c>
      <c r="CJ772" s="58">
        <f t="shared" si="528"/>
        <v>297875.9765625</v>
      </c>
      <c r="CK772" s="58">
        <f t="shared" si="528"/>
        <v>297875.9765625</v>
      </c>
      <c r="CL772" s="58">
        <f t="shared" si="524"/>
        <v>1191503.90625</v>
      </c>
      <c r="CP772" s="2">
        <f t="shared" si="501"/>
        <v>9532031.25</v>
      </c>
    </row>
    <row r="773" spans="1:94" hidden="1" x14ac:dyDescent="0.3">
      <c r="A773" s="29">
        <v>768</v>
      </c>
      <c r="B773" s="30" t="s">
        <v>21</v>
      </c>
      <c r="C773" s="30"/>
      <c r="D773" s="30" t="s">
        <v>1725</v>
      </c>
      <c r="E773" s="30" t="s">
        <v>1042</v>
      </c>
      <c r="F773" s="30" t="s">
        <v>1043</v>
      </c>
      <c r="G773" s="30" t="s">
        <v>117</v>
      </c>
      <c r="H773" s="30"/>
      <c r="I773" s="30" t="s">
        <v>119</v>
      </c>
      <c r="J773" s="30" t="s">
        <v>1044</v>
      </c>
      <c r="K773" s="30" t="s">
        <v>1872</v>
      </c>
      <c r="L773" s="30" t="s">
        <v>2112</v>
      </c>
      <c r="M773" s="30">
        <v>1007748</v>
      </c>
      <c r="N773" s="30" t="s">
        <v>138</v>
      </c>
      <c r="O773" s="30" t="s">
        <v>2123</v>
      </c>
      <c r="P773" s="30" t="s">
        <v>2114</v>
      </c>
      <c r="Q773" s="30" t="s">
        <v>2114</v>
      </c>
      <c r="R773" s="30" t="s">
        <v>2115</v>
      </c>
      <c r="S773" s="30"/>
      <c r="T773" s="30"/>
      <c r="U773" s="30" t="s">
        <v>588</v>
      </c>
      <c r="V773" s="30"/>
      <c r="W773" s="30" t="s">
        <v>2116</v>
      </c>
      <c r="X773" s="89"/>
      <c r="Y773" s="30" t="s">
        <v>457</v>
      </c>
      <c r="Z773" s="30" t="s">
        <v>457</v>
      </c>
      <c r="AA773" s="30" t="s">
        <v>129</v>
      </c>
      <c r="AB773" s="30" t="s">
        <v>2117</v>
      </c>
      <c r="AC773" s="30"/>
      <c r="AD773" s="30" t="s">
        <v>2118</v>
      </c>
      <c r="AE773" s="30"/>
      <c r="AF773" s="30" t="s">
        <v>131</v>
      </c>
      <c r="AG773" s="30" t="s">
        <v>2119</v>
      </c>
      <c r="AH773" s="30"/>
      <c r="AI773" s="30"/>
      <c r="AJ773" s="30"/>
      <c r="AK773" s="50">
        <v>45596</v>
      </c>
      <c r="AL773" s="51">
        <f t="shared" si="508"/>
        <v>1</v>
      </c>
      <c r="AM773" s="30">
        <v>8</v>
      </c>
      <c r="AN773" s="30"/>
      <c r="AO773" s="30" t="s">
        <v>1050</v>
      </c>
      <c r="AP773" s="30" t="s">
        <v>1051</v>
      </c>
      <c r="AQ773" s="30">
        <v>2</v>
      </c>
      <c r="AR773" s="30">
        <v>1415</v>
      </c>
      <c r="AS773" s="30">
        <v>1910</v>
      </c>
      <c r="AT773" s="30">
        <v>1035</v>
      </c>
      <c r="AU773" s="74">
        <v>10500000</v>
      </c>
      <c r="AV773" s="54"/>
      <c r="AW773" s="54"/>
      <c r="AX773" s="54"/>
      <c r="AY773" s="54">
        <v>1093750</v>
      </c>
      <c r="AZ773" s="54">
        <v>109375</v>
      </c>
      <c r="BA773" s="74">
        <v>9078125</v>
      </c>
      <c r="BB773" s="55">
        <f>VLOOKUP(M773,[1]Sheet1!$E$6:$F$556,2,FALSE)</f>
        <v>899381</v>
      </c>
      <c r="BC773" s="74"/>
      <c r="BD773" s="74"/>
      <c r="BE773" s="30"/>
      <c r="BF773" s="30" t="s">
        <v>1739</v>
      </c>
      <c r="BG773" s="30" t="s">
        <v>2120</v>
      </c>
      <c r="BH773" s="30" t="s">
        <v>1054</v>
      </c>
      <c r="BI773" s="30" t="str">
        <f t="shared" si="496"/>
        <v>COF(Assy_FT)</v>
      </c>
      <c r="BJ773" s="30" t="s">
        <v>250</v>
      </c>
      <c r="BK773" s="56">
        <f t="shared" si="509"/>
        <v>9532031.25</v>
      </c>
      <c r="BL773" s="57">
        <f t="shared" si="518"/>
        <v>297875.9765625</v>
      </c>
      <c r="BM773" s="57">
        <f t="shared" si="519"/>
        <v>99291.9921875</v>
      </c>
      <c r="BU773" s="58">
        <f>BM773*3</f>
        <v>297875.9765625</v>
      </c>
      <c r="BV773" s="58">
        <f t="shared" si="515"/>
        <v>297875.9765625</v>
      </c>
      <c r="BW773" s="58">
        <f t="shared" si="523"/>
        <v>595751.953125</v>
      </c>
      <c r="BX773" s="58">
        <f t="shared" si="521"/>
        <v>297875.9765625</v>
      </c>
      <c r="BY773" s="58">
        <f t="shared" ref="BY773:CA824" si="533">BX773</f>
        <v>297875.9765625</v>
      </c>
      <c r="BZ773" s="58">
        <f>BM773*3</f>
        <v>297875.9765625</v>
      </c>
      <c r="CA773" s="58">
        <f t="shared" si="526"/>
        <v>297875.9765625</v>
      </c>
      <c r="CB773" s="58">
        <f t="shared" si="497"/>
        <v>1191503.90625</v>
      </c>
      <c r="CC773" s="58">
        <f t="shared" si="498"/>
        <v>297875.9765625</v>
      </c>
      <c r="CD773" s="58">
        <f t="shared" si="530"/>
        <v>297875.9765625</v>
      </c>
      <c r="CE773" s="58">
        <f t="shared" si="530"/>
        <v>297875.9765625</v>
      </c>
      <c r="CF773" s="58">
        <f t="shared" si="530"/>
        <v>297875.9765625</v>
      </c>
      <c r="CG773" s="58">
        <f t="shared" si="500"/>
        <v>1191503.90625</v>
      </c>
      <c r="CH773" s="58">
        <f t="shared" si="522"/>
        <v>297875.9765625</v>
      </c>
      <c r="CI773" s="58">
        <f t="shared" si="528"/>
        <v>297875.9765625</v>
      </c>
      <c r="CJ773" s="58">
        <f t="shared" si="528"/>
        <v>297875.9765625</v>
      </c>
      <c r="CK773" s="58">
        <f t="shared" si="528"/>
        <v>297875.9765625</v>
      </c>
      <c r="CL773" s="58">
        <f t="shared" si="524"/>
        <v>1191503.90625</v>
      </c>
      <c r="CP773" s="2">
        <f t="shared" si="501"/>
        <v>9532031.25</v>
      </c>
    </row>
    <row r="774" spans="1:94" ht="16.5" hidden="1" x14ac:dyDescent="0.3">
      <c r="A774" s="2">
        <v>769</v>
      </c>
      <c r="B774" s="47" t="s">
        <v>21</v>
      </c>
      <c r="C774" s="47"/>
      <c r="D774" s="30" t="s">
        <v>1725</v>
      </c>
      <c r="E774" s="89" t="s">
        <v>1726</v>
      </c>
      <c r="F774" s="30" t="s">
        <v>1043</v>
      </c>
      <c r="G774" s="30" t="s">
        <v>117</v>
      </c>
      <c r="H774" s="30" t="s">
        <v>1058</v>
      </c>
      <c r="I774" s="30" t="s">
        <v>119</v>
      </c>
      <c r="J774" s="30" t="s">
        <v>1044</v>
      </c>
      <c r="K774" s="30" t="s">
        <v>1044</v>
      </c>
      <c r="L774" s="30" t="s">
        <v>2124</v>
      </c>
      <c r="M774" s="89">
        <v>1000454</v>
      </c>
      <c r="N774" s="30" t="s">
        <v>138</v>
      </c>
      <c r="O774" s="89" t="s">
        <v>2125</v>
      </c>
      <c r="P774" s="30"/>
      <c r="Q774" s="30" t="s">
        <v>2126</v>
      </c>
      <c r="R774" s="30" t="s">
        <v>2127</v>
      </c>
      <c r="S774" s="30"/>
      <c r="T774" s="30"/>
      <c r="U774" s="30" t="s">
        <v>588</v>
      </c>
      <c r="V774" s="30" t="s">
        <v>589</v>
      </c>
      <c r="W774" s="30"/>
      <c r="X774" s="89" t="s">
        <v>1757</v>
      </c>
      <c r="Y774" s="30" t="s">
        <v>576</v>
      </c>
      <c r="Z774" s="30" t="s">
        <v>576</v>
      </c>
      <c r="AA774" s="30" t="s">
        <v>129</v>
      </c>
      <c r="AB774" s="30" t="s">
        <v>2128</v>
      </c>
      <c r="AC774" s="30"/>
      <c r="AD774" s="30"/>
      <c r="AE774" s="30"/>
      <c r="AF774" s="30" t="s">
        <v>131</v>
      </c>
      <c r="AG774" s="30" t="s">
        <v>1088</v>
      </c>
      <c r="AH774" s="30"/>
      <c r="AI774" s="30"/>
      <c r="AJ774" s="129"/>
      <c r="AK774" s="133">
        <v>38683</v>
      </c>
      <c r="AL774" s="51">
        <f t="shared" si="508"/>
        <v>19.93972602739726</v>
      </c>
      <c r="AM774" s="129">
        <v>8</v>
      </c>
      <c r="AN774" s="129"/>
      <c r="AO774" s="129" t="s">
        <v>1335</v>
      </c>
      <c r="AP774" s="129" t="s">
        <v>1336</v>
      </c>
      <c r="AQ774" s="129"/>
      <c r="AR774" s="129"/>
      <c r="AS774" s="129"/>
      <c r="AT774" s="129"/>
      <c r="AU774" s="140">
        <v>8300000</v>
      </c>
      <c r="AV774" s="140"/>
      <c r="AW774" s="140"/>
      <c r="AX774" s="140"/>
      <c r="AY774" s="140">
        <v>6759412</v>
      </c>
      <c r="AZ774" s="140">
        <v>86458</v>
      </c>
      <c r="BA774" s="140">
        <v>1281214</v>
      </c>
      <c r="BB774" s="55">
        <f>VLOOKUP(M774,[1]Sheet1!$E$6:$F$556,2,FALSE)</f>
        <v>1000</v>
      </c>
      <c r="BC774" s="135"/>
      <c r="BD774" s="135"/>
      <c r="BE774" s="129"/>
      <c r="BF774" s="30" t="s">
        <v>1739</v>
      </c>
      <c r="BG774" s="129" t="s">
        <v>1740</v>
      </c>
      <c r="BH774" s="30" t="s">
        <v>1054</v>
      </c>
      <c r="BI774" s="30" t="str">
        <f t="shared" si="496"/>
        <v>COF(Assy_FT)</v>
      </c>
      <c r="BJ774" s="47" t="s">
        <v>137</v>
      </c>
      <c r="BK774" s="56">
        <f t="shared" si="509"/>
        <v>1345274.7</v>
      </c>
      <c r="BL774" s="57">
        <f t="shared" si="518"/>
        <v>128243.31232127608</v>
      </c>
      <c r="BM774" s="57">
        <f t="shared" si="519"/>
        <v>42747.770773758697</v>
      </c>
      <c r="BU774" s="58">
        <f t="shared" ref="BU774:BU789" si="534">BM774*3</f>
        <v>128243.31232127608</v>
      </c>
      <c r="BV774" s="58">
        <f t="shared" si="515"/>
        <v>128243.31232127608</v>
      </c>
      <c r="BW774" s="58">
        <f t="shared" si="523"/>
        <v>256486.62464255217</v>
      </c>
      <c r="BX774" s="58">
        <f t="shared" si="521"/>
        <v>128243.31232127608</v>
      </c>
      <c r="BY774" s="58">
        <f t="shared" si="533"/>
        <v>128243.31232127608</v>
      </c>
      <c r="BZ774" s="58">
        <f t="shared" ref="BZ774:BZ789" si="535">BM774*3</f>
        <v>128243.31232127608</v>
      </c>
      <c r="CA774" s="58">
        <f t="shared" si="526"/>
        <v>128243.31232127608</v>
      </c>
      <c r="CB774" s="58">
        <f t="shared" si="497"/>
        <v>512973.24928510434</v>
      </c>
      <c r="CC774" s="58">
        <f t="shared" si="498"/>
        <v>128243.31232127608</v>
      </c>
      <c r="CD774" s="58">
        <f t="shared" si="530"/>
        <v>128243.31232127608</v>
      </c>
      <c r="CE774" s="58">
        <f t="shared" si="530"/>
        <v>128243.31232127608</v>
      </c>
      <c r="CF774" s="58">
        <f t="shared" si="530"/>
        <v>128243.31232127608</v>
      </c>
      <c r="CG774" s="58">
        <f t="shared" si="500"/>
        <v>512973.24928510434</v>
      </c>
      <c r="CH774" s="58">
        <f t="shared" si="522"/>
        <v>128243.31232127608</v>
      </c>
      <c r="CI774" s="58">
        <f t="shared" si="528"/>
        <v>128243.31232127608</v>
      </c>
      <c r="CJ774" s="58">
        <f t="shared" si="528"/>
        <v>128243.31232127608</v>
      </c>
      <c r="CK774" s="58">
        <f t="shared" si="528"/>
        <v>128243.31232127608</v>
      </c>
      <c r="CL774" s="58">
        <f t="shared" si="524"/>
        <v>512973.24928510434</v>
      </c>
      <c r="CN774" s="59">
        <f t="shared" ref="CN774:CN777" si="536">BK774/$CN$3</f>
        <v>1.3135768068003975E-4</v>
      </c>
      <c r="CO774" s="64">
        <f t="shared" ref="CO774:CO777" si="537">CN774*$CO$4</f>
        <v>2758511.294280835</v>
      </c>
      <c r="CP774" s="2">
        <f t="shared" si="501"/>
        <v>4103785.9942808347</v>
      </c>
    </row>
    <row r="775" spans="1:94" ht="16.5" hidden="1" x14ac:dyDescent="0.3">
      <c r="A775" s="2">
        <v>770</v>
      </c>
      <c r="B775" s="47" t="s">
        <v>21</v>
      </c>
      <c r="C775" s="47"/>
      <c r="D775" s="30" t="s">
        <v>1725</v>
      </c>
      <c r="E775" s="89" t="s">
        <v>1726</v>
      </c>
      <c r="F775" s="30" t="s">
        <v>1043</v>
      </c>
      <c r="G775" s="30" t="s">
        <v>117</v>
      </c>
      <c r="H775" s="30" t="s">
        <v>1058</v>
      </c>
      <c r="I775" s="30" t="s">
        <v>119</v>
      </c>
      <c r="J775" s="30" t="s">
        <v>1044</v>
      </c>
      <c r="K775" s="30" t="s">
        <v>1044</v>
      </c>
      <c r="L775" s="30" t="s">
        <v>2124</v>
      </c>
      <c r="M775" s="89">
        <v>1000455</v>
      </c>
      <c r="N775" s="30" t="s">
        <v>138</v>
      </c>
      <c r="O775" s="89" t="s">
        <v>2129</v>
      </c>
      <c r="P775" s="30"/>
      <c r="Q775" s="30" t="s">
        <v>2126</v>
      </c>
      <c r="R775" s="30" t="s">
        <v>2127</v>
      </c>
      <c r="S775" s="30"/>
      <c r="T775" s="30"/>
      <c r="U775" s="30" t="s">
        <v>588</v>
      </c>
      <c r="V775" s="30" t="s">
        <v>589</v>
      </c>
      <c r="W775" s="30"/>
      <c r="X775" s="89" t="s">
        <v>1757</v>
      </c>
      <c r="Y775" s="30" t="s">
        <v>576</v>
      </c>
      <c r="Z775" s="30" t="s">
        <v>576</v>
      </c>
      <c r="AA775" s="30" t="s">
        <v>129</v>
      </c>
      <c r="AB775" s="30" t="s">
        <v>2128</v>
      </c>
      <c r="AC775" s="30"/>
      <c r="AD775" s="30"/>
      <c r="AE775" s="30"/>
      <c r="AF775" s="30" t="s">
        <v>131</v>
      </c>
      <c r="AG775" s="30" t="s">
        <v>1088</v>
      </c>
      <c r="AH775" s="30"/>
      <c r="AI775" s="30"/>
      <c r="AJ775" s="129"/>
      <c r="AK775" s="133">
        <v>38683</v>
      </c>
      <c r="AL775" s="51">
        <f t="shared" si="508"/>
        <v>19.93972602739726</v>
      </c>
      <c r="AM775" s="129">
        <v>8</v>
      </c>
      <c r="AN775" s="129"/>
      <c r="AO775" s="129" t="s">
        <v>1335</v>
      </c>
      <c r="AP775" s="129" t="s">
        <v>1336</v>
      </c>
      <c r="AQ775" s="129"/>
      <c r="AR775" s="129"/>
      <c r="AS775" s="129"/>
      <c r="AT775" s="129"/>
      <c r="AU775" s="140">
        <v>1400000</v>
      </c>
      <c r="AV775" s="140"/>
      <c r="AW775" s="140"/>
      <c r="AX775" s="140"/>
      <c r="AY775" s="140">
        <v>1399000</v>
      </c>
      <c r="AZ775" s="140">
        <v>0</v>
      </c>
      <c r="BA775" s="140">
        <v>1000</v>
      </c>
      <c r="BB775" s="55">
        <f>VLOOKUP(M775,[1]Sheet1!$E$6:$F$556,2,FALSE)</f>
        <v>1000</v>
      </c>
      <c r="BC775" s="135"/>
      <c r="BD775" s="135"/>
      <c r="BE775" s="129"/>
      <c r="BF775" s="30" t="s">
        <v>1745</v>
      </c>
      <c r="BG775" s="129" t="s">
        <v>1740</v>
      </c>
      <c r="BH775" s="30" t="s">
        <v>1054</v>
      </c>
      <c r="BI775" s="30" t="str">
        <f t="shared" ref="BI775:BI789" si="538">BH775</f>
        <v>COF(Assy_FT)</v>
      </c>
      <c r="BJ775" s="47" t="s">
        <v>137</v>
      </c>
      <c r="BK775" s="56">
        <f t="shared" si="509"/>
        <v>28000</v>
      </c>
      <c r="BL775" s="57">
        <f t="shared" si="518"/>
        <v>2669.2041000962336</v>
      </c>
      <c r="BM775" s="57">
        <f t="shared" si="519"/>
        <v>889.73470003207785</v>
      </c>
      <c r="BU775" s="58">
        <f t="shared" si="534"/>
        <v>2669.2041000962336</v>
      </c>
      <c r="BV775" s="58">
        <f t="shared" si="515"/>
        <v>2669.2041000962336</v>
      </c>
      <c r="BW775" s="58">
        <f t="shared" si="523"/>
        <v>5338.4082001924671</v>
      </c>
      <c r="BX775" s="58">
        <f t="shared" si="521"/>
        <v>2669.2041000962336</v>
      </c>
      <c r="BY775" s="58">
        <f t="shared" si="533"/>
        <v>2669.2041000962336</v>
      </c>
      <c r="BZ775" s="58">
        <f t="shared" si="535"/>
        <v>2669.2041000962336</v>
      </c>
      <c r="CA775" s="58">
        <f t="shared" si="526"/>
        <v>2669.2041000962336</v>
      </c>
      <c r="CB775" s="58">
        <f t="shared" ref="CB775:CB818" si="539">SUM(BX775:CA775)</f>
        <v>10676.816400384934</v>
      </c>
      <c r="CC775" s="58">
        <f t="shared" ref="CC775:CC818" si="540">CA775</f>
        <v>2669.2041000962336</v>
      </c>
      <c r="CD775" s="58">
        <f t="shared" si="530"/>
        <v>2669.2041000962336</v>
      </c>
      <c r="CE775" s="58">
        <f t="shared" si="530"/>
        <v>2669.2041000962336</v>
      </c>
      <c r="CF775" s="58">
        <f t="shared" si="530"/>
        <v>2669.2041000962336</v>
      </c>
      <c r="CG775" s="58">
        <f t="shared" ref="CG775:CG818" si="541">SUM(CC775:CF775)</f>
        <v>10676.816400384934</v>
      </c>
      <c r="CH775" s="58">
        <f t="shared" si="522"/>
        <v>2669.2041000962336</v>
      </c>
      <c r="CI775" s="58">
        <f t="shared" si="528"/>
        <v>2669.2041000962336</v>
      </c>
      <c r="CJ775" s="58">
        <f t="shared" si="528"/>
        <v>2669.2041000962336</v>
      </c>
      <c r="CK775" s="58">
        <f t="shared" si="528"/>
        <v>2669.2041000962336</v>
      </c>
      <c r="CL775" s="58">
        <f t="shared" si="524"/>
        <v>10676.816400384934</v>
      </c>
      <c r="CN775" s="59">
        <f t="shared" si="536"/>
        <v>2.7340252953847367E-6</v>
      </c>
      <c r="CO775" s="64">
        <f t="shared" si="537"/>
        <v>57414.531203079474</v>
      </c>
      <c r="CP775" s="2">
        <f t="shared" ref="CP775:CP788" si="542">CO775+BK775</f>
        <v>85414.531203079474</v>
      </c>
    </row>
    <row r="776" spans="1:94" ht="16.5" hidden="1" x14ac:dyDescent="0.3">
      <c r="A776" s="2">
        <v>771</v>
      </c>
      <c r="B776" s="47" t="s">
        <v>21</v>
      </c>
      <c r="C776" s="47"/>
      <c r="D776" s="30" t="s">
        <v>1725</v>
      </c>
      <c r="E776" s="30" t="s">
        <v>1042</v>
      </c>
      <c r="F776" s="30" t="s">
        <v>1043</v>
      </c>
      <c r="G776" s="30" t="s">
        <v>117</v>
      </c>
      <c r="H776" s="30" t="s">
        <v>1058</v>
      </c>
      <c r="I776" s="30" t="s">
        <v>119</v>
      </c>
      <c r="J776" s="30" t="s">
        <v>1044</v>
      </c>
      <c r="K776" s="30" t="s">
        <v>1044</v>
      </c>
      <c r="L776" s="30" t="s">
        <v>2124</v>
      </c>
      <c r="M776" s="30">
        <v>1001548</v>
      </c>
      <c r="N776" s="30" t="s">
        <v>138</v>
      </c>
      <c r="O776" s="30" t="s">
        <v>2130</v>
      </c>
      <c r="P776" s="30" t="s">
        <v>2126</v>
      </c>
      <c r="Q776" s="30" t="s">
        <v>2126</v>
      </c>
      <c r="R776" s="30" t="s">
        <v>2127</v>
      </c>
      <c r="S776" s="30"/>
      <c r="T776" s="30"/>
      <c r="U776" s="30" t="s">
        <v>588</v>
      </c>
      <c r="V776" s="30" t="s">
        <v>589</v>
      </c>
      <c r="W776" s="30"/>
      <c r="X776" s="89" t="s">
        <v>1757</v>
      </c>
      <c r="Y776" s="30" t="s">
        <v>576</v>
      </c>
      <c r="Z776" s="30" t="s">
        <v>576</v>
      </c>
      <c r="AA776" s="30" t="s">
        <v>129</v>
      </c>
      <c r="AB776" s="30" t="s">
        <v>2128</v>
      </c>
      <c r="AC776" s="30"/>
      <c r="AD776" s="30"/>
      <c r="AE776" s="30"/>
      <c r="AF776" s="30" t="s">
        <v>131</v>
      </c>
      <c r="AG776" s="30" t="s">
        <v>1088</v>
      </c>
      <c r="AH776" s="30"/>
      <c r="AI776" s="30"/>
      <c r="AJ776" s="30"/>
      <c r="AK776" s="50">
        <v>40081</v>
      </c>
      <c r="AL776" s="51">
        <f t="shared" si="508"/>
        <v>16.109589041095891</v>
      </c>
      <c r="AM776" s="30">
        <v>8</v>
      </c>
      <c r="AN776" s="30"/>
      <c r="AO776" s="30" t="s">
        <v>1050</v>
      </c>
      <c r="AP776" s="30" t="s">
        <v>1051</v>
      </c>
      <c r="AQ776" s="30"/>
      <c r="AR776" s="30"/>
      <c r="AS776" s="30"/>
      <c r="AT776" s="30"/>
      <c r="AU776" s="54">
        <v>4275000</v>
      </c>
      <c r="AV776" s="54"/>
      <c r="AW776" s="54"/>
      <c r="AX776" s="54"/>
      <c r="AY776" s="54">
        <v>4274000</v>
      </c>
      <c r="AZ776" s="54">
        <v>0</v>
      </c>
      <c r="BA776" s="54">
        <v>1000</v>
      </c>
      <c r="BB776" s="55">
        <f>VLOOKUP(M776,[1]Sheet1!$E$6:$F$556,2,FALSE)</f>
        <v>1000</v>
      </c>
      <c r="BC776" s="74"/>
      <c r="BD776" s="74"/>
      <c r="BE776" s="30"/>
      <c r="BF776" s="30" t="s">
        <v>1745</v>
      </c>
      <c r="BG776" s="30" t="s">
        <v>1740</v>
      </c>
      <c r="BH776" s="30" t="s">
        <v>1054</v>
      </c>
      <c r="BI776" s="30" t="str">
        <f t="shared" si="538"/>
        <v>COF(Assy_FT)</v>
      </c>
      <c r="BJ776" s="47" t="s">
        <v>137</v>
      </c>
      <c r="BK776" s="56">
        <f t="shared" si="509"/>
        <v>85500</v>
      </c>
      <c r="BL776" s="57">
        <f t="shared" si="518"/>
        <v>8150.6053770795697</v>
      </c>
      <c r="BM776" s="57">
        <f t="shared" si="519"/>
        <v>2716.8684590265234</v>
      </c>
      <c r="BU776" s="58">
        <f t="shared" si="534"/>
        <v>8150.6053770795697</v>
      </c>
      <c r="BV776" s="58">
        <f t="shared" si="515"/>
        <v>8150.6053770795697</v>
      </c>
      <c r="BW776" s="58">
        <f t="shared" si="523"/>
        <v>16301.210754159139</v>
      </c>
      <c r="BX776" s="58">
        <f t="shared" si="521"/>
        <v>8150.6053770795697</v>
      </c>
      <c r="BY776" s="58">
        <f t="shared" si="533"/>
        <v>8150.6053770795697</v>
      </c>
      <c r="BZ776" s="58">
        <f t="shared" si="535"/>
        <v>8150.6053770795697</v>
      </c>
      <c r="CA776" s="58">
        <f t="shared" si="526"/>
        <v>8150.6053770795697</v>
      </c>
      <c r="CB776" s="58">
        <f t="shared" si="539"/>
        <v>32602.421508318279</v>
      </c>
      <c r="CC776" s="58">
        <f t="shared" si="540"/>
        <v>8150.6053770795697</v>
      </c>
      <c r="CD776" s="58">
        <f t="shared" si="530"/>
        <v>8150.6053770795697</v>
      </c>
      <c r="CE776" s="58">
        <f t="shared" si="530"/>
        <v>8150.6053770795697</v>
      </c>
      <c r="CF776" s="58">
        <f t="shared" si="530"/>
        <v>8150.6053770795697</v>
      </c>
      <c r="CG776" s="58">
        <f t="shared" si="541"/>
        <v>32602.421508318279</v>
      </c>
      <c r="CH776" s="58">
        <f t="shared" si="522"/>
        <v>8150.6053770795697</v>
      </c>
      <c r="CI776" s="58">
        <f t="shared" si="528"/>
        <v>8150.6053770795697</v>
      </c>
      <c r="CJ776" s="58">
        <f t="shared" si="528"/>
        <v>8150.6053770795697</v>
      </c>
      <c r="CK776" s="58">
        <f t="shared" si="528"/>
        <v>8150.6053770795697</v>
      </c>
      <c r="CL776" s="58">
        <f t="shared" si="524"/>
        <v>32602.421508318279</v>
      </c>
      <c r="CN776" s="59">
        <f t="shared" si="536"/>
        <v>8.3485415269783924E-6</v>
      </c>
      <c r="CO776" s="64">
        <f t="shared" si="537"/>
        <v>175319.37206654623</v>
      </c>
      <c r="CP776" s="2">
        <f t="shared" si="542"/>
        <v>260819.37206654623</v>
      </c>
    </row>
    <row r="777" spans="1:94" ht="16.5" hidden="1" x14ac:dyDescent="0.3">
      <c r="A777" s="2">
        <v>772</v>
      </c>
      <c r="B777" s="47" t="s">
        <v>21</v>
      </c>
      <c r="C777" s="47"/>
      <c r="D777" s="30" t="s">
        <v>1725</v>
      </c>
      <c r="E777" s="30" t="s">
        <v>1042</v>
      </c>
      <c r="F777" s="30" t="s">
        <v>1043</v>
      </c>
      <c r="G777" s="30" t="s">
        <v>117</v>
      </c>
      <c r="H777" s="30" t="s">
        <v>1058</v>
      </c>
      <c r="I777" s="30" t="s">
        <v>119</v>
      </c>
      <c r="J777" s="30" t="s">
        <v>1044</v>
      </c>
      <c r="K777" s="30" t="s">
        <v>1044</v>
      </c>
      <c r="L777" s="30" t="s">
        <v>2124</v>
      </c>
      <c r="M777" s="30">
        <v>1001550</v>
      </c>
      <c r="N777" s="30" t="s">
        <v>138</v>
      </c>
      <c r="O777" s="30" t="s">
        <v>2131</v>
      </c>
      <c r="P777" s="30" t="s">
        <v>2126</v>
      </c>
      <c r="Q777" s="30" t="s">
        <v>2126</v>
      </c>
      <c r="R777" s="30" t="s">
        <v>2127</v>
      </c>
      <c r="S777" s="30"/>
      <c r="T777" s="30"/>
      <c r="U777" s="30" t="s">
        <v>588</v>
      </c>
      <c r="V777" s="30" t="s">
        <v>589</v>
      </c>
      <c r="W777" s="30"/>
      <c r="X777" s="89" t="s">
        <v>1757</v>
      </c>
      <c r="Y777" s="30" t="s">
        <v>128</v>
      </c>
      <c r="Z777" s="30" t="s">
        <v>128</v>
      </c>
      <c r="AA777" s="30" t="s">
        <v>129</v>
      </c>
      <c r="AB777" s="30" t="s">
        <v>2128</v>
      </c>
      <c r="AC777" s="30"/>
      <c r="AD777" s="30"/>
      <c r="AE777" s="30"/>
      <c r="AF777" s="30" t="s">
        <v>131</v>
      </c>
      <c r="AG777" s="30" t="s">
        <v>1088</v>
      </c>
      <c r="AH777" s="30"/>
      <c r="AI777" s="30"/>
      <c r="AJ777" s="30"/>
      <c r="AK777" s="50">
        <v>40081</v>
      </c>
      <c r="AL777" s="51">
        <f t="shared" si="508"/>
        <v>16.109589041095891</v>
      </c>
      <c r="AM777" s="30">
        <v>8</v>
      </c>
      <c r="AN777" s="30"/>
      <c r="AO777" s="30" t="s">
        <v>1050</v>
      </c>
      <c r="AP777" s="30" t="s">
        <v>1051</v>
      </c>
      <c r="AQ777" s="30"/>
      <c r="AR777" s="30"/>
      <c r="AS777" s="30"/>
      <c r="AT777" s="30"/>
      <c r="AU777" s="54">
        <v>4275000</v>
      </c>
      <c r="AV777" s="54"/>
      <c r="AW777" s="54"/>
      <c r="AX777" s="54"/>
      <c r="AY777" s="54">
        <v>4274000</v>
      </c>
      <c r="AZ777" s="54">
        <v>0</v>
      </c>
      <c r="BA777" s="54">
        <v>1000</v>
      </c>
      <c r="BB777" s="55">
        <f>VLOOKUP(M777,[1]Sheet1!$E$6:$F$556,2,FALSE)</f>
        <v>1000</v>
      </c>
      <c r="BC777" s="74"/>
      <c r="BD777" s="74"/>
      <c r="BE777" s="30"/>
      <c r="BF777" s="30" t="s">
        <v>1745</v>
      </c>
      <c r="BG777" s="30" t="s">
        <v>1740</v>
      </c>
      <c r="BH777" s="30" t="s">
        <v>1054</v>
      </c>
      <c r="BI777" s="30" t="str">
        <f t="shared" si="538"/>
        <v>COF(Assy_FT)</v>
      </c>
      <c r="BJ777" s="47" t="s">
        <v>137</v>
      </c>
      <c r="BK777" s="56">
        <f t="shared" si="509"/>
        <v>85500</v>
      </c>
      <c r="BL777" s="57">
        <f t="shared" si="518"/>
        <v>8150.6053770795697</v>
      </c>
      <c r="BM777" s="57">
        <f t="shared" si="519"/>
        <v>2716.8684590265234</v>
      </c>
      <c r="BU777" s="58">
        <f t="shared" si="534"/>
        <v>8150.6053770795697</v>
      </c>
      <c r="BV777" s="58">
        <f t="shared" si="515"/>
        <v>8150.6053770795697</v>
      </c>
      <c r="BW777" s="58">
        <f t="shared" si="523"/>
        <v>16301.210754159139</v>
      </c>
      <c r="BX777" s="58">
        <f t="shared" si="521"/>
        <v>8150.6053770795697</v>
      </c>
      <c r="BY777" s="58">
        <f t="shared" si="533"/>
        <v>8150.6053770795697</v>
      </c>
      <c r="BZ777" s="58">
        <f t="shared" si="535"/>
        <v>8150.6053770795697</v>
      </c>
      <c r="CA777" s="58">
        <f t="shared" si="526"/>
        <v>8150.6053770795697</v>
      </c>
      <c r="CB777" s="58">
        <f t="shared" si="539"/>
        <v>32602.421508318279</v>
      </c>
      <c r="CC777" s="58">
        <f t="shared" si="540"/>
        <v>8150.6053770795697</v>
      </c>
      <c r="CD777" s="58">
        <f t="shared" si="530"/>
        <v>8150.6053770795697</v>
      </c>
      <c r="CE777" s="58">
        <f t="shared" si="530"/>
        <v>8150.6053770795697</v>
      </c>
      <c r="CF777" s="58">
        <f t="shared" si="530"/>
        <v>8150.6053770795697</v>
      </c>
      <c r="CG777" s="58">
        <f t="shared" si="541"/>
        <v>32602.421508318279</v>
      </c>
      <c r="CH777" s="58">
        <f t="shared" si="522"/>
        <v>8150.6053770795697</v>
      </c>
      <c r="CI777" s="58">
        <f t="shared" si="528"/>
        <v>8150.6053770795697</v>
      </c>
      <c r="CJ777" s="58">
        <f t="shared" si="528"/>
        <v>8150.6053770795697</v>
      </c>
      <c r="CK777" s="58">
        <f t="shared" si="528"/>
        <v>8150.6053770795697</v>
      </c>
      <c r="CL777" s="58">
        <f t="shared" si="524"/>
        <v>32602.421508318279</v>
      </c>
      <c r="CN777" s="59">
        <f t="shared" si="536"/>
        <v>8.3485415269783924E-6</v>
      </c>
      <c r="CO777" s="64">
        <f t="shared" si="537"/>
        <v>175319.37206654623</v>
      </c>
      <c r="CP777" s="2">
        <f t="shared" si="542"/>
        <v>260819.37206654623</v>
      </c>
    </row>
    <row r="778" spans="1:94" hidden="1" x14ac:dyDescent="0.3">
      <c r="A778" s="29">
        <v>773</v>
      </c>
      <c r="B778" s="30" t="s">
        <v>21</v>
      </c>
      <c r="C778" s="30"/>
      <c r="D778" s="30" t="s">
        <v>1725</v>
      </c>
      <c r="E778" s="30" t="s">
        <v>1042</v>
      </c>
      <c r="F778" s="30" t="s">
        <v>1043</v>
      </c>
      <c r="G778" s="30" t="s">
        <v>117</v>
      </c>
      <c r="H778" s="30" t="s">
        <v>1058</v>
      </c>
      <c r="I778" s="30" t="s">
        <v>119</v>
      </c>
      <c r="J778" s="30" t="s">
        <v>1044</v>
      </c>
      <c r="K778" s="30" t="s">
        <v>1044</v>
      </c>
      <c r="L778" s="30" t="s">
        <v>2124</v>
      </c>
      <c r="M778" s="30">
        <v>1000358</v>
      </c>
      <c r="N778" s="30" t="s">
        <v>138</v>
      </c>
      <c r="O778" s="30" t="s">
        <v>2132</v>
      </c>
      <c r="P778" s="30"/>
      <c r="Q778" s="30" t="s">
        <v>2126</v>
      </c>
      <c r="R778" s="30" t="s">
        <v>2127</v>
      </c>
      <c r="S778" s="30"/>
      <c r="T778" s="30"/>
      <c r="U778" s="30" t="s">
        <v>588</v>
      </c>
      <c r="V778" s="30" t="s">
        <v>589</v>
      </c>
      <c r="W778" s="30"/>
      <c r="X778" s="89"/>
      <c r="Y778" s="30" t="s">
        <v>128</v>
      </c>
      <c r="Z778" s="30" t="s">
        <v>128</v>
      </c>
      <c r="AA778" s="30" t="s">
        <v>129</v>
      </c>
      <c r="AB778" s="30" t="s">
        <v>2128</v>
      </c>
      <c r="AC778" s="30"/>
      <c r="AD778" s="30"/>
      <c r="AE778" s="30"/>
      <c r="AF778" s="30" t="s">
        <v>131</v>
      </c>
      <c r="AG778" s="30" t="s">
        <v>1088</v>
      </c>
      <c r="AH778" s="30"/>
      <c r="AI778" s="30"/>
      <c r="AJ778" s="30"/>
      <c r="AK778" s="50">
        <v>38532</v>
      </c>
      <c r="AL778" s="51">
        <f t="shared" si="508"/>
        <v>20.353424657534248</v>
      </c>
      <c r="AM778" s="30">
        <v>8</v>
      </c>
      <c r="AN778" s="30"/>
      <c r="AO778" s="30" t="s">
        <v>1050</v>
      </c>
      <c r="AP778" s="30" t="s">
        <v>1051</v>
      </c>
      <c r="AQ778" s="30"/>
      <c r="AR778" s="30"/>
      <c r="AS778" s="30"/>
      <c r="AT778" s="30"/>
      <c r="AU778" s="74">
        <v>37400000</v>
      </c>
      <c r="AV778" s="54"/>
      <c r="AW778" s="54"/>
      <c r="AX778" s="54"/>
      <c r="AY778" s="54">
        <v>37399000</v>
      </c>
      <c r="AZ778" s="54">
        <v>0</v>
      </c>
      <c r="BA778" s="74">
        <v>1000</v>
      </c>
      <c r="BB778" s="55">
        <f>VLOOKUP(M778,[1]Sheet1!$E$6:$F$556,2,FALSE)</f>
        <v>1000</v>
      </c>
      <c r="BC778" s="74"/>
      <c r="BD778" s="74"/>
      <c r="BE778" s="30"/>
      <c r="BF778" s="30" t="s">
        <v>1745</v>
      </c>
      <c r="BG778" s="30" t="s">
        <v>1740</v>
      </c>
      <c r="BH778" s="30" t="s">
        <v>1054</v>
      </c>
      <c r="BI778" s="30" t="str">
        <f t="shared" si="538"/>
        <v>COF(Assy_FT)</v>
      </c>
      <c r="BJ778" s="30" t="s">
        <v>250</v>
      </c>
      <c r="BK778" s="56">
        <f t="shared" si="509"/>
        <v>748000</v>
      </c>
      <c r="BL778" s="57">
        <f t="shared" si="518"/>
        <v>23375</v>
      </c>
      <c r="BM778" s="57">
        <f t="shared" si="519"/>
        <v>7791.666666666667</v>
      </c>
      <c r="BU778" s="58">
        <f t="shared" si="534"/>
        <v>23375</v>
      </c>
      <c r="BV778" s="58">
        <f t="shared" si="515"/>
        <v>23375</v>
      </c>
      <c r="BW778" s="58">
        <f t="shared" si="523"/>
        <v>46750</v>
      </c>
      <c r="BX778" s="58">
        <f t="shared" si="521"/>
        <v>23375</v>
      </c>
      <c r="BY778" s="58">
        <f t="shared" si="533"/>
        <v>23375</v>
      </c>
      <c r="BZ778" s="58">
        <f t="shared" si="535"/>
        <v>23375</v>
      </c>
      <c r="CA778" s="58">
        <f t="shared" si="526"/>
        <v>23375</v>
      </c>
      <c r="CB778" s="58">
        <f t="shared" si="539"/>
        <v>93500</v>
      </c>
      <c r="CC778" s="58">
        <f t="shared" si="540"/>
        <v>23375</v>
      </c>
      <c r="CD778" s="58">
        <f t="shared" si="530"/>
        <v>23375</v>
      </c>
      <c r="CE778" s="58">
        <f t="shared" si="530"/>
        <v>23375</v>
      </c>
      <c r="CF778" s="58">
        <f t="shared" si="530"/>
        <v>23375</v>
      </c>
      <c r="CG778" s="58">
        <f t="shared" si="541"/>
        <v>93500</v>
      </c>
      <c r="CH778" s="58">
        <f t="shared" si="522"/>
        <v>23375</v>
      </c>
      <c r="CI778" s="58">
        <f t="shared" si="528"/>
        <v>23375</v>
      </c>
      <c r="CJ778" s="58">
        <f t="shared" si="528"/>
        <v>23375</v>
      </c>
      <c r="CK778" s="58">
        <f t="shared" si="528"/>
        <v>23375</v>
      </c>
      <c r="CL778" s="58">
        <f t="shared" si="524"/>
        <v>93500</v>
      </c>
      <c r="CP778" s="2">
        <f t="shared" si="542"/>
        <v>748000</v>
      </c>
    </row>
    <row r="779" spans="1:94" hidden="1" x14ac:dyDescent="0.3">
      <c r="A779" s="29">
        <v>774</v>
      </c>
      <c r="B779" s="30" t="s">
        <v>21</v>
      </c>
      <c r="C779" s="30"/>
      <c r="D779" s="30" t="s">
        <v>1725</v>
      </c>
      <c r="E779" s="30" t="s">
        <v>1042</v>
      </c>
      <c r="F779" s="30" t="s">
        <v>1043</v>
      </c>
      <c r="G779" s="30" t="s">
        <v>117</v>
      </c>
      <c r="H779" s="30" t="s">
        <v>1058</v>
      </c>
      <c r="I779" s="30" t="s">
        <v>119</v>
      </c>
      <c r="J779" s="30" t="s">
        <v>1044</v>
      </c>
      <c r="K779" s="30" t="s">
        <v>1044</v>
      </c>
      <c r="L779" s="30" t="s">
        <v>2124</v>
      </c>
      <c r="M779" s="30">
        <v>1006416</v>
      </c>
      <c r="N779" s="30" t="s">
        <v>138</v>
      </c>
      <c r="O779" s="30" t="s">
        <v>2133</v>
      </c>
      <c r="P779" s="30"/>
      <c r="Q779" s="30" t="s">
        <v>2126</v>
      </c>
      <c r="R779" s="30" t="s">
        <v>2127</v>
      </c>
      <c r="S779" s="30"/>
      <c r="T779" s="30"/>
      <c r="U779" s="30" t="s">
        <v>588</v>
      </c>
      <c r="V779" s="30" t="s">
        <v>589</v>
      </c>
      <c r="W779" s="30"/>
      <c r="X779" s="89"/>
      <c r="Y779" s="30" t="s">
        <v>128</v>
      </c>
      <c r="Z779" s="30" t="s">
        <v>128</v>
      </c>
      <c r="AA779" s="30" t="s">
        <v>129</v>
      </c>
      <c r="AB779" s="30" t="s">
        <v>2128</v>
      </c>
      <c r="AC779" s="30"/>
      <c r="AD779" s="30"/>
      <c r="AE779" s="30"/>
      <c r="AF779" s="30" t="s">
        <v>131</v>
      </c>
      <c r="AG779" s="30" t="s">
        <v>1088</v>
      </c>
      <c r="AH779" s="30"/>
      <c r="AI779" s="30"/>
      <c r="AJ779" s="30"/>
      <c r="AK779" s="50">
        <v>44069</v>
      </c>
      <c r="AL779" s="51">
        <f t="shared" si="508"/>
        <v>5.183561643835616</v>
      </c>
      <c r="AM779" s="30">
        <v>8</v>
      </c>
      <c r="AN779" s="30"/>
      <c r="AO779" s="30" t="s">
        <v>1050</v>
      </c>
      <c r="AP779" s="30" t="s">
        <v>1051</v>
      </c>
      <c r="AQ779" s="30"/>
      <c r="AR779" s="30"/>
      <c r="AS779" s="30"/>
      <c r="AT779" s="30"/>
      <c r="AU779" s="74">
        <v>7000000</v>
      </c>
      <c r="AV779" s="54"/>
      <c r="AW779" s="54"/>
      <c r="AX779" s="54"/>
      <c r="AY779" s="54">
        <v>4375002</v>
      </c>
      <c r="AZ779" s="54">
        <v>72917</v>
      </c>
      <c r="BA779" s="74">
        <v>2406247</v>
      </c>
      <c r="BB779" s="55">
        <f>VLOOKUP(M779,[1]Sheet1!$E$6:$F$556,2,FALSE)</f>
        <v>215237</v>
      </c>
      <c r="BC779" s="74"/>
      <c r="BD779" s="74"/>
      <c r="BE779" s="30"/>
      <c r="BF779" s="30" t="s">
        <v>1739</v>
      </c>
      <c r="BG779" s="30" t="s">
        <v>1740</v>
      </c>
      <c r="BH779" s="30" t="s">
        <v>1054</v>
      </c>
      <c r="BI779" s="30" t="str">
        <f t="shared" si="538"/>
        <v>COF(Assy_FT)</v>
      </c>
      <c r="BJ779" s="30" t="s">
        <v>250</v>
      </c>
      <c r="BK779" s="56">
        <f t="shared" si="509"/>
        <v>2526559.35</v>
      </c>
      <c r="BL779" s="57">
        <f t="shared" si="518"/>
        <v>78954.979687500003</v>
      </c>
      <c r="BM779" s="57">
        <f t="shared" si="519"/>
        <v>26318.326562500002</v>
      </c>
      <c r="BU779" s="58">
        <f t="shared" si="534"/>
        <v>78954.979687500003</v>
      </c>
      <c r="BV779" s="58">
        <f t="shared" si="515"/>
        <v>78954.979687500003</v>
      </c>
      <c r="BW779" s="58">
        <f t="shared" si="523"/>
        <v>157909.95937500001</v>
      </c>
      <c r="BX779" s="58">
        <f t="shared" si="521"/>
        <v>78954.979687500003</v>
      </c>
      <c r="BY779" s="58">
        <f t="shared" si="533"/>
        <v>78954.979687500003</v>
      </c>
      <c r="BZ779" s="58">
        <f t="shared" si="535"/>
        <v>78954.979687500003</v>
      </c>
      <c r="CA779" s="58">
        <f t="shared" si="526"/>
        <v>78954.979687500003</v>
      </c>
      <c r="CB779" s="58">
        <f t="shared" si="539"/>
        <v>315819.91875000001</v>
      </c>
      <c r="CC779" s="58">
        <f t="shared" si="540"/>
        <v>78954.979687500003</v>
      </c>
      <c r="CD779" s="58">
        <f t="shared" si="530"/>
        <v>78954.979687500003</v>
      </c>
      <c r="CE779" s="58">
        <f t="shared" si="530"/>
        <v>78954.979687500003</v>
      </c>
      <c r="CF779" s="58">
        <f t="shared" si="530"/>
        <v>78954.979687500003</v>
      </c>
      <c r="CG779" s="58">
        <f t="shared" si="541"/>
        <v>315819.91875000001</v>
      </c>
      <c r="CH779" s="58">
        <f t="shared" si="522"/>
        <v>78954.979687500003</v>
      </c>
      <c r="CI779" s="58">
        <f t="shared" si="528"/>
        <v>78954.979687500003</v>
      </c>
      <c r="CJ779" s="58">
        <f t="shared" si="528"/>
        <v>78954.979687500003</v>
      </c>
      <c r="CK779" s="58">
        <f t="shared" si="528"/>
        <v>78954.979687500003</v>
      </c>
      <c r="CL779" s="58">
        <f t="shared" si="524"/>
        <v>315819.91875000001</v>
      </c>
      <c r="CP779" s="2">
        <f t="shared" si="542"/>
        <v>2526559.35</v>
      </c>
    </row>
    <row r="780" spans="1:94" hidden="1" x14ac:dyDescent="0.3">
      <c r="A780" s="29">
        <v>775</v>
      </c>
      <c r="B780" s="30" t="s">
        <v>21</v>
      </c>
      <c r="C780" s="30"/>
      <c r="D780" s="30" t="s">
        <v>1725</v>
      </c>
      <c r="E780" s="30" t="s">
        <v>1042</v>
      </c>
      <c r="F780" s="30" t="s">
        <v>1043</v>
      </c>
      <c r="G780" s="30" t="s">
        <v>117</v>
      </c>
      <c r="H780" s="30" t="s">
        <v>1058</v>
      </c>
      <c r="I780" s="30" t="s">
        <v>119</v>
      </c>
      <c r="J780" s="30" t="s">
        <v>1044</v>
      </c>
      <c r="K780" s="30" t="s">
        <v>1044</v>
      </c>
      <c r="L780" s="30" t="s">
        <v>2124</v>
      </c>
      <c r="M780" s="30">
        <v>1006402</v>
      </c>
      <c r="N780" s="30" t="s">
        <v>138</v>
      </c>
      <c r="O780" s="30" t="s">
        <v>2134</v>
      </c>
      <c r="P780" s="30"/>
      <c r="Q780" s="30" t="s">
        <v>2126</v>
      </c>
      <c r="R780" s="30" t="s">
        <v>2127</v>
      </c>
      <c r="S780" s="30"/>
      <c r="T780" s="30"/>
      <c r="U780" s="30" t="s">
        <v>588</v>
      </c>
      <c r="V780" s="30" t="s">
        <v>589</v>
      </c>
      <c r="W780" s="30"/>
      <c r="X780" s="89"/>
      <c r="Y780" s="30" t="s">
        <v>128</v>
      </c>
      <c r="Z780" s="30" t="s">
        <v>128</v>
      </c>
      <c r="AA780" s="30" t="s">
        <v>129</v>
      </c>
      <c r="AB780" s="30" t="s">
        <v>2128</v>
      </c>
      <c r="AC780" s="30"/>
      <c r="AD780" s="30"/>
      <c r="AE780" s="30"/>
      <c r="AF780" s="30" t="s">
        <v>131</v>
      </c>
      <c r="AG780" s="30" t="s">
        <v>1088</v>
      </c>
      <c r="AH780" s="30"/>
      <c r="AI780" s="30"/>
      <c r="AJ780" s="30"/>
      <c r="AK780" s="50">
        <v>44074</v>
      </c>
      <c r="AL780" s="51">
        <f t="shared" si="508"/>
        <v>5.1698630136986301</v>
      </c>
      <c r="AM780" s="30">
        <v>8</v>
      </c>
      <c r="AN780" s="30"/>
      <c r="AO780" s="30" t="s">
        <v>1050</v>
      </c>
      <c r="AP780" s="30" t="s">
        <v>1051</v>
      </c>
      <c r="AQ780" s="30"/>
      <c r="AR780" s="30"/>
      <c r="AS780" s="30"/>
      <c r="AT780" s="30"/>
      <c r="AU780" s="74">
        <v>7000000</v>
      </c>
      <c r="AV780" s="54"/>
      <c r="AW780" s="54"/>
      <c r="AX780" s="54"/>
      <c r="AY780" s="54">
        <v>4375002</v>
      </c>
      <c r="AZ780" s="54">
        <v>72917</v>
      </c>
      <c r="BA780" s="74">
        <v>2406247</v>
      </c>
      <c r="BB780" s="55">
        <f>VLOOKUP(M780,[1]Sheet1!$E$6:$F$556,2,FALSE)</f>
        <v>215237</v>
      </c>
      <c r="BC780" s="74"/>
      <c r="BD780" s="74"/>
      <c r="BE780" s="30"/>
      <c r="BF780" s="30" t="s">
        <v>1739</v>
      </c>
      <c r="BG780" s="30" t="s">
        <v>1740</v>
      </c>
      <c r="BH780" s="30" t="s">
        <v>1054</v>
      </c>
      <c r="BI780" s="30" t="str">
        <f t="shared" si="538"/>
        <v>COF(Assy_FT)</v>
      </c>
      <c r="BJ780" s="30" t="s">
        <v>250</v>
      </c>
      <c r="BK780" s="56">
        <f t="shared" si="509"/>
        <v>2526559.35</v>
      </c>
      <c r="BL780" s="57">
        <f t="shared" si="518"/>
        <v>78954.979687500003</v>
      </c>
      <c r="BM780" s="57">
        <f t="shared" si="519"/>
        <v>26318.326562500002</v>
      </c>
      <c r="BU780" s="58">
        <f t="shared" si="534"/>
        <v>78954.979687500003</v>
      </c>
      <c r="BV780" s="58">
        <f t="shared" si="515"/>
        <v>78954.979687500003</v>
      </c>
      <c r="BW780" s="58">
        <f t="shared" si="523"/>
        <v>157909.95937500001</v>
      </c>
      <c r="BX780" s="58">
        <f t="shared" si="521"/>
        <v>78954.979687500003</v>
      </c>
      <c r="BY780" s="58">
        <f t="shared" si="533"/>
        <v>78954.979687500003</v>
      </c>
      <c r="BZ780" s="58">
        <f t="shared" si="535"/>
        <v>78954.979687500003</v>
      </c>
      <c r="CA780" s="58">
        <f t="shared" si="526"/>
        <v>78954.979687500003</v>
      </c>
      <c r="CB780" s="58">
        <f t="shared" si="539"/>
        <v>315819.91875000001</v>
      </c>
      <c r="CC780" s="58">
        <f t="shared" si="540"/>
        <v>78954.979687500003</v>
      </c>
      <c r="CD780" s="58">
        <f t="shared" si="530"/>
        <v>78954.979687500003</v>
      </c>
      <c r="CE780" s="58">
        <f t="shared" si="530"/>
        <v>78954.979687500003</v>
      </c>
      <c r="CF780" s="58">
        <f t="shared" si="530"/>
        <v>78954.979687500003</v>
      </c>
      <c r="CG780" s="58">
        <f t="shared" si="541"/>
        <v>315819.91875000001</v>
      </c>
      <c r="CH780" s="58">
        <f t="shared" si="522"/>
        <v>78954.979687500003</v>
      </c>
      <c r="CI780" s="58">
        <f t="shared" si="528"/>
        <v>78954.979687500003</v>
      </c>
      <c r="CJ780" s="58">
        <f t="shared" si="528"/>
        <v>78954.979687500003</v>
      </c>
      <c r="CK780" s="58">
        <f t="shared" si="528"/>
        <v>78954.979687500003</v>
      </c>
      <c r="CL780" s="58">
        <f t="shared" si="524"/>
        <v>315819.91875000001</v>
      </c>
      <c r="CP780" s="2">
        <f t="shared" si="542"/>
        <v>2526559.35</v>
      </c>
    </row>
    <row r="781" spans="1:94" hidden="1" x14ac:dyDescent="0.3">
      <c r="A781" s="29">
        <v>776</v>
      </c>
      <c r="B781" s="30" t="s">
        <v>21</v>
      </c>
      <c r="C781" s="30"/>
      <c r="D781" s="30" t="s">
        <v>1725</v>
      </c>
      <c r="E781" s="30" t="s">
        <v>1042</v>
      </c>
      <c r="F781" s="30" t="s">
        <v>1043</v>
      </c>
      <c r="G781" s="30" t="s">
        <v>117</v>
      </c>
      <c r="H781" s="30" t="s">
        <v>1058</v>
      </c>
      <c r="I781" s="30" t="s">
        <v>119</v>
      </c>
      <c r="J781" s="30" t="s">
        <v>1044</v>
      </c>
      <c r="K781" s="30" t="s">
        <v>1044</v>
      </c>
      <c r="L781" s="30" t="s">
        <v>2124</v>
      </c>
      <c r="M781" s="30">
        <v>1006612</v>
      </c>
      <c r="N781" s="30" t="s">
        <v>138</v>
      </c>
      <c r="O781" s="30" t="s">
        <v>2135</v>
      </c>
      <c r="P781" s="30"/>
      <c r="Q781" s="30" t="s">
        <v>2126</v>
      </c>
      <c r="R781" s="30" t="s">
        <v>2127</v>
      </c>
      <c r="S781" s="30"/>
      <c r="T781" s="30"/>
      <c r="U781" s="30" t="s">
        <v>588</v>
      </c>
      <c r="V781" s="30" t="s">
        <v>589</v>
      </c>
      <c r="W781" s="30"/>
      <c r="X781" s="89"/>
      <c r="Y781" s="30" t="s">
        <v>457</v>
      </c>
      <c r="Z781" s="30" t="s">
        <v>457</v>
      </c>
      <c r="AA781" s="30" t="s">
        <v>129</v>
      </c>
      <c r="AB781" s="30" t="s">
        <v>2128</v>
      </c>
      <c r="AC781" s="30"/>
      <c r="AD781" s="30"/>
      <c r="AE781" s="30"/>
      <c r="AF781" s="30" t="s">
        <v>131</v>
      </c>
      <c r="AG781" s="30" t="s">
        <v>1088</v>
      </c>
      <c r="AH781" s="30"/>
      <c r="AI781" s="30"/>
      <c r="AJ781" s="30"/>
      <c r="AK781" s="50">
        <v>44279</v>
      </c>
      <c r="AL781" s="51">
        <f t="shared" si="508"/>
        <v>4.6082191780821917</v>
      </c>
      <c r="AM781" s="30">
        <v>8</v>
      </c>
      <c r="AN781" s="30"/>
      <c r="AO781" s="30" t="s">
        <v>1050</v>
      </c>
      <c r="AP781" s="30" t="s">
        <v>1051</v>
      </c>
      <c r="AQ781" s="30"/>
      <c r="AR781" s="30"/>
      <c r="AS781" s="30"/>
      <c r="AT781" s="30"/>
      <c r="AU781" s="74">
        <v>6700000</v>
      </c>
      <c r="AV781" s="54"/>
      <c r="AW781" s="54"/>
      <c r="AX781" s="54"/>
      <c r="AY781" s="54">
        <v>3698960</v>
      </c>
      <c r="AZ781" s="54">
        <v>69792</v>
      </c>
      <c r="BA781" s="74">
        <v>2791664</v>
      </c>
      <c r="BB781" s="55">
        <f>VLOOKUP(M781,[1]Sheet1!$E$6:$F$556,2,FALSE)</f>
        <v>257514</v>
      </c>
      <c r="BC781" s="74"/>
      <c r="BD781" s="74"/>
      <c r="BE781" s="30"/>
      <c r="BF781" s="30" t="s">
        <v>1739</v>
      </c>
      <c r="BG781" s="30" t="s">
        <v>1740</v>
      </c>
      <c r="BH781" s="30" t="s">
        <v>1054</v>
      </c>
      <c r="BI781" s="30" t="str">
        <f t="shared" si="538"/>
        <v>COF(Assy_FT)</v>
      </c>
      <c r="BJ781" s="30" t="s">
        <v>250</v>
      </c>
      <c r="BK781" s="56">
        <f t="shared" si="509"/>
        <v>2931247.2</v>
      </c>
      <c r="BL781" s="57">
        <f t="shared" si="518"/>
        <v>91601.475000000006</v>
      </c>
      <c r="BM781" s="57">
        <f t="shared" si="519"/>
        <v>30533.825000000001</v>
      </c>
      <c r="BU781" s="58">
        <f t="shared" si="534"/>
        <v>91601.475000000006</v>
      </c>
      <c r="BV781" s="58">
        <f t="shared" si="515"/>
        <v>91601.475000000006</v>
      </c>
      <c r="BW781" s="58">
        <f t="shared" si="523"/>
        <v>183202.95</v>
      </c>
      <c r="BX781" s="58">
        <f t="shared" si="521"/>
        <v>91601.475000000006</v>
      </c>
      <c r="BY781" s="58">
        <f t="shared" si="533"/>
        <v>91601.475000000006</v>
      </c>
      <c r="BZ781" s="58">
        <f t="shared" si="535"/>
        <v>91601.475000000006</v>
      </c>
      <c r="CA781" s="58">
        <f t="shared" si="526"/>
        <v>91601.475000000006</v>
      </c>
      <c r="CB781" s="58">
        <f t="shared" si="539"/>
        <v>366405.9</v>
      </c>
      <c r="CC781" s="58">
        <f t="shared" si="540"/>
        <v>91601.475000000006</v>
      </c>
      <c r="CD781" s="58">
        <f t="shared" si="530"/>
        <v>91601.475000000006</v>
      </c>
      <c r="CE781" s="58">
        <f t="shared" si="530"/>
        <v>91601.475000000006</v>
      </c>
      <c r="CF781" s="58">
        <f t="shared" si="530"/>
        <v>91601.475000000006</v>
      </c>
      <c r="CG781" s="58">
        <f t="shared" si="541"/>
        <v>366405.9</v>
      </c>
      <c r="CH781" s="58">
        <f t="shared" si="522"/>
        <v>91601.475000000006</v>
      </c>
      <c r="CI781" s="58">
        <f t="shared" si="528"/>
        <v>91601.475000000006</v>
      </c>
      <c r="CJ781" s="58">
        <f t="shared" si="528"/>
        <v>91601.475000000006</v>
      </c>
      <c r="CK781" s="58">
        <f t="shared" si="528"/>
        <v>91601.475000000006</v>
      </c>
      <c r="CL781" s="58">
        <f t="shared" si="524"/>
        <v>366405.9</v>
      </c>
      <c r="CP781" s="2">
        <f t="shared" si="542"/>
        <v>2931247.2</v>
      </c>
    </row>
    <row r="782" spans="1:94" hidden="1" x14ac:dyDescent="0.3">
      <c r="A782" s="29">
        <v>777</v>
      </c>
      <c r="B782" s="30" t="s">
        <v>21</v>
      </c>
      <c r="C782" s="30"/>
      <c r="D782" s="30" t="s">
        <v>1725</v>
      </c>
      <c r="E782" s="30" t="s">
        <v>1042</v>
      </c>
      <c r="F782" s="30" t="s">
        <v>1043</v>
      </c>
      <c r="G782" s="30" t="s">
        <v>117</v>
      </c>
      <c r="H782" s="30" t="s">
        <v>1058</v>
      </c>
      <c r="I782" s="30" t="s">
        <v>119</v>
      </c>
      <c r="J782" s="30" t="s">
        <v>1044</v>
      </c>
      <c r="K782" s="30" t="s">
        <v>1044</v>
      </c>
      <c r="L782" s="30" t="s">
        <v>2124</v>
      </c>
      <c r="M782" s="30">
        <v>1006622</v>
      </c>
      <c r="N782" s="30" t="s">
        <v>138</v>
      </c>
      <c r="O782" s="30" t="s">
        <v>2136</v>
      </c>
      <c r="P782" s="30"/>
      <c r="Q782" s="30" t="s">
        <v>2126</v>
      </c>
      <c r="R782" s="30" t="s">
        <v>2127</v>
      </c>
      <c r="S782" s="30"/>
      <c r="T782" s="30"/>
      <c r="U782" s="30" t="s">
        <v>588</v>
      </c>
      <c r="V782" s="30" t="s">
        <v>589</v>
      </c>
      <c r="W782" s="30"/>
      <c r="X782" s="89"/>
      <c r="Y782" s="30" t="s">
        <v>457</v>
      </c>
      <c r="Z782" s="30" t="s">
        <v>457</v>
      </c>
      <c r="AA782" s="30" t="s">
        <v>129</v>
      </c>
      <c r="AB782" s="30" t="s">
        <v>2128</v>
      </c>
      <c r="AC782" s="30"/>
      <c r="AD782" s="30"/>
      <c r="AE782" s="30"/>
      <c r="AF782" s="30" t="s">
        <v>131</v>
      </c>
      <c r="AG782" s="30" t="s">
        <v>1088</v>
      </c>
      <c r="AH782" s="30"/>
      <c r="AI782" s="30"/>
      <c r="AJ782" s="30"/>
      <c r="AK782" s="50">
        <v>44279</v>
      </c>
      <c r="AL782" s="51">
        <f t="shared" si="508"/>
        <v>4.6082191780821917</v>
      </c>
      <c r="AM782" s="30">
        <v>8</v>
      </c>
      <c r="AN782" s="30"/>
      <c r="AO782" s="30" t="s">
        <v>1050</v>
      </c>
      <c r="AP782" s="30" t="s">
        <v>1051</v>
      </c>
      <c r="AQ782" s="30"/>
      <c r="AR782" s="30"/>
      <c r="AS782" s="30"/>
      <c r="AT782" s="30"/>
      <c r="AU782" s="74">
        <v>6700000</v>
      </c>
      <c r="AV782" s="54"/>
      <c r="AW782" s="54"/>
      <c r="AX782" s="54"/>
      <c r="AY782" s="54">
        <v>3698960</v>
      </c>
      <c r="AZ782" s="54">
        <v>69792</v>
      </c>
      <c r="BA782" s="74">
        <v>2791664</v>
      </c>
      <c r="BB782" s="55">
        <f>VLOOKUP(M782,[1]Sheet1!$E$6:$F$556,2,FALSE)</f>
        <v>257514</v>
      </c>
      <c r="BC782" s="74"/>
      <c r="BD782" s="74"/>
      <c r="BE782" s="30"/>
      <c r="BF782" s="30" t="s">
        <v>1739</v>
      </c>
      <c r="BG782" s="30" t="s">
        <v>1740</v>
      </c>
      <c r="BH782" s="30" t="s">
        <v>1054</v>
      </c>
      <c r="BI782" s="30" t="str">
        <f t="shared" si="538"/>
        <v>COF(Assy_FT)</v>
      </c>
      <c r="BJ782" s="30" t="s">
        <v>250</v>
      </c>
      <c r="BK782" s="56">
        <f t="shared" si="509"/>
        <v>2931247.2</v>
      </c>
      <c r="BL782" s="57">
        <f t="shared" si="518"/>
        <v>91601.475000000006</v>
      </c>
      <c r="BM782" s="57">
        <f t="shared" si="519"/>
        <v>30533.825000000001</v>
      </c>
      <c r="BU782" s="58">
        <f t="shared" si="534"/>
        <v>91601.475000000006</v>
      </c>
      <c r="BV782" s="58">
        <f t="shared" si="515"/>
        <v>91601.475000000006</v>
      </c>
      <c r="BW782" s="58">
        <f t="shared" si="523"/>
        <v>183202.95</v>
      </c>
      <c r="BX782" s="58">
        <f t="shared" si="521"/>
        <v>91601.475000000006</v>
      </c>
      <c r="BY782" s="58">
        <f t="shared" si="533"/>
        <v>91601.475000000006</v>
      </c>
      <c r="BZ782" s="58">
        <f t="shared" si="535"/>
        <v>91601.475000000006</v>
      </c>
      <c r="CA782" s="58">
        <f t="shared" si="526"/>
        <v>91601.475000000006</v>
      </c>
      <c r="CB782" s="58">
        <f t="shared" si="539"/>
        <v>366405.9</v>
      </c>
      <c r="CC782" s="58">
        <f t="shared" si="540"/>
        <v>91601.475000000006</v>
      </c>
      <c r="CD782" s="58">
        <f t="shared" si="530"/>
        <v>91601.475000000006</v>
      </c>
      <c r="CE782" s="58">
        <f t="shared" si="530"/>
        <v>91601.475000000006</v>
      </c>
      <c r="CF782" s="58">
        <f t="shared" si="530"/>
        <v>91601.475000000006</v>
      </c>
      <c r="CG782" s="58">
        <f t="shared" si="541"/>
        <v>366405.9</v>
      </c>
      <c r="CH782" s="58">
        <f t="shared" si="522"/>
        <v>91601.475000000006</v>
      </c>
      <c r="CI782" s="58">
        <f t="shared" si="528"/>
        <v>91601.475000000006</v>
      </c>
      <c r="CJ782" s="58">
        <f t="shared" si="528"/>
        <v>91601.475000000006</v>
      </c>
      <c r="CK782" s="58">
        <f t="shared" si="528"/>
        <v>91601.475000000006</v>
      </c>
      <c r="CL782" s="58">
        <f t="shared" si="524"/>
        <v>366405.9</v>
      </c>
      <c r="CP782" s="2">
        <f t="shared" si="542"/>
        <v>2931247.2</v>
      </c>
    </row>
    <row r="783" spans="1:94" ht="16.5" hidden="1" x14ac:dyDescent="0.3">
      <c r="A783" s="2">
        <v>778</v>
      </c>
      <c r="B783" s="47" t="s">
        <v>21</v>
      </c>
      <c r="C783" s="47"/>
      <c r="D783" s="30" t="s">
        <v>1725</v>
      </c>
      <c r="E783" s="89" t="s">
        <v>1726</v>
      </c>
      <c r="F783" s="30" t="s">
        <v>1043</v>
      </c>
      <c r="G783" s="30" t="s">
        <v>117</v>
      </c>
      <c r="H783" s="89"/>
      <c r="I783" s="30" t="s">
        <v>119</v>
      </c>
      <c r="J783" s="30" t="s">
        <v>1871</v>
      </c>
      <c r="K783" s="30" t="s">
        <v>1872</v>
      </c>
      <c r="L783" s="89" t="s">
        <v>1728</v>
      </c>
      <c r="M783" s="89">
        <v>1000783</v>
      </c>
      <c r="N783" s="30" t="s">
        <v>138</v>
      </c>
      <c r="O783" s="89" t="s">
        <v>2137</v>
      </c>
      <c r="P783" s="89"/>
      <c r="Q783" s="89" t="s">
        <v>2138</v>
      </c>
      <c r="R783" s="89" t="s">
        <v>1891</v>
      </c>
      <c r="S783" s="89" t="s">
        <v>2139</v>
      </c>
      <c r="T783" s="89"/>
      <c r="U783" s="89" t="s">
        <v>1734</v>
      </c>
      <c r="V783" s="30" t="s">
        <v>437</v>
      </c>
      <c r="W783" s="89" t="s">
        <v>2140</v>
      </c>
      <c r="X783" s="89" t="s">
        <v>1757</v>
      </c>
      <c r="Y783" s="30" t="s">
        <v>576</v>
      </c>
      <c r="Z783" s="30" t="s">
        <v>576</v>
      </c>
      <c r="AA783" s="30" t="s">
        <v>129</v>
      </c>
      <c r="AB783" s="92" t="s">
        <v>1894</v>
      </c>
      <c r="AC783" s="30"/>
      <c r="AD783" s="30"/>
      <c r="AE783" s="30"/>
      <c r="AF783" s="30" t="s">
        <v>131</v>
      </c>
      <c r="AG783" s="30" t="s">
        <v>661</v>
      </c>
      <c r="AH783" s="30"/>
      <c r="AI783" s="30"/>
      <c r="AJ783" s="89"/>
      <c r="AK783" s="145">
        <v>38985</v>
      </c>
      <c r="AL783" s="51">
        <f t="shared" si="508"/>
        <v>19.112328767123287</v>
      </c>
      <c r="AM783" s="146">
        <v>8</v>
      </c>
      <c r="AN783" s="146"/>
      <c r="AO783" s="146" t="s">
        <v>2141</v>
      </c>
      <c r="AP783" s="146" t="s">
        <v>2142</v>
      </c>
      <c r="AQ783" s="146"/>
      <c r="AR783" s="30">
        <v>700</v>
      </c>
      <c r="AS783" s="30">
        <v>400</v>
      </c>
      <c r="AT783" s="30">
        <v>600</v>
      </c>
      <c r="AU783" s="147">
        <v>36000000</v>
      </c>
      <c r="AV783" s="147"/>
      <c r="AW783" s="147"/>
      <c r="AX783" s="147"/>
      <c r="AY783" s="147">
        <v>35999000</v>
      </c>
      <c r="AZ783" s="147">
        <v>0</v>
      </c>
      <c r="BA783" s="147">
        <v>1000</v>
      </c>
      <c r="BB783" s="55">
        <f>VLOOKUP(M783,[1]Sheet1!$E$6:$F$556,2,FALSE)</f>
        <v>1000</v>
      </c>
      <c r="BC783" s="148"/>
      <c r="BD783" s="148"/>
      <c r="BE783" s="146"/>
      <c r="BF783" s="30" t="s">
        <v>1745</v>
      </c>
      <c r="BG783" s="146" t="s">
        <v>1740</v>
      </c>
      <c r="BH783" s="30" t="s">
        <v>1054</v>
      </c>
      <c r="BI783" s="30" t="str">
        <f t="shared" si="538"/>
        <v>COF(Assy_FT)</v>
      </c>
      <c r="BJ783" s="47" t="s">
        <v>137</v>
      </c>
      <c r="BK783" s="56">
        <f t="shared" si="509"/>
        <v>720000</v>
      </c>
      <c r="BL783" s="57">
        <f t="shared" si="518"/>
        <v>68636.676859617437</v>
      </c>
      <c r="BM783" s="57">
        <f t="shared" si="519"/>
        <v>22878.892286539147</v>
      </c>
      <c r="BU783" s="58">
        <f t="shared" si="534"/>
        <v>68636.676859617437</v>
      </c>
      <c r="BV783" s="58">
        <f t="shared" si="515"/>
        <v>68636.676859617437</v>
      </c>
      <c r="BW783" s="58">
        <f t="shared" si="523"/>
        <v>137273.35371923487</v>
      </c>
      <c r="BX783" s="58">
        <f t="shared" si="521"/>
        <v>68636.676859617437</v>
      </c>
      <c r="BY783" s="58">
        <f t="shared" si="533"/>
        <v>68636.676859617437</v>
      </c>
      <c r="BZ783" s="58">
        <f t="shared" si="535"/>
        <v>68636.676859617437</v>
      </c>
      <c r="CA783" s="58">
        <f t="shared" si="526"/>
        <v>68636.676859617437</v>
      </c>
      <c r="CB783" s="58">
        <f t="shared" si="539"/>
        <v>274546.70743846975</v>
      </c>
      <c r="CC783" s="58">
        <f t="shared" si="540"/>
        <v>68636.676859617437</v>
      </c>
      <c r="CD783" s="58">
        <f t="shared" si="530"/>
        <v>68636.676859617437</v>
      </c>
      <c r="CE783" s="58">
        <f t="shared" si="530"/>
        <v>68636.676859617437</v>
      </c>
      <c r="CF783" s="58">
        <f t="shared" si="530"/>
        <v>68636.676859617437</v>
      </c>
      <c r="CG783" s="58">
        <f t="shared" si="541"/>
        <v>274546.70743846975</v>
      </c>
      <c r="CH783" s="58">
        <f t="shared" si="522"/>
        <v>68636.676859617437</v>
      </c>
      <c r="CI783" s="58">
        <f t="shared" si="528"/>
        <v>68636.676859617437</v>
      </c>
      <c r="CJ783" s="58">
        <f t="shared" si="528"/>
        <v>68636.676859617437</v>
      </c>
      <c r="CK783" s="58">
        <f t="shared" si="528"/>
        <v>68636.676859617437</v>
      </c>
      <c r="CL783" s="58">
        <f t="shared" si="524"/>
        <v>274546.70743846975</v>
      </c>
      <c r="CN783" s="59">
        <f>BK783/$CN$3</f>
        <v>7.0303507595607508E-5</v>
      </c>
      <c r="CO783" s="64">
        <f>CN783*$CO$4</f>
        <v>1476373.6595077578</v>
      </c>
      <c r="CP783" s="2">
        <f t="shared" si="542"/>
        <v>2196373.659507758</v>
      </c>
    </row>
    <row r="784" spans="1:94" ht="15" hidden="1" x14ac:dyDescent="0.3">
      <c r="A784" s="29">
        <v>779</v>
      </c>
      <c r="B784" s="30" t="s">
        <v>21</v>
      </c>
      <c r="C784" s="30"/>
      <c r="D784" s="30" t="s">
        <v>1725</v>
      </c>
      <c r="E784" s="30" t="s">
        <v>1042</v>
      </c>
      <c r="F784" s="30" t="s">
        <v>1043</v>
      </c>
      <c r="G784" s="30" t="s">
        <v>117</v>
      </c>
      <c r="H784" s="30"/>
      <c r="I784" s="30" t="s">
        <v>119</v>
      </c>
      <c r="J784" s="30" t="s">
        <v>1871</v>
      </c>
      <c r="K784" s="30" t="s">
        <v>1872</v>
      </c>
      <c r="L784" s="30" t="s">
        <v>1728</v>
      </c>
      <c r="M784" s="30">
        <v>1000784</v>
      </c>
      <c r="N784" s="30" t="s">
        <v>138</v>
      </c>
      <c r="O784" s="30" t="s">
        <v>2143</v>
      </c>
      <c r="P784" s="30"/>
      <c r="Q784" s="30" t="s">
        <v>2138</v>
      </c>
      <c r="R784" s="30" t="s">
        <v>1891</v>
      </c>
      <c r="S784" s="30" t="s">
        <v>2144</v>
      </c>
      <c r="T784" s="30"/>
      <c r="U784" s="30" t="s">
        <v>588</v>
      </c>
      <c r="V784" s="30" t="s">
        <v>437</v>
      </c>
      <c r="W784" s="30" t="s">
        <v>1152</v>
      </c>
      <c r="X784" s="89"/>
      <c r="Y784" s="30" t="s">
        <v>128</v>
      </c>
      <c r="Z784" s="30" t="s">
        <v>128</v>
      </c>
      <c r="AA784" s="30" t="s">
        <v>129</v>
      </c>
      <c r="AB784" s="92" t="s">
        <v>1894</v>
      </c>
      <c r="AC784" s="30"/>
      <c r="AD784" s="30"/>
      <c r="AE784" s="30"/>
      <c r="AF784" s="30" t="s">
        <v>131</v>
      </c>
      <c r="AG784" s="30" t="s">
        <v>661</v>
      </c>
      <c r="AH784" s="30"/>
      <c r="AI784" s="30"/>
      <c r="AJ784" s="30"/>
      <c r="AK784" s="50">
        <v>38985</v>
      </c>
      <c r="AL784" s="51">
        <f t="shared" si="508"/>
        <v>19.112328767123287</v>
      </c>
      <c r="AM784" s="30">
        <v>8</v>
      </c>
      <c r="AN784" s="30"/>
      <c r="AO784" s="30" t="s">
        <v>1050</v>
      </c>
      <c r="AP784" s="30" t="s">
        <v>1051</v>
      </c>
      <c r="AQ784" s="30"/>
      <c r="AR784" s="30">
        <v>700</v>
      </c>
      <c r="AS784" s="30">
        <v>400</v>
      </c>
      <c r="AT784" s="30">
        <v>600</v>
      </c>
      <c r="AU784" s="74">
        <v>36000000</v>
      </c>
      <c r="AV784" s="54"/>
      <c r="AW784" s="54"/>
      <c r="AX784" s="54"/>
      <c r="AY784" s="54">
        <v>35999000</v>
      </c>
      <c r="AZ784" s="54">
        <v>0</v>
      </c>
      <c r="BA784" s="74">
        <v>1000</v>
      </c>
      <c r="BB784" s="55">
        <f>VLOOKUP(M784,[1]Sheet1!$E$6:$F$556,2,FALSE)</f>
        <v>1000</v>
      </c>
      <c r="BC784" s="74"/>
      <c r="BD784" s="74"/>
      <c r="BE784" s="30"/>
      <c r="BF784" s="30" t="s">
        <v>1745</v>
      </c>
      <c r="BG784" s="30" t="s">
        <v>1740</v>
      </c>
      <c r="BH784" s="30" t="s">
        <v>1054</v>
      </c>
      <c r="BI784" s="30" t="str">
        <f t="shared" si="538"/>
        <v>COF(Assy_FT)</v>
      </c>
      <c r="BJ784" s="30" t="s">
        <v>250</v>
      </c>
      <c r="BK784" s="56">
        <f t="shared" si="509"/>
        <v>720000</v>
      </c>
      <c r="BL784" s="57">
        <f t="shared" si="518"/>
        <v>22500</v>
      </c>
      <c r="BM784" s="57">
        <f t="shared" si="519"/>
        <v>7500</v>
      </c>
      <c r="BU784" s="58">
        <f t="shared" si="534"/>
        <v>22500</v>
      </c>
      <c r="BV784" s="58">
        <f t="shared" si="515"/>
        <v>22500</v>
      </c>
      <c r="BW784" s="58">
        <f t="shared" si="523"/>
        <v>45000</v>
      </c>
      <c r="BX784" s="58">
        <f t="shared" si="521"/>
        <v>22500</v>
      </c>
      <c r="BY784" s="58">
        <f t="shared" si="533"/>
        <v>22500</v>
      </c>
      <c r="BZ784" s="58">
        <f t="shared" si="535"/>
        <v>22500</v>
      </c>
      <c r="CA784" s="58">
        <f t="shared" si="526"/>
        <v>22500</v>
      </c>
      <c r="CB784" s="58">
        <f t="shared" si="539"/>
        <v>90000</v>
      </c>
      <c r="CC784" s="58">
        <f t="shared" si="540"/>
        <v>22500</v>
      </c>
      <c r="CD784" s="58">
        <f t="shared" si="530"/>
        <v>22500</v>
      </c>
      <c r="CE784" s="58">
        <f t="shared" si="530"/>
        <v>22500</v>
      </c>
      <c r="CF784" s="58">
        <f t="shared" si="530"/>
        <v>22500</v>
      </c>
      <c r="CG784" s="58">
        <f t="shared" si="541"/>
        <v>90000</v>
      </c>
      <c r="CH784" s="58">
        <f t="shared" si="522"/>
        <v>22500</v>
      </c>
      <c r="CI784" s="58">
        <f t="shared" si="528"/>
        <v>22500</v>
      </c>
      <c r="CJ784" s="58">
        <f t="shared" si="528"/>
        <v>22500</v>
      </c>
      <c r="CK784" s="58">
        <f t="shared" si="528"/>
        <v>22500</v>
      </c>
      <c r="CL784" s="58">
        <f t="shared" si="524"/>
        <v>90000</v>
      </c>
      <c r="CP784" s="2">
        <f t="shared" si="542"/>
        <v>720000</v>
      </c>
    </row>
    <row r="785" spans="1:94" ht="15" hidden="1" x14ac:dyDescent="0.3">
      <c r="A785" s="29">
        <v>780</v>
      </c>
      <c r="B785" s="30" t="s">
        <v>21</v>
      </c>
      <c r="C785" s="30"/>
      <c r="D785" s="30" t="s">
        <v>1725</v>
      </c>
      <c r="E785" s="30" t="s">
        <v>1042</v>
      </c>
      <c r="F785" s="30" t="s">
        <v>1043</v>
      </c>
      <c r="G785" s="30" t="s">
        <v>117</v>
      </c>
      <c r="H785" s="30"/>
      <c r="I785" s="30" t="s">
        <v>119</v>
      </c>
      <c r="J785" s="30" t="s">
        <v>1871</v>
      </c>
      <c r="K785" s="30" t="s">
        <v>1872</v>
      </c>
      <c r="L785" s="30" t="s">
        <v>1728</v>
      </c>
      <c r="M785" s="30">
        <v>1000359</v>
      </c>
      <c r="N785" s="30" t="s">
        <v>138</v>
      </c>
      <c r="O785" s="30" t="s">
        <v>2145</v>
      </c>
      <c r="P785" s="30"/>
      <c r="Q785" s="30" t="s">
        <v>2138</v>
      </c>
      <c r="R785" s="30" t="s">
        <v>1891</v>
      </c>
      <c r="S785" s="30" t="s">
        <v>2146</v>
      </c>
      <c r="T785" s="30"/>
      <c r="U785" s="30" t="s">
        <v>588</v>
      </c>
      <c r="V785" s="30" t="s">
        <v>589</v>
      </c>
      <c r="W785" s="30" t="s">
        <v>2147</v>
      </c>
      <c r="X785" s="89"/>
      <c r="Y785" s="30" t="s">
        <v>457</v>
      </c>
      <c r="Z785" s="30" t="s">
        <v>457</v>
      </c>
      <c r="AA785" s="30" t="s">
        <v>129</v>
      </c>
      <c r="AB785" s="92" t="s">
        <v>1894</v>
      </c>
      <c r="AC785" s="30"/>
      <c r="AD785" s="30"/>
      <c r="AE785" s="30"/>
      <c r="AF785" s="30" t="s">
        <v>131</v>
      </c>
      <c r="AG785" s="30" t="s">
        <v>661</v>
      </c>
      <c r="AH785" s="30"/>
      <c r="AI785" s="30"/>
      <c r="AJ785" s="30"/>
      <c r="AK785" s="50">
        <v>38532</v>
      </c>
      <c r="AL785" s="51">
        <f>($AL$1-AK785)/365</f>
        <v>20.353424657534248</v>
      </c>
      <c r="AM785" s="30">
        <v>8</v>
      </c>
      <c r="AN785" s="30"/>
      <c r="AO785" s="30" t="s">
        <v>1050</v>
      </c>
      <c r="AP785" s="30" t="s">
        <v>1051</v>
      </c>
      <c r="AQ785" s="30"/>
      <c r="AR785" s="30">
        <v>700</v>
      </c>
      <c r="AS785" s="30">
        <v>400</v>
      </c>
      <c r="AT785" s="30">
        <v>600</v>
      </c>
      <c r="AU785" s="74">
        <v>37400000</v>
      </c>
      <c r="AV785" s="54"/>
      <c r="AW785" s="54"/>
      <c r="AX785" s="54"/>
      <c r="AY785" s="54">
        <v>37399000</v>
      </c>
      <c r="AZ785" s="54">
        <v>0</v>
      </c>
      <c r="BA785" s="74">
        <v>1000</v>
      </c>
      <c r="BB785" s="55">
        <f>VLOOKUP(M785,[1]Sheet1!$E$6:$F$556,2,FALSE)</f>
        <v>1000</v>
      </c>
      <c r="BC785" s="74"/>
      <c r="BD785" s="74"/>
      <c r="BE785" s="30"/>
      <c r="BF785" s="30" t="s">
        <v>1745</v>
      </c>
      <c r="BG785" s="30" t="s">
        <v>1740</v>
      </c>
      <c r="BH785" s="30" t="s">
        <v>1054</v>
      </c>
      <c r="BI785" s="30" t="str">
        <f t="shared" si="538"/>
        <v>COF(Assy_FT)</v>
      </c>
      <c r="BJ785" s="30" t="s">
        <v>250</v>
      </c>
      <c r="BK785" s="56">
        <f>IF(OR(BA785=1000, BA785=0), AU785*$BQ$1, BA785*(1+$BL$2))</f>
        <v>748000</v>
      </c>
      <c r="BL785" s="57">
        <f t="shared" si="518"/>
        <v>23375</v>
      </c>
      <c r="BM785" s="57">
        <f t="shared" si="519"/>
        <v>7791.666666666667</v>
      </c>
      <c r="BU785" s="58">
        <f t="shared" si="534"/>
        <v>23375</v>
      </c>
      <c r="BV785" s="58">
        <f t="shared" si="515"/>
        <v>23375</v>
      </c>
      <c r="BW785" s="58">
        <f t="shared" si="523"/>
        <v>46750</v>
      </c>
      <c r="BX785" s="58">
        <f t="shared" si="521"/>
        <v>23375</v>
      </c>
      <c r="BY785" s="58">
        <f t="shared" si="533"/>
        <v>23375</v>
      </c>
      <c r="BZ785" s="58">
        <f t="shared" si="535"/>
        <v>23375</v>
      </c>
      <c r="CA785" s="58">
        <f t="shared" si="526"/>
        <v>23375</v>
      </c>
      <c r="CB785" s="58">
        <f t="shared" si="539"/>
        <v>93500</v>
      </c>
      <c r="CC785" s="58">
        <f t="shared" si="540"/>
        <v>23375</v>
      </c>
      <c r="CD785" s="58">
        <f t="shared" si="530"/>
        <v>23375</v>
      </c>
      <c r="CE785" s="58">
        <f t="shared" si="530"/>
        <v>23375</v>
      </c>
      <c r="CF785" s="58">
        <f t="shared" si="530"/>
        <v>23375</v>
      </c>
      <c r="CG785" s="58">
        <f t="shared" si="541"/>
        <v>93500</v>
      </c>
      <c r="CH785" s="58">
        <f t="shared" si="522"/>
        <v>23375</v>
      </c>
      <c r="CI785" s="58">
        <f t="shared" si="528"/>
        <v>23375</v>
      </c>
      <c r="CJ785" s="58">
        <f t="shared" si="528"/>
        <v>23375</v>
      </c>
      <c r="CK785" s="58">
        <f t="shared" si="528"/>
        <v>23375</v>
      </c>
      <c r="CL785" s="58">
        <f t="shared" si="524"/>
        <v>93500</v>
      </c>
      <c r="CP785" s="2">
        <f t="shared" si="542"/>
        <v>748000</v>
      </c>
    </row>
    <row r="786" spans="1:94" hidden="1" x14ac:dyDescent="0.3">
      <c r="A786" s="29">
        <v>781</v>
      </c>
      <c r="B786" s="30" t="s">
        <v>21</v>
      </c>
      <c r="C786" s="30"/>
      <c r="D786" s="30" t="s">
        <v>1725</v>
      </c>
      <c r="E786" s="30" t="s">
        <v>1042</v>
      </c>
      <c r="F786" s="30" t="s">
        <v>1043</v>
      </c>
      <c r="G786" s="30" t="s">
        <v>117</v>
      </c>
      <c r="H786" s="30"/>
      <c r="I786" s="30" t="s">
        <v>119</v>
      </c>
      <c r="J786" s="30" t="s">
        <v>120</v>
      </c>
      <c r="K786" s="30" t="s">
        <v>121</v>
      </c>
      <c r="L786" s="30" t="s">
        <v>1741</v>
      </c>
      <c r="M786" s="30">
        <v>1003923</v>
      </c>
      <c r="N786" s="30" t="s">
        <v>138</v>
      </c>
      <c r="O786" s="30" t="s">
        <v>2148</v>
      </c>
      <c r="P786" s="30" t="s">
        <v>453</v>
      </c>
      <c r="Q786" s="30" t="s">
        <v>453</v>
      </c>
      <c r="R786" s="30" t="s">
        <v>173</v>
      </c>
      <c r="S786" s="30" t="s">
        <v>2149</v>
      </c>
      <c r="T786" s="30"/>
      <c r="U786" s="30" t="s">
        <v>588</v>
      </c>
      <c r="V786" s="30" t="s">
        <v>415</v>
      </c>
      <c r="W786" s="30" t="s">
        <v>456</v>
      </c>
      <c r="X786" s="89"/>
      <c r="Y786" s="30" t="s">
        <v>576</v>
      </c>
      <c r="Z786" s="30" t="s">
        <v>576</v>
      </c>
      <c r="AA786" s="20" t="s">
        <v>148</v>
      </c>
      <c r="AB786" s="72" t="s">
        <v>177</v>
      </c>
      <c r="AC786" s="48" t="s">
        <v>150</v>
      </c>
      <c r="AD786" s="30"/>
      <c r="AE786" s="30"/>
      <c r="AF786" s="48" t="s">
        <v>179</v>
      </c>
      <c r="AG786" s="30" t="s">
        <v>152</v>
      </c>
      <c r="AH786" s="30"/>
      <c r="AI786" s="30"/>
      <c r="AJ786" s="30"/>
      <c r="AK786" s="50">
        <v>41467</v>
      </c>
      <c r="AL786" s="51">
        <f>($AL$1-AK786)/365</f>
        <v>12.312328767123288</v>
      </c>
      <c r="AM786" s="30">
        <v>8</v>
      </c>
      <c r="AN786" s="30"/>
      <c r="AO786" s="30" t="s">
        <v>1050</v>
      </c>
      <c r="AP786" s="30" t="s">
        <v>1051</v>
      </c>
      <c r="AQ786" s="30">
        <v>0.66</v>
      </c>
      <c r="AR786" s="30">
        <v>1487</v>
      </c>
      <c r="AS786" s="30">
        <v>1622</v>
      </c>
      <c r="AT786" s="30">
        <v>1423</v>
      </c>
      <c r="AU786" s="74">
        <v>159285453</v>
      </c>
      <c r="AV786" s="54"/>
      <c r="AW786" s="54"/>
      <c r="AX786" s="54"/>
      <c r="AY786" s="54">
        <v>159284453</v>
      </c>
      <c r="AZ786" s="54">
        <v>0</v>
      </c>
      <c r="BA786" s="74">
        <v>1000</v>
      </c>
      <c r="BB786" s="55">
        <f>VLOOKUP(M786,[1]Sheet1!$E$6:$F$556,2,FALSE)</f>
        <v>1000</v>
      </c>
      <c r="BC786" s="74"/>
      <c r="BD786" s="74"/>
      <c r="BE786" s="30"/>
      <c r="BF786" s="30" t="s">
        <v>1745</v>
      </c>
      <c r="BG786" s="30" t="s">
        <v>2150</v>
      </c>
      <c r="BH786" s="30" t="s">
        <v>136</v>
      </c>
      <c r="BI786" s="30" t="str">
        <f t="shared" si="538"/>
        <v>Test</v>
      </c>
      <c r="BJ786" s="30" t="s">
        <v>250</v>
      </c>
      <c r="BK786" s="56">
        <f>IF(OR(BA786=1000, BA786=0), AU786*$BQ$1, BA786*(1+$BL$2))</f>
        <v>3185709.06</v>
      </c>
      <c r="BL786" s="57">
        <f t="shared" si="518"/>
        <v>99553.408125000002</v>
      </c>
      <c r="BM786" s="57">
        <f t="shared" si="519"/>
        <v>33184.469375000001</v>
      </c>
      <c r="BU786" s="58">
        <f t="shared" si="534"/>
        <v>99553.408125000002</v>
      </c>
      <c r="BV786" s="58">
        <f t="shared" si="515"/>
        <v>99553.408125000002</v>
      </c>
      <c r="BW786" s="58">
        <f t="shared" si="523"/>
        <v>199106.81625</v>
      </c>
      <c r="BX786" s="58">
        <f t="shared" si="521"/>
        <v>99553.408125000002</v>
      </c>
      <c r="BY786" s="58">
        <f t="shared" si="533"/>
        <v>99553.408125000002</v>
      </c>
      <c r="BZ786" s="58">
        <f t="shared" si="535"/>
        <v>99553.408125000002</v>
      </c>
      <c r="CA786" s="58">
        <f t="shared" si="526"/>
        <v>99553.408125000002</v>
      </c>
      <c r="CB786" s="58">
        <f t="shared" si="539"/>
        <v>398213.63250000001</v>
      </c>
      <c r="CC786" s="58">
        <f t="shared" si="540"/>
        <v>99553.408125000002</v>
      </c>
      <c r="CD786" s="58">
        <f t="shared" si="530"/>
        <v>99553.408125000002</v>
      </c>
      <c r="CE786" s="58">
        <f t="shared" si="530"/>
        <v>99553.408125000002</v>
      </c>
      <c r="CF786" s="58">
        <f t="shared" si="530"/>
        <v>99553.408125000002</v>
      </c>
      <c r="CG786" s="58">
        <f t="shared" si="541"/>
        <v>398213.63250000001</v>
      </c>
      <c r="CH786" s="58">
        <f t="shared" si="522"/>
        <v>99553.408125000002</v>
      </c>
      <c r="CI786" s="58">
        <f t="shared" si="528"/>
        <v>99553.408125000002</v>
      </c>
      <c r="CJ786" s="58">
        <f t="shared" si="528"/>
        <v>99553.408125000002</v>
      </c>
      <c r="CK786" s="58">
        <f t="shared" si="528"/>
        <v>99553.408125000002</v>
      </c>
      <c r="CL786" s="58">
        <f t="shared" si="524"/>
        <v>398213.63250000001</v>
      </c>
      <c r="CP786" s="2">
        <f t="shared" si="542"/>
        <v>3185709.06</v>
      </c>
    </row>
    <row r="787" spans="1:94" hidden="1" x14ac:dyDescent="0.3">
      <c r="A787" s="29">
        <v>782</v>
      </c>
      <c r="B787" s="30" t="s">
        <v>21</v>
      </c>
      <c r="C787" s="30"/>
      <c r="D787" s="30" t="s">
        <v>1725</v>
      </c>
      <c r="E787" s="30" t="s">
        <v>1042</v>
      </c>
      <c r="F787" s="30" t="s">
        <v>1043</v>
      </c>
      <c r="G787" s="30" t="s">
        <v>117</v>
      </c>
      <c r="H787" s="30"/>
      <c r="I787" s="30" t="s">
        <v>119</v>
      </c>
      <c r="J787" s="30" t="s">
        <v>120</v>
      </c>
      <c r="K787" s="30" t="s">
        <v>121</v>
      </c>
      <c r="L787" s="30" t="s">
        <v>1741</v>
      </c>
      <c r="M787" s="30">
        <v>1006663</v>
      </c>
      <c r="N787" s="30" t="s">
        <v>138</v>
      </c>
      <c r="O787" s="30" t="s">
        <v>2151</v>
      </c>
      <c r="P787" s="30" t="s">
        <v>453</v>
      </c>
      <c r="Q787" s="30" t="s">
        <v>453</v>
      </c>
      <c r="R787" s="30" t="s">
        <v>173</v>
      </c>
      <c r="S787" s="30" t="s">
        <v>2152</v>
      </c>
      <c r="T787" s="30" t="s">
        <v>1780</v>
      </c>
      <c r="U787" s="30" t="s">
        <v>588</v>
      </c>
      <c r="V787" s="30" t="s">
        <v>600</v>
      </c>
      <c r="W787" s="30" t="s">
        <v>456</v>
      </c>
      <c r="X787" s="89"/>
      <c r="Y787" s="30" t="s">
        <v>576</v>
      </c>
      <c r="Z787" s="30" t="s">
        <v>576</v>
      </c>
      <c r="AA787" s="20" t="s">
        <v>148</v>
      </c>
      <c r="AB787" s="72" t="s">
        <v>177</v>
      </c>
      <c r="AC787" s="48" t="s">
        <v>150</v>
      </c>
      <c r="AD787" s="30"/>
      <c r="AE787" s="30"/>
      <c r="AF787" s="48" t="s">
        <v>179</v>
      </c>
      <c r="AG787" s="30" t="s">
        <v>152</v>
      </c>
      <c r="AH787" s="30"/>
      <c r="AI787" s="30"/>
      <c r="AJ787" s="30"/>
      <c r="AK787" s="50">
        <v>44446</v>
      </c>
      <c r="AL787" s="51">
        <f>($AL$1-AK787)/365</f>
        <v>4.1506849315068495</v>
      </c>
      <c r="AM787" s="30">
        <v>8</v>
      </c>
      <c r="AN787" s="30"/>
      <c r="AO787" s="30" t="s">
        <v>1050</v>
      </c>
      <c r="AP787" s="30" t="s">
        <v>1187</v>
      </c>
      <c r="AQ787" s="30">
        <v>0.66</v>
      </c>
      <c r="AR787" s="30">
        <v>1487</v>
      </c>
      <c r="AS787" s="30">
        <v>1622</v>
      </c>
      <c r="AT787" s="30">
        <v>1423</v>
      </c>
      <c r="AU787" s="74">
        <v>286281563</v>
      </c>
      <c r="AV787" s="54"/>
      <c r="AW787" s="54"/>
      <c r="AX787" s="54"/>
      <c r="AY787" s="54">
        <v>107658695</v>
      </c>
      <c r="AZ787" s="54">
        <v>2982100</v>
      </c>
      <c r="BA787" s="74">
        <v>169676568</v>
      </c>
      <c r="BB787" s="55">
        <f>VLOOKUP(M787,[1]Sheet1!$E$6:$F$556,2,FALSE)</f>
        <v>150000837</v>
      </c>
      <c r="BC787" s="74"/>
      <c r="BD787" s="74"/>
      <c r="BE787" s="30"/>
      <c r="BF787" s="30" t="s">
        <v>1739</v>
      </c>
      <c r="BG787" s="30" t="s">
        <v>2150</v>
      </c>
      <c r="BH787" s="30" t="s">
        <v>136</v>
      </c>
      <c r="BI787" s="30" t="str">
        <f t="shared" si="538"/>
        <v>Test</v>
      </c>
      <c r="BJ787" s="30" t="s">
        <v>250</v>
      </c>
      <c r="BK787" s="56">
        <f>IF(OR(BA787=1000, BA787=0), AU787*$BQ$1, BA787*(1+$BL$2))</f>
        <v>178160396.40000001</v>
      </c>
      <c r="BL787" s="57">
        <f t="shared" si="518"/>
        <v>5567512.3875000002</v>
      </c>
      <c r="BM787" s="57">
        <f t="shared" si="519"/>
        <v>1855837.4625000001</v>
      </c>
      <c r="BU787" s="58">
        <f t="shared" si="534"/>
        <v>5567512.3875000002</v>
      </c>
      <c r="BV787" s="58">
        <f t="shared" si="515"/>
        <v>5567512.3875000002</v>
      </c>
      <c r="BW787" s="58">
        <f t="shared" si="523"/>
        <v>11135024.775</v>
      </c>
      <c r="BX787" s="58">
        <f t="shared" si="521"/>
        <v>5567512.3875000002</v>
      </c>
      <c r="BY787" s="58">
        <f t="shared" si="533"/>
        <v>5567512.3875000002</v>
      </c>
      <c r="BZ787" s="58">
        <f t="shared" si="535"/>
        <v>5567512.3875000002</v>
      </c>
      <c r="CA787" s="58">
        <f t="shared" si="526"/>
        <v>5567512.3875000002</v>
      </c>
      <c r="CB787" s="58">
        <f t="shared" si="539"/>
        <v>22270049.550000001</v>
      </c>
      <c r="CC787" s="58">
        <f t="shared" si="540"/>
        <v>5567512.3875000002</v>
      </c>
      <c r="CD787" s="58">
        <f t="shared" si="530"/>
        <v>5567512.3875000002</v>
      </c>
      <c r="CE787" s="58">
        <f t="shared" si="530"/>
        <v>5567512.3875000002</v>
      </c>
      <c r="CF787" s="58">
        <f t="shared" si="530"/>
        <v>5567512.3875000002</v>
      </c>
      <c r="CG787" s="58">
        <f t="shared" si="541"/>
        <v>22270049.550000001</v>
      </c>
      <c r="CH787" s="58">
        <f t="shared" si="522"/>
        <v>5567512.3875000002</v>
      </c>
      <c r="CI787" s="58">
        <f t="shared" si="528"/>
        <v>5567512.3875000002</v>
      </c>
      <c r="CJ787" s="58">
        <f t="shared" si="528"/>
        <v>5567512.3875000002</v>
      </c>
      <c r="CK787" s="58">
        <f t="shared" si="528"/>
        <v>5567512.3875000002</v>
      </c>
      <c r="CL787" s="58">
        <f t="shared" si="524"/>
        <v>22270049.550000001</v>
      </c>
      <c r="CP787" s="2">
        <f t="shared" si="542"/>
        <v>178160396.40000001</v>
      </c>
    </row>
    <row r="788" spans="1:94" ht="16.5" hidden="1" x14ac:dyDescent="0.3">
      <c r="A788" s="2">
        <v>783</v>
      </c>
      <c r="B788" s="47" t="s">
        <v>21</v>
      </c>
      <c r="C788" s="47"/>
      <c r="D788" s="30" t="s">
        <v>1725</v>
      </c>
      <c r="E788" s="89" t="s">
        <v>1726</v>
      </c>
      <c r="F788" s="30" t="s">
        <v>1043</v>
      </c>
      <c r="G788" s="30" t="s">
        <v>117</v>
      </c>
      <c r="H788" s="30" t="s">
        <v>1058</v>
      </c>
      <c r="I788" s="30" t="s">
        <v>119</v>
      </c>
      <c r="J788" s="30" t="s">
        <v>120</v>
      </c>
      <c r="K788" s="30" t="s">
        <v>121</v>
      </c>
      <c r="L788" s="30" t="s">
        <v>1741</v>
      </c>
      <c r="M788" s="89">
        <v>1004482</v>
      </c>
      <c r="N788" s="30" t="s">
        <v>138</v>
      </c>
      <c r="O788" s="89" t="s">
        <v>2153</v>
      </c>
      <c r="P788" s="89" t="s">
        <v>474</v>
      </c>
      <c r="Q788" s="89" t="s">
        <v>474</v>
      </c>
      <c r="R788" s="85" t="s">
        <v>173</v>
      </c>
      <c r="S788" s="89"/>
      <c r="T788" s="89"/>
      <c r="U788" s="89" t="s">
        <v>2154</v>
      </c>
      <c r="V788" s="89" t="s">
        <v>2155</v>
      </c>
      <c r="W788" s="48" t="s">
        <v>476</v>
      </c>
      <c r="X788" s="89" t="s">
        <v>1757</v>
      </c>
      <c r="Y788" s="30" t="s">
        <v>576</v>
      </c>
      <c r="Z788" s="30" t="s">
        <v>576</v>
      </c>
      <c r="AA788" s="20" t="s">
        <v>148</v>
      </c>
      <c r="AB788" s="72" t="s">
        <v>177</v>
      </c>
      <c r="AC788" s="48" t="s">
        <v>150</v>
      </c>
      <c r="AD788" s="30"/>
      <c r="AE788" s="30"/>
      <c r="AF788" s="48" t="s">
        <v>179</v>
      </c>
      <c r="AG788" s="48" t="s">
        <v>152</v>
      </c>
      <c r="AH788" s="48" t="s">
        <v>458</v>
      </c>
      <c r="AI788" s="30"/>
      <c r="AJ788" s="89"/>
      <c r="AK788" s="144">
        <v>41957</v>
      </c>
      <c r="AL788" s="51">
        <f>($AL$1-AK788)/365</f>
        <v>10.96986301369863</v>
      </c>
      <c r="AM788" s="89">
        <v>8</v>
      </c>
      <c r="AN788" s="89"/>
      <c r="AO788" s="89" t="s">
        <v>1737</v>
      </c>
      <c r="AP788" s="89" t="s">
        <v>2156</v>
      </c>
      <c r="AQ788" s="89"/>
      <c r="AR788" s="89"/>
      <c r="AS788" s="89"/>
      <c r="AT788" s="89"/>
      <c r="AU788" s="110">
        <v>89950000</v>
      </c>
      <c r="AV788" s="110"/>
      <c r="AW788" s="110"/>
      <c r="AX788" s="110"/>
      <c r="AY788" s="110">
        <v>89949000</v>
      </c>
      <c r="AZ788" s="110">
        <v>0</v>
      </c>
      <c r="BA788" s="110">
        <v>1000</v>
      </c>
      <c r="BB788" s="55">
        <f>VLOOKUP(M788,[1]Sheet1!$E$6:$F$556,2,FALSE)</f>
        <v>1000</v>
      </c>
      <c r="BC788" s="121"/>
      <c r="BD788" s="121"/>
      <c r="BE788" s="89"/>
      <c r="BF788" s="30" t="s">
        <v>1745</v>
      </c>
      <c r="BG788" s="89" t="s">
        <v>2150</v>
      </c>
      <c r="BH788" s="30" t="s">
        <v>136</v>
      </c>
      <c r="BI788" s="30" t="str">
        <f t="shared" si="538"/>
        <v>Test</v>
      </c>
      <c r="BJ788" s="47" t="s">
        <v>137</v>
      </c>
      <c r="BK788" s="56">
        <f>IF(OR(BA788=1000, BA788=0), AU788*$BQ$1, BA788*(1+$BL$2))</f>
        <v>1799000</v>
      </c>
      <c r="BL788" s="57">
        <f t="shared" si="518"/>
        <v>171496.36343118298</v>
      </c>
      <c r="BM788" s="57">
        <f t="shared" si="519"/>
        <v>57165.454477060994</v>
      </c>
      <c r="BU788" s="58">
        <f t="shared" si="534"/>
        <v>171496.36343118298</v>
      </c>
      <c r="BV788" s="58">
        <f t="shared" si="515"/>
        <v>171496.36343118298</v>
      </c>
      <c r="BW788" s="58">
        <f t="shared" si="523"/>
        <v>342992.72686236596</v>
      </c>
      <c r="BX788" s="58">
        <f t="shared" si="521"/>
        <v>171496.36343118298</v>
      </c>
      <c r="BY788" s="58">
        <f t="shared" si="533"/>
        <v>171496.36343118298</v>
      </c>
      <c r="BZ788" s="58">
        <f t="shared" si="535"/>
        <v>171496.36343118298</v>
      </c>
      <c r="CA788" s="58">
        <f t="shared" si="526"/>
        <v>171496.36343118298</v>
      </c>
      <c r="CB788" s="58">
        <f t="shared" si="539"/>
        <v>685985.45372473192</v>
      </c>
      <c r="CC788" s="58">
        <f t="shared" si="540"/>
        <v>171496.36343118298</v>
      </c>
      <c r="CD788" s="58">
        <f t="shared" si="530"/>
        <v>171496.36343118298</v>
      </c>
      <c r="CE788" s="58">
        <f t="shared" si="530"/>
        <v>171496.36343118298</v>
      </c>
      <c r="CF788" s="58">
        <f t="shared" si="530"/>
        <v>171496.36343118298</v>
      </c>
      <c r="CG788" s="58">
        <f t="shared" si="541"/>
        <v>685985.45372473192</v>
      </c>
      <c r="CH788" s="58">
        <f t="shared" si="522"/>
        <v>171496.36343118298</v>
      </c>
      <c r="CI788" s="58">
        <f t="shared" si="528"/>
        <v>171496.36343118298</v>
      </c>
      <c r="CJ788" s="58">
        <f t="shared" si="528"/>
        <v>171496.36343118298</v>
      </c>
      <c r="CK788" s="58">
        <f t="shared" si="528"/>
        <v>171496.36343118298</v>
      </c>
      <c r="CL788" s="58">
        <f t="shared" si="524"/>
        <v>685985.45372473192</v>
      </c>
      <c r="CN788" s="59">
        <f>BK788/$CN$3</f>
        <v>1.7566112522846933E-4</v>
      </c>
      <c r="CO788" s="64">
        <f>CN788*$CO$4</f>
        <v>3688883.6297978559</v>
      </c>
      <c r="CP788" s="2">
        <f t="shared" si="542"/>
        <v>5487883.6297978554</v>
      </c>
    </row>
    <row r="789" spans="1:94" hidden="1" x14ac:dyDescent="0.3">
      <c r="A789" s="29">
        <v>784</v>
      </c>
      <c r="B789" s="30" t="s">
        <v>21</v>
      </c>
      <c r="C789" s="30"/>
      <c r="D789" s="30" t="s">
        <v>1725</v>
      </c>
      <c r="E789" s="30" t="s">
        <v>1042</v>
      </c>
      <c r="F789" s="30" t="s">
        <v>1043</v>
      </c>
      <c r="G789" s="30" t="s">
        <v>117</v>
      </c>
      <c r="H789" s="30"/>
      <c r="I789" s="30" t="s">
        <v>119</v>
      </c>
      <c r="J789" s="30" t="s">
        <v>120</v>
      </c>
      <c r="K789" s="30" t="s">
        <v>121</v>
      </c>
      <c r="L789" s="30" t="s">
        <v>1741</v>
      </c>
      <c r="M789" s="30">
        <v>1006664</v>
      </c>
      <c r="N789" s="30" t="s">
        <v>138</v>
      </c>
      <c r="O789" s="30" t="s">
        <v>2157</v>
      </c>
      <c r="P789" s="30" t="s">
        <v>453</v>
      </c>
      <c r="Q789" s="30" t="s">
        <v>453</v>
      </c>
      <c r="R789" s="30" t="s">
        <v>173</v>
      </c>
      <c r="S789" s="30" t="s">
        <v>2158</v>
      </c>
      <c r="T789" s="30" t="s">
        <v>1780</v>
      </c>
      <c r="U789" s="30" t="s">
        <v>588</v>
      </c>
      <c r="V789" s="30" t="s">
        <v>600</v>
      </c>
      <c r="W789" s="30" t="s">
        <v>456</v>
      </c>
      <c r="X789" s="89"/>
      <c r="Y789" s="30" t="s">
        <v>576</v>
      </c>
      <c r="Z789" s="30" t="s">
        <v>576</v>
      </c>
      <c r="AA789" s="20" t="s">
        <v>148</v>
      </c>
      <c r="AB789" s="72" t="s">
        <v>177</v>
      </c>
      <c r="AC789" s="48" t="s">
        <v>150</v>
      </c>
      <c r="AD789" s="30"/>
      <c r="AE789" s="30"/>
      <c r="AF789" s="48" t="s">
        <v>179</v>
      </c>
      <c r="AG789" s="30" t="s">
        <v>152</v>
      </c>
      <c r="AH789" s="30"/>
      <c r="AI789" s="30"/>
      <c r="AJ789" s="30"/>
      <c r="AK789" s="50">
        <v>44446</v>
      </c>
      <c r="AL789" s="51">
        <f>($AL$1-AK789)/365</f>
        <v>4.1506849315068495</v>
      </c>
      <c r="AM789" s="30">
        <v>8</v>
      </c>
      <c r="AN789" s="30"/>
      <c r="AO789" s="30" t="s">
        <v>1050</v>
      </c>
      <c r="AP789" s="30" t="s">
        <v>1187</v>
      </c>
      <c r="AQ789" s="30">
        <v>0.66</v>
      </c>
      <c r="AR789" s="30">
        <v>1487</v>
      </c>
      <c r="AS789" s="30">
        <v>1622</v>
      </c>
      <c r="AT789" s="30">
        <v>1423</v>
      </c>
      <c r="AU789" s="74">
        <v>204768203</v>
      </c>
      <c r="AV789" s="54"/>
      <c r="AW789" s="54"/>
      <c r="AX789" s="54"/>
      <c r="AY789" s="54">
        <v>89959429</v>
      </c>
      <c r="AZ789" s="54">
        <v>2133002</v>
      </c>
      <c r="BA789" s="74">
        <v>108409768</v>
      </c>
      <c r="BB789" s="55">
        <f>VLOOKUP(M789,[1]Sheet1!$E$6:$F$556,2,FALSE)</f>
        <v>95421327</v>
      </c>
      <c r="BC789" s="74"/>
      <c r="BD789" s="74"/>
      <c r="BE789" s="30"/>
      <c r="BF789" s="30" t="s">
        <v>1739</v>
      </c>
      <c r="BG789" s="30" t="s">
        <v>2150</v>
      </c>
      <c r="BH789" s="30" t="s">
        <v>136</v>
      </c>
      <c r="BI789" s="30" t="str">
        <f t="shared" si="538"/>
        <v>Test</v>
      </c>
      <c r="BJ789" s="30" t="s">
        <v>250</v>
      </c>
      <c r="BK789" s="56">
        <f>IF(OR(BA789=1000, BA789=0), AU789*$BQ$1, BA789*(1+$BL$2))</f>
        <v>113830256.40000001</v>
      </c>
      <c r="BL789" s="57">
        <f t="shared" si="518"/>
        <v>0</v>
      </c>
      <c r="BM789" s="57">
        <f t="shared" si="519"/>
        <v>0</v>
      </c>
      <c r="BU789" s="58">
        <f t="shared" si="534"/>
        <v>0</v>
      </c>
      <c r="BV789" s="58">
        <f t="shared" si="515"/>
        <v>0</v>
      </c>
      <c r="BW789" s="58">
        <f t="shared" si="523"/>
        <v>0</v>
      </c>
      <c r="BX789" s="58">
        <f t="shared" si="521"/>
        <v>0</v>
      </c>
      <c r="BY789" s="58">
        <f t="shared" si="533"/>
        <v>0</v>
      </c>
      <c r="BZ789" s="58">
        <f t="shared" si="535"/>
        <v>0</v>
      </c>
      <c r="CA789" s="58">
        <f t="shared" si="526"/>
        <v>0</v>
      </c>
      <c r="CB789" s="58">
        <f t="shared" si="539"/>
        <v>0</v>
      </c>
      <c r="CC789" s="58">
        <f t="shared" si="540"/>
        <v>0</v>
      </c>
      <c r="CD789" s="58">
        <f>CC789</f>
        <v>0</v>
      </c>
      <c r="CE789" s="58">
        <f>CD789</f>
        <v>0</v>
      </c>
      <c r="CF789" s="58">
        <f>CE789</f>
        <v>0</v>
      </c>
      <c r="CG789" s="58">
        <f t="shared" si="541"/>
        <v>0</v>
      </c>
      <c r="CH789" s="58">
        <f t="shared" si="522"/>
        <v>0</v>
      </c>
      <c r="CI789" s="58">
        <f>CH789</f>
        <v>0</v>
      </c>
      <c r="CJ789" s="58">
        <f>CI789</f>
        <v>0</v>
      </c>
      <c r="CK789" s="58">
        <f>CJ789</f>
        <v>0</v>
      </c>
      <c r="CL789" s="58">
        <f t="shared" si="524"/>
        <v>0</v>
      </c>
    </row>
    <row r="790" spans="1:94" ht="16.5" hidden="1" x14ac:dyDescent="0.3">
      <c r="A790" s="2">
        <v>785</v>
      </c>
      <c r="B790" s="47" t="s">
        <v>963</v>
      </c>
      <c r="C790" s="149"/>
      <c r="D790" s="149"/>
      <c r="E790" s="149"/>
      <c r="F790" s="149"/>
      <c r="G790" s="149"/>
      <c r="H790" s="149"/>
      <c r="I790" s="149"/>
      <c r="J790" s="149"/>
      <c r="K790" s="150" t="s">
        <v>2159</v>
      </c>
      <c r="L790" s="149"/>
      <c r="M790" s="149"/>
      <c r="N790" s="149"/>
      <c r="O790" s="151" t="s">
        <v>2160</v>
      </c>
      <c r="P790" s="152"/>
      <c r="Q790" s="152"/>
      <c r="R790" s="152"/>
      <c r="S790" s="153"/>
      <c r="T790" s="149"/>
      <c r="U790" s="149"/>
      <c r="V790" s="149"/>
      <c r="W790" s="149"/>
      <c r="X790" s="149" t="s">
        <v>2161</v>
      </c>
      <c r="Y790" s="149" t="s">
        <v>2162</v>
      </c>
      <c r="Z790" s="149" t="s">
        <v>2162</v>
      </c>
      <c r="AA790" s="47"/>
      <c r="AB790" s="47"/>
      <c r="AC790" s="47"/>
      <c r="AD790" s="47"/>
      <c r="AE790" s="47"/>
      <c r="AF790" s="47"/>
      <c r="AG790" s="47"/>
      <c r="AH790" s="47"/>
      <c r="AI790" s="47"/>
      <c r="AJ790" s="149"/>
      <c r="AK790" s="149"/>
      <c r="AL790" s="149"/>
      <c r="AM790" s="149"/>
      <c r="AN790" s="149"/>
      <c r="AO790" s="149"/>
      <c r="AP790" s="149"/>
      <c r="AQ790" s="149"/>
      <c r="AR790" s="149"/>
      <c r="AS790" s="149"/>
      <c r="AT790" s="149"/>
      <c r="AU790" s="154">
        <v>242000000</v>
      </c>
      <c r="AV790" s="149"/>
      <c r="AW790" s="149"/>
      <c r="AX790" s="149"/>
      <c r="AY790" s="149"/>
      <c r="AZ790" s="149"/>
      <c r="BA790" s="154">
        <f>AU790</f>
        <v>242000000</v>
      </c>
      <c r="BB790" s="154"/>
      <c r="BC790" s="149"/>
      <c r="BD790" s="149"/>
      <c r="BE790" s="149"/>
      <c r="BF790" s="149"/>
      <c r="BG790" s="149"/>
      <c r="BH790" s="30" t="s">
        <v>2159</v>
      </c>
      <c r="BI790" s="30" t="s">
        <v>2163</v>
      </c>
      <c r="BJ790" s="149" t="s">
        <v>2164</v>
      </c>
      <c r="BK790" s="154">
        <f>BA790</f>
        <v>242000000</v>
      </c>
      <c r="BL790" s="68">
        <f>BK790/$BL$1/4</f>
        <v>7562500</v>
      </c>
      <c r="BM790" s="68">
        <f>BK790/$BL$1/12</f>
        <v>2520833.3333333335</v>
      </c>
      <c r="BP790" s="69">
        <f>BM790*3</f>
        <v>7562500</v>
      </c>
      <c r="BQ790" s="69">
        <f>BP790</f>
        <v>7562500</v>
      </c>
      <c r="BR790" s="69">
        <f>SUM(BN790:BQ790)</f>
        <v>15125000</v>
      </c>
      <c r="BS790" s="69">
        <f>BQ790</f>
        <v>7562500</v>
      </c>
      <c r="BT790" s="69">
        <f t="shared" si="515"/>
        <v>7562500</v>
      </c>
      <c r="BU790" s="100">
        <f t="shared" si="515"/>
        <v>7562500</v>
      </c>
      <c r="BV790" s="100">
        <f t="shared" si="515"/>
        <v>7562500</v>
      </c>
      <c r="BW790" s="100">
        <f t="shared" si="523"/>
        <v>30250000</v>
      </c>
      <c r="BX790" s="101">
        <f t="shared" si="521"/>
        <v>7562500</v>
      </c>
      <c r="BY790" s="101">
        <f t="shared" si="533"/>
        <v>7562500</v>
      </c>
      <c r="BZ790" s="18">
        <f t="shared" si="533"/>
        <v>7562500</v>
      </c>
      <c r="CA790" s="18">
        <f t="shared" si="526"/>
        <v>7562500</v>
      </c>
      <c r="CB790" s="70">
        <f t="shared" si="539"/>
        <v>30250000</v>
      </c>
      <c r="CC790" s="18">
        <f t="shared" si="540"/>
        <v>7562500</v>
      </c>
      <c r="CD790" s="18">
        <f t="shared" ref="CD790:CF810" si="543">CC790</f>
        <v>7562500</v>
      </c>
      <c r="CE790" s="18">
        <f t="shared" si="543"/>
        <v>7562500</v>
      </c>
      <c r="CF790" s="18">
        <f t="shared" si="543"/>
        <v>7562500</v>
      </c>
      <c r="CG790" s="70">
        <f t="shared" si="541"/>
        <v>30250000</v>
      </c>
      <c r="CH790" s="18">
        <f t="shared" si="522"/>
        <v>7562500</v>
      </c>
      <c r="CI790" s="18">
        <f t="shared" si="528"/>
        <v>7562500</v>
      </c>
      <c r="CJ790" s="18">
        <f t="shared" si="528"/>
        <v>7562500</v>
      </c>
      <c r="CK790" s="18">
        <f t="shared" si="528"/>
        <v>7562500</v>
      </c>
      <c r="CL790" s="70">
        <f t="shared" si="524"/>
        <v>30250000</v>
      </c>
      <c r="CM790" s="71"/>
      <c r="CN790" s="71"/>
    </row>
    <row r="791" spans="1:94" ht="16.5" hidden="1" x14ac:dyDescent="0.3">
      <c r="A791" s="2">
        <v>786</v>
      </c>
      <c r="B791" s="47" t="s">
        <v>963</v>
      </c>
      <c r="C791" s="149"/>
      <c r="D791" s="149"/>
      <c r="E791" s="149"/>
      <c r="F791" s="149"/>
      <c r="G791" s="149"/>
      <c r="H791" s="149"/>
      <c r="I791" s="149"/>
      <c r="J791" s="149"/>
      <c r="K791" s="150" t="s">
        <v>2159</v>
      </c>
      <c r="L791" s="149"/>
      <c r="M791" s="149"/>
      <c r="N791" s="149"/>
      <c r="O791" s="151" t="s">
        <v>2165</v>
      </c>
      <c r="P791" s="152"/>
      <c r="Q791" s="152"/>
      <c r="R791" s="152"/>
      <c r="S791" s="153"/>
      <c r="T791" s="149"/>
      <c r="U791" s="149"/>
      <c r="V791" s="149"/>
      <c r="W791" s="149"/>
      <c r="X791" s="149" t="s">
        <v>2161</v>
      </c>
      <c r="Y791" s="149" t="s">
        <v>2162</v>
      </c>
      <c r="Z791" s="149" t="s">
        <v>2162</v>
      </c>
      <c r="AA791" s="149"/>
      <c r="AB791" s="149"/>
      <c r="AC791" s="154"/>
      <c r="AD791" s="47"/>
      <c r="AE791" s="47"/>
      <c r="AF791" s="47"/>
      <c r="AG791" s="47"/>
      <c r="AH791" s="47"/>
      <c r="AI791" s="47"/>
      <c r="AJ791" s="149"/>
      <c r="AK791" s="149"/>
      <c r="AL791" s="149"/>
      <c r="AM791" s="149"/>
      <c r="AN791" s="149"/>
      <c r="AO791" s="149"/>
      <c r="AP791" s="149"/>
      <c r="AQ791" s="149"/>
      <c r="AR791" s="149"/>
      <c r="AS791" s="149"/>
      <c r="AT791" s="149"/>
      <c r="AU791" s="154">
        <v>50000000</v>
      </c>
      <c r="AV791" s="149"/>
      <c r="AW791" s="149"/>
      <c r="AX791" s="149"/>
      <c r="AY791" s="149"/>
      <c r="AZ791" s="149"/>
      <c r="BA791" s="154">
        <f t="shared" ref="BA791:BA843" si="544">AU791</f>
        <v>50000000</v>
      </c>
      <c r="BB791" s="154"/>
      <c r="BC791" s="149"/>
      <c r="BD791" s="149"/>
      <c r="BE791" s="149"/>
      <c r="BF791" s="149"/>
      <c r="BG791" s="149"/>
      <c r="BH791" s="30" t="s">
        <v>2159</v>
      </c>
      <c r="BI791" s="30" t="s">
        <v>2163</v>
      </c>
      <c r="BJ791" s="149" t="s">
        <v>2164</v>
      </c>
      <c r="BK791" s="154">
        <f>BA791</f>
        <v>50000000</v>
      </c>
      <c r="BL791" s="68">
        <f>BK791/$BL$1/4</f>
        <v>1562500</v>
      </c>
      <c r="BM791" s="68">
        <f>BK791/$BL$1/12</f>
        <v>520833.33333333331</v>
      </c>
      <c r="BP791" s="69">
        <f>BM791*3</f>
        <v>1562500</v>
      </c>
      <c r="BQ791" s="69">
        <f>BP791</f>
        <v>1562500</v>
      </c>
      <c r="BR791" s="69">
        <f>SUM(BN791:BQ791)</f>
        <v>3125000</v>
      </c>
      <c r="BS791" s="69">
        <f>BQ791</f>
        <v>1562500</v>
      </c>
      <c r="BT791" s="69">
        <f t="shared" ref="BT791:BV806" si="545">BS791</f>
        <v>1562500</v>
      </c>
      <c r="BU791" s="100">
        <f t="shared" si="545"/>
        <v>1562500</v>
      </c>
      <c r="BV791" s="100">
        <f t="shared" si="545"/>
        <v>1562500</v>
      </c>
      <c r="BW791" s="100">
        <f t="shared" si="523"/>
        <v>6250000</v>
      </c>
      <c r="BX791" s="101">
        <f t="shared" si="521"/>
        <v>1562500</v>
      </c>
      <c r="BY791" s="101">
        <f t="shared" si="533"/>
        <v>1562500</v>
      </c>
      <c r="BZ791" s="18">
        <f t="shared" si="533"/>
        <v>1562500</v>
      </c>
      <c r="CA791" s="18">
        <f t="shared" si="526"/>
        <v>1562500</v>
      </c>
      <c r="CB791" s="70">
        <f t="shared" si="539"/>
        <v>6250000</v>
      </c>
      <c r="CC791" s="18">
        <f t="shared" si="540"/>
        <v>1562500</v>
      </c>
      <c r="CD791" s="18">
        <f t="shared" si="543"/>
        <v>1562500</v>
      </c>
      <c r="CE791" s="18">
        <f t="shared" si="543"/>
        <v>1562500</v>
      </c>
      <c r="CF791" s="18">
        <f t="shared" si="543"/>
        <v>1562500</v>
      </c>
      <c r="CG791" s="70">
        <f t="shared" si="541"/>
        <v>6250000</v>
      </c>
      <c r="CH791" s="18">
        <f t="shared" si="522"/>
        <v>1562500</v>
      </c>
      <c r="CI791" s="18">
        <f t="shared" si="528"/>
        <v>1562500</v>
      </c>
      <c r="CJ791" s="18">
        <f t="shared" si="528"/>
        <v>1562500</v>
      </c>
      <c r="CK791" s="18">
        <f t="shared" si="528"/>
        <v>1562500</v>
      </c>
      <c r="CL791" s="70">
        <f t="shared" si="524"/>
        <v>6250000</v>
      </c>
      <c r="CM791" s="71"/>
      <c r="CN791" s="71"/>
    </row>
    <row r="792" spans="1:94" ht="16.5" hidden="1" x14ac:dyDescent="0.3">
      <c r="A792" s="2">
        <v>787</v>
      </c>
      <c r="B792" s="47" t="s">
        <v>963</v>
      </c>
      <c r="C792" s="47"/>
      <c r="D792" s="47"/>
      <c r="E792" s="47"/>
      <c r="F792" s="47"/>
      <c r="G792" s="47"/>
      <c r="H792" s="47"/>
      <c r="I792" s="47"/>
      <c r="J792" s="47"/>
      <c r="K792" s="47" t="s">
        <v>2159</v>
      </c>
      <c r="L792" s="47"/>
      <c r="M792" s="47"/>
      <c r="N792" s="47"/>
      <c r="O792" s="155" t="s">
        <v>2166</v>
      </c>
      <c r="P792" s="156"/>
      <c r="Q792" s="156"/>
      <c r="R792" s="156"/>
      <c r="S792" s="157"/>
      <c r="T792" s="47"/>
      <c r="U792" s="47"/>
      <c r="V792" s="47"/>
      <c r="W792" s="47"/>
      <c r="X792" s="47" t="s">
        <v>353</v>
      </c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  <c r="AU792" s="56">
        <v>20000000</v>
      </c>
      <c r="AV792" s="149"/>
      <c r="AW792" s="149"/>
      <c r="AX792" s="149"/>
      <c r="AY792" s="149"/>
      <c r="AZ792" s="149"/>
      <c r="BA792" s="56">
        <f t="shared" si="544"/>
        <v>20000000</v>
      </c>
      <c r="BB792" s="56"/>
      <c r="BC792" s="47"/>
      <c r="BD792" s="47"/>
      <c r="BE792" s="47"/>
      <c r="BF792" s="47"/>
      <c r="BG792" s="47"/>
      <c r="BH792" s="30" t="s">
        <v>2159</v>
      </c>
      <c r="BI792" s="30" t="s">
        <v>2163</v>
      </c>
      <c r="BJ792" s="47" t="s">
        <v>2164</v>
      </c>
      <c r="BK792" s="56">
        <v>120000000</v>
      </c>
      <c r="BL792" s="57">
        <f>BK792/$BL$1/4</f>
        <v>3750000</v>
      </c>
      <c r="BM792" s="57">
        <f>BK792/$BL$1/12</f>
        <v>1250000</v>
      </c>
      <c r="BU792" s="58">
        <f>BM792*3</f>
        <v>3750000</v>
      </c>
      <c r="BV792" s="58">
        <f t="shared" si="545"/>
        <v>3750000</v>
      </c>
      <c r="BW792" s="58">
        <f t="shared" si="523"/>
        <v>7500000</v>
      </c>
      <c r="BX792" s="58">
        <f t="shared" si="521"/>
        <v>3750000</v>
      </c>
      <c r="BY792" s="58">
        <f t="shared" si="533"/>
        <v>3750000</v>
      </c>
      <c r="BZ792" s="58">
        <f>BM792*3</f>
        <v>3750000</v>
      </c>
      <c r="CA792" s="58">
        <f t="shared" si="526"/>
        <v>3750000</v>
      </c>
      <c r="CB792" s="58">
        <f t="shared" si="539"/>
        <v>15000000</v>
      </c>
      <c r="CC792" s="58">
        <f t="shared" si="540"/>
        <v>3750000</v>
      </c>
      <c r="CD792" s="58">
        <f t="shared" si="543"/>
        <v>3750000</v>
      </c>
      <c r="CE792" s="58">
        <f t="shared" si="543"/>
        <v>3750000</v>
      </c>
      <c r="CF792" s="58">
        <f t="shared" si="543"/>
        <v>3750000</v>
      </c>
      <c r="CG792" s="58">
        <f t="shared" si="541"/>
        <v>15000000</v>
      </c>
      <c r="CH792" s="58">
        <f t="shared" si="522"/>
        <v>3750000</v>
      </c>
      <c r="CI792" s="58">
        <f t="shared" si="528"/>
        <v>3750000</v>
      </c>
      <c r="CJ792" s="58">
        <f t="shared" si="528"/>
        <v>3750000</v>
      </c>
      <c r="CK792" s="58">
        <f t="shared" si="528"/>
        <v>3750000</v>
      </c>
      <c r="CL792" s="58">
        <f t="shared" si="524"/>
        <v>15000000</v>
      </c>
    </row>
    <row r="793" spans="1:94" ht="16.5" hidden="1" x14ac:dyDescent="0.3">
      <c r="A793" s="2">
        <v>788</v>
      </c>
      <c r="B793" s="47" t="s">
        <v>963</v>
      </c>
      <c r="C793" s="149"/>
      <c r="D793" s="149"/>
      <c r="E793" s="149"/>
      <c r="F793" s="149"/>
      <c r="G793" s="149"/>
      <c r="H793" s="149"/>
      <c r="I793" s="149"/>
      <c r="J793" s="149"/>
      <c r="K793" s="150" t="s">
        <v>2159</v>
      </c>
      <c r="L793" s="149"/>
      <c r="M793" s="149"/>
      <c r="N793" s="149"/>
      <c r="O793" s="151" t="s">
        <v>2167</v>
      </c>
      <c r="P793" s="152"/>
      <c r="Q793" s="152"/>
      <c r="R793" s="152"/>
      <c r="S793" s="153"/>
      <c r="T793" s="149"/>
      <c r="U793" s="149"/>
      <c r="V793" s="149"/>
      <c r="W793" s="149"/>
      <c r="X793" s="149" t="s">
        <v>2161</v>
      </c>
      <c r="Y793" s="149" t="s">
        <v>2162</v>
      </c>
      <c r="Z793" s="149" t="s">
        <v>2162</v>
      </c>
      <c r="AA793" s="149"/>
      <c r="AB793" s="149"/>
      <c r="AC793" s="154"/>
      <c r="AD793" s="47"/>
      <c r="AE793" s="47"/>
      <c r="AF793" s="47"/>
      <c r="AG793" s="47"/>
      <c r="AH793" s="47"/>
      <c r="AI793" s="47"/>
      <c r="AJ793" s="149"/>
      <c r="AK793" s="149"/>
      <c r="AL793" s="149"/>
      <c r="AM793" s="149"/>
      <c r="AN793" s="149"/>
      <c r="AO793" s="149"/>
      <c r="AP793" s="149"/>
      <c r="AQ793" s="149"/>
      <c r="AR793" s="149"/>
      <c r="AS793" s="149"/>
      <c r="AT793" s="149"/>
      <c r="AU793" s="154">
        <v>300000000</v>
      </c>
      <c r="AV793" s="149"/>
      <c r="AW793" s="149"/>
      <c r="AX793" s="149"/>
      <c r="AY793" s="149"/>
      <c r="AZ793" s="149"/>
      <c r="BA793" s="154">
        <f t="shared" si="544"/>
        <v>300000000</v>
      </c>
      <c r="BB793" s="154"/>
      <c r="BC793" s="149"/>
      <c r="BD793" s="149"/>
      <c r="BE793" s="149"/>
      <c r="BF793" s="149"/>
      <c r="BG793" s="149"/>
      <c r="BH793" s="30" t="s">
        <v>2159</v>
      </c>
      <c r="BI793" s="30" t="s">
        <v>2163</v>
      </c>
      <c r="BJ793" s="149" t="s">
        <v>2164</v>
      </c>
      <c r="BK793" s="154">
        <f>BA793</f>
        <v>300000000</v>
      </c>
      <c r="BL793" s="68">
        <f>BK793/$BL$1/4</f>
        <v>9375000</v>
      </c>
      <c r="BM793" s="68">
        <f>BK793/$BL$1/12</f>
        <v>3125000</v>
      </c>
      <c r="BP793" s="69">
        <f>BM793*3</f>
        <v>9375000</v>
      </c>
      <c r="BQ793" s="69">
        <f>BP793</f>
        <v>9375000</v>
      </c>
      <c r="BR793" s="69">
        <f>SUM(BN793:BQ793)</f>
        <v>18750000</v>
      </c>
      <c r="BS793" s="69">
        <f>BQ793</f>
        <v>9375000</v>
      </c>
      <c r="BT793" s="69">
        <f t="shared" si="545"/>
        <v>9375000</v>
      </c>
      <c r="BU793" s="100">
        <f t="shared" si="545"/>
        <v>9375000</v>
      </c>
      <c r="BV793" s="100">
        <f t="shared" si="545"/>
        <v>9375000</v>
      </c>
      <c r="BW793" s="100">
        <f t="shared" si="523"/>
        <v>37500000</v>
      </c>
      <c r="BX793" s="101">
        <f t="shared" si="521"/>
        <v>9375000</v>
      </c>
      <c r="BY793" s="101">
        <f t="shared" si="533"/>
        <v>9375000</v>
      </c>
      <c r="BZ793" s="18">
        <f t="shared" si="533"/>
        <v>9375000</v>
      </c>
      <c r="CA793" s="18">
        <f t="shared" si="526"/>
        <v>9375000</v>
      </c>
      <c r="CB793" s="70">
        <f t="shared" si="539"/>
        <v>37500000</v>
      </c>
      <c r="CC793" s="18">
        <f t="shared" si="540"/>
        <v>9375000</v>
      </c>
      <c r="CD793" s="18">
        <f t="shared" si="543"/>
        <v>9375000</v>
      </c>
      <c r="CE793" s="18">
        <f t="shared" si="543"/>
        <v>9375000</v>
      </c>
      <c r="CF793" s="18">
        <f t="shared" si="543"/>
        <v>9375000</v>
      </c>
      <c r="CG793" s="70">
        <f t="shared" si="541"/>
        <v>37500000</v>
      </c>
      <c r="CH793" s="18">
        <f t="shared" si="522"/>
        <v>9375000</v>
      </c>
      <c r="CI793" s="18">
        <f t="shared" si="528"/>
        <v>9375000</v>
      </c>
      <c r="CJ793" s="18">
        <f t="shared" si="528"/>
        <v>9375000</v>
      </c>
      <c r="CK793" s="18">
        <f t="shared" si="528"/>
        <v>9375000</v>
      </c>
      <c r="CL793" s="70">
        <f t="shared" si="524"/>
        <v>37500000</v>
      </c>
      <c r="CM793" s="71"/>
      <c r="CN793" s="71"/>
    </row>
    <row r="794" spans="1:94" ht="16.5" hidden="1" x14ac:dyDescent="0.3">
      <c r="A794" s="2">
        <v>789</v>
      </c>
      <c r="B794" s="47" t="s">
        <v>963</v>
      </c>
      <c r="C794" s="149"/>
      <c r="D794" s="149"/>
      <c r="E794" s="149"/>
      <c r="F794" s="149"/>
      <c r="G794" s="149"/>
      <c r="H794" s="149"/>
      <c r="I794" s="149"/>
      <c r="J794" s="149"/>
      <c r="K794" s="150" t="s">
        <v>2159</v>
      </c>
      <c r="L794" s="149"/>
      <c r="M794" s="149"/>
      <c r="N794" s="149"/>
      <c r="O794" s="151" t="s">
        <v>2168</v>
      </c>
      <c r="P794" s="152"/>
      <c r="Q794" s="152"/>
      <c r="R794" s="152"/>
      <c r="S794" s="153"/>
      <c r="T794" s="149"/>
      <c r="U794" s="149"/>
      <c r="V794" s="149"/>
      <c r="W794" s="149"/>
      <c r="X794" s="149" t="s">
        <v>2161</v>
      </c>
      <c r="Y794" s="149" t="s">
        <v>2162</v>
      </c>
      <c r="Z794" s="149" t="s">
        <v>2162</v>
      </c>
      <c r="AA794" s="149"/>
      <c r="AB794" s="149"/>
      <c r="AC794" s="154"/>
      <c r="AD794" s="47"/>
      <c r="AE794" s="47"/>
      <c r="AF794" s="47"/>
      <c r="AG794" s="47"/>
      <c r="AH794" s="47"/>
      <c r="AI794" s="47"/>
      <c r="AJ794" s="149"/>
      <c r="AK794" s="149"/>
      <c r="AL794" s="149"/>
      <c r="AM794" s="149"/>
      <c r="AN794" s="149"/>
      <c r="AO794" s="149"/>
      <c r="AP794" s="149"/>
      <c r="AQ794" s="149"/>
      <c r="AR794" s="149"/>
      <c r="AS794" s="149"/>
      <c r="AT794" s="149"/>
      <c r="AU794" s="154">
        <v>120000000</v>
      </c>
      <c r="AV794" s="149"/>
      <c r="AW794" s="149"/>
      <c r="AX794" s="149"/>
      <c r="AY794" s="149"/>
      <c r="AZ794" s="149"/>
      <c r="BA794" s="154">
        <f t="shared" si="544"/>
        <v>120000000</v>
      </c>
      <c r="BB794" s="154"/>
      <c r="BC794" s="149"/>
      <c r="BD794" s="149"/>
      <c r="BE794" s="149"/>
      <c r="BF794" s="149"/>
      <c r="BG794" s="149"/>
      <c r="BH794" s="30" t="s">
        <v>2159</v>
      </c>
      <c r="BI794" s="30" t="s">
        <v>2163</v>
      </c>
      <c r="BJ794" s="149" t="s">
        <v>2164</v>
      </c>
      <c r="BK794" s="154">
        <f>BA794</f>
        <v>120000000</v>
      </c>
      <c r="BL794" s="68">
        <f>BK794/$BL$1/4</f>
        <v>3750000</v>
      </c>
      <c r="BM794" s="68">
        <f>BK794/$BL$1/12</f>
        <v>1250000</v>
      </c>
      <c r="BP794" s="69">
        <f>BM794*3</f>
        <v>3750000</v>
      </c>
      <c r="BQ794" s="69">
        <f>BP794</f>
        <v>3750000</v>
      </c>
      <c r="BR794" s="69">
        <f>SUM(BN794:BQ794)</f>
        <v>7500000</v>
      </c>
      <c r="BS794" s="69">
        <f>BQ794</f>
        <v>3750000</v>
      </c>
      <c r="BT794" s="69">
        <f t="shared" si="545"/>
        <v>3750000</v>
      </c>
      <c r="BU794" s="100">
        <f t="shared" si="545"/>
        <v>3750000</v>
      </c>
      <c r="BV794" s="100">
        <f t="shared" si="545"/>
        <v>3750000</v>
      </c>
      <c r="BW794" s="100">
        <f t="shared" si="523"/>
        <v>15000000</v>
      </c>
      <c r="BX794" s="101">
        <f t="shared" si="521"/>
        <v>3750000</v>
      </c>
      <c r="BY794" s="101">
        <f t="shared" si="533"/>
        <v>3750000</v>
      </c>
      <c r="BZ794" s="18">
        <f t="shared" si="533"/>
        <v>3750000</v>
      </c>
      <c r="CA794" s="18">
        <f t="shared" si="526"/>
        <v>3750000</v>
      </c>
      <c r="CB794" s="70">
        <f t="shared" si="539"/>
        <v>15000000</v>
      </c>
      <c r="CC794" s="18">
        <f t="shared" si="540"/>
        <v>3750000</v>
      </c>
      <c r="CD794" s="18">
        <f t="shared" si="543"/>
        <v>3750000</v>
      </c>
      <c r="CE794" s="18">
        <f t="shared" si="543"/>
        <v>3750000</v>
      </c>
      <c r="CF794" s="18">
        <f t="shared" si="543"/>
        <v>3750000</v>
      </c>
      <c r="CG794" s="70">
        <f t="shared" si="541"/>
        <v>15000000</v>
      </c>
      <c r="CH794" s="18">
        <f t="shared" si="522"/>
        <v>3750000</v>
      </c>
      <c r="CI794" s="18">
        <f t="shared" si="528"/>
        <v>3750000</v>
      </c>
      <c r="CJ794" s="18">
        <f t="shared" si="528"/>
        <v>3750000</v>
      </c>
      <c r="CK794" s="18">
        <f t="shared" si="528"/>
        <v>3750000</v>
      </c>
      <c r="CL794" s="70">
        <f t="shared" si="524"/>
        <v>15000000</v>
      </c>
      <c r="CM794" s="71"/>
      <c r="CN794" s="71"/>
    </row>
    <row r="795" spans="1:94" hidden="1" x14ac:dyDescent="0.3">
      <c r="A795" s="29">
        <v>790</v>
      </c>
      <c r="B795" s="30" t="s">
        <v>963</v>
      </c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47"/>
      <c r="AB795" s="47"/>
      <c r="AC795" s="47"/>
      <c r="AD795" s="47"/>
      <c r="AE795" s="47"/>
      <c r="AF795" s="47"/>
      <c r="AG795" s="47"/>
      <c r="AH795" s="47"/>
      <c r="AI795" s="47"/>
      <c r="AJ795" s="30"/>
      <c r="AK795" s="30"/>
      <c r="AL795" s="47"/>
      <c r="AM795" s="47"/>
      <c r="AN795" s="47"/>
      <c r="AO795" s="47"/>
      <c r="AP795" s="47"/>
      <c r="AQ795" s="47"/>
      <c r="AR795" s="47"/>
      <c r="AS795" s="47"/>
      <c r="AT795" s="47"/>
      <c r="AU795" s="74">
        <f>AU794/280</f>
        <v>428571.42857142858</v>
      </c>
      <c r="AV795" s="149"/>
      <c r="AW795" s="149"/>
      <c r="AX795" s="149"/>
      <c r="AY795" s="149"/>
      <c r="AZ795" s="149"/>
      <c r="BA795" s="74">
        <f t="shared" si="544"/>
        <v>428571.42857142858</v>
      </c>
      <c r="BB795" s="74"/>
      <c r="BC795" s="47"/>
      <c r="BD795" s="47"/>
      <c r="BE795" s="47"/>
      <c r="BF795" s="47"/>
      <c r="BG795" s="30"/>
      <c r="BH795" s="30"/>
      <c r="BI795" s="30"/>
      <c r="BJ795" s="30"/>
      <c r="BK795" s="56"/>
      <c r="BL795" s="57"/>
      <c r="BM795" s="57"/>
      <c r="BU795" s="101">
        <f t="shared" si="545"/>
        <v>0</v>
      </c>
      <c r="BV795" s="101">
        <f t="shared" si="545"/>
        <v>0</v>
      </c>
      <c r="BW795" s="101">
        <f t="shared" si="523"/>
        <v>0</v>
      </c>
      <c r="BX795" s="101">
        <f t="shared" si="521"/>
        <v>0</v>
      </c>
      <c r="BY795" s="101">
        <f t="shared" si="533"/>
        <v>0</v>
      </c>
      <c r="BZ795" s="58"/>
      <c r="CA795" s="58"/>
      <c r="CB795" s="58"/>
      <c r="CC795" s="58"/>
      <c r="CD795" s="58"/>
      <c r="CE795" s="58"/>
      <c r="CF795" s="58"/>
      <c r="CG795" s="58"/>
      <c r="CH795" s="58"/>
      <c r="CI795" s="58"/>
      <c r="CJ795" s="58"/>
      <c r="CK795" s="58"/>
      <c r="CL795" s="58"/>
    </row>
    <row r="796" spans="1:94" hidden="1" x14ac:dyDescent="0.3">
      <c r="A796" s="29">
        <v>791</v>
      </c>
      <c r="B796" s="30" t="s">
        <v>963</v>
      </c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47"/>
      <c r="AB796" s="47"/>
      <c r="AC796" s="47"/>
      <c r="AD796" s="47"/>
      <c r="AE796" s="47"/>
      <c r="AF796" s="47"/>
      <c r="AG796" s="47"/>
      <c r="AH796" s="47"/>
      <c r="AI796" s="47"/>
      <c r="AJ796" s="30"/>
      <c r="AK796" s="30"/>
      <c r="AL796" s="47"/>
      <c r="AM796" s="47"/>
      <c r="AN796" s="47"/>
      <c r="AO796" s="47"/>
      <c r="AP796" s="47"/>
      <c r="AQ796" s="47"/>
      <c r="AR796" s="47"/>
      <c r="AS796" s="47"/>
      <c r="AT796" s="47"/>
      <c r="AU796" s="74"/>
      <c r="AV796" s="149"/>
      <c r="AW796" s="149"/>
      <c r="AX796" s="149"/>
      <c r="AY796" s="149"/>
      <c r="AZ796" s="149"/>
      <c r="BA796" s="74">
        <f t="shared" si="544"/>
        <v>0</v>
      </c>
      <c r="BB796" s="74"/>
      <c r="BC796" s="47"/>
      <c r="BD796" s="47"/>
      <c r="BE796" s="47"/>
      <c r="BF796" s="47"/>
      <c r="BG796" s="30"/>
      <c r="BH796" s="30"/>
      <c r="BI796" s="30"/>
      <c r="BJ796" s="30"/>
      <c r="BK796" s="56"/>
      <c r="BL796" s="57"/>
      <c r="BM796" s="57"/>
      <c r="BU796" s="101">
        <f t="shared" si="545"/>
        <v>0</v>
      </c>
      <c r="BV796" s="101">
        <f t="shared" si="545"/>
        <v>0</v>
      </c>
      <c r="BW796" s="101">
        <f t="shared" si="523"/>
        <v>0</v>
      </c>
      <c r="BX796" s="101">
        <f t="shared" si="521"/>
        <v>0</v>
      </c>
      <c r="BY796" s="101">
        <f t="shared" si="533"/>
        <v>0</v>
      </c>
      <c r="BZ796" s="58"/>
      <c r="CA796" s="58"/>
      <c r="CB796" s="58"/>
      <c r="CC796" s="58"/>
      <c r="CD796" s="58"/>
      <c r="CE796" s="58"/>
      <c r="CF796" s="58"/>
      <c r="CG796" s="58"/>
      <c r="CH796" s="58"/>
      <c r="CI796" s="58"/>
      <c r="CJ796" s="58"/>
      <c r="CK796" s="58"/>
      <c r="CL796" s="58"/>
    </row>
    <row r="797" spans="1:94" hidden="1" x14ac:dyDescent="0.3">
      <c r="A797" s="29">
        <v>792</v>
      </c>
      <c r="B797" s="30" t="s">
        <v>963</v>
      </c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47"/>
      <c r="AB797" s="47"/>
      <c r="AC797" s="47"/>
      <c r="AD797" s="47"/>
      <c r="AE797" s="47"/>
      <c r="AF797" s="47"/>
      <c r="AG797" s="47"/>
      <c r="AH797" s="47"/>
      <c r="AI797" s="47"/>
      <c r="AJ797" s="30"/>
      <c r="AK797" s="30"/>
      <c r="AL797" s="47"/>
      <c r="AM797" s="47"/>
      <c r="AN797" s="47"/>
      <c r="AO797" s="47"/>
      <c r="AP797" s="47"/>
      <c r="AQ797" s="47"/>
      <c r="AR797" s="47"/>
      <c r="AS797" s="47"/>
      <c r="AT797" s="47"/>
      <c r="AU797" s="74"/>
      <c r="AV797" s="149"/>
      <c r="AW797" s="149"/>
      <c r="AX797" s="149"/>
      <c r="AY797" s="149"/>
      <c r="AZ797" s="149"/>
      <c r="BA797" s="74">
        <f t="shared" si="544"/>
        <v>0</v>
      </c>
      <c r="BB797" s="74"/>
      <c r="BC797" s="47"/>
      <c r="BD797" s="47"/>
      <c r="BE797" s="47"/>
      <c r="BF797" s="47"/>
      <c r="BG797" s="30"/>
      <c r="BH797" s="30"/>
      <c r="BI797" s="30"/>
      <c r="BJ797" s="30"/>
      <c r="BK797" s="56"/>
      <c r="BL797" s="57"/>
      <c r="BM797" s="57"/>
      <c r="BU797" s="101">
        <f t="shared" si="545"/>
        <v>0</v>
      </c>
      <c r="BV797" s="101">
        <f t="shared" si="545"/>
        <v>0</v>
      </c>
      <c r="BW797" s="101">
        <f t="shared" si="523"/>
        <v>0</v>
      </c>
      <c r="BX797" s="101">
        <f t="shared" si="521"/>
        <v>0</v>
      </c>
      <c r="BY797" s="101">
        <f t="shared" si="533"/>
        <v>0</v>
      </c>
      <c r="BZ797" s="58"/>
      <c r="CA797" s="58"/>
      <c r="CB797" s="58"/>
      <c r="CC797" s="58"/>
      <c r="CD797" s="58"/>
      <c r="CE797" s="58"/>
      <c r="CF797" s="58"/>
      <c r="CG797" s="58"/>
      <c r="CH797" s="58"/>
      <c r="CI797" s="58"/>
      <c r="CJ797" s="58"/>
      <c r="CK797" s="58"/>
      <c r="CL797" s="58"/>
    </row>
    <row r="798" spans="1:94" hidden="1" x14ac:dyDescent="0.3">
      <c r="A798" s="29">
        <v>793</v>
      </c>
      <c r="B798" s="30" t="s">
        <v>963</v>
      </c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146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47"/>
      <c r="AB798" s="47"/>
      <c r="AC798" s="47"/>
      <c r="AD798" s="47"/>
      <c r="AE798" s="47"/>
      <c r="AF798" s="47"/>
      <c r="AG798" s="47"/>
      <c r="AH798" s="47"/>
      <c r="AI798" s="47"/>
      <c r="AJ798" s="30"/>
      <c r="AK798" s="30"/>
      <c r="AL798" s="47"/>
      <c r="AM798" s="47"/>
      <c r="AN798" s="47"/>
      <c r="AO798" s="47"/>
      <c r="AP798" s="47"/>
      <c r="AQ798" s="47"/>
      <c r="AR798" s="47"/>
      <c r="AS798" s="47"/>
      <c r="AT798" s="47"/>
      <c r="AU798" s="74"/>
      <c r="AV798" s="149"/>
      <c r="AW798" s="149"/>
      <c r="AX798" s="149"/>
      <c r="AY798" s="149"/>
      <c r="AZ798" s="149"/>
      <c r="BA798" s="74">
        <f t="shared" si="544"/>
        <v>0</v>
      </c>
      <c r="BB798" s="74"/>
      <c r="BC798" s="47"/>
      <c r="BD798" s="47"/>
      <c r="BE798" s="47"/>
      <c r="BF798" s="47"/>
      <c r="BG798" s="30"/>
      <c r="BH798" s="30"/>
      <c r="BI798" s="30"/>
      <c r="BJ798" s="30"/>
      <c r="BK798" s="56"/>
      <c r="BL798" s="57"/>
      <c r="BM798" s="57"/>
      <c r="BU798" s="101">
        <f t="shared" si="545"/>
        <v>0</v>
      </c>
      <c r="BV798" s="101">
        <f t="shared" si="545"/>
        <v>0</v>
      </c>
      <c r="BW798" s="101">
        <f t="shared" si="523"/>
        <v>0</v>
      </c>
      <c r="BX798" s="101">
        <f t="shared" si="521"/>
        <v>0</v>
      </c>
      <c r="BY798" s="101">
        <f t="shared" si="533"/>
        <v>0</v>
      </c>
      <c r="BZ798" s="58"/>
      <c r="CA798" s="58"/>
      <c r="CB798" s="58"/>
      <c r="CC798" s="58"/>
      <c r="CD798" s="58"/>
      <c r="CE798" s="58"/>
      <c r="CF798" s="58"/>
      <c r="CG798" s="58"/>
      <c r="CH798" s="58"/>
      <c r="CI798" s="58"/>
      <c r="CJ798" s="58"/>
      <c r="CK798" s="58"/>
      <c r="CL798" s="58"/>
    </row>
    <row r="799" spans="1:94" hidden="1" x14ac:dyDescent="0.3">
      <c r="A799" s="29">
        <v>794</v>
      </c>
      <c r="B799" s="30" t="s">
        <v>963</v>
      </c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47"/>
      <c r="AB799" s="47"/>
      <c r="AC799" s="47"/>
      <c r="AD799" s="47"/>
      <c r="AE799" s="47"/>
      <c r="AF799" s="47"/>
      <c r="AG799" s="47"/>
      <c r="AH799" s="47"/>
      <c r="AI799" s="47"/>
      <c r="AJ799" s="30"/>
      <c r="AK799" s="30"/>
      <c r="AL799" s="47"/>
      <c r="AM799" s="47"/>
      <c r="AN799" s="47"/>
      <c r="AO799" s="47"/>
      <c r="AP799" s="47"/>
      <c r="AQ799" s="47"/>
      <c r="AR799" s="47"/>
      <c r="AS799" s="47"/>
      <c r="AT799" s="47"/>
      <c r="AU799" s="74"/>
      <c r="AV799" s="149"/>
      <c r="AW799" s="149"/>
      <c r="AX799" s="149"/>
      <c r="AY799" s="149"/>
      <c r="AZ799" s="149"/>
      <c r="BA799" s="74">
        <f t="shared" si="544"/>
        <v>0</v>
      </c>
      <c r="BB799" s="74"/>
      <c r="BC799" s="47"/>
      <c r="BD799" s="47"/>
      <c r="BE799" s="47"/>
      <c r="BF799" s="47"/>
      <c r="BG799" s="30"/>
      <c r="BH799" s="30"/>
      <c r="BI799" s="30"/>
      <c r="BJ799" s="30"/>
      <c r="BK799" s="56"/>
      <c r="BL799" s="57"/>
      <c r="BM799" s="57"/>
      <c r="BU799" s="101">
        <f t="shared" si="545"/>
        <v>0</v>
      </c>
      <c r="BV799" s="101">
        <f t="shared" si="545"/>
        <v>0</v>
      </c>
      <c r="BW799" s="101">
        <f t="shared" si="523"/>
        <v>0</v>
      </c>
      <c r="BX799" s="101">
        <f t="shared" si="521"/>
        <v>0</v>
      </c>
      <c r="BY799" s="101">
        <f t="shared" si="533"/>
        <v>0</v>
      </c>
      <c r="BZ799" s="58"/>
      <c r="CA799" s="58"/>
      <c r="CB799" s="58"/>
      <c r="CC799" s="58"/>
      <c r="CD799" s="58"/>
      <c r="CE799" s="58"/>
      <c r="CF799" s="58"/>
      <c r="CG799" s="58"/>
      <c r="CH799" s="58"/>
      <c r="CI799" s="58"/>
      <c r="CJ799" s="58"/>
      <c r="CK799" s="58"/>
      <c r="CL799" s="58"/>
    </row>
    <row r="800" spans="1:94" hidden="1" x14ac:dyDescent="0.3">
      <c r="A800" s="29">
        <v>795</v>
      </c>
      <c r="B800" s="30" t="s">
        <v>963</v>
      </c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74"/>
      <c r="X800" s="30"/>
      <c r="Y800" s="30"/>
      <c r="Z800" s="30"/>
      <c r="AA800" s="47"/>
      <c r="AB800" s="47"/>
      <c r="AC800" s="47"/>
      <c r="AD800" s="47"/>
      <c r="AE800" s="47"/>
      <c r="AF800" s="47"/>
      <c r="AG800" s="47"/>
      <c r="AH800" s="47"/>
      <c r="AI800" s="47"/>
      <c r="AJ800" s="30"/>
      <c r="AK800" s="30"/>
      <c r="AL800" s="47"/>
      <c r="AM800" s="47"/>
      <c r="AN800" s="47"/>
      <c r="AO800" s="47"/>
      <c r="AP800" s="47"/>
      <c r="AQ800" s="47"/>
      <c r="AR800" s="47"/>
      <c r="AS800" s="47"/>
      <c r="AT800" s="47"/>
      <c r="AU800" s="74"/>
      <c r="AV800" s="149"/>
      <c r="AW800" s="149"/>
      <c r="AX800" s="149"/>
      <c r="AY800" s="149"/>
      <c r="AZ800" s="149"/>
      <c r="BA800" s="74">
        <f t="shared" si="544"/>
        <v>0</v>
      </c>
      <c r="BB800" s="74"/>
      <c r="BC800" s="47"/>
      <c r="BD800" s="47"/>
      <c r="BE800" s="47"/>
      <c r="BF800" s="47"/>
      <c r="BG800" s="30"/>
      <c r="BH800" s="30"/>
      <c r="BI800" s="30"/>
      <c r="BJ800" s="30"/>
      <c r="BK800" s="56"/>
      <c r="BL800" s="57"/>
      <c r="BM800" s="57"/>
      <c r="BU800" s="101">
        <f t="shared" si="545"/>
        <v>0</v>
      </c>
      <c r="BV800" s="101">
        <f t="shared" si="545"/>
        <v>0</v>
      </c>
      <c r="BW800" s="101">
        <f t="shared" si="523"/>
        <v>0</v>
      </c>
      <c r="BX800" s="101">
        <f t="shared" si="521"/>
        <v>0</v>
      </c>
      <c r="BY800" s="101">
        <f t="shared" si="533"/>
        <v>0</v>
      </c>
      <c r="BZ800" s="58"/>
      <c r="CA800" s="58"/>
      <c r="CB800" s="58"/>
      <c r="CC800" s="58"/>
      <c r="CD800" s="58"/>
      <c r="CE800" s="58"/>
      <c r="CF800" s="58"/>
      <c r="CG800" s="58"/>
      <c r="CH800" s="58"/>
      <c r="CI800" s="58"/>
      <c r="CJ800" s="58"/>
      <c r="CK800" s="58"/>
      <c r="CL800" s="58"/>
    </row>
    <row r="801" spans="1:92" ht="16.5" hidden="1" x14ac:dyDescent="0.3">
      <c r="A801" s="2">
        <v>796</v>
      </c>
      <c r="B801" s="47" t="s">
        <v>963</v>
      </c>
      <c r="C801" s="149"/>
      <c r="D801" s="149"/>
      <c r="E801" s="149"/>
      <c r="F801" s="149"/>
      <c r="G801" s="149"/>
      <c r="H801" s="149"/>
      <c r="I801" s="149"/>
      <c r="J801" s="149"/>
      <c r="K801" s="150" t="s">
        <v>776</v>
      </c>
      <c r="L801" s="149"/>
      <c r="M801" s="149"/>
      <c r="N801" s="149"/>
      <c r="O801" s="151" t="s">
        <v>2169</v>
      </c>
      <c r="P801" s="151"/>
      <c r="Q801" s="151"/>
      <c r="R801" s="151"/>
      <c r="S801" s="151"/>
      <c r="T801" s="149"/>
      <c r="U801" s="149"/>
      <c r="V801" s="149"/>
      <c r="W801" s="149"/>
      <c r="X801" s="149" t="s">
        <v>2161</v>
      </c>
      <c r="Y801" s="149" t="s">
        <v>2162</v>
      </c>
      <c r="Z801" s="149" t="s">
        <v>2162</v>
      </c>
      <c r="AA801" s="47"/>
      <c r="AB801" s="47"/>
      <c r="AC801" s="47"/>
      <c r="AD801" s="47"/>
      <c r="AE801" s="47"/>
      <c r="AF801" s="47"/>
      <c r="AG801" s="47"/>
      <c r="AH801" s="47"/>
      <c r="AI801" s="47"/>
      <c r="AJ801" s="149"/>
      <c r="AK801" s="149"/>
      <c r="AL801" s="149"/>
      <c r="AM801" s="149"/>
      <c r="AN801" s="149"/>
      <c r="AO801" s="149"/>
      <c r="AP801" s="149"/>
      <c r="AQ801" s="149"/>
      <c r="AR801" s="149"/>
      <c r="AS801" s="149"/>
      <c r="AT801" s="149"/>
      <c r="AU801" s="158">
        <v>1500000000</v>
      </c>
      <c r="AV801" s="149"/>
      <c r="AW801" s="149"/>
      <c r="AX801" s="149"/>
      <c r="AY801" s="149"/>
      <c r="AZ801" s="149"/>
      <c r="BA801" s="154">
        <f t="shared" si="544"/>
        <v>1500000000</v>
      </c>
      <c r="BB801" s="154"/>
      <c r="BC801" s="149"/>
      <c r="BD801" s="149"/>
      <c r="BE801" s="149"/>
      <c r="BF801" s="149"/>
      <c r="BG801" s="149"/>
      <c r="BH801" s="30" t="s">
        <v>776</v>
      </c>
      <c r="BI801" s="30" t="s">
        <v>2170</v>
      </c>
      <c r="BJ801" s="149" t="s">
        <v>2164</v>
      </c>
      <c r="BK801" s="154">
        <f t="shared" ref="BK801:BK817" si="546">BA801</f>
        <v>1500000000</v>
      </c>
      <c r="BL801" s="68">
        <f>BK801/$BL$1/4</f>
        <v>46875000</v>
      </c>
      <c r="BM801" s="68">
        <f>BK801/$BL$1/12</f>
        <v>15625000</v>
      </c>
      <c r="BP801" s="69">
        <f>BM801*3</f>
        <v>46875000</v>
      </c>
      <c r="BQ801" s="69">
        <f>BP801</f>
        <v>46875000</v>
      </c>
      <c r="BR801" s="69">
        <f>SUM(BN801:BQ801)</f>
        <v>93750000</v>
      </c>
      <c r="BS801" s="69">
        <f>BQ801</f>
        <v>46875000</v>
      </c>
      <c r="BT801" s="69">
        <f t="shared" si="545"/>
        <v>46875000</v>
      </c>
      <c r="BU801" s="100">
        <f t="shared" si="545"/>
        <v>46875000</v>
      </c>
      <c r="BV801" s="100">
        <f t="shared" si="545"/>
        <v>46875000</v>
      </c>
      <c r="BW801" s="100">
        <f t="shared" si="523"/>
        <v>187500000</v>
      </c>
      <c r="BX801" s="101">
        <f t="shared" si="521"/>
        <v>46875000</v>
      </c>
      <c r="BY801" s="101">
        <f t="shared" si="533"/>
        <v>46875000</v>
      </c>
      <c r="BZ801" s="18">
        <f t="shared" si="533"/>
        <v>46875000</v>
      </c>
      <c r="CA801" s="18">
        <f t="shared" si="526"/>
        <v>46875000</v>
      </c>
      <c r="CB801" s="70">
        <f t="shared" si="539"/>
        <v>187500000</v>
      </c>
      <c r="CC801" s="18">
        <f t="shared" si="540"/>
        <v>46875000</v>
      </c>
      <c r="CD801" s="18">
        <f t="shared" si="543"/>
        <v>46875000</v>
      </c>
      <c r="CE801" s="18">
        <f t="shared" si="543"/>
        <v>46875000</v>
      </c>
      <c r="CF801" s="18">
        <f t="shared" si="543"/>
        <v>46875000</v>
      </c>
      <c r="CG801" s="70">
        <f t="shared" si="541"/>
        <v>187500000</v>
      </c>
      <c r="CH801" s="18">
        <f t="shared" ref="CH801:CH818" si="547">CF801</f>
        <v>46875000</v>
      </c>
      <c r="CI801" s="18">
        <f t="shared" ref="CI801:CK815" si="548">CH801</f>
        <v>46875000</v>
      </c>
      <c r="CJ801" s="18">
        <f t="shared" si="548"/>
        <v>46875000</v>
      </c>
      <c r="CK801" s="18">
        <f t="shared" si="548"/>
        <v>46875000</v>
      </c>
      <c r="CL801" s="70">
        <f t="shared" ref="CL801:CL818" si="549">SUM(CH801:CK801)</f>
        <v>187500000</v>
      </c>
      <c r="CM801" s="71"/>
      <c r="CN801" s="71"/>
    </row>
    <row r="802" spans="1:92" ht="16.5" hidden="1" x14ac:dyDescent="0.3">
      <c r="A802" s="2">
        <v>797</v>
      </c>
      <c r="B802" s="47" t="s">
        <v>963</v>
      </c>
      <c r="C802" s="47"/>
      <c r="D802" s="47"/>
      <c r="E802" s="47"/>
      <c r="F802" s="47"/>
      <c r="G802" s="47"/>
      <c r="H802" s="47"/>
      <c r="I802" s="47"/>
      <c r="J802" s="47"/>
      <c r="K802" s="47" t="s">
        <v>776</v>
      </c>
      <c r="L802" s="47"/>
      <c r="M802" s="47"/>
      <c r="N802" s="47"/>
      <c r="O802" s="155" t="s">
        <v>2169</v>
      </c>
      <c r="P802" s="155"/>
      <c r="Q802" s="155"/>
      <c r="R802" s="155"/>
      <c r="S802" s="155"/>
      <c r="T802" s="47"/>
      <c r="U802" s="47"/>
      <c r="V802" s="47"/>
      <c r="W802" s="47"/>
      <c r="X802" s="47" t="s">
        <v>353</v>
      </c>
      <c r="Y802" s="47" t="s">
        <v>2171</v>
      </c>
      <c r="Z802" s="47" t="s">
        <v>2171</v>
      </c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  <c r="AU802" s="56">
        <v>1500000000</v>
      </c>
      <c r="AV802" s="149"/>
      <c r="AW802" s="149"/>
      <c r="AX802" s="149"/>
      <c r="AY802" s="149"/>
      <c r="AZ802" s="149"/>
      <c r="BA802" s="56">
        <f t="shared" si="544"/>
        <v>1500000000</v>
      </c>
      <c r="BB802" s="56"/>
      <c r="BC802" s="47"/>
      <c r="BD802" s="47"/>
      <c r="BE802" s="47"/>
      <c r="BF802" s="47"/>
      <c r="BG802" s="47"/>
      <c r="BH802" s="30" t="s">
        <v>776</v>
      </c>
      <c r="BI802" s="30" t="s">
        <v>2170</v>
      </c>
      <c r="BJ802" s="47" t="s">
        <v>2164</v>
      </c>
      <c r="BK802" s="56">
        <f t="shared" si="546"/>
        <v>1500000000</v>
      </c>
      <c r="BL802" s="57">
        <f t="shared" ref="BL802:BL812" si="550">CP802/$BL$1/4</f>
        <v>0</v>
      </c>
      <c r="BM802" s="57">
        <f t="shared" ref="BM802:BM812" si="551">CP802/$BL$1/12</f>
        <v>0</v>
      </c>
      <c r="BU802" s="58">
        <f>BM802*3</f>
        <v>0</v>
      </c>
      <c r="BV802" s="58">
        <f t="shared" si="545"/>
        <v>0</v>
      </c>
      <c r="BW802" s="58">
        <f t="shared" si="523"/>
        <v>0</v>
      </c>
      <c r="BX802" s="58">
        <f t="shared" si="521"/>
        <v>0</v>
      </c>
      <c r="BY802" s="58">
        <f t="shared" si="533"/>
        <v>0</v>
      </c>
      <c r="BZ802" s="58">
        <f>BM802*3</f>
        <v>0</v>
      </c>
      <c r="CA802" s="58">
        <f t="shared" si="526"/>
        <v>0</v>
      </c>
      <c r="CB802" s="58">
        <f t="shared" si="539"/>
        <v>0</v>
      </c>
      <c r="CC802" s="58">
        <f t="shared" si="540"/>
        <v>0</v>
      </c>
      <c r="CD802" s="58">
        <f t="shared" si="543"/>
        <v>0</v>
      </c>
      <c r="CE802" s="58">
        <f t="shared" si="543"/>
        <v>0</v>
      </c>
      <c r="CF802" s="58">
        <f t="shared" si="543"/>
        <v>0</v>
      </c>
      <c r="CG802" s="58">
        <f t="shared" si="541"/>
        <v>0</v>
      </c>
      <c r="CH802" s="58">
        <f t="shared" si="547"/>
        <v>0</v>
      </c>
      <c r="CI802" s="58">
        <f t="shared" si="548"/>
        <v>0</v>
      </c>
      <c r="CJ802" s="58">
        <f t="shared" si="548"/>
        <v>0</v>
      </c>
      <c r="CK802" s="58">
        <f t="shared" si="548"/>
        <v>0</v>
      </c>
      <c r="CL802" s="58">
        <f t="shared" si="549"/>
        <v>0</v>
      </c>
    </row>
    <row r="803" spans="1:92" ht="16.5" hidden="1" x14ac:dyDescent="0.3">
      <c r="A803" s="2">
        <v>798</v>
      </c>
      <c r="B803" s="47" t="s">
        <v>963</v>
      </c>
      <c r="C803" s="149"/>
      <c r="D803" s="149"/>
      <c r="E803" s="149"/>
      <c r="F803" s="149"/>
      <c r="G803" s="149"/>
      <c r="H803" s="149"/>
      <c r="I803" s="149"/>
      <c r="J803" s="149"/>
      <c r="K803" s="150" t="s">
        <v>2172</v>
      </c>
      <c r="L803" s="149"/>
      <c r="M803" s="149"/>
      <c r="N803" s="149"/>
      <c r="O803" s="151" t="s">
        <v>2173</v>
      </c>
      <c r="P803" s="151"/>
      <c r="Q803" s="151"/>
      <c r="R803" s="151"/>
      <c r="S803" s="151"/>
      <c r="T803" s="149"/>
      <c r="U803" s="149"/>
      <c r="V803" s="149"/>
      <c r="W803" s="149"/>
      <c r="X803" s="149" t="s">
        <v>2161</v>
      </c>
      <c r="Y803" s="149" t="s">
        <v>2162</v>
      </c>
      <c r="Z803" s="149" t="s">
        <v>2162</v>
      </c>
      <c r="AA803" s="47"/>
      <c r="AB803" s="47"/>
      <c r="AC803" s="47"/>
      <c r="AD803" s="47"/>
      <c r="AE803" s="47"/>
      <c r="AF803" s="47"/>
      <c r="AG803" s="47"/>
      <c r="AH803" s="47"/>
      <c r="AI803" s="47"/>
      <c r="AJ803" s="149"/>
      <c r="AK803" s="149"/>
      <c r="AL803" s="149"/>
      <c r="AM803" s="149"/>
      <c r="AN803" s="149"/>
      <c r="AO803" s="149"/>
      <c r="AP803" s="149"/>
      <c r="AQ803" s="149"/>
      <c r="AR803" s="149"/>
      <c r="AS803" s="149"/>
      <c r="AT803" s="149"/>
      <c r="AU803" s="158">
        <v>4500000000</v>
      </c>
      <c r="AV803" s="149"/>
      <c r="AW803" s="149"/>
      <c r="AX803" s="149"/>
      <c r="AY803" s="149"/>
      <c r="AZ803" s="149"/>
      <c r="BA803" s="154">
        <f t="shared" si="544"/>
        <v>4500000000</v>
      </c>
      <c r="BB803" s="154"/>
      <c r="BC803" s="149"/>
      <c r="BD803" s="149"/>
      <c r="BE803" s="149"/>
      <c r="BF803" s="149"/>
      <c r="BG803" s="149"/>
      <c r="BH803" s="30" t="s">
        <v>1054</v>
      </c>
      <c r="BI803" s="30" t="s">
        <v>2170</v>
      </c>
      <c r="BJ803" s="149" t="s">
        <v>2164</v>
      </c>
      <c r="BK803" s="154">
        <f t="shared" si="546"/>
        <v>4500000000</v>
      </c>
      <c r="BL803" s="68">
        <f>BK803/$BL$1/4</f>
        <v>140625000</v>
      </c>
      <c r="BM803" s="68">
        <f>BK803/$BL$1/12</f>
        <v>46875000</v>
      </c>
      <c r="BP803" s="69">
        <f>BM803*3</f>
        <v>140625000</v>
      </c>
      <c r="BQ803" s="69">
        <f>BP803</f>
        <v>140625000</v>
      </c>
      <c r="BR803" s="69">
        <f>SUM(BN803:BQ803)</f>
        <v>281250000</v>
      </c>
      <c r="BS803" s="69">
        <f>BQ803</f>
        <v>140625000</v>
      </c>
      <c r="BT803" s="69">
        <f t="shared" si="545"/>
        <v>140625000</v>
      </c>
      <c r="BU803" s="100">
        <f t="shared" si="545"/>
        <v>140625000</v>
      </c>
      <c r="BV803" s="100">
        <f t="shared" si="545"/>
        <v>140625000</v>
      </c>
      <c r="BW803" s="100">
        <f t="shared" si="523"/>
        <v>562500000</v>
      </c>
      <c r="BX803" s="101">
        <f t="shared" si="521"/>
        <v>140625000</v>
      </c>
      <c r="BY803" s="101">
        <f t="shared" si="533"/>
        <v>140625000</v>
      </c>
      <c r="BZ803" s="18">
        <f t="shared" si="533"/>
        <v>140625000</v>
      </c>
      <c r="CA803" s="18">
        <f t="shared" si="526"/>
        <v>140625000</v>
      </c>
      <c r="CB803" s="70">
        <f t="shared" si="539"/>
        <v>562500000</v>
      </c>
      <c r="CC803" s="18">
        <f t="shared" si="540"/>
        <v>140625000</v>
      </c>
      <c r="CD803" s="18">
        <f t="shared" si="543"/>
        <v>140625000</v>
      </c>
      <c r="CE803" s="18">
        <f t="shared" si="543"/>
        <v>140625000</v>
      </c>
      <c r="CF803" s="18">
        <f t="shared" si="543"/>
        <v>140625000</v>
      </c>
      <c r="CG803" s="70">
        <f t="shared" si="541"/>
        <v>562500000</v>
      </c>
      <c r="CH803" s="18">
        <f t="shared" si="547"/>
        <v>140625000</v>
      </c>
      <c r="CI803" s="18">
        <f t="shared" si="548"/>
        <v>140625000</v>
      </c>
      <c r="CJ803" s="18">
        <f t="shared" si="548"/>
        <v>140625000</v>
      </c>
      <c r="CK803" s="18">
        <f t="shared" si="548"/>
        <v>140625000</v>
      </c>
      <c r="CL803" s="70">
        <f t="shared" si="549"/>
        <v>562500000</v>
      </c>
      <c r="CM803" s="71"/>
      <c r="CN803" s="71"/>
    </row>
    <row r="804" spans="1:92" ht="16.5" hidden="1" x14ac:dyDescent="0.3">
      <c r="A804" s="2">
        <v>799</v>
      </c>
      <c r="B804" s="47" t="s">
        <v>963</v>
      </c>
      <c r="C804" s="47"/>
      <c r="D804" s="47"/>
      <c r="E804" s="47"/>
      <c r="F804" s="47"/>
      <c r="G804" s="47"/>
      <c r="H804" s="47"/>
      <c r="I804" s="47"/>
      <c r="J804" s="47"/>
      <c r="K804" s="47" t="s">
        <v>2172</v>
      </c>
      <c r="L804" s="47"/>
      <c r="M804" s="47"/>
      <c r="N804" s="47"/>
      <c r="O804" s="155" t="s">
        <v>2174</v>
      </c>
      <c r="P804" s="155"/>
      <c r="Q804" s="155"/>
      <c r="R804" s="155"/>
      <c r="S804" s="155"/>
      <c r="T804" s="47"/>
      <c r="U804" s="47"/>
      <c r="V804" s="47"/>
      <c r="W804" s="47"/>
      <c r="X804" s="47" t="s">
        <v>353</v>
      </c>
      <c r="Y804" s="47" t="s">
        <v>2171</v>
      </c>
      <c r="Z804" s="47" t="s">
        <v>2171</v>
      </c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  <c r="AU804" s="56">
        <v>4000000000</v>
      </c>
      <c r="AV804" s="149"/>
      <c r="AW804" s="149"/>
      <c r="AX804" s="149"/>
      <c r="AY804" s="149"/>
      <c r="AZ804" s="149"/>
      <c r="BA804" s="56">
        <f t="shared" si="544"/>
        <v>4000000000</v>
      </c>
      <c r="BB804" s="56"/>
      <c r="BC804" s="47"/>
      <c r="BD804" s="47"/>
      <c r="BE804" s="47"/>
      <c r="BF804" s="47"/>
      <c r="BG804" s="47"/>
      <c r="BH804" s="30" t="s">
        <v>1054</v>
      </c>
      <c r="BI804" s="30" t="s">
        <v>2170</v>
      </c>
      <c r="BJ804" s="47" t="s">
        <v>2164</v>
      </c>
      <c r="BK804" s="56">
        <f t="shared" si="546"/>
        <v>4000000000</v>
      </c>
      <c r="BL804" s="57">
        <f t="shared" si="550"/>
        <v>0</v>
      </c>
      <c r="BM804" s="57">
        <f t="shared" si="551"/>
        <v>0</v>
      </c>
      <c r="BU804" s="58">
        <f>BM804*3</f>
        <v>0</v>
      </c>
      <c r="BV804" s="58">
        <f t="shared" si="545"/>
        <v>0</v>
      </c>
      <c r="BW804" s="58">
        <f t="shared" si="523"/>
        <v>0</v>
      </c>
      <c r="BX804" s="58">
        <f t="shared" si="521"/>
        <v>0</v>
      </c>
      <c r="BY804" s="58">
        <f t="shared" si="533"/>
        <v>0</v>
      </c>
      <c r="BZ804" s="58">
        <f>BM804*3</f>
        <v>0</v>
      </c>
      <c r="CA804" s="58">
        <f t="shared" si="526"/>
        <v>0</v>
      </c>
      <c r="CB804" s="58">
        <f t="shared" si="539"/>
        <v>0</v>
      </c>
      <c r="CC804" s="58">
        <f t="shared" si="540"/>
        <v>0</v>
      </c>
      <c r="CD804" s="58">
        <f t="shared" si="543"/>
        <v>0</v>
      </c>
      <c r="CE804" s="58">
        <f t="shared" si="543"/>
        <v>0</v>
      </c>
      <c r="CF804" s="58">
        <f t="shared" si="543"/>
        <v>0</v>
      </c>
      <c r="CG804" s="58">
        <f t="shared" si="541"/>
        <v>0</v>
      </c>
      <c r="CH804" s="58">
        <f t="shared" si="547"/>
        <v>0</v>
      </c>
      <c r="CI804" s="58">
        <f t="shared" si="548"/>
        <v>0</v>
      </c>
      <c r="CJ804" s="58">
        <f t="shared" si="548"/>
        <v>0</v>
      </c>
      <c r="CK804" s="58">
        <f t="shared" si="548"/>
        <v>0</v>
      </c>
      <c r="CL804" s="58">
        <f t="shared" si="549"/>
        <v>0</v>
      </c>
    </row>
    <row r="805" spans="1:92" ht="16.5" hidden="1" x14ac:dyDescent="0.3">
      <c r="A805" s="2">
        <v>800</v>
      </c>
      <c r="B805" s="47" t="s">
        <v>963</v>
      </c>
      <c r="C805" s="149"/>
      <c r="D805" s="149"/>
      <c r="E805" s="149"/>
      <c r="F805" s="149"/>
      <c r="G805" s="149"/>
      <c r="H805" s="149"/>
      <c r="I805" s="149"/>
      <c r="J805" s="149"/>
      <c r="K805" s="150" t="s">
        <v>2175</v>
      </c>
      <c r="L805" s="149"/>
      <c r="M805" s="149"/>
      <c r="N805" s="149"/>
      <c r="O805" s="151" t="s">
        <v>2176</v>
      </c>
      <c r="P805" s="151"/>
      <c r="Q805" s="151"/>
      <c r="R805" s="151"/>
      <c r="S805" s="151"/>
      <c r="T805" s="149"/>
      <c r="U805" s="149"/>
      <c r="V805" s="149"/>
      <c r="W805" s="149"/>
      <c r="X805" s="149" t="s">
        <v>2161</v>
      </c>
      <c r="Y805" s="149" t="s">
        <v>2162</v>
      </c>
      <c r="Z805" s="149" t="s">
        <v>2162</v>
      </c>
      <c r="AA805" s="47"/>
      <c r="AB805" s="47"/>
      <c r="AC805" s="47"/>
      <c r="AD805" s="47"/>
      <c r="AE805" s="47"/>
      <c r="AF805" s="47"/>
      <c r="AG805" s="47"/>
      <c r="AH805" s="47"/>
      <c r="AI805" s="47"/>
      <c r="AJ805" s="149"/>
      <c r="AK805" s="149"/>
      <c r="AL805" s="149"/>
      <c r="AM805" s="149"/>
      <c r="AN805" s="149"/>
      <c r="AO805" s="149"/>
      <c r="AP805" s="149"/>
      <c r="AQ805" s="149"/>
      <c r="AR805" s="149"/>
      <c r="AS805" s="149"/>
      <c r="AT805" s="149"/>
      <c r="AU805" s="158">
        <v>2500000000</v>
      </c>
      <c r="AV805" s="149"/>
      <c r="AW805" s="149"/>
      <c r="AX805" s="149"/>
      <c r="AY805" s="149"/>
      <c r="AZ805" s="149"/>
      <c r="BA805" s="154">
        <f t="shared" si="544"/>
        <v>2500000000</v>
      </c>
      <c r="BB805" s="154"/>
      <c r="BC805" s="149"/>
      <c r="BD805" s="149"/>
      <c r="BE805" s="149"/>
      <c r="BF805" s="149"/>
      <c r="BG805" s="149"/>
      <c r="BH805" s="30" t="s">
        <v>136</v>
      </c>
      <c r="BI805" s="30" t="s">
        <v>2170</v>
      </c>
      <c r="BJ805" s="149" t="s">
        <v>2164</v>
      </c>
      <c r="BK805" s="154">
        <f t="shared" si="546"/>
        <v>2500000000</v>
      </c>
      <c r="BL805" s="68">
        <f>BK805/$BL$1/4</f>
        <v>78125000</v>
      </c>
      <c r="BM805" s="68">
        <f>BK805/$BL$1/12</f>
        <v>26041666.666666668</v>
      </c>
      <c r="BP805" s="69">
        <f>BM805*3</f>
        <v>78125000</v>
      </c>
      <c r="BQ805" s="69">
        <f>BP805</f>
        <v>78125000</v>
      </c>
      <c r="BR805" s="69">
        <f>SUM(BN805:BQ805)</f>
        <v>156250000</v>
      </c>
      <c r="BS805" s="69">
        <f>BQ805</f>
        <v>78125000</v>
      </c>
      <c r="BT805" s="69">
        <f t="shared" si="545"/>
        <v>78125000</v>
      </c>
      <c r="BU805" s="100">
        <f t="shared" si="545"/>
        <v>78125000</v>
      </c>
      <c r="BV805" s="100">
        <f t="shared" si="545"/>
        <v>78125000</v>
      </c>
      <c r="BW805" s="100">
        <f t="shared" si="523"/>
        <v>312500000</v>
      </c>
      <c r="BX805" s="101">
        <f t="shared" si="521"/>
        <v>78125000</v>
      </c>
      <c r="BY805" s="101">
        <f t="shared" si="533"/>
        <v>78125000</v>
      </c>
      <c r="BZ805" s="18">
        <f t="shared" si="533"/>
        <v>78125000</v>
      </c>
      <c r="CA805" s="18">
        <f t="shared" si="526"/>
        <v>78125000</v>
      </c>
      <c r="CB805" s="70">
        <f t="shared" si="539"/>
        <v>312500000</v>
      </c>
      <c r="CC805" s="18">
        <f t="shared" si="540"/>
        <v>78125000</v>
      </c>
      <c r="CD805" s="18">
        <f t="shared" si="543"/>
        <v>78125000</v>
      </c>
      <c r="CE805" s="18">
        <f t="shared" si="543"/>
        <v>78125000</v>
      </c>
      <c r="CF805" s="18">
        <f t="shared" si="543"/>
        <v>78125000</v>
      </c>
      <c r="CG805" s="70">
        <f t="shared" si="541"/>
        <v>312500000</v>
      </c>
      <c r="CH805" s="18">
        <f t="shared" si="547"/>
        <v>78125000</v>
      </c>
      <c r="CI805" s="18">
        <f t="shared" si="548"/>
        <v>78125000</v>
      </c>
      <c r="CJ805" s="18">
        <f t="shared" si="548"/>
        <v>78125000</v>
      </c>
      <c r="CK805" s="18">
        <f t="shared" si="548"/>
        <v>78125000</v>
      </c>
      <c r="CL805" s="70">
        <f t="shared" si="549"/>
        <v>312500000</v>
      </c>
      <c r="CM805" s="71"/>
      <c r="CN805" s="71"/>
    </row>
    <row r="806" spans="1:92" ht="16.5" hidden="1" x14ac:dyDescent="0.3">
      <c r="A806" s="2">
        <v>801</v>
      </c>
      <c r="B806" s="47" t="s">
        <v>963</v>
      </c>
      <c r="C806" s="47"/>
      <c r="D806" s="47"/>
      <c r="E806" s="47"/>
      <c r="F806" s="47"/>
      <c r="G806" s="47"/>
      <c r="H806" s="47"/>
      <c r="I806" s="47"/>
      <c r="J806" s="47"/>
      <c r="K806" s="47" t="s">
        <v>2175</v>
      </c>
      <c r="L806" s="47"/>
      <c r="M806" s="47"/>
      <c r="N806" s="47"/>
      <c r="O806" s="155" t="s">
        <v>2176</v>
      </c>
      <c r="P806" s="155"/>
      <c r="Q806" s="155"/>
      <c r="R806" s="155"/>
      <c r="S806" s="155"/>
      <c r="T806" s="47"/>
      <c r="U806" s="47"/>
      <c r="V806" s="47"/>
      <c r="W806" s="47"/>
      <c r="X806" s="47" t="s">
        <v>353</v>
      </c>
      <c r="Y806" s="47" t="s">
        <v>2162</v>
      </c>
      <c r="Z806" s="47" t="s">
        <v>2162</v>
      </c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  <c r="AU806" s="56">
        <v>2500000000</v>
      </c>
      <c r="AV806" s="149"/>
      <c r="AW806" s="149"/>
      <c r="AX806" s="149"/>
      <c r="AY806" s="149"/>
      <c r="AZ806" s="149"/>
      <c r="BA806" s="56">
        <f t="shared" si="544"/>
        <v>2500000000</v>
      </c>
      <c r="BB806" s="56"/>
      <c r="BC806" s="47"/>
      <c r="BD806" s="47"/>
      <c r="BE806" s="47"/>
      <c r="BF806" s="47"/>
      <c r="BG806" s="47"/>
      <c r="BH806" s="30" t="s">
        <v>136</v>
      </c>
      <c r="BI806" s="30" t="s">
        <v>2170</v>
      </c>
      <c r="BJ806" s="47" t="s">
        <v>2164</v>
      </c>
      <c r="BK806" s="56">
        <f t="shared" si="546"/>
        <v>2500000000</v>
      </c>
      <c r="BL806" s="57">
        <f t="shared" si="550"/>
        <v>0</v>
      </c>
      <c r="BM806" s="57">
        <f t="shared" si="551"/>
        <v>0</v>
      </c>
      <c r="BU806" s="58">
        <f>BM806*3</f>
        <v>0</v>
      </c>
      <c r="BV806" s="58">
        <f t="shared" si="545"/>
        <v>0</v>
      </c>
      <c r="BW806" s="58">
        <f t="shared" si="523"/>
        <v>0</v>
      </c>
      <c r="BX806" s="58">
        <f t="shared" si="521"/>
        <v>0</v>
      </c>
      <c r="BY806" s="58">
        <f t="shared" si="533"/>
        <v>0</v>
      </c>
      <c r="BZ806" s="58">
        <f>BM806*3</f>
        <v>0</v>
      </c>
      <c r="CA806" s="58">
        <f t="shared" si="526"/>
        <v>0</v>
      </c>
      <c r="CB806" s="58">
        <f t="shared" si="539"/>
        <v>0</v>
      </c>
      <c r="CC806" s="58">
        <f t="shared" si="540"/>
        <v>0</v>
      </c>
      <c r="CD806" s="58">
        <f t="shared" si="543"/>
        <v>0</v>
      </c>
      <c r="CE806" s="58">
        <f t="shared" si="543"/>
        <v>0</v>
      </c>
      <c r="CF806" s="58">
        <f t="shared" si="543"/>
        <v>0</v>
      </c>
      <c r="CG806" s="58">
        <f t="shared" si="541"/>
        <v>0</v>
      </c>
      <c r="CH806" s="58">
        <f t="shared" si="547"/>
        <v>0</v>
      </c>
      <c r="CI806" s="58">
        <f t="shared" si="548"/>
        <v>0</v>
      </c>
      <c r="CJ806" s="58">
        <f t="shared" si="548"/>
        <v>0</v>
      </c>
      <c r="CK806" s="58">
        <f t="shared" si="548"/>
        <v>0</v>
      </c>
      <c r="CL806" s="58">
        <f t="shared" si="549"/>
        <v>0</v>
      </c>
    </row>
    <row r="807" spans="1:92" ht="16.5" hidden="1" x14ac:dyDescent="0.3">
      <c r="A807" s="2">
        <v>802</v>
      </c>
      <c r="B807" s="47" t="s">
        <v>963</v>
      </c>
      <c r="C807" s="149"/>
      <c r="D807" s="149"/>
      <c r="E807" s="149"/>
      <c r="F807" s="149"/>
      <c r="G807" s="149"/>
      <c r="H807" s="149"/>
      <c r="I807" s="149"/>
      <c r="J807" s="149"/>
      <c r="K807" s="150" t="s">
        <v>2177</v>
      </c>
      <c r="L807" s="149"/>
      <c r="M807" s="149"/>
      <c r="N807" s="149"/>
      <c r="O807" s="151" t="s">
        <v>2178</v>
      </c>
      <c r="P807" s="151"/>
      <c r="Q807" s="151"/>
      <c r="R807" s="151"/>
      <c r="S807" s="151"/>
      <c r="T807" s="149"/>
      <c r="U807" s="149"/>
      <c r="V807" s="149"/>
      <c r="W807" s="149"/>
      <c r="X807" s="149" t="s">
        <v>2161</v>
      </c>
      <c r="Y807" s="149" t="s">
        <v>2162</v>
      </c>
      <c r="Z807" s="149" t="s">
        <v>2162</v>
      </c>
      <c r="AA807" s="47"/>
      <c r="AB807" s="47"/>
      <c r="AC807" s="47"/>
      <c r="AD807" s="47"/>
      <c r="AE807" s="47"/>
      <c r="AF807" s="47"/>
      <c r="AG807" s="47"/>
      <c r="AH807" s="47"/>
      <c r="AI807" s="47"/>
      <c r="AJ807" s="149"/>
      <c r="AK807" s="149"/>
      <c r="AL807" s="149"/>
      <c r="AM807" s="149"/>
      <c r="AN807" s="149"/>
      <c r="AO807" s="149"/>
      <c r="AP807" s="149"/>
      <c r="AQ807" s="149"/>
      <c r="AR807" s="149"/>
      <c r="AS807" s="149"/>
      <c r="AT807" s="149"/>
      <c r="AU807" s="158">
        <v>1500000000</v>
      </c>
      <c r="AV807" s="149"/>
      <c r="AW807" s="149"/>
      <c r="AX807" s="149"/>
      <c r="AY807" s="149"/>
      <c r="AZ807" s="149"/>
      <c r="BA807" s="154">
        <f t="shared" si="544"/>
        <v>1500000000</v>
      </c>
      <c r="BB807" s="154"/>
      <c r="BC807" s="149"/>
      <c r="BD807" s="149"/>
      <c r="BE807" s="149"/>
      <c r="BF807" s="149"/>
      <c r="BG807" s="149"/>
      <c r="BH807" s="30" t="s">
        <v>1054</v>
      </c>
      <c r="BI807" s="30" t="s">
        <v>2170</v>
      </c>
      <c r="BJ807" s="149" t="s">
        <v>2164</v>
      </c>
      <c r="BK807" s="154">
        <f t="shared" si="546"/>
        <v>1500000000</v>
      </c>
      <c r="BL807" s="68">
        <f>BK807/$BL$1/4</f>
        <v>46875000</v>
      </c>
      <c r="BM807" s="68">
        <f>BK807/$BL$1/12</f>
        <v>15625000</v>
      </c>
      <c r="BP807" s="69">
        <f>BM807*3</f>
        <v>46875000</v>
      </c>
      <c r="BQ807" s="69">
        <f>BP807</f>
        <v>46875000</v>
      </c>
      <c r="BR807" s="69">
        <f>SUM(BN807:BQ807)</f>
        <v>93750000</v>
      </c>
      <c r="BS807" s="69">
        <f>BQ807</f>
        <v>46875000</v>
      </c>
      <c r="BT807" s="69">
        <f t="shared" ref="BT807:BV810" si="552">BS807</f>
        <v>46875000</v>
      </c>
      <c r="BU807" s="100">
        <f t="shared" si="552"/>
        <v>46875000</v>
      </c>
      <c r="BV807" s="100">
        <f t="shared" si="552"/>
        <v>46875000</v>
      </c>
      <c r="BW807" s="100">
        <f t="shared" si="523"/>
        <v>187500000</v>
      </c>
      <c r="BX807" s="101">
        <f t="shared" si="521"/>
        <v>46875000</v>
      </c>
      <c r="BY807" s="101">
        <f t="shared" si="533"/>
        <v>46875000</v>
      </c>
      <c r="BZ807" s="18">
        <f t="shared" si="533"/>
        <v>46875000</v>
      </c>
      <c r="CA807" s="18">
        <f t="shared" si="526"/>
        <v>46875000</v>
      </c>
      <c r="CB807" s="70">
        <f t="shared" si="539"/>
        <v>187500000</v>
      </c>
      <c r="CC807" s="18">
        <f t="shared" si="540"/>
        <v>46875000</v>
      </c>
      <c r="CD807" s="18">
        <f t="shared" si="543"/>
        <v>46875000</v>
      </c>
      <c r="CE807" s="18">
        <f t="shared" si="543"/>
        <v>46875000</v>
      </c>
      <c r="CF807" s="18">
        <f t="shared" si="543"/>
        <v>46875000</v>
      </c>
      <c r="CG807" s="70">
        <f t="shared" si="541"/>
        <v>187500000</v>
      </c>
      <c r="CH807" s="18">
        <f t="shared" si="547"/>
        <v>46875000</v>
      </c>
      <c r="CI807" s="18">
        <f t="shared" si="548"/>
        <v>46875000</v>
      </c>
      <c r="CJ807" s="18">
        <f t="shared" si="548"/>
        <v>46875000</v>
      </c>
      <c r="CK807" s="18">
        <f t="shared" si="548"/>
        <v>46875000</v>
      </c>
      <c r="CL807" s="70">
        <f t="shared" si="549"/>
        <v>187500000</v>
      </c>
      <c r="CM807" s="71"/>
      <c r="CN807" s="71"/>
    </row>
    <row r="808" spans="1:92" ht="16.5" hidden="1" x14ac:dyDescent="0.3">
      <c r="A808" s="2">
        <v>803</v>
      </c>
      <c r="B808" s="47" t="s">
        <v>963</v>
      </c>
      <c r="C808" s="47"/>
      <c r="D808" s="47"/>
      <c r="E808" s="47"/>
      <c r="F808" s="47"/>
      <c r="G808" s="47"/>
      <c r="H808" s="47"/>
      <c r="I808" s="47"/>
      <c r="J808" s="47"/>
      <c r="K808" s="47" t="s">
        <v>2177</v>
      </c>
      <c r="L808" s="47"/>
      <c r="M808" s="47"/>
      <c r="N808" s="47"/>
      <c r="O808" s="155" t="s">
        <v>2179</v>
      </c>
      <c r="P808" s="155"/>
      <c r="Q808" s="155"/>
      <c r="R808" s="155"/>
      <c r="S808" s="155"/>
      <c r="T808" s="47"/>
      <c r="U808" s="47"/>
      <c r="V808" s="47"/>
      <c r="W808" s="47"/>
      <c r="X808" s="47" t="s">
        <v>353</v>
      </c>
      <c r="Y808" s="47" t="s">
        <v>2162</v>
      </c>
      <c r="Z808" s="47" t="s">
        <v>2162</v>
      </c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  <c r="AU808" s="56">
        <v>900000000</v>
      </c>
      <c r="AV808" s="149"/>
      <c r="AW808" s="149"/>
      <c r="AX808" s="149"/>
      <c r="AY808" s="149"/>
      <c r="AZ808" s="149"/>
      <c r="BA808" s="56">
        <f t="shared" si="544"/>
        <v>900000000</v>
      </c>
      <c r="BB808" s="56"/>
      <c r="BC808" s="47"/>
      <c r="BD808" s="47"/>
      <c r="BE808" s="47"/>
      <c r="BF808" s="47"/>
      <c r="BG808" s="47"/>
      <c r="BH808" s="30"/>
      <c r="BI808" s="30"/>
      <c r="BJ808" s="47"/>
      <c r="BK808" s="56">
        <f>BA808</f>
        <v>900000000</v>
      </c>
      <c r="BL808" s="57">
        <f t="shared" si="550"/>
        <v>0</v>
      </c>
      <c r="BM808" s="57">
        <f t="shared" si="551"/>
        <v>0</v>
      </c>
      <c r="BU808" s="58">
        <f>BM808*3</f>
        <v>0</v>
      </c>
      <c r="BV808" s="58">
        <f t="shared" si="552"/>
        <v>0</v>
      </c>
      <c r="BW808" s="58">
        <f t="shared" si="523"/>
        <v>0</v>
      </c>
      <c r="BX808" s="58">
        <f t="shared" si="521"/>
        <v>0</v>
      </c>
      <c r="BY808" s="58">
        <f t="shared" si="533"/>
        <v>0</v>
      </c>
      <c r="BZ808" s="58">
        <f>BM808*3</f>
        <v>0</v>
      </c>
      <c r="CA808" s="58">
        <f t="shared" si="526"/>
        <v>0</v>
      </c>
      <c r="CB808" s="58">
        <f t="shared" si="539"/>
        <v>0</v>
      </c>
      <c r="CC808" s="58">
        <f t="shared" si="540"/>
        <v>0</v>
      </c>
      <c r="CD808" s="58">
        <f t="shared" si="543"/>
        <v>0</v>
      </c>
      <c r="CE808" s="58">
        <f t="shared" si="543"/>
        <v>0</v>
      </c>
      <c r="CF808" s="58">
        <f t="shared" si="543"/>
        <v>0</v>
      </c>
      <c r="CG808" s="58">
        <f t="shared" si="541"/>
        <v>0</v>
      </c>
      <c r="CH808" s="58">
        <f t="shared" si="547"/>
        <v>0</v>
      </c>
      <c r="CI808" s="58">
        <f t="shared" si="548"/>
        <v>0</v>
      </c>
      <c r="CJ808" s="58">
        <f t="shared" si="548"/>
        <v>0</v>
      </c>
      <c r="CK808" s="58">
        <f t="shared" si="548"/>
        <v>0</v>
      </c>
      <c r="CL808" s="58">
        <f t="shared" si="549"/>
        <v>0</v>
      </c>
    </row>
    <row r="809" spans="1:92" ht="16.5" hidden="1" x14ac:dyDescent="0.3">
      <c r="A809" s="2">
        <v>804</v>
      </c>
      <c r="B809" s="47" t="s">
        <v>963</v>
      </c>
      <c r="C809" s="149"/>
      <c r="D809" s="149"/>
      <c r="E809" s="149"/>
      <c r="F809" s="149"/>
      <c r="G809" s="149"/>
      <c r="H809" s="149"/>
      <c r="I809" s="149"/>
      <c r="J809" s="149"/>
      <c r="K809" s="150" t="s">
        <v>2180</v>
      </c>
      <c r="L809" s="149"/>
      <c r="M809" s="149"/>
      <c r="N809" s="149"/>
      <c r="O809" s="151" t="s">
        <v>2181</v>
      </c>
      <c r="P809" s="151"/>
      <c r="Q809" s="151"/>
      <c r="R809" s="151"/>
      <c r="S809" s="151"/>
      <c r="T809" s="149"/>
      <c r="U809" s="149"/>
      <c r="V809" s="149"/>
      <c r="W809" s="149"/>
      <c r="X809" s="149" t="s">
        <v>2161</v>
      </c>
      <c r="Y809" s="149" t="s">
        <v>2162</v>
      </c>
      <c r="Z809" s="149" t="s">
        <v>2162</v>
      </c>
      <c r="AA809" s="47"/>
      <c r="AB809" s="47"/>
      <c r="AC809" s="47"/>
      <c r="AD809" s="47"/>
      <c r="AE809" s="47"/>
      <c r="AF809" s="47"/>
      <c r="AG809" s="47"/>
      <c r="AH809" s="47"/>
      <c r="AI809" s="47"/>
      <c r="AJ809" s="149"/>
      <c r="AK809" s="149"/>
      <c r="AL809" s="149"/>
      <c r="AM809" s="149"/>
      <c r="AN809" s="149"/>
      <c r="AO809" s="149"/>
      <c r="AP809" s="149"/>
      <c r="AQ809" s="149"/>
      <c r="AR809" s="149"/>
      <c r="AS809" s="149"/>
      <c r="AT809" s="149"/>
      <c r="AU809" s="154">
        <v>4000000000</v>
      </c>
      <c r="AV809" s="149"/>
      <c r="AW809" s="149"/>
      <c r="AX809" s="149"/>
      <c r="AY809" s="149"/>
      <c r="AZ809" s="149"/>
      <c r="BA809" s="154">
        <f t="shared" si="544"/>
        <v>4000000000</v>
      </c>
      <c r="BB809" s="154"/>
      <c r="BC809" s="149"/>
      <c r="BD809" s="149"/>
      <c r="BE809" s="149"/>
      <c r="BF809" s="149"/>
      <c r="BG809" s="149"/>
      <c r="BH809" s="30" t="s">
        <v>569</v>
      </c>
      <c r="BI809" s="30" t="s">
        <v>2170</v>
      </c>
      <c r="BJ809" s="149" t="s">
        <v>2164</v>
      </c>
      <c r="BK809" s="154">
        <f t="shared" si="546"/>
        <v>4000000000</v>
      </c>
      <c r="BL809" s="68">
        <f>BK809/$BL$1/4</f>
        <v>125000000</v>
      </c>
      <c r="BM809" s="68">
        <f>BK809/$BL$1/12</f>
        <v>41666666.666666664</v>
      </c>
      <c r="BP809" s="69">
        <f>BM809*3</f>
        <v>125000000</v>
      </c>
      <c r="BQ809" s="69">
        <f>BP809</f>
        <v>125000000</v>
      </c>
      <c r="BR809" s="69">
        <f>SUM(BN809:BQ809)</f>
        <v>250000000</v>
      </c>
      <c r="BS809" s="69">
        <f>BQ809</f>
        <v>125000000</v>
      </c>
      <c r="BT809" s="69">
        <f t="shared" si="552"/>
        <v>125000000</v>
      </c>
      <c r="BU809" s="100">
        <f t="shared" si="552"/>
        <v>125000000</v>
      </c>
      <c r="BV809" s="100">
        <f t="shared" si="552"/>
        <v>125000000</v>
      </c>
      <c r="BW809" s="100">
        <f t="shared" si="523"/>
        <v>500000000</v>
      </c>
      <c r="BX809" s="101">
        <f t="shared" si="521"/>
        <v>125000000</v>
      </c>
      <c r="BY809" s="101">
        <f t="shared" si="533"/>
        <v>125000000</v>
      </c>
      <c r="BZ809" s="18">
        <f t="shared" si="533"/>
        <v>125000000</v>
      </c>
      <c r="CA809" s="18">
        <f t="shared" si="526"/>
        <v>125000000</v>
      </c>
      <c r="CB809" s="70">
        <f t="shared" si="539"/>
        <v>500000000</v>
      </c>
      <c r="CC809" s="18">
        <f t="shared" si="540"/>
        <v>125000000</v>
      </c>
      <c r="CD809" s="18">
        <f t="shared" si="543"/>
        <v>125000000</v>
      </c>
      <c r="CE809" s="18">
        <f t="shared" si="543"/>
        <v>125000000</v>
      </c>
      <c r="CF809" s="18">
        <f t="shared" si="543"/>
        <v>125000000</v>
      </c>
      <c r="CG809" s="70">
        <f t="shared" si="541"/>
        <v>500000000</v>
      </c>
      <c r="CH809" s="18">
        <f t="shared" si="547"/>
        <v>125000000</v>
      </c>
      <c r="CI809" s="18">
        <f t="shared" si="548"/>
        <v>125000000</v>
      </c>
      <c r="CJ809" s="18">
        <f t="shared" si="548"/>
        <v>125000000</v>
      </c>
      <c r="CK809" s="18">
        <f t="shared" si="548"/>
        <v>125000000</v>
      </c>
      <c r="CL809" s="70">
        <f t="shared" si="549"/>
        <v>500000000</v>
      </c>
      <c r="CM809" s="71"/>
      <c r="CN809" s="71"/>
    </row>
    <row r="810" spans="1:92" hidden="1" x14ac:dyDescent="0.3">
      <c r="A810" s="2">
        <v>805</v>
      </c>
      <c r="B810" s="47" t="s">
        <v>963</v>
      </c>
      <c r="C810" s="47"/>
      <c r="D810" s="47"/>
      <c r="E810" s="47"/>
      <c r="F810" s="47"/>
      <c r="G810" s="47"/>
      <c r="H810" s="47"/>
      <c r="I810" s="47"/>
      <c r="J810" s="47"/>
      <c r="K810" s="47" t="s">
        <v>2180</v>
      </c>
      <c r="L810" s="47"/>
      <c r="M810" s="47"/>
      <c r="N810" s="47"/>
      <c r="O810" s="155" t="s">
        <v>2182</v>
      </c>
      <c r="P810" s="155"/>
      <c r="Q810" s="155"/>
      <c r="R810" s="155"/>
      <c r="S810" s="155"/>
      <c r="T810" s="47"/>
      <c r="U810" s="47"/>
      <c r="V810" s="47"/>
      <c r="W810" s="47"/>
      <c r="X810" s="103" t="s">
        <v>602</v>
      </c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  <c r="AU810" s="56">
        <v>2000000000</v>
      </c>
      <c r="AV810" s="149"/>
      <c r="AW810" s="149"/>
      <c r="AX810" s="149"/>
      <c r="AY810" s="149"/>
      <c r="AZ810" s="149"/>
      <c r="BA810" s="56">
        <f t="shared" si="544"/>
        <v>2000000000</v>
      </c>
      <c r="BB810" s="56"/>
      <c r="BC810" s="47"/>
      <c r="BD810" s="47"/>
      <c r="BE810" s="47"/>
      <c r="BF810" s="47"/>
      <c r="BG810" s="47"/>
      <c r="BH810" s="30"/>
      <c r="BI810" s="30"/>
      <c r="BJ810" s="47"/>
      <c r="BK810" s="56">
        <f>BA810</f>
        <v>2000000000</v>
      </c>
      <c r="BL810" s="57">
        <f t="shared" si="550"/>
        <v>0</v>
      </c>
      <c r="BM810" s="57">
        <f t="shared" si="551"/>
        <v>0</v>
      </c>
      <c r="BU810" s="58">
        <f>BM810*3</f>
        <v>0</v>
      </c>
      <c r="BV810" s="58">
        <f t="shared" si="552"/>
        <v>0</v>
      </c>
      <c r="BW810" s="58">
        <f t="shared" si="523"/>
        <v>0</v>
      </c>
      <c r="BX810" s="58">
        <f t="shared" si="521"/>
        <v>0</v>
      </c>
      <c r="BY810" s="58">
        <f t="shared" si="533"/>
        <v>0</v>
      </c>
      <c r="BZ810" s="58">
        <f>BM810*3</f>
        <v>0</v>
      </c>
      <c r="CA810" s="58">
        <f t="shared" si="526"/>
        <v>0</v>
      </c>
      <c r="CB810" s="58">
        <f t="shared" si="539"/>
        <v>0</v>
      </c>
      <c r="CC810" s="58">
        <f t="shared" si="540"/>
        <v>0</v>
      </c>
      <c r="CD810" s="58">
        <f t="shared" si="543"/>
        <v>0</v>
      </c>
      <c r="CE810" s="58">
        <f t="shared" si="543"/>
        <v>0</v>
      </c>
      <c r="CF810" s="58">
        <f t="shared" si="543"/>
        <v>0</v>
      </c>
      <c r="CG810" s="58">
        <f t="shared" si="541"/>
        <v>0</v>
      </c>
      <c r="CH810" s="58">
        <f t="shared" si="547"/>
        <v>0</v>
      </c>
      <c r="CI810" s="58">
        <f t="shared" si="548"/>
        <v>0</v>
      </c>
      <c r="CJ810" s="58">
        <f t="shared" si="548"/>
        <v>0</v>
      </c>
      <c r="CK810" s="58">
        <f t="shared" si="548"/>
        <v>0</v>
      </c>
      <c r="CL810" s="58">
        <f t="shared" si="549"/>
        <v>0</v>
      </c>
    </row>
    <row r="811" spans="1:92" ht="16.5" hidden="1" x14ac:dyDescent="0.3">
      <c r="A811" s="2">
        <v>806</v>
      </c>
      <c r="B811" s="47" t="s">
        <v>963</v>
      </c>
      <c r="C811" s="149"/>
      <c r="D811" s="149"/>
      <c r="E811" s="149"/>
      <c r="F811" s="149"/>
      <c r="G811" s="149"/>
      <c r="H811" s="149"/>
      <c r="I811" s="149"/>
      <c r="J811" s="149"/>
      <c r="K811" s="150" t="s">
        <v>2180</v>
      </c>
      <c r="L811" s="149"/>
      <c r="M811" s="149"/>
      <c r="N811" s="149"/>
      <c r="O811" s="151" t="s">
        <v>2183</v>
      </c>
      <c r="P811" s="151"/>
      <c r="Q811" s="151"/>
      <c r="R811" s="151"/>
      <c r="S811" s="151"/>
      <c r="T811" s="149"/>
      <c r="U811" s="149"/>
      <c r="V811" s="149"/>
      <c r="W811" s="149"/>
      <c r="X811" s="149" t="s">
        <v>2161</v>
      </c>
      <c r="Y811" s="149" t="s">
        <v>2162</v>
      </c>
      <c r="Z811" s="149" t="s">
        <v>2162</v>
      </c>
      <c r="AA811" s="47"/>
      <c r="AB811" s="47"/>
      <c r="AC811" s="47"/>
      <c r="AD811" s="47"/>
      <c r="AE811" s="47"/>
      <c r="AF811" s="47"/>
      <c r="AG811" s="47"/>
      <c r="AH811" s="47"/>
      <c r="AI811" s="47"/>
      <c r="AJ811" s="149"/>
      <c r="AK811" s="149"/>
      <c r="AL811" s="149"/>
      <c r="AM811" s="149"/>
      <c r="AN811" s="149"/>
      <c r="AO811" s="149"/>
      <c r="AP811" s="149"/>
      <c r="AQ811" s="149"/>
      <c r="AR811" s="149"/>
      <c r="AS811" s="149"/>
      <c r="AT811" s="149"/>
      <c r="AU811" s="154">
        <v>4500000000</v>
      </c>
      <c r="AV811" s="149"/>
      <c r="AW811" s="149"/>
      <c r="AX811" s="149"/>
      <c r="AY811" s="149"/>
      <c r="AZ811" s="149"/>
      <c r="BA811" s="154">
        <f t="shared" si="544"/>
        <v>4500000000</v>
      </c>
      <c r="BB811" s="154"/>
      <c r="BC811" s="149"/>
      <c r="BD811" s="149"/>
      <c r="BE811" s="149"/>
      <c r="BF811" s="149"/>
      <c r="BG811" s="149"/>
      <c r="BH811" s="30" t="s">
        <v>569</v>
      </c>
      <c r="BI811" s="30" t="s">
        <v>2170</v>
      </c>
      <c r="BJ811" s="149" t="s">
        <v>2164</v>
      </c>
      <c r="BK811" s="154">
        <f t="shared" si="546"/>
        <v>4500000000</v>
      </c>
      <c r="BL811" s="68">
        <f>BK811/$BL$1/4</f>
        <v>140625000</v>
      </c>
      <c r="BM811" s="68">
        <f>BK811/$BL$1/12</f>
        <v>46875000</v>
      </c>
      <c r="BP811" s="69">
        <f>BM811*3</f>
        <v>140625000</v>
      </c>
      <c r="BQ811" s="69">
        <f>BP811</f>
        <v>140625000</v>
      </c>
      <c r="BR811" s="69">
        <f>SUM(BN811:BQ811)</f>
        <v>281250000</v>
      </c>
      <c r="BS811" s="69">
        <f>BQ811</f>
        <v>140625000</v>
      </c>
      <c r="BT811" s="69">
        <f t="shared" ref="BT811:BV826" si="553">BS811</f>
        <v>140625000</v>
      </c>
      <c r="BU811" s="100">
        <f t="shared" si="553"/>
        <v>140625000</v>
      </c>
      <c r="BV811" s="100">
        <f t="shared" si="553"/>
        <v>140625000</v>
      </c>
      <c r="BW811" s="100">
        <f t="shared" si="523"/>
        <v>562500000</v>
      </c>
      <c r="BX811" s="101">
        <f t="shared" si="521"/>
        <v>140625000</v>
      </c>
      <c r="BY811" s="101">
        <f t="shared" si="533"/>
        <v>140625000</v>
      </c>
      <c r="BZ811" s="18">
        <f t="shared" si="533"/>
        <v>140625000</v>
      </c>
      <c r="CA811" s="18">
        <f t="shared" si="533"/>
        <v>140625000</v>
      </c>
      <c r="CB811" s="70">
        <f t="shared" si="539"/>
        <v>562500000</v>
      </c>
      <c r="CC811" s="18">
        <f t="shared" si="540"/>
        <v>140625000</v>
      </c>
      <c r="CD811" s="18">
        <f t="shared" ref="CD811:CF818" si="554">CC811</f>
        <v>140625000</v>
      </c>
      <c r="CE811" s="18">
        <f t="shared" si="554"/>
        <v>140625000</v>
      </c>
      <c r="CF811" s="18">
        <f t="shared" si="554"/>
        <v>140625000</v>
      </c>
      <c r="CG811" s="70">
        <f t="shared" si="541"/>
        <v>562500000</v>
      </c>
      <c r="CH811" s="18">
        <f t="shared" si="547"/>
        <v>140625000</v>
      </c>
      <c r="CI811" s="18">
        <f t="shared" si="548"/>
        <v>140625000</v>
      </c>
      <c r="CJ811" s="18">
        <f t="shared" si="548"/>
        <v>140625000</v>
      </c>
      <c r="CK811" s="18">
        <f t="shared" si="548"/>
        <v>140625000</v>
      </c>
      <c r="CL811" s="70">
        <f t="shared" si="549"/>
        <v>562500000</v>
      </c>
      <c r="CM811" s="71"/>
      <c r="CN811" s="71"/>
    </row>
    <row r="812" spans="1:92" hidden="1" x14ac:dyDescent="0.3">
      <c r="A812" s="2">
        <v>807</v>
      </c>
      <c r="B812" s="47" t="s">
        <v>963</v>
      </c>
      <c r="C812" s="47"/>
      <c r="D812" s="47"/>
      <c r="E812" s="47"/>
      <c r="F812" s="47"/>
      <c r="G812" s="47"/>
      <c r="H812" s="47"/>
      <c r="I812" s="47"/>
      <c r="J812" s="47"/>
      <c r="K812" s="47" t="s">
        <v>2180</v>
      </c>
      <c r="L812" s="47"/>
      <c r="M812" s="47"/>
      <c r="N812" s="47"/>
      <c r="O812" s="155" t="s">
        <v>2184</v>
      </c>
      <c r="P812" s="155"/>
      <c r="Q812" s="155"/>
      <c r="R812" s="155"/>
      <c r="S812" s="155"/>
      <c r="T812" s="47"/>
      <c r="U812" s="47"/>
      <c r="V812" s="47"/>
      <c r="W812" s="47"/>
      <c r="X812" s="103" t="s">
        <v>602</v>
      </c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56">
        <v>3500000000</v>
      </c>
      <c r="AV812" s="149"/>
      <c r="AW812" s="149"/>
      <c r="AX812" s="149"/>
      <c r="AY812" s="149"/>
      <c r="AZ812" s="149"/>
      <c r="BA812" s="56">
        <f t="shared" si="544"/>
        <v>3500000000</v>
      </c>
      <c r="BB812" s="56"/>
      <c r="BC812" s="47"/>
      <c r="BD812" s="47"/>
      <c r="BE812" s="47"/>
      <c r="BF812" s="47"/>
      <c r="BG812" s="47"/>
      <c r="BH812" s="30"/>
      <c r="BI812" s="30"/>
      <c r="BJ812" s="47"/>
      <c r="BK812" s="56">
        <f>BA812</f>
        <v>3500000000</v>
      </c>
      <c r="BL812" s="57">
        <f t="shared" si="550"/>
        <v>0</v>
      </c>
      <c r="BM812" s="57">
        <f t="shared" si="551"/>
        <v>0</v>
      </c>
      <c r="BU812" s="58">
        <f>BM812*3</f>
        <v>0</v>
      </c>
      <c r="BV812" s="58">
        <f t="shared" si="553"/>
        <v>0</v>
      </c>
      <c r="BW812" s="58">
        <f t="shared" si="523"/>
        <v>0</v>
      </c>
      <c r="BX812" s="58">
        <f t="shared" si="521"/>
        <v>0</v>
      </c>
      <c r="BY812" s="58">
        <f t="shared" si="533"/>
        <v>0</v>
      </c>
      <c r="BZ812" s="58">
        <f>BM812*3</f>
        <v>0</v>
      </c>
      <c r="CA812" s="58">
        <f t="shared" si="533"/>
        <v>0</v>
      </c>
      <c r="CB812" s="58">
        <f t="shared" si="539"/>
        <v>0</v>
      </c>
      <c r="CC812" s="58">
        <f t="shared" si="540"/>
        <v>0</v>
      </c>
      <c r="CD812" s="58">
        <f t="shared" si="554"/>
        <v>0</v>
      </c>
      <c r="CE812" s="58">
        <f t="shared" si="554"/>
        <v>0</v>
      </c>
      <c r="CF812" s="58">
        <f t="shared" si="554"/>
        <v>0</v>
      </c>
      <c r="CG812" s="58">
        <f t="shared" si="541"/>
        <v>0</v>
      </c>
      <c r="CH812" s="58">
        <f t="shared" si="547"/>
        <v>0</v>
      </c>
      <c r="CI812" s="58">
        <f t="shared" si="548"/>
        <v>0</v>
      </c>
      <c r="CJ812" s="58">
        <f t="shared" si="548"/>
        <v>0</v>
      </c>
      <c r="CK812" s="58">
        <f t="shared" si="548"/>
        <v>0</v>
      </c>
      <c r="CL812" s="58">
        <f t="shared" si="549"/>
        <v>0</v>
      </c>
    </row>
    <row r="813" spans="1:92" ht="16.5" hidden="1" x14ac:dyDescent="0.3">
      <c r="A813" s="2">
        <v>808</v>
      </c>
      <c r="B813" s="47" t="s">
        <v>963</v>
      </c>
      <c r="C813" s="149"/>
      <c r="D813" s="149"/>
      <c r="E813" s="149"/>
      <c r="F813" s="149"/>
      <c r="G813" s="149"/>
      <c r="H813" s="149"/>
      <c r="I813" s="149"/>
      <c r="J813" s="149"/>
      <c r="K813" s="150" t="s">
        <v>2159</v>
      </c>
      <c r="L813" s="149"/>
      <c r="M813" s="149"/>
      <c r="N813" s="149"/>
      <c r="O813" s="151" t="s">
        <v>2185</v>
      </c>
      <c r="P813" s="151"/>
      <c r="Q813" s="151"/>
      <c r="R813" s="151"/>
      <c r="S813" s="151"/>
      <c r="T813" s="149"/>
      <c r="U813" s="149"/>
      <c r="V813" s="149"/>
      <c r="W813" s="149"/>
      <c r="X813" s="149" t="s">
        <v>2161</v>
      </c>
      <c r="Y813" s="149" t="s">
        <v>2162</v>
      </c>
      <c r="Z813" s="149" t="s">
        <v>2162</v>
      </c>
      <c r="AA813" s="47"/>
      <c r="AB813" s="47"/>
      <c r="AC813" s="47"/>
      <c r="AD813" s="47"/>
      <c r="AE813" s="47"/>
      <c r="AF813" s="47"/>
      <c r="AG813" s="47"/>
      <c r="AH813" s="47"/>
      <c r="AI813" s="47"/>
      <c r="AJ813" s="149"/>
      <c r="AK813" s="149"/>
      <c r="AL813" s="149"/>
      <c r="AM813" s="149"/>
      <c r="AN813" s="149"/>
      <c r="AO813" s="149"/>
      <c r="AP813" s="149"/>
      <c r="AQ813" s="149"/>
      <c r="AR813" s="149"/>
      <c r="AS813" s="149"/>
      <c r="AT813" s="149"/>
      <c r="AU813" s="154">
        <v>15000000000</v>
      </c>
      <c r="AV813" s="149"/>
      <c r="AW813" s="149"/>
      <c r="AX813" s="149"/>
      <c r="AY813" s="149"/>
      <c r="AZ813" s="149"/>
      <c r="BA813" s="154">
        <f t="shared" si="544"/>
        <v>15000000000</v>
      </c>
      <c r="BB813" s="154"/>
      <c r="BC813" s="149"/>
      <c r="BD813" s="149"/>
      <c r="BE813" s="149"/>
      <c r="BF813" s="149"/>
      <c r="BG813" s="149"/>
      <c r="BH813" s="30" t="s">
        <v>2159</v>
      </c>
      <c r="BI813" s="30" t="s">
        <v>2170</v>
      </c>
      <c r="BJ813" s="149" t="s">
        <v>2164</v>
      </c>
      <c r="BK813" s="154">
        <f t="shared" si="546"/>
        <v>15000000000</v>
      </c>
      <c r="BL813" s="68">
        <f t="shared" ref="BL813:BL818" si="555">BK813/$BL$1/4</f>
        <v>468750000</v>
      </c>
      <c r="BM813" s="68">
        <f t="shared" ref="BM813:BM818" si="556">BK813/$BL$1/12</f>
        <v>156250000</v>
      </c>
      <c r="BP813" s="69">
        <f>BM813*3</f>
        <v>468750000</v>
      </c>
      <c r="BQ813" s="69">
        <f>BP813</f>
        <v>468750000</v>
      </c>
      <c r="BR813" s="69">
        <f>SUM(BN813:BQ813)</f>
        <v>937500000</v>
      </c>
      <c r="BS813" s="69">
        <f>BQ813</f>
        <v>468750000</v>
      </c>
      <c r="BT813" s="69">
        <f t="shared" si="553"/>
        <v>468750000</v>
      </c>
      <c r="BU813" s="100">
        <f t="shared" si="553"/>
        <v>468750000</v>
      </c>
      <c r="BV813" s="100">
        <f t="shared" si="553"/>
        <v>468750000</v>
      </c>
      <c r="BW813" s="100">
        <f t="shared" si="523"/>
        <v>1875000000</v>
      </c>
      <c r="BX813" s="101">
        <f t="shared" si="521"/>
        <v>468750000</v>
      </c>
      <c r="BY813" s="101">
        <f t="shared" si="533"/>
        <v>468750000</v>
      </c>
      <c r="BZ813" s="18">
        <f t="shared" si="533"/>
        <v>468750000</v>
      </c>
      <c r="CA813" s="18">
        <f t="shared" si="533"/>
        <v>468750000</v>
      </c>
      <c r="CB813" s="70">
        <f t="shared" si="539"/>
        <v>1875000000</v>
      </c>
      <c r="CC813" s="18">
        <f t="shared" si="540"/>
        <v>468750000</v>
      </c>
      <c r="CD813" s="18">
        <f t="shared" si="554"/>
        <v>468750000</v>
      </c>
      <c r="CE813" s="18">
        <f t="shared" si="554"/>
        <v>468750000</v>
      </c>
      <c r="CF813" s="18">
        <f t="shared" si="554"/>
        <v>468750000</v>
      </c>
      <c r="CG813" s="70">
        <f t="shared" si="541"/>
        <v>1875000000</v>
      </c>
      <c r="CH813" s="18">
        <f t="shared" si="547"/>
        <v>468750000</v>
      </c>
      <c r="CI813" s="18">
        <f t="shared" si="548"/>
        <v>468750000</v>
      </c>
      <c r="CJ813" s="18">
        <f t="shared" si="548"/>
        <v>468750000</v>
      </c>
      <c r="CK813" s="18">
        <f t="shared" si="548"/>
        <v>468750000</v>
      </c>
      <c r="CL813" s="70">
        <f t="shared" si="549"/>
        <v>1875000000</v>
      </c>
      <c r="CM813" s="71"/>
      <c r="CN813" s="71"/>
    </row>
    <row r="814" spans="1:92" ht="16.5" hidden="1" x14ac:dyDescent="0.3">
      <c r="A814" s="2">
        <v>809</v>
      </c>
      <c r="B814" s="47" t="s">
        <v>963</v>
      </c>
      <c r="C814" s="149"/>
      <c r="D814" s="149"/>
      <c r="E814" s="149"/>
      <c r="F814" s="149"/>
      <c r="G814" s="149"/>
      <c r="H814" s="149"/>
      <c r="I814" s="149"/>
      <c r="J814" s="149"/>
      <c r="K814" s="150" t="s">
        <v>2159</v>
      </c>
      <c r="L814" s="149"/>
      <c r="M814" s="149"/>
      <c r="N814" s="149"/>
      <c r="O814" s="151" t="s">
        <v>2186</v>
      </c>
      <c r="P814" s="151"/>
      <c r="Q814" s="151"/>
      <c r="R814" s="151"/>
      <c r="S814" s="151"/>
      <c r="T814" s="149"/>
      <c r="U814" s="149"/>
      <c r="V814" s="149"/>
      <c r="W814" s="149"/>
      <c r="X814" s="149" t="s">
        <v>2161</v>
      </c>
      <c r="Y814" s="149" t="s">
        <v>2162</v>
      </c>
      <c r="Z814" s="149" t="s">
        <v>2162</v>
      </c>
      <c r="AA814" s="47"/>
      <c r="AB814" s="47"/>
      <c r="AC814" s="47"/>
      <c r="AD814" s="47"/>
      <c r="AE814" s="47"/>
      <c r="AF814" s="47"/>
      <c r="AG814" s="47"/>
      <c r="AH814" s="47"/>
      <c r="AI814" s="47"/>
      <c r="AJ814" s="149"/>
      <c r="AK814" s="149"/>
      <c r="AL814" s="149"/>
      <c r="AM814" s="149"/>
      <c r="AN814" s="149"/>
      <c r="AO814" s="149"/>
      <c r="AP814" s="149"/>
      <c r="AQ814" s="149"/>
      <c r="AR814" s="149"/>
      <c r="AS814" s="149"/>
      <c r="AT814" s="149"/>
      <c r="AU814" s="154">
        <v>200000000</v>
      </c>
      <c r="AV814" s="149"/>
      <c r="AW814" s="149"/>
      <c r="AX814" s="149"/>
      <c r="AY814" s="149"/>
      <c r="AZ814" s="149"/>
      <c r="BA814" s="154">
        <f t="shared" si="544"/>
        <v>200000000</v>
      </c>
      <c r="BB814" s="154"/>
      <c r="BC814" s="149"/>
      <c r="BD814" s="149"/>
      <c r="BE814" s="149"/>
      <c r="BF814" s="149"/>
      <c r="BG814" s="149"/>
      <c r="BH814" s="30" t="s">
        <v>2159</v>
      </c>
      <c r="BI814" s="30" t="s">
        <v>2170</v>
      </c>
      <c r="BJ814" s="149" t="s">
        <v>2164</v>
      </c>
      <c r="BK814" s="154">
        <f t="shared" si="546"/>
        <v>200000000</v>
      </c>
      <c r="BL814" s="68">
        <f t="shared" si="555"/>
        <v>6250000</v>
      </c>
      <c r="BM814" s="68">
        <f t="shared" si="556"/>
        <v>2083333.3333333333</v>
      </c>
      <c r="BP814" s="69">
        <f>BM814*3</f>
        <v>6250000</v>
      </c>
      <c r="BQ814" s="69">
        <f>BP814</f>
        <v>6250000</v>
      </c>
      <c r="BR814" s="69">
        <f>SUM(BN814:BQ814)</f>
        <v>12500000</v>
      </c>
      <c r="BS814" s="69">
        <f>BQ814</f>
        <v>6250000</v>
      </c>
      <c r="BT814" s="69">
        <f t="shared" si="553"/>
        <v>6250000</v>
      </c>
      <c r="BU814" s="100">
        <f t="shared" si="553"/>
        <v>6250000</v>
      </c>
      <c r="BV814" s="100">
        <f t="shared" si="553"/>
        <v>6250000</v>
      </c>
      <c r="BW814" s="100">
        <f t="shared" si="523"/>
        <v>25000000</v>
      </c>
      <c r="BX814" s="101">
        <f t="shared" si="521"/>
        <v>6250000</v>
      </c>
      <c r="BY814" s="101">
        <f t="shared" si="533"/>
        <v>6250000</v>
      </c>
      <c r="BZ814" s="18">
        <f t="shared" si="533"/>
        <v>6250000</v>
      </c>
      <c r="CA814" s="18">
        <f t="shared" si="533"/>
        <v>6250000</v>
      </c>
      <c r="CB814" s="70">
        <f t="shared" si="539"/>
        <v>25000000</v>
      </c>
      <c r="CC814" s="18">
        <f t="shared" si="540"/>
        <v>6250000</v>
      </c>
      <c r="CD814" s="18">
        <f t="shared" si="554"/>
        <v>6250000</v>
      </c>
      <c r="CE814" s="18">
        <f t="shared" si="554"/>
        <v>6250000</v>
      </c>
      <c r="CF814" s="18">
        <f t="shared" si="554"/>
        <v>6250000</v>
      </c>
      <c r="CG814" s="70">
        <f t="shared" si="541"/>
        <v>25000000</v>
      </c>
      <c r="CH814" s="18">
        <f t="shared" si="547"/>
        <v>6250000</v>
      </c>
      <c r="CI814" s="18">
        <f t="shared" si="548"/>
        <v>6250000</v>
      </c>
      <c r="CJ814" s="18">
        <f t="shared" si="548"/>
        <v>6250000</v>
      </c>
      <c r="CK814" s="18">
        <f t="shared" si="548"/>
        <v>6250000</v>
      </c>
      <c r="CL814" s="70">
        <f t="shared" si="549"/>
        <v>25000000</v>
      </c>
      <c r="CM814" s="71"/>
      <c r="CN814" s="71"/>
    </row>
    <row r="815" spans="1:92" ht="16.5" hidden="1" x14ac:dyDescent="0.3">
      <c r="A815" s="2">
        <v>810</v>
      </c>
      <c r="B815" s="47" t="s">
        <v>963</v>
      </c>
      <c r="C815" s="47"/>
      <c r="D815" s="47"/>
      <c r="E815" s="47"/>
      <c r="F815" s="47"/>
      <c r="G815" s="47"/>
      <c r="H815" s="47"/>
      <c r="I815" s="47"/>
      <c r="J815" s="47"/>
      <c r="K815" s="47" t="s">
        <v>2159</v>
      </c>
      <c r="L815" s="47"/>
      <c r="M815" s="47"/>
      <c r="N815" s="47"/>
      <c r="O815" s="155" t="s">
        <v>2187</v>
      </c>
      <c r="P815" s="155"/>
      <c r="Q815" s="155"/>
      <c r="R815" s="155"/>
      <c r="S815" s="155"/>
      <c r="T815" s="47"/>
      <c r="U815" s="47"/>
      <c r="V815" s="47"/>
      <c r="W815" s="47"/>
      <c r="X815" s="47" t="s">
        <v>353</v>
      </c>
      <c r="Y815" s="47" t="s">
        <v>2162</v>
      </c>
      <c r="Z815" s="47" t="s">
        <v>2162</v>
      </c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  <c r="AU815" s="56">
        <v>100000000</v>
      </c>
      <c r="AV815" s="149"/>
      <c r="AW815" s="149"/>
      <c r="AX815" s="149"/>
      <c r="AY815" s="149"/>
      <c r="AZ815" s="149"/>
      <c r="BA815" s="56">
        <f t="shared" si="544"/>
        <v>100000000</v>
      </c>
      <c r="BB815" s="56"/>
      <c r="BC815" s="47"/>
      <c r="BD815" s="47"/>
      <c r="BE815" s="47"/>
      <c r="BF815" s="47"/>
      <c r="BG815" s="47"/>
      <c r="BH815" s="30" t="s">
        <v>2159</v>
      </c>
      <c r="BI815" s="30" t="s">
        <v>2170</v>
      </c>
      <c r="BJ815" s="47" t="s">
        <v>2164</v>
      </c>
      <c r="BK815" s="56">
        <v>200000000</v>
      </c>
      <c r="BL815" s="57">
        <f t="shared" si="555"/>
        <v>6250000</v>
      </c>
      <c r="BM815" s="57">
        <f t="shared" si="556"/>
        <v>2083333.3333333333</v>
      </c>
      <c r="BU815" s="58">
        <f>BM815*3</f>
        <v>6250000</v>
      </c>
      <c r="BV815" s="58">
        <f t="shared" si="553"/>
        <v>6250000</v>
      </c>
      <c r="BW815" s="58">
        <f>SUM(BS815:BV815)</f>
        <v>12500000</v>
      </c>
      <c r="BX815" s="58">
        <f t="shared" si="521"/>
        <v>6250000</v>
      </c>
      <c r="BY815" s="58">
        <f t="shared" si="533"/>
        <v>6250000</v>
      </c>
      <c r="BZ815" s="58">
        <f>BM815*3</f>
        <v>6250000</v>
      </c>
      <c r="CA815" s="58">
        <f t="shared" si="533"/>
        <v>6250000</v>
      </c>
      <c r="CB815" s="58">
        <f t="shared" si="539"/>
        <v>25000000</v>
      </c>
      <c r="CC815" s="58">
        <f t="shared" si="540"/>
        <v>6250000</v>
      </c>
      <c r="CD815" s="58">
        <f t="shared" si="554"/>
        <v>6250000</v>
      </c>
      <c r="CE815" s="58">
        <f t="shared" si="554"/>
        <v>6250000</v>
      </c>
      <c r="CF815" s="58">
        <f t="shared" si="554"/>
        <v>6250000</v>
      </c>
      <c r="CG815" s="58">
        <f t="shared" si="541"/>
        <v>25000000</v>
      </c>
      <c r="CH815" s="58">
        <f t="shared" si="547"/>
        <v>6250000</v>
      </c>
      <c r="CI815" s="58">
        <f t="shared" si="548"/>
        <v>6250000</v>
      </c>
      <c r="CJ815" s="58">
        <f t="shared" si="548"/>
        <v>6250000</v>
      </c>
      <c r="CK815" s="58">
        <f t="shared" si="548"/>
        <v>6250000</v>
      </c>
      <c r="CL815" s="58">
        <f t="shared" si="549"/>
        <v>25000000</v>
      </c>
    </row>
    <row r="816" spans="1:92" ht="16.5" hidden="1" x14ac:dyDescent="0.3">
      <c r="A816" s="2">
        <v>811</v>
      </c>
      <c r="B816" s="47" t="s">
        <v>963</v>
      </c>
      <c r="C816" s="149"/>
      <c r="D816" s="149"/>
      <c r="E816" s="149"/>
      <c r="F816" s="149"/>
      <c r="G816" s="149"/>
      <c r="H816" s="149"/>
      <c r="I816" s="149"/>
      <c r="J816" s="149"/>
      <c r="K816" s="150" t="s">
        <v>2159</v>
      </c>
      <c r="L816" s="149"/>
      <c r="M816" s="149"/>
      <c r="N816" s="149"/>
      <c r="O816" s="151" t="s">
        <v>2188</v>
      </c>
      <c r="P816" s="151"/>
      <c r="Q816" s="151"/>
      <c r="R816" s="151"/>
      <c r="S816" s="151"/>
      <c r="T816" s="149"/>
      <c r="U816" s="149"/>
      <c r="V816" s="149"/>
      <c r="W816" s="149"/>
      <c r="X816" s="149" t="s">
        <v>2161</v>
      </c>
      <c r="Y816" s="149"/>
      <c r="Z816" s="149"/>
      <c r="AA816" s="47"/>
      <c r="AB816" s="47"/>
      <c r="AC816" s="47"/>
      <c r="AD816" s="47"/>
      <c r="AE816" s="47"/>
      <c r="AF816" s="47"/>
      <c r="AG816" s="47"/>
      <c r="AH816" s="47"/>
      <c r="AI816" s="47"/>
      <c r="AJ816" s="149"/>
      <c r="AK816" s="149"/>
      <c r="AL816" s="149"/>
      <c r="AM816" s="149"/>
      <c r="AN816" s="149"/>
      <c r="AO816" s="149"/>
      <c r="AP816" s="149"/>
      <c r="AQ816" s="149"/>
      <c r="AR816" s="149"/>
      <c r="AS816" s="149"/>
      <c r="AT816" s="149"/>
      <c r="AU816" s="154">
        <v>4075000000</v>
      </c>
      <c r="AV816" s="149"/>
      <c r="AW816" s="149"/>
      <c r="AX816" s="149"/>
      <c r="AY816" s="149"/>
      <c r="AZ816" s="149"/>
      <c r="BA816" s="154">
        <f t="shared" si="544"/>
        <v>4075000000</v>
      </c>
      <c r="BB816" s="154"/>
      <c r="BC816" s="149"/>
      <c r="BD816" s="149"/>
      <c r="BE816" s="149"/>
      <c r="BF816" s="149"/>
      <c r="BG816" s="149"/>
      <c r="BH816" s="30" t="s">
        <v>2159</v>
      </c>
      <c r="BI816" s="30" t="s">
        <v>2170</v>
      </c>
      <c r="BJ816" s="149" t="s">
        <v>2164</v>
      </c>
      <c r="BK816" s="154">
        <f t="shared" si="546"/>
        <v>4075000000</v>
      </c>
      <c r="BL816" s="68">
        <f t="shared" si="555"/>
        <v>127343750</v>
      </c>
      <c r="BM816" s="68">
        <f t="shared" si="556"/>
        <v>42447916.666666664</v>
      </c>
      <c r="BP816" s="69">
        <f>BM816*3</f>
        <v>127343750</v>
      </c>
      <c r="BQ816" s="69">
        <f>BP816</f>
        <v>127343750</v>
      </c>
      <c r="BR816" s="69">
        <f>SUM(BN816:BQ816)</f>
        <v>254687500</v>
      </c>
      <c r="BS816" s="69">
        <f>BQ816</f>
        <v>127343750</v>
      </c>
      <c r="BT816" s="69">
        <f t="shared" si="553"/>
        <v>127343750</v>
      </c>
      <c r="BU816" s="100">
        <f t="shared" si="553"/>
        <v>127343750</v>
      </c>
      <c r="BV816" s="100">
        <f t="shared" si="553"/>
        <v>127343750</v>
      </c>
      <c r="BW816" s="100">
        <f t="shared" si="523"/>
        <v>509375000</v>
      </c>
      <c r="BX816" s="101">
        <f t="shared" ref="BX816:BX843" si="557">BV816</f>
        <v>127343750</v>
      </c>
      <c r="BY816" s="101">
        <f t="shared" si="533"/>
        <v>127343750</v>
      </c>
      <c r="BZ816" s="18">
        <f>BY816</f>
        <v>127343750</v>
      </c>
      <c r="CA816" s="18">
        <f>BZ816</f>
        <v>127343750</v>
      </c>
      <c r="CB816" s="70">
        <f>SUM(BX816:CA816)</f>
        <v>509375000</v>
      </c>
      <c r="CC816" s="18">
        <f>CA816</f>
        <v>127343750</v>
      </c>
      <c r="CD816" s="18">
        <f>CC816</f>
        <v>127343750</v>
      </c>
      <c r="CE816" s="18">
        <f>CD816</f>
        <v>127343750</v>
      </c>
      <c r="CF816" s="18">
        <f>CE816</f>
        <v>127343750</v>
      </c>
      <c r="CG816" s="70">
        <f>SUM(CC816:CF816)</f>
        <v>509375000</v>
      </c>
      <c r="CH816" s="18">
        <f t="shared" si="547"/>
        <v>127343750</v>
      </c>
      <c r="CI816" s="18">
        <f>CH816</f>
        <v>127343750</v>
      </c>
      <c r="CJ816" s="18">
        <f>CI816</f>
        <v>127343750</v>
      </c>
      <c r="CK816" s="18">
        <f>CJ816</f>
        <v>127343750</v>
      </c>
      <c r="CL816" s="70">
        <f t="shared" si="549"/>
        <v>509375000</v>
      </c>
      <c r="CM816" s="71"/>
      <c r="CN816" s="71"/>
    </row>
    <row r="817" spans="1:92" ht="16.5" hidden="1" x14ac:dyDescent="0.3">
      <c r="A817" s="2">
        <v>812</v>
      </c>
      <c r="B817" s="47" t="s">
        <v>963</v>
      </c>
      <c r="C817" s="149"/>
      <c r="D817" s="149"/>
      <c r="E817" s="149"/>
      <c r="F817" s="149"/>
      <c r="G817" s="149"/>
      <c r="H817" s="149"/>
      <c r="I817" s="149"/>
      <c r="J817" s="149"/>
      <c r="K817" s="150" t="s">
        <v>2159</v>
      </c>
      <c r="L817" s="149"/>
      <c r="M817" s="149"/>
      <c r="N817" s="149"/>
      <c r="O817" s="151" t="s">
        <v>2189</v>
      </c>
      <c r="P817" s="151"/>
      <c r="Q817" s="151"/>
      <c r="R817" s="151"/>
      <c r="S817" s="151"/>
      <c r="T817" s="149"/>
      <c r="U817" s="149"/>
      <c r="V817" s="149"/>
      <c r="W817" s="149"/>
      <c r="X817" s="149" t="s">
        <v>2161</v>
      </c>
      <c r="Y817" s="149"/>
      <c r="Z817" s="149"/>
      <c r="AA817" s="47"/>
      <c r="AB817" s="47"/>
      <c r="AC817" s="47"/>
      <c r="AD817" s="47"/>
      <c r="AE817" s="47"/>
      <c r="AF817" s="47"/>
      <c r="AG817" s="47"/>
      <c r="AH817" s="47"/>
      <c r="AI817" s="47"/>
      <c r="AJ817" s="149"/>
      <c r="AK817" s="149"/>
      <c r="AL817" s="149"/>
      <c r="AM817" s="149"/>
      <c r="AN817" s="149"/>
      <c r="AO817" s="149"/>
      <c r="AP817" s="149"/>
      <c r="AQ817" s="149"/>
      <c r="AR817" s="149"/>
      <c r="AS817" s="149"/>
      <c r="AT817" s="149"/>
      <c r="AU817" s="154">
        <v>90000000</v>
      </c>
      <c r="AV817" s="149"/>
      <c r="AW817" s="149"/>
      <c r="AX817" s="149"/>
      <c r="AY817" s="149"/>
      <c r="AZ817" s="149"/>
      <c r="BA817" s="154">
        <f t="shared" si="544"/>
        <v>90000000</v>
      </c>
      <c r="BB817" s="154"/>
      <c r="BC817" s="149"/>
      <c r="BD817" s="149"/>
      <c r="BE817" s="149"/>
      <c r="BF817" s="149"/>
      <c r="BG817" s="149"/>
      <c r="BH817" s="30" t="s">
        <v>2159</v>
      </c>
      <c r="BI817" s="30" t="s">
        <v>2163</v>
      </c>
      <c r="BJ817" s="149" t="s">
        <v>2164</v>
      </c>
      <c r="BK817" s="154">
        <f t="shared" si="546"/>
        <v>90000000</v>
      </c>
      <c r="BL817" s="68">
        <f t="shared" si="555"/>
        <v>2812500</v>
      </c>
      <c r="BM817" s="68">
        <f t="shared" si="556"/>
        <v>937500</v>
      </c>
      <c r="BP817" s="69">
        <f>BM817*3</f>
        <v>2812500</v>
      </c>
      <c r="BQ817" s="69">
        <f>BP817</f>
        <v>2812500</v>
      </c>
      <c r="BR817" s="69">
        <f>SUM(BN817:BQ817)</f>
        <v>5625000</v>
      </c>
      <c r="BS817" s="69">
        <f>BQ817</f>
        <v>2812500</v>
      </c>
      <c r="BT817" s="69">
        <f t="shared" si="553"/>
        <v>2812500</v>
      </c>
      <c r="BU817" s="100">
        <f t="shared" si="553"/>
        <v>2812500</v>
      </c>
      <c r="BV817" s="100">
        <f t="shared" si="553"/>
        <v>2812500</v>
      </c>
      <c r="BW817" s="100">
        <f t="shared" si="523"/>
        <v>11250000</v>
      </c>
      <c r="BX817" s="101">
        <f t="shared" si="557"/>
        <v>2812500</v>
      </c>
      <c r="BY817" s="101">
        <f t="shared" si="533"/>
        <v>2812500</v>
      </c>
      <c r="BZ817" s="18">
        <f t="shared" si="533"/>
        <v>2812500</v>
      </c>
      <c r="CA817" s="18">
        <f t="shared" si="533"/>
        <v>2812500</v>
      </c>
      <c r="CB817" s="70">
        <f t="shared" si="539"/>
        <v>11250000</v>
      </c>
      <c r="CC817" s="18">
        <f t="shared" si="540"/>
        <v>2812500</v>
      </c>
      <c r="CD817" s="18">
        <f t="shared" si="554"/>
        <v>2812500</v>
      </c>
      <c r="CE817" s="18">
        <f t="shared" si="554"/>
        <v>2812500</v>
      </c>
      <c r="CF817" s="18">
        <f t="shared" si="554"/>
        <v>2812500</v>
      </c>
      <c r="CG817" s="70">
        <f t="shared" si="541"/>
        <v>11250000</v>
      </c>
      <c r="CH817" s="18">
        <f t="shared" si="547"/>
        <v>2812500</v>
      </c>
      <c r="CI817" s="18">
        <f t="shared" ref="CI817:CK818" si="558">CH817</f>
        <v>2812500</v>
      </c>
      <c r="CJ817" s="18">
        <f t="shared" si="558"/>
        <v>2812500</v>
      </c>
      <c r="CK817" s="18">
        <f t="shared" si="558"/>
        <v>2812500</v>
      </c>
      <c r="CL817" s="70">
        <f t="shared" si="549"/>
        <v>11250000</v>
      </c>
      <c r="CM817" s="71"/>
      <c r="CN817" s="71"/>
    </row>
    <row r="818" spans="1:92" ht="16.5" hidden="1" x14ac:dyDescent="0.3">
      <c r="A818" s="2">
        <v>813</v>
      </c>
      <c r="B818" s="47" t="s">
        <v>963</v>
      </c>
      <c r="C818" s="47"/>
      <c r="D818" s="47"/>
      <c r="E818" s="47"/>
      <c r="F818" s="47"/>
      <c r="G818" s="47"/>
      <c r="H818" s="47"/>
      <c r="I818" s="47"/>
      <c r="J818" s="47"/>
      <c r="K818" s="47" t="s">
        <v>2159</v>
      </c>
      <c r="L818" s="47"/>
      <c r="M818" s="47"/>
      <c r="N818" s="47"/>
      <c r="O818" s="155" t="s">
        <v>2190</v>
      </c>
      <c r="P818" s="155"/>
      <c r="Q818" s="155"/>
      <c r="R818" s="155"/>
      <c r="S818" s="155"/>
      <c r="T818" s="47"/>
      <c r="U818" s="47"/>
      <c r="V818" s="47"/>
      <c r="W818" s="47"/>
      <c r="X818" s="47" t="s">
        <v>353</v>
      </c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56">
        <v>80000000</v>
      </c>
      <c r="AV818" s="149"/>
      <c r="AW818" s="149"/>
      <c r="AX818" s="149"/>
      <c r="AY818" s="149"/>
      <c r="AZ818" s="149"/>
      <c r="BA818" s="56">
        <f t="shared" si="544"/>
        <v>80000000</v>
      </c>
      <c r="BB818" s="56"/>
      <c r="BC818" s="47"/>
      <c r="BD818" s="47"/>
      <c r="BE818" s="47"/>
      <c r="BF818" s="47"/>
      <c r="BG818" s="47"/>
      <c r="BH818" s="30" t="s">
        <v>2159</v>
      </c>
      <c r="BI818" s="30" t="s">
        <v>2163</v>
      </c>
      <c r="BJ818" s="47" t="s">
        <v>2164</v>
      </c>
      <c r="BK818" s="56">
        <v>400000000</v>
      </c>
      <c r="BL818" s="57">
        <f t="shared" si="555"/>
        <v>12500000</v>
      </c>
      <c r="BM818" s="57">
        <f t="shared" si="556"/>
        <v>4166666.6666666665</v>
      </c>
      <c r="BU818" s="58">
        <f>BM818*3</f>
        <v>12500000</v>
      </c>
      <c r="BV818" s="58">
        <f t="shared" si="553"/>
        <v>12500000</v>
      </c>
      <c r="BW818" s="58">
        <f>SUM(BS818:BV818)</f>
        <v>25000000</v>
      </c>
      <c r="BX818" s="58">
        <f t="shared" si="557"/>
        <v>12500000</v>
      </c>
      <c r="BY818" s="58">
        <f t="shared" si="533"/>
        <v>12500000</v>
      </c>
      <c r="BZ818" s="58">
        <f>BM818*3</f>
        <v>12500000</v>
      </c>
      <c r="CA818" s="58">
        <f t="shared" si="533"/>
        <v>12500000</v>
      </c>
      <c r="CB818" s="58">
        <f t="shared" si="539"/>
        <v>50000000</v>
      </c>
      <c r="CC818" s="58">
        <f t="shared" si="540"/>
        <v>12500000</v>
      </c>
      <c r="CD818" s="58">
        <f t="shared" si="554"/>
        <v>12500000</v>
      </c>
      <c r="CE818" s="58">
        <f t="shared" si="554"/>
        <v>12500000</v>
      </c>
      <c r="CF818" s="58">
        <f t="shared" si="554"/>
        <v>12500000</v>
      </c>
      <c r="CG818" s="58">
        <f t="shared" si="541"/>
        <v>50000000</v>
      </c>
      <c r="CH818" s="58">
        <f t="shared" si="547"/>
        <v>12500000</v>
      </c>
      <c r="CI818" s="58">
        <f t="shared" si="558"/>
        <v>12500000</v>
      </c>
      <c r="CJ818" s="58">
        <f t="shared" si="558"/>
        <v>12500000</v>
      </c>
      <c r="CK818" s="58">
        <f t="shared" si="558"/>
        <v>12500000</v>
      </c>
      <c r="CL818" s="58">
        <f t="shared" si="549"/>
        <v>50000000</v>
      </c>
    </row>
    <row r="819" spans="1:92" hidden="1" x14ac:dyDescent="0.3">
      <c r="A819" s="29">
        <v>814</v>
      </c>
      <c r="B819" s="30" t="s">
        <v>963</v>
      </c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47"/>
      <c r="AB819" s="47"/>
      <c r="AC819" s="47"/>
      <c r="AD819" s="47"/>
      <c r="AE819" s="47"/>
      <c r="AF819" s="47"/>
      <c r="AG819" s="47"/>
      <c r="AH819" s="47"/>
      <c r="AI819" s="47"/>
      <c r="AJ819" s="30"/>
      <c r="AK819" s="30"/>
      <c r="AL819" s="47"/>
      <c r="AM819" s="47"/>
      <c r="AN819" s="47"/>
      <c r="AO819" s="47"/>
      <c r="AP819" s="47"/>
      <c r="AQ819" s="47"/>
      <c r="AR819" s="47"/>
      <c r="AS819" s="47"/>
      <c r="AT819" s="47"/>
      <c r="AU819" s="74"/>
      <c r="AV819" s="149"/>
      <c r="AW819" s="149"/>
      <c r="AX819" s="149"/>
      <c r="AY819" s="149"/>
      <c r="AZ819" s="149"/>
      <c r="BA819" s="74">
        <f t="shared" si="544"/>
        <v>0</v>
      </c>
      <c r="BB819" s="74"/>
      <c r="BC819" s="47"/>
      <c r="BD819" s="47"/>
      <c r="BE819" s="47"/>
      <c r="BF819" s="47"/>
      <c r="BG819" s="30"/>
      <c r="BH819" s="30"/>
      <c r="BI819" s="30"/>
      <c r="BJ819" s="30"/>
      <c r="BK819" s="56"/>
      <c r="BL819" s="57"/>
      <c r="BM819" s="57"/>
      <c r="BU819" s="101">
        <f t="shared" si="553"/>
        <v>0</v>
      </c>
      <c r="BV819" s="101">
        <f t="shared" si="553"/>
        <v>0</v>
      </c>
      <c r="BW819" s="101">
        <f t="shared" ref="BW819:BW843" si="559">SUM(BS819:BV819)</f>
        <v>0</v>
      </c>
      <c r="BX819" s="101">
        <f t="shared" si="557"/>
        <v>0</v>
      </c>
      <c r="BY819" s="101">
        <f t="shared" si="533"/>
        <v>0</v>
      </c>
      <c r="BZ819" s="58"/>
      <c r="CA819" s="58"/>
      <c r="CB819" s="58"/>
      <c r="CC819" s="58"/>
      <c r="CD819" s="58"/>
      <c r="CE819" s="58"/>
      <c r="CF819" s="58"/>
      <c r="CG819" s="58"/>
      <c r="CH819" s="58"/>
      <c r="CI819" s="58"/>
      <c r="CJ819" s="58"/>
      <c r="CK819" s="58"/>
      <c r="CL819" s="58"/>
    </row>
    <row r="820" spans="1:92" hidden="1" x14ac:dyDescent="0.3">
      <c r="A820" s="29">
        <v>815</v>
      </c>
      <c r="B820" s="30" t="s">
        <v>963</v>
      </c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47"/>
      <c r="AB820" s="47"/>
      <c r="AC820" s="47"/>
      <c r="AD820" s="47"/>
      <c r="AE820" s="47"/>
      <c r="AF820" s="47"/>
      <c r="AG820" s="47"/>
      <c r="AH820" s="47"/>
      <c r="AI820" s="47"/>
      <c r="AJ820" s="30"/>
      <c r="AK820" s="30"/>
      <c r="AL820" s="47"/>
      <c r="AM820" s="47"/>
      <c r="AN820" s="47"/>
      <c r="AO820" s="47"/>
      <c r="AP820" s="47"/>
      <c r="AQ820" s="47"/>
      <c r="AR820" s="47"/>
      <c r="AS820" s="47"/>
      <c r="AT820" s="47"/>
      <c r="AU820" s="74"/>
      <c r="AV820" s="149"/>
      <c r="AW820" s="149"/>
      <c r="AX820" s="149"/>
      <c r="AY820" s="149"/>
      <c r="AZ820" s="149"/>
      <c r="BA820" s="74">
        <f t="shared" si="544"/>
        <v>0</v>
      </c>
      <c r="BB820" s="74"/>
      <c r="BC820" s="47"/>
      <c r="BD820" s="47"/>
      <c r="BE820" s="47"/>
      <c r="BF820" s="47"/>
      <c r="BG820" s="30"/>
      <c r="BH820" s="30"/>
      <c r="BI820" s="30"/>
      <c r="BJ820" s="30"/>
      <c r="BK820" s="56"/>
      <c r="BL820" s="57"/>
      <c r="BM820" s="57"/>
      <c r="BU820" s="101">
        <f t="shared" si="553"/>
        <v>0</v>
      </c>
      <c r="BV820" s="101">
        <f t="shared" si="553"/>
        <v>0</v>
      </c>
      <c r="BW820" s="101">
        <f t="shared" si="559"/>
        <v>0</v>
      </c>
      <c r="BX820" s="101">
        <f t="shared" si="557"/>
        <v>0</v>
      </c>
      <c r="BY820" s="101">
        <f t="shared" si="533"/>
        <v>0</v>
      </c>
      <c r="BZ820" s="58"/>
      <c r="CA820" s="58"/>
      <c r="CB820" s="58"/>
      <c r="CC820" s="58"/>
      <c r="CD820" s="58"/>
      <c r="CE820" s="58"/>
      <c r="CF820" s="58"/>
      <c r="CG820" s="58"/>
      <c r="CH820" s="58"/>
      <c r="CI820" s="58"/>
      <c r="CJ820" s="58"/>
      <c r="CK820" s="58"/>
      <c r="CL820" s="58"/>
    </row>
    <row r="821" spans="1:92" hidden="1" x14ac:dyDescent="0.3">
      <c r="A821" s="29">
        <v>816</v>
      </c>
      <c r="B821" s="30" t="s">
        <v>963</v>
      </c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47"/>
      <c r="AB821" s="47"/>
      <c r="AC821" s="47"/>
      <c r="AD821" s="47"/>
      <c r="AE821" s="47"/>
      <c r="AF821" s="47"/>
      <c r="AG821" s="47"/>
      <c r="AH821" s="47"/>
      <c r="AI821" s="47"/>
      <c r="AJ821" s="30"/>
      <c r="AK821" s="30"/>
      <c r="AL821" s="47"/>
      <c r="AM821" s="47"/>
      <c r="AN821" s="47"/>
      <c r="AO821" s="47"/>
      <c r="AP821" s="47"/>
      <c r="AQ821" s="47"/>
      <c r="AR821" s="47"/>
      <c r="AS821" s="47"/>
      <c r="AT821" s="47"/>
      <c r="AU821" s="74"/>
      <c r="AV821" s="149"/>
      <c r="AW821" s="149"/>
      <c r="AX821" s="149"/>
      <c r="AY821" s="149"/>
      <c r="AZ821" s="149"/>
      <c r="BA821" s="74">
        <f t="shared" si="544"/>
        <v>0</v>
      </c>
      <c r="BB821" s="74"/>
      <c r="BC821" s="47"/>
      <c r="BD821" s="47"/>
      <c r="BE821" s="47"/>
      <c r="BF821" s="47"/>
      <c r="BG821" s="30"/>
      <c r="BH821" s="30"/>
      <c r="BI821" s="30"/>
      <c r="BJ821" s="30"/>
      <c r="BK821" s="56"/>
      <c r="BL821" s="57"/>
      <c r="BM821" s="57"/>
      <c r="BU821" s="101">
        <f t="shared" si="553"/>
        <v>0</v>
      </c>
      <c r="BV821" s="101">
        <f t="shared" si="553"/>
        <v>0</v>
      </c>
      <c r="BW821" s="101">
        <f t="shared" si="559"/>
        <v>0</v>
      </c>
      <c r="BX821" s="101">
        <f t="shared" si="557"/>
        <v>0</v>
      </c>
      <c r="BY821" s="101">
        <f t="shared" si="533"/>
        <v>0</v>
      </c>
      <c r="BZ821" s="58"/>
      <c r="CA821" s="58"/>
      <c r="CB821" s="58"/>
      <c r="CC821" s="58"/>
      <c r="CD821" s="58"/>
      <c r="CE821" s="58"/>
      <c r="CF821" s="58"/>
      <c r="CG821" s="58"/>
      <c r="CH821" s="58"/>
      <c r="CI821" s="58"/>
      <c r="CJ821" s="58"/>
      <c r="CK821" s="58"/>
      <c r="CL821" s="58"/>
    </row>
    <row r="822" spans="1:92" hidden="1" x14ac:dyDescent="0.3">
      <c r="A822" s="29">
        <v>817</v>
      </c>
      <c r="B822" s="30" t="s">
        <v>963</v>
      </c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47"/>
      <c r="AB822" s="47"/>
      <c r="AC822" s="47"/>
      <c r="AD822" s="47"/>
      <c r="AE822" s="47"/>
      <c r="AF822" s="47"/>
      <c r="AG822" s="47"/>
      <c r="AH822" s="47"/>
      <c r="AI822" s="47"/>
      <c r="AJ822" s="30"/>
      <c r="AK822" s="30"/>
      <c r="AL822" s="47"/>
      <c r="AM822" s="47"/>
      <c r="AN822" s="47"/>
      <c r="AO822" s="47"/>
      <c r="AP822" s="47"/>
      <c r="AQ822" s="47"/>
      <c r="AR822" s="47"/>
      <c r="AS822" s="47"/>
      <c r="AT822" s="47"/>
      <c r="AU822" s="74"/>
      <c r="AV822" s="149"/>
      <c r="AW822" s="149"/>
      <c r="AX822" s="149"/>
      <c r="AY822" s="149"/>
      <c r="AZ822" s="149"/>
      <c r="BA822" s="74">
        <f t="shared" si="544"/>
        <v>0</v>
      </c>
      <c r="BB822" s="74"/>
      <c r="BC822" s="47"/>
      <c r="BD822" s="47"/>
      <c r="BE822" s="47"/>
      <c r="BF822" s="47"/>
      <c r="BG822" s="30"/>
      <c r="BH822" s="30"/>
      <c r="BI822" s="30"/>
      <c r="BJ822" s="30"/>
      <c r="BK822" s="56"/>
      <c r="BL822" s="57"/>
      <c r="BM822" s="57"/>
      <c r="BU822" s="101">
        <f t="shared" si="553"/>
        <v>0</v>
      </c>
      <c r="BV822" s="101">
        <f t="shared" si="553"/>
        <v>0</v>
      </c>
      <c r="BW822" s="101">
        <f t="shared" si="559"/>
        <v>0</v>
      </c>
      <c r="BX822" s="101">
        <f t="shared" si="557"/>
        <v>0</v>
      </c>
      <c r="BY822" s="101">
        <f t="shared" si="533"/>
        <v>0</v>
      </c>
      <c r="BZ822" s="58"/>
      <c r="CA822" s="58"/>
      <c r="CB822" s="58"/>
      <c r="CC822" s="58"/>
      <c r="CD822" s="58"/>
      <c r="CE822" s="58"/>
      <c r="CF822" s="58"/>
      <c r="CG822" s="58"/>
      <c r="CH822" s="58"/>
      <c r="CI822" s="58"/>
      <c r="CJ822" s="58"/>
      <c r="CK822" s="58"/>
      <c r="CL822" s="58"/>
    </row>
    <row r="823" spans="1:92" hidden="1" x14ac:dyDescent="0.3">
      <c r="A823" s="29">
        <v>818</v>
      </c>
      <c r="B823" s="30" t="s">
        <v>963</v>
      </c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47"/>
      <c r="AB823" s="47"/>
      <c r="AC823" s="47"/>
      <c r="AD823" s="47"/>
      <c r="AE823" s="47"/>
      <c r="AF823" s="47"/>
      <c r="AG823" s="47"/>
      <c r="AH823" s="47"/>
      <c r="AI823" s="47"/>
      <c r="AJ823" s="30"/>
      <c r="AK823" s="30"/>
      <c r="AL823" s="47"/>
      <c r="AM823" s="47"/>
      <c r="AN823" s="47"/>
      <c r="AO823" s="47"/>
      <c r="AP823" s="47"/>
      <c r="AQ823" s="47"/>
      <c r="AR823" s="47"/>
      <c r="AS823" s="47"/>
      <c r="AT823" s="47"/>
      <c r="AU823" s="74"/>
      <c r="AV823" s="149"/>
      <c r="AW823" s="149"/>
      <c r="AX823" s="149"/>
      <c r="AY823" s="149"/>
      <c r="AZ823" s="149"/>
      <c r="BA823" s="74">
        <f t="shared" si="544"/>
        <v>0</v>
      </c>
      <c r="BB823" s="74"/>
      <c r="BC823" s="47"/>
      <c r="BD823" s="47"/>
      <c r="BE823" s="47"/>
      <c r="BF823" s="47"/>
      <c r="BG823" s="30"/>
      <c r="BH823" s="30"/>
      <c r="BI823" s="30"/>
      <c r="BJ823" s="30"/>
      <c r="BK823" s="56"/>
      <c r="BL823" s="57"/>
      <c r="BM823" s="57"/>
      <c r="BU823" s="101">
        <f t="shared" si="553"/>
        <v>0</v>
      </c>
      <c r="BV823" s="101">
        <f t="shared" si="553"/>
        <v>0</v>
      </c>
      <c r="BW823" s="101">
        <f t="shared" si="559"/>
        <v>0</v>
      </c>
      <c r="BX823" s="101">
        <f t="shared" si="557"/>
        <v>0</v>
      </c>
      <c r="BY823" s="101">
        <f t="shared" si="533"/>
        <v>0</v>
      </c>
      <c r="BZ823" s="58"/>
      <c r="CA823" s="58"/>
      <c r="CB823" s="58"/>
      <c r="CC823" s="58"/>
      <c r="CD823" s="58"/>
      <c r="CE823" s="58"/>
      <c r="CF823" s="58"/>
      <c r="CG823" s="58"/>
      <c r="CH823" s="58"/>
      <c r="CI823" s="58"/>
      <c r="CJ823" s="58"/>
      <c r="CK823" s="58"/>
      <c r="CL823" s="58"/>
    </row>
    <row r="824" spans="1:92" hidden="1" x14ac:dyDescent="0.3">
      <c r="A824" s="29">
        <v>819</v>
      </c>
      <c r="B824" s="30" t="s">
        <v>963</v>
      </c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47"/>
      <c r="AB824" s="47"/>
      <c r="AC824" s="47"/>
      <c r="AD824" s="47"/>
      <c r="AE824" s="47"/>
      <c r="AF824" s="47"/>
      <c r="AG824" s="47"/>
      <c r="AH824" s="47"/>
      <c r="AI824" s="47"/>
      <c r="AJ824" s="30"/>
      <c r="AK824" s="30"/>
      <c r="AL824" s="47"/>
      <c r="AM824" s="47"/>
      <c r="AN824" s="47"/>
      <c r="AO824" s="47"/>
      <c r="AP824" s="47"/>
      <c r="AQ824" s="47"/>
      <c r="AR824" s="47"/>
      <c r="AS824" s="47"/>
      <c r="AT824" s="47"/>
      <c r="AU824" s="74"/>
      <c r="AV824" s="149"/>
      <c r="AW824" s="149"/>
      <c r="AX824" s="149"/>
      <c r="AY824" s="149"/>
      <c r="AZ824" s="149"/>
      <c r="BA824" s="74">
        <f t="shared" si="544"/>
        <v>0</v>
      </c>
      <c r="BB824" s="74"/>
      <c r="BC824" s="47"/>
      <c r="BD824" s="47"/>
      <c r="BE824" s="47"/>
      <c r="BF824" s="47"/>
      <c r="BG824" s="30"/>
      <c r="BH824" s="30"/>
      <c r="BI824" s="30"/>
      <c r="BJ824" s="30"/>
      <c r="BK824" s="56"/>
      <c r="BL824" s="57"/>
      <c r="BM824" s="57"/>
      <c r="BU824" s="101">
        <f t="shared" si="553"/>
        <v>0</v>
      </c>
      <c r="BV824" s="101">
        <f t="shared" si="553"/>
        <v>0</v>
      </c>
      <c r="BW824" s="101">
        <f t="shared" si="559"/>
        <v>0</v>
      </c>
      <c r="BX824" s="101">
        <f t="shared" si="557"/>
        <v>0</v>
      </c>
      <c r="BY824" s="101">
        <f t="shared" si="533"/>
        <v>0</v>
      </c>
      <c r="BZ824" s="58"/>
      <c r="CA824" s="58"/>
      <c r="CB824" s="58"/>
      <c r="CC824" s="58"/>
      <c r="CD824" s="58"/>
      <c r="CE824" s="58"/>
      <c r="CF824" s="58"/>
      <c r="CG824" s="58"/>
      <c r="CH824" s="58"/>
      <c r="CI824" s="58"/>
      <c r="CJ824" s="58"/>
      <c r="CK824" s="58"/>
      <c r="CL824" s="58"/>
    </row>
    <row r="825" spans="1:92" hidden="1" x14ac:dyDescent="0.3">
      <c r="A825" s="29">
        <v>820</v>
      </c>
      <c r="B825" s="30" t="s">
        <v>963</v>
      </c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47"/>
      <c r="AB825" s="47"/>
      <c r="AC825" s="47"/>
      <c r="AD825" s="47"/>
      <c r="AE825" s="47"/>
      <c r="AF825" s="47"/>
      <c r="AG825" s="47"/>
      <c r="AH825" s="47"/>
      <c r="AI825" s="47"/>
      <c r="AJ825" s="30"/>
      <c r="AK825" s="30"/>
      <c r="AL825" s="47"/>
      <c r="AM825" s="47"/>
      <c r="AN825" s="47"/>
      <c r="AO825" s="47"/>
      <c r="AP825" s="47"/>
      <c r="AQ825" s="47"/>
      <c r="AR825" s="47"/>
      <c r="AS825" s="47"/>
      <c r="AT825" s="47"/>
      <c r="AU825" s="74"/>
      <c r="AV825" s="149"/>
      <c r="AW825" s="149"/>
      <c r="AX825" s="149"/>
      <c r="AY825" s="149"/>
      <c r="AZ825" s="149"/>
      <c r="BA825" s="74">
        <f t="shared" si="544"/>
        <v>0</v>
      </c>
      <c r="BB825" s="74"/>
      <c r="BC825" s="47"/>
      <c r="BD825" s="47"/>
      <c r="BE825" s="47"/>
      <c r="BF825" s="47"/>
      <c r="BG825" s="30"/>
      <c r="BH825" s="30"/>
      <c r="BI825" s="30"/>
      <c r="BJ825" s="30"/>
      <c r="BK825" s="56"/>
      <c r="BL825" s="57"/>
      <c r="BM825" s="57"/>
      <c r="BU825" s="101">
        <f t="shared" si="553"/>
        <v>0</v>
      </c>
      <c r="BV825" s="101">
        <f t="shared" si="553"/>
        <v>0</v>
      </c>
      <c r="BW825" s="101">
        <f t="shared" si="559"/>
        <v>0</v>
      </c>
      <c r="BX825" s="101">
        <f t="shared" si="557"/>
        <v>0</v>
      </c>
      <c r="BY825" s="101">
        <f t="shared" ref="BY825:CA843" si="560">BX825</f>
        <v>0</v>
      </c>
      <c r="BZ825" s="58"/>
      <c r="CA825" s="58"/>
      <c r="CB825" s="58"/>
      <c r="CC825" s="58"/>
      <c r="CD825" s="58"/>
      <c r="CE825" s="58"/>
      <c r="CF825" s="58"/>
      <c r="CG825" s="58"/>
      <c r="CH825" s="58"/>
      <c r="CI825" s="58"/>
      <c r="CJ825" s="58"/>
      <c r="CK825" s="58"/>
      <c r="CL825" s="58"/>
    </row>
    <row r="826" spans="1:92" hidden="1" x14ac:dyDescent="0.3">
      <c r="A826" s="29">
        <v>821</v>
      </c>
      <c r="B826" s="30" t="s">
        <v>963</v>
      </c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47"/>
      <c r="AB826" s="47"/>
      <c r="AC826" s="47"/>
      <c r="AD826" s="47"/>
      <c r="AE826" s="47"/>
      <c r="AF826" s="47"/>
      <c r="AG826" s="47"/>
      <c r="AH826" s="47"/>
      <c r="AI826" s="47"/>
      <c r="AJ826" s="30"/>
      <c r="AK826" s="30"/>
      <c r="AL826" s="47"/>
      <c r="AM826" s="47"/>
      <c r="AN826" s="47"/>
      <c r="AO826" s="47"/>
      <c r="AP826" s="47"/>
      <c r="AQ826" s="47"/>
      <c r="AR826" s="47"/>
      <c r="AS826" s="47"/>
      <c r="AT826" s="47"/>
      <c r="AU826" s="74"/>
      <c r="AV826" s="149"/>
      <c r="AW826" s="149"/>
      <c r="AX826" s="149"/>
      <c r="AY826" s="149"/>
      <c r="AZ826" s="149"/>
      <c r="BA826" s="74">
        <f t="shared" si="544"/>
        <v>0</v>
      </c>
      <c r="BB826" s="74"/>
      <c r="BC826" s="47"/>
      <c r="BD826" s="47"/>
      <c r="BE826" s="47"/>
      <c r="BF826" s="47"/>
      <c r="BG826" s="30"/>
      <c r="BH826" s="30"/>
      <c r="BI826" s="30"/>
      <c r="BJ826" s="30"/>
      <c r="BK826" s="56"/>
      <c r="BL826" s="57"/>
      <c r="BM826" s="57"/>
      <c r="BU826" s="101">
        <f t="shared" si="553"/>
        <v>0</v>
      </c>
      <c r="BV826" s="101">
        <f t="shared" si="553"/>
        <v>0</v>
      </c>
      <c r="BW826" s="101">
        <f t="shared" si="559"/>
        <v>0</v>
      </c>
      <c r="BX826" s="101">
        <f t="shared" si="557"/>
        <v>0</v>
      </c>
      <c r="BY826" s="101">
        <f t="shared" si="560"/>
        <v>0</v>
      </c>
      <c r="BZ826" s="58"/>
      <c r="CA826" s="58"/>
      <c r="CB826" s="58"/>
      <c r="CC826" s="58"/>
      <c r="CD826" s="58"/>
      <c r="CE826" s="58"/>
      <c r="CF826" s="58"/>
      <c r="CG826" s="58"/>
      <c r="CH826" s="58"/>
      <c r="CI826" s="58"/>
      <c r="CJ826" s="58"/>
      <c r="CK826" s="58"/>
      <c r="CL826" s="58"/>
    </row>
    <row r="827" spans="1:92" hidden="1" x14ac:dyDescent="0.3">
      <c r="A827" s="29">
        <v>822</v>
      </c>
      <c r="B827" s="30" t="s">
        <v>963</v>
      </c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47"/>
      <c r="AB827" s="47"/>
      <c r="AC827" s="47"/>
      <c r="AD827" s="47"/>
      <c r="AE827" s="47"/>
      <c r="AF827" s="47"/>
      <c r="AG827" s="47"/>
      <c r="AH827" s="47"/>
      <c r="AI827" s="47"/>
      <c r="AJ827" s="30"/>
      <c r="AK827" s="30"/>
      <c r="AL827" s="47"/>
      <c r="AM827" s="47"/>
      <c r="AN827" s="47"/>
      <c r="AO827" s="47"/>
      <c r="AP827" s="47"/>
      <c r="AQ827" s="47"/>
      <c r="AR827" s="47"/>
      <c r="AS827" s="47"/>
      <c r="AT827" s="47"/>
      <c r="AU827" s="74"/>
      <c r="AV827" s="149"/>
      <c r="AW827" s="149"/>
      <c r="AX827" s="149"/>
      <c r="AY827" s="149"/>
      <c r="AZ827" s="149"/>
      <c r="BA827" s="74">
        <f t="shared" si="544"/>
        <v>0</v>
      </c>
      <c r="BB827" s="74"/>
      <c r="BC827" s="47"/>
      <c r="BD827" s="47"/>
      <c r="BE827" s="47"/>
      <c r="BF827" s="47"/>
      <c r="BG827" s="30"/>
      <c r="BH827" s="30"/>
      <c r="BI827" s="30"/>
      <c r="BJ827" s="30"/>
      <c r="BK827" s="56"/>
      <c r="BL827" s="57"/>
      <c r="BM827" s="57"/>
      <c r="BU827" s="101">
        <f t="shared" ref="BT827:BV842" si="561">BT827</f>
        <v>0</v>
      </c>
      <c r="BV827" s="101">
        <f t="shared" si="561"/>
        <v>0</v>
      </c>
      <c r="BW827" s="101">
        <f t="shared" si="559"/>
        <v>0</v>
      </c>
      <c r="BX827" s="101">
        <f t="shared" si="557"/>
        <v>0</v>
      </c>
      <c r="BY827" s="101">
        <f t="shared" si="560"/>
        <v>0</v>
      </c>
      <c r="BZ827" s="58"/>
      <c r="CA827" s="58"/>
      <c r="CB827" s="58"/>
      <c r="CC827" s="58"/>
      <c r="CD827" s="58"/>
      <c r="CE827" s="58"/>
      <c r="CF827" s="58"/>
      <c r="CG827" s="58"/>
      <c r="CH827" s="58"/>
      <c r="CI827" s="58"/>
      <c r="CJ827" s="58"/>
      <c r="CK827" s="58"/>
      <c r="CL827" s="58"/>
    </row>
    <row r="828" spans="1:92" hidden="1" x14ac:dyDescent="0.3">
      <c r="A828" s="29">
        <v>823</v>
      </c>
      <c r="B828" s="30" t="s">
        <v>963</v>
      </c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47"/>
      <c r="AB828" s="47"/>
      <c r="AC828" s="47"/>
      <c r="AD828" s="47"/>
      <c r="AE828" s="47"/>
      <c r="AF828" s="47"/>
      <c r="AG828" s="47"/>
      <c r="AH828" s="47"/>
      <c r="AI828" s="47"/>
      <c r="AJ828" s="30"/>
      <c r="AK828" s="30"/>
      <c r="AL828" s="47"/>
      <c r="AM828" s="47"/>
      <c r="AN828" s="47"/>
      <c r="AO828" s="47"/>
      <c r="AP828" s="47"/>
      <c r="AQ828" s="47"/>
      <c r="AR828" s="47"/>
      <c r="AS828" s="47"/>
      <c r="AT828" s="47"/>
      <c r="AU828" s="74"/>
      <c r="AV828" s="149"/>
      <c r="AW828" s="149"/>
      <c r="AX828" s="149"/>
      <c r="AY828" s="149"/>
      <c r="AZ828" s="149"/>
      <c r="BA828" s="74">
        <f t="shared" si="544"/>
        <v>0</v>
      </c>
      <c r="BB828" s="74"/>
      <c r="BC828" s="47"/>
      <c r="BD828" s="47"/>
      <c r="BE828" s="47"/>
      <c r="BF828" s="47"/>
      <c r="BG828" s="30"/>
      <c r="BH828" s="30"/>
      <c r="BI828" s="30"/>
      <c r="BJ828" s="30"/>
      <c r="BK828" s="56"/>
      <c r="BL828" s="57"/>
      <c r="BM828" s="57"/>
      <c r="BU828" s="101">
        <f t="shared" si="561"/>
        <v>0</v>
      </c>
      <c r="BV828" s="101">
        <f t="shared" si="561"/>
        <v>0</v>
      </c>
      <c r="BW828" s="101">
        <f t="shared" si="559"/>
        <v>0</v>
      </c>
      <c r="BX828" s="101">
        <f t="shared" si="557"/>
        <v>0</v>
      </c>
      <c r="BY828" s="101">
        <f t="shared" si="560"/>
        <v>0</v>
      </c>
      <c r="BZ828" s="58"/>
      <c r="CA828" s="58"/>
      <c r="CB828" s="58"/>
      <c r="CC828" s="58"/>
      <c r="CD828" s="58"/>
      <c r="CE828" s="58"/>
      <c r="CF828" s="58"/>
      <c r="CG828" s="58"/>
      <c r="CH828" s="58"/>
      <c r="CI828" s="58"/>
      <c r="CJ828" s="58"/>
      <c r="CK828" s="58"/>
      <c r="CL828" s="58"/>
    </row>
    <row r="829" spans="1:92" hidden="1" x14ac:dyDescent="0.3">
      <c r="A829" s="29">
        <v>824</v>
      </c>
      <c r="B829" s="30" t="s">
        <v>963</v>
      </c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47"/>
      <c r="AB829" s="47"/>
      <c r="AC829" s="47"/>
      <c r="AD829" s="47"/>
      <c r="AE829" s="47"/>
      <c r="AF829" s="47"/>
      <c r="AG829" s="47"/>
      <c r="AH829" s="47"/>
      <c r="AI829" s="47"/>
      <c r="AJ829" s="30"/>
      <c r="AK829" s="30"/>
      <c r="AL829" s="47"/>
      <c r="AM829" s="47"/>
      <c r="AN829" s="47"/>
      <c r="AO829" s="47"/>
      <c r="AP829" s="47"/>
      <c r="AQ829" s="47"/>
      <c r="AR829" s="47"/>
      <c r="AS829" s="47"/>
      <c r="AT829" s="47"/>
      <c r="AU829" s="135"/>
      <c r="AV829" s="149"/>
      <c r="AW829" s="149"/>
      <c r="AX829" s="149"/>
      <c r="AY829" s="149"/>
      <c r="AZ829" s="149"/>
      <c r="BA829" s="74">
        <f t="shared" si="544"/>
        <v>0</v>
      </c>
      <c r="BB829" s="74"/>
      <c r="BC829" s="47"/>
      <c r="BD829" s="47"/>
      <c r="BE829" s="47"/>
      <c r="BF829" s="47"/>
      <c r="BG829" s="30"/>
      <c r="BH829" s="30"/>
      <c r="BI829" s="30"/>
      <c r="BJ829" s="30"/>
      <c r="BK829" s="159"/>
      <c r="BL829" s="57"/>
      <c r="BM829" s="57"/>
      <c r="BU829" s="101">
        <f t="shared" si="561"/>
        <v>0</v>
      </c>
      <c r="BV829" s="101">
        <f t="shared" si="561"/>
        <v>0</v>
      </c>
      <c r="BW829" s="101">
        <f t="shared" si="559"/>
        <v>0</v>
      </c>
      <c r="BX829" s="101">
        <f t="shared" si="557"/>
        <v>0</v>
      </c>
      <c r="BY829" s="101">
        <f t="shared" si="560"/>
        <v>0</v>
      </c>
      <c r="BZ829" s="58"/>
      <c r="CA829" s="58"/>
      <c r="CB829" s="58"/>
      <c r="CC829" s="58"/>
      <c r="CD829" s="58"/>
      <c r="CE829" s="58"/>
      <c r="CF829" s="58"/>
      <c r="CG829" s="58"/>
      <c r="CH829" s="58"/>
      <c r="CI829" s="58"/>
      <c r="CJ829" s="58"/>
      <c r="CK829" s="58"/>
      <c r="CL829" s="58"/>
    </row>
    <row r="830" spans="1:92" hidden="1" x14ac:dyDescent="0.3">
      <c r="A830" s="29">
        <v>825</v>
      </c>
      <c r="B830" s="30" t="s">
        <v>963</v>
      </c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47"/>
      <c r="AB830" s="47"/>
      <c r="AC830" s="47"/>
      <c r="AD830" s="47"/>
      <c r="AE830" s="47"/>
      <c r="AF830" s="47"/>
      <c r="AG830" s="47"/>
      <c r="AH830" s="47"/>
      <c r="AI830" s="47"/>
      <c r="AJ830" s="30"/>
      <c r="AK830" s="30"/>
      <c r="AL830" s="47"/>
      <c r="AM830" s="47"/>
      <c r="AN830" s="47"/>
      <c r="AO830" s="47"/>
      <c r="AP830" s="47"/>
      <c r="AQ830" s="47"/>
      <c r="AR830" s="47"/>
      <c r="AS830" s="47"/>
      <c r="AT830" s="47"/>
      <c r="AU830" s="135"/>
      <c r="AV830" s="149"/>
      <c r="AW830" s="149"/>
      <c r="AX830" s="149"/>
      <c r="AY830" s="149"/>
      <c r="AZ830" s="149"/>
      <c r="BA830" s="74">
        <f t="shared" si="544"/>
        <v>0</v>
      </c>
      <c r="BB830" s="74"/>
      <c r="BC830" s="47"/>
      <c r="BD830" s="47"/>
      <c r="BE830" s="47"/>
      <c r="BF830" s="47"/>
      <c r="BG830" s="30"/>
      <c r="BH830" s="30"/>
      <c r="BI830" s="30"/>
      <c r="BJ830" s="30"/>
      <c r="BK830" s="159"/>
      <c r="BL830" s="57"/>
      <c r="BM830" s="57"/>
      <c r="BU830" s="101">
        <f t="shared" si="561"/>
        <v>0</v>
      </c>
      <c r="BV830" s="101">
        <f t="shared" si="561"/>
        <v>0</v>
      </c>
      <c r="BW830" s="101">
        <f t="shared" si="559"/>
        <v>0</v>
      </c>
      <c r="BX830" s="101">
        <f t="shared" si="557"/>
        <v>0</v>
      </c>
      <c r="BY830" s="101">
        <f t="shared" si="560"/>
        <v>0</v>
      </c>
      <c r="BZ830" s="58"/>
      <c r="CA830" s="58"/>
      <c r="CB830" s="58"/>
      <c r="CC830" s="58"/>
      <c r="CD830" s="58"/>
      <c r="CE830" s="58"/>
      <c r="CF830" s="58"/>
      <c r="CG830" s="58"/>
      <c r="CH830" s="58"/>
      <c r="CI830" s="58"/>
      <c r="CJ830" s="58"/>
      <c r="CK830" s="58"/>
      <c r="CL830" s="58"/>
    </row>
    <row r="831" spans="1:92" hidden="1" x14ac:dyDescent="0.3">
      <c r="A831" s="29">
        <v>826</v>
      </c>
      <c r="B831" s="30" t="s">
        <v>963</v>
      </c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47"/>
      <c r="AB831" s="47"/>
      <c r="AC831" s="47"/>
      <c r="AD831" s="47"/>
      <c r="AE831" s="47"/>
      <c r="AF831" s="47"/>
      <c r="AG831" s="47"/>
      <c r="AH831" s="47"/>
      <c r="AI831" s="47"/>
      <c r="AJ831" s="30"/>
      <c r="AK831" s="30"/>
      <c r="AL831" s="47"/>
      <c r="AM831" s="47"/>
      <c r="AN831" s="47"/>
      <c r="AO831" s="47"/>
      <c r="AP831" s="47"/>
      <c r="AQ831" s="47"/>
      <c r="AR831" s="47"/>
      <c r="AS831" s="47"/>
      <c r="AT831" s="47"/>
      <c r="AU831" s="74"/>
      <c r="AV831" s="149"/>
      <c r="AW831" s="149"/>
      <c r="AX831" s="149"/>
      <c r="AY831" s="149"/>
      <c r="AZ831" s="149"/>
      <c r="BA831" s="74">
        <f t="shared" si="544"/>
        <v>0</v>
      </c>
      <c r="BB831" s="74"/>
      <c r="BC831" s="47"/>
      <c r="BD831" s="47"/>
      <c r="BE831" s="47"/>
      <c r="BF831" s="47"/>
      <c r="BG831" s="30"/>
      <c r="BH831" s="30"/>
      <c r="BI831" s="30"/>
      <c r="BJ831" s="30"/>
      <c r="BK831" s="56"/>
      <c r="BL831" s="57"/>
      <c r="BM831" s="57"/>
      <c r="BU831" s="101">
        <f t="shared" si="561"/>
        <v>0</v>
      </c>
      <c r="BV831" s="101">
        <f t="shared" si="561"/>
        <v>0</v>
      </c>
      <c r="BW831" s="101">
        <f t="shared" si="559"/>
        <v>0</v>
      </c>
      <c r="BX831" s="101">
        <f t="shared" si="557"/>
        <v>0</v>
      </c>
      <c r="BY831" s="101">
        <f t="shared" si="560"/>
        <v>0</v>
      </c>
      <c r="BZ831" s="58"/>
      <c r="CA831" s="58"/>
      <c r="CB831" s="58"/>
      <c r="CC831" s="58"/>
      <c r="CD831" s="58"/>
      <c r="CE831" s="58"/>
      <c r="CF831" s="58"/>
      <c r="CG831" s="58"/>
      <c r="CH831" s="58"/>
      <c r="CI831" s="58"/>
      <c r="CJ831" s="58"/>
      <c r="CK831" s="58"/>
      <c r="CL831" s="58"/>
    </row>
    <row r="832" spans="1:92" hidden="1" x14ac:dyDescent="0.3">
      <c r="A832" s="29">
        <v>827</v>
      </c>
      <c r="B832" s="30" t="s">
        <v>963</v>
      </c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47"/>
      <c r="AB832" s="47"/>
      <c r="AC832" s="47"/>
      <c r="AD832" s="47"/>
      <c r="AE832" s="47"/>
      <c r="AF832" s="47"/>
      <c r="AG832" s="47"/>
      <c r="AH832" s="47"/>
      <c r="AI832" s="47"/>
      <c r="AJ832" s="30"/>
      <c r="AK832" s="30"/>
      <c r="AL832" s="47"/>
      <c r="AM832" s="47"/>
      <c r="AN832" s="47"/>
      <c r="AO832" s="47"/>
      <c r="AP832" s="47"/>
      <c r="AQ832" s="47"/>
      <c r="AR832" s="47"/>
      <c r="AS832" s="47"/>
      <c r="AT832" s="47"/>
      <c r="AU832" s="74"/>
      <c r="AV832" s="149"/>
      <c r="AW832" s="149"/>
      <c r="AX832" s="149"/>
      <c r="AY832" s="149"/>
      <c r="AZ832" s="149"/>
      <c r="BA832" s="74">
        <f t="shared" si="544"/>
        <v>0</v>
      </c>
      <c r="BB832" s="74"/>
      <c r="BC832" s="47"/>
      <c r="BD832" s="47"/>
      <c r="BE832" s="47"/>
      <c r="BF832" s="47"/>
      <c r="BG832" s="30"/>
      <c r="BH832" s="30"/>
      <c r="BI832" s="30"/>
      <c r="BJ832" s="30"/>
      <c r="BK832" s="56"/>
      <c r="BL832" s="57"/>
      <c r="BM832" s="57"/>
      <c r="BU832" s="101">
        <f t="shared" si="561"/>
        <v>0</v>
      </c>
      <c r="BV832" s="101">
        <f t="shared" si="561"/>
        <v>0</v>
      </c>
      <c r="BW832" s="101">
        <f t="shared" si="559"/>
        <v>0</v>
      </c>
      <c r="BX832" s="101">
        <f t="shared" si="557"/>
        <v>0</v>
      </c>
      <c r="BY832" s="101">
        <f t="shared" si="560"/>
        <v>0</v>
      </c>
      <c r="BZ832" s="58"/>
      <c r="CA832" s="58"/>
      <c r="CB832" s="58"/>
      <c r="CC832" s="58"/>
      <c r="CD832" s="58"/>
      <c r="CE832" s="58"/>
      <c r="CF832" s="58"/>
      <c r="CG832" s="58"/>
      <c r="CH832" s="58"/>
      <c r="CI832" s="58"/>
      <c r="CJ832" s="58"/>
      <c r="CK832" s="58"/>
      <c r="CL832" s="58"/>
    </row>
    <row r="833" spans="1:92" hidden="1" x14ac:dyDescent="0.3">
      <c r="A833" s="29">
        <v>828</v>
      </c>
      <c r="B833" s="30" t="s">
        <v>963</v>
      </c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47"/>
      <c r="AB833" s="47"/>
      <c r="AC833" s="47"/>
      <c r="AD833" s="47"/>
      <c r="AE833" s="47"/>
      <c r="AF833" s="47"/>
      <c r="AG833" s="47"/>
      <c r="AH833" s="47"/>
      <c r="AI833" s="47"/>
      <c r="AJ833" s="30"/>
      <c r="AK833" s="30"/>
      <c r="AL833" s="47"/>
      <c r="AM833" s="47"/>
      <c r="AN833" s="47"/>
      <c r="AO833" s="47"/>
      <c r="AP833" s="47"/>
      <c r="AQ833" s="47"/>
      <c r="AR833" s="47"/>
      <c r="AS833" s="47"/>
      <c r="AT833" s="47"/>
      <c r="AU833" s="74"/>
      <c r="AV833" s="149"/>
      <c r="AW833" s="149"/>
      <c r="AX833" s="149"/>
      <c r="AY833" s="149"/>
      <c r="AZ833" s="149"/>
      <c r="BA833" s="74">
        <f t="shared" si="544"/>
        <v>0</v>
      </c>
      <c r="BB833" s="74"/>
      <c r="BC833" s="47"/>
      <c r="BD833" s="47"/>
      <c r="BE833" s="47"/>
      <c r="BF833" s="47"/>
      <c r="BG833" s="30"/>
      <c r="BH833" s="30"/>
      <c r="BI833" s="30"/>
      <c r="BJ833" s="30"/>
      <c r="BK833" s="56"/>
      <c r="BL833" s="57"/>
      <c r="BM833" s="57"/>
      <c r="BU833" s="101">
        <f t="shared" si="561"/>
        <v>0</v>
      </c>
      <c r="BV833" s="101">
        <f t="shared" si="561"/>
        <v>0</v>
      </c>
      <c r="BW833" s="101">
        <f t="shared" si="559"/>
        <v>0</v>
      </c>
      <c r="BX833" s="101">
        <f t="shared" si="557"/>
        <v>0</v>
      </c>
      <c r="BY833" s="101">
        <f t="shared" si="560"/>
        <v>0</v>
      </c>
      <c r="BZ833" s="58"/>
      <c r="CA833" s="58"/>
      <c r="CB833" s="58"/>
      <c r="CC833" s="58"/>
      <c r="CD833" s="58"/>
      <c r="CE833" s="58"/>
      <c r="CF833" s="58"/>
      <c r="CG833" s="58"/>
      <c r="CH833" s="58"/>
      <c r="CI833" s="58"/>
      <c r="CJ833" s="58"/>
      <c r="CK833" s="58"/>
      <c r="CL833" s="58"/>
    </row>
    <row r="834" spans="1:92" hidden="1" x14ac:dyDescent="0.3">
      <c r="A834" s="29">
        <v>829</v>
      </c>
      <c r="B834" s="30" t="s">
        <v>963</v>
      </c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47"/>
      <c r="AB834" s="47"/>
      <c r="AC834" s="47"/>
      <c r="AD834" s="47"/>
      <c r="AE834" s="47"/>
      <c r="AF834" s="47"/>
      <c r="AG834" s="47"/>
      <c r="AH834" s="47"/>
      <c r="AI834" s="47"/>
      <c r="AJ834" s="30"/>
      <c r="AK834" s="30"/>
      <c r="AL834" s="47"/>
      <c r="AM834" s="47"/>
      <c r="AN834" s="47"/>
      <c r="AO834" s="47"/>
      <c r="AP834" s="47"/>
      <c r="AQ834" s="47"/>
      <c r="AR834" s="47"/>
      <c r="AS834" s="47"/>
      <c r="AT834" s="47"/>
      <c r="AU834" s="74"/>
      <c r="AV834" s="149"/>
      <c r="AW834" s="149"/>
      <c r="AX834" s="149"/>
      <c r="AY834" s="149"/>
      <c r="AZ834" s="149"/>
      <c r="BA834" s="74">
        <f t="shared" si="544"/>
        <v>0</v>
      </c>
      <c r="BB834" s="74"/>
      <c r="BC834" s="47"/>
      <c r="BD834" s="47"/>
      <c r="BE834" s="47"/>
      <c r="BF834" s="47"/>
      <c r="BG834" s="30"/>
      <c r="BH834" s="30"/>
      <c r="BI834" s="30"/>
      <c r="BJ834" s="30"/>
      <c r="BK834" s="56"/>
      <c r="BL834" s="57"/>
      <c r="BM834" s="57"/>
      <c r="BU834" s="101">
        <f t="shared" si="561"/>
        <v>0</v>
      </c>
      <c r="BV834" s="101">
        <f t="shared" si="561"/>
        <v>0</v>
      </c>
      <c r="BW834" s="101">
        <f t="shared" si="559"/>
        <v>0</v>
      </c>
      <c r="BX834" s="101">
        <f t="shared" si="557"/>
        <v>0</v>
      </c>
      <c r="BY834" s="101">
        <f t="shared" si="560"/>
        <v>0</v>
      </c>
      <c r="BZ834" s="58"/>
      <c r="CA834" s="58"/>
      <c r="CB834" s="58"/>
      <c r="CC834" s="58"/>
      <c r="CD834" s="58"/>
      <c r="CE834" s="58"/>
      <c r="CF834" s="58"/>
      <c r="CG834" s="58"/>
      <c r="CH834" s="58"/>
      <c r="CI834" s="58"/>
      <c r="CJ834" s="58"/>
      <c r="CK834" s="58"/>
      <c r="CL834" s="58"/>
    </row>
    <row r="835" spans="1:92" hidden="1" x14ac:dyDescent="0.3">
      <c r="A835" s="29">
        <v>830</v>
      </c>
      <c r="B835" s="30" t="s">
        <v>963</v>
      </c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47"/>
      <c r="AB835" s="47"/>
      <c r="AC835" s="47"/>
      <c r="AD835" s="47"/>
      <c r="AE835" s="47"/>
      <c r="AF835" s="47"/>
      <c r="AG835" s="47"/>
      <c r="AH835" s="47"/>
      <c r="AI835" s="47"/>
      <c r="AJ835" s="30"/>
      <c r="AK835" s="30"/>
      <c r="AL835" s="47"/>
      <c r="AM835" s="47"/>
      <c r="AN835" s="47"/>
      <c r="AO835" s="47"/>
      <c r="AP835" s="47"/>
      <c r="AQ835" s="47"/>
      <c r="AR835" s="47"/>
      <c r="AS835" s="47"/>
      <c r="AT835" s="47"/>
      <c r="AU835" s="74"/>
      <c r="AV835" s="149"/>
      <c r="AW835" s="149"/>
      <c r="AX835" s="149"/>
      <c r="AY835" s="149"/>
      <c r="AZ835" s="149"/>
      <c r="BA835" s="74">
        <f t="shared" si="544"/>
        <v>0</v>
      </c>
      <c r="BB835" s="74"/>
      <c r="BC835" s="47"/>
      <c r="BD835" s="47"/>
      <c r="BE835" s="47"/>
      <c r="BF835" s="47"/>
      <c r="BG835" s="30"/>
      <c r="BH835" s="30"/>
      <c r="BI835" s="30"/>
      <c r="BJ835" s="30"/>
      <c r="BK835" s="56"/>
      <c r="BL835" s="57"/>
      <c r="BM835" s="57"/>
      <c r="BU835" s="101">
        <f t="shared" si="561"/>
        <v>0</v>
      </c>
      <c r="BV835" s="101">
        <f t="shared" si="561"/>
        <v>0</v>
      </c>
      <c r="BW835" s="101">
        <f t="shared" si="559"/>
        <v>0</v>
      </c>
      <c r="BX835" s="101">
        <f t="shared" si="557"/>
        <v>0</v>
      </c>
      <c r="BY835" s="101">
        <f t="shared" si="560"/>
        <v>0</v>
      </c>
      <c r="BZ835" s="58"/>
      <c r="CA835" s="58"/>
      <c r="CB835" s="58"/>
      <c r="CC835" s="58"/>
      <c r="CD835" s="58"/>
      <c r="CE835" s="58"/>
      <c r="CF835" s="58"/>
      <c r="CG835" s="58"/>
      <c r="CH835" s="58"/>
      <c r="CI835" s="58"/>
      <c r="CJ835" s="58"/>
      <c r="CK835" s="58"/>
      <c r="CL835" s="58"/>
    </row>
    <row r="836" spans="1:92" hidden="1" x14ac:dyDescent="0.3">
      <c r="A836" s="29">
        <v>831</v>
      </c>
      <c r="B836" s="30" t="s">
        <v>963</v>
      </c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47"/>
      <c r="AB836" s="47"/>
      <c r="AC836" s="47"/>
      <c r="AD836" s="47"/>
      <c r="AE836" s="47"/>
      <c r="AF836" s="47"/>
      <c r="AG836" s="47"/>
      <c r="AH836" s="47"/>
      <c r="AI836" s="47"/>
      <c r="AJ836" s="30"/>
      <c r="AK836" s="30"/>
      <c r="AL836" s="47"/>
      <c r="AM836" s="47"/>
      <c r="AN836" s="47"/>
      <c r="AO836" s="47"/>
      <c r="AP836" s="47"/>
      <c r="AQ836" s="47"/>
      <c r="AR836" s="47"/>
      <c r="AS836" s="47"/>
      <c r="AT836" s="47"/>
      <c r="AU836" s="74"/>
      <c r="AV836" s="149"/>
      <c r="AW836" s="149"/>
      <c r="AX836" s="149"/>
      <c r="AY836" s="149"/>
      <c r="AZ836" s="149"/>
      <c r="BA836" s="74">
        <f t="shared" si="544"/>
        <v>0</v>
      </c>
      <c r="BB836" s="74"/>
      <c r="BC836" s="47"/>
      <c r="BD836" s="47"/>
      <c r="BE836" s="47"/>
      <c r="BF836" s="47"/>
      <c r="BG836" s="30"/>
      <c r="BH836" s="30"/>
      <c r="BI836" s="30"/>
      <c r="BJ836" s="30"/>
      <c r="BK836" s="56"/>
      <c r="BL836" s="57"/>
      <c r="BM836" s="57"/>
      <c r="BU836" s="101">
        <f t="shared" si="561"/>
        <v>0</v>
      </c>
      <c r="BV836" s="101">
        <f t="shared" si="561"/>
        <v>0</v>
      </c>
      <c r="BW836" s="101">
        <f t="shared" si="559"/>
        <v>0</v>
      </c>
      <c r="BX836" s="101">
        <f t="shared" si="557"/>
        <v>0</v>
      </c>
      <c r="BY836" s="101">
        <f t="shared" si="560"/>
        <v>0</v>
      </c>
      <c r="BZ836" s="58"/>
      <c r="CA836" s="58"/>
      <c r="CB836" s="58"/>
      <c r="CC836" s="58"/>
      <c r="CD836" s="58"/>
      <c r="CE836" s="58"/>
      <c r="CF836" s="58"/>
      <c r="CG836" s="58"/>
      <c r="CH836" s="58"/>
      <c r="CI836" s="58"/>
      <c r="CJ836" s="58"/>
      <c r="CK836" s="58"/>
      <c r="CL836" s="58"/>
    </row>
    <row r="837" spans="1:92" hidden="1" x14ac:dyDescent="0.3">
      <c r="A837" s="29">
        <v>832</v>
      </c>
      <c r="B837" s="30" t="s">
        <v>963</v>
      </c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47"/>
      <c r="AB837" s="47"/>
      <c r="AC837" s="47"/>
      <c r="AD837" s="47"/>
      <c r="AE837" s="47"/>
      <c r="AF837" s="47"/>
      <c r="AG837" s="47"/>
      <c r="AH837" s="47"/>
      <c r="AI837" s="47"/>
      <c r="AJ837" s="30"/>
      <c r="AK837" s="30"/>
      <c r="AL837" s="47"/>
      <c r="AM837" s="47"/>
      <c r="AN837" s="47"/>
      <c r="AO837" s="47"/>
      <c r="AP837" s="47"/>
      <c r="AQ837" s="47"/>
      <c r="AR837" s="47"/>
      <c r="AS837" s="47"/>
      <c r="AT837" s="47"/>
      <c r="AU837" s="74"/>
      <c r="AV837" s="149"/>
      <c r="AW837" s="149"/>
      <c r="AX837" s="149"/>
      <c r="AY837" s="149"/>
      <c r="AZ837" s="149"/>
      <c r="BA837" s="74">
        <f t="shared" si="544"/>
        <v>0</v>
      </c>
      <c r="BB837" s="74"/>
      <c r="BC837" s="47"/>
      <c r="BD837" s="47"/>
      <c r="BE837" s="47"/>
      <c r="BF837" s="47"/>
      <c r="BG837" s="30"/>
      <c r="BH837" s="30"/>
      <c r="BI837" s="30"/>
      <c r="BJ837" s="30"/>
      <c r="BK837" s="56"/>
      <c r="BL837" s="57"/>
      <c r="BM837" s="57"/>
      <c r="BU837" s="101">
        <f t="shared" si="561"/>
        <v>0</v>
      </c>
      <c r="BV837" s="101">
        <f t="shared" si="561"/>
        <v>0</v>
      </c>
      <c r="BW837" s="101">
        <f t="shared" si="559"/>
        <v>0</v>
      </c>
      <c r="BX837" s="101">
        <f t="shared" si="557"/>
        <v>0</v>
      </c>
      <c r="BY837" s="101">
        <f t="shared" si="560"/>
        <v>0</v>
      </c>
      <c r="BZ837" s="58"/>
      <c r="CA837" s="58"/>
      <c r="CB837" s="58"/>
      <c r="CC837" s="58"/>
      <c r="CD837" s="58"/>
      <c r="CE837" s="58"/>
      <c r="CF837" s="58"/>
      <c r="CG837" s="58"/>
      <c r="CH837" s="58"/>
      <c r="CI837" s="58"/>
      <c r="CJ837" s="58"/>
      <c r="CK837" s="58"/>
      <c r="CL837" s="58"/>
    </row>
    <row r="838" spans="1:92" hidden="1" x14ac:dyDescent="0.3">
      <c r="A838" s="29">
        <v>833</v>
      </c>
      <c r="B838" s="30" t="s">
        <v>963</v>
      </c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47"/>
      <c r="AB838" s="47"/>
      <c r="AC838" s="47"/>
      <c r="AD838" s="47"/>
      <c r="AE838" s="47"/>
      <c r="AF838" s="47"/>
      <c r="AG838" s="47"/>
      <c r="AH838" s="47"/>
      <c r="AI838" s="47"/>
      <c r="AJ838" s="30"/>
      <c r="AK838" s="30"/>
      <c r="AL838" s="47"/>
      <c r="AM838" s="47"/>
      <c r="AN838" s="47"/>
      <c r="AO838" s="47"/>
      <c r="AP838" s="47"/>
      <c r="AQ838" s="47"/>
      <c r="AR838" s="47"/>
      <c r="AS838" s="47"/>
      <c r="AT838" s="47"/>
      <c r="AU838" s="74"/>
      <c r="AV838" s="149"/>
      <c r="AW838" s="149"/>
      <c r="AX838" s="149"/>
      <c r="AY838" s="149"/>
      <c r="AZ838" s="149"/>
      <c r="BA838" s="74">
        <f t="shared" si="544"/>
        <v>0</v>
      </c>
      <c r="BB838" s="74"/>
      <c r="BC838" s="47"/>
      <c r="BD838" s="47"/>
      <c r="BE838" s="47"/>
      <c r="BF838" s="47"/>
      <c r="BG838" s="30"/>
      <c r="BH838" s="30"/>
      <c r="BI838" s="30"/>
      <c r="BJ838" s="30"/>
      <c r="BK838" s="56"/>
      <c r="BL838" s="57"/>
      <c r="BM838" s="57"/>
      <c r="BU838" s="101">
        <f t="shared" si="561"/>
        <v>0</v>
      </c>
      <c r="BV838" s="101">
        <f t="shared" si="561"/>
        <v>0</v>
      </c>
      <c r="BW838" s="101">
        <f t="shared" si="559"/>
        <v>0</v>
      </c>
      <c r="BX838" s="101">
        <f t="shared" si="557"/>
        <v>0</v>
      </c>
      <c r="BY838" s="101">
        <f t="shared" si="560"/>
        <v>0</v>
      </c>
      <c r="BZ838" s="58"/>
      <c r="CA838" s="58"/>
      <c r="CB838" s="58"/>
      <c r="CC838" s="58"/>
      <c r="CD838" s="58"/>
      <c r="CE838" s="58"/>
      <c r="CF838" s="58"/>
      <c r="CG838" s="58"/>
      <c r="CH838" s="58"/>
      <c r="CI838" s="58"/>
      <c r="CJ838" s="58"/>
      <c r="CK838" s="58"/>
      <c r="CL838" s="58"/>
    </row>
    <row r="839" spans="1:92" hidden="1" x14ac:dyDescent="0.3">
      <c r="A839" s="29">
        <v>834</v>
      </c>
      <c r="B839" s="30" t="s">
        <v>963</v>
      </c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47"/>
      <c r="AB839" s="47"/>
      <c r="AC839" s="47"/>
      <c r="AD839" s="47"/>
      <c r="AE839" s="47"/>
      <c r="AF839" s="47"/>
      <c r="AG839" s="47"/>
      <c r="AH839" s="47"/>
      <c r="AI839" s="47"/>
      <c r="AJ839" s="30"/>
      <c r="AK839" s="30"/>
      <c r="AL839" s="47"/>
      <c r="AM839" s="47"/>
      <c r="AN839" s="47"/>
      <c r="AO839" s="47"/>
      <c r="AP839" s="47"/>
      <c r="AQ839" s="47"/>
      <c r="AR839" s="47"/>
      <c r="AS839" s="47"/>
      <c r="AT839" s="47"/>
      <c r="AU839" s="74"/>
      <c r="AV839" s="149"/>
      <c r="AW839" s="149"/>
      <c r="AX839" s="149"/>
      <c r="AY839" s="149"/>
      <c r="AZ839" s="149"/>
      <c r="BA839" s="74">
        <f t="shared" si="544"/>
        <v>0</v>
      </c>
      <c r="BB839" s="74"/>
      <c r="BC839" s="47"/>
      <c r="BD839" s="47"/>
      <c r="BE839" s="47"/>
      <c r="BF839" s="47"/>
      <c r="BG839" s="30"/>
      <c r="BH839" s="30"/>
      <c r="BI839" s="30"/>
      <c r="BJ839" s="30"/>
      <c r="BK839" s="56"/>
      <c r="BL839" s="57"/>
      <c r="BM839" s="57"/>
      <c r="BU839" s="101">
        <f t="shared" si="561"/>
        <v>0</v>
      </c>
      <c r="BV839" s="101">
        <f t="shared" si="561"/>
        <v>0</v>
      </c>
      <c r="BW839" s="101">
        <f t="shared" si="559"/>
        <v>0</v>
      </c>
      <c r="BX839" s="101">
        <f t="shared" si="557"/>
        <v>0</v>
      </c>
      <c r="BY839" s="101">
        <f t="shared" si="560"/>
        <v>0</v>
      </c>
      <c r="BZ839" s="58"/>
      <c r="CA839" s="58"/>
      <c r="CB839" s="58"/>
      <c r="CC839" s="58"/>
      <c r="CD839" s="58"/>
      <c r="CE839" s="58"/>
      <c r="CF839" s="58"/>
      <c r="CG839" s="58"/>
      <c r="CH839" s="58"/>
      <c r="CI839" s="58"/>
      <c r="CJ839" s="58"/>
      <c r="CK839" s="58"/>
      <c r="CL839" s="58"/>
    </row>
    <row r="840" spans="1:92" hidden="1" x14ac:dyDescent="0.3">
      <c r="A840" s="29">
        <v>835</v>
      </c>
      <c r="B840" s="30" t="s">
        <v>963</v>
      </c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47"/>
      <c r="AB840" s="47"/>
      <c r="AC840" s="47"/>
      <c r="AD840" s="47"/>
      <c r="AE840" s="47"/>
      <c r="AF840" s="47"/>
      <c r="AG840" s="47"/>
      <c r="AH840" s="47"/>
      <c r="AI840" s="47"/>
      <c r="AJ840" s="30"/>
      <c r="AK840" s="30"/>
      <c r="AL840" s="47"/>
      <c r="AM840" s="47"/>
      <c r="AN840" s="47"/>
      <c r="AO840" s="47"/>
      <c r="AP840" s="47"/>
      <c r="AQ840" s="47"/>
      <c r="AR840" s="47"/>
      <c r="AS840" s="47"/>
      <c r="AT840" s="47"/>
      <c r="AU840" s="74"/>
      <c r="AV840" s="149"/>
      <c r="AW840" s="149"/>
      <c r="AX840" s="149"/>
      <c r="AY840" s="149"/>
      <c r="AZ840" s="149"/>
      <c r="BA840" s="74">
        <f t="shared" si="544"/>
        <v>0</v>
      </c>
      <c r="BB840" s="74"/>
      <c r="BC840" s="47"/>
      <c r="BD840" s="47"/>
      <c r="BE840" s="47"/>
      <c r="BF840" s="47"/>
      <c r="BG840" s="30"/>
      <c r="BH840" s="30"/>
      <c r="BI840" s="30"/>
      <c r="BJ840" s="30"/>
      <c r="BK840" s="56"/>
      <c r="BL840" s="57"/>
      <c r="BM840" s="57"/>
      <c r="BU840" s="101">
        <f t="shared" si="561"/>
        <v>0</v>
      </c>
      <c r="BV840" s="101">
        <f t="shared" si="561"/>
        <v>0</v>
      </c>
      <c r="BW840" s="101">
        <f t="shared" si="559"/>
        <v>0</v>
      </c>
      <c r="BX840" s="101">
        <f t="shared" si="557"/>
        <v>0</v>
      </c>
      <c r="BY840" s="101">
        <f t="shared" si="560"/>
        <v>0</v>
      </c>
      <c r="BZ840" s="58"/>
      <c r="CA840" s="58"/>
      <c r="CB840" s="58"/>
      <c r="CC840" s="58"/>
      <c r="CD840" s="58"/>
      <c r="CE840" s="58"/>
      <c r="CF840" s="58"/>
      <c r="CG840" s="58"/>
      <c r="CH840" s="58"/>
      <c r="CI840" s="58"/>
      <c r="CJ840" s="58"/>
      <c r="CK840" s="58"/>
      <c r="CL840" s="58"/>
    </row>
    <row r="841" spans="1:92" ht="16.5" hidden="1" x14ac:dyDescent="0.3">
      <c r="A841" s="2">
        <v>836</v>
      </c>
      <c r="B841" s="47" t="s">
        <v>963</v>
      </c>
      <c r="C841" s="47"/>
      <c r="D841" s="47"/>
      <c r="E841" s="47"/>
      <c r="F841" s="47"/>
      <c r="G841" s="47"/>
      <c r="H841" s="47"/>
      <c r="I841" s="47"/>
      <c r="J841" s="47"/>
      <c r="K841" s="47" t="s">
        <v>2159</v>
      </c>
      <c r="L841" s="47"/>
      <c r="M841" s="47"/>
      <c r="N841" s="47"/>
      <c r="O841" s="155" t="s">
        <v>2191</v>
      </c>
      <c r="P841" s="156"/>
      <c r="Q841" s="156"/>
      <c r="R841" s="156"/>
      <c r="S841" s="157"/>
      <c r="T841" s="47"/>
      <c r="U841" s="47"/>
      <c r="V841" s="47"/>
      <c r="W841" s="47"/>
      <c r="X841" s="47" t="s">
        <v>2161</v>
      </c>
      <c r="Y841" s="47" t="s">
        <v>2162</v>
      </c>
      <c r="Z841" s="47" t="s">
        <v>2162</v>
      </c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56">
        <v>350000000</v>
      </c>
      <c r="AV841" s="149"/>
      <c r="AW841" s="149"/>
      <c r="AX841" s="149"/>
      <c r="AY841" s="149"/>
      <c r="AZ841" s="149"/>
      <c r="BA841" s="56">
        <f t="shared" si="544"/>
        <v>350000000</v>
      </c>
      <c r="BB841" s="56"/>
      <c r="BC841" s="47"/>
      <c r="BD841" s="47"/>
      <c r="BE841" s="47"/>
      <c r="BF841" s="47"/>
      <c r="BG841" s="47"/>
      <c r="BH841" s="30" t="s">
        <v>2159</v>
      </c>
      <c r="BI841" s="30" t="s">
        <v>2163</v>
      </c>
      <c r="BJ841" s="47" t="s">
        <v>2164</v>
      </c>
      <c r="BK841" s="154">
        <f>BA841</f>
        <v>350000000</v>
      </c>
      <c r="BL841" s="57">
        <f>BK841/$BL$1/4</f>
        <v>10937500</v>
      </c>
      <c r="BM841" s="57">
        <f>BK841/$BL$1/12</f>
        <v>3645833.3333333335</v>
      </c>
      <c r="BP841" s="69">
        <f>BM841*3</f>
        <v>10937500</v>
      </c>
      <c r="BQ841" s="69">
        <f>BP841</f>
        <v>10937500</v>
      </c>
      <c r="BR841" s="69">
        <f>SUM(BN841:BQ841)</f>
        <v>21875000</v>
      </c>
      <c r="BS841" s="69">
        <f>BQ841</f>
        <v>10937500</v>
      </c>
      <c r="BT841" s="69">
        <f t="shared" si="561"/>
        <v>10937500</v>
      </c>
      <c r="BU841" s="100">
        <f t="shared" si="561"/>
        <v>10937500</v>
      </c>
      <c r="BV841" s="100">
        <f t="shared" si="561"/>
        <v>10937500</v>
      </c>
      <c r="BW841" s="100">
        <f t="shared" si="559"/>
        <v>43750000</v>
      </c>
      <c r="BX841" s="101">
        <f t="shared" si="557"/>
        <v>10937500</v>
      </c>
      <c r="BY841" s="101">
        <f t="shared" si="560"/>
        <v>10937500</v>
      </c>
      <c r="BZ841" s="58">
        <f t="shared" si="560"/>
        <v>10937500</v>
      </c>
      <c r="CA841" s="58">
        <f t="shared" si="560"/>
        <v>10937500</v>
      </c>
      <c r="CB841" s="76">
        <f t="shared" ref="CB841:CB843" si="562">SUM(BX841:CA841)</f>
        <v>43750000</v>
      </c>
      <c r="CC841" s="58">
        <f t="shared" ref="CC841:CC843" si="563">CA841</f>
        <v>10937500</v>
      </c>
      <c r="CD841" s="58">
        <f t="shared" ref="CD841:CF843" si="564">CC841</f>
        <v>10937500</v>
      </c>
      <c r="CE841" s="58">
        <f t="shared" si="564"/>
        <v>10937500</v>
      </c>
      <c r="CF841" s="58">
        <f t="shared" si="564"/>
        <v>10937500</v>
      </c>
      <c r="CG841" s="76">
        <f t="shared" ref="CG841:CG843" si="565">SUM(CC841:CF841)</f>
        <v>43750000</v>
      </c>
      <c r="CH841" s="58">
        <f>CF841</f>
        <v>10937500</v>
      </c>
      <c r="CI841" s="58">
        <f t="shared" ref="CI841:CK843" si="566">CH841</f>
        <v>10937500</v>
      </c>
      <c r="CJ841" s="58">
        <f t="shared" si="566"/>
        <v>10937500</v>
      </c>
      <c r="CK841" s="58">
        <f t="shared" si="566"/>
        <v>10937500</v>
      </c>
      <c r="CL841" s="76">
        <f>SUM(CH841:CK841)</f>
        <v>43750000</v>
      </c>
      <c r="CM841" s="71"/>
      <c r="CN841" s="71"/>
    </row>
    <row r="842" spans="1:92" ht="16.5" hidden="1" x14ac:dyDescent="0.3">
      <c r="A842" s="2">
        <v>837</v>
      </c>
      <c r="B842" s="47" t="s">
        <v>963</v>
      </c>
      <c r="C842" s="47"/>
      <c r="D842" s="47"/>
      <c r="E842" s="47"/>
      <c r="F842" s="47"/>
      <c r="G842" s="47"/>
      <c r="H842" s="47"/>
      <c r="I842" s="47"/>
      <c r="J842" s="47"/>
      <c r="K842" s="47" t="s">
        <v>2159</v>
      </c>
      <c r="L842" s="47"/>
      <c r="M842" s="47"/>
      <c r="N842" s="47"/>
      <c r="O842" s="155" t="s">
        <v>2192</v>
      </c>
      <c r="P842" s="156"/>
      <c r="Q842" s="156"/>
      <c r="R842" s="156"/>
      <c r="S842" s="157"/>
      <c r="T842" s="47"/>
      <c r="U842" s="47"/>
      <c r="V842" s="47"/>
      <c r="W842" s="47"/>
      <c r="X842" s="47" t="s">
        <v>2161</v>
      </c>
      <c r="Y842" s="47" t="s">
        <v>2162</v>
      </c>
      <c r="Z842" s="47" t="s">
        <v>2162</v>
      </c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56">
        <v>40000000</v>
      </c>
      <c r="AV842" s="149"/>
      <c r="AW842" s="149"/>
      <c r="AX842" s="149"/>
      <c r="AY842" s="149"/>
      <c r="AZ842" s="149"/>
      <c r="BA842" s="56">
        <f t="shared" si="544"/>
        <v>40000000</v>
      </c>
      <c r="BB842" s="56"/>
      <c r="BC842" s="47"/>
      <c r="BD842" s="47"/>
      <c r="BE842" s="47"/>
      <c r="BF842" s="47"/>
      <c r="BG842" s="47"/>
      <c r="BH842" s="30" t="s">
        <v>2159</v>
      </c>
      <c r="BI842" s="30" t="s">
        <v>2163</v>
      </c>
      <c r="BJ842" s="47" t="s">
        <v>2164</v>
      </c>
      <c r="BK842" s="154">
        <f>BA842</f>
        <v>40000000</v>
      </c>
      <c r="BL842" s="57">
        <f>BK842/$BL$1/4</f>
        <v>1250000</v>
      </c>
      <c r="BM842" s="57">
        <f>BK842/$BL$1/12</f>
        <v>416666.66666666669</v>
      </c>
      <c r="BP842" s="69">
        <f>BM842*3</f>
        <v>1250000</v>
      </c>
      <c r="BQ842" s="69">
        <f>BP842</f>
        <v>1250000</v>
      </c>
      <c r="BR842" s="69">
        <f>SUM(BN842:BQ842)</f>
        <v>2500000</v>
      </c>
      <c r="BS842" s="69">
        <f>BQ842</f>
        <v>1250000</v>
      </c>
      <c r="BT842" s="69">
        <f t="shared" si="561"/>
        <v>1250000</v>
      </c>
      <c r="BU842" s="100">
        <f t="shared" si="561"/>
        <v>1250000</v>
      </c>
      <c r="BV842" s="100">
        <f t="shared" si="561"/>
        <v>1250000</v>
      </c>
      <c r="BW842" s="100">
        <f t="shared" si="559"/>
        <v>5000000</v>
      </c>
      <c r="BX842" s="101">
        <f t="shared" si="557"/>
        <v>1250000</v>
      </c>
      <c r="BY842" s="101">
        <f t="shared" si="560"/>
        <v>1250000</v>
      </c>
      <c r="BZ842" s="58">
        <f t="shared" si="560"/>
        <v>1250000</v>
      </c>
      <c r="CA842" s="58">
        <f t="shared" si="560"/>
        <v>1250000</v>
      </c>
      <c r="CB842" s="76">
        <f t="shared" si="562"/>
        <v>5000000</v>
      </c>
      <c r="CC842" s="58">
        <f t="shared" si="563"/>
        <v>1250000</v>
      </c>
      <c r="CD842" s="58">
        <f t="shared" si="564"/>
        <v>1250000</v>
      </c>
      <c r="CE842" s="58">
        <f t="shared" si="564"/>
        <v>1250000</v>
      </c>
      <c r="CF842" s="58">
        <f t="shared" si="564"/>
        <v>1250000</v>
      </c>
      <c r="CG842" s="76">
        <f t="shared" si="565"/>
        <v>5000000</v>
      </c>
      <c r="CH842" s="58">
        <f>CF842</f>
        <v>1250000</v>
      </c>
      <c r="CI842" s="58">
        <f t="shared" si="566"/>
        <v>1250000</v>
      </c>
      <c r="CJ842" s="58">
        <f t="shared" si="566"/>
        <v>1250000</v>
      </c>
      <c r="CK842" s="58">
        <f t="shared" si="566"/>
        <v>1250000</v>
      </c>
      <c r="CL842" s="76">
        <f>SUM(CH842:CK842)</f>
        <v>5000000</v>
      </c>
      <c r="CM842" s="71"/>
      <c r="CN842" s="71"/>
    </row>
    <row r="843" spans="1:92" ht="16.5" hidden="1" x14ac:dyDescent="0.3">
      <c r="A843" s="2">
        <v>838</v>
      </c>
      <c r="B843" s="47" t="s">
        <v>963</v>
      </c>
      <c r="C843" s="47"/>
      <c r="D843" s="47"/>
      <c r="E843" s="47"/>
      <c r="F843" s="47"/>
      <c r="G843" s="47"/>
      <c r="H843" s="47"/>
      <c r="I843" s="47"/>
      <c r="J843" s="47"/>
      <c r="K843" s="47" t="s">
        <v>2159</v>
      </c>
      <c r="L843" s="47"/>
      <c r="M843" s="47"/>
      <c r="N843" s="47"/>
      <c r="O843" s="155" t="s">
        <v>2193</v>
      </c>
      <c r="P843" s="156"/>
      <c r="Q843" s="156"/>
      <c r="R843" s="156"/>
      <c r="S843" s="157"/>
      <c r="T843" s="47"/>
      <c r="U843" s="47"/>
      <c r="V843" s="47"/>
      <c r="W843" s="47"/>
      <c r="X843" s="47" t="s">
        <v>2161</v>
      </c>
      <c r="Y843" s="47" t="s">
        <v>2162</v>
      </c>
      <c r="Z843" s="47" t="s">
        <v>2162</v>
      </c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56">
        <v>5000000000</v>
      </c>
      <c r="AV843" s="149"/>
      <c r="AW843" s="149"/>
      <c r="AX843" s="149"/>
      <c r="AY843" s="149"/>
      <c r="AZ843" s="149"/>
      <c r="BA843" s="56">
        <f t="shared" si="544"/>
        <v>5000000000</v>
      </c>
      <c r="BB843" s="56"/>
      <c r="BC843" s="47"/>
      <c r="BD843" s="47"/>
      <c r="BE843" s="47"/>
      <c r="BF843" s="47"/>
      <c r="BG843" s="47"/>
      <c r="BH843" s="30" t="s">
        <v>2159</v>
      </c>
      <c r="BI843" s="30" t="s">
        <v>2163</v>
      </c>
      <c r="BJ843" s="47" t="s">
        <v>2164</v>
      </c>
      <c r="BK843" s="154">
        <f>BA843</f>
        <v>5000000000</v>
      </c>
      <c r="BL843" s="57">
        <f>BK843/$BL$1/4</f>
        <v>156250000</v>
      </c>
      <c r="BM843" s="57">
        <f>BK843/$BL$1/12</f>
        <v>52083333.333333336</v>
      </c>
      <c r="BP843" s="69">
        <f>BM843*3</f>
        <v>156250000</v>
      </c>
      <c r="BQ843" s="69">
        <f>BP843</f>
        <v>156250000</v>
      </c>
      <c r="BR843" s="69">
        <f>SUM(BN843:BQ843)</f>
        <v>312500000</v>
      </c>
      <c r="BS843" s="69">
        <f>BQ843</f>
        <v>156250000</v>
      </c>
      <c r="BT843" s="69">
        <f>BS843</f>
        <v>156250000</v>
      </c>
      <c r="BU843" s="100">
        <f>BT843</f>
        <v>156250000</v>
      </c>
      <c r="BV843" s="100">
        <f>BU843</f>
        <v>156250000</v>
      </c>
      <c r="BW843" s="100">
        <f t="shared" si="559"/>
        <v>625000000</v>
      </c>
      <c r="BX843" s="101">
        <f t="shared" si="557"/>
        <v>156250000</v>
      </c>
      <c r="BY843" s="101">
        <f t="shared" si="560"/>
        <v>156250000</v>
      </c>
      <c r="BZ843" s="58">
        <f t="shared" si="560"/>
        <v>156250000</v>
      </c>
      <c r="CA843" s="58">
        <f t="shared" si="560"/>
        <v>156250000</v>
      </c>
      <c r="CB843" s="76">
        <f t="shared" si="562"/>
        <v>625000000</v>
      </c>
      <c r="CC843" s="58">
        <f t="shared" si="563"/>
        <v>156250000</v>
      </c>
      <c r="CD843" s="58">
        <f t="shared" si="564"/>
        <v>156250000</v>
      </c>
      <c r="CE843" s="58">
        <f t="shared" si="564"/>
        <v>156250000</v>
      </c>
      <c r="CF843" s="58">
        <f t="shared" si="564"/>
        <v>156250000</v>
      </c>
      <c r="CG843" s="76">
        <f t="shared" si="565"/>
        <v>625000000</v>
      </c>
      <c r="CH843" s="58">
        <f>CF843</f>
        <v>156250000</v>
      </c>
      <c r="CI843" s="58">
        <f t="shared" si="566"/>
        <v>156250000</v>
      </c>
      <c r="CJ843" s="58">
        <f t="shared" si="566"/>
        <v>156250000</v>
      </c>
      <c r="CK843" s="58">
        <f t="shared" si="566"/>
        <v>156250000</v>
      </c>
      <c r="CL843" s="76">
        <f>SUM(CH843:CK843)</f>
        <v>625000000</v>
      </c>
      <c r="CM843" s="71"/>
      <c r="CN843" s="71"/>
    </row>
    <row r="844" spans="1:92" hidden="1" x14ac:dyDescent="0.3">
      <c r="A844" s="29">
        <v>839</v>
      </c>
      <c r="B844" s="97" t="s">
        <v>21</v>
      </c>
      <c r="C844" s="97"/>
      <c r="D844" s="97" t="s">
        <v>2194</v>
      </c>
      <c r="E844" s="97"/>
      <c r="F844" s="97" t="s">
        <v>2195</v>
      </c>
      <c r="G844" s="97"/>
      <c r="H844" s="97"/>
      <c r="I844" s="97"/>
      <c r="J844" s="97"/>
      <c r="K844" s="97"/>
      <c r="L844" s="97"/>
      <c r="M844" s="97"/>
      <c r="N844" s="97"/>
      <c r="O844" s="93" t="s">
        <v>523</v>
      </c>
      <c r="P844" s="97"/>
      <c r="Q844" s="97"/>
      <c r="R844" s="97"/>
      <c r="S844" s="97"/>
      <c r="T844" s="97"/>
      <c r="U844" s="97"/>
      <c r="V844" s="97"/>
      <c r="W844" s="97"/>
      <c r="X844" s="97"/>
      <c r="Y844" s="160"/>
      <c r="Z844" s="160"/>
      <c r="AF844" s="30"/>
      <c r="AG844" s="30"/>
      <c r="AJ844" s="97"/>
      <c r="AK844" s="97"/>
      <c r="AU844" s="161"/>
      <c r="BA844" s="97"/>
      <c r="BB844" s="97"/>
      <c r="BG844" s="97"/>
      <c r="BH844" s="97"/>
      <c r="BI844" s="97"/>
      <c r="BJ844" s="97"/>
      <c r="BK844" s="56"/>
      <c r="BL844" s="57"/>
      <c r="BM844" s="57"/>
      <c r="BU844" s="101"/>
      <c r="BV844" s="101"/>
      <c r="BW844" s="101"/>
      <c r="BX844" s="101"/>
      <c r="BY844" s="101"/>
    </row>
    <row r="845" spans="1:92" hidden="1" x14ac:dyDescent="0.3">
      <c r="A845" s="29">
        <v>840</v>
      </c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J845" s="97"/>
      <c r="AK845" s="97"/>
      <c r="AU845" s="97"/>
      <c r="BA845" s="97"/>
      <c r="BB845" s="97"/>
      <c r="BG845" s="97"/>
      <c r="BH845" s="97"/>
      <c r="BI845" s="97"/>
      <c r="BJ845" s="97"/>
      <c r="BK845" s="58"/>
      <c r="BL845" s="58"/>
      <c r="BM845" s="58"/>
      <c r="BU845" s="58"/>
      <c r="BV845" s="58"/>
      <c r="BW845" s="58"/>
      <c r="BX845" s="58"/>
      <c r="BY845" s="58"/>
      <c r="BZ845" s="58"/>
      <c r="CA845" s="58"/>
      <c r="CB845" s="58"/>
      <c r="CC845" s="58"/>
      <c r="CD845" s="58"/>
      <c r="CE845" s="58"/>
      <c r="CF845" s="58"/>
      <c r="CG845" s="58"/>
      <c r="CH845" s="58"/>
      <c r="CI845" s="58"/>
      <c r="CJ845" s="58"/>
      <c r="CK845" s="58"/>
      <c r="CL845" s="58"/>
    </row>
    <row r="846" spans="1:92" hidden="1" x14ac:dyDescent="0.3">
      <c r="A846" s="29">
        <v>841</v>
      </c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J846" s="97"/>
      <c r="AK846" s="97"/>
      <c r="AU846" s="97"/>
      <c r="BA846" s="97"/>
      <c r="BB846" s="97"/>
      <c r="BG846" s="97"/>
      <c r="BH846" s="97"/>
      <c r="BI846" s="97"/>
      <c r="BJ846" s="97"/>
      <c r="BK846" s="58"/>
      <c r="BL846" s="58"/>
      <c r="BM846" s="58"/>
      <c r="BU846" s="58"/>
      <c r="BV846" s="58"/>
      <c r="BW846" s="58"/>
      <c r="BX846" s="58"/>
      <c r="BY846" s="58"/>
      <c r="BZ846" s="58"/>
      <c r="CA846" s="58"/>
      <c r="CB846" s="58"/>
      <c r="CC846" s="58"/>
      <c r="CD846" s="58"/>
      <c r="CE846" s="58"/>
      <c r="CF846" s="58"/>
      <c r="CG846" s="58"/>
      <c r="CH846" s="58"/>
      <c r="CI846" s="58"/>
      <c r="CJ846" s="58"/>
      <c r="CK846" s="58"/>
      <c r="CL846" s="58"/>
    </row>
    <row r="847" spans="1:92" hidden="1" x14ac:dyDescent="0.3">
      <c r="A847" s="29">
        <v>842</v>
      </c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J847" s="97"/>
      <c r="AK847" s="97"/>
      <c r="AU847" s="97"/>
      <c r="BA847" s="97"/>
      <c r="BB847" s="97"/>
      <c r="BG847" s="97"/>
      <c r="BH847" s="97"/>
      <c r="BI847" s="97"/>
      <c r="BJ847" s="97"/>
      <c r="BK847" s="58" t="s">
        <v>2196</v>
      </c>
      <c r="BL847" s="58"/>
      <c r="BM847" s="58"/>
      <c r="BU847" s="58"/>
      <c r="BV847" s="58"/>
      <c r="BW847" s="58"/>
      <c r="BX847" s="58"/>
      <c r="BY847" s="58"/>
      <c r="BZ847" s="58"/>
      <c r="CA847" s="58"/>
      <c r="CB847" s="58"/>
      <c r="CC847" s="58"/>
      <c r="CD847" s="58"/>
      <c r="CE847" s="58"/>
      <c r="CF847" s="58"/>
      <c r="CG847" s="58"/>
      <c r="CH847" s="58"/>
      <c r="CI847" s="58"/>
      <c r="CJ847" s="58"/>
      <c r="CK847" s="58"/>
      <c r="CL847" s="58"/>
    </row>
    <row r="848" spans="1:92" hidden="1" x14ac:dyDescent="0.3">
      <c r="A848" s="29">
        <v>843</v>
      </c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J848" s="97"/>
      <c r="AK848" s="97"/>
      <c r="AU848" s="97"/>
      <c r="BA848" s="97"/>
      <c r="BB848" s="97"/>
      <c r="BG848" s="97"/>
      <c r="BH848" s="97"/>
      <c r="BI848" s="97"/>
      <c r="BJ848" s="97"/>
      <c r="BK848" s="58"/>
      <c r="BL848" s="58"/>
      <c r="BM848" s="58"/>
      <c r="BU848" s="58"/>
      <c r="BV848" s="58"/>
      <c r="BW848" s="58"/>
      <c r="BX848" s="58"/>
      <c r="BY848" s="58"/>
      <c r="BZ848" s="58"/>
      <c r="CA848" s="58"/>
      <c r="CB848" s="58"/>
      <c r="CC848" s="58"/>
      <c r="CD848" s="58"/>
      <c r="CE848" s="58"/>
      <c r="CF848" s="58"/>
      <c r="CG848" s="58"/>
      <c r="CH848" s="58"/>
      <c r="CI848" s="58"/>
      <c r="CJ848" s="58"/>
      <c r="CK848" s="58"/>
      <c r="CL848" s="58"/>
    </row>
    <row r="849" spans="1:90" hidden="1" x14ac:dyDescent="0.3">
      <c r="A849" s="29">
        <v>844</v>
      </c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J849" s="97"/>
      <c r="AK849" s="97"/>
      <c r="AU849" s="97"/>
      <c r="BA849" s="97"/>
      <c r="BB849" s="97"/>
      <c r="BG849" s="97"/>
      <c r="BH849" s="97"/>
      <c r="BI849" s="97"/>
      <c r="BJ849" s="97"/>
      <c r="BK849" s="58"/>
      <c r="BL849" s="58"/>
      <c r="BM849" s="58"/>
      <c r="BU849" s="58"/>
      <c r="BV849" s="58"/>
      <c r="BW849" s="58"/>
      <c r="BX849" s="58"/>
      <c r="BY849" s="58"/>
      <c r="BZ849" s="58"/>
      <c r="CA849" s="58"/>
      <c r="CB849" s="58"/>
      <c r="CC849" s="58"/>
      <c r="CD849" s="58"/>
      <c r="CE849" s="58"/>
      <c r="CF849" s="58"/>
      <c r="CG849" s="58"/>
      <c r="CH849" s="58"/>
      <c r="CI849" s="58"/>
      <c r="CJ849" s="58"/>
      <c r="CK849" s="58"/>
      <c r="CL849" s="58"/>
    </row>
    <row r="850" spans="1:90" hidden="1" x14ac:dyDescent="0.3">
      <c r="A850" s="29">
        <v>845</v>
      </c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J850" s="97"/>
      <c r="AK850" s="97"/>
      <c r="AU850" s="97"/>
      <c r="BA850" s="97"/>
      <c r="BB850" s="97"/>
      <c r="BG850" s="97"/>
      <c r="BH850" s="97"/>
      <c r="BI850" s="97"/>
      <c r="BJ850" s="97"/>
      <c r="BK850" s="58"/>
      <c r="BL850" s="58"/>
      <c r="BM850" s="58"/>
      <c r="BU850" s="58"/>
      <c r="BV850" s="58"/>
      <c r="BW850" s="58"/>
      <c r="BX850" s="58"/>
      <c r="BY850" s="58"/>
      <c r="BZ850" s="58"/>
      <c r="CA850" s="58"/>
      <c r="CB850" s="58"/>
      <c r="CC850" s="58"/>
      <c r="CD850" s="58"/>
      <c r="CE850" s="58"/>
      <c r="CF850" s="58"/>
      <c r="CG850" s="58"/>
      <c r="CH850" s="58"/>
      <c r="CI850" s="58"/>
      <c r="CJ850" s="58"/>
      <c r="CK850" s="58"/>
      <c r="CL850" s="58"/>
    </row>
    <row r="851" spans="1:90" hidden="1" x14ac:dyDescent="0.3">
      <c r="A851" s="29">
        <v>846</v>
      </c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J851" s="97"/>
      <c r="AK851" s="97"/>
      <c r="AU851" s="97"/>
      <c r="BA851" s="97"/>
      <c r="BB851" s="97"/>
      <c r="BG851" s="97"/>
      <c r="BH851" s="97"/>
      <c r="BI851" s="97"/>
      <c r="BJ851" s="97"/>
      <c r="BK851" s="58"/>
      <c r="BL851" s="58"/>
      <c r="BM851" s="58"/>
      <c r="BU851" s="58"/>
      <c r="BV851" s="58"/>
      <c r="BW851" s="58"/>
      <c r="BX851" s="58"/>
      <c r="BY851" s="58"/>
      <c r="BZ851" s="58"/>
      <c r="CA851" s="58"/>
      <c r="CB851" s="58"/>
      <c r="CC851" s="58"/>
      <c r="CD851" s="58"/>
      <c r="CE851" s="58"/>
      <c r="CF851" s="58"/>
      <c r="CG851" s="58"/>
      <c r="CH851" s="58"/>
      <c r="CI851" s="58"/>
      <c r="CJ851" s="58"/>
      <c r="CK851" s="58"/>
      <c r="CL851" s="58"/>
    </row>
    <row r="852" spans="1:90" hidden="1" x14ac:dyDescent="0.3">
      <c r="A852" s="29">
        <v>847</v>
      </c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J852" s="97"/>
      <c r="AK852" s="97"/>
      <c r="AU852" s="97"/>
      <c r="BA852" s="97"/>
      <c r="BB852" s="97"/>
      <c r="BG852" s="97"/>
      <c r="BH852" s="97"/>
      <c r="BI852" s="97"/>
      <c r="BJ852" s="97"/>
      <c r="BK852" s="58"/>
      <c r="BL852" s="58"/>
      <c r="BM852" s="58"/>
      <c r="BU852" s="58"/>
      <c r="BV852" s="58"/>
      <c r="BW852" s="58"/>
      <c r="BX852" s="58"/>
      <c r="BY852" s="58"/>
      <c r="BZ852" s="58"/>
      <c r="CA852" s="58"/>
      <c r="CB852" s="58"/>
      <c r="CC852" s="58"/>
      <c r="CD852" s="58"/>
      <c r="CE852" s="58"/>
      <c r="CF852" s="58"/>
      <c r="CG852" s="58"/>
      <c r="CH852" s="58"/>
      <c r="CI852" s="58"/>
      <c r="CJ852" s="58"/>
      <c r="CK852" s="58"/>
      <c r="CL852" s="58"/>
    </row>
    <row r="853" spans="1:90" hidden="1" x14ac:dyDescent="0.3">
      <c r="A853" s="29">
        <v>848</v>
      </c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J853" s="97"/>
      <c r="AK853" s="97"/>
      <c r="AU853" s="97"/>
      <c r="BA853" s="97"/>
      <c r="BB853" s="97"/>
      <c r="BG853" s="97"/>
      <c r="BH853" s="97"/>
      <c r="BI853" s="97"/>
      <c r="BJ853" s="97"/>
      <c r="BK853" s="58"/>
      <c r="BL853" s="58"/>
      <c r="BM853" s="58"/>
      <c r="BU853" s="58"/>
      <c r="BV853" s="58"/>
      <c r="BW853" s="58"/>
      <c r="BX853" s="58"/>
      <c r="BY853" s="58"/>
      <c r="BZ853" s="58"/>
      <c r="CA853" s="58"/>
      <c r="CB853" s="58"/>
      <c r="CC853" s="58"/>
      <c r="CD853" s="58"/>
      <c r="CE853" s="58"/>
      <c r="CF853" s="58"/>
      <c r="CG853" s="58"/>
      <c r="CH853" s="58"/>
      <c r="CI853" s="58"/>
      <c r="CJ853" s="58"/>
      <c r="CK853" s="58"/>
      <c r="CL853" s="58"/>
    </row>
    <row r="854" spans="1:90" hidden="1" x14ac:dyDescent="0.3">
      <c r="A854" s="29">
        <v>849</v>
      </c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J854" s="97"/>
      <c r="AK854" s="97"/>
      <c r="AU854" s="97"/>
      <c r="BA854" s="97"/>
      <c r="BB854" s="97"/>
      <c r="BG854" s="97"/>
      <c r="BH854" s="97"/>
      <c r="BI854" s="97"/>
      <c r="BJ854" s="97"/>
      <c r="BK854" s="58"/>
      <c r="BL854" s="58"/>
      <c r="BM854" s="58"/>
      <c r="BU854" s="58"/>
      <c r="BV854" s="58"/>
      <c r="BW854" s="58"/>
      <c r="BX854" s="58"/>
      <c r="BY854" s="58"/>
      <c r="BZ854" s="58"/>
      <c r="CA854" s="58"/>
      <c r="CB854" s="58"/>
      <c r="CC854" s="58"/>
      <c r="CD854" s="58"/>
      <c r="CE854" s="58"/>
      <c r="CF854" s="58"/>
      <c r="CG854" s="58"/>
      <c r="CH854" s="58"/>
      <c r="CI854" s="58"/>
      <c r="CJ854" s="58"/>
      <c r="CK854" s="58"/>
      <c r="CL854" s="58"/>
    </row>
    <row r="855" spans="1:90" hidden="1" x14ac:dyDescent="0.3">
      <c r="A855" s="29">
        <v>850</v>
      </c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J855" s="97"/>
      <c r="AK855" s="97"/>
      <c r="AU855" s="97"/>
      <c r="BA855" s="97"/>
      <c r="BB855" s="97"/>
      <c r="BG855" s="97"/>
      <c r="BH855" s="97"/>
      <c r="BI855" s="97"/>
      <c r="BJ855" s="97"/>
      <c r="BK855" s="58"/>
      <c r="BL855" s="58"/>
      <c r="BM855" s="58"/>
      <c r="BU855" s="58"/>
      <c r="BV855" s="58"/>
      <c r="BW855" s="58"/>
      <c r="BX855" s="58"/>
      <c r="BY855" s="58"/>
      <c r="BZ855" s="58"/>
      <c r="CA855" s="58"/>
      <c r="CB855" s="58"/>
      <c r="CC855" s="58"/>
      <c r="CD855" s="58"/>
      <c r="CE855" s="58"/>
      <c r="CF855" s="58"/>
      <c r="CG855" s="58"/>
      <c r="CH855" s="58"/>
      <c r="CI855" s="58"/>
      <c r="CJ855" s="58"/>
      <c r="CK855" s="58"/>
      <c r="CL855" s="58"/>
    </row>
    <row r="856" spans="1:90" hidden="1" x14ac:dyDescent="0.3">
      <c r="A856" s="29">
        <v>851</v>
      </c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J856" s="97"/>
      <c r="AK856" s="97"/>
      <c r="AU856" s="97"/>
      <c r="BA856" s="97"/>
      <c r="BB856" s="97"/>
      <c r="BG856" s="97"/>
      <c r="BH856" s="97"/>
      <c r="BI856" s="97"/>
      <c r="BJ856" s="97"/>
      <c r="BK856" s="58"/>
      <c r="BL856" s="58"/>
      <c r="BM856" s="58"/>
      <c r="BU856" s="58"/>
      <c r="BV856" s="58"/>
      <c r="BW856" s="58"/>
      <c r="BX856" s="58"/>
      <c r="BY856" s="58"/>
      <c r="BZ856" s="58"/>
      <c r="CA856" s="58"/>
      <c r="CB856" s="58"/>
      <c r="CC856" s="58"/>
      <c r="CD856" s="58"/>
      <c r="CE856" s="58"/>
      <c r="CF856" s="58"/>
      <c r="CG856" s="58"/>
      <c r="CH856" s="58"/>
      <c r="CI856" s="58"/>
      <c r="CJ856" s="58"/>
      <c r="CK856" s="58"/>
      <c r="CL856" s="58"/>
    </row>
    <row r="857" spans="1:90" hidden="1" x14ac:dyDescent="0.3">
      <c r="A857" s="1">
        <v>852</v>
      </c>
      <c r="Y857" s="2"/>
      <c r="Z857" s="2"/>
      <c r="BK857" s="58"/>
      <c r="BL857" s="58"/>
      <c r="BM857" s="58"/>
      <c r="BU857" s="58"/>
      <c r="BV857" s="58"/>
      <c r="BW857" s="58"/>
      <c r="BX857" s="58"/>
      <c r="BY857" s="58"/>
      <c r="BZ857" s="58"/>
      <c r="CA857" s="58"/>
      <c r="CB857" s="58"/>
      <c r="CC857" s="58"/>
      <c r="CD857" s="58"/>
      <c r="CE857" s="58"/>
      <c r="CF857" s="58"/>
      <c r="CG857" s="58"/>
      <c r="CH857" s="58"/>
      <c r="CI857" s="58"/>
      <c r="CJ857" s="58"/>
      <c r="CK857" s="58"/>
      <c r="CL857" s="58"/>
    </row>
    <row r="858" spans="1:90" hidden="1" x14ac:dyDescent="0.3">
      <c r="A858" s="1">
        <v>853</v>
      </c>
      <c r="Y858" s="2"/>
      <c r="Z858" s="2"/>
      <c r="BK858" s="58"/>
      <c r="BL858" s="58"/>
      <c r="BM858" s="58"/>
      <c r="BU858" s="58"/>
      <c r="BV858" s="58"/>
      <c r="BW858" s="58"/>
      <c r="BX858" s="58"/>
      <c r="BY858" s="58"/>
      <c r="BZ858" s="58"/>
      <c r="CA858" s="58"/>
      <c r="CB858" s="58"/>
      <c r="CC858" s="58"/>
      <c r="CD858" s="58"/>
      <c r="CE858" s="58"/>
      <c r="CF858" s="58"/>
      <c r="CG858" s="58"/>
      <c r="CH858" s="58"/>
      <c r="CI858" s="58"/>
      <c r="CJ858" s="58"/>
      <c r="CK858" s="58"/>
      <c r="CL858" s="58"/>
    </row>
    <row r="859" spans="1:90" hidden="1" x14ac:dyDescent="0.3">
      <c r="A859" s="1">
        <v>854</v>
      </c>
      <c r="Y859" s="2"/>
      <c r="Z859" s="2"/>
      <c r="BK859" s="58"/>
      <c r="BL859" s="58"/>
      <c r="BM859" s="58"/>
      <c r="BU859" s="58"/>
      <c r="BV859" s="58"/>
      <c r="BW859" s="58"/>
      <c r="BX859" s="58"/>
      <c r="BY859" s="58"/>
      <c r="BZ859" s="58"/>
      <c r="CA859" s="58"/>
      <c r="CB859" s="58"/>
      <c r="CC859" s="58"/>
      <c r="CD859" s="58"/>
      <c r="CE859" s="58"/>
      <c r="CF859" s="58"/>
      <c r="CG859" s="58"/>
      <c r="CH859" s="58"/>
      <c r="CI859" s="58"/>
      <c r="CJ859" s="58"/>
      <c r="CK859" s="58"/>
      <c r="CL859" s="58"/>
    </row>
    <row r="860" spans="1:90" hidden="1" x14ac:dyDescent="0.3">
      <c r="A860" s="1">
        <v>855</v>
      </c>
      <c r="Y860" s="2"/>
      <c r="Z860" s="2"/>
      <c r="BK860" s="58"/>
      <c r="BL860" s="58"/>
      <c r="BM860" s="58"/>
      <c r="BU860" s="58"/>
      <c r="BV860" s="58"/>
      <c r="BW860" s="58"/>
      <c r="BX860" s="58"/>
      <c r="BY860" s="58"/>
      <c r="BZ860" s="58"/>
      <c r="CA860" s="58"/>
      <c r="CB860" s="58"/>
      <c r="CC860" s="58"/>
      <c r="CD860" s="58"/>
      <c r="CE860" s="58"/>
      <c r="CF860" s="58"/>
      <c r="CG860" s="58"/>
      <c r="CH860" s="58"/>
      <c r="CI860" s="58"/>
      <c r="CJ860" s="58"/>
      <c r="CK860" s="58"/>
      <c r="CL860" s="58"/>
    </row>
    <row r="861" spans="1:90" hidden="1" x14ac:dyDescent="0.3">
      <c r="A861" s="1">
        <v>856</v>
      </c>
      <c r="Y861" s="2"/>
      <c r="Z861" s="2"/>
      <c r="BK861" s="58"/>
      <c r="BL861" s="58"/>
      <c r="BM861" s="58"/>
      <c r="BU861" s="58"/>
      <c r="BV861" s="58"/>
      <c r="BW861" s="58"/>
      <c r="BX861" s="58"/>
      <c r="BY861" s="58"/>
      <c r="BZ861" s="58"/>
      <c r="CA861" s="58"/>
      <c r="CB861" s="58"/>
      <c r="CC861" s="58"/>
      <c r="CD861" s="58"/>
      <c r="CE861" s="58"/>
      <c r="CF861" s="58"/>
      <c r="CG861" s="58"/>
      <c r="CH861" s="58"/>
      <c r="CI861" s="58"/>
      <c r="CJ861" s="58"/>
      <c r="CK861" s="58"/>
      <c r="CL861" s="58"/>
    </row>
    <row r="862" spans="1:90" hidden="1" x14ac:dyDescent="0.3">
      <c r="A862" s="1">
        <v>857</v>
      </c>
      <c r="Y862" s="2"/>
      <c r="Z862" s="2"/>
      <c r="BK862" s="58"/>
      <c r="BL862" s="58"/>
      <c r="BM862" s="58"/>
      <c r="BU862" s="58"/>
      <c r="BV862" s="58"/>
      <c r="BW862" s="58"/>
      <c r="BX862" s="58"/>
      <c r="BY862" s="58"/>
      <c r="BZ862" s="58"/>
      <c r="CA862" s="58"/>
      <c r="CB862" s="58"/>
      <c r="CC862" s="58"/>
      <c r="CD862" s="58"/>
      <c r="CE862" s="58"/>
      <c r="CF862" s="58"/>
      <c r="CG862" s="58"/>
      <c r="CH862" s="58"/>
      <c r="CI862" s="58"/>
      <c r="CJ862" s="58"/>
      <c r="CK862" s="58"/>
      <c r="CL862" s="58"/>
    </row>
    <row r="863" spans="1:90" hidden="1" x14ac:dyDescent="0.3">
      <c r="A863" s="1">
        <v>858</v>
      </c>
      <c r="Y863" s="2"/>
      <c r="Z863" s="2"/>
      <c r="BK863" s="58"/>
      <c r="BL863" s="58"/>
      <c r="BM863" s="58"/>
      <c r="BU863" s="58"/>
      <c r="BV863" s="58"/>
      <c r="BW863" s="58"/>
      <c r="BX863" s="58"/>
      <c r="BY863" s="58"/>
      <c r="BZ863" s="58"/>
      <c r="CA863" s="58"/>
      <c r="CB863" s="58"/>
      <c r="CC863" s="58"/>
      <c r="CD863" s="58"/>
      <c r="CE863" s="58"/>
      <c r="CF863" s="58"/>
      <c r="CG863" s="58"/>
      <c r="CH863" s="58"/>
      <c r="CI863" s="58"/>
      <c r="CJ863" s="58"/>
      <c r="CK863" s="58"/>
      <c r="CL863" s="58"/>
    </row>
    <row r="864" spans="1:90" hidden="1" x14ac:dyDescent="0.3">
      <c r="A864" s="1">
        <v>859</v>
      </c>
      <c r="Y864" s="2"/>
      <c r="Z864" s="2"/>
      <c r="BK864" s="58"/>
      <c r="BL864" s="58"/>
      <c r="BM864" s="58"/>
      <c r="BU864" s="58"/>
      <c r="BV864" s="58"/>
      <c r="BW864" s="58"/>
      <c r="BX864" s="58"/>
      <c r="BY864" s="58"/>
      <c r="BZ864" s="58"/>
      <c r="CA864" s="58"/>
      <c r="CB864" s="58"/>
      <c r="CC864" s="58"/>
      <c r="CD864" s="58"/>
      <c r="CE864" s="58"/>
      <c r="CF864" s="58"/>
      <c r="CG864" s="58"/>
      <c r="CH864" s="58"/>
      <c r="CI864" s="58"/>
      <c r="CJ864" s="58"/>
      <c r="CK864" s="58"/>
      <c r="CL864" s="58"/>
    </row>
    <row r="865" spans="1:90" hidden="1" x14ac:dyDescent="0.3">
      <c r="A865" s="1">
        <v>860</v>
      </c>
      <c r="Y865" s="2"/>
      <c r="Z865" s="2"/>
      <c r="BK865" s="58"/>
      <c r="BL865" s="58"/>
      <c r="BM865" s="58"/>
      <c r="BU865" s="58"/>
      <c r="BV865" s="58"/>
      <c r="BW865" s="58"/>
      <c r="BX865" s="58"/>
      <c r="BY865" s="58"/>
      <c r="BZ865" s="58"/>
      <c r="CA865" s="58"/>
      <c r="CB865" s="58"/>
      <c r="CC865" s="58"/>
      <c r="CD865" s="58"/>
      <c r="CE865" s="58"/>
      <c r="CF865" s="58"/>
      <c r="CG865" s="58"/>
      <c r="CH865" s="58"/>
      <c r="CI865" s="58"/>
      <c r="CJ865" s="58"/>
      <c r="CK865" s="58"/>
      <c r="CL865" s="58"/>
    </row>
    <row r="866" spans="1:90" hidden="1" x14ac:dyDescent="0.3">
      <c r="A866" s="1">
        <v>861</v>
      </c>
      <c r="Y866" s="2"/>
      <c r="Z866" s="2"/>
      <c r="BK866" s="58"/>
      <c r="BL866" s="58"/>
      <c r="BM866" s="58"/>
      <c r="BU866" s="58"/>
      <c r="BV866" s="58"/>
      <c r="BW866" s="58"/>
      <c r="BX866" s="58"/>
      <c r="BY866" s="58"/>
      <c r="BZ866" s="58"/>
      <c r="CA866" s="58"/>
      <c r="CB866" s="58"/>
      <c r="CC866" s="58"/>
      <c r="CD866" s="58"/>
      <c r="CE866" s="58"/>
      <c r="CF866" s="58"/>
      <c r="CG866" s="58"/>
      <c r="CH866" s="58"/>
      <c r="CI866" s="58"/>
      <c r="CJ866" s="58"/>
      <c r="CK866" s="58"/>
      <c r="CL866" s="58"/>
    </row>
    <row r="867" spans="1:90" hidden="1" x14ac:dyDescent="0.3">
      <c r="A867" s="1">
        <v>862</v>
      </c>
      <c r="Y867" s="2"/>
      <c r="Z867" s="2"/>
      <c r="BK867" s="58"/>
      <c r="BL867" s="58"/>
      <c r="BM867" s="58"/>
      <c r="BU867" s="58"/>
      <c r="BV867" s="58"/>
      <c r="BW867" s="58"/>
      <c r="BX867" s="58"/>
      <c r="BY867" s="58"/>
      <c r="BZ867" s="58"/>
      <c r="CA867" s="58"/>
      <c r="CB867" s="58"/>
      <c r="CC867" s="58"/>
      <c r="CD867" s="58"/>
      <c r="CE867" s="58"/>
      <c r="CF867" s="58"/>
      <c r="CG867" s="58"/>
      <c r="CH867" s="58"/>
      <c r="CI867" s="58"/>
      <c r="CJ867" s="58"/>
      <c r="CK867" s="58"/>
      <c r="CL867" s="58"/>
    </row>
    <row r="868" spans="1:90" hidden="1" x14ac:dyDescent="0.3">
      <c r="A868" s="1">
        <v>863</v>
      </c>
      <c r="Y868" s="2"/>
      <c r="Z868" s="2"/>
      <c r="BK868" s="58"/>
      <c r="BL868" s="58"/>
      <c r="BM868" s="58"/>
      <c r="BU868" s="58"/>
      <c r="BV868" s="58"/>
      <c r="BW868" s="58"/>
      <c r="BX868" s="58"/>
      <c r="BY868" s="58"/>
      <c r="BZ868" s="58"/>
      <c r="CA868" s="58"/>
      <c r="CB868" s="58"/>
      <c r="CC868" s="58"/>
      <c r="CD868" s="58"/>
      <c r="CE868" s="58"/>
      <c r="CF868" s="58"/>
      <c r="CG868" s="58"/>
      <c r="CH868" s="58"/>
      <c r="CI868" s="58"/>
      <c r="CJ868" s="58"/>
      <c r="CK868" s="58"/>
      <c r="CL868" s="58"/>
    </row>
    <row r="869" spans="1:90" hidden="1" x14ac:dyDescent="0.3">
      <c r="A869" s="1">
        <v>864</v>
      </c>
      <c r="Y869" s="2"/>
      <c r="Z869" s="2"/>
      <c r="BK869" s="58"/>
      <c r="BL869" s="58"/>
      <c r="BM869" s="58"/>
      <c r="BU869" s="58"/>
      <c r="BV869" s="58"/>
      <c r="BW869" s="58"/>
      <c r="BX869" s="58"/>
      <c r="BY869" s="58"/>
      <c r="BZ869" s="58"/>
      <c r="CA869" s="58"/>
      <c r="CB869" s="58"/>
      <c r="CC869" s="58"/>
      <c r="CD869" s="58"/>
      <c r="CE869" s="58"/>
      <c r="CF869" s="58"/>
      <c r="CG869" s="58"/>
      <c r="CH869" s="58"/>
      <c r="CI869" s="58"/>
      <c r="CJ869" s="58"/>
      <c r="CK869" s="58"/>
      <c r="CL869" s="58"/>
    </row>
    <row r="870" spans="1:90" hidden="1" x14ac:dyDescent="0.3">
      <c r="A870" s="1">
        <v>865</v>
      </c>
      <c r="Y870" s="2"/>
      <c r="Z870" s="2"/>
      <c r="BK870" s="58"/>
      <c r="BL870" s="58"/>
      <c r="BM870" s="58"/>
      <c r="BU870" s="58"/>
      <c r="BV870" s="58"/>
      <c r="BW870" s="58"/>
      <c r="BX870" s="58"/>
      <c r="BY870" s="58"/>
      <c r="BZ870" s="58"/>
      <c r="CA870" s="58"/>
      <c r="CB870" s="58"/>
      <c r="CC870" s="58"/>
      <c r="CD870" s="58"/>
      <c r="CE870" s="58"/>
      <c r="CF870" s="58"/>
      <c r="CG870" s="58"/>
      <c r="CH870" s="58"/>
      <c r="CI870" s="58"/>
      <c r="CJ870" s="58"/>
      <c r="CK870" s="58"/>
      <c r="CL870" s="58"/>
    </row>
    <row r="871" spans="1:90" hidden="1" x14ac:dyDescent="0.3">
      <c r="A871" s="1">
        <v>866</v>
      </c>
      <c r="Y871" s="2"/>
      <c r="Z871" s="2"/>
      <c r="BK871" s="58"/>
      <c r="BL871" s="58"/>
      <c r="BM871" s="58"/>
      <c r="BU871" s="58"/>
      <c r="BV871" s="58"/>
      <c r="BW871" s="58"/>
      <c r="BX871" s="58"/>
      <c r="BY871" s="58"/>
      <c r="BZ871" s="58"/>
      <c r="CA871" s="58"/>
      <c r="CB871" s="58"/>
      <c r="CC871" s="58"/>
      <c r="CD871" s="58"/>
      <c r="CE871" s="58"/>
      <c r="CF871" s="58"/>
      <c r="CG871" s="58"/>
      <c r="CH871" s="58"/>
      <c r="CI871" s="58"/>
      <c r="CJ871" s="58"/>
      <c r="CK871" s="58"/>
      <c r="CL871" s="58"/>
    </row>
    <row r="872" spans="1:90" hidden="1" x14ac:dyDescent="0.3">
      <c r="A872" s="1">
        <v>867</v>
      </c>
      <c r="Y872" s="2"/>
      <c r="Z872" s="2"/>
      <c r="BK872" s="58"/>
      <c r="BL872" s="58"/>
      <c r="BM872" s="58"/>
      <c r="BU872" s="58"/>
      <c r="BV872" s="58"/>
      <c r="BW872" s="58"/>
      <c r="BX872" s="58"/>
      <c r="BY872" s="58"/>
      <c r="BZ872" s="58"/>
      <c r="CA872" s="58"/>
      <c r="CB872" s="58"/>
      <c r="CC872" s="58"/>
      <c r="CD872" s="58"/>
      <c r="CE872" s="58"/>
      <c r="CF872" s="58"/>
      <c r="CG872" s="58"/>
      <c r="CH872" s="58"/>
      <c r="CI872" s="58"/>
      <c r="CJ872" s="58"/>
      <c r="CK872" s="58"/>
      <c r="CL872" s="58"/>
    </row>
    <row r="873" spans="1:90" hidden="1" x14ac:dyDescent="0.3">
      <c r="A873" s="1">
        <v>868</v>
      </c>
      <c r="Y873" s="2"/>
      <c r="Z873" s="2"/>
      <c r="BK873" s="58"/>
      <c r="BL873" s="58"/>
      <c r="BM873" s="58"/>
      <c r="BU873" s="58"/>
      <c r="BV873" s="58"/>
      <c r="BW873" s="58"/>
      <c r="BX873" s="58"/>
      <c r="BY873" s="58"/>
      <c r="BZ873" s="58"/>
      <c r="CA873" s="58"/>
      <c r="CB873" s="58"/>
      <c r="CC873" s="58"/>
      <c r="CD873" s="58"/>
      <c r="CE873" s="58"/>
      <c r="CF873" s="58"/>
      <c r="CG873" s="58"/>
      <c r="CH873" s="58"/>
      <c r="CI873" s="58"/>
      <c r="CJ873" s="58"/>
      <c r="CK873" s="58"/>
      <c r="CL873" s="58"/>
    </row>
    <row r="874" spans="1:90" hidden="1" x14ac:dyDescent="0.3">
      <c r="A874" s="1">
        <v>869</v>
      </c>
      <c r="Y874" s="2"/>
      <c r="Z874" s="2"/>
      <c r="BK874" s="58"/>
      <c r="BL874" s="58"/>
      <c r="BM874" s="58"/>
      <c r="BU874" s="58"/>
      <c r="BV874" s="58"/>
      <c r="BW874" s="58"/>
      <c r="BX874" s="58"/>
      <c r="BY874" s="58"/>
      <c r="BZ874" s="58"/>
      <c r="CA874" s="58"/>
      <c r="CB874" s="58"/>
      <c r="CC874" s="58"/>
      <c r="CD874" s="58"/>
      <c r="CE874" s="58"/>
      <c r="CF874" s="58"/>
      <c r="CG874" s="58"/>
      <c r="CH874" s="58"/>
      <c r="CI874" s="58"/>
      <c r="CJ874" s="58"/>
      <c r="CK874" s="58"/>
      <c r="CL874" s="58"/>
    </row>
    <row r="875" spans="1:90" hidden="1" x14ac:dyDescent="0.3">
      <c r="A875" s="1">
        <v>870</v>
      </c>
      <c r="Y875" s="2"/>
      <c r="Z875" s="2"/>
      <c r="BK875" s="58"/>
      <c r="BL875" s="58"/>
      <c r="BM875" s="58"/>
      <c r="BU875" s="58"/>
      <c r="BV875" s="58"/>
      <c r="BW875" s="58"/>
      <c r="BX875" s="58"/>
      <c r="BY875" s="58"/>
      <c r="BZ875" s="58"/>
      <c r="CA875" s="58"/>
      <c r="CB875" s="58"/>
      <c r="CC875" s="58"/>
      <c r="CD875" s="58"/>
      <c r="CE875" s="58"/>
      <c r="CF875" s="58"/>
      <c r="CG875" s="58"/>
      <c r="CH875" s="58"/>
      <c r="CI875" s="58"/>
      <c r="CJ875" s="58"/>
      <c r="CK875" s="58"/>
      <c r="CL875" s="58"/>
    </row>
    <row r="876" spans="1:90" hidden="1" x14ac:dyDescent="0.3">
      <c r="A876" s="1">
        <v>871</v>
      </c>
      <c r="Y876" s="2"/>
      <c r="Z876" s="2"/>
      <c r="BK876" s="58"/>
      <c r="BL876" s="58"/>
      <c r="BM876" s="58"/>
      <c r="BU876" s="58"/>
      <c r="BV876" s="58"/>
      <c r="BW876" s="58"/>
      <c r="BX876" s="58"/>
      <c r="BY876" s="58"/>
      <c r="BZ876" s="58"/>
      <c r="CA876" s="58"/>
      <c r="CB876" s="58"/>
      <c r="CC876" s="58"/>
      <c r="CD876" s="58"/>
      <c r="CE876" s="58"/>
      <c r="CF876" s="58"/>
      <c r="CG876" s="58"/>
      <c r="CH876" s="58"/>
      <c r="CI876" s="58"/>
      <c r="CJ876" s="58"/>
      <c r="CK876" s="58"/>
      <c r="CL876" s="58"/>
    </row>
    <row r="877" spans="1:90" hidden="1" x14ac:dyDescent="0.3">
      <c r="A877" s="1">
        <v>872</v>
      </c>
      <c r="Y877" s="2"/>
      <c r="Z877" s="2"/>
      <c r="BK877" s="58"/>
      <c r="BL877" s="58"/>
      <c r="BM877" s="58"/>
      <c r="BU877" s="58"/>
      <c r="BV877" s="58"/>
      <c r="BW877" s="58"/>
      <c r="BX877" s="58"/>
      <c r="BY877" s="58"/>
      <c r="BZ877" s="58"/>
      <c r="CA877" s="58"/>
      <c r="CB877" s="58"/>
      <c r="CC877" s="58"/>
      <c r="CD877" s="58"/>
      <c r="CE877" s="58"/>
      <c r="CF877" s="58"/>
      <c r="CG877" s="58"/>
      <c r="CH877" s="58"/>
      <c r="CI877" s="58"/>
      <c r="CJ877" s="58"/>
      <c r="CK877" s="58"/>
      <c r="CL877" s="58"/>
    </row>
    <row r="878" spans="1:90" hidden="1" x14ac:dyDescent="0.3">
      <c r="A878" s="1">
        <v>873</v>
      </c>
      <c r="Y878" s="2"/>
      <c r="Z878" s="2"/>
      <c r="BK878" s="58"/>
      <c r="BL878" s="58"/>
      <c r="BM878" s="58"/>
      <c r="BU878" s="58"/>
      <c r="BV878" s="58"/>
      <c r="BW878" s="58"/>
      <c r="BX878" s="58"/>
      <c r="BY878" s="58"/>
      <c r="BZ878" s="58"/>
      <c r="CA878" s="58"/>
      <c r="CB878" s="58"/>
      <c r="CC878" s="58"/>
      <c r="CD878" s="58"/>
      <c r="CE878" s="58"/>
      <c r="CF878" s="58"/>
      <c r="CG878" s="58"/>
      <c r="CH878" s="58"/>
      <c r="CI878" s="58"/>
      <c r="CJ878" s="58"/>
      <c r="CK878" s="58"/>
      <c r="CL878" s="58"/>
    </row>
    <row r="879" spans="1:90" hidden="1" x14ac:dyDescent="0.3">
      <c r="A879" s="1">
        <v>874</v>
      </c>
      <c r="Y879" s="2"/>
      <c r="Z879" s="2"/>
      <c r="BK879" s="58"/>
      <c r="BL879" s="58"/>
      <c r="BM879" s="58"/>
      <c r="BU879" s="58"/>
      <c r="BV879" s="58"/>
      <c r="BW879" s="58"/>
      <c r="BX879" s="58"/>
      <c r="BY879" s="58"/>
      <c r="BZ879" s="58"/>
      <c r="CA879" s="58"/>
      <c r="CB879" s="58"/>
      <c r="CC879" s="58"/>
      <c r="CD879" s="58"/>
      <c r="CE879" s="58"/>
      <c r="CF879" s="58"/>
      <c r="CG879" s="58"/>
      <c r="CH879" s="58"/>
      <c r="CI879" s="58"/>
      <c r="CJ879" s="58"/>
      <c r="CK879" s="58"/>
      <c r="CL879" s="58"/>
    </row>
    <row r="880" spans="1:90" hidden="1" x14ac:dyDescent="0.3">
      <c r="A880" s="1">
        <v>875</v>
      </c>
      <c r="Y880" s="2"/>
      <c r="Z880" s="2"/>
      <c r="BK880" s="58"/>
      <c r="BL880" s="58"/>
      <c r="BM880" s="58"/>
      <c r="BU880" s="58"/>
      <c r="BV880" s="58"/>
      <c r="BW880" s="58"/>
      <c r="BX880" s="58"/>
      <c r="BY880" s="58"/>
      <c r="BZ880" s="58"/>
      <c r="CA880" s="58"/>
      <c r="CB880" s="58"/>
      <c r="CC880" s="58"/>
      <c r="CD880" s="58"/>
      <c r="CE880" s="58"/>
      <c r="CF880" s="58"/>
      <c r="CG880" s="58"/>
      <c r="CH880" s="58"/>
      <c r="CI880" s="58"/>
      <c r="CJ880" s="58"/>
      <c r="CK880" s="58"/>
      <c r="CL880" s="58"/>
    </row>
    <row r="881" spans="1:90" hidden="1" x14ac:dyDescent="0.3">
      <c r="A881" s="1">
        <v>876</v>
      </c>
      <c r="Y881" s="2"/>
      <c r="Z881" s="2"/>
      <c r="BK881" s="58"/>
      <c r="BL881" s="58"/>
      <c r="BM881" s="58"/>
      <c r="BU881" s="58"/>
      <c r="BV881" s="58"/>
      <c r="BW881" s="58"/>
      <c r="BX881" s="58"/>
      <c r="BY881" s="58"/>
      <c r="BZ881" s="58"/>
      <c r="CA881" s="58"/>
      <c r="CB881" s="58"/>
      <c r="CC881" s="58"/>
      <c r="CD881" s="58"/>
      <c r="CE881" s="58"/>
      <c r="CF881" s="58"/>
      <c r="CG881" s="58"/>
      <c r="CH881" s="58"/>
      <c r="CI881" s="58"/>
      <c r="CJ881" s="58"/>
      <c r="CK881" s="58"/>
      <c r="CL881" s="58"/>
    </row>
    <row r="882" spans="1:90" hidden="1" x14ac:dyDescent="0.3">
      <c r="A882" s="1">
        <v>877</v>
      </c>
      <c r="Y882" s="2"/>
      <c r="Z882" s="2"/>
      <c r="BK882" s="58"/>
      <c r="BL882" s="58"/>
      <c r="BM882" s="58"/>
      <c r="BU882" s="58"/>
      <c r="BV882" s="58"/>
      <c r="BW882" s="58"/>
      <c r="BX882" s="58"/>
      <c r="BY882" s="58"/>
      <c r="BZ882" s="58"/>
      <c r="CA882" s="58"/>
      <c r="CB882" s="58"/>
      <c r="CC882" s="58"/>
      <c r="CD882" s="58"/>
      <c r="CE882" s="58"/>
      <c r="CF882" s="58"/>
      <c r="CG882" s="58"/>
      <c r="CH882" s="58"/>
      <c r="CI882" s="58"/>
      <c r="CJ882" s="58"/>
      <c r="CK882" s="58"/>
      <c r="CL882" s="58"/>
    </row>
    <row r="883" spans="1:90" hidden="1" x14ac:dyDescent="0.3">
      <c r="A883" s="1">
        <v>878</v>
      </c>
      <c r="Y883" s="2"/>
      <c r="Z883" s="2"/>
      <c r="BK883" s="58"/>
      <c r="BL883" s="58"/>
      <c r="BM883" s="58"/>
      <c r="BU883" s="58"/>
      <c r="BV883" s="58"/>
      <c r="BW883" s="58"/>
      <c r="BX883" s="58"/>
      <c r="BY883" s="58"/>
      <c r="BZ883" s="58"/>
      <c r="CA883" s="58"/>
      <c r="CB883" s="58"/>
      <c r="CC883" s="58"/>
      <c r="CD883" s="58"/>
      <c r="CE883" s="58"/>
      <c r="CF883" s="58"/>
      <c r="CG883" s="58"/>
      <c r="CH883" s="58"/>
      <c r="CI883" s="58"/>
      <c r="CJ883" s="58"/>
      <c r="CK883" s="58"/>
      <c r="CL883" s="58"/>
    </row>
    <row r="884" spans="1:90" hidden="1" x14ac:dyDescent="0.3">
      <c r="A884" s="1">
        <v>879</v>
      </c>
      <c r="Y884" s="2"/>
      <c r="Z884" s="2"/>
      <c r="BK884" s="58"/>
      <c r="BL884" s="58"/>
      <c r="BM884" s="58"/>
      <c r="BU884" s="58"/>
      <c r="BV884" s="58"/>
      <c r="BW884" s="58"/>
      <c r="BX884" s="58"/>
      <c r="BY884" s="58"/>
      <c r="BZ884" s="58"/>
      <c r="CA884" s="58"/>
      <c r="CB884" s="58"/>
      <c r="CC884" s="58"/>
      <c r="CD884" s="58"/>
      <c r="CE884" s="58"/>
      <c r="CF884" s="58"/>
      <c r="CG884" s="58"/>
      <c r="CH884" s="58"/>
      <c r="CI884" s="58"/>
      <c r="CJ884" s="58"/>
      <c r="CK884" s="58"/>
      <c r="CL884" s="58"/>
    </row>
    <row r="885" spans="1:90" hidden="1" x14ac:dyDescent="0.3">
      <c r="A885" s="1">
        <v>880</v>
      </c>
      <c r="Y885" s="2"/>
      <c r="Z885" s="2"/>
      <c r="BK885" s="58"/>
      <c r="BL885" s="58"/>
      <c r="BM885" s="58"/>
      <c r="BU885" s="58"/>
      <c r="BV885" s="58"/>
      <c r="BW885" s="58"/>
      <c r="BX885" s="58"/>
      <c r="BY885" s="58"/>
      <c r="BZ885" s="58"/>
      <c r="CA885" s="58"/>
      <c r="CB885" s="58"/>
      <c r="CC885" s="58"/>
      <c r="CD885" s="58"/>
      <c r="CE885" s="58"/>
      <c r="CF885" s="58"/>
      <c r="CG885" s="58"/>
      <c r="CH885" s="58"/>
      <c r="CI885" s="58"/>
      <c r="CJ885" s="58"/>
      <c r="CK885" s="58"/>
      <c r="CL885" s="58"/>
    </row>
    <row r="886" spans="1:90" hidden="1" x14ac:dyDescent="0.3">
      <c r="A886" s="1">
        <v>881</v>
      </c>
      <c r="Y886" s="2"/>
      <c r="Z886" s="2"/>
      <c r="BK886" s="58"/>
      <c r="BL886" s="58"/>
      <c r="BM886" s="58"/>
      <c r="BU886" s="58"/>
      <c r="BV886" s="58"/>
      <c r="BW886" s="58"/>
      <c r="BX886" s="58"/>
      <c r="BY886" s="58"/>
      <c r="BZ886" s="58"/>
      <c r="CA886" s="58"/>
      <c r="CB886" s="58"/>
      <c r="CC886" s="58"/>
      <c r="CD886" s="58"/>
      <c r="CE886" s="58"/>
      <c r="CF886" s="58"/>
      <c r="CG886" s="58"/>
      <c r="CH886" s="58"/>
      <c r="CI886" s="58"/>
      <c r="CJ886" s="58"/>
      <c r="CK886" s="58"/>
      <c r="CL886" s="58"/>
    </row>
    <row r="887" spans="1:90" hidden="1" x14ac:dyDescent="0.3">
      <c r="A887" s="1">
        <v>882</v>
      </c>
      <c r="Y887" s="2"/>
      <c r="Z887" s="2"/>
      <c r="BK887" s="58"/>
      <c r="BL887" s="58"/>
      <c r="BM887" s="58"/>
      <c r="BU887" s="58"/>
      <c r="BV887" s="58"/>
      <c r="BW887" s="58"/>
      <c r="BX887" s="58"/>
      <c r="BY887" s="58"/>
      <c r="BZ887" s="58"/>
      <c r="CA887" s="58"/>
      <c r="CB887" s="58"/>
      <c r="CC887" s="58"/>
      <c r="CD887" s="58"/>
      <c r="CE887" s="58"/>
      <c r="CF887" s="58"/>
      <c r="CG887" s="58"/>
      <c r="CH887" s="58"/>
      <c r="CI887" s="58"/>
      <c r="CJ887" s="58"/>
      <c r="CK887" s="58"/>
      <c r="CL887" s="58"/>
    </row>
    <row r="888" spans="1:90" hidden="1" x14ac:dyDescent="0.3">
      <c r="A888" s="1">
        <v>883</v>
      </c>
      <c r="Y888" s="2"/>
      <c r="Z888" s="2"/>
      <c r="BK888" s="58"/>
      <c r="BL888" s="58"/>
      <c r="BM888" s="58"/>
      <c r="BU888" s="58"/>
      <c r="BV888" s="58"/>
      <c r="BW888" s="58"/>
      <c r="BX888" s="58"/>
      <c r="BY888" s="58"/>
      <c r="BZ888" s="58"/>
      <c r="CA888" s="58"/>
      <c r="CB888" s="58"/>
      <c r="CC888" s="58"/>
      <c r="CD888" s="58"/>
      <c r="CE888" s="58"/>
      <c r="CF888" s="58"/>
      <c r="CG888" s="58"/>
      <c r="CH888" s="58"/>
      <c r="CI888" s="58"/>
      <c r="CJ888" s="58"/>
      <c r="CK888" s="58"/>
      <c r="CL888" s="58"/>
    </row>
    <row r="889" spans="1:90" hidden="1" x14ac:dyDescent="0.3">
      <c r="A889" s="1">
        <v>884</v>
      </c>
      <c r="Y889" s="2"/>
      <c r="Z889" s="2"/>
      <c r="BK889" s="58"/>
      <c r="BL889" s="58"/>
      <c r="BM889" s="58"/>
      <c r="BU889" s="58"/>
      <c r="BV889" s="58"/>
      <c r="BW889" s="58"/>
      <c r="BX889" s="58"/>
      <c r="BY889" s="58"/>
      <c r="BZ889" s="58"/>
      <c r="CA889" s="58"/>
      <c r="CB889" s="58"/>
      <c r="CC889" s="58"/>
      <c r="CD889" s="58"/>
      <c r="CE889" s="58"/>
      <c r="CF889" s="58"/>
      <c r="CG889" s="58"/>
      <c r="CH889" s="58"/>
      <c r="CI889" s="58"/>
      <c r="CJ889" s="58"/>
      <c r="CK889" s="58"/>
      <c r="CL889" s="58"/>
    </row>
    <row r="890" spans="1:90" hidden="1" x14ac:dyDescent="0.3">
      <c r="A890" s="1">
        <v>885</v>
      </c>
      <c r="Y890" s="2"/>
      <c r="Z890" s="2"/>
      <c r="BK890" s="58"/>
      <c r="BL890" s="58"/>
      <c r="BM890" s="58"/>
      <c r="BU890" s="58"/>
      <c r="BV890" s="58"/>
      <c r="BW890" s="58"/>
      <c r="BX890" s="58"/>
      <c r="BY890" s="58"/>
      <c r="BZ890" s="58"/>
      <c r="CA890" s="58"/>
      <c r="CB890" s="58"/>
      <c r="CC890" s="58"/>
      <c r="CD890" s="58"/>
      <c r="CE890" s="58"/>
      <c r="CF890" s="58"/>
      <c r="CG890" s="58"/>
      <c r="CH890" s="58"/>
      <c r="CI890" s="58"/>
      <c r="CJ890" s="58"/>
      <c r="CK890" s="58"/>
      <c r="CL890" s="58"/>
    </row>
    <row r="891" spans="1:90" hidden="1" x14ac:dyDescent="0.3">
      <c r="A891" s="1">
        <v>886</v>
      </c>
      <c r="Y891" s="2"/>
      <c r="Z891" s="2"/>
      <c r="BK891" s="58"/>
      <c r="BL891" s="58"/>
      <c r="BM891" s="58"/>
      <c r="BU891" s="58"/>
      <c r="BV891" s="58"/>
      <c r="BW891" s="58"/>
      <c r="BX891" s="58"/>
      <c r="BY891" s="58"/>
      <c r="BZ891" s="58"/>
      <c r="CA891" s="58"/>
      <c r="CB891" s="58"/>
      <c r="CC891" s="58"/>
      <c r="CD891" s="58"/>
      <c r="CE891" s="58"/>
      <c r="CF891" s="58"/>
      <c r="CG891" s="58"/>
      <c r="CH891" s="58"/>
      <c r="CI891" s="58"/>
      <c r="CJ891" s="58"/>
      <c r="CK891" s="58"/>
      <c r="CL891" s="58"/>
    </row>
    <row r="892" spans="1:90" hidden="1" x14ac:dyDescent="0.3">
      <c r="A892" s="1">
        <v>887</v>
      </c>
      <c r="Y892" s="2"/>
      <c r="Z892" s="2"/>
      <c r="BK892" s="58"/>
      <c r="BL892" s="58"/>
      <c r="BM892" s="58"/>
      <c r="BU892" s="58"/>
      <c r="BV892" s="58"/>
      <c r="BW892" s="58"/>
      <c r="BX892" s="58"/>
      <c r="BY892" s="58"/>
      <c r="BZ892" s="58"/>
      <c r="CA892" s="58"/>
      <c r="CB892" s="58"/>
      <c r="CC892" s="58"/>
      <c r="CD892" s="58"/>
      <c r="CE892" s="58"/>
      <c r="CF892" s="58"/>
      <c r="CG892" s="58"/>
      <c r="CH892" s="58"/>
      <c r="CI892" s="58"/>
      <c r="CJ892" s="58"/>
      <c r="CK892" s="58"/>
      <c r="CL892" s="58"/>
    </row>
    <row r="893" spans="1:90" hidden="1" x14ac:dyDescent="0.3">
      <c r="A893" s="1">
        <v>888</v>
      </c>
      <c r="Y893" s="2"/>
      <c r="Z893" s="2"/>
      <c r="BK893" s="58"/>
      <c r="BL893" s="58"/>
      <c r="BM893" s="58"/>
      <c r="BU893" s="58"/>
      <c r="BV893" s="58"/>
      <c r="BW893" s="58"/>
      <c r="BX893" s="58"/>
      <c r="BY893" s="58"/>
      <c r="BZ893" s="58"/>
      <c r="CA893" s="58"/>
      <c r="CB893" s="58"/>
      <c r="CC893" s="58"/>
      <c r="CD893" s="58"/>
      <c r="CE893" s="58"/>
      <c r="CF893" s="58"/>
      <c r="CG893" s="58"/>
      <c r="CH893" s="58"/>
      <c r="CI893" s="58"/>
      <c r="CJ893" s="58"/>
      <c r="CK893" s="58"/>
      <c r="CL893" s="58"/>
    </row>
    <row r="894" spans="1:90" hidden="1" x14ac:dyDescent="0.3">
      <c r="A894" s="1">
        <v>889</v>
      </c>
      <c r="Y894" s="2"/>
      <c r="Z894" s="2"/>
      <c r="BK894" s="58"/>
      <c r="BL894" s="58"/>
      <c r="BM894" s="58"/>
      <c r="BU894" s="58"/>
      <c r="BV894" s="58"/>
      <c r="BW894" s="58"/>
      <c r="BX894" s="58"/>
      <c r="BY894" s="58"/>
      <c r="BZ894" s="58"/>
      <c r="CA894" s="58"/>
      <c r="CB894" s="58"/>
      <c r="CC894" s="58"/>
      <c r="CD894" s="58"/>
      <c r="CE894" s="58"/>
      <c r="CF894" s="58"/>
      <c r="CG894" s="58"/>
      <c r="CH894" s="58"/>
      <c r="CI894" s="58"/>
      <c r="CJ894" s="58"/>
      <c r="CK894" s="58"/>
      <c r="CL894" s="58"/>
    </row>
    <row r="895" spans="1:90" hidden="1" x14ac:dyDescent="0.3">
      <c r="A895" s="1">
        <v>890</v>
      </c>
      <c r="Y895" s="2"/>
      <c r="Z895" s="2"/>
      <c r="BK895" s="58"/>
      <c r="BL895" s="58"/>
      <c r="BM895" s="58"/>
      <c r="BU895" s="58"/>
      <c r="BV895" s="58"/>
      <c r="BW895" s="58"/>
      <c r="BX895" s="58"/>
      <c r="BY895" s="58"/>
      <c r="BZ895" s="58"/>
      <c r="CA895" s="58"/>
      <c r="CB895" s="58"/>
      <c r="CC895" s="58"/>
      <c r="CD895" s="58"/>
      <c r="CE895" s="58"/>
      <c r="CF895" s="58"/>
      <c r="CG895" s="58"/>
      <c r="CH895" s="58"/>
      <c r="CI895" s="58"/>
      <c r="CJ895" s="58"/>
      <c r="CK895" s="58"/>
      <c r="CL895" s="58"/>
    </row>
    <row r="896" spans="1:90" hidden="1" x14ac:dyDescent="0.3">
      <c r="A896" s="1">
        <v>891</v>
      </c>
      <c r="Y896" s="2"/>
      <c r="Z896" s="2"/>
      <c r="BK896" s="58"/>
      <c r="BL896" s="58"/>
      <c r="BM896" s="58"/>
      <c r="BU896" s="58"/>
      <c r="BV896" s="58"/>
      <c r="BW896" s="58"/>
      <c r="BX896" s="58"/>
      <c r="BY896" s="58"/>
      <c r="BZ896" s="58"/>
      <c r="CA896" s="58"/>
      <c r="CB896" s="58"/>
      <c r="CC896" s="58"/>
      <c r="CD896" s="58"/>
      <c r="CE896" s="58"/>
      <c r="CF896" s="58"/>
      <c r="CG896" s="58"/>
      <c r="CH896" s="58"/>
      <c r="CI896" s="58"/>
      <c r="CJ896" s="58"/>
      <c r="CK896" s="58"/>
      <c r="CL896" s="58"/>
    </row>
    <row r="897" spans="1:90" hidden="1" x14ac:dyDescent="0.3">
      <c r="A897" s="1">
        <v>892</v>
      </c>
      <c r="Y897" s="2"/>
      <c r="Z897" s="2"/>
      <c r="BK897" s="58"/>
      <c r="BL897" s="58"/>
      <c r="BM897" s="58"/>
      <c r="BU897" s="58"/>
      <c r="BV897" s="58"/>
      <c r="BW897" s="58"/>
      <c r="BX897" s="58"/>
      <c r="BY897" s="58"/>
      <c r="BZ897" s="58"/>
      <c r="CA897" s="58"/>
      <c r="CB897" s="58"/>
      <c r="CC897" s="58"/>
      <c r="CD897" s="58"/>
      <c r="CE897" s="58"/>
      <c r="CF897" s="58"/>
      <c r="CG897" s="58"/>
      <c r="CH897" s="58"/>
      <c r="CI897" s="58"/>
      <c r="CJ897" s="58"/>
      <c r="CK897" s="58"/>
      <c r="CL897" s="58"/>
    </row>
    <row r="898" spans="1:90" hidden="1" x14ac:dyDescent="0.3">
      <c r="A898" s="1">
        <v>893</v>
      </c>
      <c r="Y898" s="2"/>
      <c r="Z898" s="2"/>
      <c r="BK898" s="58"/>
      <c r="BL898" s="58"/>
      <c r="BM898" s="58"/>
      <c r="BU898" s="58"/>
      <c r="BV898" s="58"/>
      <c r="BW898" s="58"/>
      <c r="BX898" s="58"/>
      <c r="BY898" s="58"/>
      <c r="BZ898" s="58"/>
      <c r="CA898" s="58"/>
      <c r="CB898" s="58"/>
      <c r="CC898" s="58"/>
      <c r="CD898" s="58"/>
      <c r="CE898" s="58"/>
      <c r="CF898" s="58"/>
      <c r="CG898" s="58"/>
      <c r="CH898" s="58"/>
      <c r="CI898" s="58"/>
      <c r="CJ898" s="58"/>
      <c r="CK898" s="58"/>
      <c r="CL898" s="58"/>
    </row>
    <row r="899" spans="1:90" hidden="1" x14ac:dyDescent="0.3">
      <c r="A899" s="1">
        <v>894</v>
      </c>
      <c r="Y899" s="2"/>
      <c r="Z899" s="2"/>
      <c r="BK899" s="58"/>
      <c r="BL899" s="58"/>
      <c r="BM899" s="58"/>
      <c r="BU899" s="58"/>
      <c r="BV899" s="58"/>
      <c r="BW899" s="58"/>
      <c r="BX899" s="58"/>
      <c r="BY899" s="58"/>
      <c r="BZ899" s="58"/>
      <c r="CA899" s="58"/>
      <c r="CB899" s="58"/>
      <c r="CC899" s="58"/>
      <c r="CD899" s="58"/>
      <c r="CE899" s="58"/>
      <c r="CF899" s="58"/>
      <c r="CG899" s="58"/>
      <c r="CH899" s="58"/>
      <c r="CI899" s="58"/>
      <c r="CJ899" s="58"/>
      <c r="CK899" s="58"/>
      <c r="CL899" s="58"/>
    </row>
    <row r="900" spans="1:90" hidden="1" x14ac:dyDescent="0.3">
      <c r="A900" s="1">
        <v>895</v>
      </c>
      <c r="Y900" s="2"/>
      <c r="Z900" s="2"/>
      <c r="BK900" s="58"/>
      <c r="BL900" s="58"/>
      <c r="BM900" s="58"/>
      <c r="BU900" s="58"/>
      <c r="BV900" s="58"/>
      <c r="BW900" s="58"/>
      <c r="BX900" s="58"/>
      <c r="BY900" s="58"/>
      <c r="BZ900" s="58"/>
      <c r="CA900" s="58"/>
      <c r="CB900" s="58"/>
      <c r="CC900" s="58"/>
      <c r="CD900" s="58"/>
      <c r="CE900" s="58"/>
      <c r="CF900" s="58"/>
      <c r="CG900" s="58"/>
      <c r="CH900" s="58"/>
      <c r="CI900" s="58"/>
      <c r="CJ900" s="58"/>
      <c r="CK900" s="58"/>
      <c r="CL900" s="58"/>
    </row>
    <row r="901" spans="1:90" hidden="1" x14ac:dyDescent="0.3">
      <c r="A901" s="1">
        <v>896</v>
      </c>
      <c r="Y901" s="2"/>
      <c r="Z901" s="2"/>
      <c r="BK901" s="58"/>
      <c r="BL901" s="58"/>
      <c r="BM901" s="58"/>
      <c r="BU901" s="58"/>
      <c r="BV901" s="58"/>
      <c r="BW901" s="58"/>
      <c r="BX901" s="58"/>
      <c r="BY901" s="58"/>
      <c r="BZ901" s="58"/>
      <c r="CA901" s="58"/>
      <c r="CB901" s="58"/>
      <c r="CC901" s="58"/>
      <c r="CD901" s="58"/>
      <c r="CE901" s="58"/>
      <c r="CF901" s="58"/>
      <c r="CG901" s="58"/>
      <c r="CH901" s="58"/>
      <c r="CI901" s="58"/>
      <c r="CJ901" s="58"/>
      <c r="CK901" s="58"/>
      <c r="CL901" s="58"/>
    </row>
    <row r="902" spans="1:90" hidden="1" x14ac:dyDescent="0.3">
      <c r="A902" s="1">
        <v>897</v>
      </c>
      <c r="Y902" s="2"/>
      <c r="Z902" s="2"/>
      <c r="BK902" s="58"/>
      <c r="BL902" s="58"/>
      <c r="BM902" s="58"/>
      <c r="BU902" s="58"/>
      <c r="BV902" s="58"/>
      <c r="BW902" s="58"/>
      <c r="BX902" s="58"/>
      <c r="BY902" s="58"/>
      <c r="BZ902" s="58"/>
      <c r="CA902" s="58"/>
      <c r="CB902" s="58"/>
      <c r="CC902" s="58"/>
      <c r="CD902" s="58"/>
      <c r="CE902" s="58"/>
      <c r="CF902" s="58"/>
      <c r="CG902" s="58"/>
      <c r="CH902" s="58"/>
      <c r="CI902" s="58"/>
      <c r="CJ902" s="58"/>
      <c r="CK902" s="58"/>
      <c r="CL902" s="58"/>
    </row>
    <row r="903" spans="1:90" hidden="1" x14ac:dyDescent="0.3">
      <c r="A903" s="1">
        <v>898</v>
      </c>
      <c r="Y903" s="2"/>
      <c r="Z903" s="2"/>
      <c r="BK903" s="58"/>
      <c r="BL903" s="58"/>
      <c r="BM903" s="58"/>
      <c r="BU903" s="58"/>
      <c r="BV903" s="58"/>
      <c r="BW903" s="58"/>
      <c r="BX903" s="58"/>
      <c r="BY903" s="58"/>
      <c r="BZ903" s="58"/>
      <c r="CA903" s="58"/>
      <c r="CB903" s="58"/>
      <c r="CC903" s="58"/>
      <c r="CD903" s="58"/>
      <c r="CE903" s="58"/>
      <c r="CF903" s="58"/>
      <c r="CG903" s="58"/>
      <c r="CH903" s="58"/>
      <c r="CI903" s="58"/>
      <c r="CJ903" s="58"/>
      <c r="CK903" s="58"/>
      <c r="CL903" s="58"/>
    </row>
    <row r="904" spans="1:90" hidden="1" x14ac:dyDescent="0.3">
      <c r="A904" s="1">
        <v>899</v>
      </c>
      <c r="Y904" s="2"/>
      <c r="Z904" s="2"/>
      <c r="BK904" s="58"/>
      <c r="BL904" s="58"/>
      <c r="BM904" s="58"/>
      <c r="BU904" s="58"/>
      <c r="BV904" s="58"/>
      <c r="BW904" s="58"/>
      <c r="BX904" s="58"/>
      <c r="BY904" s="58"/>
      <c r="BZ904" s="58"/>
      <c r="CA904" s="58"/>
      <c r="CB904" s="58"/>
      <c r="CC904" s="58"/>
      <c r="CD904" s="58"/>
      <c r="CE904" s="58"/>
      <c r="CF904" s="58"/>
      <c r="CG904" s="58"/>
      <c r="CH904" s="58"/>
      <c r="CI904" s="58"/>
      <c r="CJ904" s="58"/>
      <c r="CK904" s="58"/>
      <c r="CL904" s="58"/>
    </row>
    <row r="905" spans="1:90" hidden="1" x14ac:dyDescent="0.3">
      <c r="A905" s="1">
        <v>900</v>
      </c>
      <c r="Y905" s="2"/>
      <c r="Z905" s="2"/>
      <c r="BK905" s="58"/>
      <c r="BL905" s="58"/>
      <c r="BM905" s="58"/>
      <c r="BU905" s="58"/>
      <c r="BV905" s="58"/>
      <c r="BW905" s="58"/>
      <c r="BX905" s="58"/>
      <c r="BY905" s="58"/>
      <c r="BZ905" s="58"/>
      <c r="CA905" s="58"/>
      <c r="CB905" s="58"/>
      <c r="CC905" s="58"/>
      <c r="CD905" s="58"/>
      <c r="CE905" s="58"/>
      <c r="CF905" s="58"/>
      <c r="CG905" s="58"/>
      <c r="CH905" s="58"/>
      <c r="CI905" s="58"/>
      <c r="CJ905" s="58"/>
      <c r="CK905" s="58"/>
      <c r="CL905" s="58"/>
    </row>
    <row r="906" spans="1:90" hidden="1" x14ac:dyDescent="0.3">
      <c r="A906" s="1">
        <v>901</v>
      </c>
      <c r="Y906" s="2"/>
      <c r="Z906" s="2"/>
      <c r="BK906" s="58"/>
      <c r="BL906" s="58"/>
      <c r="BM906" s="58"/>
      <c r="BU906" s="58"/>
      <c r="BV906" s="58"/>
      <c r="BW906" s="58"/>
      <c r="BX906" s="58"/>
      <c r="BY906" s="58"/>
      <c r="BZ906" s="58"/>
      <c r="CA906" s="58"/>
      <c r="CB906" s="58"/>
      <c r="CC906" s="58"/>
      <c r="CD906" s="58"/>
      <c r="CE906" s="58"/>
      <c r="CF906" s="58"/>
      <c r="CG906" s="58"/>
      <c r="CH906" s="58"/>
      <c r="CI906" s="58"/>
      <c r="CJ906" s="58"/>
      <c r="CK906" s="58"/>
      <c r="CL906" s="58"/>
    </row>
    <row r="907" spans="1:90" hidden="1" x14ac:dyDescent="0.3">
      <c r="A907" s="1">
        <v>902</v>
      </c>
      <c r="Y907" s="2"/>
      <c r="Z907" s="2"/>
      <c r="BK907" s="58"/>
      <c r="BL907" s="58"/>
      <c r="BM907" s="58"/>
      <c r="BU907" s="58"/>
      <c r="BV907" s="58"/>
      <c r="BW907" s="58"/>
      <c r="BX907" s="58"/>
      <c r="BY907" s="58"/>
      <c r="BZ907" s="58"/>
      <c r="CA907" s="58"/>
      <c r="CB907" s="58"/>
      <c r="CC907" s="58"/>
      <c r="CD907" s="58"/>
      <c r="CE907" s="58"/>
      <c r="CF907" s="58"/>
      <c r="CG907" s="58"/>
      <c r="CH907" s="58"/>
      <c r="CI907" s="58"/>
      <c r="CJ907" s="58"/>
      <c r="CK907" s="58"/>
      <c r="CL907" s="58"/>
    </row>
    <row r="908" spans="1:90" hidden="1" x14ac:dyDescent="0.3">
      <c r="A908" s="1">
        <v>903</v>
      </c>
      <c r="Y908" s="2"/>
      <c r="Z908" s="2"/>
      <c r="BK908" s="58"/>
      <c r="BL908" s="58"/>
      <c r="BM908" s="58"/>
      <c r="BU908" s="58"/>
      <c r="BV908" s="58"/>
      <c r="BW908" s="58"/>
      <c r="BX908" s="58"/>
      <c r="BY908" s="58"/>
      <c r="BZ908" s="58"/>
      <c r="CA908" s="58"/>
      <c r="CB908" s="58"/>
      <c r="CC908" s="58"/>
      <c r="CD908" s="58"/>
      <c r="CE908" s="58"/>
      <c r="CF908" s="58"/>
      <c r="CG908" s="58"/>
      <c r="CH908" s="58"/>
      <c r="CI908" s="58"/>
      <c r="CJ908" s="58"/>
      <c r="CK908" s="58"/>
      <c r="CL908" s="58"/>
    </row>
    <row r="909" spans="1:90" hidden="1" x14ac:dyDescent="0.3">
      <c r="A909" s="1">
        <v>904</v>
      </c>
      <c r="Y909" s="2"/>
      <c r="Z909" s="2"/>
      <c r="BK909" s="58"/>
      <c r="BL909" s="58"/>
      <c r="BM909" s="58"/>
      <c r="BU909" s="58"/>
      <c r="BV909" s="58"/>
      <c r="BW909" s="58"/>
      <c r="BX909" s="58"/>
      <c r="BY909" s="58"/>
      <c r="BZ909" s="58"/>
      <c r="CA909" s="58"/>
      <c r="CB909" s="58"/>
      <c r="CC909" s="58"/>
      <c r="CD909" s="58"/>
      <c r="CE909" s="58"/>
      <c r="CF909" s="58"/>
      <c r="CG909" s="58"/>
      <c r="CH909" s="58"/>
      <c r="CI909" s="58"/>
      <c r="CJ909" s="58"/>
      <c r="CK909" s="58"/>
      <c r="CL909" s="58"/>
    </row>
    <row r="910" spans="1:90" hidden="1" x14ac:dyDescent="0.3">
      <c r="A910" s="1">
        <v>905</v>
      </c>
      <c r="Y910" s="2"/>
      <c r="Z910" s="2"/>
      <c r="BK910" s="58"/>
      <c r="BL910" s="58"/>
      <c r="BM910" s="58"/>
      <c r="BU910" s="58"/>
      <c r="BV910" s="58"/>
      <c r="BW910" s="58"/>
      <c r="BX910" s="58"/>
      <c r="BY910" s="58"/>
      <c r="BZ910" s="58"/>
      <c r="CA910" s="58"/>
      <c r="CB910" s="58"/>
      <c r="CC910" s="58"/>
      <c r="CD910" s="58"/>
      <c r="CE910" s="58"/>
      <c r="CF910" s="58"/>
      <c r="CG910" s="58"/>
      <c r="CH910" s="58"/>
      <c r="CI910" s="58"/>
      <c r="CJ910" s="58"/>
      <c r="CK910" s="58"/>
      <c r="CL910" s="58"/>
    </row>
    <row r="911" spans="1:90" hidden="1" x14ac:dyDescent="0.3">
      <c r="A911" s="1">
        <v>906</v>
      </c>
      <c r="Y911" s="2"/>
      <c r="Z911" s="2"/>
      <c r="BK911" s="58"/>
      <c r="BL911" s="58"/>
      <c r="BM911" s="58"/>
      <c r="BU911" s="58"/>
      <c r="BV911" s="58"/>
      <c r="BW911" s="58"/>
      <c r="BX911" s="58"/>
      <c r="BY911" s="58"/>
      <c r="BZ911" s="58"/>
      <c r="CA911" s="58"/>
      <c r="CB911" s="58"/>
      <c r="CC911" s="58"/>
      <c r="CD911" s="58"/>
      <c r="CE911" s="58"/>
      <c r="CF911" s="58"/>
      <c r="CG911" s="58"/>
      <c r="CH911" s="58"/>
      <c r="CI911" s="58"/>
      <c r="CJ911" s="58"/>
      <c r="CK911" s="58"/>
      <c r="CL911" s="58"/>
    </row>
    <row r="912" spans="1:90" hidden="1" x14ac:dyDescent="0.3">
      <c r="A912" s="1">
        <v>907</v>
      </c>
      <c r="Y912" s="2"/>
      <c r="Z912" s="2"/>
      <c r="BK912" s="58"/>
      <c r="BL912" s="58"/>
      <c r="BM912" s="58"/>
      <c r="BU912" s="58"/>
      <c r="BV912" s="58"/>
      <c r="BW912" s="58"/>
      <c r="BX912" s="58"/>
      <c r="BY912" s="58"/>
      <c r="BZ912" s="58"/>
      <c r="CA912" s="58"/>
      <c r="CB912" s="58"/>
      <c r="CC912" s="58"/>
      <c r="CD912" s="58"/>
      <c r="CE912" s="58"/>
      <c r="CF912" s="58"/>
      <c r="CG912" s="58"/>
      <c r="CH912" s="58"/>
      <c r="CI912" s="58"/>
      <c r="CJ912" s="58"/>
      <c r="CK912" s="58"/>
      <c r="CL912" s="58"/>
    </row>
    <row r="913" spans="1:90" hidden="1" x14ac:dyDescent="0.3">
      <c r="A913" s="1">
        <v>908</v>
      </c>
      <c r="Y913" s="2"/>
      <c r="Z913" s="2"/>
      <c r="BK913" s="58"/>
      <c r="BL913" s="58"/>
      <c r="BM913" s="58"/>
      <c r="BU913" s="58"/>
      <c r="BV913" s="58"/>
      <c r="BW913" s="58"/>
      <c r="BX913" s="58"/>
      <c r="BY913" s="58"/>
      <c r="BZ913" s="58"/>
      <c r="CA913" s="58"/>
      <c r="CB913" s="58"/>
      <c r="CC913" s="58"/>
      <c r="CD913" s="58"/>
      <c r="CE913" s="58"/>
      <c r="CF913" s="58"/>
      <c r="CG913" s="58"/>
      <c r="CH913" s="58"/>
      <c r="CI913" s="58"/>
      <c r="CJ913" s="58"/>
      <c r="CK913" s="58"/>
      <c r="CL913" s="58"/>
    </row>
    <row r="914" spans="1:90" hidden="1" x14ac:dyDescent="0.3">
      <c r="A914" s="1">
        <v>909</v>
      </c>
      <c r="Y914" s="2"/>
      <c r="Z914" s="2"/>
      <c r="BK914" s="58"/>
      <c r="BL914" s="58"/>
      <c r="BM914" s="58"/>
      <c r="BU914" s="58"/>
      <c r="BV914" s="58"/>
      <c r="BW914" s="58"/>
      <c r="BX914" s="58"/>
      <c r="BY914" s="58"/>
      <c r="BZ914" s="58"/>
      <c r="CA914" s="58"/>
      <c r="CB914" s="58"/>
      <c r="CC914" s="58"/>
      <c r="CD914" s="58"/>
      <c r="CE914" s="58"/>
      <c r="CF914" s="58"/>
      <c r="CG914" s="58"/>
      <c r="CH914" s="58"/>
      <c r="CI914" s="58"/>
      <c r="CJ914" s="58"/>
      <c r="CK914" s="58"/>
      <c r="CL914" s="58"/>
    </row>
    <row r="915" spans="1:90" hidden="1" x14ac:dyDescent="0.3">
      <c r="A915" s="1">
        <v>910</v>
      </c>
      <c r="Y915" s="2"/>
      <c r="Z915" s="2"/>
      <c r="BK915" s="58"/>
      <c r="BL915" s="58"/>
      <c r="BM915" s="58"/>
      <c r="BU915" s="58"/>
      <c r="BV915" s="58"/>
      <c r="BW915" s="58"/>
      <c r="BX915" s="58"/>
      <c r="BY915" s="58"/>
      <c r="BZ915" s="58"/>
      <c r="CA915" s="58"/>
      <c r="CB915" s="58"/>
      <c r="CC915" s="58"/>
      <c r="CD915" s="58"/>
      <c r="CE915" s="58"/>
      <c r="CF915" s="58"/>
      <c r="CG915" s="58"/>
      <c r="CH915" s="58"/>
      <c r="CI915" s="58"/>
      <c r="CJ915" s="58"/>
      <c r="CK915" s="58"/>
      <c r="CL915" s="58"/>
    </row>
    <row r="916" spans="1:90" hidden="1" x14ac:dyDescent="0.3">
      <c r="A916" s="1">
        <v>911</v>
      </c>
      <c r="Y916" s="2"/>
      <c r="Z916" s="2"/>
      <c r="BK916" s="58"/>
      <c r="BL916" s="58"/>
      <c r="BM916" s="58"/>
      <c r="BU916" s="58"/>
      <c r="BV916" s="58"/>
      <c r="BW916" s="58"/>
      <c r="BX916" s="58"/>
      <c r="BY916" s="58"/>
      <c r="BZ916" s="58"/>
      <c r="CA916" s="58"/>
      <c r="CB916" s="58"/>
      <c r="CC916" s="58"/>
      <c r="CD916" s="58"/>
      <c r="CE916" s="58"/>
      <c r="CF916" s="58"/>
      <c r="CG916" s="58"/>
      <c r="CH916" s="58"/>
      <c r="CI916" s="58"/>
      <c r="CJ916" s="58"/>
      <c r="CK916" s="58"/>
      <c r="CL916" s="58"/>
    </row>
    <row r="917" spans="1:90" hidden="1" x14ac:dyDescent="0.3">
      <c r="A917" s="1">
        <v>912</v>
      </c>
      <c r="Y917" s="2"/>
      <c r="Z917" s="2"/>
      <c r="BK917" s="58"/>
      <c r="BL917" s="58"/>
      <c r="BM917" s="58"/>
      <c r="BU917" s="58"/>
      <c r="BV917" s="58"/>
      <c r="BW917" s="58"/>
      <c r="BX917" s="58"/>
      <c r="BY917" s="58"/>
      <c r="BZ917" s="58"/>
      <c r="CA917" s="58"/>
      <c r="CB917" s="58"/>
      <c r="CC917" s="58"/>
      <c r="CD917" s="58"/>
      <c r="CE917" s="58"/>
      <c r="CF917" s="58"/>
      <c r="CG917" s="58"/>
      <c r="CH917" s="58"/>
      <c r="CI917" s="58"/>
      <c r="CJ917" s="58"/>
      <c r="CK917" s="58"/>
      <c r="CL917" s="58"/>
    </row>
    <row r="918" spans="1:90" hidden="1" x14ac:dyDescent="0.3">
      <c r="A918" s="1">
        <v>913</v>
      </c>
      <c r="Y918" s="2"/>
      <c r="Z918" s="2"/>
      <c r="BK918" s="58"/>
      <c r="BL918" s="58"/>
      <c r="BM918" s="58"/>
      <c r="BU918" s="58"/>
      <c r="BV918" s="58"/>
      <c r="BW918" s="58"/>
      <c r="BX918" s="58"/>
      <c r="BY918" s="58"/>
      <c r="BZ918" s="58"/>
      <c r="CA918" s="58"/>
      <c r="CB918" s="58"/>
      <c r="CC918" s="58"/>
      <c r="CD918" s="58"/>
      <c r="CE918" s="58"/>
      <c r="CF918" s="58"/>
      <c r="CG918" s="58"/>
      <c r="CH918" s="58"/>
      <c r="CI918" s="58"/>
      <c r="CJ918" s="58"/>
      <c r="CK918" s="58"/>
      <c r="CL918" s="58"/>
    </row>
    <row r="919" spans="1:90" hidden="1" x14ac:dyDescent="0.3">
      <c r="A919" s="1">
        <v>914</v>
      </c>
      <c r="Y919" s="2"/>
      <c r="Z919" s="2"/>
      <c r="BK919" s="58"/>
      <c r="BL919" s="58"/>
      <c r="BM919" s="58"/>
      <c r="BU919" s="58"/>
      <c r="BV919" s="58"/>
      <c r="BW919" s="58"/>
      <c r="BX919" s="58"/>
      <c r="BY919" s="58"/>
      <c r="BZ919" s="58"/>
      <c r="CA919" s="58"/>
      <c r="CB919" s="58"/>
      <c r="CC919" s="58"/>
      <c r="CD919" s="58"/>
      <c r="CE919" s="58"/>
      <c r="CF919" s="58"/>
      <c r="CG919" s="58"/>
      <c r="CH919" s="58"/>
      <c r="CI919" s="58"/>
      <c r="CJ919" s="58"/>
      <c r="CK919" s="58"/>
      <c r="CL919" s="58"/>
    </row>
    <row r="920" spans="1:90" hidden="1" x14ac:dyDescent="0.3">
      <c r="A920" s="1">
        <v>915</v>
      </c>
      <c r="Y920" s="2"/>
      <c r="Z920" s="2"/>
      <c r="BK920" s="58"/>
      <c r="BL920" s="58"/>
      <c r="BM920" s="58"/>
      <c r="BU920" s="58"/>
      <c r="BV920" s="58"/>
      <c r="BW920" s="58"/>
      <c r="BX920" s="58"/>
      <c r="BY920" s="58"/>
      <c r="BZ920" s="58"/>
      <c r="CA920" s="58"/>
      <c r="CB920" s="58"/>
      <c r="CC920" s="58"/>
      <c r="CD920" s="58"/>
      <c r="CE920" s="58"/>
      <c r="CF920" s="58"/>
      <c r="CG920" s="58"/>
      <c r="CH920" s="58"/>
      <c r="CI920" s="58"/>
      <c r="CJ920" s="58"/>
      <c r="CK920" s="58"/>
      <c r="CL920" s="58"/>
    </row>
    <row r="921" spans="1:90" hidden="1" x14ac:dyDescent="0.3">
      <c r="A921" s="1">
        <v>916</v>
      </c>
      <c r="Y921" s="2"/>
      <c r="Z921" s="2"/>
      <c r="BK921" s="58"/>
      <c r="BL921" s="58"/>
      <c r="BM921" s="58"/>
      <c r="BU921" s="58"/>
      <c r="BV921" s="58"/>
      <c r="BW921" s="58"/>
      <c r="BX921" s="58"/>
      <c r="BY921" s="58"/>
      <c r="BZ921" s="58"/>
      <c r="CA921" s="58"/>
      <c r="CB921" s="58"/>
      <c r="CC921" s="58"/>
      <c r="CD921" s="58"/>
      <c r="CE921" s="58"/>
      <c r="CF921" s="58"/>
      <c r="CG921" s="58"/>
      <c r="CH921" s="58"/>
      <c r="CI921" s="58"/>
      <c r="CJ921" s="58"/>
      <c r="CK921" s="58"/>
      <c r="CL921" s="58"/>
    </row>
    <row r="922" spans="1:90" hidden="1" x14ac:dyDescent="0.3">
      <c r="A922" s="1">
        <v>917</v>
      </c>
      <c r="Y922" s="2"/>
      <c r="Z922" s="2"/>
      <c r="BK922" s="58"/>
      <c r="BL922" s="58"/>
      <c r="BM922" s="58"/>
      <c r="BU922" s="58"/>
      <c r="BV922" s="58"/>
      <c r="BW922" s="58"/>
      <c r="BX922" s="58"/>
      <c r="BY922" s="58"/>
      <c r="BZ922" s="58"/>
      <c r="CA922" s="58"/>
      <c r="CB922" s="58"/>
      <c r="CC922" s="58"/>
      <c r="CD922" s="58"/>
      <c r="CE922" s="58"/>
      <c r="CF922" s="58"/>
      <c r="CG922" s="58"/>
      <c r="CH922" s="58"/>
      <c r="CI922" s="58"/>
      <c r="CJ922" s="58"/>
      <c r="CK922" s="58"/>
      <c r="CL922" s="58"/>
    </row>
    <row r="923" spans="1:90" hidden="1" x14ac:dyDescent="0.3">
      <c r="A923" s="1">
        <v>918</v>
      </c>
      <c r="Y923" s="2"/>
      <c r="Z923" s="2"/>
      <c r="BK923" s="58"/>
      <c r="BL923" s="58"/>
      <c r="BM923" s="58"/>
      <c r="BU923" s="58"/>
      <c r="BV923" s="58"/>
      <c r="BW923" s="58"/>
      <c r="BX923" s="58"/>
      <c r="BY923" s="58"/>
      <c r="BZ923" s="58"/>
      <c r="CA923" s="58"/>
      <c r="CB923" s="58"/>
      <c r="CC923" s="58"/>
      <c r="CD923" s="58"/>
      <c r="CE923" s="58"/>
      <c r="CF923" s="58"/>
      <c r="CG923" s="58"/>
      <c r="CH923" s="58"/>
      <c r="CI923" s="58"/>
      <c r="CJ923" s="58"/>
      <c r="CK923" s="58"/>
      <c r="CL923" s="58"/>
    </row>
    <row r="924" spans="1:90" hidden="1" x14ac:dyDescent="0.3">
      <c r="A924" s="1">
        <v>919</v>
      </c>
      <c r="Y924" s="2"/>
      <c r="Z924" s="2"/>
      <c r="BK924" s="58"/>
      <c r="BL924" s="58"/>
      <c r="BM924" s="58"/>
      <c r="BU924" s="58"/>
      <c r="BV924" s="58"/>
      <c r="BW924" s="58"/>
      <c r="BX924" s="58"/>
      <c r="BY924" s="58"/>
      <c r="BZ924" s="58"/>
      <c r="CA924" s="58"/>
      <c r="CB924" s="58"/>
      <c r="CC924" s="58"/>
      <c r="CD924" s="58"/>
      <c r="CE924" s="58"/>
      <c r="CF924" s="58"/>
      <c r="CG924" s="58"/>
      <c r="CH924" s="58"/>
      <c r="CI924" s="58"/>
      <c r="CJ924" s="58"/>
      <c r="CK924" s="58"/>
      <c r="CL924" s="58"/>
    </row>
    <row r="925" spans="1:90" hidden="1" x14ac:dyDescent="0.3">
      <c r="A925" s="1">
        <v>920</v>
      </c>
      <c r="Y925" s="2"/>
      <c r="Z925" s="2"/>
      <c r="BK925" s="58"/>
      <c r="BL925" s="58"/>
      <c r="BM925" s="58"/>
      <c r="BU925" s="58"/>
      <c r="BV925" s="58"/>
      <c r="BW925" s="58"/>
      <c r="BX925" s="58"/>
      <c r="BY925" s="58"/>
      <c r="BZ925" s="58"/>
      <c r="CA925" s="58"/>
      <c r="CB925" s="58"/>
      <c r="CC925" s="58"/>
      <c r="CD925" s="58"/>
      <c r="CE925" s="58"/>
      <c r="CF925" s="58"/>
      <c r="CG925" s="58"/>
      <c r="CH925" s="58"/>
      <c r="CI925" s="58"/>
      <c r="CJ925" s="58"/>
      <c r="CK925" s="58"/>
      <c r="CL925" s="58"/>
    </row>
    <row r="926" spans="1:90" hidden="1" x14ac:dyDescent="0.3">
      <c r="A926" s="1">
        <v>921</v>
      </c>
      <c r="Y926" s="2"/>
      <c r="Z926" s="2"/>
      <c r="BK926" s="58"/>
      <c r="BL926" s="58"/>
      <c r="BM926" s="58"/>
      <c r="BU926" s="58"/>
      <c r="BV926" s="58"/>
      <c r="BW926" s="58"/>
      <c r="BX926" s="58"/>
      <c r="BY926" s="58"/>
      <c r="BZ926" s="58"/>
      <c r="CA926" s="58"/>
      <c r="CB926" s="58"/>
      <c r="CC926" s="58"/>
      <c r="CD926" s="58"/>
      <c r="CE926" s="58"/>
      <c r="CF926" s="58"/>
      <c r="CG926" s="58"/>
      <c r="CH926" s="58"/>
      <c r="CI926" s="58"/>
      <c r="CJ926" s="58"/>
      <c r="CK926" s="58"/>
      <c r="CL926" s="58"/>
    </row>
    <row r="927" spans="1:90" hidden="1" x14ac:dyDescent="0.3">
      <c r="A927" s="1">
        <v>922</v>
      </c>
      <c r="Y927" s="2"/>
      <c r="Z927" s="2"/>
      <c r="BK927" s="58"/>
      <c r="BL927" s="58"/>
      <c r="BM927" s="58"/>
      <c r="BU927" s="58"/>
      <c r="BV927" s="58"/>
      <c r="BW927" s="58"/>
      <c r="BX927" s="58"/>
      <c r="BY927" s="58"/>
      <c r="BZ927" s="58"/>
      <c r="CA927" s="58"/>
      <c r="CB927" s="58"/>
      <c r="CC927" s="58"/>
      <c r="CD927" s="58"/>
      <c r="CE927" s="58"/>
      <c r="CF927" s="58"/>
      <c r="CG927" s="58"/>
      <c r="CH927" s="58"/>
      <c r="CI927" s="58"/>
      <c r="CJ927" s="58"/>
      <c r="CK927" s="58"/>
      <c r="CL927" s="58"/>
    </row>
    <row r="928" spans="1:90" hidden="1" x14ac:dyDescent="0.3">
      <c r="A928" s="1">
        <v>923</v>
      </c>
      <c r="Y928" s="2"/>
      <c r="Z928" s="2"/>
      <c r="BK928" s="58"/>
      <c r="BL928" s="58"/>
      <c r="BM928" s="58"/>
      <c r="BU928" s="58"/>
      <c r="BV928" s="58"/>
      <c r="BW928" s="58"/>
      <c r="BX928" s="58"/>
      <c r="BY928" s="58"/>
      <c r="BZ928" s="58"/>
      <c r="CA928" s="58"/>
      <c r="CB928" s="58"/>
      <c r="CC928" s="58"/>
      <c r="CD928" s="58"/>
      <c r="CE928" s="58"/>
      <c r="CF928" s="58"/>
      <c r="CG928" s="58"/>
      <c r="CH928" s="58"/>
      <c r="CI928" s="58"/>
      <c r="CJ928" s="58"/>
      <c r="CK928" s="58"/>
      <c r="CL928" s="58"/>
    </row>
    <row r="929" spans="1:90" hidden="1" x14ac:dyDescent="0.3">
      <c r="A929" s="1">
        <v>924</v>
      </c>
      <c r="Y929" s="2"/>
      <c r="Z929" s="2"/>
      <c r="BK929" s="58"/>
      <c r="BL929" s="58"/>
      <c r="BM929" s="58"/>
      <c r="BU929" s="58"/>
      <c r="BV929" s="58"/>
      <c r="BW929" s="58"/>
      <c r="BX929" s="58"/>
      <c r="BY929" s="58"/>
      <c r="BZ929" s="58"/>
      <c r="CA929" s="58"/>
      <c r="CB929" s="58"/>
      <c r="CC929" s="58"/>
      <c r="CD929" s="58"/>
      <c r="CE929" s="58"/>
      <c r="CF929" s="58"/>
      <c r="CG929" s="58"/>
      <c r="CH929" s="58"/>
      <c r="CI929" s="58"/>
      <c r="CJ929" s="58"/>
      <c r="CK929" s="58"/>
      <c r="CL929" s="58"/>
    </row>
    <row r="930" spans="1:90" hidden="1" x14ac:dyDescent="0.3">
      <c r="A930" s="1">
        <v>925</v>
      </c>
      <c r="Y930" s="2"/>
      <c r="Z930" s="2"/>
      <c r="BK930" s="58"/>
      <c r="BL930" s="58"/>
      <c r="BM930" s="58"/>
      <c r="BU930" s="58"/>
      <c r="BV930" s="58"/>
      <c r="BW930" s="58"/>
      <c r="BX930" s="58"/>
      <c r="BY930" s="58"/>
      <c r="BZ930" s="58"/>
      <c r="CA930" s="58"/>
      <c r="CB930" s="58"/>
      <c r="CC930" s="58"/>
      <c r="CD930" s="58"/>
      <c r="CE930" s="58"/>
      <c r="CF930" s="58"/>
      <c r="CG930" s="58"/>
      <c r="CH930" s="58"/>
      <c r="CI930" s="58"/>
      <c r="CJ930" s="58"/>
      <c r="CK930" s="58"/>
      <c r="CL930" s="58"/>
    </row>
    <row r="931" spans="1:90" hidden="1" x14ac:dyDescent="0.3">
      <c r="A931" s="1">
        <v>926</v>
      </c>
      <c r="Y931" s="2"/>
      <c r="Z931" s="2"/>
      <c r="BK931" s="58"/>
      <c r="BL931" s="58"/>
      <c r="BM931" s="58"/>
      <c r="BU931" s="58"/>
      <c r="BV931" s="58"/>
      <c r="BW931" s="58"/>
      <c r="BX931" s="58"/>
      <c r="BY931" s="58"/>
      <c r="BZ931" s="58"/>
      <c r="CA931" s="58"/>
      <c r="CB931" s="58"/>
      <c r="CC931" s="58"/>
      <c r="CD931" s="58"/>
      <c r="CE931" s="58"/>
      <c r="CF931" s="58"/>
      <c r="CG931" s="58"/>
      <c r="CH931" s="58"/>
      <c r="CI931" s="58"/>
      <c r="CJ931" s="58"/>
      <c r="CK931" s="58"/>
      <c r="CL931" s="58"/>
    </row>
    <row r="932" spans="1:90" hidden="1" x14ac:dyDescent="0.3">
      <c r="A932" s="1">
        <v>927</v>
      </c>
      <c r="Y932" s="2"/>
      <c r="Z932" s="2"/>
      <c r="BK932" s="58"/>
      <c r="BL932" s="58"/>
      <c r="BM932" s="58"/>
      <c r="BU932" s="58"/>
      <c r="BV932" s="58"/>
      <c r="BW932" s="58"/>
      <c r="BX932" s="58"/>
      <c r="BY932" s="58"/>
      <c r="BZ932" s="58"/>
      <c r="CA932" s="58"/>
      <c r="CB932" s="58"/>
      <c r="CC932" s="58"/>
      <c r="CD932" s="58"/>
      <c r="CE932" s="58"/>
      <c r="CF932" s="58"/>
      <c r="CG932" s="58"/>
      <c r="CH932" s="58"/>
      <c r="CI932" s="58"/>
      <c r="CJ932" s="58"/>
      <c r="CK932" s="58"/>
      <c r="CL932" s="58"/>
    </row>
    <row r="933" spans="1:90" hidden="1" x14ac:dyDescent="0.3">
      <c r="A933" s="1">
        <v>928</v>
      </c>
      <c r="Y933" s="2"/>
      <c r="Z933" s="2"/>
      <c r="BK933" s="58"/>
      <c r="BL933" s="58"/>
      <c r="BM933" s="58"/>
      <c r="BU933" s="58"/>
      <c r="BV933" s="58"/>
      <c r="BW933" s="58"/>
      <c r="BX933" s="58"/>
      <c r="BY933" s="58"/>
      <c r="BZ933" s="58"/>
      <c r="CA933" s="58"/>
      <c r="CB933" s="58"/>
      <c r="CC933" s="58"/>
      <c r="CD933" s="58"/>
      <c r="CE933" s="58"/>
      <c r="CF933" s="58"/>
      <c r="CG933" s="58"/>
      <c r="CH933" s="58"/>
      <c r="CI933" s="58"/>
      <c r="CJ933" s="58"/>
      <c r="CK933" s="58"/>
      <c r="CL933" s="58"/>
    </row>
    <row r="934" spans="1:90" hidden="1" x14ac:dyDescent="0.3">
      <c r="A934" s="1">
        <v>929</v>
      </c>
      <c r="Y934" s="2"/>
      <c r="Z934" s="2"/>
      <c r="BK934" s="58"/>
      <c r="BL934" s="58"/>
      <c r="BM934" s="58"/>
      <c r="BU934" s="58"/>
      <c r="BV934" s="58"/>
      <c r="BW934" s="58"/>
      <c r="BX934" s="58"/>
      <c r="BY934" s="58"/>
      <c r="BZ934" s="58"/>
      <c r="CA934" s="58"/>
      <c r="CB934" s="58"/>
      <c r="CC934" s="58"/>
      <c r="CD934" s="58"/>
      <c r="CE934" s="58"/>
      <c r="CF934" s="58"/>
      <c r="CG934" s="58"/>
      <c r="CH934" s="58"/>
      <c r="CI934" s="58"/>
      <c r="CJ934" s="58"/>
      <c r="CK934" s="58"/>
      <c r="CL934" s="58"/>
    </row>
    <row r="935" spans="1:90" hidden="1" x14ac:dyDescent="0.3">
      <c r="A935" s="1">
        <v>930</v>
      </c>
      <c r="Y935" s="2"/>
      <c r="Z935" s="2"/>
      <c r="BK935" s="58"/>
      <c r="BL935" s="58"/>
      <c r="BM935" s="58"/>
      <c r="BU935" s="58"/>
      <c r="BV935" s="58"/>
      <c r="BW935" s="58"/>
      <c r="BX935" s="58"/>
      <c r="BY935" s="58"/>
      <c r="BZ935" s="58"/>
      <c r="CA935" s="58"/>
      <c r="CB935" s="58"/>
      <c r="CC935" s="58"/>
      <c r="CD935" s="58"/>
      <c r="CE935" s="58"/>
      <c r="CF935" s="58"/>
      <c r="CG935" s="58"/>
      <c r="CH935" s="58"/>
      <c r="CI935" s="58"/>
      <c r="CJ935" s="58"/>
      <c r="CK935" s="58"/>
      <c r="CL935" s="58"/>
    </row>
    <row r="936" spans="1:90" hidden="1" x14ac:dyDescent="0.3">
      <c r="A936" s="1">
        <v>931</v>
      </c>
      <c r="Y936" s="2"/>
      <c r="Z936" s="2"/>
      <c r="BK936" s="58"/>
      <c r="BL936" s="58"/>
      <c r="BM936" s="58"/>
      <c r="BU936" s="58"/>
      <c r="BV936" s="58"/>
      <c r="BW936" s="58"/>
      <c r="BX936" s="58"/>
      <c r="BY936" s="58"/>
      <c r="BZ936" s="58"/>
      <c r="CA936" s="58"/>
      <c r="CB936" s="58"/>
      <c r="CC936" s="58"/>
      <c r="CD936" s="58"/>
      <c r="CE936" s="58"/>
      <c r="CF936" s="58"/>
      <c r="CG936" s="58"/>
      <c r="CH936" s="58"/>
      <c r="CI936" s="58"/>
      <c r="CJ936" s="58"/>
      <c r="CK936" s="58"/>
      <c r="CL936" s="58"/>
    </row>
    <row r="937" spans="1:90" hidden="1" x14ac:dyDescent="0.3">
      <c r="A937" s="1">
        <v>932</v>
      </c>
      <c r="Y937" s="2"/>
      <c r="Z937" s="2"/>
      <c r="BK937" s="58"/>
      <c r="BL937" s="58"/>
      <c r="BM937" s="58"/>
      <c r="BU937" s="58"/>
      <c r="BV937" s="58"/>
      <c r="BW937" s="58"/>
      <c r="BX937" s="58"/>
      <c r="BY937" s="58"/>
      <c r="BZ937" s="58"/>
      <c r="CA937" s="58"/>
      <c r="CB937" s="58"/>
      <c r="CC937" s="58"/>
      <c r="CD937" s="58"/>
      <c r="CE937" s="58"/>
      <c r="CF937" s="58"/>
      <c r="CG937" s="58"/>
      <c r="CH937" s="58"/>
      <c r="CI937" s="58"/>
      <c r="CJ937" s="58"/>
      <c r="CK937" s="58"/>
      <c r="CL937" s="58"/>
    </row>
    <row r="938" spans="1:90" hidden="1" x14ac:dyDescent="0.3">
      <c r="A938" s="1">
        <v>933</v>
      </c>
      <c r="Y938" s="2"/>
      <c r="Z938" s="2"/>
      <c r="BK938" s="58"/>
      <c r="BL938" s="58"/>
      <c r="BM938" s="58"/>
      <c r="BU938" s="58"/>
      <c r="BV938" s="58"/>
      <c r="BW938" s="58"/>
      <c r="BX938" s="58"/>
      <c r="BY938" s="58"/>
      <c r="BZ938" s="58"/>
      <c r="CA938" s="58"/>
      <c r="CB938" s="58"/>
      <c r="CC938" s="58"/>
      <c r="CD938" s="58"/>
      <c r="CE938" s="58"/>
      <c r="CF938" s="58"/>
      <c r="CG938" s="58"/>
      <c r="CH938" s="58"/>
      <c r="CI938" s="58"/>
      <c r="CJ938" s="58"/>
      <c r="CK938" s="58"/>
      <c r="CL938" s="58"/>
    </row>
    <row r="939" spans="1:90" hidden="1" x14ac:dyDescent="0.3">
      <c r="A939" s="1">
        <v>934</v>
      </c>
      <c r="Y939" s="2"/>
      <c r="Z939" s="2"/>
      <c r="BK939" s="58"/>
      <c r="BL939" s="58"/>
      <c r="BM939" s="58"/>
      <c r="BU939" s="58"/>
      <c r="BV939" s="58"/>
      <c r="BW939" s="58"/>
      <c r="BX939" s="58"/>
      <c r="BY939" s="58"/>
      <c r="BZ939" s="58"/>
      <c r="CA939" s="58"/>
      <c r="CB939" s="58"/>
      <c r="CC939" s="58"/>
      <c r="CD939" s="58"/>
      <c r="CE939" s="58"/>
      <c r="CF939" s="58"/>
      <c r="CG939" s="58"/>
      <c r="CH939" s="58"/>
      <c r="CI939" s="58"/>
      <c r="CJ939" s="58"/>
      <c r="CK939" s="58"/>
      <c r="CL939" s="58"/>
    </row>
    <row r="940" spans="1:90" hidden="1" x14ac:dyDescent="0.3">
      <c r="A940" s="1">
        <v>935</v>
      </c>
      <c r="Y940" s="2"/>
      <c r="Z940" s="2"/>
      <c r="BK940" s="58"/>
      <c r="BL940" s="58"/>
      <c r="BM940" s="58"/>
      <c r="BU940" s="58"/>
      <c r="BV940" s="58"/>
      <c r="BW940" s="58"/>
      <c r="BX940" s="58"/>
      <c r="BY940" s="58"/>
      <c r="BZ940" s="58"/>
      <c r="CA940" s="58"/>
      <c r="CB940" s="58"/>
      <c r="CC940" s="58"/>
      <c r="CD940" s="58"/>
      <c r="CE940" s="58"/>
      <c r="CF940" s="58"/>
      <c r="CG940" s="58"/>
      <c r="CH940" s="58"/>
      <c r="CI940" s="58"/>
      <c r="CJ940" s="58"/>
      <c r="CK940" s="58"/>
      <c r="CL940" s="58"/>
    </row>
    <row r="941" spans="1:90" hidden="1" x14ac:dyDescent="0.3">
      <c r="A941" s="1">
        <v>936</v>
      </c>
      <c r="Y941" s="2"/>
      <c r="Z941" s="2"/>
      <c r="BK941" s="58"/>
      <c r="BL941" s="58"/>
      <c r="BM941" s="58"/>
      <c r="BU941" s="58"/>
      <c r="BV941" s="58"/>
      <c r="BW941" s="58"/>
      <c r="BX941" s="58"/>
      <c r="BY941" s="58"/>
      <c r="BZ941" s="58"/>
      <c r="CA941" s="58"/>
      <c r="CB941" s="58"/>
      <c r="CC941" s="58"/>
      <c r="CD941" s="58"/>
      <c r="CE941" s="58"/>
      <c r="CF941" s="58"/>
      <c r="CG941" s="58"/>
      <c r="CH941" s="58"/>
      <c r="CI941" s="58"/>
      <c r="CJ941" s="58"/>
      <c r="CK941" s="58"/>
      <c r="CL941" s="58"/>
    </row>
    <row r="942" spans="1:90" hidden="1" x14ac:dyDescent="0.3">
      <c r="A942" s="1">
        <v>937</v>
      </c>
      <c r="Y942" s="2"/>
      <c r="Z942" s="2"/>
      <c r="BK942" s="58"/>
      <c r="BL942" s="58"/>
      <c r="BM942" s="58"/>
      <c r="BU942" s="58"/>
      <c r="BV942" s="58"/>
      <c r="BW942" s="58"/>
      <c r="BX942" s="58"/>
      <c r="BY942" s="58"/>
      <c r="BZ942" s="58"/>
      <c r="CA942" s="58"/>
      <c r="CB942" s="58"/>
      <c r="CC942" s="58"/>
      <c r="CD942" s="58"/>
      <c r="CE942" s="58"/>
      <c r="CF942" s="58"/>
      <c r="CG942" s="58"/>
      <c r="CH942" s="58"/>
      <c r="CI942" s="58"/>
      <c r="CJ942" s="58"/>
      <c r="CK942" s="58"/>
      <c r="CL942" s="58"/>
    </row>
    <row r="943" spans="1:90" hidden="1" x14ac:dyDescent="0.3">
      <c r="A943" s="1">
        <v>938</v>
      </c>
      <c r="Y943" s="2"/>
      <c r="Z943" s="2"/>
      <c r="BK943" s="58"/>
      <c r="BL943" s="58"/>
      <c r="BM943" s="58"/>
      <c r="BU943" s="58"/>
      <c r="BV943" s="58"/>
      <c r="BW943" s="58"/>
      <c r="BX943" s="58"/>
      <c r="BY943" s="58"/>
      <c r="BZ943" s="58"/>
      <c r="CA943" s="58"/>
      <c r="CB943" s="58"/>
      <c r="CC943" s="58"/>
      <c r="CD943" s="58"/>
      <c r="CE943" s="58"/>
      <c r="CF943" s="58"/>
      <c r="CG943" s="58"/>
      <c r="CH943" s="58"/>
      <c r="CI943" s="58"/>
      <c r="CJ943" s="58"/>
      <c r="CK943" s="58"/>
      <c r="CL943" s="58"/>
    </row>
    <row r="944" spans="1:90" hidden="1" x14ac:dyDescent="0.3">
      <c r="A944" s="1">
        <v>939</v>
      </c>
      <c r="Y944" s="2"/>
      <c r="Z944" s="2"/>
      <c r="BK944" s="58"/>
      <c r="BL944" s="58"/>
      <c r="BM944" s="58"/>
      <c r="BU944" s="58"/>
      <c r="BV944" s="58"/>
      <c r="BW944" s="58"/>
      <c r="BX944" s="58"/>
      <c r="BY944" s="58"/>
      <c r="BZ944" s="58"/>
      <c r="CA944" s="58"/>
      <c r="CB944" s="58"/>
      <c r="CC944" s="58"/>
      <c r="CD944" s="58"/>
      <c r="CE944" s="58"/>
      <c r="CF944" s="58"/>
      <c r="CG944" s="58"/>
      <c r="CH944" s="58"/>
      <c r="CI944" s="58"/>
      <c r="CJ944" s="58"/>
      <c r="CK944" s="58"/>
      <c r="CL944" s="58"/>
    </row>
    <row r="945" spans="1:90" hidden="1" x14ac:dyDescent="0.3">
      <c r="A945" s="1">
        <v>940</v>
      </c>
      <c r="Y945" s="2"/>
      <c r="Z945" s="2"/>
      <c r="BK945" s="58"/>
      <c r="BL945" s="58"/>
      <c r="BM945" s="58"/>
      <c r="BU945" s="58"/>
      <c r="BV945" s="58"/>
      <c r="BW945" s="58"/>
      <c r="BX945" s="58"/>
      <c r="BY945" s="58"/>
      <c r="BZ945" s="58"/>
      <c r="CA945" s="58"/>
      <c r="CB945" s="58"/>
      <c r="CC945" s="58"/>
      <c r="CD945" s="58"/>
      <c r="CE945" s="58"/>
      <c r="CF945" s="58"/>
      <c r="CG945" s="58"/>
      <c r="CH945" s="58"/>
      <c r="CI945" s="58"/>
      <c r="CJ945" s="58"/>
      <c r="CK945" s="58"/>
      <c r="CL945" s="58"/>
    </row>
    <row r="946" spans="1:90" hidden="1" x14ac:dyDescent="0.3">
      <c r="A946" s="1">
        <v>941</v>
      </c>
      <c r="Y946" s="2"/>
      <c r="Z946" s="2"/>
      <c r="BK946" s="58"/>
      <c r="BL946" s="58"/>
      <c r="BM946" s="58"/>
      <c r="BU946" s="58"/>
      <c r="BV946" s="58"/>
      <c r="BW946" s="58"/>
      <c r="BX946" s="58"/>
      <c r="BY946" s="58"/>
      <c r="BZ946" s="58"/>
      <c r="CA946" s="58"/>
      <c r="CB946" s="58"/>
      <c r="CC946" s="58"/>
      <c r="CD946" s="58"/>
      <c r="CE946" s="58"/>
      <c r="CF946" s="58"/>
      <c r="CG946" s="58"/>
      <c r="CH946" s="58"/>
      <c r="CI946" s="58"/>
      <c r="CJ946" s="58"/>
      <c r="CK946" s="58"/>
      <c r="CL946" s="58"/>
    </row>
    <row r="947" spans="1:90" hidden="1" x14ac:dyDescent="0.3">
      <c r="A947" s="1">
        <v>942</v>
      </c>
      <c r="Y947" s="2"/>
      <c r="Z947" s="2"/>
      <c r="BK947" s="58"/>
      <c r="BL947" s="58"/>
      <c r="BM947" s="58"/>
      <c r="BU947" s="58"/>
      <c r="BV947" s="58"/>
      <c r="BW947" s="58"/>
      <c r="BX947" s="58"/>
      <c r="BY947" s="58"/>
      <c r="BZ947" s="58"/>
      <c r="CA947" s="58"/>
      <c r="CB947" s="58"/>
      <c r="CC947" s="58"/>
      <c r="CD947" s="58"/>
      <c r="CE947" s="58"/>
      <c r="CF947" s="58"/>
      <c r="CG947" s="58"/>
      <c r="CH947" s="58"/>
      <c r="CI947" s="58"/>
      <c r="CJ947" s="58"/>
      <c r="CK947" s="58"/>
      <c r="CL947" s="58"/>
    </row>
    <row r="948" spans="1:90" hidden="1" x14ac:dyDescent="0.3">
      <c r="A948" s="1">
        <v>943</v>
      </c>
      <c r="Y948" s="2"/>
      <c r="Z948" s="2"/>
      <c r="BK948" s="58"/>
      <c r="BL948" s="58"/>
      <c r="BM948" s="58"/>
      <c r="BU948" s="58"/>
      <c r="BV948" s="58"/>
      <c r="BW948" s="58"/>
      <c r="BX948" s="58"/>
      <c r="BY948" s="58"/>
      <c r="BZ948" s="58"/>
      <c r="CA948" s="58"/>
      <c r="CB948" s="58"/>
      <c r="CC948" s="58"/>
      <c r="CD948" s="58"/>
      <c r="CE948" s="58"/>
      <c r="CF948" s="58"/>
      <c r="CG948" s="58"/>
      <c r="CH948" s="58"/>
      <c r="CI948" s="58"/>
      <c r="CJ948" s="58"/>
      <c r="CK948" s="58"/>
      <c r="CL948" s="58"/>
    </row>
    <row r="949" spans="1:90" hidden="1" x14ac:dyDescent="0.3">
      <c r="A949" s="1">
        <v>944</v>
      </c>
      <c r="Y949" s="2"/>
      <c r="Z949" s="2"/>
      <c r="BK949" s="58"/>
      <c r="BL949" s="58"/>
      <c r="BM949" s="58"/>
      <c r="BU949" s="58"/>
      <c r="BV949" s="58"/>
      <c r="BW949" s="58"/>
      <c r="BX949" s="58"/>
      <c r="BY949" s="58"/>
      <c r="BZ949" s="58"/>
      <c r="CA949" s="58"/>
      <c r="CB949" s="58"/>
      <c r="CC949" s="58"/>
      <c r="CD949" s="58"/>
      <c r="CE949" s="58"/>
      <c r="CF949" s="58"/>
      <c r="CG949" s="58"/>
      <c r="CH949" s="58"/>
      <c r="CI949" s="58"/>
      <c r="CJ949" s="58"/>
      <c r="CK949" s="58"/>
      <c r="CL949" s="58"/>
    </row>
    <row r="950" spans="1:90" hidden="1" x14ac:dyDescent="0.3">
      <c r="A950" s="1">
        <v>945</v>
      </c>
      <c r="Y950" s="2"/>
      <c r="Z950" s="2"/>
      <c r="BK950" s="58"/>
      <c r="BL950" s="58"/>
      <c r="BM950" s="58"/>
      <c r="BU950" s="58"/>
      <c r="BV950" s="58"/>
      <c r="BW950" s="58"/>
      <c r="BX950" s="58"/>
      <c r="BY950" s="58"/>
      <c r="BZ950" s="58"/>
      <c r="CA950" s="58"/>
      <c r="CB950" s="58"/>
      <c r="CC950" s="58"/>
      <c r="CD950" s="58"/>
      <c r="CE950" s="58"/>
      <c r="CF950" s="58"/>
      <c r="CG950" s="58"/>
      <c r="CH950" s="58"/>
      <c r="CI950" s="58"/>
      <c r="CJ950" s="58"/>
      <c r="CK950" s="58"/>
      <c r="CL950" s="58"/>
    </row>
    <row r="951" spans="1:90" hidden="1" x14ac:dyDescent="0.3">
      <c r="A951" s="1">
        <v>946</v>
      </c>
      <c r="Y951" s="2"/>
      <c r="Z951" s="2"/>
      <c r="BK951" s="58"/>
      <c r="BL951" s="58"/>
      <c r="BM951" s="58"/>
      <c r="BU951" s="58"/>
      <c r="BV951" s="58"/>
      <c r="BW951" s="58"/>
      <c r="BX951" s="58"/>
      <c r="BY951" s="58"/>
      <c r="BZ951" s="58"/>
      <c r="CA951" s="58"/>
      <c r="CB951" s="58"/>
      <c r="CC951" s="58"/>
      <c r="CD951" s="58"/>
      <c r="CE951" s="58"/>
      <c r="CF951" s="58"/>
      <c r="CG951" s="58"/>
      <c r="CH951" s="58"/>
      <c r="CI951" s="58"/>
      <c r="CJ951" s="58"/>
      <c r="CK951" s="58"/>
      <c r="CL951" s="58"/>
    </row>
    <row r="952" spans="1:90" hidden="1" x14ac:dyDescent="0.3">
      <c r="A952" s="1">
        <v>947</v>
      </c>
      <c r="Y952" s="2"/>
      <c r="Z952" s="2"/>
      <c r="BK952" s="58"/>
      <c r="BL952" s="58"/>
      <c r="BM952" s="58"/>
      <c r="BU952" s="58"/>
      <c r="BV952" s="58"/>
      <c r="BW952" s="58"/>
      <c r="BX952" s="58"/>
      <c r="BY952" s="58"/>
      <c r="BZ952" s="58"/>
      <c r="CA952" s="58"/>
      <c r="CB952" s="58"/>
      <c r="CC952" s="58"/>
      <c r="CD952" s="58"/>
      <c r="CE952" s="58"/>
      <c r="CF952" s="58"/>
      <c r="CG952" s="58"/>
      <c r="CH952" s="58"/>
      <c r="CI952" s="58"/>
      <c r="CJ952" s="58"/>
      <c r="CK952" s="58"/>
      <c r="CL952" s="58"/>
    </row>
    <row r="953" spans="1:90" hidden="1" x14ac:dyDescent="0.3">
      <c r="A953" s="1">
        <v>948</v>
      </c>
      <c r="Y953" s="2"/>
      <c r="Z953" s="2"/>
      <c r="BK953" s="58"/>
      <c r="BL953" s="58"/>
      <c r="BM953" s="58"/>
      <c r="BU953" s="58"/>
      <c r="BV953" s="58"/>
      <c r="BW953" s="58"/>
      <c r="BX953" s="58"/>
      <c r="BY953" s="58"/>
      <c r="BZ953" s="58"/>
      <c r="CA953" s="58"/>
      <c r="CB953" s="58"/>
      <c r="CC953" s="58"/>
      <c r="CD953" s="58"/>
      <c r="CE953" s="58"/>
      <c r="CF953" s="58"/>
      <c r="CG953" s="58"/>
      <c r="CH953" s="58"/>
      <c r="CI953" s="58"/>
      <c r="CJ953" s="58"/>
      <c r="CK953" s="58"/>
      <c r="CL953" s="58"/>
    </row>
    <row r="954" spans="1:90" hidden="1" x14ac:dyDescent="0.3">
      <c r="A954" s="1">
        <v>949</v>
      </c>
      <c r="Y954" s="2"/>
      <c r="Z954" s="2"/>
      <c r="BK954" s="58"/>
      <c r="BL954" s="58"/>
      <c r="BM954" s="58"/>
      <c r="BU954" s="58"/>
      <c r="BV954" s="58"/>
      <c r="BW954" s="58"/>
      <c r="BX954" s="58"/>
      <c r="BY954" s="58"/>
      <c r="BZ954" s="58"/>
      <c r="CA954" s="58"/>
      <c r="CB954" s="58"/>
      <c r="CC954" s="58"/>
      <c r="CD954" s="58"/>
      <c r="CE954" s="58"/>
      <c r="CF954" s="58"/>
      <c r="CG954" s="58"/>
      <c r="CH954" s="58"/>
      <c r="CI954" s="58"/>
      <c r="CJ954" s="58"/>
      <c r="CK954" s="58"/>
      <c r="CL954" s="58"/>
    </row>
    <row r="955" spans="1:90" hidden="1" x14ac:dyDescent="0.3">
      <c r="A955" s="1">
        <v>950</v>
      </c>
      <c r="Y955" s="2"/>
      <c r="Z955" s="2"/>
      <c r="BK955" s="58"/>
      <c r="BL955" s="58"/>
      <c r="BM955" s="58"/>
      <c r="BU955" s="58"/>
      <c r="BV955" s="58"/>
      <c r="BW955" s="58"/>
      <c r="BX955" s="58"/>
      <c r="BY955" s="58"/>
      <c r="BZ955" s="58"/>
      <c r="CA955" s="58"/>
      <c r="CB955" s="58"/>
      <c r="CC955" s="58"/>
      <c r="CD955" s="58"/>
      <c r="CE955" s="58"/>
      <c r="CF955" s="58"/>
      <c r="CG955" s="58"/>
      <c r="CH955" s="58"/>
      <c r="CI955" s="58"/>
      <c r="CJ955" s="58"/>
      <c r="CK955" s="58"/>
      <c r="CL955" s="58"/>
    </row>
    <row r="956" spans="1:90" hidden="1" x14ac:dyDescent="0.3">
      <c r="A956" s="1">
        <v>951</v>
      </c>
      <c r="Y956" s="2"/>
      <c r="Z956" s="2"/>
      <c r="BK956" s="58"/>
      <c r="BL956" s="58"/>
      <c r="BM956" s="58"/>
      <c r="BU956" s="58"/>
      <c r="BV956" s="58"/>
      <c r="BW956" s="58"/>
      <c r="BX956" s="58"/>
      <c r="BY956" s="58"/>
      <c r="BZ956" s="58"/>
      <c r="CA956" s="58"/>
      <c r="CB956" s="58"/>
      <c r="CC956" s="58"/>
      <c r="CD956" s="58"/>
      <c r="CE956" s="58"/>
      <c r="CF956" s="58"/>
      <c r="CG956" s="58"/>
      <c r="CH956" s="58"/>
      <c r="CI956" s="58"/>
      <c r="CJ956" s="58"/>
      <c r="CK956" s="58"/>
      <c r="CL956" s="58"/>
    </row>
    <row r="957" spans="1:90" hidden="1" x14ac:dyDescent="0.3">
      <c r="A957" s="1">
        <v>952</v>
      </c>
      <c r="Y957" s="2"/>
      <c r="Z957" s="2"/>
      <c r="BK957" s="58"/>
      <c r="BL957" s="58"/>
      <c r="BM957" s="58"/>
      <c r="BU957" s="58"/>
      <c r="BV957" s="58"/>
      <c r="BW957" s="58"/>
      <c r="BX957" s="58"/>
      <c r="BY957" s="58"/>
      <c r="BZ957" s="58"/>
      <c r="CA957" s="58"/>
      <c r="CB957" s="58"/>
      <c r="CC957" s="58"/>
      <c r="CD957" s="58"/>
      <c r="CE957" s="58"/>
      <c r="CF957" s="58"/>
      <c r="CG957" s="58"/>
      <c r="CH957" s="58"/>
      <c r="CI957" s="58"/>
      <c r="CJ957" s="58"/>
      <c r="CK957" s="58"/>
      <c r="CL957" s="58"/>
    </row>
    <row r="958" spans="1:90" hidden="1" x14ac:dyDescent="0.3">
      <c r="A958" s="1">
        <v>953</v>
      </c>
      <c r="Y958" s="2"/>
      <c r="Z958" s="2"/>
      <c r="BK958" s="58"/>
      <c r="BL958" s="58"/>
      <c r="BM958" s="58"/>
      <c r="BU958" s="58"/>
      <c r="BV958" s="58"/>
      <c r="BW958" s="58"/>
      <c r="BX958" s="58"/>
      <c r="BY958" s="58"/>
      <c r="BZ958" s="58"/>
      <c r="CA958" s="58"/>
      <c r="CB958" s="58"/>
      <c r="CC958" s="58"/>
      <c r="CD958" s="58"/>
      <c r="CE958" s="58"/>
      <c r="CF958" s="58"/>
      <c r="CG958" s="58"/>
      <c r="CH958" s="58"/>
      <c r="CI958" s="58"/>
      <c r="CJ958" s="58"/>
      <c r="CK958" s="58"/>
      <c r="CL958" s="58"/>
    </row>
    <row r="959" spans="1:90" hidden="1" x14ac:dyDescent="0.3">
      <c r="A959" s="1">
        <v>954</v>
      </c>
      <c r="Y959" s="2"/>
      <c r="Z959" s="2"/>
      <c r="BK959" s="58"/>
      <c r="BL959" s="58"/>
      <c r="BM959" s="58"/>
      <c r="BU959" s="58"/>
      <c r="BV959" s="58"/>
      <c r="BW959" s="58"/>
      <c r="BX959" s="58"/>
      <c r="BY959" s="58"/>
      <c r="BZ959" s="58"/>
      <c r="CA959" s="58"/>
      <c r="CB959" s="58"/>
      <c r="CC959" s="58"/>
      <c r="CD959" s="58"/>
      <c r="CE959" s="58"/>
      <c r="CF959" s="58"/>
      <c r="CG959" s="58"/>
      <c r="CH959" s="58"/>
      <c r="CI959" s="58"/>
      <c r="CJ959" s="58"/>
      <c r="CK959" s="58"/>
      <c r="CL959" s="58"/>
    </row>
    <row r="960" spans="1:90" hidden="1" x14ac:dyDescent="0.3">
      <c r="A960" s="1">
        <v>955</v>
      </c>
      <c r="Y960" s="2"/>
      <c r="Z960" s="2"/>
      <c r="BK960" s="58"/>
      <c r="BL960" s="58"/>
      <c r="BM960" s="58"/>
      <c r="BU960" s="58"/>
      <c r="BV960" s="58"/>
      <c r="BW960" s="58"/>
      <c r="BX960" s="58"/>
      <c r="BY960" s="58"/>
      <c r="BZ960" s="58"/>
      <c r="CA960" s="58"/>
      <c r="CB960" s="58"/>
      <c r="CC960" s="58"/>
      <c r="CD960" s="58"/>
      <c r="CE960" s="58"/>
      <c r="CF960" s="58"/>
      <c r="CG960" s="58"/>
      <c r="CH960" s="58"/>
      <c r="CI960" s="58"/>
      <c r="CJ960" s="58"/>
      <c r="CK960" s="58"/>
      <c r="CL960" s="58"/>
    </row>
    <row r="961" spans="1:90" hidden="1" x14ac:dyDescent="0.3">
      <c r="A961" s="1">
        <v>956</v>
      </c>
      <c r="Y961" s="2"/>
      <c r="Z961" s="2"/>
      <c r="BK961" s="58"/>
      <c r="BL961" s="58"/>
      <c r="BM961" s="58"/>
      <c r="BU961" s="58"/>
      <c r="BV961" s="58"/>
      <c r="BW961" s="58"/>
      <c r="BX961" s="58"/>
      <c r="BY961" s="58"/>
      <c r="BZ961" s="58"/>
      <c r="CA961" s="58"/>
      <c r="CB961" s="58"/>
      <c r="CC961" s="58"/>
      <c r="CD961" s="58"/>
      <c r="CE961" s="58"/>
      <c r="CF961" s="58"/>
      <c r="CG961" s="58"/>
      <c r="CH961" s="58"/>
      <c r="CI961" s="58"/>
      <c r="CJ961" s="58"/>
      <c r="CK961" s="58"/>
      <c r="CL961" s="58"/>
    </row>
    <row r="962" spans="1:90" hidden="1" x14ac:dyDescent="0.3">
      <c r="A962" s="1">
        <v>957</v>
      </c>
      <c r="Y962" s="2"/>
      <c r="Z962" s="2"/>
      <c r="BK962" s="58"/>
      <c r="BL962" s="58"/>
      <c r="BM962" s="58"/>
      <c r="BU962" s="58"/>
      <c r="BV962" s="58"/>
      <c r="BW962" s="58"/>
      <c r="BX962" s="58"/>
      <c r="BY962" s="58"/>
      <c r="BZ962" s="58"/>
      <c r="CA962" s="58"/>
      <c r="CB962" s="58"/>
      <c r="CC962" s="58"/>
      <c r="CD962" s="58"/>
      <c r="CE962" s="58"/>
      <c r="CF962" s="58"/>
      <c r="CG962" s="58"/>
      <c r="CH962" s="58"/>
      <c r="CI962" s="58"/>
      <c r="CJ962" s="58"/>
      <c r="CK962" s="58"/>
      <c r="CL962" s="58"/>
    </row>
    <row r="963" spans="1:90" hidden="1" x14ac:dyDescent="0.3">
      <c r="A963" s="1">
        <v>958</v>
      </c>
      <c r="Y963" s="2"/>
      <c r="Z963" s="2"/>
      <c r="BK963" s="58"/>
      <c r="BL963" s="58"/>
      <c r="BM963" s="58"/>
      <c r="BU963" s="58"/>
      <c r="BV963" s="58"/>
      <c r="BW963" s="58"/>
      <c r="BX963" s="58"/>
      <c r="BY963" s="58"/>
      <c r="BZ963" s="58"/>
      <c r="CA963" s="58"/>
      <c r="CB963" s="58"/>
      <c r="CC963" s="58"/>
      <c r="CD963" s="58"/>
      <c r="CE963" s="58"/>
      <c r="CF963" s="58"/>
      <c r="CG963" s="58"/>
      <c r="CH963" s="58"/>
      <c r="CI963" s="58"/>
      <c r="CJ963" s="58"/>
      <c r="CK963" s="58"/>
      <c r="CL963" s="58"/>
    </row>
    <row r="964" spans="1:90" hidden="1" x14ac:dyDescent="0.3">
      <c r="A964" s="1">
        <v>959</v>
      </c>
      <c r="Y964" s="2"/>
      <c r="Z964" s="2"/>
      <c r="BK964" s="58"/>
      <c r="BL964" s="58"/>
      <c r="BM964" s="58"/>
      <c r="BU964" s="58"/>
      <c r="BV964" s="58"/>
      <c r="BW964" s="58"/>
      <c r="BX964" s="58"/>
      <c r="BY964" s="58"/>
      <c r="BZ964" s="58"/>
      <c r="CA964" s="58"/>
      <c r="CB964" s="58"/>
      <c r="CC964" s="58"/>
      <c r="CD964" s="58"/>
      <c r="CE964" s="58"/>
      <c r="CF964" s="58"/>
      <c r="CG964" s="58"/>
      <c r="CH964" s="58"/>
      <c r="CI964" s="58"/>
      <c r="CJ964" s="58"/>
      <c r="CK964" s="58"/>
      <c r="CL964" s="58"/>
    </row>
    <row r="965" spans="1:90" hidden="1" x14ac:dyDescent="0.3">
      <c r="A965" s="1">
        <v>960</v>
      </c>
      <c r="Y965" s="2"/>
      <c r="Z965" s="2"/>
      <c r="BK965" s="58"/>
      <c r="BL965" s="58"/>
      <c r="BM965" s="58"/>
      <c r="BU965" s="58"/>
      <c r="BV965" s="58"/>
      <c r="BW965" s="58"/>
      <c r="BX965" s="58"/>
      <c r="BY965" s="58"/>
      <c r="BZ965" s="58"/>
      <c r="CA965" s="58"/>
      <c r="CB965" s="58"/>
      <c r="CC965" s="58"/>
      <c r="CD965" s="58"/>
      <c r="CE965" s="58"/>
      <c r="CF965" s="58"/>
      <c r="CG965" s="58"/>
      <c r="CH965" s="58"/>
      <c r="CI965" s="58"/>
      <c r="CJ965" s="58"/>
      <c r="CK965" s="58"/>
      <c r="CL965" s="58"/>
    </row>
    <row r="966" spans="1:90" hidden="1" x14ac:dyDescent="0.3">
      <c r="A966" s="1">
        <v>961</v>
      </c>
      <c r="Y966" s="2"/>
      <c r="Z966" s="2"/>
      <c r="BK966" s="58"/>
      <c r="BL966" s="58"/>
      <c r="BM966" s="58"/>
      <c r="BU966" s="58"/>
      <c r="BV966" s="58"/>
      <c r="BW966" s="58"/>
      <c r="BX966" s="58"/>
      <c r="BY966" s="58"/>
      <c r="BZ966" s="58"/>
      <c r="CA966" s="58"/>
      <c r="CB966" s="58"/>
      <c r="CC966" s="58"/>
      <c r="CD966" s="58"/>
      <c r="CE966" s="58"/>
      <c r="CF966" s="58"/>
      <c r="CG966" s="58"/>
      <c r="CH966" s="58"/>
      <c r="CI966" s="58"/>
      <c r="CJ966" s="58"/>
      <c r="CK966" s="58"/>
      <c r="CL966" s="58"/>
    </row>
    <row r="967" spans="1:90" hidden="1" x14ac:dyDescent="0.3">
      <c r="A967" s="1">
        <v>962</v>
      </c>
      <c r="Y967" s="2"/>
      <c r="Z967" s="2"/>
      <c r="BK967" s="58"/>
      <c r="BL967" s="58"/>
      <c r="BM967" s="58"/>
      <c r="BU967" s="58"/>
      <c r="BV967" s="58"/>
      <c r="BW967" s="58"/>
      <c r="BX967" s="58"/>
      <c r="BY967" s="58"/>
      <c r="BZ967" s="58"/>
      <c r="CA967" s="58"/>
      <c r="CB967" s="58"/>
      <c r="CC967" s="58"/>
      <c r="CD967" s="58"/>
      <c r="CE967" s="58"/>
      <c r="CF967" s="58"/>
      <c r="CG967" s="58"/>
      <c r="CH967" s="58"/>
      <c r="CI967" s="58"/>
      <c r="CJ967" s="58"/>
      <c r="CK967" s="58"/>
      <c r="CL967" s="58"/>
    </row>
    <row r="968" spans="1:90" hidden="1" x14ac:dyDescent="0.3">
      <c r="A968" s="1">
        <v>963</v>
      </c>
      <c r="Y968" s="2"/>
      <c r="Z968" s="2"/>
      <c r="BK968" s="58"/>
      <c r="BL968" s="58"/>
      <c r="BM968" s="58"/>
      <c r="BU968" s="58"/>
      <c r="BV968" s="58"/>
      <c r="BW968" s="58"/>
      <c r="BX968" s="58"/>
      <c r="BY968" s="58"/>
      <c r="BZ968" s="58"/>
      <c r="CA968" s="58"/>
      <c r="CB968" s="58"/>
      <c r="CC968" s="58"/>
      <c r="CD968" s="58"/>
      <c r="CE968" s="58"/>
      <c r="CF968" s="58"/>
      <c r="CG968" s="58"/>
      <c r="CH968" s="58"/>
      <c r="CI968" s="58"/>
      <c r="CJ968" s="58"/>
      <c r="CK968" s="58"/>
      <c r="CL968" s="58"/>
    </row>
    <row r="969" spans="1:90" hidden="1" x14ac:dyDescent="0.3">
      <c r="A969" s="1">
        <v>964</v>
      </c>
      <c r="Y969" s="2"/>
      <c r="Z969" s="2"/>
      <c r="BK969" s="58"/>
      <c r="BL969" s="58"/>
      <c r="BM969" s="58"/>
      <c r="BU969" s="58"/>
      <c r="BV969" s="58"/>
      <c r="BW969" s="58"/>
      <c r="BX969" s="58"/>
      <c r="BY969" s="58"/>
      <c r="BZ969" s="58"/>
      <c r="CA969" s="58"/>
      <c r="CB969" s="58"/>
      <c r="CC969" s="58"/>
      <c r="CD969" s="58"/>
      <c r="CE969" s="58"/>
      <c r="CF969" s="58"/>
      <c r="CG969" s="58"/>
      <c r="CH969" s="58"/>
      <c r="CI969" s="58"/>
      <c r="CJ969" s="58"/>
      <c r="CK969" s="58"/>
      <c r="CL969" s="58"/>
    </row>
    <row r="970" spans="1:90" hidden="1" x14ac:dyDescent="0.3">
      <c r="A970" s="1">
        <v>965</v>
      </c>
      <c r="Y970" s="2"/>
      <c r="Z970" s="2"/>
      <c r="BK970" s="58"/>
      <c r="BL970" s="58"/>
      <c r="BM970" s="58"/>
      <c r="BU970" s="58"/>
      <c r="BV970" s="58"/>
      <c r="BW970" s="58"/>
      <c r="BX970" s="58"/>
      <c r="BY970" s="58"/>
      <c r="BZ970" s="58"/>
      <c r="CA970" s="58"/>
      <c r="CB970" s="58"/>
      <c r="CC970" s="58"/>
      <c r="CD970" s="58"/>
      <c r="CE970" s="58"/>
      <c r="CF970" s="58"/>
      <c r="CG970" s="58"/>
      <c r="CH970" s="58"/>
      <c r="CI970" s="58"/>
      <c r="CJ970" s="58"/>
      <c r="CK970" s="58"/>
      <c r="CL970" s="58"/>
    </row>
    <row r="971" spans="1:90" hidden="1" x14ac:dyDescent="0.3">
      <c r="A971" s="1">
        <v>966</v>
      </c>
      <c r="Y971" s="2"/>
      <c r="Z971" s="2"/>
      <c r="BK971" s="58"/>
      <c r="BL971" s="58"/>
      <c r="BM971" s="58"/>
      <c r="BU971" s="58"/>
      <c r="BV971" s="58"/>
      <c r="BW971" s="58"/>
      <c r="BX971" s="58"/>
      <c r="BY971" s="58"/>
      <c r="BZ971" s="58"/>
      <c r="CA971" s="58"/>
      <c r="CB971" s="58"/>
      <c r="CC971" s="58"/>
      <c r="CD971" s="58"/>
      <c r="CE971" s="58"/>
      <c r="CF971" s="58"/>
      <c r="CG971" s="58"/>
      <c r="CH971" s="58"/>
      <c r="CI971" s="58"/>
      <c r="CJ971" s="58"/>
      <c r="CK971" s="58"/>
      <c r="CL971" s="58"/>
    </row>
    <row r="972" spans="1:90" hidden="1" x14ac:dyDescent="0.3">
      <c r="A972" s="1">
        <v>967</v>
      </c>
      <c r="Y972" s="2"/>
      <c r="Z972" s="2"/>
      <c r="BK972" s="58"/>
      <c r="BL972" s="58"/>
      <c r="BM972" s="58"/>
      <c r="BU972" s="58"/>
      <c r="BV972" s="58"/>
      <c r="BW972" s="58"/>
      <c r="BX972" s="58"/>
      <c r="BY972" s="58"/>
      <c r="BZ972" s="58"/>
      <c r="CA972" s="58"/>
      <c r="CB972" s="58"/>
      <c r="CC972" s="58"/>
      <c r="CD972" s="58"/>
      <c r="CE972" s="58"/>
      <c r="CF972" s="58"/>
      <c r="CG972" s="58"/>
      <c r="CH972" s="58"/>
      <c r="CI972" s="58"/>
      <c r="CJ972" s="58"/>
      <c r="CK972" s="58"/>
      <c r="CL972" s="58"/>
    </row>
    <row r="973" spans="1:90" hidden="1" x14ac:dyDescent="0.3">
      <c r="A973" s="1">
        <v>968</v>
      </c>
      <c r="Y973" s="2"/>
      <c r="Z973" s="2"/>
      <c r="BK973" s="58"/>
      <c r="BL973" s="58"/>
      <c r="BM973" s="58"/>
      <c r="BU973" s="58"/>
      <c r="BV973" s="58"/>
      <c r="BW973" s="58"/>
      <c r="BX973" s="58"/>
      <c r="BY973" s="58"/>
      <c r="BZ973" s="58"/>
      <c r="CA973" s="58"/>
      <c r="CB973" s="58"/>
      <c r="CC973" s="58"/>
      <c r="CD973" s="58"/>
      <c r="CE973" s="58"/>
      <c r="CF973" s="58"/>
      <c r="CG973" s="58"/>
      <c r="CH973" s="58"/>
      <c r="CI973" s="58"/>
      <c r="CJ973" s="58"/>
      <c r="CK973" s="58"/>
      <c r="CL973" s="58"/>
    </row>
    <row r="974" spans="1:90" hidden="1" x14ac:dyDescent="0.3">
      <c r="A974" s="1">
        <v>969</v>
      </c>
      <c r="Y974" s="2"/>
      <c r="Z974" s="2"/>
      <c r="BK974" s="58"/>
      <c r="BL974" s="58"/>
      <c r="BM974" s="58"/>
      <c r="BU974" s="58"/>
      <c r="BV974" s="58"/>
      <c r="BW974" s="58"/>
      <c r="BX974" s="58"/>
      <c r="BY974" s="58"/>
      <c r="BZ974" s="58"/>
      <c r="CA974" s="58"/>
      <c r="CB974" s="58"/>
      <c r="CC974" s="58"/>
      <c r="CD974" s="58"/>
      <c r="CE974" s="58"/>
      <c r="CF974" s="58"/>
      <c r="CG974" s="58"/>
      <c r="CH974" s="58"/>
      <c r="CI974" s="58"/>
      <c r="CJ974" s="58"/>
      <c r="CK974" s="58"/>
      <c r="CL974" s="58"/>
    </row>
    <row r="975" spans="1:90" hidden="1" x14ac:dyDescent="0.3">
      <c r="A975" s="1">
        <v>970</v>
      </c>
      <c r="Y975" s="2"/>
      <c r="Z975" s="2"/>
      <c r="BK975" s="58"/>
      <c r="BL975" s="58"/>
      <c r="BM975" s="58"/>
      <c r="BU975" s="58"/>
      <c r="BV975" s="58"/>
      <c r="BW975" s="58"/>
      <c r="BX975" s="58"/>
      <c r="BY975" s="58"/>
      <c r="BZ975" s="58"/>
      <c r="CA975" s="58"/>
      <c r="CB975" s="58"/>
      <c r="CC975" s="58"/>
      <c r="CD975" s="58"/>
      <c r="CE975" s="58"/>
      <c r="CF975" s="58"/>
      <c r="CG975" s="58"/>
      <c r="CH975" s="58"/>
      <c r="CI975" s="58"/>
      <c r="CJ975" s="58"/>
      <c r="CK975" s="58"/>
      <c r="CL975" s="58"/>
    </row>
    <row r="976" spans="1:90" hidden="1" x14ac:dyDescent="0.3">
      <c r="A976" s="1">
        <v>971</v>
      </c>
      <c r="Y976" s="2"/>
      <c r="Z976" s="2"/>
      <c r="BK976" s="58"/>
      <c r="BL976" s="58"/>
      <c r="BM976" s="58"/>
      <c r="BU976" s="58"/>
      <c r="BV976" s="58"/>
      <c r="BW976" s="58"/>
      <c r="BX976" s="58"/>
      <c r="BY976" s="58"/>
      <c r="BZ976" s="58"/>
      <c r="CA976" s="58"/>
      <c r="CB976" s="58"/>
      <c r="CC976" s="58"/>
      <c r="CD976" s="58"/>
      <c r="CE976" s="58"/>
      <c r="CF976" s="58"/>
      <c r="CG976" s="58"/>
      <c r="CH976" s="58"/>
      <c r="CI976" s="58"/>
      <c r="CJ976" s="58"/>
      <c r="CK976" s="58"/>
      <c r="CL976" s="58"/>
    </row>
    <row r="977" spans="1:90" hidden="1" x14ac:dyDescent="0.3">
      <c r="A977" s="1">
        <v>972</v>
      </c>
      <c r="Y977" s="2"/>
      <c r="Z977" s="2"/>
      <c r="BK977" s="58"/>
      <c r="BL977" s="58"/>
      <c r="BM977" s="58"/>
      <c r="BU977" s="58"/>
      <c r="BV977" s="58"/>
      <c r="BW977" s="58"/>
      <c r="BX977" s="58"/>
      <c r="BY977" s="58"/>
      <c r="BZ977" s="58"/>
      <c r="CA977" s="58"/>
      <c r="CB977" s="58"/>
      <c r="CC977" s="58"/>
      <c r="CD977" s="58"/>
      <c r="CE977" s="58"/>
      <c r="CF977" s="58"/>
      <c r="CG977" s="58"/>
      <c r="CH977" s="58"/>
      <c r="CI977" s="58"/>
      <c r="CJ977" s="58"/>
      <c r="CK977" s="58"/>
      <c r="CL977" s="58"/>
    </row>
    <row r="978" spans="1:90" hidden="1" x14ac:dyDescent="0.3">
      <c r="A978" s="1">
        <v>973</v>
      </c>
      <c r="Y978" s="2"/>
      <c r="Z978" s="2"/>
      <c r="BK978" s="58"/>
      <c r="BL978" s="58"/>
      <c r="BM978" s="58"/>
      <c r="BU978" s="58"/>
      <c r="BV978" s="58"/>
      <c r="BW978" s="58"/>
      <c r="BX978" s="58"/>
      <c r="BY978" s="58"/>
      <c r="BZ978" s="58"/>
      <c r="CA978" s="58"/>
      <c r="CB978" s="58"/>
      <c r="CC978" s="58"/>
      <c r="CD978" s="58"/>
      <c r="CE978" s="58"/>
      <c r="CF978" s="58"/>
      <c r="CG978" s="58"/>
      <c r="CH978" s="58"/>
      <c r="CI978" s="58"/>
      <c r="CJ978" s="58"/>
      <c r="CK978" s="58"/>
      <c r="CL978" s="58"/>
    </row>
    <row r="979" spans="1:90" hidden="1" x14ac:dyDescent="0.3">
      <c r="A979" s="1">
        <v>974</v>
      </c>
      <c r="Y979" s="2"/>
      <c r="Z979" s="2"/>
      <c r="BK979" s="58"/>
      <c r="BL979" s="58"/>
      <c r="BM979" s="58"/>
      <c r="BU979" s="58"/>
      <c r="BV979" s="58"/>
      <c r="BW979" s="58"/>
      <c r="BX979" s="58"/>
      <c r="BY979" s="58"/>
      <c r="BZ979" s="58"/>
      <c r="CA979" s="58"/>
      <c r="CB979" s="58"/>
      <c r="CC979" s="58"/>
      <c r="CD979" s="58"/>
      <c r="CE979" s="58"/>
      <c r="CF979" s="58"/>
      <c r="CG979" s="58"/>
      <c r="CH979" s="58"/>
      <c r="CI979" s="58"/>
      <c r="CJ979" s="58"/>
      <c r="CK979" s="58"/>
      <c r="CL979" s="58"/>
    </row>
    <row r="980" spans="1:90" hidden="1" x14ac:dyDescent="0.3">
      <c r="A980" s="1">
        <v>975</v>
      </c>
      <c r="Y980" s="2"/>
      <c r="Z980" s="2"/>
      <c r="BK980" s="58"/>
      <c r="BL980" s="58"/>
      <c r="BM980" s="58"/>
      <c r="BU980" s="58"/>
      <c r="BV980" s="58"/>
      <c r="BW980" s="58"/>
      <c r="BX980" s="58"/>
      <c r="BY980" s="58"/>
      <c r="BZ980" s="58"/>
      <c r="CA980" s="58"/>
      <c r="CB980" s="58"/>
      <c r="CC980" s="58"/>
      <c r="CD980" s="58"/>
      <c r="CE980" s="58"/>
      <c r="CF980" s="58"/>
      <c r="CG980" s="58"/>
      <c r="CH980" s="58"/>
      <c r="CI980" s="58"/>
      <c r="CJ980" s="58"/>
      <c r="CK980" s="58"/>
      <c r="CL980" s="58"/>
    </row>
    <row r="981" spans="1:90" hidden="1" x14ac:dyDescent="0.3">
      <c r="A981" s="1">
        <v>976</v>
      </c>
      <c r="Y981" s="2"/>
      <c r="Z981" s="2"/>
      <c r="BK981" s="58"/>
      <c r="BL981" s="58"/>
      <c r="BM981" s="58"/>
      <c r="BU981" s="58"/>
      <c r="BV981" s="58"/>
      <c r="BW981" s="58"/>
      <c r="BX981" s="58"/>
      <c r="BY981" s="58"/>
      <c r="BZ981" s="58"/>
      <c r="CA981" s="58"/>
      <c r="CB981" s="58"/>
      <c r="CC981" s="58"/>
      <c r="CD981" s="58"/>
      <c r="CE981" s="58"/>
      <c r="CF981" s="58"/>
      <c r="CG981" s="58"/>
      <c r="CH981" s="58"/>
      <c r="CI981" s="58"/>
      <c r="CJ981" s="58"/>
      <c r="CK981" s="58"/>
      <c r="CL981" s="58"/>
    </row>
    <row r="982" spans="1:90" hidden="1" x14ac:dyDescent="0.3">
      <c r="A982" s="1">
        <v>977</v>
      </c>
      <c r="Y982" s="2"/>
      <c r="Z982" s="2"/>
      <c r="BK982" s="58"/>
      <c r="BL982" s="58"/>
      <c r="BM982" s="58"/>
      <c r="BU982" s="58"/>
      <c r="BV982" s="58"/>
      <c r="BW982" s="58"/>
      <c r="BX982" s="58"/>
      <c r="BY982" s="58"/>
      <c r="BZ982" s="58"/>
      <c r="CA982" s="58"/>
      <c r="CB982" s="58"/>
      <c r="CC982" s="58"/>
      <c r="CD982" s="58"/>
      <c r="CE982" s="58"/>
      <c r="CF982" s="58"/>
      <c r="CG982" s="58"/>
      <c r="CH982" s="58"/>
      <c r="CI982" s="58"/>
      <c r="CJ982" s="58"/>
      <c r="CK982" s="58"/>
      <c r="CL982" s="58"/>
    </row>
    <row r="983" spans="1:90" hidden="1" x14ac:dyDescent="0.3">
      <c r="A983" s="1">
        <v>978</v>
      </c>
      <c r="Y983" s="2"/>
      <c r="Z983" s="2"/>
      <c r="BK983" s="58"/>
      <c r="BL983" s="58"/>
      <c r="BM983" s="58"/>
      <c r="BU983" s="58"/>
      <c r="BV983" s="58"/>
      <c r="BW983" s="58"/>
      <c r="BX983" s="58"/>
      <c r="BY983" s="58"/>
      <c r="BZ983" s="58"/>
      <c r="CA983" s="58"/>
      <c r="CB983" s="58"/>
      <c r="CC983" s="58"/>
      <c r="CD983" s="58"/>
      <c r="CE983" s="58"/>
      <c r="CF983" s="58"/>
      <c r="CG983" s="58"/>
      <c r="CH983" s="58"/>
      <c r="CI983" s="58"/>
      <c r="CJ983" s="58"/>
      <c r="CK983" s="58"/>
      <c r="CL983" s="58"/>
    </row>
    <row r="984" spans="1:90" hidden="1" x14ac:dyDescent="0.3">
      <c r="A984" s="1">
        <v>979</v>
      </c>
      <c r="Y984" s="2"/>
      <c r="Z984" s="2"/>
      <c r="BK984" s="58"/>
      <c r="BL984" s="58"/>
      <c r="BM984" s="58"/>
      <c r="BU984" s="58"/>
      <c r="BV984" s="58"/>
      <c r="BW984" s="58"/>
      <c r="BX984" s="58"/>
      <c r="BY984" s="58"/>
      <c r="BZ984" s="58"/>
      <c r="CA984" s="58"/>
      <c r="CB984" s="58"/>
      <c r="CC984" s="58"/>
      <c r="CD984" s="58"/>
      <c r="CE984" s="58"/>
      <c r="CF984" s="58"/>
      <c r="CG984" s="58"/>
      <c r="CH984" s="58"/>
      <c r="CI984" s="58"/>
      <c r="CJ984" s="58"/>
      <c r="CK984" s="58"/>
      <c r="CL984" s="58"/>
    </row>
    <row r="985" spans="1:90" hidden="1" x14ac:dyDescent="0.3">
      <c r="A985" s="1">
        <v>980</v>
      </c>
      <c r="Y985" s="2"/>
      <c r="Z985" s="2"/>
      <c r="BK985" s="58"/>
      <c r="BL985" s="58"/>
      <c r="BM985" s="58"/>
      <c r="BU985" s="58"/>
      <c r="BV985" s="58"/>
      <c r="BW985" s="58"/>
      <c r="BX985" s="58"/>
      <c r="BY985" s="58"/>
      <c r="BZ985" s="58"/>
      <c r="CA985" s="58"/>
      <c r="CB985" s="58"/>
      <c r="CC985" s="58"/>
      <c r="CD985" s="58"/>
      <c r="CE985" s="58"/>
      <c r="CF985" s="58"/>
      <c r="CG985" s="58"/>
      <c r="CH985" s="58"/>
      <c r="CI985" s="58"/>
      <c r="CJ985" s="58"/>
      <c r="CK985" s="58"/>
      <c r="CL985" s="58"/>
    </row>
    <row r="986" spans="1:90" hidden="1" x14ac:dyDescent="0.3">
      <c r="A986" s="1">
        <v>981</v>
      </c>
      <c r="Y986" s="2"/>
      <c r="Z986" s="2"/>
      <c r="BK986" s="58"/>
      <c r="BL986" s="58"/>
      <c r="BM986" s="58"/>
      <c r="BU986" s="58"/>
      <c r="BV986" s="58"/>
      <c r="BW986" s="58"/>
      <c r="BX986" s="58"/>
      <c r="BY986" s="58"/>
      <c r="BZ986" s="58"/>
      <c r="CA986" s="58"/>
      <c r="CB986" s="58"/>
      <c r="CC986" s="58"/>
      <c r="CD986" s="58"/>
      <c r="CE986" s="58"/>
      <c r="CF986" s="58"/>
      <c r="CG986" s="58"/>
      <c r="CH986" s="58"/>
      <c r="CI986" s="58"/>
      <c r="CJ986" s="58"/>
      <c r="CK986" s="58"/>
      <c r="CL986" s="58"/>
    </row>
    <row r="987" spans="1:90" hidden="1" x14ac:dyDescent="0.3">
      <c r="A987" s="1">
        <v>982</v>
      </c>
      <c r="Y987" s="2"/>
      <c r="Z987" s="2"/>
      <c r="BK987" s="58"/>
      <c r="BL987" s="58"/>
      <c r="BM987" s="58"/>
      <c r="BU987" s="58"/>
      <c r="BV987" s="58"/>
      <c r="BW987" s="58"/>
      <c r="BX987" s="58"/>
      <c r="BY987" s="58"/>
      <c r="BZ987" s="58"/>
      <c r="CA987" s="58"/>
      <c r="CB987" s="58"/>
      <c r="CC987" s="58"/>
      <c r="CD987" s="58"/>
      <c r="CE987" s="58"/>
      <c r="CF987" s="58"/>
      <c r="CG987" s="58"/>
      <c r="CH987" s="58"/>
      <c r="CI987" s="58"/>
      <c r="CJ987" s="58"/>
      <c r="CK987" s="58"/>
      <c r="CL987" s="58"/>
    </row>
    <row r="988" spans="1:90" hidden="1" x14ac:dyDescent="0.3">
      <c r="A988" s="1">
        <v>983</v>
      </c>
      <c r="Y988" s="2"/>
      <c r="Z988" s="2"/>
      <c r="BK988" s="58"/>
      <c r="BL988" s="58"/>
      <c r="BM988" s="58"/>
      <c r="BU988" s="58"/>
      <c r="BV988" s="58"/>
      <c r="BW988" s="58"/>
      <c r="BX988" s="58"/>
      <c r="BY988" s="58"/>
      <c r="BZ988" s="58"/>
      <c r="CA988" s="58"/>
      <c r="CB988" s="58"/>
      <c r="CC988" s="58"/>
      <c r="CD988" s="58"/>
      <c r="CE988" s="58"/>
      <c r="CF988" s="58"/>
      <c r="CG988" s="58"/>
      <c r="CH988" s="58"/>
      <c r="CI988" s="58"/>
      <c r="CJ988" s="58"/>
      <c r="CK988" s="58"/>
      <c r="CL988" s="58"/>
    </row>
    <row r="989" spans="1:90" hidden="1" x14ac:dyDescent="0.3">
      <c r="A989" s="1">
        <v>984</v>
      </c>
      <c r="Y989" s="2"/>
      <c r="Z989" s="2"/>
      <c r="BK989" s="58"/>
      <c r="BL989" s="58"/>
      <c r="BM989" s="58"/>
      <c r="BU989" s="58"/>
      <c r="BV989" s="58"/>
      <c r="BW989" s="58"/>
      <c r="BX989" s="58"/>
      <c r="BY989" s="58"/>
      <c r="BZ989" s="58"/>
      <c r="CA989" s="58"/>
      <c r="CB989" s="58"/>
      <c r="CC989" s="58"/>
      <c r="CD989" s="58"/>
      <c r="CE989" s="58"/>
      <c r="CF989" s="58"/>
      <c r="CG989" s="58"/>
      <c r="CH989" s="58"/>
      <c r="CI989" s="58"/>
      <c r="CJ989" s="58"/>
      <c r="CK989" s="58"/>
      <c r="CL989" s="58"/>
    </row>
    <row r="990" spans="1:90" hidden="1" x14ac:dyDescent="0.3">
      <c r="A990" s="1">
        <v>985</v>
      </c>
      <c r="Y990" s="2"/>
      <c r="Z990" s="2"/>
      <c r="BK990" s="58"/>
      <c r="BL990" s="58"/>
      <c r="BM990" s="58"/>
      <c r="BU990" s="58"/>
      <c r="BV990" s="58"/>
      <c r="BW990" s="58"/>
      <c r="BX990" s="58"/>
      <c r="BY990" s="58"/>
      <c r="BZ990" s="58"/>
      <c r="CA990" s="58"/>
      <c r="CB990" s="58"/>
      <c r="CC990" s="58"/>
      <c r="CD990" s="58"/>
      <c r="CE990" s="58"/>
      <c r="CF990" s="58"/>
      <c r="CG990" s="58"/>
      <c r="CH990" s="58"/>
      <c r="CI990" s="58"/>
      <c r="CJ990" s="58"/>
      <c r="CK990" s="58"/>
      <c r="CL990" s="58"/>
    </row>
    <row r="991" spans="1:90" hidden="1" x14ac:dyDescent="0.3">
      <c r="A991" s="1">
        <v>986</v>
      </c>
      <c r="Y991" s="2"/>
      <c r="Z991" s="2"/>
      <c r="BK991" s="58"/>
      <c r="BL991" s="58"/>
      <c r="BM991" s="58"/>
      <c r="BU991" s="58"/>
      <c r="BV991" s="58"/>
      <c r="BW991" s="58"/>
      <c r="BX991" s="58"/>
      <c r="BY991" s="58"/>
      <c r="BZ991" s="58"/>
      <c r="CA991" s="58"/>
      <c r="CB991" s="58"/>
      <c r="CC991" s="58"/>
      <c r="CD991" s="58"/>
      <c r="CE991" s="58"/>
      <c r="CF991" s="58"/>
      <c r="CG991" s="58"/>
      <c r="CH991" s="58"/>
      <c r="CI991" s="58"/>
      <c r="CJ991" s="58"/>
      <c r="CK991" s="58"/>
      <c r="CL991" s="58"/>
    </row>
    <row r="992" spans="1:90" hidden="1" x14ac:dyDescent="0.3">
      <c r="A992" s="1">
        <v>987</v>
      </c>
      <c r="Y992" s="2"/>
      <c r="Z992" s="2"/>
      <c r="BK992" s="58"/>
      <c r="BL992" s="58"/>
      <c r="BM992" s="58"/>
      <c r="BU992" s="58"/>
      <c r="BV992" s="58"/>
      <c r="BW992" s="58"/>
      <c r="BX992" s="58"/>
      <c r="BY992" s="58"/>
      <c r="BZ992" s="58"/>
      <c r="CA992" s="58"/>
      <c r="CB992" s="58"/>
      <c r="CC992" s="58"/>
      <c r="CD992" s="58"/>
      <c r="CE992" s="58"/>
      <c r="CF992" s="58"/>
      <c r="CG992" s="58"/>
      <c r="CH992" s="58"/>
      <c r="CI992" s="58"/>
      <c r="CJ992" s="58"/>
      <c r="CK992" s="58"/>
      <c r="CL992" s="58"/>
    </row>
    <row r="993" spans="1:90" hidden="1" x14ac:dyDescent="0.3">
      <c r="A993" s="1">
        <v>988</v>
      </c>
      <c r="Y993" s="2"/>
      <c r="Z993" s="2"/>
      <c r="BK993" s="58"/>
      <c r="BL993" s="58"/>
      <c r="BM993" s="58"/>
      <c r="BU993" s="58"/>
      <c r="BV993" s="58"/>
      <c r="BW993" s="58"/>
      <c r="BX993" s="58"/>
      <c r="BY993" s="58"/>
      <c r="BZ993" s="58"/>
      <c r="CA993" s="58"/>
      <c r="CB993" s="58"/>
      <c r="CC993" s="58"/>
      <c r="CD993" s="58"/>
      <c r="CE993" s="58"/>
      <c r="CF993" s="58"/>
      <c r="CG993" s="58"/>
      <c r="CH993" s="58"/>
      <c r="CI993" s="58"/>
      <c r="CJ993" s="58"/>
      <c r="CK993" s="58"/>
      <c r="CL993" s="58"/>
    </row>
    <row r="994" spans="1:90" hidden="1" x14ac:dyDescent="0.3">
      <c r="A994" s="1">
        <v>989</v>
      </c>
      <c r="Y994" s="2"/>
      <c r="Z994" s="2"/>
      <c r="BK994" s="58"/>
      <c r="BL994" s="58"/>
      <c r="BM994" s="58"/>
      <c r="BU994" s="58"/>
      <c r="BV994" s="58"/>
      <c r="BW994" s="58"/>
      <c r="BX994" s="58"/>
      <c r="BY994" s="58"/>
      <c r="BZ994" s="58"/>
      <c r="CA994" s="58"/>
      <c r="CB994" s="58"/>
      <c r="CC994" s="58"/>
      <c r="CD994" s="58"/>
      <c r="CE994" s="58"/>
      <c r="CF994" s="58"/>
      <c r="CG994" s="58"/>
      <c r="CH994" s="58"/>
      <c r="CI994" s="58"/>
      <c r="CJ994" s="58"/>
      <c r="CK994" s="58"/>
      <c r="CL994" s="58"/>
    </row>
    <row r="995" spans="1:90" hidden="1" x14ac:dyDescent="0.3">
      <c r="A995" s="1">
        <v>990</v>
      </c>
      <c r="Y995" s="2"/>
      <c r="Z995" s="2"/>
      <c r="BK995" s="58"/>
      <c r="BL995" s="58"/>
      <c r="BM995" s="58"/>
      <c r="BU995" s="58"/>
      <c r="BV995" s="58"/>
      <c r="BW995" s="58"/>
      <c r="BX995" s="58"/>
      <c r="BY995" s="58"/>
      <c r="BZ995" s="58"/>
      <c r="CA995" s="58"/>
      <c r="CB995" s="58"/>
      <c r="CC995" s="58"/>
      <c r="CD995" s="58"/>
      <c r="CE995" s="58"/>
      <c r="CF995" s="58"/>
      <c r="CG995" s="58"/>
      <c r="CH995" s="58"/>
      <c r="CI995" s="58"/>
      <c r="CJ995" s="58"/>
      <c r="CK995" s="58"/>
      <c r="CL995" s="58"/>
    </row>
    <row r="996" spans="1:90" hidden="1" x14ac:dyDescent="0.3">
      <c r="A996" s="1">
        <v>991</v>
      </c>
      <c r="Y996" s="2"/>
      <c r="Z996" s="2"/>
      <c r="BK996" s="58"/>
      <c r="BL996" s="58"/>
      <c r="BM996" s="58"/>
      <c r="BU996" s="58"/>
      <c r="BV996" s="58"/>
      <c r="BW996" s="58"/>
      <c r="BX996" s="58"/>
      <c r="BY996" s="58"/>
      <c r="BZ996" s="58"/>
      <c r="CA996" s="58"/>
      <c r="CB996" s="58"/>
      <c r="CC996" s="58"/>
      <c r="CD996" s="58"/>
      <c r="CE996" s="58"/>
      <c r="CF996" s="58"/>
      <c r="CG996" s="58"/>
      <c r="CH996" s="58"/>
      <c r="CI996" s="58"/>
      <c r="CJ996" s="58"/>
      <c r="CK996" s="58"/>
      <c r="CL996" s="58"/>
    </row>
    <row r="997" spans="1:90" hidden="1" x14ac:dyDescent="0.3">
      <c r="A997" s="1">
        <v>992</v>
      </c>
      <c r="Y997" s="2"/>
      <c r="Z997" s="2"/>
      <c r="BK997" s="58"/>
      <c r="BL997" s="58"/>
      <c r="BM997" s="58"/>
      <c r="BU997" s="58"/>
      <c r="BV997" s="58"/>
      <c r="BW997" s="58"/>
      <c r="BX997" s="58"/>
      <c r="BY997" s="58"/>
      <c r="BZ997" s="58"/>
      <c r="CA997" s="58"/>
      <c r="CB997" s="58"/>
      <c r="CC997" s="58"/>
      <c r="CD997" s="58"/>
      <c r="CE997" s="58"/>
      <c r="CF997" s="58"/>
      <c r="CG997" s="58"/>
      <c r="CH997" s="58"/>
      <c r="CI997" s="58"/>
      <c r="CJ997" s="58"/>
      <c r="CK997" s="58"/>
      <c r="CL997" s="58"/>
    </row>
    <row r="998" spans="1:90" hidden="1" x14ac:dyDescent="0.3">
      <c r="A998" s="1">
        <v>993</v>
      </c>
      <c r="Y998" s="2"/>
      <c r="Z998" s="2"/>
      <c r="BK998" s="58"/>
      <c r="BL998" s="58"/>
      <c r="BM998" s="58"/>
      <c r="BU998" s="58"/>
      <c r="BV998" s="58"/>
      <c r="BW998" s="58"/>
      <c r="BX998" s="58"/>
      <c r="BY998" s="58"/>
      <c r="BZ998" s="58"/>
      <c r="CA998" s="58"/>
      <c r="CB998" s="58"/>
      <c r="CC998" s="58"/>
      <c r="CD998" s="58"/>
      <c r="CE998" s="58"/>
      <c r="CF998" s="58"/>
      <c r="CG998" s="58"/>
      <c r="CH998" s="58"/>
      <c r="CI998" s="58"/>
      <c r="CJ998" s="58"/>
      <c r="CK998" s="58"/>
      <c r="CL998" s="58"/>
    </row>
    <row r="999" spans="1:90" hidden="1" x14ac:dyDescent="0.3">
      <c r="A999" s="1">
        <v>994</v>
      </c>
      <c r="Y999" s="2"/>
      <c r="Z999" s="2"/>
      <c r="BK999" s="58"/>
      <c r="BL999" s="58"/>
      <c r="BM999" s="58"/>
      <c r="BU999" s="58"/>
      <c r="BV999" s="58"/>
      <c r="BW999" s="58"/>
      <c r="BX999" s="58"/>
      <c r="BY999" s="58"/>
      <c r="BZ999" s="58"/>
      <c r="CA999" s="58"/>
      <c r="CB999" s="58"/>
      <c r="CC999" s="58"/>
      <c r="CD999" s="58"/>
      <c r="CE999" s="58"/>
      <c r="CF999" s="58"/>
      <c r="CG999" s="58"/>
      <c r="CH999" s="58"/>
      <c r="CI999" s="58"/>
      <c r="CJ999" s="58"/>
      <c r="CK999" s="58"/>
      <c r="CL999" s="58"/>
    </row>
    <row r="1000" spans="1:90" hidden="1" x14ac:dyDescent="0.3">
      <c r="A1000" s="1">
        <v>995</v>
      </c>
      <c r="Y1000" s="2"/>
      <c r="Z1000" s="2"/>
      <c r="BK1000" s="58"/>
      <c r="BL1000" s="58"/>
      <c r="BM1000" s="58"/>
      <c r="BU1000" s="58"/>
      <c r="BV1000" s="58"/>
      <c r="BW1000" s="58"/>
      <c r="BX1000" s="58"/>
      <c r="BY1000" s="58"/>
      <c r="BZ1000" s="58"/>
      <c r="CA1000" s="58"/>
      <c r="CB1000" s="58"/>
      <c r="CC1000" s="58"/>
      <c r="CD1000" s="58"/>
      <c r="CE1000" s="58"/>
      <c r="CF1000" s="58"/>
      <c r="CG1000" s="58"/>
      <c r="CH1000" s="58"/>
      <c r="CI1000" s="58"/>
      <c r="CJ1000" s="58"/>
      <c r="CK1000" s="58"/>
      <c r="CL1000" s="58"/>
    </row>
    <row r="1001" spans="1:90" x14ac:dyDescent="0.3">
      <c r="Y1001" s="2"/>
      <c r="Z1001" s="2"/>
      <c r="BK1001" s="58"/>
      <c r="BL1001" s="58"/>
      <c r="BM1001" s="58"/>
      <c r="BU1001" s="58"/>
      <c r="BV1001" s="58"/>
      <c r="BW1001" s="58"/>
      <c r="BX1001" s="58"/>
      <c r="BY1001" s="58"/>
      <c r="BZ1001" s="58"/>
      <c r="CA1001" s="58"/>
      <c r="CB1001" s="58"/>
      <c r="CC1001" s="58"/>
      <c r="CD1001" s="58"/>
      <c r="CE1001" s="58"/>
      <c r="CF1001" s="58"/>
      <c r="CG1001" s="58"/>
      <c r="CH1001" s="58"/>
      <c r="CI1001" s="58"/>
      <c r="CJ1001" s="58"/>
      <c r="CK1001" s="58"/>
      <c r="CL1001" s="58"/>
    </row>
    <row r="1002" spans="1:90" x14ac:dyDescent="0.3">
      <c r="Y1002" s="2"/>
      <c r="Z1002" s="2"/>
      <c r="BK1002" s="58"/>
      <c r="BL1002" s="58"/>
      <c r="BM1002" s="58"/>
      <c r="BU1002" s="58"/>
      <c r="BV1002" s="58"/>
      <c r="BW1002" s="58"/>
      <c r="BX1002" s="58"/>
      <c r="BY1002" s="58"/>
      <c r="BZ1002" s="58"/>
      <c r="CA1002" s="58"/>
      <c r="CB1002" s="58"/>
      <c r="CC1002" s="58"/>
      <c r="CD1002" s="58"/>
      <c r="CE1002" s="58"/>
      <c r="CF1002" s="58"/>
      <c r="CG1002" s="58"/>
      <c r="CH1002" s="58"/>
      <c r="CI1002" s="58"/>
      <c r="CJ1002" s="58"/>
      <c r="CK1002" s="58"/>
      <c r="CL1002" s="58"/>
    </row>
    <row r="1003" spans="1:90" x14ac:dyDescent="0.3">
      <c r="Y1003" s="2"/>
      <c r="Z1003" s="2"/>
      <c r="BK1003" s="58"/>
      <c r="BL1003" s="58"/>
      <c r="BM1003" s="58"/>
      <c r="BU1003" s="58"/>
      <c r="BV1003" s="58"/>
      <c r="BW1003" s="58"/>
      <c r="BX1003" s="58"/>
      <c r="BY1003" s="58"/>
      <c r="BZ1003" s="58"/>
      <c r="CA1003" s="58"/>
      <c r="CB1003" s="58"/>
      <c r="CC1003" s="58"/>
      <c r="CD1003" s="58"/>
      <c r="CE1003" s="58"/>
      <c r="CF1003" s="58"/>
      <c r="CG1003" s="58"/>
      <c r="CH1003" s="58"/>
      <c r="CI1003" s="58"/>
      <c r="CJ1003" s="58"/>
      <c r="CK1003" s="58"/>
      <c r="CL1003" s="58"/>
    </row>
    <row r="1004" spans="1:90" x14ac:dyDescent="0.3">
      <c r="Y1004" s="2"/>
      <c r="Z1004" s="2"/>
      <c r="BK1004" s="58"/>
      <c r="BL1004" s="58"/>
      <c r="BM1004" s="58"/>
      <c r="BU1004" s="58"/>
      <c r="BV1004" s="58"/>
      <c r="BW1004" s="58"/>
      <c r="BX1004" s="58"/>
      <c r="BY1004" s="58"/>
      <c r="BZ1004" s="58"/>
      <c r="CA1004" s="58"/>
      <c r="CB1004" s="58"/>
      <c r="CC1004" s="58"/>
      <c r="CD1004" s="58"/>
      <c r="CE1004" s="58"/>
      <c r="CF1004" s="58"/>
      <c r="CG1004" s="58"/>
      <c r="CH1004" s="58"/>
      <c r="CI1004" s="58"/>
      <c r="CJ1004" s="58"/>
      <c r="CK1004" s="58"/>
      <c r="CL1004" s="58"/>
    </row>
    <row r="1005" spans="1:90" x14ac:dyDescent="0.3">
      <c r="Y1005" s="2"/>
      <c r="Z1005" s="2"/>
      <c r="BK1005" s="58"/>
      <c r="BL1005" s="58"/>
      <c r="BM1005" s="58"/>
      <c r="BU1005" s="58"/>
      <c r="BV1005" s="58"/>
      <c r="BW1005" s="58"/>
      <c r="BX1005" s="58"/>
      <c r="BY1005" s="58"/>
      <c r="BZ1005" s="58"/>
      <c r="CA1005" s="58"/>
      <c r="CB1005" s="58"/>
      <c r="CC1005" s="58"/>
      <c r="CD1005" s="58"/>
      <c r="CE1005" s="58"/>
      <c r="CF1005" s="58"/>
      <c r="CG1005" s="58"/>
      <c r="CH1005" s="58"/>
      <c r="CI1005" s="58"/>
      <c r="CJ1005" s="58"/>
      <c r="CK1005" s="58"/>
      <c r="CL1005" s="58"/>
    </row>
    <row r="1006" spans="1:90" x14ac:dyDescent="0.3">
      <c r="Y1006" s="2"/>
      <c r="Z1006" s="2"/>
      <c r="BK1006" s="58"/>
      <c r="BL1006" s="58"/>
      <c r="BM1006" s="58"/>
      <c r="BU1006" s="58"/>
      <c r="BV1006" s="58"/>
      <c r="BW1006" s="58"/>
      <c r="BX1006" s="58"/>
      <c r="BY1006" s="58"/>
      <c r="BZ1006" s="58"/>
      <c r="CA1006" s="58"/>
      <c r="CB1006" s="58"/>
      <c r="CC1006" s="58"/>
      <c r="CD1006" s="58"/>
      <c r="CE1006" s="58"/>
      <c r="CF1006" s="58"/>
      <c r="CG1006" s="58"/>
      <c r="CH1006" s="58"/>
      <c r="CI1006" s="58"/>
      <c r="CJ1006" s="58"/>
      <c r="CK1006" s="58"/>
      <c r="CL1006" s="58"/>
    </row>
    <row r="1007" spans="1:90" x14ac:dyDescent="0.3">
      <c r="Y1007" s="2"/>
      <c r="Z1007" s="2"/>
      <c r="BK1007" s="58"/>
      <c r="BL1007" s="58"/>
      <c r="BM1007" s="58"/>
      <c r="BU1007" s="58"/>
      <c r="BV1007" s="58"/>
      <c r="BW1007" s="58"/>
      <c r="BX1007" s="58"/>
      <c r="BY1007" s="58"/>
      <c r="BZ1007" s="58"/>
      <c r="CA1007" s="58"/>
      <c r="CB1007" s="58"/>
      <c r="CC1007" s="58"/>
      <c r="CD1007" s="58"/>
      <c r="CE1007" s="58"/>
      <c r="CF1007" s="58"/>
      <c r="CG1007" s="58"/>
      <c r="CH1007" s="58"/>
      <c r="CI1007" s="58"/>
      <c r="CJ1007" s="58"/>
      <c r="CK1007" s="58"/>
      <c r="CL1007" s="58"/>
    </row>
    <row r="1008" spans="1:90" x14ac:dyDescent="0.3">
      <c r="Y1008" s="2"/>
      <c r="Z1008" s="2"/>
      <c r="BK1008" s="58"/>
      <c r="BL1008" s="58"/>
      <c r="BM1008" s="58"/>
      <c r="BU1008" s="58"/>
      <c r="BV1008" s="58"/>
      <c r="BW1008" s="58"/>
      <c r="BX1008" s="58"/>
      <c r="BY1008" s="58"/>
      <c r="BZ1008" s="58"/>
      <c r="CA1008" s="58"/>
      <c r="CB1008" s="58"/>
      <c r="CC1008" s="58"/>
      <c r="CD1008" s="58"/>
      <c r="CE1008" s="58"/>
      <c r="CF1008" s="58"/>
      <c r="CG1008" s="58"/>
      <c r="CH1008" s="58"/>
      <c r="CI1008" s="58"/>
      <c r="CJ1008" s="58"/>
      <c r="CK1008" s="58"/>
      <c r="CL1008" s="58"/>
    </row>
    <row r="1009" spans="25:90" x14ac:dyDescent="0.3">
      <c r="Y1009" s="2"/>
      <c r="Z1009" s="2"/>
      <c r="BK1009" s="58"/>
      <c r="BL1009" s="58"/>
      <c r="BM1009" s="58"/>
      <c r="BU1009" s="58"/>
      <c r="BV1009" s="58"/>
      <c r="BW1009" s="58"/>
      <c r="BX1009" s="58"/>
      <c r="BY1009" s="58"/>
      <c r="BZ1009" s="58"/>
      <c r="CA1009" s="58"/>
      <c r="CB1009" s="58"/>
      <c r="CC1009" s="58"/>
      <c r="CD1009" s="58"/>
      <c r="CE1009" s="58"/>
      <c r="CF1009" s="58"/>
      <c r="CG1009" s="58"/>
      <c r="CH1009" s="58"/>
      <c r="CI1009" s="58"/>
      <c r="CJ1009" s="58"/>
      <c r="CK1009" s="58"/>
      <c r="CL1009" s="58"/>
    </row>
  </sheetData>
  <autoFilter ref="B5:BG1000">
    <filterColumn colId="10">
      <filters>
        <filter val="UV"/>
      </filters>
    </filterColumn>
  </autoFilter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3"/>
  <sheetViews>
    <sheetView workbookViewId="0">
      <selection activeCell="E27" sqref="E27"/>
    </sheetView>
  </sheetViews>
  <sheetFormatPr defaultRowHeight="16.5" x14ac:dyDescent="0.3"/>
  <cols>
    <col min="1" max="1" width="11.875" bestFit="1" customWidth="1"/>
    <col min="2" max="2" width="29.25" bestFit="1" customWidth="1"/>
    <col min="3" max="3" width="11.25" bestFit="1" customWidth="1"/>
    <col min="4" max="4" width="16.625" bestFit="1" customWidth="1"/>
    <col min="5" max="5" width="11.25" bestFit="1" customWidth="1"/>
    <col min="6" max="10" width="8.25" bestFit="1" customWidth="1"/>
  </cols>
  <sheetData>
    <row r="3" spans="1:5" x14ac:dyDescent="0.3">
      <c r="A3" s="162" t="s">
        <v>2356</v>
      </c>
      <c r="B3" s="162" t="s">
        <v>2354</v>
      </c>
      <c r="C3" s="162" t="s">
        <v>2461</v>
      </c>
      <c r="D3" s="162" t="s">
        <v>2462</v>
      </c>
      <c r="E3" s="162" t="s">
        <v>2389</v>
      </c>
    </row>
    <row r="4" spans="1:5" x14ac:dyDescent="0.3">
      <c r="A4" t="s">
        <v>556</v>
      </c>
      <c r="B4" t="s">
        <v>2444</v>
      </c>
      <c r="C4">
        <v>3</v>
      </c>
      <c r="D4">
        <v>2</v>
      </c>
      <c r="E4" t="s">
        <v>2380</v>
      </c>
    </row>
    <row r="5" spans="1:5" x14ac:dyDescent="0.3">
      <c r="B5" t="s">
        <v>2259</v>
      </c>
      <c r="C5">
        <v>1</v>
      </c>
      <c r="D5">
        <v>0</v>
      </c>
      <c r="E5" t="s">
        <v>2382</v>
      </c>
    </row>
    <row r="6" spans="1:5" x14ac:dyDescent="0.3">
      <c r="B6" t="s">
        <v>2445</v>
      </c>
      <c r="C6">
        <v>3</v>
      </c>
      <c r="D6">
        <v>3</v>
      </c>
      <c r="E6" t="s">
        <v>2380</v>
      </c>
    </row>
    <row r="7" spans="1:5" x14ac:dyDescent="0.3">
      <c r="B7" t="s">
        <v>641</v>
      </c>
      <c r="C7">
        <v>3</v>
      </c>
      <c r="D7">
        <v>3</v>
      </c>
      <c r="E7" t="s">
        <v>2380</v>
      </c>
    </row>
    <row r="8" spans="1:5" x14ac:dyDescent="0.3">
      <c r="B8" t="s">
        <v>2446</v>
      </c>
      <c r="C8">
        <v>1</v>
      </c>
      <c r="D8">
        <v>0</v>
      </c>
      <c r="E8" t="s">
        <v>2198</v>
      </c>
    </row>
    <row r="9" spans="1:5" x14ac:dyDescent="0.3">
      <c r="B9" t="s">
        <v>2447</v>
      </c>
      <c r="C9">
        <v>1</v>
      </c>
      <c r="D9" t="s">
        <v>2198</v>
      </c>
      <c r="E9" t="s">
        <v>2198</v>
      </c>
    </row>
    <row r="10" spans="1:5" x14ac:dyDescent="0.3">
      <c r="B10" t="s">
        <v>2448</v>
      </c>
      <c r="C10">
        <v>1</v>
      </c>
      <c r="D10">
        <v>0</v>
      </c>
      <c r="E10" t="s">
        <v>2198</v>
      </c>
    </row>
    <row r="11" spans="1:5" x14ac:dyDescent="0.3">
      <c r="B11" t="s">
        <v>2449</v>
      </c>
      <c r="C11">
        <v>1</v>
      </c>
      <c r="D11">
        <v>0</v>
      </c>
      <c r="E11" t="s">
        <v>2380</v>
      </c>
    </row>
    <row r="12" spans="1:5" x14ac:dyDescent="0.3">
      <c r="B12" t="s">
        <v>2450</v>
      </c>
      <c r="C12">
        <v>1</v>
      </c>
      <c r="D12">
        <v>1</v>
      </c>
      <c r="E12" t="s">
        <v>2378</v>
      </c>
    </row>
    <row r="13" spans="1:5" x14ac:dyDescent="0.3">
      <c r="B13" t="s">
        <v>2424</v>
      </c>
      <c r="C13">
        <v>1</v>
      </c>
      <c r="D13">
        <v>0</v>
      </c>
      <c r="E13" t="s">
        <v>2198</v>
      </c>
    </row>
    <row r="14" spans="1:5" x14ac:dyDescent="0.3">
      <c r="B14" t="s">
        <v>2451</v>
      </c>
      <c r="C14">
        <v>1</v>
      </c>
      <c r="D14">
        <v>0</v>
      </c>
      <c r="E14" t="s">
        <v>2198</v>
      </c>
    </row>
    <row r="15" spans="1:5" x14ac:dyDescent="0.3">
      <c r="B15" t="s">
        <v>2452</v>
      </c>
      <c r="C15">
        <v>1</v>
      </c>
      <c r="D15">
        <v>1</v>
      </c>
      <c r="E15" t="s">
        <v>2382</v>
      </c>
    </row>
    <row r="16" spans="1:5" x14ac:dyDescent="0.3">
      <c r="B16" t="s">
        <v>2453</v>
      </c>
      <c r="C16">
        <v>4</v>
      </c>
      <c r="D16">
        <v>0</v>
      </c>
      <c r="E16" t="s">
        <v>2198</v>
      </c>
    </row>
    <row r="17" spans="1:5" x14ac:dyDescent="0.3">
      <c r="B17" t="s">
        <v>2454</v>
      </c>
      <c r="C17">
        <v>1</v>
      </c>
      <c r="D17">
        <v>1</v>
      </c>
      <c r="E17" t="s">
        <v>2380</v>
      </c>
    </row>
    <row r="18" spans="1:5" x14ac:dyDescent="0.3">
      <c r="B18" t="s">
        <v>2455</v>
      </c>
      <c r="C18">
        <v>1</v>
      </c>
      <c r="D18">
        <v>0</v>
      </c>
      <c r="E18" t="s">
        <v>2198</v>
      </c>
    </row>
    <row r="19" spans="1:5" x14ac:dyDescent="0.3">
      <c r="B19" t="s">
        <v>2265</v>
      </c>
      <c r="C19">
        <v>1</v>
      </c>
      <c r="D19">
        <v>0</v>
      </c>
      <c r="E19" t="s">
        <v>2198</v>
      </c>
    </row>
    <row r="20" spans="1:5" x14ac:dyDescent="0.3">
      <c r="B20" t="s">
        <v>2456</v>
      </c>
      <c r="C20">
        <v>1</v>
      </c>
      <c r="D20">
        <v>1</v>
      </c>
      <c r="E20" t="s">
        <v>2380</v>
      </c>
    </row>
    <row r="21" spans="1:5" x14ac:dyDescent="0.3">
      <c r="B21" t="s">
        <v>2258</v>
      </c>
      <c r="C21">
        <v>1</v>
      </c>
      <c r="D21">
        <v>0</v>
      </c>
      <c r="E21" t="s">
        <v>2380</v>
      </c>
    </row>
    <row r="22" spans="1:5" x14ac:dyDescent="0.3">
      <c r="B22" t="s">
        <v>2457</v>
      </c>
      <c r="C22">
        <v>1</v>
      </c>
      <c r="D22">
        <v>0</v>
      </c>
      <c r="E22" t="s">
        <v>2382</v>
      </c>
    </row>
    <row r="23" spans="1:5" x14ac:dyDescent="0.3">
      <c r="B23" t="s">
        <v>2458</v>
      </c>
      <c r="C23">
        <v>1</v>
      </c>
      <c r="D23">
        <v>0</v>
      </c>
      <c r="E23" t="s">
        <v>2198</v>
      </c>
    </row>
    <row r="24" spans="1:5" x14ac:dyDescent="0.3">
      <c r="B24" t="s">
        <v>2426</v>
      </c>
      <c r="C24">
        <v>1</v>
      </c>
      <c r="D24">
        <v>0</v>
      </c>
      <c r="E24" t="s">
        <v>2198</v>
      </c>
    </row>
    <row r="25" spans="1:5" x14ac:dyDescent="0.3">
      <c r="B25" t="s">
        <v>2425</v>
      </c>
      <c r="C25">
        <v>1</v>
      </c>
      <c r="D25">
        <v>0</v>
      </c>
      <c r="E25" t="s">
        <v>2198</v>
      </c>
    </row>
    <row r="26" spans="1:5" x14ac:dyDescent="0.3">
      <c r="A26" t="s">
        <v>2254</v>
      </c>
    </row>
    <row r="27" spans="1:5" x14ac:dyDescent="0.3">
      <c r="A27" t="s">
        <v>2201</v>
      </c>
      <c r="B27" t="s">
        <v>2323</v>
      </c>
      <c r="C27" t="s">
        <v>2198</v>
      </c>
      <c r="D27" t="s">
        <v>2198</v>
      </c>
      <c r="E27" t="s">
        <v>2198</v>
      </c>
    </row>
    <row r="28" spans="1:5" x14ac:dyDescent="0.3">
      <c r="B28" t="s">
        <v>2315</v>
      </c>
      <c r="C28">
        <v>2</v>
      </c>
      <c r="D28">
        <v>2</v>
      </c>
      <c r="E28" t="s">
        <v>2382</v>
      </c>
    </row>
    <row r="29" spans="1:5" x14ac:dyDescent="0.3">
      <c r="B29" t="s">
        <v>2203</v>
      </c>
      <c r="C29">
        <v>1</v>
      </c>
      <c r="D29" t="s">
        <v>2198</v>
      </c>
      <c r="E29" t="s">
        <v>2198</v>
      </c>
    </row>
    <row r="30" spans="1:5" x14ac:dyDescent="0.3">
      <c r="B30" t="s">
        <v>2309</v>
      </c>
      <c r="C30">
        <v>5</v>
      </c>
      <c r="D30">
        <v>3</v>
      </c>
      <c r="E30" t="s">
        <v>2374</v>
      </c>
    </row>
    <row r="31" spans="1:5" x14ac:dyDescent="0.3">
      <c r="B31" t="s">
        <v>2325</v>
      </c>
      <c r="C31">
        <v>1</v>
      </c>
      <c r="D31" t="s">
        <v>2198</v>
      </c>
      <c r="E31" t="s">
        <v>2198</v>
      </c>
    </row>
    <row r="32" spans="1:5" x14ac:dyDescent="0.3">
      <c r="B32" t="s">
        <v>2326</v>
      </c>
      <c r="C32">
        <v>3</v>
      </c>
      <c r="D32">
        <v>2</v>
      </c>
      <c r="E32" t="s">
        <v>2198</v>
      </c>
    </row>
    <row r="33" spans="2:5" x14ac:dyDescent="0.3">
      <c r="B33" t="s">
        <v>2310</v>
      </c>
      <c r="C33">
        <v>6</v>
      </c>
      <c r="D33">
        <v>6</v>
      </c>
      <c r="E33" t="s">
        <v>2382</v>
      </c>
    </row>
    <row r="34" spans="2:5" x14ac:dyDescent="0.3">
      <c r="B34" t="s">
        <v>2311</v>
      </c>
      <c r="C34">
        <v>8</v>
      </c>
      <c r="D34">
        <v>8</v>
      </c>
      <c r="E34" t="s">
        <v>2382</v>
      </c>
    </row>
    <row r="35" spans="2:5" x14ac:dyDescent="0.3">
      <c r="B35" t="s">
        <v>2312</v>
      </c>
      <c r="C35">
        <v>13</v>
      </c>
      <c r="D35">
        <v>13</v>
      </c>
      <c r="E35" t="s">
        <v>2374</v>
      </c>
    </row>
    <row r="36" spans="2:5" x14ac:dyDescent="0.3">
      <c r="B36" t="s">
        <v>2210</v>
      </c>
      <c r="C36" t="s">
        <v>2198</v>
      </c>
      <c r="D36" t="s">
        <v>2198</v>
      </c>
      <c r="E36" t="s">
        <v>2198</v>
      </c>
    </row>
    <row r="37" spans="2:5" x14ac:dyDescent="0.3">
      <c r="B37" t="s">
        <v>2269</v>
      </c>
      <c r="C37">
        <v>1</v>
      </c>
      <c r="D37" t="s">
        <v>2198</v>
      </c>
      <c r="E37" t="s">
        <v>2198</v>
      </c>
    </row>
    <row r="38" spans="2:5" x14ac:dyDescent="0.3">
      <c r="B38" t="s">
        <v>2308</v>
      </c>
      <c r="C38" t="s">
        <v>2198</v>
      </c>
      <c r="D38" t="s">
        <v>2198</v>
      </c>
      <c r="E38" t="s">
        <v>2198</v>
      </c>
    </row>
    <row r="39" spans="2:5" x14ac:dyDescent="0.3">
      <c r="B39" t="s">
        <v>2328</v>
      </c>
      <c r="C39">
        <v>1</v>
      </c>
      <c r="D39" t="s">
        <v>2198</v>
      </c>
      <c r="E39" t="s">
        <v>2198</v>
      </c>
    </row>
    <row r="40" spans="2:5" x14ac:dyDescent="0.3">
      <c r="B40" t="s">
        <v>2307</v>
      </c>
      <c r="C40">
        <v>1</v>
      </c>
      <c r="D40">
        <v>1</v>
      </c>
      <c r="E40" t="s">
        <v>2198</v>
      </c>
    </row>
    <row r="41" spans="2:5" x14ac:dyDescent="0.3">
      <c r="B41" t="s">
        <v>2316</v>
      </c>
      <c r="C41">
        <v>1</v>
      </c>
      <c r="D41">
        <v>1</v>
      </c>
      <c r="E41" t="s">
        <v>2382</v>
      </c>
    </row>
    <row r="42" spans="2:5" x14ac:dyDescent="0.3">
      <c r="B42" t="s">
        <v>2319</v>
      </c>
      <c r="C42">
        <v>5</v>
      </c>
      <c r="D42">
        <v>4</v>
      </c>
      <c r="E42" t="s">
        <v>2198</v>
      </c>
    </row>
    <row r="43" spans="2:5" x14ac:dyDescent="0.3">
      <c r="B43" t="s">
        <v>2314</v>
      </c>
      <c r="C43">
        <v>11</v>
      </c>
      <c r="D43">
        <v>11</v>
      </c>
      <c r="E43" t="s">
        <v>2380</v>
      </c>
    </row>
    <row r="44" spans="2:5" x14ac:dyDescent="0.3">
      <c r="B44" t="s">
        <v>2313</v>
      </c>
      <c r="C44">
        <v>19</v>
      </c>
      <c r="D44">
        <v>12</v>
      </c>
      <c r="E44" t="s">
        <v>2382</v>
      </c>
    </row>
    <row r="45" spans="2:5" x14ac:dyDescent="0.3">
      <c r="B45" t="s">
        <v>2322</v>
      </c>
      <c r="C45">
        <v>1</v>
      </c>
      <c r="D45" t="s">
        <v>2198</v>
      </c>
      <c r="E45" t="s">
        <v>2198</v>
      </c>
    </row>
    <row r="46" spans="2:5" x14ac:dyDescent="0.3">
      <c r="B46" t="s">
        <v>2317</v>
      </c>
      <c r="C46">
        <v>2</v>
      </c>
      <c r="D46">
        <v>2</v>
      </c>
      <c r="E46" t="s">
        <v>2378</v>
      </c>
    </row>
    <row r="47" spans="2:5" x14ac:dyDescent="0.3">
      <c r="C47" t="s">
        <v>2198</v>
      </c>
      <c r="D47" t="s">
        <v>2198</v>
      </c>
      <c r="E47" t="s">
        <v>2374</v>
      </c>
    </row>
    <row r="48" spans="2:5" x14ac:dyDescent="0.3">
      <c r="B48" t="s">
        <v>2329</v>
      </c>
      <c r="C48">
        <v>8</v>
      </c>
      <c r="D48">
        <v>8</v>
      </c>
      <c r="E48" t="s">
        <v>2374</v>
      </c>
    </row>
    <row r="49" spans="1:5" x14ac:dyDescent="0.3">
      <c r="B49" t="s">
        <v>2371</v>
      </c>
      <c r="C49" t="s">
        <v>2198</v>
      </c>
      <c r="D49" t="s">
        <v>2198</v>
      </c>
      <c r="E49" t="s">
        <v>2198</v>
      </c>
    </row>
    <row r="50" spans="1:5" x14ac:dyDescent="0.3">
      <c r="B50" t="s">
        <v>2369</v>
      </c>
      <c r="C50" t="s">
        <v>2198</v>
      </c>
      <c r="D50" t="s">
        <v>2198</v>
      </c>
      <c r="E50" t="s">
        <v>2198</v>
      </c>
    </row>
    <row r="51" spans="1:5" x14ac:dyDescent="0.3">
      <c r="B51" t="s">
        <v>2367</v>
      </c>
      <c r="C51" t="s">
        <v>2198</v>
      </c>
      <c r="D51" t="s">
        <v>2198</v>
      </c>
      <c r="E51" t="s">
        <v>2198</v>
      </c>
    </row>
    <row r="52" spans="1:5" x14ac:dyDescent="0.3">
      <c r="B52" t="s">
        <v>1309</v>
      </c>
      <c r="C52">
        <v>1</v>
      </c>
      <c r="D52" t="s">
        <v>2198</v>
      </c>
      <c r="E52" t="s">
        <v>2198</v>
      </c>
    </row>
    <row r="53" spans="1:5" x14ac:dyDescent="0.3">
      <c r="B53" t="s">
        <v>2306</v>
      </c>
      <c r="C53">
        <v>1</v>
      </c>
      <c r="D53" t="s">
        <v>2198</v>
      </c>
      <c r="E53" t="s">
        <v>2198</v>
      </c>
    </row>
    <row r="54" spans="1:5" x14ac:dyDescent="0.3">
      <c r="B54" t="s">
        <v>2318</v>
      </c>
      <c r="C54">
        <v>1</v>
      </c>
      <c r="D54" t="s">
        <v>2198</v>
      </c>
      <c r="E54" t="s">
        <v>2198</v>
      </c>
    </row>
    <row r="55" spans="1:5" x14ac:dyDescent="0.3">
      <c r="B55" t="s">
        <v>2324</v>
      </c>
      <c r="C55">
        <v>1</v>
      </c>
      <c r="D55">
        <v>1</v>
      </c>
      <c r="E55" t="s">
        <v>2198</v>
      </c>
    </row>
    <row r="56" spans="1:5" x14ac:dyDescent="0.3">
      <c r="B56" t="s">
        <v>2320</v>
      </c>
      <c r="C56">
        <v>5</v>
      </c>
      <c r="D56">
        <v>5</v>
      </c>
      <c r="E56" t="s">
        <v>2198</v>
      </c>
    </row>
    <row r="57" spans="1:5" x14ac:dyDescent="0.3">
      <c r="B57" t="s">
        <v>2321</v>
      </c>
      <c r="C57">
        <v>1</v>
      </c>
      <c r="D57" t="s">
        <v>2198</v>
      </c>
      <c r="E57" t="s">
        <v>2198</v>
      </c>
    </row>
    <row r="58" spans="1:5" x14ac:dyDescent="0.3">
      <c r="A58" t="s">
        <v>2256</v>
      </c>
    </row>
    <row r="59" spans="1:5" x14ac:dyDescent="0.3">
      <c r="A59" t="s">
        <v>764</v>
      </c>
      <c r="B59" t="s">
        <v>641</v>
      </c>
      <c r="C59">
        <v>5</v>
      </c>
      <c r="D59">
        <v>5</v>
      </c>
      <c r="E59" t="s">
        <v>2380</v>
      </c>
    </row>
    <row r="60" spans="1:5" x14ac:dyDescent="0.3">
      <c r="B60" t="s">
        <v>2203</v>
      </c>
      <c r="C60">
        <v>2</v>
      </c>
      <c r="D60" t="s">
        <v>2198</v>
      </c>
      <c r="E60" t="s">
        <v>2198</v>
      </c>
    </row>
    <row r="61" spans="1:5" x14ac:dyDescent="0.3">
      <c r="B61" t="s">
        <v>2269</v>
      </c>
      <c r="C61">
        <v>1</v>
      </c>
      <c r="D61" t="s">
        <v>2198</v>
      </c>
      <c r="E61" t="s">
        <v>2198</v>
      </c>
    </row>
    <row r="62" spans="1:5" x14ac:dyDescent="0.3">
      <c r="B62" t="s">
        <v>2328</v>
      </c>
      <c r="C62">
        <v>1</v>
      </c>
      <c r="D62" t="s">
        <v>2198</v>
      </c>
      <c r="E62" t="s">
        <v>2198</v>
      </c>
    </row>
    <row r="63" spans="1:5" x14ac:dyDescent="0.3">
      <c r="B63" t="s">
        <v>2330</v>
      </c>
      <c r="C63">
        <v>1</v>
      </c>
      <c r="D63" t="s">
        <v>2198</v>
      </c>
      <c r="E63" t="s">
        <v>2198</v>
      </c>
    </row>
    <row r="64" spans="1:5" x14ac:dyDescent="0.3">
      <c r="B64" t="s">
        <v>2319</v>
      </c>
      <c r="C64">
        <v>2</v>
      </c>
      <c r="D64" t="s">
        <v>2198</v>
      </c>
      <c r="E64" t="s">
        <v>2198</v>
      </c>
    </row>
    <row r="65" spans="1:5" x14ac:dyDescent="0.3">
      <c r="B65" t="s">
        <v>777</v>
      </c>
      <c r="C65">
        <v>7</v>
      </c>
      <c r="D65">
        <v>7</v>
      </c>
      <c r="E65" t="s">
        <v>2380</v>
      </c>
    </row>
    <row r="66" spans="1:5" x14ac:dyDescent="0.3">
      <c r="B66" t="s">
        <v>2271</v>
      </c>
      <c r="C66">
        <v>1</v>
      </c>
      <c r="D66" t="s">
        <v>2198</v>
      </c>
      <c r="E66" t="s">
        <v>2198</v>
      </c>
    </row>
    <row r="67" spans="1:5" x14ac:dyDescent="0.3">
      <c r="B67" t="s">
        <v>2329</v>
      </c>
      <c r="C67">
        <v>7</v>
      </c>
      <c r="D67" t="s">
        <v>2198</v>
      </c>
      <c r="E67" t="s">
        <v>2198</v>
      </c>
    </row>
    <row r="68" spans="1:5" x14ac:dyDescent="0.3">
      <c r="B68" t="s">
        <v>1309</v>
      </c>
      <c r="C68">
        <v>1</v>
      </c>
      <c r="D68" t="s">
        <v>2198</v>
      </c>
      <c r="E68" t="s">
        <v>2198</v>
      </c>
    </row>
    <row r="69" spans="1:5" x14ac:dyDescent="0.3">
      <c r="B69" t="s">
        <v>2318</v>
      </c>
      <c r="C69">
        <v>1</v>
      </c>
      <c r="D69" t="s">
        <v>2198</v>
      </c>
      <c r="E69" t="s">
        <v>2198</v>
      </c>
    </row>
    <row r="70" spans="1:5" x14ac:dyDescent="0.3">
      <c r="A70" t="s">
        <v>2255</v>
      </c>
    </row>
    <row r="71" spans="1:5" x14ac:dyDescent="0.3">
      <c r="A71" t="s">
        <v>2340</v>
      </c>
      <c r="B71" t="s">
        <v>1823</v>
      </c>
      <c r="C71">
        <v>2</v>
      </c>
      <c r="D71">
        <v>2</v>
      </c>
      <c r="E71" t="s">
        <v>2198</v>
      </c>
    </row>
    <row r="72" spans="1:5" x14ac:dyDescent="0.3">
      <c r="C72">
        <v>3</v>
      </c>
      <c r="D72">
        <v>3</v>
      </c>
      <c r="E72" t="s">
        <v>2376</v>
      </c>
    </row>
    <row r="73" spans="1:5" x14ac:dyDescent="0.3">
      <c r="B73" t="s">
        <v>2342</v>
      </c>
      <c r="C73">
        <v>1</v>
      </c>
      <c r="D73">
        <v>1</v>
      </c>
      <c r="E73" t="s">
        <v>2198</v>
      </c>
    </row>
    <row r="74" spans="1:5" x14ac:dyDescent="0.3">
      <c r="C74">
        <v>8</v>
      </c>
      <c r="D74" t="s">
        <v>2198</v>
      </c>
      <c r="E74" t="s">
        <v>2198</v>
      </c>
    </row>
    <row r="75" spans="1:5" x14ac:dyDescent="0.3">
      <c r="B75" t="s">
        <v>2344</v>
      </c>
      <c r="C75">
        <v>4</v>
      </c>
      <c r="D75" t="s">
        <v>2198</v>
      </c>
      <c r="E75" t="s">
        <v>2198</v>
      </c>
    </row>
    <row r="76" spans="1:5" x14ac:dyDescent="0.3">
      <c r="A76" t="s">
        <v>2459</v>
      </c>
    </row>
    <row r="77" spans="1:5" x14ac:dyDescent="0.3">
      <c r="A77" t="s">
        <v>2347</v>
      </c>
      <c r="B77" t="s">
        <v>2350</v>
      </c>
      <c r="C77">
        <v>3</v>
      </c>
      <c r="D77">
        <v>3</v>
      </c>
      <c r="E77" t="s">
        <v>2376</v>
      </c>
    </row>
    <row r="78" spans="1:5" x14ac:dyDescent="0.3">
      <c r="B78" t="s">
        <v>2352</v>
      </c>
      <c r="C78">
        <v>6</v>
      </c>
      <c r="D78">
        <v>6</v>
      </c>
      <c r="E78" t="s">
        <v>2376</v>
      </c>
    </row>
    <row r="79" spans="1:5" x14ac:dyDescent="0.3">
      <c r="B79" t="s">
        <v>2271</v>
      </c>
      <c r="C79" t="s">
        <v>2198</v>
      </c>
      <c r="D79" t="s">
        <v>2198</v>
      </c>
      <c r="E79" t="s">
        <v>2198</v>
      </c>
    </row>
    <row r="80" spans="1:5" x14ac:dyDescent="0.3">
      <c r="B80" t="s">
        <v>1825</v>
      </c>
      <c r="C80">
        <v>1</v>
      </c>
      <c r="D80" t="s">
        <v>2198</v>
      </c>
      <c r="E80" t="s">
        <v>2376</v>
      </c>
    </row>
    <row r="81" spans="1:5" x14ac:dyDescent="0.3">
      <c r="B81" t="s">
        <v>1823</v>
      </c>
      <c r="C81">
        <v>11</v>
      </c>
      <c r="D81">
        <v>11</v>
      </c>
      <c r="E81" t="s">
        <v>2376</v>
      </c>
    </row>
    <row r="82" spans="1:5" x14ac:dyDescent="0.3">
      <c r="A82" t="s">
        <v>2460</v>
      </c>
    </row>
    <row r="83" spans="1:5" x14ac:dyDescent="0.3">
      <c r="A83" t="s">
        <v>2199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D8:M64"/>
  <sheetViews>
    <sheetView topLeftCell="A7" workbookViewId="0">
      <selection activeCell="E27" sqref="E27"/>
    </sheetView>
  </sheetViews>
  <sheetFormatPr defaultRowHeight="16.5" x14ac:dyDescent="0.3"/>
  <cols>
    <col min="1" max="1" width="5.25" bestFit="1" customWidth="1"/>
    <col min="2" max="2" width="8.5" bestFit="1" customWidth="1"/>
    <col min="4" max="4" width="33.875" bestFit="1" customWidth="1"/>
    <col min="5" max="5" width="21.625" bestFit="1" customWidth="1"/>
    <col min="6" max="6" width="11.875" style="194" bestFit="1" customWidth="1"/>
    <col min="7" max="7" width="9.625" style="194" bestFit="1" customWidth="1"/>
    <col min="8" max="8" width="11" style="194" bestFit="1" customWidth="1"/>
    <col min="9" max="10" width="16.5" style="194" bestFit="1" customWidth="1"/>
    <col min="11" max="11" width="13.25" style="194" bestFit="1" customWidth="1"/>
    <col min="13" max="13" width="34.875" bestFit="1" customWidth="1"/>
  </cols>
  <sheetData>
    <row r="8" spans="4:13" x14ac:dyDescent="0.3">
      <c r="D8" s="162" t="s">
        <v>2471</v>
      </c>
      <c r="E8" t="s">
        <v>2473</v>
      </c>
    </row>
    <row r="10" spans="4:13" x14ac:dyDescent="0.3">
      <c r="D10" s="162" t="s">
        <v>2356</v>
      </c>
      <c r="E10" s="162" t="s">
        <v>2354</v>
      </c>
      <c r="F10" s="196" t="s">
        <v>2359</v>
      </c>
      <c r="G10" s="196" t="s">
        <v>2493</v>
      </c>
      <c r="H10" s="196" t="s">
        <v>2477</v>
      </c>
      <c r="I10" s="196" t="s">
        <v>2495</v>
      </c>
      <c r="J10" s="196" t="s">
        <v>2494</v>
      </c>
      <c r="K10" s="196" t="s">
        <v>2389</v>
      </c>
      <c r="L10" t="s">
        <v>2496</v>
      </c>
      <c r="M10" t="s">
        <v>2384</v>
      </c>
    </row>
    <row r="11" spans="4:13" x14ac:dyDescent="0.3">
      <c r="D11" t="s">
        <v>556</v>
      </c>
      <c r="E11" t="s">
        <v>2456</v>
      </c>
      <c r="F11">
        <v>3</v>
      </c>
      <c r="G11">
        <v>2</v>
      </c>
      <c r="H11" t="s">
        <v>2198</v>
      </c>
      <c r="I11">
        <v>2</v>
      </c>
      <c r="J11">
        <v>2</v>
      </c>
      <c r="K11" s="194" t="s">
        <v>2380</v>
      </c>
      <c r="L11" s="195">
        <f>J11-G11</f>
        <v>0</v>
      </c>
    </row>
    <row r="12" spans="4:13" x14ac:dyDescent="0.3">
      <c r="E12" t="s">
        <v>2451</v>
      </c>
      <c r="F12">
        <v>2</v>
      </c>
      <c r="G12">
        <v>1</v>
      </c>
      <c r="H12" t="s">
        <v>2197</v>
      </c>
      <c r="I12">
        <v>1</v>
      </c>
      <c r="J12">
        <v>0</v>
      </c>
      <c r="K12" s="194" t="s">
        <v>2198</v>
      </c>
      <c r="L12" s="195">
        <f t="shared" ref="L12:L60" si="0">J12-G12</f>
        <v>-1</v>
      </c>
      <c r="M12" t="s">
        <v>2498</v>
      </c>
    </row>
    <row r="13" spans="4:13" x14ac:dyDescent="0.3">
      <c r="E13" t="s">
        <v>2258</v>
      </c>
      <c r="F13">
        <v>2</v>
      </c>
      <c r="G13">
        <v>1</v>
      </c>
      <c r="H13" t="s">
        <v>2197</v>
      </c>
      <c r="I13">
        <v>2</v>
      </c>
      <c r="J13">
        <v>1</v>
      </c>
      <c r="K13" s="194" t="s">
        <v>2380</v>
      </c>
      <c r="L13" s="195">
        <f t="shared" si="0"/>
        <v>0</v>
      </c>
    </row>
    <row r="14" spans="4:13" x14ac:dyDescent="0.3">
      <c r="E14" t="s">
        <v>2449</v>
      </c>
      <c r="F14">
        <v>4</v>
      </c>
      <c r="G14">
        <v>2</v>
      </c>
      <c r="H14" t="s">
        <v>2198</v>
      </c>
      <c r="I14">
        <v>2</v>
      </c>
      <c r="J14">
        <v>1</v>
      </c>
      <c r="K14" s="194" t="s">
        <v>2380</v>
      </c>
      <c r="L14" s="195">
        <f t="shared" si="0"/>
        <v>-1</v>
      </c>
      <c r="M14" t="s">
        <v>2497</v>
      </c>
    </row>
    <row r="15" spans="4:13" x14ac:dyDescent="0.3">
      <c r="E15" t="s">
        <v>2448</v>
      </c>
      <c r="F15">
        <v>2</v>
      </c>
      <c r="G15">
        <v>1</v>
      </c>
      <c r="H15" t="s">
        <v>2198</v>
      </c>
      <c r="I15">
        <v>1</v>
      </c>
      <c r="J15">
        <v>0</v>
      </c>
      <c r="K15" s="194" t="s">
        <v>2198</v>
      </c>
      <c r="L15" s="195">
        <f t="shared" si="0"/>
        <v>-1</v>
      </c>
      <c r="M15" t="s">
        <v>2497</v>
      </c>
    </row>
    <row r="16" spans="4:13" x14ac:dyDescent="0.3">
      <c r="E16" t="s">
        <v>2445</v>
      </c>
      <c r="F16">
        <v>11</v>
      </c>
      <c r="G16">
        <v>6</v>
      </c>
      <c r="H16" t="s">
        <v>2198</v>
      </c>
      <c r="I16">
        <v>6</v>
      </c>
      <c r="J16">
        <v>6</v>
      </c>
      <c r="K16" s="194" t="s">
        <v>2380</v>
      </c>
      <c r="L16" s="195">
        <f t="shared" si="0"/>
        <v>0</v>
      </c>
    </row>
    <row r="17" spans="4:13" x14ac:dyDescent="0.3">
      <c r="E17" t="s">
        <v>2452</v>
      </c>
      <c r="F17">
        <v>3</v>
      </c>
      <c r="G17">
        <v>1</v>
      </c>
      <c r="H17" t="s">
        <v>2198</v>
      </c>
      <c r="I17">
        <v>2</v>
      </c>
      <c r="J17">
        <v>2</v>
      </c>
      <c r="K17" s="194" t="s">
        <v>2382</v>
      </c>
      <c r="L17" s="195">
        <f t="shared" si="0"/>
        <v>1</v>
      </c>
    </row>
    <row r="18" spans="4:13" x14ac:dyDescent="0.3">
      <c r="E18" t="s">
        <v>2259</v>
      </c>
      <c r="F18">
        <v>2</v>
      </c>
      <c r="G18">
        <v>1</v>
      </c>
      <c r="H18" t="s">
        <v>2197</v>
      </c>
      <c r="I18">
        <v>1</v>
      </c>
      <c r="J18">
        <v>0</v>
      </c>
      <c r="K18" s="194" t="s">
        <v>2382</v>
      </c>
      <c r="L18" s="195">
        <f t="shared" si="0"/>
        <v>-1</v>
      </c>
      <c r="M18" t="s">
        <v>2498</v>
      </c>
    </row>
    <row r="19" spans="4:13" x14ac:dyDescent="0.3">
      <c r="E19" t="s">
        <v>2457</v>
      </c>
      <c r="F19">
        <v>2</v>
      </c>
      <c r="G19">
        <v>0</v>
      </c>
      <c r="H19" t="s">
        <v>2198</v>
      </c>
      <c r="I19">
        <v>1</v>
      </c>
      <c r="J19">
        <v>0</v>
      </c>
      <c r="K19" s="194" t="s">
        <v>2382</v>
      </c>
      <c r="L19" s="195">
        <f t="shared" si="0"/>
        <v>0</v>
      </c>
    </row>
    <row r="20" spans="4:13" x14ac:dyDescent="0.3">
      <c r="E20" t="s">
        <v>2444</v>
      </c>
      <c r="F20">
        <v>4</v>
      </c>
      <c r="G20">
        <v>1</v>
      </c>
      <c r="H20" t="s">
        <v>2198</v>
      </c>
      <c r="I20">
        <v>4</v>
      </c>
      <c r="J20">
        <v>3</v>
      </c>
      <c r="K20" s="194" t="s">
        <v>2380</v>
      </c>
      <c r="L20" s="195">
        <f t="shared" si="0"/>
        <v>2</v>
      </c>
    </row>
    <row r="21" spans="4:13" x14ac:dyDescent="0.3">
      <c r="E21" t="s">
        <v>2454</v>
      </c>
      <c r="F21">
        <v>4</v>
      </c>
      <c r="G21">
        <v>1</v>
      </c>
      <c r="H21" t="s">
        <v>2198</v>
      </c>
      <c r="I21">
        <v>1</v>
      </c>
      <c r="J21">
        <v>1</v>
      </c>
      <c r="K21" s="194" t="s">
        <v>2380</v>
      </c>
      <c r="L21" s="195">
        <f t="shared" si="0"/>
        <v>0</v>
      </c>
    </row>
    <row r="22" spans="4:13" x14ac:dyDescent="0.3">
      <c r="D22" t="s">
        <v>2201</v>
      </c>
      <c r="E22" t="s">
        <v>2269</v>
      </c>
      <c r="F22">
        <v>1</v>
      </c>
      <c r="G22">
        <v>0</v>
      </c>
      <c r="H22" t="s">
        <v>2198</v>
      </c>
      <c r="I22">
        <v>1</v>
      </c>
      <c r="J22">
        <v>0</v>
      </c>
      <c r="K22" s="194" t="s">
        <v>2198</v>
      </c>
      <c r="L22" s="195">
        <f t="shared" si="0"/>
        <v>0</v>
      </c>
    </row>
    <row r="23" spans="4:13" x14ac:dyDescent="0.3">
      <c r="E23" t="s">
        <v>2203</v>
      </c>
      <c r="F23">
        <v>2</v>
      </c>
      <c r="G23">
        <v>0</v>
      </c>
      <c r="H23" t="s">
        <v>2198</v>
      </c>
      <c r="I23">
        <v>1</v>
      </c>
      <c r="J23">
        <v>0</v>
      </c>
      <c r="K23" s="194" t="s">
        <v>2198</v>
      </c>
      <c r="L23" s="195">
        <f t="shared" si="0"/>
        <v>0</v>
      </c>
    </row>
    <row r="24" spans="4:13" x14ac:dyDescent="0.3">
      <c r="E24" t="s">
        <v>2328</v>
      </c>
      <c r="F24">
        <v>2</v>
      </c>
      <c r="G24">
        <v>2</v>
      </c>
      <c r="H24" t="s">
        <v>2198</v>
      </c>
      <c r="I24">
        <v>1</v>
      </c>
      <c r="J24">
        <v>0</v>
      </c>
      <c r="K24" s="194" t="s">
        <v>2198</v>
      </c>
      <c r="L24" s="195">
        <f t="shared" si="0"/>
        <v>-2</v>
      </c>
      <c r="M24" t="s">
        <v>2499</v>
      </c>
    </row>
    <row r="25" spans="4:13" x14ac:dyDescent="0.3">
      <c r="E25" t="s">
        <v>2306</v>
      </c>
      <c r="F25">
        <v>1</v>
      </c>
      <c r="G25">
        <v>1</v>
      </c>
      <c r="H25" t="s">
        <v>2198</v>
      </c>
      <c r="I25">
        <v>1</v>
      </c>
      <c r="J25">
        <v>0</v>
      </c>
      <c r="K25" s="194" t="s">
        <v>2198</v>
      </c>
      <c r="L25" s="195">
        <f t="shared" si="0"/>
        <v>-1</v>
      </c>
      <c r="M25" t="s">
        <v>2500</v>
      </c>
    </row>
    <row r="26" spans="4:13" x14ac:dyDescent="0.3">
      <c r="E26" t="s">
        <v>2307</v>
      </c>
      <c r="F26">
        <v>2</v>
      </c>
      <c r="G26">
        <v>0</v>
      </c>
      <c r="H26" t="s">
        <v>2198</v>
      </c>
      <c r="I26">
        <v>1</v>
      </c>
      <c r="J26">
        <v>1</v>
      </c>
      <c r="K26" s="194" t="s">
        <v>2198</v>
      </c>
      <c r="L26" s="195">
        <f t="shared" si="0"/>
        <v>1</v>
      </c>
    </row>
    <row r="27" spans="4:13" x14ac:dyDescent="0.3">
      <c r="E27" t="s">
        <v>2329</v>
      </c>
      <c r="F27">
        <v>28</v>
      </c>
      <c r="G27">
        <v>18</v>
      </c>
      <c r="H27" t="s">
        <v>2198</v>
      </c>
      <c r="I27">
        <v>12</v>
      </c>
      <c r="J27">
        <v>12</v>
      </c>
      <c r="K27" s="194" t="s">
        <v>2374</v>
      </c>
      <c r="L27" s="195">
        <f t="shared" si="0"/>
        <v>-6</v>
      </c>
      <c r="M27" t="s">
        <v>2501</v>
      </c>
    </row>
    <row r="28" spans="4:13" x14ac:dyDescent="0.3">
      <c r="E28" t="s">
        <v>1309</v>
      </c>
      <c r="F28">
        <v>1</v>
      </c>
      <c r="G28">
        <v>2</v>
      </c>
      <c r="H28" t="s">
        <v>2198</v>
      </c>
      <c r="I28">
        <v>1</v>
      </c>
      <c r="J28">
        <v>0</v>
      </c>
      <c r="K28" s="194" t="s">
        <v>2198</v>
      </c>
      <c r="L28" s="195">
        <f t="shared" si="0"/>
        <v>-2</v>
      </c>
      <c r="M28" t="s">
        <v>2502</v>
      </c>
    </row>
    <row r="29" spans="4:13" x14ac:dyDescent="0.3">
      <c r="E29" t="s">
        <v>2310</v>
      </c>
      <c r="F29">
        <v>6</v>
      </c>
      <c r="G29">
        <v>6</v>
      </c>
      <c r="H29" t="s">
        <v>2198</v>
      </c>
      <c r="I29">
        <v>6</v>
      </c>
      <c r="J29">
        <v>6</v>
      </c>
      <c r="K29" s="194" t="s">
        <v>2382</v>
      </c>
      <c r="L29" s="195">
        <f t="shared" si="0"/>
        <v>0</v>
      </c>
    </row>
    <row r="30" spans="4:13" x14ac:dyDescent="0.3">
      <c r="E30" t="s">
        <v>2311</v>
      </c>
      <c r="F30">
        <v>17</v>
      </c>
      <c r="G30">
        <v>17</v>
      </c>
      <c r="H30" t="s">
        <v>2198</v>
      </c>
      <c r="I30">
        <v>15</v>
      </c>
      <c r="J30">
        <v>15</v>
      </c>
      <c r="K30" s="194" t="s">
        <v>2382</v>
      </c>
      <c r="L30" s="195">
        <f t="shared" si="0"/>
        <v>-2</v>
      </c>
      <c r="M30" t="s">
        <v>2501</v>
      </c>
    </row>
    <row r="31" spans="4:13" x14ac:dyDescent="0.3">
      <c r="E31" t="s">
        <v>2312</v>
      </c>
      <c r="F31">
        <v>45</v>
      </c>
      <c r="G31">
        <v>17</v>
      </c>
      <c r="H31" t="s">
        <v>2198</v>
      </c>
      <c r="I31">
        <v>13</v>
      </c>
      <c r="J31">
        <v>13</v>
      </c>
      <c r="K31" s="194" t="s">
        <v>2374</v>
      </c>
      <c r="L31" s="195">
        <f t="shared" si="0"/>
        <v>-4</v>
      </c>
      <c r="M31" t="s">
        <v>2501</v>
      </c>
    </row>
    <row r="32" spans="4:13" x14ac:dyDescent="0.3">
      <c r="E32" t="s">
        <v>2313</v>
      </c>
      <c r="F32">
        <v>56</v>
      </c>
      <c r="G32">
        <v>33</v>
      </c>
      <c r="H32" t="s">
        <v>2198</v>
      </c>
      <c r="I32">
        <v>26</v>
      </c>
      <c r="J32">
        <v>19</v>
      </c>
      <c r="K32" s="194" t="s">
        <v>2382</v>
      </c>
      <c r="L32" s="195">
        <f t="shared" si="0"/>
        <v>-14</v>
      </c>
      <c r="M32" t="s">
        <v>2501</v>
      </c>
    </row>
    <row r="33" spans="4:13" x14ac:dyDescent="0.3">
      <c r="E33" t="s">
        <v>2314</v>
      </c>
      <c r="F33">
        <v>32</v>
      </c>
      <c r="G33">
        <v>20</v>
      </c>
      <c r="H33" t="s">
        <v>2198</v>
      </c>
      <c r="I33">
        <v>18</v>
      </c>
      <c r="J33">
        <v>18</v>
      </c>
      <c r="K33" s="194" t="s">
        <v>2380</v>
      </c>
      <c r="L33" s="195">
        <f t="shared" si="0"/>
        <v>-2</v>
      </c>
      <c r="M33" t="s">
        <v>2501</v>
      </c>
    </row>
    <row r="34" spans="4:13" x14ac:dyDescent="0.3">
      <c r="E34" t="s">
        <v>2315</v>
      </c>
      <c r="F34">
        <v>6</v>
      </c>
      <c r="G34">
        <v>3</v>
      </c>
      <c r="H34" t="s">
        <v>2198</v>
      </c>
      <c r="I34">
        <v>3</v>
      </c>
      <c r="J34">
        <v>3</v>
      </c>
      <c r="K34" s="194" t="s">
        <v>2382</v>
      </c>
      <c r="L34" s="195">
        <f t="shared" si="0"/>
        <v>0</v>
      </c>
    </row>
    <row r="35" spans="4:13" x14ac:dyDescent="0.3">
      <c r="E35" t="s">
        <v>2316</v>
      </c>
      <c r="F35">
        <v>2</v>
      </c>
      <c r="G35">
        <v>4</v>
      </c>
      <c r="H35" t="s">
        <v>2198</v>
      </c>
      <c r="I35">
        <v>1</v>
      </c>
      <c r="J35">
        <v>1</v>
      </c>
      <c r="K35" s="194" t="s">
        <v>2382</v>
      </c>
      <c r="L35" s="195">
        <f t="shared" si="0"/>
        <v>-3</v>
      </c>
      <c r="M35" t="s">
        <v>2501</v>
      </c>
    </row>
    <row r="36" spans="4:13" x14ac:dyDescent="0.3">
      <c r="E36" t="s">
        <v>2210</v>
      </c>
      <c r="F36">
        <v>5</v>
      </c>
      <c r="G36">
        <v>4</v>
      </c>
      <c r="H36" t="s">
        <v>2198</v>
      </c>
      <c r="I36">
        <v>0</v>
      </c>
      <c r="J36">
        <v>0</v>
      </c>
      <c r="K36" s="194" t="s">
        <v>2198</v>
      </c>
      <c r="L36" s="195">
        <f t="shared" si="0"/>
        <v>-4</v>
      </c>
      <c r="M36" t="s">
        <v>2501</v>
      </c>
    </row>
    <row r="37" spans="4:13" x14ac:dyDescent="0.3">
      <c r="E37" t="s">
        <v>2317</v>
      </c>
      <c r="F37">
        <v>1</v>
      </c>
      <c r="G37">
        <v>1</v>
      </c>
      <c r="H37" t="s">
        <v>2198</v>
      </c>
      <c r="I37">
        <v>1</v>
      </c>
      <c r="J37">
        <v>1</v>
      </c>
      <c r="K37" s="194" t="s">
        <v>2374</v>
      </c>
      <c r="L37" s="195">
        <f t="shared" si="0"/>
        <v>0</v>
      </c>
    </row>
    <row r="38" spans="4:13" x14ac:dyDescent="0.3">
      <c r="F38">
        <v>6</v>
      </c>
      <c r="G38">
        <v>3</v>
      </c>
      <c r="H38" t="s">
        <v>2198</v>
      </c>
      <c r="I38">
        <v>2</v>
      </c>
      <c r="J38">
        <v>2</v>
      </c>
      <c r="K38" s="194" t="s">
        <v>2378</v>
      </c>
      <c r="L38" s="195">
        <f t="shared" si="0"/>
        <v>-1</v>
      </c>
      <c r="M38" t="s">
        <v>2501</v>
      </c>
    </row>
    <row r="39" spans="4:13" x14ac:dyDescent="0.3">
      <c r="E39" t="s">
        <v>2367</v>
      </c>
      <c r="F39">
        <v>5</v>
      </c>
      <c r="G39">
        <v>1</v>
      </c>
      <c r="H39" t="s">
        <v>2198</v>
      </c>
      <c r="I39">
        <v>0</v>
      </c>
      <c r="J39">
        <v>0</v>
      </c>
      <c r="K39" s="194" t="s">
        <v>2198</v>
      </c>
      <c r="L39" s="195">
        <f t="shared" si="0"/>
        <v>-1</v>
      </c>
      <c r="M39" t="s">
        <v>2501</v>
      </c>
    </row>
    <row r="40" spans="4:13" x14ac:dyDescent="0.3">
      <c r="E40" t="s">
        <v>2369</v>
      </c>
      <c r="F40">
        <v>2</v>
      </c>
      <c r="G40">
        <v>1</v>
      </c>
      <c r="H40" t="s">
        <v>2198</v>
      </c>
      <c r="I40">
        <v>0</v>
      </c>
      <c r="J40">
        <v>0</v>
      </c>
      <c r="K40" s="194" t="s">
        <v>2198</v>
      </c>
      <c r="L40" s="195">
        <f t="shared" si="0"/>
        <v>-1</v>
      </c>
      <c r="M40" t="s">
        <v>2501</v>
      </c>
    </row>
    <row r="41" spans="4:13" x14ac:dyDescent="0.3">
      <c r="D41" t="s">
        <v>2347</v>
      </c>
      <c r="E41" t="s">
        <v>1825</v>
      </c>
      <c r="F41">
        <v>5</v>
      </c>
      <c r="G41">
        <v>5</v>
      </c>
      <c r="H41" t="s">
        <v>2198</v>
      </c>
      <c r="I41">
        <v>1</v>
      </c>
      <c r="J41">
        <v>1</v>
      </c>
      <c r="K41" t="s">
        <v>2376</v>
      </c>
      <c r="L41" s="195">
        <f t="shared" si="0"/>
        <v>-4</v>
      </c>
      <c r="M41" t="s">
        <v>2501</v>
      </c>
    </row>
    <row r="42" spans="4:13" x14ac:dyDescent="0.3">
      <c r="E42" t="s">
        <v>1823</v>
      </c>
      <c r="F42">
        <v>32</v>
      </c>
      <c r="G42">
        <v>25</v>
      </c>
      <c r="H42" t="s">
        <v>2198</v>
      </c>
      <c r="I42">
        <v>17</v>
      </c>
      <c r="J42">
        <v>17</v>
      </c>
      <c r="K42" s="194" t="s">
        <v>2376</v>
      </c>
      <c r="L42" s="195">
        <f t="shared" si="0"/>
        <v>-8</v>
      </c>
      <c r="M42" t="s">
        <v>2501</v>
      </c>
    </row>
    <row r="43" spans="4:13" x14ac:dyDescent="0.3">
      <c r="E43" t="s">
        <v>2342</v>
      </c>
      <c r="F43">
        <v>4</v>
      </c>
      <c r="G43">
        <v>3</v>
      </c>
      <c r="H43" t="s">
        <v>2198</v>
      </c>
      <c r="I43" t="s">
        <v>2198</v>
      </c>
      <c r="J43" t="s">
        <v>2198</v>
      </c>
      <c r="K43" s="194" t="s">
        <v>2198</v>
      </c>
      <c r="L43" s="195" t="e">
        <f t="shared" si="0"/>
        <v>#VALUE!</v>
      </c>
      <c r="M43" s="194" t="s">
        <v>2501</v>
      </c>
    </row>
    <row r="44" spans="4:13" x14ac:dyDescent="0.3">
      <c r="E44" t="s">
        <v>2050</v>
      </c>
      <c r="F44">
        <v>4</v>
      </c>
      <c r="G44">
        <v>2</v>
      </c>
      <c r="H44" t="s">
        <v>2198</v>
      </c>
      <c r="I44" t="s">
        <v>2198</v>
      </c>
      <c r="J44" t="s">
        <v>2198</v>
      </c>
      <c r="K44" s="194" t="s">
        <v>2198</v>
      </c>
      <c r="L44" s="195" t="e">
        <f t="shared" si="0"/>
        <v>#VALUE!</v>
      </c>
      <c r="M44" s="194" t="s">
        <v>2501</v>
      </c>
    </row>
    <row r="45" spans="4:13" x14ac:dyDescent="0.3">
      <c r="E45" t="s">
        <v>1951</v>
      </c>
      <c r="F45">
        <v>2</v>
      </c>
      <c r="G45">
        <v>1</v>
      </c>
      <c r="H45" t="s">
        <v>2198</v>
      </c>
      <c r="I45" t="s">
        <v>2198</v>
      </c>
      <c r="J45" t="s">
        <v>2198</v>
      </c>
      <c r="K45" s="194" t="s">
        <v>2198</v>
      </c>
      <c r="L45" s="195" t="e">
        <f t="shared" si="0"/>
        <v>#VALUE!</v>
      </c>
      <c r="M45" s="194" t="s">
        <v>2501</v>
      </c>
    </row>
    <row r="46" spans="4:13" x14ac:dyDescent="0.3">
      <c r="E46" t="s">
        <v>2350</v>
      </c>
      <c r="F46">
        <v>14</v>
      </c>
      <c r="G46">
        <v>9</v>
      </c>
      <c r="H46" t="s">
        <v>2198</v>
      </c>
      <c r="I46">
        <v>4</v>
      </c>
      <c r="J46">
        <v>4</v>
      </c>
      <c r="K46" s="194" t="s">
        <v>2376</v>
      </c>
      <c r="L46" s="195">
        <f t="shared" si="0"/>
        <v>-5</v>
      </c>
      <c r="M46" s="194" t="s">
        <v>2501</v>
      </c>
    </row>
    <row r="47" spans="4:13" x14ac:dyDescent="0.3">
      <c r="E47" t="s">
        <v>2352</v>
      </c>
      <c r="F47">
        <v>11</v>
      </c>
      <c r="G47">
        <v>8</v>
      </c>
      <c r="H47" t="s">
        <v>2198</v>
      </c>
      <c r="I47">
        <v>9</v>
      </c>
      <c r="J47">
        <v>9</v>
      </c>
      <c r="K47" s="194" t="s">
        <v>2376</v>
      </c>
      <c r="L47" s="195">
        <f t="shared" si="0"/>
        <v>1</v>
      </c>
    </row>
    <row r="48" spans="4:13" x14ac:dyDescent="0.3">
      <c r="D48" t="s">
        <v>2340</v>
      </c>
      <c r="E48" t="s">
        <v>1823</v>
      </c>
      <c r="F48">
        <v>6</v>
      </c>
      <c r="G48">
        <v>0</v>
      </c>
      <c r="H48" t="s">
        <v>2198</v>
      </c>
      <c r="I48">
        <v>4</v>
      </c>
      <c r="J48">
        <v>4</v>
      </c>
      <c r="K48" s="194" t="s">
        <v>2198</v>
      </c>
      <c r="L48" s="195">
        <f t="shared" si="0"/>
        <v>4</v>
      </c>
    </row>
    <row r="49" spans="4:13" x14ac:dyDescent="0.3">
      <c r="F49">
        <v>35</v>
      </c>
      <c r="G49">
        <v>25</v>
      </c>
      <c r="H49" t="s">
        <v>2198</v>
      </c>
      <c r="I49">
        <v>5</v>
      </c>
      <c r="J49">
        <v>5</v>
      </c>
      <c r="K49" s="194" t="s">
        <v>2376</v>
      </c>
      <c r="L49" s="195">
        <f t="shared" si="0"/>
        <v>-20</v>
      </c>
      <c r="M49" s="194" t="s">
        <v>2501</v>
      </c>
    </row>
    <row r="50" spans="4:13" x14ac:dyDescent="0.3">
      <c r="E50" t="s">
        <v>2342</v>
      </c>
      <c r="F50">
        <v>18</v>
      </c>
      <c r="G50">
        <v>0</v>
      </c>
      <c r="H50" t="s">
        <v>2198</v>
      </c>
      <c r="I50">
        <v>2</v>
      </c>
      <c r="J50">
        <v>2</v>
      </c>
      <c r="K50" s="194" t="s">
        <v>2198</v>
      </c>
      <c r="L50" s="195">
        <f t="shared" si="0"/>
        <v>2</v>
      </c>
      <c r="M50" s="194" t="s">
        <v>2506</v>
      </c>
    </row>
    <row r="51" spans="4:13" x14ac:dyDescent="0.3">
      <c r="F51">
        <v>76</v>
      </c>
      <c r="G51">
        <v>15</v>
      </c>
      <c r="H51" t="s">
        <v>2198</v>
      </c>
      <c r="I51">
        <v>14</v>
      </c>
      <c r="J51">
        <v>0</v>
      </c>
      <c r="K51" s="194" t="s">
        <v>2198</v>
      </c>
      <c r="L51" s="195">
        <f t="shared" si="0"/>
        <v>-15</v>
      </c>
      <c r="M51" t="s">
        <v>2503</v>
      </c>
    </row>
    <row r="52" spans="4:13" x14ac:dyDescent="0.3">
      <c r="E52" t="s">
        <v>2344</v>
      </c>
      <c r="F52">
        <v>46</v>
      </c>
      <c r="G52">
        <v>0</v>
      </c>
      <c r="H52" t="s">
        <v>2198</v>
      </c>
      <c r="I52">
        <v>6</v>
      </c>
      <c r="J52">
        <v>0</v>
      </c>
      <c r="K52" s="194" t="s">
        <v>2198</v>
      </c>
      <c r="L52" s="195">
        <f t="shared" si="0"/>
        <v>0</v>
      </c>
    </row>
    <row r="53" spans="4:13" x14ac:dyDescent="0.3">
      <c r="D53" t="s">
        <v>764</v>
      </c>
      <c r="E53" t="s">
        <v>2269</v>
      </c>
      <c r="F53">
        <v>1</v>
      </c>
      <c r="G53">
        <v>1</v>
      </c>
      <c r="H53" t="s">
        <v>2197</v>
      </c>
      <c r="I53">
        <v>1</v>
      </c>
      <c r="J53">
        <v>0</v>
      </c>
      <c r="K53" s="194" t="s">
        <v>2198</v>
      </c>
      <c r="L53" s="195">
        <f t="shared" si="0"/>
        <v>-1</v>
      </c>
      <c r="M53" t="s">
        <v>2504</v>
      </c>
    </row>
    <row r="54" spans="4:13" x14ac:dyDescent="0.3">
      <c r="E54" t="s">
        <v>2203</v>
      </c>
      <c r="F54">
        <v>5</v>
      </c>
      <c r="G54">
        <v>2</v>
      </c>
      <c r="H54" t="s">
        <v>2198</v>
      </c>
      <c r="I54">
        <v>3</v>
      </c>
      <c r="J54">
        <v>1</v>
      </c>
      <c r="K54" s="194" t="s">
        <v>2198</v>
      </c>
      <c r="L54" s="195">
        <f t="shared" si="0"/>
        <v>-1</v>
      </c>
      <c r="M54" t="s">
        <v>2497</v>
      </c>
    </row>
    <row r="55" spans="4:13" x14ac:dyDescent="0.3">
      <c r="E55" t="s">
        <v>2328</v>
      </c>
      <c r="F55">
        <v>3</v>
      </c>
      <c r="G55">
        <v>2</v>
      </c>
      <c r="H55" t="s">
        <v>2198</v>
      </c>
      <c r="I55">
        <v>2</v>
      </c>
      <c r="J55">
        <v>1</v>
      </c>
      <c r="K55" s="194" t="s">
        <v>2198</v>
      </c>
      <c r="L55" s="195">
        <f t="shared" si="0"/>
        <v>-1</v>
      </c>
      <c r="M55" t="s">
        <v>2497</v>
      </c>
    </row>
    <row r="56" spans="4:13" x14ac:dyDescent="0.3">
      <c r="E56" t="s">
        <v>2329</v>
      </c>
      <c r="F56">
        <v>25</v>
      </c>
      <c r="G56">
        <v>13</v>
      </c>
      <c r="H56" t="s">
        <v>2198</v>
      </c>
      <c r="I56">
        <v>14</v>
      </c>
      <c r="J56">
        <v>0</v>
      </c>
      <c r="K56" s="194" t="s">
        <v>2198</v>
      </c>
      <c r="L56" s="195">
        <f t="shared" si="0"/>
        <v>-13</v>
      </c>
      <c r="M56" t="s">
        <v>2497</v>
      </c>
    </row>
    <row r="57" spans="4:13" x14ac:dyDescent="0.3">
      <c r="E57" t="s">
        <v>1309</v>
      </c>
      <c r="F57">
        <v>2</v>
      </c>
      <c r="G57">
        <v>0</v>
      </c>
      <c r="H57" t="s">
        <v>2198</v>
      </c>
      <c r="I57">
        <v>2</v>
      </c>
      <c r="J57">
        <v>1</v>
      </c>
      <c r="K57" s="194" t="s">
        <v>2198</v>
      </c>
      <c r="L57" s="195">
        <f t="shared" si="0"/>
        <v>1</v>
      </c>
    </row>
    <row r="58" spans="4:13" x14ac:dyDescent="0.3">
      <c r="E58" t="s">
        <v>777</v>
      </c>
      <c r="F58">
        <v>23</v>
      </c>
      <c r="G58">
        <v>13</v>
      </c>
      <c r="H58" t="s">
        <v>2198</v>
      </c>
      <c r="I58">
        <v>13</v>
      </c>
      <c r="J58">
        <v>13</v>
      </c>
      <c r="K58" s="194" t="s">
        <v>2380</v>
      </c>
      <c r="L58" s="195">
        <f t="shared" si="0"/>
        <v>0</v>
      </c>
    </row>
    <row r="59" spans="4:13" x14ac:dyDescent="0.3">
      <c r="E59" t="s">
        <v>641</v>
      </c>
      <c r="F59">
        <v>13</v>
      </c>
      <c r="G59">
        <v>9</v>
      </c>
      <c r="H59" t="s">
        <v>2198</v>
      </c>
      <c r="I59">
        <v>10</v>
      </c>
      <c r="J59">
        <v>10</v>
      </c>
      <c r="K59" s="194" t="s">
        <v>2380</v>
      </c>
      <c r="L59" s="195">
        <f t="shared" si="0"/>
        <v>1</v>
      </c>
    </row>
    <row r="60" spans="4:13" x14ac:dyDescent="0.3">
      <c r="E60" t="s">
        <v>2271</v>
      </c>
      <c r="F60">
        <v>1</v>
      </c>
      <c r="G60">
        <v>1</v>
      </c>
      <c r="H60" t="s">
        <v>2197</v>
      </c>
      <c r="I60">
        <v>1</v>
      </c>
      <c r="J60">
        <v>0</v>
      </c>
      <c r="K60" s="194" t="s">
        <v>2198</v>
      </c>
      <c r="L60" s="195">
        <f t="shared" si="0"/>
        <v>-1</v>
      </c>
      <c r="M60" t="s">
        <v>2505</v>
      </c>
    </row>
    <row r="61" spans="4:13" x14ac:dyDescent="0.3">
      <c r="D61" s="194" t="s">
        <v>2199</v>
      </c>
      <c r="E61" s="194"/>
      <c r="L61" s="195"/>
    </row>
    <row r="62" spans="4:13" x14ac:dyDescent="0.3">
      <c r="L62" s="195"/>
    </row>
    <row r="63" spans="4:13" x14ac:dyDescent="0.3">
      <c r="L63" s="195"/>
    </row>
    <row r="64" spans="4:13" x14ac:dyDescent="0.3">
      <c r="L64" s="195"/>
    </row>
  </sheetData>
  <phoneticPr fontId="4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C2:P64"/>
  <sheetViews>
    <sheetView showGridLines="0" showZeros="0" tabSelected="1" workbookViewId="0">
      <pane xSplit="5" ySplit="11" topLeftCell="F45" activePane="bottomRight" state="frozen"/>
      <selection pane="topRight" activeCell="F1" sqref="F1"/>
      <selection pane="bottomLeft" activeCell="A12" sqref="A12"/>
      <selection pane="bottomRight" activeCell="D23" sqref="D23:D41"/>
    </sheetView>
  </sheetViews>
  <sheetFormatPr defaultRowHeight="16.5" outlineLevelRow="1" outlineLevelCol="1" x14ac:dyDescent="0.3"/>
  <cols>
    <col min="1" max="2" width="2.875" customWidth="1"/>
    <col min="3" max="3" width="5.5" customWidth="1"/>
    <col min="4" max="4" width="13.375" customWidth="1"/>
    <col min="5" max="5" width="21.625" bestFit="1" customWidth="1"/>
    <col min="6" max="6" width="10.25" style="194" customWidth="1" outlineLevel="1"/>
    <col min="7" max="7" width="10.25" style="194" customWidth="1"/>
    <col min="8" max="8" width="33.75" style="194" customWidth="1"/>
    <col min="9" max="12" width="10.25" style="194" customWidth="1"/>
    <col min="13" max="13" width="53.625" bestFit="1" customWidth="1"/>
    <col min="14" max="14" width="19.5" customWidth="1"/>
    <col min="15" max="15" width="5.25" customWidth="1"/>
    <col min="16" max="16" width="36.625" style="235" customWidth="1"/>
    <col min="17" max="17" width="5.5" bestFit="1" customWidth="1"/>
    <col min="18" max="18" width="14" bestFit="1" customWidth="1"/>
    <col min="19" max="19" width="39" bestFit="1" customWidth="1"/>
    <col min="20" max="20" width="10.375" bestFit="1" customWidth="1"/>
    <col min="21" max="21" width="9.75" bestFit="1" customWidth="1"/>
    <col min="22" max="22" width="8.5" bestFit="1" customWidth="1"/>
    <col min="23" max="23" width="78.875" bestFit="1" customWidth="1"/>
  </cols>
  <sheetData>
    <row r="2" spans="3:16" ht="17.25" outlineLevel="1" x14ac:dyDescent="0.3">
      <c r="D2" s="197" t="s">
        <v>2507</v>
      </c>
      <c r="E2" s="197" t="s">
        <v>2508</v>
      </c>
      <c r="F2" s="343" t="s">
        <v>2514</v>
      </c>
      <c r="G2" s="344"/>
      <c r="H2" s="345"/>
      <c r="I2" s="197" t="s">
        <v>2520</v>
      </c>
      <c r="J2" s="197" t="s">
        <v>2522</v>
      </c>
      <c r="K2" s="197" t="s">
        <v>2523</v>
      </c>
      <c r="L2" s="249" t="s">
        <v>2524</v>
      </c>
      <c r="M2" s="250"/>
      <c r="N2" s="251"/>
      <c r="O2" s="245"/>
    </row>
    <row r="3" spans="3:16" outlineLevel="1" x14ac:dyDescent="0.3">
      <c r="D3" s="198" t="s">
        <v>2374</v>
      </c>
      <c r="E3" s="199" t="s">
        <v>2509</v>
      </c>
      <c r="F3" s="339" t="s">
        <v>2515</v>
      </c>
      <c r="G3" s="340"/>
      <c r="H3" s="341"/>
      <c r="I3" s="199" t="s">
        <v>555</v>
      </c>
      <c r="J3" s="199" t="s">
        <v>555</v>
      </c>
      <c r="K3" s="199" t="s">
        <v>555</v>
      </c>
      <c r="L3" s="248" t="s">
        <v>2525</v>
      </c>
      <c r="M3" s="252"/>
      <c r="N3" s="253"/>
    </row>
    <row r="4" spans="3:16" outlineLevel="1" x14ac:dyDescent="0.3">
      <c r="D4" s="198" t="s">
        <v>2376</v>
      </c>
      <c r="E4" s="199" t="s">
        <v>2510</v>
      </c>
      <c r="F4" s="339" t="s">
        <v>2516</v>
      </c>
      <c r="G4" s="340"/>
      <c r="H4" s="341"/>
      <c r="I4" s="199" t="s">
        <v>555</v>
      </c>
      <c r="J4" s="199" t="s">
        <v>555</v>
      </c>
      <c r="K4" s="199" t="s">
        <v>2521</v>
      </c>
      <c r="L4" s="248" t="s">
        <v>2526</v>
      </c>
      <c r="M4" s="252"/>
      <c r="N4" s="253"/>
    </row>
    <row r="5" spans="3:16" outlineLevel="1" x14ac:dyDescent="0.3">
      <c r="D5" s="198" t="s">
        <v>2378</v>
      </c>
      <c r="E5" s="199" t="s">
        <v>2511</v>
      </c>
      <c r="F5" s="339" t="s">
        <v>2517</v>
      </c>
      <c r="G5" s="340"/>
      <c r="H5" s="341"/>
      <c r="I5" s="199" t="s">
        <v>2521</v>
      </c>
      <c r="J5" s="199" t="s">
        <v>555</v>
      </c>
      <c r="K5" s="199" t="s">
        <v>555</v>
      </c>
      <c r="L5" s="248" t="s">
        <v>2527</v>
      </c>
      <c r="M5" s="252"/>
      <c r="N5" s="253"/>
    </row>
    <row r="6" spans="3:16" outlineLevel="1" x14ac:dyDescent="0.3">
      <c r="D6" s="198" t="s">
        <v>2380</v>
      </c>
      <c r="E6" s="199" t="s">
        <v>2512</v>
      </c>
      <c r="F6" s="339" t="s">
        <v>2518</v>
      </c>
      <c r="G6" s="340"/>
      <c r="H6" s="341"/>
      <c r="I6" s="199" t="s">
        <v>555</v>
      </c>
      <c r="J6" s="199" t="s">
        <v>555</v>
      </c>
      <c r="K6" s="199" t="s">
        <v>450</v>
      </c>
      <c r="L6" s="248"/>
      <c r="M6" s="252"/>
      <c r="N6" s="253"/>
    </row>
    <row r="7" spans="3:16" outlineLevel="1" x14ac:dyDescent="0.3">
      <c r="D7" s="198" t="s">
        <v>2382</v>
      </c>
      <c r="E7" s="199" t="s">
        <v>2513</v>
      </c>
      <c r="F7" s="339" t="s">
        <v>2519</v>
      </c>
      <c r="G7" s="340"/>
      <c r="H7" s="341"/>
      <c r="I7" s="199" t="s">
        <v>555</v>
      </c>
      <c r="J7" s="199" t="s">
        <v>450</v>
      </c>
      <c r="K7" s="199" t="s">
        <v>450</v>
      </c>
      <c r="L7" s="248"/>
      <c r="M7" s="252"/>
      <c r="N7" s="253"/>
    </row>
    <row r="8" spans="3:16" x14ac:dyDescent="0.3">
      <c r="H8"/>
    </row>
    <row r="9" spans="3:16" x14ac:dyDescent="0.3">
      <c r="H9"/>
    </row>
    <row r="10" spans="3:16" x14ac:dyDescent="0.3">
      <c r="H10"/>
    </row>
    <row r="11" spans="3:16" ht="17.25" x14ac:dyDescent="0.3">
      <c r="C11" s="326" t="s">
        <v>2639</v>
      </c>
      <c r="D11" s="329" t="s">
        <v>2646</v>
      </c>
      <c r="E11" s="215" t="s">
        <v>2354</v>
      </c>
      <c r="F11" s="215" t="s">
        <v>2359</v>
      </c>
      <c r="G11" s="215" t="s">
        <v>2493</v>
      </c>
      <c r="H11" s="215" t="s">
        <v>2544</v>
      </c>
      <c r="I11" s="215" t="s">
        <v>2495</v>
      </c>
      <c r="J11" s="215" t="s">
        <v>2494</v>
      </c>
      <c r="K11" s="215" t="s">
        <v>2389</v>
      </c>
      <c r="L11" s="215" t="s">
        <v>2496</v>
      </c>
      <c r="M11" s="216" t="s">
        <v>2384</v>
      </c>
      <c r="N11" s="244" t="s">
        <v>2554</v>
      </c>
      <c r="P11" s="247" t="s">
        <v>2556</v>
      </c>
    </row>
    <row r="12" spans="3:16" ht="17.25" outlineLevel="1" x14ac:dyDescent="0.3">
      <c r="C12" s="334" t="s">
        <v>2640</v>
      </c>
      <c r="D12" s="337" t="s">
        <v>556</v>
      </c>
      <c r="E12" s="203" t="s">
        <v>2456</v>
      </c>
      <c r="F12" s="217">
        <v>3</v>
      </c>
      <c r="G12" s="217">
        <v>2</v>
      </c>
      <c r="H12" s="204"/>
      <c r="I12" s="217">
        <v>2</v>
      </c>
      <c r="J12" s="217">
        <v>2</v>
      </c>
      <c r="K12" s="217" t="s">
        <v>2380</v>
      </c>
      <c r="L12" s="205">
        <v>0</v>
      </c>
      <c r="M12" s="206"/>
      <c r="N12" s="245">
        <f>I12-J12</f>
        <v>0</v>
      </c>
      <c r="O12" s="245"/>
    </row>
    <row r="13" spans="3:16" ht="17.25" outlineLevel="1" x14ac:dyDescent="0.3">
      <c r="C13" s="335"/>
      <c r="D13" s="332"/>
      <c r="E13" s="207" t="s">
        <v>2451</v>
      </c>
      <c r="F13" s="218">
        <v>2</v>
      </c>
      <c r="G13" s="218">
        <v>1</v>
      </c>
      <c r="H13" s="208" t="s">
        <v>2528</v>
      </c>
      <c r="I13" s="218">
        <v>1</v>
      </c>
      <c r="J13" s="218">
        <v>0</v>
      </c>
      <c r="K13" s="218"/>
      <c r="L13" s="209">
        <v>-1</v>
      </c>
      <c r="M13" s="210" t="s">
        <v>2498</v>
      </c>
      <c r="N13" s="245">
        <f t="shared" ref="N13:N60" si="0">I13-J13</f>
        <v>1</v>
      </c>
      <c r="O13" s="245"/>
    </row>
    <row r="14" spans="3:16" ht="17.25" outlineLevel="1" x14ac:dyDescent="0.3">
      <c r="C14" s="335"/>
      <c r="D14" s="332"/>
      <c r="E14" s="207" t="s">
        <v>2258</v>
      </c>
      <c r="F14" s="218">
        <v>2</v>
      </c>
      <c r="G14" s="218">
        <v>1</v>
      </c>
      <c r="H14" s="208" t="s">
        <v>2528</v>
      </c>
      <c r="I14" s="218">
        <v>2</v>
      </c>
      <c r="J14" s="218">
        <v>1</v>
      </c>
      <c r="K14" s="218" t="s">
        <v>2380</v>
      </c>
      <c r="L14" s="209">
        <v>0</v>
      </c>
      <c r="M14" s="210"/>
      <c r="N14" s="245">
        <f t="shared" si="0"/>
        <v>1</v>
      </c>
      <c r="O14" s="245"/>
    </row>
    <row r="15" spans="3:16" ht="17.25" outlineLevel="1" x14ac:dyDescent="0.3">
      <c r="C15" s="335"/>
      <c r="D15" s="332"/>
      <c r="E15" s="328" t="s">
        <v>2449</v>
      </c>
      <c r="F15" s="221">
        <v>4</v>
      </c>
      <c r="G15" s="221">
        <v>2</v>
      </c>
      <c r="H15" s="220"/>
      <c r="I15" s="221">
        <v>2</v>
      </c>
      <c r="J15" s="221">
        <v>1</v>
      </c>
      <c r="K15" s="221" t="s">
        <v>2380</v>
      </c>
      <c r="L15" s="222">
        <v>-1</v>
      </c>
      <c r="M15" s="223" t="s">
        <v>2497</v>
      </c>
      <c r="N15" s="245">
        <f t="shared" si="0"/>
        <v>1</v>
      </c>
      <c r="O15" s="245"/>
    </row>
    <row r="16" spans="3:16" ht="17.25" outlineLevel="1" x14ac:dyDescent="0.3">
      <c r="C16" s="335"/>
      <c r="D16" s="332"/>
      <c r="E16" s="328" t="s">
        <v>2448</v>
      </c>
      <c r="F16" s="221">
        <v>2</v>
      </c>
      <c r="G16" s="221">
        <v>1</v>
      </c>
      <c r="H16" s="220"/>
      <c r="I16" s="221">
        <v>1</v>
      </c>
      <c r="J16" s="221">
        <v>0</v>
      </c>
      <c r="K16" s="221"/>
      <c r="L16" s="222">
        <v>-1</v>
      </c>
      <c r="M16" s="223" t="s">
        <v>2497</v>
      </c>
      <c r="N16" s="245">
        <f t="shared" si="0"/>
        <v>1</v>
      </c>
      <c r="O16" s="245"/>
    </row>
    <row r="17" spans="3:16" ht="17.25" outlineLevel="1" x14ac:dyDescent="0.3">
      <c r="C17" s="335"/>
      <c r="D17" s="332"/>
      <c r="E17" s="207" t="s">
        <v>2445</v>
      </c>
      <c r="F17" s="218">
        <v>11</v>
      </c>
      <c r="G17" s="218">
        <v>6</v>
      </c>
      <c r="H17" s="208"/>
      <c r="I17" s="218">
        <v>6</v>
      </c>
      <c r="J17" s="218">
        <v>6</v>
      </c>
      <c r="K17" s="218" t="s">
        <v>2380</v>
      </c>
      <c r="L17" s="209">
        <v>0</v>
      </c>
      <c r="M17" s="210"/>
      <c r="N17" s="245">
        <f t="shared" si="0"/>
        <v>0</v>
      </c>
      <c r="O17" s="245"/>
    </row>
    <row r="18" spans="3:16" ht="17.25" outlineLevel="1" x14ac:dyDescent="0.3">
      <c r="C18" s="335"/>
      <c r="D18" s="332"/>
      <c r="E18" s="328" t="s">
        <v>2452</v>
      </c>
      <c r="F18" s="221">
        <v>3</v>
      </c>
      <c r="G18" s="221">
        <v>1</v>
      </c>
      <c r="H18" s="220"/>
      <c r="I18" s="221">
        <v>2</v>
      </c>
      <c r="J18" s="221">
        <v>2</v>
      </c>
      <c r="K18" s="221" t="s">
        <v>2382</v>
      </c>
      <c r="L18" s="222">
        <v>1</v>
      </c>
      <c r="M18" s="223"/>
      <c r="N18" s="245">
        <f t="shared" si="0"/>
        <v>0</v>
      </c>
      <c r="O18" s="245"/>
    </row>
    <row r="19" spans="3:16" ht="17.25" outlineLevel="1" x14ac:dyDescent="0.3">
      <c r="C19" s="335"/>
      <c r="D19" s="332"/>
      <c r="E19" s="328" t="s">
        <v>2259</v>
      </c>
      <c r="F19" s="221">
        <v>2</v>
      </c>
      <c r="G19" s="221">
        <v>1</v>
      </c>
      <c r="H19" s="220" t="s">
        <v>2528</v>
      </c>
      <c r="I19" s="221">
        <v>1</v>
      </c>
      <c r="J19" s="221">
        <v>0</v>
      </c>
      <c r="K19" s="221" t="s">
        <v>2382</v>
      </c>
      <c r="L19" s="222">
        <v>-1</v>
      </c>
      <c r="M19" s="223" t="s">
        <v>2498</v>
      </c>
      <c r="N19" s="245">
        <f t="shared" si="0"/>
        <v>1</v>
      </c>
      <c r="O19" s="245"/>
    </row>
    <row r="20" spans="3:16" ht="17.25" outlineLevel="1" x14ac:dyDescent="0.3">
      <c r="C20" s="335"/>
      <c r="D20" s="332"/>
      <c r="E20" s="328" t="s">
        <v>2457</v>
      </c>
      <c r="F20" s="221">
        <v>2</v>
      </c>
      <c r="G20" s="221">
        <v>0</v>
      </c>
      <c r="H20" s="220"/>
      <c r="I20" s="221">
        <v>1</v>
      </c>
      <c r="J20" s="221">
        <v>0</v>
      </c>
      <c r="K20" s="221" t="s">
        <v>2382</v>
      </c>
      <c r="L20" s="222">
        <v>0</v>
      </c>
      <c r="M20" s="223"/>
      <c r="N20" s="245">
        <f t="shared" si="0"/>
        <v>1</v>
      </c>
      <c r="O20" s="245"/>
    </row>
    <row r="21" spans="3:16" ht="17.25" outlineLevel="1" x14ac:dyDescent="0.3">
      <c r="C21" s="335"/>
      <c r="D21" s="332"/>
      <c r="E21" s="207" t="s">
        <v>2444</v>
      </c>
      <c r="F21" s="218">
        <v>4</v>
      </c>
      <c r="G21" s="218">
        <v>1</v>
      </c>
      <c r="H21" s="208"/>
      <c r="I21" s="218">
        <v>4</v>
      </c>
      <c r="J21" s="218">
        <v>3</v>
      </c>
      <c r="K21" s="218" t="s">
        <v>2380</v>
      </c>
      <c r="L21" s="209">
        <v>2</v>
      </c>
      <c r="M21" s="210"/>
      <c r="N21" s="245">
        <f t="shared" si="0"/>
        <v>1</v>
      </c>
      <c r="O21" s="245"/>
    </row>
    <row r="22" spans="3:16" ht="17.25" outlineLevel="1" x14ac:dyDescent="0.3">
      <c r="C22" s="336"/>
      <c r="D22" s="338"/>
      <c r="E22" s="211" t="s">
        <v>2454</v>
      </c>
      <c r="F22" s="219">
        <v>4</v>
      </c>
      <c r="G22" s="219">
        <v>1</v>
      </c>
      <c r="H22" s="212"/>
      <c r="I22" s="219">
        <v>1</v>
      </c>
      <c r="J22" s="219">
        <v>1</v>
      </c>
      <c r="K22" s="219" t="s">
        <v>2380</v>
      </c>
      <c r="L22" s="213">
        <v>0</v>
      </c>
      <c r="M22" s="214"/>
      <c r="N22" s="245">
        <f t="shared" si="0"/>
        <v>0</v>
      </c>
      <c r="O22" s="245"/>
    </row>
    <row r="23" spans="3:16" ht="17.25" outlineLevel="1" x14ac:dyDescent="0.3">
      <c r="C23" s="334" t="s">
        <v>2647</v>
      </c>
      <c r="D23" s="331" t="s">
        <v>2201</v>
      </c>
      <c r="E23" s="203" t="s">
        <v>2269</v>
      </c>
      <c r="F23" s="217">
        <v>1</v>
      </c>
      <c r="G23" s="217">
        <v>0</v>
      </c>
      <c r="H23" s="204" t="s">
        <v>2530</v>
      </c>
      <c r="I23" s="217">
        <v>1</v>
      </c>
      <c r="J23" s="217">
        <v>0</v>
      </c>
      <c r="K23" s="224"/>
      <c r="L23" s="225">
        <v>0</v>
      </c>
      <c r="M23" s="226"/>
      <c r="N23" s="245">
        <f t="shared" si="0"/>
        <v>1</v>
      </c>
      <c r="O23" s="245"/>
    </row>
    <row r="24" spans="3:16" ht="17.25" outlineLevel="1" x14ac:dyDescent="0.3">
      <c r="C24" s="335"/>
      <c r="D24" s="332"/>
      <c r="E24" s="207" t="s">
        <v>2203</v>
      </c>
      <c r="F24" s="218">
        <v>2</v>
      </c>
      <c r="G24" s="218">
        <v>0</v>
      </c>
      <c r="H24" s="208" t="s">
        <v>2529</v>
      </c>
      <c r="I24" s="218">
        <v>1</v>
      </c>
      <c r="J24" s="218">
        <v>0</v>
      </c>
      <c r="K24" s="227"/>
      <c r="L24" s="228">
        <v>0</v>
      </c>
      <c r="M24" s="229"/>
      <c r="N24" s="245">
        <f t="shared" si="0"/>
        <v>1</v>
      </c>
      <c r="O24" s="245"/>
    </row>
    <row r="25" spans="3:16" ht="17.25" outlineLevel="1" x14ac:dyDescent="0.3">
      <c r="C25" s="335"/>
      <c r="D25" s="332"/>
      <c r="E25" s="207" t="s">
        <v>2531</v>
      </c>
      <c r="F25" s="218">
        <v>2</v>
      </c>
      <c r="G25" s="218">
        <v>2</v>
      </c>
      <c r="H25" s="208" t="s">
        <v>2529</v>
      </c>
      <c r="I25" s="218">
        <v>1</v>
      </c>
      <c r="J25" s="218">
        <v>0</v>
      </c>
      <c r="K25" s="227"/>
      <c r="L25" s="230">
        <v>-2</v>
      </c>
      <c r="M25" s="234" t="s">
        <v>2532</v>
      </c>
      <c r="N25" s="245">
        <f t="shared" si="0"/>
        <v>1</v>
      </c>
      <c r="O25" s="245"/>
      <c r="P25" s="236" t="s">
        <v>2533</v>
      </c>
    </row>
    <row r="26" spans="3:16" ht="17.25" outlineLevel="1" x14ac:dyDescent="0.3">
      <c r="C26" s="335"/>
      <c r="D26" s="332"/>
      <c r="E26" s="207" t="s">
        <v>2306</v>
      </c>
      <c r="F26" s="218">
        <v>1</v>
      </c>
      <c r="G26" s="218">
        <v>1</v>
      </c>
      <c r="H26" s="208"/>
      <c r="I26" s="218">
        <v>1</v>
      </c>
      <c r="J26" s="218">
        <v>0</v>
      </c>
      <c r="K26" s="227"/>
      <c r="L26" s="228">
        <v>-1</v>
      </c>
      <c r="M26" s="229" t="s">
        <v>2500</v>
      </c>
      <c r="N26" s="245">
        <f t="shared" si="0"/>
        <v>1</v>
      </c>
      <c r="O26" s="245"/>
      <c r="P26" s="342" t="s">
        <v>2534</v>
      </c>
    </row>
    <row r="27" spans="3:16" ht="17.25" outlineLevel="1" x14ac:dyDescent="0.3">
      <c r="C27" s="335"/>
      <c r="D27" s="332"/>
      <c r="E27" s="207" t="s">
        <v>2307</v>
      </c>
      <c r="F27" s="218">
        <v>2</v>
      </c>
      <c r="G27" s="218">
        <v>0</v>
      </c>
      <c r="H27" s="208"/>
      <c r="I27" s="218">
        <v>1</v>
      </c>
      <c r="J27" s="218">
        <v>1</v>
      </c>
      <c r="K27" s="227"/>
      <c r="L27" s="228">
        <v>1</v>
      </c>
      <c r="M27" s="229"/>
      <c r="N27" s="245">
        <f t="shared" si="0"/>
        <v>0</v>
      </c>
      <c r="O27" s="245"/>
      <c r="P27" s="342"/>
    </row>
    <row r="28" spans="3:16" ht="17.25" outlineLevel="1" x14ac:dyDescent="0.3">
      <c r="C28" s="335"/>
      <c r="D28" s="332"/>
      <c r="E28" s="207" t="s">
        <v>2329</v>
      </c>
      <c r="F28" s="218">
        <v>28</v>
      </c>
      <c r="G28" s="218">
        <v>18</v>
      </c>
      <c r="H28" s="208"/>
      <c r="I28" s="218">
        <v>12</v>
      </c>
      <c r="J28" s="218">
        <v>12</v>
      </c>
      <c r="K28" s="227" t="s">
        <v>2374</v>
      </c>
      <c r="L28" s="228">
        <v>-6</v>
      </c>
      <c r="M28" s="229" t="s">
        <v>2501</v>
      </c>
      <c r="N28" s="245">
        <f t="shared" si="0"/>
        <v>0</v>
      </c>
      <c r="O28" s="245"/>
      <c r="P28" s="236" t="s">
        <v>2535</v>
      </c>
    </row>
    <row r="29" spans="3:16" ht="17.25" outlineLevel="1" x14ac:dyDescent="0.3">
      <c r="C29" s="335"/>
      <c r="D29" s="332"/>
      <c r="E29" s="207" t="s">
        <v>1309</v>
      </c>
      <c r="F29" s="237">
        <v>1</v>
      </c>
      <c r="G29" s="237">
        <v>2</v>
      </c>
      <c r="H29" s="208"/>
      <c r="I29" s="218">
        <v>1</v>
      </c>
      <c r="J29" s="218">
        <v>0</v>
      </c>
      <c r="K29" s="227"/>
      <c r="L29" s="228">
        <v>-2</v>
      </c>
      <c r="M29" s="229" t="s">
        <v>2502</v>
      </c>
      <c r="N29" s="245">
        <f t="shared" si="0"/>
        <v>1</v>
      </c>
      <c r="O29" s="245"/>
      <c r="P29" s="236" t="s">
        <v>2536</v>
      </c>
    </row>
    <row r="30" spans="3:16" ht="17.25" outlineLevel="1" x14ac:dyDescent="0.3">
      <c r="C30" s="335"/>
      <c r="D30" s="332"/>
      <c r="E30" s="207" t="s">
        <v>2310</v>
      </c>
      <c r="F30" s="218">
        <v>6</v>
      </c>
      <c r="G30" s="218">
        <v>6</v>
      </c>
      <c r="H30" s="208"/>
      <c r="I30" s="218">
        <v>6</v>
      </c>
      <c r="J30" s="218">
        <v>6</v>
      </c>
      <c r="K30" s="227" t="s">
        <v>2382</v>
      </c>
      <c r="L30" s="228">
        <v>0</v>
      </c>
      <c r="M30" s="229"/>
      <c r="N30" s="245">
        <f t="shared" si="0"/>
        <v>0</v>
      </c>
      <c r="O30" s="245"/>
    </row>
    <row r="31" spans="3:16" ht="17.25" outlineLevel="1" x14ac:dyDescent="0.3">
      <c r="C31" s="335"/>
      <c r="D31" s="332"/>
      <c r="E31" s="207" t="s">
        <v>2311</v>
      </c>
      <c r="F31" s="218">
        <v>17</v>
      </c>
      <c r="G31" s="218">
        <v>17</v>
      </c>
      <c r="H31" s="208"/>
      <c r="I31" s="218">
        <v>15</v>
      </c>
      <c r="J31" s="218">
        <v>15</v>
      </c>
      <c r="K31" s="227" t="s">
        <v>2382</v>
      </c>
      <c r="L31" s="228">
        <v>-2</v>
      </c>
      <c r="M31" s="229" t="s">
        <v>2501</v>
      </c>
      <c r="N31" s="245">
        <f t="shared" si="0"/>
        <v>0</v>
      </c>
      <c r="O31" s="245"/>
    </row>
    <row r="32" spans="3:16" ht="17.25" outlineLevel="1" x14ac:dyDescent="0.3">
      <c r="C32" s="335"/>
      <c r="D32" s="332"/>
      <c r="E32" s="207" t="s">
        <v>2312</v>
      </c>
      <c r="F32" s="218">
        <v>45</v>
      </c>
      <c r="G32" s="218">
        <v>17</v>
      </c>
      <c r="H32" s="208"/>
      <c r="I32" s="218">
        <v>13</v>
      </c>
      <c r="J32" s="218">
        <v>13</v>
      </c>
      <c r="K32" s="227" t="s">
        <v>2374</v>
      </c>
      <c r="L32" s="228">
        <v>-4</v>
      </c>
      <c r="M32" s="229" t="s">
        <v>2501</v>
      </c>
      <c r="N32" s="245">
        <f t="shared" si="0"/>
        <v>0</v>
      </c>
      <c r="O32" s="245"/>
      <c r="P32" s="236" t="s">
        <v>2537</v>
      </c>
    </row>
    <row r="33" spans="3:16" ht="17.25" outlineLevel="1" x14ac:dyDescent="0.3">
      <c r="C33" s="335"/>
      <c r="D33" s="332"/>
      <c r="E33" s="207" t="s">
        <v>2313</v>
      </c>
      <c r="F33" s="218">
        <v>56</v>
      </c>
      <c r="G33" s="218">
        <v>33</v>
      </c>
      <c r="H33" s="208"/>
      <c r="I33" s="218">
        <v>26</v>
      </c>
      <c r="J33" s="218">
        <v>19</v>
      </c>
      <c r="K33" s="227" t="s">
        <v>2382</v>
      </c>
      <c r="L33" s="228">
        <v>-14</v>
      </c>
      <c r="M33" s="229" t="s">
        <v>2501</v>
      </c>
      <c r="N33" s="245">
        <f t="shared" si="0"/>
        <v>7</v>
      </c>
      <c r="O33" s="245"/>
    </row>
    <row r="34" spans="3:16" ht="17.25" outlineLevel="1" x14ac:dyDescent="0.3">
      <c r="C34" s="335"/>
      <c r="D34" s="332"/>
      <c r="E34" s="207" t="s">
        <v>2314</v>
      </c>
      <c r="F34" s="218">
        <v>32</v>
      </c>
      <c r="G34" s="218">
        <v>20</v>
      </c>
      <c r="H34" s="208"/>
      <c r="I34" s="218">
        <v>18</v>
      </c>
      <c r="J34" s="218">
        <v>18</v>
      </c>
      <c r="K34" s="227" t="s">
        <v>2380</v>
      </c>
      <c r="L34" s="228">
        <v>-2</v>
      </c>
      <c r="M34" s="229" t="s">
        <v>2501</v>
      </c>
      <c r="N34" s="245">
        <f t="shared" si="0"/>
        <v>0</v>
      </c>
      <c r="O34" s="245"/>
    </row>
    <row r="35" spans="3:16" ht="17.25" outlineLevel="1" x14ac:dyDescent="0.3">
      <c r="C35" s="335"/>
      <c r="D35" s="332"/>
      <c r="E35" s="207" t="s">
        <v>2315</v>
      </c>
      <c r="F35" s="218">
        <v>6</v>
      </c>
      <c r="G35" s="218">
        <v>3</v>
      </c>
      <c r="H35" s="208"/>
      <c r="I35" s="218">
        <v>3</v>
      </c>
      <c r="J35" s="218">
        <v>3</v>
      </c>
      <c r="K35" s="227" t="s">
        <v>2382</v>
      </c>
      <c r="L35" s="228">
        <v>0</v>
      </c>
      <c r="M35" s="229"/>
      <c r="N35" s="245">
        <f t="shared" si="0"/>
        <v>0</v>
      </c>
      <c r="O35" s="245"/>
    </row>
    <row r="36" spans="3:16" ht="17.25" outlineLevel="1" x14ac:dyDescent="0.3">
      <c r="C36" s="335"/>
      <c r="D36" s="332"/>
      <c r="E36" s="207" t="s">
        <v>2316</v>
      </c>
      <c r="F36" s="237">
        <v>2</v>
      </c>
      <c r="G36" s="237">
        <v>4</v>
      </c>
      <c r="H36" s="208"/>
      <c r="I36" s="218">
        <v>1</v>
      </c>
      <c r="J36" s="218">
        <v>1</v>
      </c>
      <c r="K36" s="227" t="s">
        <v>2382</v>
      </c>
      <c r="L36" s="228">
        <v>-3</v>
      </c>
      <c r="M36" s="229" t="s">
        <v>2501</v>
      </c>
      <c r="N36" s="245">
        <f t="shared" si="0"/>
        <v>0</v>
      </c>
      <c r="O36" s="245"/>
      <c r="P36" s="236" t="s">
        <v>2536</v>
      </c>
    </row>
    <row r="37" spans="3:16" ht="17.25" outlineLevel="1" x14ac:dyDescent="0.3">
      <c r="C37" s="335"/>
      <c r="D37" s="332"/>
      <c r="E37" s="207" t="s">
        <v>2210</v>
      </c>
      <c r="F37" s="218">
        <v>5</v>
      </c>
      <c r="G37" s="218">
        <v>4</v>
      </c>
      <c r="H37" s="208"/>
      <c r="I37" s="218">
        <v>0</v>
      </c>
      <c r="J37" s="218">
        <v>0</v>
      </c>
      <c r="K37" s="227"/>
      <c r="L37" s="228">
        <v>-4</v>
      </c>
      <c r="M37" s="229" t="s">
        <v>2501</v>
      </c>
      <c r="N37" s="245">
        <f t="shared" si="0"/>
        <v>0</v>
      </c>
      <c r="O37" s="245"/>
      <c r="P37" s="236" t="s">
        <v>2538</v>
      </c>
    </row>
    <row r="38" spans="3:16" ht="17.25" outlineLevel="1" x14ac:dyDescent="0.3">
      <c r="C38" s="335"/>
      <c r="D38" s="332"/>
      <c r="E38" s="207" t="s">
        <v>2317</v>
      </c>
      <c r="F38" s="218">
        <v>1</v>
      </c>
      <c r="G38" s="218">
        <v>1</v>
      </c>
      <c r="H38" s="208"/>
      <c r="I38" s="218">
        <v>1</v>
      </c>
      <c r="J38" s="218">
        <v>1</v>
      </c>
      <c r="K38" s="227" t="s">
        <v>2374</v>
      </c>
      <c r="L38" s="228">
        <v>0</v>
      </c>
      <c r="M38" s="229"/>
      <c r="N38" s="245">
        <f t="shared" si="0"/>
        <v>0</v>
      </c>
      <c r="O38" s="245"/>
    </row>
    <row r="39" spans="3:16" ht="17.25" outlineLevel="1" x14ac:dyDescent="0.3">
      <c r="C39" s="335"/>
      <c r="D39" s="332"/>
      <c r="E39" s="207" t="s">
        <v>2317</v>
      </c>
      <c r="F39" s="218">
        <v>6</v>
      </c>
      <c r="G39" s="218">
        <v>3</v>
      </c>
      <c r="H39" s="208"/>
      <c r="I39" s="218">
        <v>2</v>
      </c>
      <c r="J39" s="218">
        <v>2</v>
      </c>
      <c r="K39" s="227" t="s">
        <v>2378</v>
      </c>
      <c r="L39" s="228">
        <v>-1</v>
      </c>
      <c r="M39" s="229" t="s">
        <v>2539</v>
      </c>
      <c r="N39" s="245">
        <f t="shared" si="0"/>
        <v>0</v>
      </c>
      <c r="O39" s="245"/>
    </row>
    <row r="40" spans="3:16" ht="17.25" outlineLevel="1" x14ac:dyDescent="0.3">
      <c r="C40" s="335"/>
      <c r="D40" s="332"/>
      <c r="E40" s="207" t="s">
        <v>2367</v>
      </c>
      <c r="F40" s="218">
        <v>5</v>
      </c>
      <c r="G40" s="218">
        <v>1</v>
      </c>
      <c r="H40" s="208"/>
      <c r="I40" s="218">
        <v>0</v>
      </c>
      <c r="J40" s="218">
        <v>0</v>
      </c>
      <c r="K40" s="227"/>
      <c r="L40" s="228">
        <v>-1</v>
      </c>
      <c r="M40" s="229" t="s">
        <v>2501</v>
      </c>
      <c r="N40" s="245">
        <f t="shared" si="0"/>
        <v>0</v>
      </c>
      <c r="O40" s="245"/>
      <c r="P40" s="236" t="s">
        <v>2540</v>
      </c>
    </row>
    <row r="41" spans="3:16" ht="17.25" outlineLevel="1" x14ac:dyDescent="0.3">
      <c r="C41" s="336"/>
      <c r="D41" s="338"/>
      <c r="E41" s="211" t="s">
        <v>2369</v>
      </c>
      <c r="F41" s="219">
        <v>2</v>
      </c>
      <c r="G41" s="219">
        <v>1</v>
      </c>
      <c r="H41" s="212"/>
      <c r="I41" s="219">
        <v>0</v>
      </c>
      <c r="J41" s="219">
        <v>0</v>
      </c>
      <c r="K41" s="231"/>
      <c r="L41" s="232">
        <v>-1</v>
      </c>
      <c r="M41" s="233" t="s">
        <v>2501</v>
      </c>
      <c r="N41" s="245">
        <f t="shared" si="0"/>
        <v>0</v>
      </c>
      <c r="O41" s="245"/>
      <c r="P41" s="236" t="s">
        <v>2540</v>
      </c>
    </row>
    <row r="42" spans="3:16" ht="17.25" outlineLevel="1" x14ac:dyDescent="0.3">
      <c r="C42" s="334" t="s">
        <v>2642</v>
      </c>
      <c r="D42" s="331" t="s">
        <v>2347</v>
      </c>
      <c r="E42" s="203" t="s">
        <v>2541</v>
      </c>
      <c r="F42" s="217">
        <v>5</v>
      </c>
      <c r="G42" s="217">
        <v>5</v>
      </c>
      <c r="H42" s="204"/>
      <c r="I42" s="224">
        <v>1</v>
      </c>
      <c r="J42" s="224">
        <v>1</v>
      </c>
      <c r="K42" s="224" t="s">
        <v>2376</v>
      </c>
      <c r="L42" s="225">
        <v>-5</v>
      </c>
      <c r="M42" s="238" t="s">
        <v>2501</v>
      </c>
      <c r="N42" s="245">
        <f t="shared" si="0"/>
        <v>0</v>
      </c>
      <c r="O42" s="245"/>
      <c r="P42" s="236" t="s">
        <v>2545</v>
      </c>
    </row>
    <row r="43" spans="3:16" ht="17.25" outlineLevel="1" x14ac:dyDescent="0.3">
      <c r="C43" s="335"/>
      <c r="D43" s="332"/>
      <c r="E43" s="207" t="s">
        <v>2542</v>
      </c>
      <c r="F43" s="218">
        <v>32</v>
      </c>
      <c r="G43" s="218">
        <v>25</v>
      </c>
      <c r="H43" s="208"/>
      <c r="I43" s="218">
        <v>17</v>
      </c>
      <c r="J43" s="218">
        <v>17</v>
      </c>
      <c r="K43" s="218" t="s">
        <v>2376</v>
      </c>
      <c r="L43" s="209">
        <v>-8</v>
      </c>
      <c r="M43" s="239" t="s">
        <v>2501</v>
      </c>
      <c r="N43" s="245">
        <f t="shared" si="0"/>
        <v>0</v>
      </c>
      <c r="O43" s="245"/>
    </row>
    <row r="44" spans="3:16" ht="17.25" outlineLevel="1" x14ac:dyDescent="0.3">
      <c r="C44" s="335"/>
      <c r="D44" s="332"/>
      <c r="E44" s="207" t="s">
        <v>2543</v>
      </c>
      <c r="F44" s="218">
        <v>4</v>
      </c>
      <c r="G44" s="218">
        <v>3</v>
      </c>
      <c r="H44" s="208"/>
      <c r="I44" s="218"/>
      <c r="J44" s="218"/>
      <c r="K44" s="218"/>
      <c r="L44" s="209">
        <f>J44-G44</f>
        <v>-3</v>
      </c>
      <c r="M44" s="239" t="s">
        <v>2501</v>
      </c>
      <c r="N44" s="245">
        <f t="shared" si="0"/>
        <v>0</v>
      </c>
      <c r="O44" s="245"/>
    </row>
    <row r="45" spans="3:16" ht="17.25" outlineLevel="1" x14ac:dyDescent="0.3">
      <c r="C45" s="335"/>
      <c r="D45" s="332"/>
      <c r="E45" s="207" t="s">
        <v>2050</v>
      </c>
      <c r="F45" s="218">
        <v>4</v>
      </c>
      <c r="G45" s="218">
        <v>2</v>
      </c>
      <c r="H45" s="208"/>
      <c r="I45" s="218"/>
      <c r="J45" s="218"/>
      <c r="K45" s="218"/>
      <c r="L45" s="209">
        <f t="shared" ref="L45:L46" si="1">J45-G45</f>
        <v>-2</v>
      </c>
      <c r="M45" s="239" t="s">
        <v>2501</v>
      </c>
      <c r="N45" s="245">
        <f t="shared" si="0"/>
        <v>0</v>
      </c>
      <c r="O45" s="245"/>
      <c r="P45" s="236" t="s">
        <v>2546</v>
      </c>
    </row>
    <row r="46" spans="3:16" ht="17.25" outlineLevel="1" x14ac:dyDescent="0.3">
      <c r="C46" s="335"/>
      <c r="D46" s="332"/>
      <c r="E46" s="207" t="s">
        <v>1951</v>
      </c>
      <c r="F46" s="218">
        <v>2</v>
      </c>
      <c r="G46" s="218">
        <v>1</v>
      </c>
      <c r="H46" s="208"/>
      <c r="I46" s="218"/>
      <c r="J46" s="218"/>
      <c r="K46" s="218"/>
      <c r="L46" s="209">
        <f t="shared" si="1"/>
        <v>-1</v>
      </c>
      <c r="M46" s="239" t="s">
        <v>2501</v>
      </c>
      <c r="N46" s="245">
        <f t="shared" si="0"/>
        <v>0</v>
      </c>
      <c r="O46" s="245"/>
      <c r="P46" s="236" t="s">
        <v>2546</v>
      </c>
    </row>
    <row r="47" spans="3:16" ht="17.25" outlineLevel="1" x14ac:dyDescent="0.3">
      <c r="C47" s="335"/>
      <c r="D47" s="332"/>
      <c r="E47" s="207" t="s">
        <v>2350</v>
      </c>
      <c r="F47" s="218">
        <v>14</v>
      </c>
      <c r="G47" s="218">
        <v>9</v>
      </c>
      <c r="H47" s="208"/>
      <c r="I47" s="218">
        <v>4</v>
      </c>
      <c r="J47" s="218">
        <v>4</v>
      </c>
      <c r="K47" s="218" t="s">
        <v>2376</v>
      </c>
      <c r="L47" s="209">
        <v>-5</v>
      </c>
      <c r="M47" s="239" t="s">
        <v>2501</v>
      </c>
      <c r="N47" s="245">
        <f t="shared" si="0"/>
        <v>0</v>
      </c>
      <c r="O47" s="245"/>
    </row>
    <row r="48" spans="3:16" ht="17.25" outlineLevel="1" x14ac:dyDescent="0.3">
      <c r="C48" s="335"/>
      <c r="D48" s="338"/>
      <c r="E48" s="211" t="s">
        <v>2352</v>
      </c>
      <c r="F48" s="219">
        <v>11</v>
      </c>
      <c r="G48" s="219">
        <v>8</v>
      </c>
      <c r="H48" s="212"/>
      <c r="I48" s="219">
        <v>9</v>
      </c>
      <c r="J48" s="219">
        <v>9</v>
      </c>
      <c r="K48" s="219" t="s">
        <v>2376</v>
      </c>
      <c r="L48" s="213">
        <v>1</v>
      </c>
      <c r="M48" s="239" t="s">
        <v>2501</v>
      </c>
      <c r="N48" s="245">
        <f t="shared" si="0"/>
        <v>0</v>
      </c>
      <c r="O48" s="245"/>
    </row>
    <row r="49" spans="3:16" ht="17.25" outlineLevel="1" x14ac:dyDescent="0.3">
      <c r="C49" s="327" t="s">
        <v>2643</v>
      </c>
      <c r="D49" s="330" t="s">
        <v>2340</v>
      </c>
      <c r="E49" s="203" t="s">
        <v>2547</v>
      </c>
      <c r="F49" s="217">
        <v>6</v>
      </c>
      <c r="G49" s="217">
        <v>0</v>
      </c>
      <c r="H49" s="204"/>
      <c r="I49" s="217">
        <v>4</v>
      </c>
      <c r="J49" s="217">
        <v>4</v>
      </c>
      <c r="K49" s="217"/>
      <c r="L49" s="205">
        <v>4</v>
      </c>
      <c r="M49" s="241"/>
      <c r="N49" s="245">
        <f t="shared" si="0"/>
        <v>0</v>
      </c>
      <c r="O49" s="245"/>
    </row>
    <row r="50" spans="3:16" ht="17.25" outlineLevel="1" x14ac:dyDescent="0.3">
      <c r="C50" s="327" t="s">
        <v>2644</v>
      </c>
      <c r="D50" s="330" t="s">
        <v>2340</v>
      </c>
      <c r="E50" s="207" t="s">
        <v>2548</v>
      </c>
      <c r="F50" s="218">
        <v>35</v>
      </c>
      <c r="G50" s="218">
        <v>25</v>
      </c>
      <c r="H50" s="208"/>
      <c r="I50" s="218">
        <v>5</v>
      </c>
      <c r="J50" s="218">
        <v>5</v>
      </c>
      <c r="K50" s="218" t="s">
        <v>2376</v>
      </c>
      <c r="L50" s="209">
        <v>-20</v>
      </c>
      <c r="M50" s="239" t="s">
        <v>2501</v>
      </c>
      <c r="N50" s="245">
        <f t="shared" si="0"/>
        <v>0</v>
      </c>
      <c r="O50" s="245"/>
    </row>
    <row r="51" spans="3:16" ht="17.25" outlineLevel="1" x14ac:dyDescent="0.3">
      <c r="C51" s="327" t="s">
        <v>2641</v>
      </c>
      <c r="D51" s="330" t="s">
        <v>2340</v>
      </c>
      <c r="E51" s="207" t="s">
        <v>2549</v>
      </c>
      <c r="F51" s="218">
        <v>18</v>
      </c>
      <c r="G51" s="218">
        <v>0</v>
      </c>
      <c r="H51" s="208"/>
      <c r="I51" s="218">
        <v>2</v>
      </c>
      <c r="J51" s="218">
        <v>2</v>
      </c>
      <c r="K51" s="218"/>
      <c r="L51" s="209">
        <v>2</v>
      </c>
      <c r="M51" s="239" t="s">
        <v>2506</v>
      </c>
      <c r="N51" s="245">
        <f t="shared" si="0"/>
        <v>0</v>
      </c>
      <c r="O51" s="245"/>
    </row>
    <row r="52" spans="3:16" ht="17.25" outlineLevel="1" x14ac:dyDescent="0.3">
      <c r="C52" s="325" t="s">
        <v>2644</v>
      </c>
      <c r="D52" s="330" t="s">
        <v>2340</v>
      </c>
      <c r="E52" s="207" t="s">
        <v>2550</v>
      </c>
      <c r="F52" s="218">
        <v>76</v>
      </c>
      <c r="G52" s="218">
        <v>15</v>
      </c>
      <c r="H52" s="208"/>
      <c r="I52" s="218">
        <v>14</v>
      </c>
      <c r="J52" s="218">
        <v>0</v>
      </c>
      <c r="K52" s="218"/>
      <c r="L52" s="209">
        <v>-15</v>
      </c>
      <c r="M52" s="239" t="s">
        <v>2503</v>
      </c>
      <c r="N52" s="245">
        <f t="shared" si="0"/>
        <v>14</v>
      </c>
      <c r="O52" s="245"/>
    </row>
    <row r="53" spans="3:16" ht="22.15" customHeight="1" x14ac:dyDescent="0.3">
      <c r="C53" s="334" t="s">
        <v>2645</v>
      </c>
      <c r="D53" s="331" t="s">
        <v>764</v>
      </c>
      <c r="E53" s="203" t="s">
        <v>2269</v>
      </c>
      <c r="F53" s="217">
        <v>1</v>
      </c>
      <c r="G53" s="217">
        <v>1</v>
      </c>
      <c r="H53" s="204" t="s">
        <v>2528</v>
      </c>
      <c r="I53" s="217">
        <v>1</v>
      </c>
      <c r="J53" s="217">
        <v>0</v>
      </c>
      <c r="K53" s="217"/>
      <c r="L53" s="205">
        <v>-1</v>
      </c>
      <c r="M53" s="241" t="s">
        <v>2504</v>
      </c>
      <c r="N53" s="245">
        <f t="shared" si="0"/>
        <v>1</v>
      </c>
      <c r="O53" s="245"/>
      <c r="P53" s="236" t="s">
        <v>2551</v>
      </c>
    </row>
    <row r="54" spans="3:16" ht="22.15" customHeight="1" x14ac:dyDescent="0.3">
      <c r="C54" s="335"/>
      <c r="D54" s="332"/>
      <c r="E54" s="207" t="s">
        <v>2203</v>
      </c>
      <c r="F54" s="218">
        <v>5</v>
      </c>
      <c r="G54" s="218">
        <v>2</v>
      </c>
      <c r="H54" s="208"/>
      <c r="I54" s="218">
        <v>3</v>
      </c>
      <c r="J54" s="218">
        <v>1</v>
      </c>
      <c r="K54" s="237"/>
      <c r="L54" s="209">
        <v>-1</v>
      </c>
      <c r="M54" s="239" t="s">
        <v>2497</v>
      </c>
      <c r="N54" s="245">
        <f t="shared" si="0"/>
        <v>2</v>
      </c>
      <c r="O54" s="245"/>
      <c r="P54" s="236" t="s">
        <v>2552</v>
      </c>
    </row>
    <row r="55" spans="3:16" ht="22.15" customHeight="1" x14ac:dyDescent="0.3">
      <c r="C55" s="335"/>
      <c r="D55" s="332"/>
      <c r="E55" s="207" t="s">
        <v>2328</v>
      </c>
      <c r="F55" s="218">
        <v>3</v>
      </c>
      <c r="G55" s="218">
        <v>2</v>
      </c>
      <c r="H55" s="208"/>
      <c r="I55" s="218">
        <v>2</v>
      </c>
      <c r="J55" s="218">
        <v>1</v>
      </c>
      <c r="K55" s="237"/>
      <c r="L55" s="209">
        <v>-1</v>
      </c>
      <c r="M55" s="239" t="s">
        <v>2497</v>
      </c>
      <c r="N55" s="245">
        <f t="shared" si="0"/>
        <v>1</v>
      </c>
      <c r="O55" s="245"/>
      <c r="P55" s="236" t="s">
        <v>2552</v>
      </c>
    </row>
    <row r="56" spans="3:16" ht="22.15" customHeight="1" x14ac:dyDescent="0.3">
      <c r="C56" s="335"/>
      <c r="D56" s="332"/>
      <c r="E56" s="207" t="s">
        <v>2329</v>
      </c>
      <c r="F56" s="218">
        <v>25</v>
      </c>
      <c r="G56" s="218">
        <v>13</v>
      </c>
      <c r="H56" s="208"/>
      <c r="I56" s="218">
        <v>14</v>
      </c>
      <c r="J56" s="218">
        <v>0</v>
      </c>
      <c r="K56" s="218"/>
      <c r="L56" s="209">
        <v>-13</v>
      </c>
      <c r="M56" s="239" t="s">
        <v>2497</v>
      </c>
      <c r="N56" s="245">
        <f t="shared" si="0"/>
        <v>14</v>
      </c>
      <c r="O56" s="245"/>
      <c r="P56" s="236" t="s">
        <v>2555</v>
      </c>
    </row>
    <row r="57" spans="3:16" ht="22.15" customHeight="1" x14ac:dyDescent="0.3">
      <c r="C57" s="335"/>
      <c r="D57" s="332"/>
      <c r="E57" s="207" t="s">
        <v>1309</v>
      </c>
      <c r="F57" s="218">
        <v>2</v>
      </c>
      <c r="G57" s="237">
        <v>0</v>
      </c>
      <c r="H57" s="243" t="s">
        <v>2553</v>
      </c>
      <c r="I57" s="218">
        <v>2</v>
      </c>
      <c r="J57" s="218">
        <v>1</v>
      </c>
      <c r="K57" s="237"/>
      <c r="L57" s="209">
        <v>1</v>
      </c>
      <c r="M57" s="239"/>
      <c r="N57" s="245">
        <f t="shared" si="0"/>
        <v>1</v>
      </c>
      <c r="O57" s="245"/>
      <c r="P57" s="236" t="s">
        <v>2552</v>
      </c>
    </row>
    <row r="58" spans="3:16" ht="22.15" customHeight="1" x14ac:dyDescent="0.3">
      <c r="C58" s="335"/>
      <c r="D58" s="332"/>
      <c r="E58" s="207" t="s">
        <v>777</v>
      </c>
      <c r="F58" s="218">
        <v>23</v>
      </c>
      <c r="G58" s="218">
        <v>13</v>
      </c>
      <c r="H58" s="208"/>
      <c r="I58" s="218">
        <v>13</v>
      </c>
      <c r="J58" s="218">
        <v>13</v>
      </c>
      <c r="K58" s="218" t="s">
        <v>2380</v>
      </c>
      <c r="L58" s="209">
        <v>0</v>
      </c>
      <c r="M58" s="239"/>
      <c r="N58" s="245">
        <f t="shared" si="0"/>
        <v>0</v>
      </c>
      <c r="O58" s="245"/>
    </row>
    <row r="59" spans="3:16" ht="22.15" customHeight="1" x14ac:dyDescent="0.3">
      <c r="C59" s="335"/>
      <c r="D59" s="332"/>
      <c r="E59" s="207" t="s">
        <v>641</v>
      </c>
      <c r="F59" s="218">
        <v>13</v>
      </c>
      <c r="G59" s="218">
        <v>9</v>
      </c>
      <c r="H59" s="208"/>
      <c r="I59" s="218">
        <v>10</v>
      </c>
      <c r="J59" s="218">
        <v>10</v>
      </c>
      <c r="K59" s="218" t="s">
        <v>2380</v>
      </c>
      <c r="L59" s="209">
        <v>1</v>
      </c>
      <c r="M59" s="239"/>
      <c r="N59" s="245">
        <f t="shared" si="0"/>
        <v>0</v>
      </c>
      <c r="O59" s="245"/>
    </row>
    <row r="60" spans="3:16" ht="22.15" customHeight="1" x14ac:dyDescent="0.3">
      <c r="C60" s="336"/>
      <c r="D60" s="333"/>
      <c r="E60" s="211" t="s">
        <v>2271</v>
      </c>
      <c r="F60" s="219">
        <v>1</v>
      </c>
      <c r="G60" s="219">
        <v>1</v>
      </c>
      <c r="H60" s="212" t="s">
        <v>2528</v>
      </c>
      <c r="I60" s="219">
        <v>1</v>
      </c>
      <c r="J60" s="219">
        <v>0</v>
      </c>
      <c r="K60" s="219"/>
      <c r="L60" s="213">
        <v>-1</v>
      </c>
      <c r="M60" s="240" t="s">
        <v>2505</v>
      </c>
      <c r="N60" s="245">
        <f t="shared" si="0"/>
        <v>1</v>
      </c>
      <c r="O60" s="245"/>
    </row>
    <row r="61" spans="3:16" ht="22.15" customHeight="1" x14ac:dyDescent="0.3">
      <c r="C61" s="325"/>
      <c r="D61" s="211" t="s">
        <v>2199</v>
      </c>
      <c r="E61" s="200"/>
      <c r="F61" s="201"/>
      <c r="G61" s="201"/>
      <c r="H61" s="200"/>
      <c r="I61" s="201"/>
      <c r="J61" s="201"/>
      <c r="K61" s="201"/>
      <c r="L61" s="202"/>
      <c r="M61" s="242"/>
      <c r="N61" s="246"/>
      <c r="O61" s="246"/>
    </row>
    <row r="62" spans="3:16" x14ac:dyDescent="0.3">
      <c r="L62" s="195"/>
    </row>
    <row r="63" spans="3:16" x14ac:dyDescent="0.3">
      <c r="L63" s="195"/>
    </row>
    <row r="64" spans="3:16" x14ac:dyDescent="0.3">
      <c r="L64" s="195"/>
    </row>
  </sheetData>
  <mergeCells count="15">
    <mergeCell ref="F5:H5"/>
    <mergeCell ref="F6:H6"/>
    <mergeCell ref="F7:H7"/>
    <mergeCell ref="P26:P27"/>
    <mergeCell ref="F2:H2"/>
    <mergeCell ref="F3:H3"/>
    <mergeCell ref="F4:H4"/>
    <mergeCell ref="D53:D60"/>
    <mergeCell ref="C53:C60"/>
    <mergeCell ref="D12:D22"/>
    <mergeCell ref="C12:C22"/>
    <mergeCell ref="D23:D41"/>
    <mergeCell ref="C23:C41"/>
    <mergeCell ref="D42:D48"/>
    <mergeCell ref="C42:C48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J82"/>
  <sheetViews>
    <sheetView showZeros="0" workbookViewId="0">
      <pane xSplit="11" ySplit="4" topLeftCell="Q41" activePane="bottomRight" state="frozen"/>
      <selection activeCell="T16" sqref="T16"/>
      <selection pane="topRight" activeCell="T16" sqref="T16"/>
      <selection pane="bottomLeft" activeCell="T16" sqref="T16"/>
      <selection pane="bottomRight" activeCell="T16" sqref="T16"/>
    </sheetView>
  </sheetViews>
  <sheetFormatPr defaultRowHeight="16.5" outlineLevelCol="1" x14ac:dyDescent="0.3"/>
  <cols>
    <col min="3" max="4" width="9" customWidth="1" outlineLevel="1"/>
    <col min="7" max="7" width="12.875" hidden="1" customWidth="1"/>
    <col min="8" max="8" width="12.875" bestFit="1" customWidth="1"/>
    <col min="11" max="11" width="21.625" bestFit="1" customWidth="1"/>
    <col min="12" max="12" width="14.625" bestFit="1" customWidth="1"/>
    <col min="13" max="13" width="9.25" bestFit="1" customWidth="1"/>
    <col min="14" max="14" width="14.625" customWidth="1" outlineLevel="1"/>
    <col min="15" max="15" width="9.875" customWidth="1" outlineLevel="1"/>
    <col min="16" max="16" width="12.875" customWidth="1" outlineLevel="1"/>
    <col min="17" max="18" width="14.625" customWidth="1" outlineLevel="1"/>
    <col min="19" max="19" width="13.125" customWidth="1" outlineLevel="1"/>
    <col min="20" max="20" width="11.5" customWidth="1" outlineLevel="1"/>
    <col min="21" max="21" width="51.125" bestFit="1" customWidth="1"/>
    <col min="25" max="25" width="16.125" bestFit="1" customWidth="1"/>
    <col min="26" max="26" width="13.125" customWidth="1"/>
    <col min="27" max="29" width="9" style="173"/>
    <col min="30" max="30" width="9" style="179"/>
    <col min="31" max="35" width="8.75" style="173" customWidth="1" outlineLevel="1"/>
    <col min="36" max="36" width="9" style="173"/>
  </cols>
  <sheetData>
    <row r="2" spans="2:36" x14ac:dyDescent="0.3">
      <c r="G2" s="191">
        <f>SUBTOTAL(9,G5:G81)</f>
        <v>6696000000</v>
      </c>
      <c r="H2" s="191">
        <f>SUBTOTAL(9,H5:H81)</f>
        <v>7076000000</v>
      </c>
      <c r="P2" s="191">
        <f>SUBTOTAL(9,P5:P81)</f>
        <v>16727000000</v>
      </c>
      <c r="T2" s="191">
        <f>SUBTOTAL(9,T5:T81)</f>
        <v>960000000</v>
      </c>
      <c r="Y2" s="254">
        <f>SUBTOTAL(9,Y5:Y81)</f>
        <v>17687000000</v>
      </c>
      <c r="Z2" s="254">
        <f>SUBTOTAL(9,Z5:Z81)</f>
        <v>4034300000</v>
      </c>
    </row>
    <row r="3" spans="2:36" x14ac:dyDescent="0.3">
      <c r="C3" t="s">
        <v>2467</v>
      </c>
      <c r="D3" t="s">
        <v>2467</v>
      </c>
      <c r="E3" t="s">
        <v>2467</v>
      </c>
      <c r="F3" t="s">
        <v>2467</v>
      </c>
      <c r="M3" t="s">
        <v>2468</v>
      </c>
      <c r="N3" t="s">
        <v>2468</v>
      </c>
      <c r="O3" t="s">
        <v>2468</v>
      </c>
      <c r="P3" t="s">
        <v>2468</v>
      </c>
      <c r="Q3" t="s">
        <v>2468</v>
      </c>
      <c r="R3" t="s">
        <v>2468</v>
      </c>
      <c r="S3" t="s">
        <v>2468</v>
      </c>
      <c r="T3" t="s">
        <v>2468</v>
      </c>
      <c r="U3" t="s">
        <v>2468</v>
      </c>
      <c r="V3" t="s">
        <v>2468</v>
      </c>
      <c r="W3" t="s">
        <v>2469</v>
      </c>
      <c r="X3" t="s">
        <v>2469</v>
      </c>
      <c r="AD3" s="179" t="s">
        <v>2385</v>
      </c>
      <c r="AE3" s="173" t="s">
        <v>2385</v>
      </c>
      <c r="AF3" s="173" t="s">
        <v>2385</v>
      </c>
      <c r="AG3" s="173" t="s">
        <v>2385</v>
      </c>
      <c r="AH3" s="173" t="s">
        <v>2385</v>
      </c>
      <c r="AI3" s="173" t="s">
        <v>2385</v>
      </c>
    </row>
    <row r="4" spans="2:36" x14ac:dyDescent="0.3">
      <c r="B4" s="182" t="s">
        <v>2472</v>
      </c>
      <c r="C4" s="182" t="s">
        <v>2480</v>
      </c>
      <c r="D4" s="182" t="s">
        <v>2481</v>
      </c>
      <c r="E4" s="182" t="s">
        <v>2476</v>
      </c>
      <c r="F4" s="182" t="s">
        <v>2478</v>
      </c>
      <c r="G4" s="182" t="s">
        <v>2470</v>
      </c>
      <c r="H4" s="182" t="s">
        <v>2479</v>
      </c>
      <c r="I4" s="182" t="s">
        <v>2358</v>
      </c>
      <c r="J4" s="183" t="s">
        <v>2357</v>
      </c>
      <c r="K4" s="183" t="s">
        <v>2355</v>
      </c>
      <c r="L4" s="184" t="s">
        <v>2360</v>
      </c>
      <c r="M4" s="184" t="s">
        <v>2482</v>
      </c>
      <c r="N4" s="184" t="s">
        <v>2484</v>
      </c>
      <c r="O4" s="184" t="s">
        <v>2485</v>
      </c>
      <c r="P4" s="184" t="s">
        <v>2488</v>
      </c>
      <c r="Q4" s="184" t="s">
        <v>2483</v>
      </c>
      <c r="R4" s="184" t="s">
        <v>2484</v>
      </c>
      <c r="S4" s="184" t="s">
        <v>2486</v>
      </c>
      <c r="T4" s="184" t="s">
        <v>2487</v>
      </c>
      <c r="U4" s="184" t="s">
        <v>2274</v>
      </c>
      <c r="V4" s="184" t="s">
        <v>2489</v>
      </c>
      <c r="W4" s="184" t="s">
        <v>2490</v>
      </c>
      <c r="X4" s="184" t="s">
        <v>2491</v>
      </c>
      <c r="Y4" s="178" t="s">
        <v>2557</v>
      </c>
      <c r="Z4" s="178" t="s">
        <v>2558</v>
      </c>
      <c r="AA4" s="178" t="s">
        <v>2492</v>
      </c>
      <c r="AB4" s="178" t="s">
        <v>2394</v>
      </c>
      <c r="AC4" s="178" t="s">
        <v>2386</v>
      </c>
      <c r="AD4" s="178" t="s">
        <v>2390</v>
      </c>
      <c r="AE4" s="178" t="s">
        <v>2375</v>
      </c>
      <c r="AF4" s="178" t="s">
        <v>2377</v>
      </c>
      <c r="AG4" s="178" t="s">
        <v>2379</v>
      </c>
      <c r="AH4" s="178" t="s">
        <v>2381</v>
      </c>
      <c r="AI4" s="178" t="s">
        <v>2383</v>
      </c>
      <c r="AJ4" s="178" t="s">
        <v>2384</v>
      </c>
    </row>
    <row r="5" spans="2:36" s="181" customFormat="1" ht="15" customHeight="1" x14ac:dyDescent="0.3">
      <c r="B5" s="181" t="s">
        <v>2474</v>
      </c>
      <c r="C5" s="174">
        <v>1</v>
      </c>
      <c r="D5" s="174"/>
      <c r="E5" s="174">
        <f>D5+C5</f>
        <v>1</v>
      </c>
      <c r="F5" s="174"/>
      <c r="G5" s="177"/>
      <c r="H5" s="177">
        <f t="shared" ref="H5:H67" si="0">G5*E5</f>
        <v>0</v>
      </c>
      <c r="I5" s="174" t="s">
        <v>2337</v>
      </c>
      <c r="J5" s="176" t="s">
        <v>569</v>
      </c>
      <c r="K5" s="174" t="s">
        <v>2275</v>
      </c>
      <c r="L5" s="177">
        <v>4</v>
      </c>
      <c r="M5" s="177">
        <v>1</v>
      </c>
      <c r="N5" s="177">
        <v>1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  <c r="U5" s="174" t="s">
        <v>2276</v>
      </c>
      <c r="V5" s="180">
        <f>Q5+M5</f>
        <v>1</v>
      </c>
      <c r="W5" s="180">
        <f>R5+N5</f>
        <v>1</v>
      </c>
      <c r="X5" s="180">
        <f>S5+O5</f>
        <v>0</v>
      </c>
      <c r="Y5" s="180">
        <f>T5+P5</f>
        <v>0</v>
      </c>
      <c r="Z5" s="180">
        <v>10000000</v>
      </c>
      <c r="AA5" s="180">
        <f>L5-W5</f>
        <v>3</v>
      </c>
      <c r="AB5" s="180"/>
      <c r="AC5" s="174" t="s">
        <v>2387</v>
      </c>
      <c r="AD5" s="185" t="s">
        <v>2381</v>
      </c>
      <c r="AE5" s="174"/>
      <c r="AF5" s="174"/>
      <c r="AG5" s="174"/>
      <c r="AH5" s="174" t="s">
        <v>2388</v>
      </c>
      <c r="AI5" s="174"/>
      <c r="AJ5" s="186" t="s">
        <v>2391</v>
      </c>
    </row>
    <row r="6" spans="2:36" s="181" customFormat="1" ht="13.5" x14ac:dyDescent="0.3">
      <c r="B6" s="181" t="s">
        <v>2474</v>
      </c>
      <c r="C6" s="174">
        <v>1</v>
      </c>
      <c r="D6" s="174">
        <v>1</v>
      </c>
      <c r="E6" s="174">
        <f t="shared" ref="E6:E69" si="1">D6+C6</f>
        <v>2</v>
      </c>
      <c r="F6" s="174"/>
      <c r="G6" s="177"/>
      <c r="H6" s="177">
        <f t="shared" si="0"/>
        <v>0</v>
      </c>
      <c r="I6" s="174" t="s">
        <v>2337</v>
      </c>
      <c r="J6" s="176" t="s">
        <v>569</v>
      </c>
      <c r="K6" s="174" t="s">
        <v>2277</v>
      </c>
      <c r="L6" s="177">
        <v>3</v>
      </c>
      <c r="M6" s="177">
        <v>1</v>
      </c>
      <c r="N6" s="177">
        <v>1</v>
      </c>
      <c r="O6" s="177">
        <v>0</v>
      </c>
      <c r="P6" s="177">
        <v>0</v>
      </c>
      <c r="Q6" s="177">
        <v>1</v>
      </c>
      <c r="R6" s="177">
        <v>1</v>
      </c>
      <c r="S6" s="177">
        <v>0</v>
      </c>
      <c r="T6" s="177">
        <v>0</v>
      </c>
      <c r="U6" s="174" t="s">
        <v>2278</v>
      </c>
      <c r="V6" s="180">
        <f t="shared" ref="V6:V69" si="2">Q6+M6</f>
        <v>2</v>
      </c>
      <c r="W6" s="180">
        <f t="shared" ref="W6:W69" si="3">R6+N6</f>
        <v>2</v>
      </c>
      <c r="X6" s="180">
        <f t="shared" ref="X6:X69" si="4">S6+O6</f>
        <v>0</v>
      </c>
      <c r="Y6" s="180">
        <f t="shared" ref="Y6:Y69" si="5">T6+P6</f>
        <v>0</v>
      </c>
      <c r="Z6" s="180">
        <f>W6*500000000</f>
        <v>1000000000</v>
      </c>
      <c r="AA6" s="180">
        <f t="shared" ref="AA6:AA70" si="6">L6-W6</f>
        <v>1</v>
      </c>
      <c r="AB6" s="180"/>
      <c r="AC6" s="174" t="s">
        <v>2419</v>
      </c>
      <c r="AD6" s="185" t="s">
        <v>2381</v>
      </c>
      <c r="AE6" s="174"/>
      <c r="AF6" s="174"/>
      <c r="AG6" s="174"/>
      <c r="AH6" s="174"/>
      <c r="AI6" s="174"/>
      <c r="AJ6" s="186" t="s">
        <v>2392</v>
      </c>
    </row>
    <row r="7" spans="2:36" s="181" customFormat="1" ht="13.5" x14ac:dyDescent="0.3">
      <c r="B7" s="181" t="s">
        <v>2474</v>
      </c>
      <c r="C7" s="192">
        <v>1</v>
      </c>
      <c r="D7" s="192"/>
      <c r="E7" s="192">
        <f t="shared" si="1"/>
        <v>1</v>
      </c>
      <c r="F7" s="192" t="s">
        <v>2464</v>
      </c>
      <c r="G7" s="193">
        <v>1000000000</v>
      </c>
      <c r="H7" s="193">
        <f t="shared" si="0"/>
        <v>1000000000</v>
      </c>
      <c r="I7" s="174" t="s">
        <v>2337</v>
      </c>
      <c r="J7" s="176" t="s">
        <v>569</v>
      </c>
      <c r="K7" s="174" t="s">
        <v>2279</v>
      </c>
      <c r="L7" s="177">
        <v>2</v>
      </c>
      <c r="M7" s="177">
        <v>1</v>
      </c>
      <c r="N7" s="177">
        <v>0</v>
      </c>
      <c r="O7" s="177">
        <v>1</v>
      </c>
      <c r="P7" s="177">
        <v>900000000</v>
      </c>
      <c r="Q7" s="177">
        <v>0</v>
      </c>
      <c r="R7" s="177">
        <v>0</v>
      </c>
      <c r="S7" s="177">
        <v>0</v>
      </c>
      <c r="T7" s="177">
        <v>0</v>
      </c>
      <c r="U7" s="174" t="s">
        <v>2280</v>
      </c>
      <c r="V7" s="180">
        <f t="shared" si="2"/>
        <v>1</v>
      </c>
      <c r="W7" s="180">
        <f t="shared" si="3"/>
        <v>0</v>
      </c>
      <c r="X7" s="180">
        <f t="shared" si="4"/>
        <v>1</v>
      </c>
      <c r="Y7" s="180">
        <f t="shared" si="5"/>
        <v>900000000</v>
      </c>
      <c r="Z7" s="180"/>
      <c r="AA7" s="180">
        <f t="shared" si="6"/>
        <v>2</v>
      </c>
      <c r="AB7" s="174" t="s">
        <v>2393</v>
      </c>
      <c r="AC7" s="174"/>
      <c r="AD7" s="185"/>
      <c r="AE7" s="174"/>
      <c r="AF7" s="174"/>
      <c r="AG7" s="174"/>
      <c r="AH7" s="174"/>
      <c r="AI7" s="174"/>
      <c r="AJ7" s="174"/>
    </row>
    <row r="8" spans="2:36" s="181" customFormat="1" ht="13.5" x14ac:dyDescent="0.3">
      <c r="B8" s="181" t="s">
        <v>2474</v>
      </c>
      <c r="C8" s="192">
        <v>1</v>
      </c>
      <c r="D8" s="192"/>
      <c r="E8" s="192">
        <f t="shared" si="1"/>
        <v>1</v>
      </c>
      <c r="F8" s="192" t="s">
        <v>2464</v>
      </c>
      <c r="G8" s="193">
        <v>3000000000</v>
      </c>
      <c r="H8" s="193">
        <f t="shared" si="0"/>
        <v>3000000000</v>
      </c>
      <c r="I8" s="174" t="s">
        <v>2337</v>
      </c>
      <c r="J8" s="176" t="s">
        <v>569</v>
      </c>
      <c r="K8" s="174" t="s">
        <v>971</v>
      </c>
      <c r="L8" s="177">
        <v>2</v>
      </c>
      <c r="M8" s="177">
        <v>1</v>
      </c>
      <c r="N8" s="177">
        <v>0</v>
      </c>
      <c r="O8" s="177">
        <v>1</v>
      </c>
      <c r="P8" s="177">
        <v>3500000000</v>
      </c>
      <c r="Q8" s="177">
        <v>1</v>
      </c>
      <c r="R8" s="177">
        <v>1</v>
      </c>
      <c r="S8" s="177">
        <v>0</v>
      </c>
      <c r="T8" s="177">
        <v>0</v>
      </c>
      <c r="U8" s="174" t="s">
        <v>2281</v>
      </c>
      <c r="V8" s="180">
        <f t="shared" si="2"/>
        <v>2</v>
      </c>
      <c r="W8" s="180">
        <f t="shared" si="3"/>
        <v>1</v>
      </c>
      <c r="X8" s="180">
        <f t="shared" si="4"/>
        <v>1</v>
      </c>
      <c r="Y8" s="180">
        <f t="shared" si="5"/>
        <v>3500000000</v>
      </c>
      <c r="Z8" s="180">
        <v>2000000</v>
      </c>
      <c r="AA8" s="180">
        <f t="shared" si="6"/>
        <v>1</v>
      </c>
      <c r="AB8" s="174" t="s">
        <v>2420</v>
      </c>
      <c r="AC8" s="174" t="s">
        <v>2421</v>
      </c>
      <c r="AD8" s="185" t="s">
        <v>2381</v>
      </c>
      <c r="AE8" s="174"/>
      <c r="AF8" s="174"/>
      <c r="AG8" s="174"/>
      <c r="AH8" s="174"/>
      <c r="AI8" s="174"/>
      <c r="AJ8" s="186" t="s">
        <v>2422</v>
      </c>
    </row>
    <row r="9" spans="2:36" s="181" customFormat="1" ht="13.5" x14ac:dyDescent="0.3">
      <c r="B9" s="181" t="s">
        <v>2474</v>
      </c>
      <c r="C9" s="174">
        <v>2</v>
      </c>
      <c r="D9" s="174"/>
      <c r="E9" s="174">
        <f t="shared" si="1"/>
        <v>2</v>
      </c>
      <c r="F9" s="174"/>
      <c r="G9" s="177"/>
      <c r="H9" s="177">
        <f t="shared" si="0"/>
        <v>0</v>
      </c>
      <c r="I9" s="174" t="s">
        <v>2337</v>
      </c>
      <c r="J9" s="176" t="s">
        <v>569</v>
      </c>
      <c r="K9" s="174" t="s">
        <v>2282</v>
      </c>
      <c r="L9" s="177">
        <v>4</v>
      </c>
      <c r="M9" s="177">
        <v>1</v>
      </c>
      <c r="N9" s="177">
        <v>0</v>
      </c>
      <c r="O9" s="177">
        <v>1</v>
      </c>
      <c r="P9" s="177">
        <v>900000000</v>
      </c>
      <c r="Q9" s="177">
        <v>1</v>
      </c>
      <c r="R9" s="177">
        <v>1</v>
      </c>
      <c r="S9" s="177">
        <v>0</v>
      </c>
      <c r="T9" s="177">
        <v>0</v>
      </c>
      <c r="U9" s="174" t="s">
        <v>2280</v>
      </c>
      <c r="V9" s="180">
        <f t="shared" si="2"/>
        <v>2</v>
      </c>
      <c r="W9" s="180">
        <f t="shared" si="3"/>
        <v>1</v>
      </c>
      <c r="X9" s="180">
        <f t="shared" si="4"/>
        <v>1</v>
      </c>
      <c r="Y9" s="180">
        <f t="shared" si="5"/>
        <v>900000000</v>
      </c>
      <c r="Z9" s="180">
        <f>W9*3000000</f>
        <v>3000000</v>
      </c>
      <c r="AA9" s="180">
        <f t="shared" si="6"/>
        <v>3</v>
      </c>
      <c r="AB9" s="174" t="s">
        <v>2420</v>
      </c>
      <c r="AC9" s="174" t="s">
        <v>2423</v>
      </c>
      <c r="AD9" s="185" t="s">
        <v>2381</v>
      </c>
      <c r="AE9" s="174"/>
      <c r="AF9" s="174"/>
      <c r="AG9" s="174"/>
      <c r="AH9" s="174"/>
      <c r="AI9" s="174"/>
      <c r="AJ9" s="186" t="s">
        <v>2427</v>
      </c>
    </row>
    <row r="10" spans="2:36" s="181" customFormat="1" ht="13.5" x14ac:dyDescent="0.3">
      <c r="B10" s="181" t="s">
        <v>2474</v>
      </c>
      <c r="C10" s="174">
        <v>1</v>
      </c>
      <c r="D10" s="174"/>
      <c r="E10" s="174">
        <f t="shared" si="1"/>
        <v>1</v>
      </c>
      <c r="F10" s="174"/>
      <c r="G10" s="177"/>
      <c r="H10" s="177">
        <f t="shared" si="0"/>
        <v>0</v>
      </c>
      <c r="I10" s="174" t="s">
        <v>2337</v>
      </c>
      <c r="J10" s="176" t="s">
        <v>569</v>
      </c>
      <c r="K10" s="174" t="s">
        <v>2283</v>
      </c>
      <c r="L10" s="177">
        <v>2</v>
      </c>
      <c r="M10" s="177">
        <v>1</v>
      </c>
      <c r="N10" s="177">
        <v>0</v>
      </c>
      <c r="O10" s="177">
        <v>1</v>
      </c>
      <c r="P10" s="177">
        <v>1400000000</v>
      </c>
      <c r="Q10" s="177">
        <v>0</v>
      </c>
      <c r="R10" s="177">
        <v>0</v>
      </c>
      <c r="S10" s="177">
        <v>0</v>
      </c>
      <c r="T10" s="177">
        <v>0</v>
      </c>
      <c r="U10" s="174" t="s">
        <v>2284</v>
      </c>
      <c r="V10" s="180">
        <f t="shared" si="2"/>
        <v>1</v>
      </c>
      <c r="W10" s="180">
        <f t="shared" si="3"/>
        <v>0</v>
      </c>
      <c r="X10" s="180">
        <f t="shared" si="4"/>
        <v>1</v>
      </c>
      <c r="Y10" s="180">
        <f t="shared" si="5"/>
        <v>1400000000</v>
      </c>
      <c r="Z10" s="180"/>
      <c r="AA10" s="180">
        <f t="shared" si="6"/>
        <v>2</v>
      </c>
      <c r="AB10" s="174" t="s">
        <v>2393</v>
      </c>
      <c r="AC10" s="174"/>
      <c r="AD10" s="185"/>
      <c r="AE10" s="174"/>
      <c r="AF10" s="174"/>
      <c r="AG10" s="174"/>
      <c r="AH10" s="174"/>
      <c r="AI10" s="174"/>
      <c r="AJ10" s="174"/>
    </row>
    <row r="11" spans="2:36" s="181" customFormat="1" ht="13.5" x14ac:dyDescent="0.3">
      <c r="B11" s="181" t="s">
        <v>2474</v>
      </c>
      <c r="C11" s="174">
        <v>3</v>
      </c>
      <c r="D11" s="174">
        <v>3</v>
      </c>
      <c r="E11" s="174">
        <f t="shared" si="1"/>
        <v>6</v>
      </c>
      <c r="F11" s="174"/>
      <c r="G11" s="177"/>
      <c r="H11" s="177">
        <f t="shared" si="0"/>
        <v>0</v>
      </c>
      <c r="I11" s="174" t="s">
        <v>2337</v>
      </c>
      <c r="J11" s="176" t="s">
        <v>569</v>
      </c>
      <c r="K11" s="174" t="s">
        <v>2285</v>
      </c>
      <c r="L11" s="177">
        <v>11</v>
      </c>
      <c r="M11" s="177">
        <v>3</v>
      </c>
      <c r="N11" s="177">
        <v>3</v>
      </c>
      <c r="O11" s="177">
        <v>0</v>
      </c>
      <c r="P11" s="177">
        <v>0</v>
      </c>
      <c r="Q11" s="177">
        <v>3</v>
      </c>
      <c r="R11" s="177">
        <v>3</v>
      </c>
      <c r="S11" s="177">
        <v>0</v>
      </c>
      <c r="T11" s="177">
        <v>0</v>
      </c>
      <c r="U11" s="174" t="s">
        <v>2286</v>
      </c>
      <c r="V11" s="180">
        <f t="shared" si="2"/>
        <v>6</v>
      </c>
      <c r="W11" s="180">
        <f t="shared" si="3"/>
        <v>6</v>
      </c>
      <c r="X11" s="180">
        <f t="shared" si="4"/>
        <v>0</v>
      </c>
      <c r="Y11" s="180">
        <f t="shared" si="5"/>
        <v>0</v>
      </c>
      <c r="Z11" s="180">
        <f>W11*10000000</f>
        <v>60000000</v>
      </c>
      <c r="AA11" s="180">
        <f t="shared" si="6"/>
        <v>5</v>
      </c>
      <c r="AB11" s="180"/>
      <c r="AC11" s="174" t="s">
        <v>2428</v>
      </c>
      <c r="AD11" s="185" t="s">
        <v>2381</v>
      </c>
      <c r="AE11" s="174"/>
      <c r="AF11" s="174"/>
      <c r="AG11" s="174"/>
      <c r="AH11" s="174"/>
      <c r="AI11" s="174"/>
      <c r="AJ11" s="187" t="s">
        <v>2429</v>
      </c>
    </row>
    <row r="12" spans="2:36" s="181" customFormat="1" ht="13.5" x14ac:dyDescent="0.3">
      <c r="B12" s="181" t="s">
        <v>2474</v>
      </c>
      <c r="C12" s="174">
        <v>1</v>
      </c>
      <c r="D12" s="174"/>
      <c r="E12" s="174">
        <f t="shared" si="1"/>
        <v>1</v>
      </c>
      <c r="F12" s="174"/>
      <c r="G12" s="177"/>
      <c r="H12" s="177">
        <f t="shared" si="0"/>
        <v>0</v>
      </c>
      <c r="I12" s="174" t="s">
        <v>2337</v>
      </c>
      <c r="J12" s="176" t="s">
        <v>569</v>
      </c>
      <c r="K12" s="174" t="s">
        <v>2287</v>
      </c>
      <c r="L12" s="177">
        <v>3</v>
      </c>
      <c r="M12" s="177">
        <v>1</v>
      </c>
      <c r="N12" s="177">
        <v>1</v>
      </c>
      <c r="O12" s="177">
        <v>0</v>
      </c>
      <c r="P12" s="177">
        <v>0</v>
      </c>
      <c r="Q12" s="177">
        <v>1</v>
      </c>
      <c r="R12" s="177">
        <v>1</v>
      </c>
      <c r="S12" s="177">
        <v>0</v>
      </c>
      <c r="T12" s="177">
        <v>0</v>
      </c>
      <c r="U12" s="174" t="s">
        <v>2288</v>
      </c>
      <c r="V12" s="180">
        <f t="shared" si="2"/>
        <v>2</v>
      </c>
      <c r="W12" s="180">
        <f t="shared" si="3"/>
        <v>2</v>
      </c>
      <c r="X12" s="180">
        <f t="shared" si="4"/>
        <v>0</v>
      </c>
      <c r="Y12" s="180">
        <f t="shared" si="5"/>
        <v>0</v>
      </c>
      <c r="Z12" s="180">
        <f>W12*8000000</f>
        <v>16000000</v>
      </c>
      <c r="AA12" s="180">
        <f t="shared" si="6"/>
        <v>1</v>
      </c>
      <c r="AB12" s="174" t="s">
        <v>2431</v>
      </c>
      <c r="AC12" s="174" t="s">
        <v>2430</v>
      </c>
      <c r="AD12" s="188" t="s">
        <v>2383</v>
      </c>
      <c r="AE12" s="174"/>
      <c r="AF12" s="174"/>
      <c r="AG12" s="174"/>
      <c r="AH12" s="174"/>
      <c r="AI12" s="174"/>
      <c r="AJ12" s="186" t="s">
        <v>2395</v>
      </c>
    </row>
    <row r="13" spans="2:36" s="181" customFormat="1" ht="13.5" x14ac:dyDescent="0.3">
      <c r="B13" s="181" t="s">
        <v>2474</v>
      </c>
      <c r="C13" s="192">
        <v>1</v>
      </c>
      <c r="D13" s="192"/>
      <c r="E13" s="192">
        <f t="shared" si="1"/>
        <v>1</v>
      </c>
      <c r="F13" s="192" t="s">
        <v>2464</v>
      </c>
      <c r="G13" s="193">
        <v>600000000</v>
      </c>
      <c r="H13" s="193">
        <f t="shared" si="0"/>
        <v>600000000</v>
      </c>
      <c r="I13" s="174" t="s">
        <v>2337</v>
      </c>
      <c r="J13" s="176" t="s">
        <v>569</v>
      </c>
      <c r="K13" s="174" t="s">
        <v>974</v>
      </c>
      <c r="L13" s="177">
        <v>2</v>
      </c>
      <c r="M13" s="177">
        <v>1</v>
      </c>
      <c r="N13" s="177">
        <v>0</v>
      </c>
      <c r="O13" s="177">
        <v>1</v>
      </c>
      <c r="P13" s="177">
        <v>800000000</v>
      </c>
      <c r="Q13" s="177">
        <v>0</v>
      </c>
      <c r="R13" s="177">
        <v>0</v>
      </c>
      <c r="S13" s="177">
        <v>0</v>
      </c>
      <c r="T13" s="177">
        <v>0</v>
      </c>
      <c r="U13" s="174" t="s">
        <v>2289</v>
      </c>
      <c r="V13" s="180">
        <f t="shared" si="2"/>
        <v>1</v>
      </c>
      <c r="W13" s="180">
        <f t="shared" si="3"/>
        <v>0</v>
      </c>
      <c r="X13" s="180">
        <f t="shared" si="4"/>
        <v>1</v>
      </c>
      <c r="Y13" s="180">
        <f t="shared" si="5"/>
        <v>800000000</v>
      </c>
      <c r="Z13" s="180" t="s">
        <v>1018</v>
      </c>
      <c r="AA13" s="180">
        <f t="shared" si="6"/>
        <v>2</v>
      </c>
      <c r="AB13" s="174"/>
      <c r="AC13" s="174"/>
      <c r="AD13" s="188" t="s">
        <v>2383</v>
      </c>
      <c r="AE13" s="174"/>
      <c r="AF13" s="174"/>
      <c r="AG13" s="174"/>
      <c r="AH13" s="174"/>
      <c r="AI13" s="174"/>
      <c r="AJ13" s="186" t="s">
        <v>2395</v>
      </c>
    </row>
    <row r="14" spans="2:36" s="181" customFormat="1" ht="13.5" x14ac:dyDescent="0.3">
      <c r="B14" s="181" t="s">
        <v>2474</v>
      </c>
      <c r="C14" s="174"/>
      <c r="D14" s="174"/>
      <c r="E14" s="174">
        <f t="shared" si="1"/>
        <v>0</v>
      </c>
      <c r="F14" s="174"/>
      <c r="G14" s="177"/>
      <c r="H14" s="177">
        <f t="shared" si="0"/>
        <v>0</v>
      </c>
      <c r="I14" s="174" t="s">
        <v>2337</v>
      </c>
      <c r="J14" s="176" t="s">
        <v>569</v>
      </c>
      <c r="K14" s="174" t="s">
        <v>2290</v>
      </c>
      <c r="L14" s="177">
        <v>2</v>
      </c>
      <c r="M14" s="177">
        <v>1</v>
      </c>
      <c r="N14" s="177">
        <v>0</v>
      </c>
      <c r="O14" s="177">
        <v>1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  <c r="U14" s="174" t="s">
        <v>2291</v>
      </c>
      <c r="V14" s="180">
        <f t="shared" si="2"/>
        <v>1</v>
      </c>
      <c r="W14" s="180">
        <f t="shared" si="3"/>
        <v>0</v>
      </c>
      <c r="X14" s="180">
        <f t="shared" si="4"/>
        <v>1</v>
      </c>
      <c r="Y14" s="180">
        <f t="shared" si="5"/>
        <v>0</v>
      </c>
      <c r="Z14" s="180" t="s">
        <v>1018</v>
      </c>
      <c r="AA14" s="180">
        <f t="shared" si="6"/>
        <v>2</v>
      </c>
      <c r="AB14" s="174"/>
      <c r="AC14" s="174"/>
      <c r="AD14" s="188" t="s">
        <v>2383</v>
      </c>
      <c r="AE14" s="174"/>
      <c r="AF14" s="174"/>
      <c r="AG14" s="174"/>
      <c r="AH14" s="174"/>
      <c r="AI14" s="174"/>
      <c r="AJ14" s="186" t="s">
        <v>2395</v>
      </c>
    </row>
    <row r="15" spans="2:36" s="181" customFormat="1" ht="13.5" x14ac:dyDescent="0.3">
      <c r="B15" s="181" t="s">
        <v>2474</v>
      </c>
      <c r="C15" s="174">
        <v>1</v>
      </c>
      <c r="D15" s="174"/>
      <c r="E15" s="174">
        <f t="shared" si="1"/>
        <v>1</v>
      </c>
      <c r="F15" s="174"/>
      <c r="G15" s="177"/>
      <c r="H15" s="177">
        <f t="shared" si="0"/>
        <v>0</v>
      </c>
      <c r="I15" s="174" t="s">
        <v>2337</v>
      </c>
      <c r="J15" s="176" t="s">
        <v>569</v>
      </c>
      <c r="K15" s="174" t="s">
        <v>2292</v>
      </c>
      <c r="L15" s="177">
        <v>4</v>
      </c>
      <c r="M15" s="177">
        <v>3</v>
      </c>
      <c r="N15" s="177">
        <v>2</v>
      </c>
      <c r="O15" s="177">
        <v>0</v>
      </c>
      <c r="P15" s="177">
        <v>0</v>
      </c>
      <c r="Q15" s="177">
        <v>1</v>
      </c>
      <c r="R15" s="177">
        <v>1</v>
      </c>
      <c r="S15" s="177">
        <v>0</v>
      </c>
      <c r="T15" s="177">
        <v>0</v>
      </c>
      <c r="U15" s="174" t="s">
        <v>2276</v>
      </c>
      <c r="V15" s="180">
        <f t="shared" si="2"/>
        <v>4</v>
      </c>
      <c r="W15" s="180">
        <f t="shared" si="3"/>
        <v>3</v>
      </c>
      <c r="X15" s="180">
        <f t="shared" si="4"/>
        <v>0</v>
      </c>
      <c r="Y15" s="180">
        <f t="shared" si="5"/>
        <v>0</v>
      </c>
      <c r="Z15" s="180">
        <f>W15*500000</f>
        <v>1500000</v>
      </c>
      <c r="AA15" s="180">
        <f t="shared" si="6"/>
        <v>1</v>
      </c>
      <c r="AB15" s="174"/>
      <c r="AC15" s="174" t="s">
        <v>2432</v>
      </c>
      <c r="AD15" s="188" t="s">
        <v>2381</v>
      </c>
      <c r="AE15" s="174"/>
      <c r="AF15" s="174"/>
      <c r="AG15" s="174"/>
      <c r="AH15" s="174"/>
      <c r="AI15" s="174"/>
      <c r="AJ15" s="186" t="s">
        <v>2433</v>
      </c>
    </row>
    <row r="16" spans="2:36" s="181" customFormat="1" ht="13.5" x14ac:dyDescent="0.3">
      <c r="B16" s="181" t="s">
        <v>2475</v>
      </c>
      <c r="C16" s="192">
        <v>1</v>
      </c>
      <c r="D16" s="192"/>
      <c r="E16" s="192">
        <f t="shared" si="1"/>
        <v>1</v>
      </c>
      <c r="F16" s="192" t="s">
        <v>2464</v>
      </c>
      <c r="G16" s="193">
        <v>500000000</v>
      </c>
      <c r="H16" s="193">
        <f t="shared" si="0"/>
        <v>500000000</v>
      </c>
      <c r="I16" s="174" t="s">
        <v>2337</v>
      </c>
      <c r="J16" s="176" t="s">
        <v>569</v>
      </c>
      <c r="K16" s="174" t="s">
        <v>2293</v>
      </c>
      <c r="L16" s="177">
        <v>4</v>
      </c>
      <c r="M16" s="177">
        <v>1</v>
      </c>
      <c r="N16" s="177">
        <v>0</v>
      </c>
      <c r="O16" s="177">
        <v>1</v>
      </c>
      <c r="P16" s="177">
        <v>500000000</v>
      </c>
      <c r="Q16" s="177">
        <v>1</v>
      </c>
      <c r="R16" s="177">
        <v>0</v>
      </c>
      <c r="S16" s="177">
        <v>1</v>
      </c>
      <c r="T16" s="177">
        <v>500000000</v>
      </c>
      <c r="U16" s="174" t="s">
        <v>2294</v>
      </c>
      <c r="V16" s="180">
        <f t="shared" si="2"/>
        <v>2</v>
      </c>
      <c r="W16" s="180">
        <f t="shared" si="3"/>
        <v>0</v>
      </c>
      <c r="X16" s="180">
        <f t="shared" si="4"/>
        <v>2</v>
      </c>
      <c r="Y16" s="180">
        <f t="shared" si="5"/>
        <v>1000000000</v>
      </c>
      <c r="Z16" s="180"/>
      <c r="AA16" s="180">
        <f t="shared" si="6"/>
        <v>4</v>
      </c>
      <c r="AB16" s="180" t="s">
        <v>2393</v>
      </c>
      <c r="AC16" s="174"/>
      <c r="AD16" s="185"/>
      <c r="AE16" s="174"/>
      <c r="AF16" s="174"/>
      <c r="AG16" s="174"/>
      <c r="AH16" s="174"/>
      <c r="AI16" s="174"/>
      <c r="AJ16" s="174"/>
    </row>
    <row r="17" spans="2:36" s="181" customFormat="1" ht="13.5" x14ac:dyDescent="0.3">
      <c r="B17" s="181" t="s">
        <v>2475</v>
      </c>
      <c r="C17" s="174"/>
      <c r="D17" s="174"/>
      <c r="E17" s="174">
        <f t="shared" si="1"/>
        <v>0</v>
      </c>
      <c r="F17" s="174"/>
      <c r="G17" s="177"/>
      <c r="H17" s="177">
        <f t="shared" si="0"/>
        <v>0</v>
      </c>
      <c r="I17" s="174" t="s">
        <v>2337</v>
      </c>
      <c r="J17" s="176" t="s">
        <v>569</v>
      </c>
      <c r="K17" s="174" t="s">
        <v>561</v>
      </c>
      <c r="L17" s="177">
        <v>1</v>
      </c>
      <c r="M17" s="177">
        <v>1</v>
      </c>
      <c r="N17" s="177">
        <v>0</v>
      </c>
      <c r="O17" s="177">
        <v>1</v>
      </c>
      <c r="P17" s="177">
        <v>50000000</v>
      </c>
      <c r="Q17" s="177">
        <v>0</v>
      </c>
      <c r="R17" s="177">
        <v>0</v>
      </c>
      <c r="S17" s="177">
        <v>0</v>
      </c>
      <c r="T17" s="177">
        <v>0</v>
      </c>
      <c r="U17" s="174" t="s">
        <v>2295</v>
      </c>
      <c r="V17" s="180">
        <f t="shared" si="2"/>
        <v>1</v>
      </c>
      <c r="W17" s="180">
        <f t="shared" si="3"/>
        <v>0</v>
      </c>
      <c r="X17" s="180">
        <f t="shared" si="4"/>
        <v>1</v>
      </c>
      <c r="Y17" s="180">
        <f t="shared" si="5"/>
        <v>50000000</v>
      </c>
      <c r="Z17" s="180"/>
      <c r="AA17" s="180">
        <f t="shared" si="6"/>
        <v>1</v>
      </c>
      <c r="AB17" s="180" t="s">
        <v>2393</v>
      </c>
      <c r="AC17" s="174"/>
      <c r="AD17" s="185"/>
      <c r="AE17" s="174"/>
      <c r="AF17" s="174"/>
      <c r="AG17" s="174"/>
      <c r="AH17" s="174"/>
      <c r="AI17" s="174"/>
      <c r="AJ17" s="174"/>
    </row>
    <row r="18" spans="2:36" s="181" customFormat="1" ht="13.5" x14ac:dyDescent="0.3">
      <c r="B18" s="181" t="s">
        <v>2475</v>
      </c>
      <c r="C18" s="174"/>
      <c r="D18" s="174"/>
      <c r="E18" s="174">
        <f t="shared" si="1"/>
        <v>0</v>
      </c>
      <c r="F18" s="174"/>
      <c r="G18" s="177"/>
      <c r="H18" s="177">
        <f t="shared" si="0"/>
        <v>0</v>
      </c>
      <c r="I18" s="174" t="s">
        <v>2337</v>
      </c>
      <c r="J18" s="176" t="s">
        <v>569</v>
      </c>
      <c r="K18" s="174" t="s">
        <v>2296</v>
      </c>
      <c r="L18" s="177">
        <v>2</v>
      </c>
      <c r="M18" s="177">
        <v>1</v>
      </c>
      <c r="N18" s="177">
        <v>1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  <c r="U18" s="174"/>
      <c r="V18" s="180">
        <f t="shared" si="2"/>
        <v>1</v>
      </c>
      <c r="W18" s="180">
        <f t="shared" si="3"/>
        <v>1</v>
      </c>
      <c r="X18" s="180">
        <f t="shared" si="4"/>
        <v>0</v>
      </c>
      <c r="Y18" s="180">
        <f t="shared" si="5"/>
        <v>0</v>
      </c>
      <c r="Z18" s="180" t="s">
        <v>1018</v>
      </c>
      <c r="AA18" s="180">
        <f t="shared" si="6"/>
        <v>1</v>
      </c>
      <c r="AB18" s="180"/>
      <c r="AC18" s="174" t="s">
        <v>2396</v>
      </c>
      <c r="AD18" s="185" t="s">
        <v>2379</v>
      </c>
      <c r="AE18" s="174"/>
      <c r="AF18" s="174"/>
      <c r="AG18" s="174"/>
      <c r="AH18" s="174"/>
      <c r="AI18" s="174"/>
      <c r="AJ18" s="186" t="s">
        <v>2397</v>
      </c>
    </row>
    <row r="19" spans="2:36" s="181" customFormat="1" ht="13.5" x14ac:dyDescent="0.3">
      <c r="B19" s="181" t="s">
        <v>2475</v>
      </c>
      <c r="C19" s="174">
        <v>3</v>
      </c>
      <c r="D19" s="174">
        <v>1</v>
      </c>
      <c r="E19" s="174">
        <f t="shared" si="1"/>
        <v>4</v>
      </c>
      <c r="F19" s="174"/>
      <c r="G19" s="177"/>
      <c r="H19" s="177">
        <f t="shared" si="0"/>
        <v>0</v>
      </c>
      <c r="I19" s="174" t="s">
        <v>2337</v>
      </c>
      <c r="J19" s="176" t="s">
        <v>569</v>
      </c>
      <c r="K19" s="174" t="s">
        <v>1891</v>
      </c>
      <c r="L19" s="177">
        <v>9</v>
      </c>
      <c r="M19" s="177">
        <v>3</v>
      </c>
      <c r="N19" s="177">
        <v>3</v>
      </c>
      <c r="O19" s="177">
        <v>0</v>
      </c>
      <c r="P19" s="177">
        <v>0</v>
      </c>
      <c r="Q19" s="177">
        <v>2</v>
      </c>
      <c r="R19" s="177">
        <v>2</v>
      </c>
      <c r="S19" s="177">
        <v>0</v>
      </c>
      <c r="T19" s="177">
        <v>0</v>
      </c>
      <c r="U19" s="174" t="s">
        <v>2297</v>
      </c>
      <c r="V19" s="180">
        <f t="shared" si="2"/>
        <v>5</v>
      </c>
      <c r="W19" s="180">
        <f t="shared" si="3"/>
        <v>5</v>
      </c>
      <c r="X19" s="180">
        <f t="shared" si="4"/>
        <v>0</v>
      </c>
      <c r="Y19" s="180">
        <f t="shared" si="5"/>
        <v>0</v>
      </c>
      <c r="Z19" s="180">
        <f>W19*10000000</f>
        <v>50000000</v>
      </c>
      <c r="AA19" s="180">
        <f t="shared" si="6"/>
        <v>4</v>
      </c>
      <c r="AB19" s="180"/>
      <c r="AC19" s="174" t="s">
        <v>2434</v>
      </c>
      <c r="AD19" s="185" t="s">
        <v>2381</v>
      </c>
      <c r="AE19" s="174"/>
      <c r="AF19" s="174"/>
      <c r="AG19" s="174"/>
      <c r="AH19" s="174"/>
      <c r="AI19" s="174"/>
      <c r="AJ19" s="186" t="s">
        <v>2398</v>
      </c>
    </row>
    <row r="20" spans="2:36" s="181" customFormat="1" ht="13.5" x14ac:dyDescent="0.3">
      <c r="B20" s="181" t="s">
        <v>2475</v>
      </c>
      <c r="C20" s="192">
        <v>5</v>
      </c>
      <c r="D20" s="192"/>
      <c r="E20" s="192">
        <f t="shared" si="1"/>
        <v>5</v>
      </c>
      <c r="F20" s="192" t="s">
        <v>2464</v>
      </c>
      <c r="G20" s="193">
        <v>80000000</v>
      </c>
      <c r="H20" s="193">
        <f t="shared" si="0"/>
        <v>400000000</v>
      </c>
      <c r="I20" s="174" t="s">
        <v>2337</v>
      </c>
      <c r="J20" s="176" t="s">
        <v>569</v>
      </c>
      <c r="K20" s="174" t="s">
        <v>990</v>
      </c>
      <c r="L20" s="177">
        <v>11</v>
      </c>
      <c r="M20" s="177">
        <v>4</v>
      </c>
      <c r="N20" s="177">
        <v>0</v>
      </c>
      <c r="O20" s="177">
        <v>4</v>
      </c>
      <c r="P20" s="177">
        <v>320000000</v>
      </c>
      <c r="Q20" s="177">
        <v>2</v>
      </c>
      <c r="R20" s="177">
        <v>0</v>
      </c>
      <c r="S20" s="177">
        <v>2</v>
      </c>
      <c r="T20" s="177">
        <v>160000000</v>
      </c>
      <c r="U20" s="174" t="s">
        <v>2298</v>
      </c>
      <c r="V20" s="180">
        <f t="shared" si="2"/>
        <v>6</v>
      </c>
      <c r="W20" s="180">
        <f t="shared" si="3"/>
        <v>0</v>
      </c>
      <c r="X20" s="180">
        <f t="shared" si="4"/>
        <v>6</v>
      </c>
      <c r="Y20" s="180">
        <f t="shared" si="5"/>
        <v>480000000</v>
      </c>
      <c r="Z20" s="180"/>
      <c r="AA20" s="180">
        <f t="shared" si="6"/>
        <v>11</v>
      </c>
      <c r="AB20" s="180" t="s">
        <v>2393</v>
      </c>
      <c r="AC20" s="174"/>
      <c r="AD20" s="185"/>
      <c r="AE20" s="174"/>
      <c r="AF20" s="174"/>
      <c r="AG20" s="174"/>
      <c r="AH20" s="174"/>
      <c r="AI20" s="174"/>
      <c r="AJ20" s="174"/>
    </row>
    <row r="21" spans="2:36" s="181" customFormat="1" ht="13.5" x14ac:dyDescent="0.3">
      <c r="B21" s="181" t="s">
        <v>2475</v>
      </c>
      <c r="C21" s="192">
        <v>1</v>
      </c>
      <c r="D21" s="192"/>
      <c r="E21" s="192">
        <f t="shared" si="1"/>
        <v>1</v>
      </c>
      <c r="F21" s="192" t="s">
        <v>2464</v>
      </c>
      <c r="G21" s="193">
        <v>60000000</v>
      </c>
      <c r="H21" s="193">
        <f t="shared" si="0"/>
        <v>60000000</v>
      </c>
      <c r="I21" s="174" t="s">
        <v>2337</v>
      </c>
      <c r="J21" s="176" t="s">
        <v>569</v>
      </c>
      <c r="K21" s="174" t="s">
        <v>2299</v>
      </c>
      <c r="L21" s="177">
        <v>1</v>
      </c>
      <c r="M21" s="177">
        <v>1</v>
      </c>
      <c r="N21" s="177">
        <v>0</v>
      </c>
      <c r="O21" s="177">
        <v>1</v>
      </c>
      <c r="P21" s="177">
        <v>80000000</v>
      </c>
      <c r="Q21" s="177">
        <v>0</v>
      </c>
      <c r="R21" s="177">
        <v>0</v>
      </c>
      <c r="S21" s="177">
        <v>0</v>
      </c>
      <c r="T21" s="177">
        <v>0</v>
      </c>
      <c r="U21" s="174" t="s">
        <v>2300</v>
      </c>
      <c r="V21" s="180">
        <f t="shared" si="2"/>
        <v>1</v>
      </c>
      <c r="W21" s="180">
        <f t="shared" si="3"/>
        <v>0</v>
      </c>
      <c r="X21" s="180">
        <f t="shared" si="4"/>
        <v>1</v>
      </c>
      <c r="Y21" s="180">
        <f t="shared" si="5"/>
        <v>80000000</v>
      </c>
      <c r="Z21" s="180"/>
      <c r="AA21" s="180">
        <f t="shared" si="6"/>
        <v>1</v>
      </c>
      <c r="AB21" s="180" t="s">
        <v>2393</v>
      </c>
      <c r="AC21" s="174"/>
      <c r="AD21" s="185"/>
      <c r="AE21" s="174"/>
      <c r="AF21" s="174"/>
      <c r="AG21" s="174"/>
      <c r="AH21" s="174"/>
      <c r="AI21" s="174"/>
      <c r="AJ21" s="174"/>
    </row>
    <row r="22" spans="2:36" s="181" customFormat="1" ht="13.5" x14ac:dyDescent="0.3">
      <c r="B22" s="181" t="s">
        <v>2475</v>
      </c>
      <c r="C22" s="192">
        <v>1</v>
      </c>
      <c r="D22" s="192"/>
      <c r="E22" s="192">
        <f t="shared" si="1"/>
        <v>1</v>
      </c>
      <c r="F22" s="192" t="s">
        <v>2464</v>
      </c>
      <c r="G22" s="193">
        <v>69000000</v>
      </c>
      <c r="H22" s="193">
        <f t="shared" si="0"/>
        <v>69000000</v>
      </c>
      <c r="I22" s="174" t="s">
        <v>2337</v>
      </c>
      <c r="J22" s="176" t="s">
        <v>569</v>
      </c>
      <c r="K22" s="174" t="s">
        <v>2301</v>
      </c>
      <c r="L22" s="177">
        <v>1</v>
      </c>
      <c r="M22" s="177">
        <v>1</v>
      </c>
      <c r="N22" s="177">
        <v>0</v>
      </c>
      <c r="O22" s="177">
        <v>1</v>
      </c>
      <c r="P22" s="177">
        <v>60000000</v>
      </c>
      <c r="Q22" s="177">
        <v>0</v>
      </c>
      <c r="R22" s="177">
        <v>0</v>
      </c>
      <c r="S22" s="177">
        <v>0</v>
      </c>
      <c r="T22" s="177">
        <v>0</v>
      </c>
      <c r="U22" s="174" t="s">
        <v>2300</v>
      </c>
      <c r="V22" s="180">
        <f t="shared" si="2"/>
        <v>1</v>
      </c>
      <c r="W22" s="180">
        <f t="shared" si="3"/>
        <v>0</v>
      </c>
      <c r="X22" s="180">
        <f t="shared" si="4"/>
        <v>1</v>
      </c>
      <c r="Y22" s="180">
        <f t="shared" si="5"/>
        <v>60000000</v>
      </c>
      <c r="Z22" s="180"/>
      <c r="AA22" s="180">
        <f t="shared" si="6"/>
        <v>1</v>
      </c>
      <c r="AB22" s="180" t="s">
        <v>2393</v>
      </c>
      <c r="AC22" s="174"/>
      <c r="AD22" s="185"/>
      <c r="AE22" s="174"/>
      <c r="AF22" s="174"/>
      <c r="AG22" s="174"/>
      <c r="AH22" s="174"/>
      <c r="AI22" s="174"/>
      <c r="AJ22" s="174"/>
    </row>
    <row r="23" spans="2:36" s="181" customFormat="1" ht="13.5" x14ac:dyDescent="0.3">
      <c r="B23" s="181" t="s">
        <v>2475</v>
      </c>
      <c r="C23" s="192">
        <v>1</v>
      </c>
      <c r="D23" s="192"/>
      <c r="E23" s="192">
        <f t="shared" si="1"/>
        <v>1</v>
      </c>
      <c r="F23" s="192" t="s">
        <v>2464</v>
      </c>
      <c r="G23" s="193">
        <v>290000000</v>
      </c>
      <c r="H23" s="193">
        <f t="shared" si="0"/>
        <v>290000000</v>
      </c>
      <c r="I23" s="174" t="s">
        <v>2337</v>
      </c>
      <c r="J23" s="176" t="s">
        <v>569</v>
      </c>
      <c r="K23" s="174" t="s">
        <v>2302</v>
      </c>
      <c r="L23" s="177">
        <v>1</v>
      </c>
      <c r="M23" s="177">
        <v>1</v>
      </c>
      <c r="N23" s="177">
        <v>0</v>
      </c>
      <c r="O23" s="177">
        <v>1</v>
      </c>
      <c r="P23" s="177">
        <v>230000000</v>
      </c>
      <c r="Q23" s="177">
        <v>0</v>
      </c>
      <c r="R23" s="177">
        <v>0</v>
      </c>
      <c r="S23" s="177">
        <v>0</v>
      </c>
      <c r="T23" s="177">
        <v>0</v>
      </c>
      <c r="U23" s="174" t="s">
        <v>2300</v>
      </c>
      <c r="V23" s="180">
        <f t="shared" si="2"/>
        <v>1</v>
      </c>
      <c r="W23" s="180">
        <f t="shared" si="3"/>
        <v>0</v>
      </c>
      <c r="X23" s="180">
        <f t="shared" si="4"/>
        <v>1</v>
      </c>
      <c r="Y23" s="180">
        <f t="shared" si="5"/>
        <v>230000000</v>
      </c>
      <c r="Z23" s="180"/>
      <c r="AA23" s="180">
        <f t="shared" si="6"/>
        <v>1</v>
      </c>
      <c r="AB23" s="180" t="s">
        <v>2393</v>
      </c>
      <c r="AC23" s="174"/>
      <c r="AD23" s="185"/>
      <c r="AE23" s="174"/>
      <c r="AF23" s="174"/>
      <c r="AG23" s="174"/>
      <c r="AH23" s="174"/>
      <c r="AI23" s="174"/>
      <c r="AJ23" s="174"/>
    </row>
    <row r="24" spans="2:36" s="181" customFormat="1" ht="13.5" x14ac:dyDescent="0.3">
      <c r="B24" s="181" t="s">
        <v>2463</v>
      </c>
      <c r="C24" s="192">
        <v>1</v>
      </c>
      <c r="D24" s="192"/>
      <c r="E24" s="192">
        <f t="shared" si="1"/>
        <v>1</v>
      </c>
      <c r="F24" s="192" t="s">
        <v>2464</v>
      </c>
      <c r="G24" s="193">
        <v>250000000</v>
      </c>
      <c r="H24" s="193">
        <f t="shared" si="0"/>
        <v>250000000</v>
      </c>
      <c r="I24" s="174" t="s">
        <v>2337</v>
      </c>
      <c r="J24" s="176" t="s">
        <v>569</v>
      </c>
      <c r="K24" s="174" t="s">
        <v>1012</v>
      </c>
      <c r="L24" s="177">
        <v>3</v>
      </c>
      <c r="M24" s="177">
        <v>1</v>
      </c>
      <c r="N24" s="177">
        <v>0</v>
      </c>
      <c r="O24" s="177">
        <v>1</v>
      </c>
      <c r="P24" s="177">
        <v>150000000</v>
      </c>
      <c r="Q24" s="177">
        <v>0</v>
      </c>
      <c r="R24" s="177">
        <v>0</v>
      </c>
      <c r="S24" s="177">
        <v>0</v>
      </c>
      <c r="T24" s="177">
        <v>0</v>
      </c>
      <c r="U24" s="174" t="s">
        <v>2300</v>
      </c>
      <c r="V24" s="180">
        <f t="shared" si="2"/>
        <v>1</v>
      </c>
      <c r="W24" s="180">
        <f t="shared" si="3"/>
        <v>0</v>
      </c>
      <c r="X24" s="180">
        <f t="shared" si="4"/>
        <v>1</v>
      </c>
      <c r="Y24" s="180">
        <f t="shared" si="5"/>
        <v>150000000</v>
      </c>
      <c r="Z24" s="180"/>
      <c r="AA24" s="180">
        <f t="shared" si="6"/>
        <v>3</v>
      </c>
      <c r="AB24" s="180" t="s">
        <v>2393</v>
      </c>
      <c r="AC24" s="174"/>
      <c r="AD24" s="185"/>
      <c r="AE24" s="174"/>
      <c r="AF24" s="174"/>
      <c r="AG24" s="174"/>
      <c r="AH24" s="174"/>
      <c r="AI24" s="174"/>
      <c r="AJ24" s="174"/>
    </row>
    <row r="25" spans="2:36" s="181" customFormat="1" ht="13.5" x14ac:dyDescent="0.3">
      <c r="B25" s="181" t="s">
        <v>2463</v>
      </c>
      <c r="C25" s="174"/>
      <c r="D25" s="174"/>
      <c r="E25" s="174">
        <f t="shared" si="1"/>
        <v>0</v>
      </c>
      <c r="F25" s="174"/>
      <c r="G25" s="177"/>
      <c r="H25" s="177">
        <f t="shared" si="0"/>
        <v>0</v>
      </c>
      <c r="I25" s="174" t="s">
        <v>2337</v>
      </c>
      <c r="J25" s="176" t="s">
        <v>569</v>
      </c>
      <c r="K25" s="174" t="s">
        <v>2303</v>
      </c>
      <c r="L25" s="177">
        <v>1</v>
      </c>
      <c r="M25" s="177">
        <v>1</v>
      </c>
      <c r="N25" s="177">
        <v>0</v>
      </c>
      <c r="O25" s="177">
        <v>1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  <c r="U25" s="174" t="s">
        <v>2291</v>
      </c>
      <c r="V25" s="180">
        <f t="shared" si="2"/>
        <v>1</v>
      </c>
      <c r="W25" s="180">
        <f t="shared" si="3"/>
        <v>0</v>
      </c>
      <c r="X25" s="180">
        <f t="shared" si="4"/>
        <v>1</v>
      </c>
      <c r="Y25" s="180">
        <f t="shared" si="5"/>
        <v>0</v>
      </c>
      <c r="Z25" s="180"/>
      <c r="AA25" s="180">
        <f t="shared" si="6"/>
        <v>1</v>
      </c>
      <c r="AB25" s="180" t="s">
        <v>2393</v>
      </c>
      <c r="AC25" s="174"/>
      <c r="AD25" s="185"/>
      <c r="AE25" s="174"/>
      <c r="AF25" s="174"/>
      <c r="AG25" s="174"/>
      <c r="AH25" s="174"/>
      <c r="AI25" s="174"/>
      <c r="AJ25" s="174"/>
    </row>
    <row r="26" spans="2:36" s="181" customFormat="1" ht="13.5" x14ac:dyDescent="0.3">
      <c r="B26" s="181" t="s">
        <v>2463</v>
      </c>
      <c r="C26" s="174">
        <v>1</v>
      </c>
      <c r="D26" s="174"/>
      <c r="E26" s="174">
        <f t="shared" si="1"/>
        <v>1</v>
      </c>
      <c r="F26" s="174"/>
      <c r="G26" s="177"/>
      <c r="H26" s="177">
        <f t="shared" si="0"/>
        <v>0</v>
      </c>
      <c r="I26" s="174" t="s">
        <v>2337</v>
      </c>
      <c r="J26" s="176" t="s">
        <v>569</v>
      </c>
      <c r="K26" s="174" t="s">
        <v>2304</v>
      </c>
      <c r="L26" s="177">
        <v>1</v>
      </c>
      <c r="M26" s="177">
        <v>1</v>
      </c>
      <c r="N26" s="177"/>
      <c r="O26" s="177">
        <v>1</v>
      </c>
      <c r="P26" s="177">
        <v>150000000</v>
      </c>
      <c r="Q26" s="177">
        <v>0</v>
      </c>
      <c r="R26" s="177"/>
      <c r="S26" s="177">
        <v>0</v>
      </c>
      <c r="T26" s="177">
        <v>150000000</v>
      </c>
      <c r="U26" s="174" t="s">
        <v>2305</v>
      </c>
      <c r="V26" s="180">
        <f t="shared" si="2"/>
        <v>1</v>
      </c>
      <c r="W26" s="180">
        <f t="shared" si="3"/>
        <v>0</v>
      </c>
      <c r="X26" s="180">
        <f t="shared" si="4"/>
        <v>1</v>
      </c>
      <c r="Y26" s="180">
        <f t="shared" si="5"/>
        <v>300000000</v>
      </c>
      <c r="Z26" s="180"/>
      <c r="AA26" s="180">
        <f t="shared" si="6"/>
        <v>1</v>
      </c>
      <c r="AB26" s="180" t="s">
        <v>2393</v>
      </c>
      <c r="AC26" s="174"/>
      <c r="AD26" s="185"/>
      <c r="AE26" s="174"/>
      <c r="AF26" s="174"/>
      <c r="AG26" s="174"/>
      <c r="AH26" s="174"/>
      <c r="AI26" s="174"/>
      <c r="AJ26" s="174"/>
    </row>
    <row r="27" spans="2:36" s="181" customFormat="1" ht="13.5" x14ac:dyDescent="0.3">
      <c r="B27" s="181" t="s">
        <v>2474</v>
      </c>
      <c r="C27" s="174"/>
      <c r="D27" s="174"/>
      <c r="E27" s="174">
        <f t="shared" si="1"/>
        <v>0</v>
      </c>
      <c r="F27" s="174"/>
      <c r="G27" s="177"/>
      <c r="H27" s="177">
        <f t="shared" si="0"/>
        <v>0</v>
      </c>
      <c r="I27" s="174" t="s">
        <v>2338</v>
      </c>
      <c r="J27" s="174" t="s">
        <v>2172</v>
      </c>
      <c r="K27" s="174" t="s">
        <v>2270</v>
      </c>
      <c r="L27" s="174">
        <v>1</v>
      </c>
      <c r="M27" s="174">
        <v>1</v>
      </c>
      <c r="N27" s="174"/>
      <c r="O27" s="174"/>
      <c r="P27" s="177"/>
      <c r="Q27" s="174"/>
      <c r="R27" s="174"/>
      <c r="S27" s="174"/>
      <c r="T27" s="177"/>
      <c r="U27" s="174" t="s">
        <v>2399</v>
      </c>
      <c r="V27" s="180">
        <f t="shared" si="2"/>
        <v>1</v>
      </c>
      <c r="W27" s="180">
        <f t="shared" si="3"/>
        <v>0</v>
      </c>
      <c r="X27" s="180">
        <f t="shared" si="4"/>
        <v>0</v>
      </c>
      <c r="Y27" s="180">
        <f t="shared" si="5"/>
        <v>0</v>
      </c>
      <c r="Z27" s="180"/>
      <c r="AA27" s="180">
        <f t="shared" si="6"/>
        <v>1</v>
      </c>
      <c r="AB27" s="180"/>
      <c r="AC27" s="174"/>
      <c r="AD27" s="185"/>
      <c r="AE27" s="174"/>
      <c r="AF27" s="174"/>
      <c r="AG27" s="174"/>
      <c r="AH27" s="174"/>
      <c r="AI27" s="174"/>
      <c r="AJ27" s="174"/>
    </row>
    <row r="28" spans="2:36" s="181" customFormat="1" ht="13.5" x14ac:dyDescent="0.3">
      <c r="B28" s="181" t="s">
        <v>2474</v>
      </c>
      <c r="C28" s="174"/>
      <c r="D28" s="174"/>
      <c r="E28" s="174">
        <f t="shared" si="1"/>
        <v>0</v>
      </c>
      <c r="F28" s="174"/>
      <c r="G28" s="177"/>
      <c r="H28" s="177">
        <f t="shared" si="0"/>
        <v>0</v>
      </c>
      <c r="I28" s="174" t="s">
        <v>2338</v>
      </c>
      <c r="J28" s="174" t="s">
        <v>2172</v>
      </c>
      <c r="K28" s="174" t="s">
        <v>2327</v>
      </c>
      <c r="L28" s="174">
        <v>2</v>
      </c>
      <c r="M28" s="174">
        <v>1</v>
      </c>
      <c r="N28" s="174"/>
      <c r="O28" s="174">
        <v>1</v>
      </c>
      <c r="P28" s="177">
        <v>2000000000</v>
      </c>
      <c r="Q28" s="174"/>
      <c r="R28" s="174"/>
      <c r="S28" s="174"/>
      <c r="T28" s="177"/>
      <c r="U28" s="174" t="s">
        <v>2362</v>
      </c>
      <c r="V28" s="180">
        <f t="shared" si="2"/>
        <v>1</v>
      </c>
      <c r="W28" s="180">
        <f t="shared" si="3"/>
        <v>0</v>
      </c>
      <c r="X28" s="180">
        <f t="shared" si="4"/>
        <v>1</v>
      </c>
      <c r="Y28" s="180">
        <f t="shared" si="5"/>
        <v>2000000000</v>
      </c>
      <c r="Z28" s="180"/>
      <c r="AA28" s="180">
        <f t="shared" si="6"/>
        <v>2</v>
      </c>
      <c r="AB28" s="180" t="s">
        <v>2393</v>
      </c>
      <c r="AC28" s="174"/>
      <c r="AD28" s="185"/>
      <c r="AE28" s="174"/>
      <c r="AF28" s="174"/>
      <c r="AG28" s="174"/>
      <c r="AH28" s="174"/>
      <c r="AI28" s="174"/>
      <c r="AJ28" s="174"/>
    </row>
    <row r="29" spans="2:36" s="181" customFormat="1" ht="13.5" x14ac:dyDescent="0.3">
      <c r="B29" s="181" t="s">
        <v>2474</v>
      </c>
      <c r="C29" s="174">
        <v>2</v>
      </c>
      <c r="D29" s="174"/>
      <c r="E29" s="174">
        <f t="shared" si="1"/>
        <v>2</v>
      </c>
      <c r="F29" s="174"/>
      <c r="G29" s="177"/>
      <c r="H29" s="177">
        <f t="shared" si="0"/>
        <v>0</v>
      </c>
      <c r="I29" s="174" t="s">
        <v>2338</v>
      </c>
      <c r="J29" s="174" t="s">
        <v>2172</v>
      </c>
      <c r="K29" s="174" t="s">
        <v>2364</v>
      </c>
      <c r="L29" s="174">
        <v>2</v>
      </c>
      <c r="M29" s="174">
        <v>1</v>
      </c>
      <c r="N29" s="174"/>
      <c r="O29" s="174">
        <v>1</v>
      </c>
      <c r="P29" s="177">
        <v>1000000000</v>
      </c>
      <c r="Q29" s="174"/>
      <c r="R29" s="174"/>
      <c r="S29" s="174"/>
      <c r="T29" s="177"/>
      <c r="U29" s="174"/>
      <c r="V29" s="180">
        <f t="shared" si="2"/>
        <v>1</v>
      </c>
      <c r="W29" s="180">
        <f t="shared" si="3"/>
        <v>0</v>
      </c>
      <c r="X29" s="180">
        <f t="shared" si="4"/>
        <v>1</v>
      </c>
      <c r="Y29" s="180">
        <f t="shared" si="5"/>
        <v>1000000000</v>
      </c>
      <c r="Z29" s="180"/>
      <c r="AA29" s="180">
        <f t="shared" si="6"/>
        <v>2</v>
      </c>
      <c r="AB29" s="180" t="s">
        <v>2393</v>
      </c>
      <c r="AC29" s="174"/>
      <c r="AD29" s="185"/>
      <c r="AE29" s="174"/>
      <c r="AF29" s="174"/>
      <c r="AG29" s="174"/>
      <c r="AH29" s="174"/>
      <c r="AI29" s="174"/>
      <c r="AJ29" s="174"/>
    </row>
    <row r="30" spans="2:36" s="181" customFormat="1" ht="13.5" x14ac:dyDescent="0.3">
      <c r="B30" s="181" t="s">
        <v>2474</v>
      </c>
      <c r="C30" s="174">
        <v>1</v>
      </c>
      <c r="D30" s="174"/>
      <c r="E30" s="174">
        <f t="shared" si="1"/>
        <v>1</v>
      </c>
      <c r="F30" s="174"/>
      <c r="G30" s="177"/>
      <c r="H30" s="177">
        <f t="shared" si="0"/>
        <v>0</v>
      </c>
      <c r="I30" s="174" t="s">
        <v>2338</v>
      </c>
      <c r="J30" s="174" t="s">
        <v>2172</v>
      </c>
      <c r="K30" s="174" t="s">
        <v>2306</v>
      </c>
      <c r="L30" s="174">
        <v>1</v>
      </c>
      <c r="M30" s="174">
        <v>1</v>
      </c>
      <c r="N30" s="174"/>
      <c r="O30" s="174">
        <v>1</v>
      </c>
      <c r="P30" s="177">
        <v>150000000</v>
      </c>
      <c r="Q30" s="174"/>
      <c r="R30" s="174"/>
      <c r="S30" s="174"/>
      <c r="T30" s="177"/>
      <c r="U30" s="174" t="s">
        <v>2400</v>
      </c>
      <c r="V30" s="180">
        <f t="shared" si="2"/>
        <v>1</v>
      </c>
      <c r="W30" s="180">
        <f t="shared" si="3"/>
        <v>0</v>
      </c>
      <c r="X30" s="180">
        <f t="shared" si="4"/>
        <v>1</v>
      </c>
      <c r="Y30" s="180">
        <f t="shared" si="5"/>
        <v>150000000</v>
      </c>
      <c r="Z30" s="180"/>
      <c r="AA30" s="180">
        <f t="shared" si="6"/>
        <v>1</v>
      </c>
      <c r="AB30" s="180" t="s">
        <v>2393</v>
      </c>
      <c r="AC30" s="174"/>
      <c r="AD30" s="185"/>
      <c r="AE30" s="174"/>
      <c r="AF30" s="174"/>
      <c r="AG30" s="174"/>
      <c r="AH30" s="174"/>
      <c r="AI30" s="174"/>
      <c r="AJ30" s="174"/>
    </row>
    <row r="31" spans="2:36" s="181" customFormat="1" ht="13.5" x14ac:dyDescent="0.3">
      <c r="B31" s="181" t="s">
        <v>2474</v>
      </c>
      <c r="C31" s="174"/>
      <c r="D31" s="174"/>
      <c r="E31" s="174">
        <f t="shared" si="1"/>
        <v>0</v>
      </c>
      <c r="F31" s="174"/>
      <c r="G31" s="177"/>
      <c r="H31" s="177">
        <f t="shared" si="0"/>
        <v>0</v>
      </c>
      <c r="I31" s="174" t="s">
        <v>2338</v>
      </c>
      <c r="J31" s="174" t="s">
        <v>2172</v>
      </c>
      <c r="K31" s="174" t="s">
        <v>2307</v>
      </c>
      <c r="L31" s="174">
        <v>2</v>
      </c>
      <c r="M31" s="174">
        <v>1</v>
      </c>
      <c r="N31" s="174">
        <v>1</v>
      </c>
      <c r="O31" s="174"/>
      <c r="P31" s="177"/>
      <c r="Q31" s="174"/>
      <c r="R31" s="174"/>
      <c r="S31" s="174"/>
      <c r="T31" s="177"/>
      <c r="U31" s="174"/>
      <c r="V31" s="180">
        <f t="shared" si="2"/>
        <v>1</v>
      </c>
      <c r="W31" s="180">
        <f t="shared" si="3"/>
        <v>1</v>
      </c>
      <c r="X31" s="180">
        <f t="shared" si="4"/>
        <v>0</v>
      </c>
      <c r="Y31" s="180">
        <f t="shared" si="5"/>
        <v>0</v>
      </c>
      <c r="Z31" s="180" t="s">
        <v>1018</v>
      </c>
      <c r="AA31" s="180">
        <f t="shared" si="6"/>
        <v>1</v>
      </c>
      <c r="AB31" s="180" t="s">
        <v>1018</v>
      </c>
      <c r="AC31" s="174"/>
      <c r="AD31" s="185"/>
      <c r="AE31" s="174"/>
      <c r="AF31" s="174"/>
      <c r="AG31" s="174"/>
      <c r="AH31" s="174"/>
      <c r="AI31" s="174"/>
      <c r="AJ31" s="174"/>
    </row>
    <row r="32" spans="2:36" s="181" customFormat="1" ht="13.5" x14ac:dyDescent="0.3">
      <c r="B32" s="181" t="s">
        <v>2401</v>
      </c>
      <c r="C32" s="174"/>
      <c r="D32" s="174"/>
      <c r="E32" s="174">
        <f t="shared" si="1"/>
        <v>0</v>
      </c>
      <c r="F32" s="174"/>
      <c r="G32" s="177"/>
      <c r="H32" s="177">
        <f t="shared" si="0"/>
        <v>0</v>
      </c>
      <c r="I32" s="174" t="s">
        <v>2338</v>
      </c>
      <c r="J32" s="174" t="s">
        <v>2172</v>
      </c>
      <c r="K32" s="174" t="s">
        <v>2308</v>
      </c>
      <c r="L32" s="174">
        <v>2</v>
      </c>
      <c r="M32" s="174"/>
      <c r="N32" s="174"/>
      <c r="O32" s="174"/>
      <c r="P32" s="177"/>
      <c r="Q32" s="174"/>
      <c r="R32" s="174"/>
      <c r="S32" s="174"/>
      <c r="T32" s="177"/>
      <c r="U32" s="174"/>
      <c r="V32" s="180">
        <f t="shared" si="2"/>
        <v>0</v>
      </c>
      <c r="W32" s="180">
        <f t="shared" si="3"/>
        <v>0</v>
      </c>
      <c r="X32" s="180">
        <f t="shared" si="4"/>
        <v>0</v>
      </c>
      <c r="Y32" s="180">
        <f t="shared" si="5"/>
        <v>0</v>
      </c>
      <c r="Z32" s="180"/>
      <c r="AA32" s="180">
        <f t="shared" si="6"/>
        <v>2</v>
      </c>
      <c r="AB32" s="180" t="s">
        <v>2401</v>
      </c>
      <c r="AC32" s="174"/>
      <c r="AD32" s="185"/>
      <c r="AE32" s="174"/>
      <c r="AF32" s="174"/>
      <c r="AG32" s="174"/>
      <c r="AH32" s="174"/>
      <c r="AI32" s="174"/>
      <c r="AJ32" s="174"/>
    </row>
    <row r="33" spans="2:36" s="181" customFormat="1" ht="13.5" x14ac:dyDescent="0.3">
      <c r="B33" s="181" t="s">
        <v>2474</v>
      </c>
      <c r="C33" s="174">
        <v>10</v>
      </c>
      <c r="D33" s="174">
        <v>8</v>
      </c>
      <c r="E33" s="174">
        <f t="shared" si="1"/>
        <v>18</v>
      </c>
      <c r="F33" s="174"/>
      <c r="G33" s="177"/>
      <c r="H33" s="177">
        <f t="shared" si="0"/>
        <v>0</v>
      </c>
      <c r="I33" s="174" t="s">
        <v>2338</v>
      </c>
      <c r="J33" s="174" t="s">
        <v>2172</v>
      </c>
      <c r="K33" s="174" t="s">
        <v>2363</v>
      </c>
      <c r="L33" s="174">
        <v>28</v>
      </c>
      <c r="M33" s="174">
        <v>8</v>
      </c>
      <c r="N33" s="174">
        <v>8</v>
      </c>
      <c r="O33" s="174"/>
      <c r="P33" s="177"/>
      <c r="Q33" s="174">
        <v>4</v>
      </c>
      <c r="R33" s="174">
        <v>4</v>
      </c>
      <c r="S33" s="174"/>
      <c r="T33" s="177"/>
      <c r="U33" s="174"/>
      <c r="V33" s="180">
        <f t="shared" si="2"/>
        <v>12</v>
      </c>
      <c r="W33" s="180">
        <f t="shared" si="3"/>
        <v>12</v>
      </c>
      <c r="X33" s="180">
        <f t="shared" si="4"/>
        <v>0</v>
      </c>
      <c r="Y33" s="180">
        <f t="shared" si="5"/>
        <v>0</v>
      </c>
      <c r="Z33" s="180">
        <f>W33*35000000</f>
        <v>420000000</v>
      </c>
      <c r="AA33" s="180">
        <f t="shared" si="6"/>
        <v>16</v>
      </c>
      <c r="AB33" s="180"/>
      <c r="AC33" s="174" t="s">
        <v>2406</v>
      </c>
      <c r="AD33" s="185" t="s">
        <v>2375</v>
      </c>
      <c r="AE33" s="174"/>
      <c r="AF33" s="174"/>
      <c r="AG33" s="174"/>
      <c r="AH33" s="174"/>
      <c r="AI33" s="174"/>
      <c r="AJ33" s="174"/>
    </row>
    <row r="34" spans="2:36" s="181" customFormat="1" ht="13.5" x14ac:dyDescent="0.3">
      <c r="B34" s="181" t="s">
        <v>2463</v>
      </c>
      <c r="C34" s="174"/>
      <c r="D34" s="174">
        <v>1</v>
      </c>
      <c r="E34" s="174">
        <f t="shared" si="1"/>
        <v>1</v>
      </c>
      <c r="F34" s="174"/>
      <c r="G34" s="177"/>
      <c r="H34" s="177">
        <f t="shared" si="0"/>
        <v>0</v>
      </c>
      <c r="I34" s="174" t="s">
        <v>2338</v>
      </c>
      <c r="J34" s="174" t="s">
        <v>2172</v>
      </c>
      <c r="K34" s="174" t="s">
        <v>2309</v>
      </c>
      <c r="L34" s="174">
        <v>9</v>
      </c>
      <c r="M34" s="174">
        <v>5</v>
      </c>
      <c r="N34" s="174">
        <v>3</v>
      </c>
      <c r="O34" s="174"/>
      <c r="P34" s="177"/>
      <c r="Q34" s="174">
        <v>2</v>
      </c>
      <c r="R34" s="174">
        <v>2</v>
      </c>
      <c r="S34" s="174"/>
      <c r="T34" s="177"/>
      <c r="U34" s="174" t="s">
        <v>2365</v>
      </c>
      <c r="V34" s="180">
        <f t="shared" si="2"/>
        <v>7</v>
      </c>
      <c r="W34" s="180">
        <f t="shared" si="3"/>
        <v>5</v>
      </c>
      <c r="X34" s="180">
        <f t="shared" si="4"/>
        <v>0</v>
      </c>
      <c r="Y34" s="180">
        <f t="shared" si="5"/>
        <v>0</v>
      </c>
      <c r="Z34" s="180">
        <f>W34*1500000</f>
        <v>7500000</v>
      </c>
      <c r="AA34" s="180">
        <f t="shared" si="6"/>
        <v>4</v>
      </c>
      <c r="AB34" s="180"/>
      <c r="AC34" s="174" t="s">
        <v>2407</v>
      </c>
      <c r="AD34" s="185" t="s">
        <v>2375</v>
      </c>
      <c r="AE34" s="174"/>
      <c r="AF34" s="174"/>
      <c r="AG34" s="174"/>
      <c r="AH34" s="174"/>
      <c r="AI34" s="174"/>
      <c r="AJ34" s="174"/>
    </row>
    <row r="35" spans="2:36" s="181" customFormat="1" ht="13.5" x14ac:dyDescent="0.3">
      <c r="B35" s="181" t="s">
        <v>2474</v>
      </c>
      <c r="C35" s="174">
        <v>1</v>
      </c>
      <c r="D35" s="174">
        <v>1</v>
      </c>
      <c r="E35" s="174">
        <f t="shared" si="1"/>
        <v>2</v>
      </c>
      <c r="F35" s="174"/>
      <c r="G35" s="177"/>
      <c r="H35" s="177">
        <f t="shared" si="0"/>
        <v>0</v>
      </c>
      <c r="I35" s="174" t="s">
        <v>2338</v>
      </c>
      <c r="J35" s="174" t="s">
        <v>2172</v>
      </c>
      <c r="K35" s="174" t="s">
        <v>1392</v>
      </c>
      <c r="L35" s="174">
        <v>1</v>
      </c>
      <c r="M35" s="174">
        <v>1</v>
      </c>
      <c r="N35" s="174"/>
      <c r="O35" s="174">
        <v>1</v>
      </c>
      <c r="P35" s="177">
        <v>150000000</v>
      </c>
      <c r="Q35" s="174"/>
      <c r="R35" s="174"/>
      <c r="S35" s="174"/>
      <c r="T35" s="177"/>
      <c r="U35" s="174" t="s">
        <v>2366</v>
      </c>
      <c r="V35" s="180">
        <f t="shared" si="2"/>
        <v>1</v>
      </c>
      <c r="W35" s="180">
        <f t="shared" si="3"/>
        <v>0</v>
      </c>
      <c r="X35" s="180">
        <f t="shared" si="4"/>
        <v>1</v>
      </c>
      <c r="Y35" s="180">
        <f t="shared" si="5"/>
        <v>150000000</v>
      </c>
      <c r="Z35" s="180"/>
      <c r="AA35" s="180">
        <f t="shared" si="6"/>
        <v>1</v>
      </c>
      <c r="AB35" s="180" t="s">
        <v>2393</v>
      </c>
      <c r="AC35" s="174"/>
      <c r="AD35" s="185"/>
      <c r="AE35" s="174"/>
      <c r="AF35" s="174"/>
      <c r="AG35" s="174"/>
      <c r="AH35" s="174"/>
      <c r="AI35" s="174"/>
      <c r="AJ35" s="174"/>
    </row>
    <row r="36" spans="2:36" s="181" customFormat="1" ht="13.5" x14ac:dyDescent="0.3">
      <c r="B36" s="181" t="s">
        <v>2474</v>
      </c>
      <c r="C36" s="174">
        <v>6</v>
      </c>
      <c r="D36" s="174"/>
      <c r="E36" s="174">
        <f t="shared" si="1"/>
        <v>6</v>
      </c>
      <c r="F36" s="174"/>
      <c r="G36" s="177"/>
      <c r="H36" s="177">
        <f t="shared" si="0"/>
        <v>0</v>
      </c>
      <c r="I36" s="174" t="s">
        <v>2338</v>
      </c>
      <c r="J36" s="174" t="s">
        <v>2172</v>
      </c>
      <c r="K36" s="174" t="s">
        <v>2310</v>
      </c>
      <c r="L36" s="174">
        <v>6</v>
      </c>
      <c r="M36" s="174">
        <v>6</v>
      </c>
      <c r="N36" s="174">
        <v>6</v>
      </c>
      <c r="O36" s="174"/>
      <c r="P36" s="177"/>
      <c r="Q36" s="174"/>
      <c r="R36" s="174"/>
      <c r="S36" s="174"/>
      <c r="T36" s="177"/>
      <c r="U36" s="174"/>
      <c r="V36" s="180">
        <f t="shared" si="2"/>
        <v>6</v>
      </c>
      <c r="W36" s="180">
        <f t="shared" si="3"/>
        <v>6</v>
      </c>
      <c r="X36" s="180">
        <f t="shared" si="4"/>
        <v>0</v>
      </c>
      <c r="Y36" s="180">
        <f t="shared" si="5"/>
        <v>0</v>
      </c>
      <c r="Z36" s="180">
        <f>W36*3000000</f>
        <v>18000000</v>
      </c>
      <c r="AA36" s="180">
        <f t="shared" si="6"/>
        <v>0</v>
      </c>
      <c r="AB36" s="174"/>
      <c r="AC36" s="174" t="s">
        <v>2402</v>
      </c>
      <c r="AD36" s="185" t="s">
        <v>2383</v>
      </c>
      <c r="AE36" s="174"/>
      <c r="AF36" s="174"/>
      <c r="AG36" s="174"/>
      <c r="AH36" s="174"/>
      <c r="AI36" s="174"/>
      <c r="AJ36" s="174" t="s">
        <v>2403</v>
      </c>
    </row>
    <row r="37" spans="2:36" s="181" customFormat="1" ht="13.5" x14ac:dyDescent="0.3">
      <c r="B37" s="181" t="s">
        <v>2474</v>
      </c>
      <c r="C37" s="174">
        <v>15</v>
      </c>
      <c r="D37" s="174">
        <v>2</v>
      </c>
      <c r="E37" s="174">
        <f t="shared" si="1"/>
        <v>17</v>
      </c>
      <c r="F37" s="174"/>
      <c r="G37" s="177"/>
      <c r="H37" s="177">
        <f t="shared" si="0"/>
        <v>0</v>
      </c>
      <c r="I37" s="174" t="s">
        <v>2338</v>
      </c>
      <c r="J37" s="174" t="s">
        <v>2172</v>
      </c>
      <c r="K37" s="174" t="s">
        <v>2311</v>
      </c>
      <c r="L37" s="174">
        <v>17</v>
      </c>
      <c r="M37" s="174">
        <v>8</v>
      </c>
      <c r="N37" s="174">
        <v>8</v>
      </c>
      <c r="O37" s="174"/>
      <c r="P37" s="177"/>
      <c r="Q37" s="174">
        <v>7</v>
      </c>
      <c r="R37" s="174">
        <v>7</v>
      </c>
      <c r="S37" s="174"/>
      <c r="T37" s="177"/>
      <c r="U37" s="174"/>
      <c r="V37" s="180">
        <f t="shared" si="2"/>
        <v>15</v>
      </c>
      <c r="W37" s="180">
        <f t="shared" si="3"/>
        <v>15</v>
      </c>
      <c r="X37" s="180">
        <f t="shared" si="4"/>
        <v>0</v>
      </c>
      <c r="Y37" s="180">
        <f t="shared" si="5"/>
        <v>0</v>
      </c>
      <c r="Z37" s="180">
        <f>W37*3000000</f>
        <v>45000000</v>
      </c>
      <c r="AA37" s="180">
        <f t="shared" si="6"/>
        <v>2</v>
      </c>
      <c r="AB37" s="180"/>
      <c r="AC37" s="174" t="s">
        <v>2408</v>
      </c>
      <c r="AD37" s="185" t="s">
        <v>2383</v>
      </c>
      <c r="AE37" s="174"/>
      <c r="AF37" s="174"/>
      <c r="AG37" s="174"/>
      <c r="AH37" s="174"/>
      <c r="AI37" s="174"/>
      <c r="AJ37" s="174" t="s">
        <v>2403</v>
      </c>
    </row>
    <row r="38" spans="2:36" s="181" customFormat="1" ht="13.5" x14ac:dyDescent="0.3">
      <c r="B38" s="181" t="s">
        <v>2474</v>
      </c>
      <c r="C38" s="174">
        <v>2</v>
      </c>
      <c r="D38" s="174">
        <v>15</v>
      </c>
      <c r="E38" s="174">
        <f t="shared" si="1"/>
        <v>17</v>
      </c>
      <c r="F38" s="174"/>
      <c r="G38" s="177"/>
      <c r="H38" s="177">
        <f t="shared" si="0"/>
        <v>0</v>
      </c>
      <c r="I38" s="174" t="s">
        <v>2338</v>
      </c>
      <c r="J38" s="174" t="s">
        <v>2172</v>
      </c>
      <c r="K38" s="174" t="s">
        <v>2312</v>
      </c>
      <c r="L38" s="174">
        <v>45</v>
      </c>
      <c r="M38" s="174">
        <v>13</v>
      </c>
      <c r="N38" s="174">
        <v>13</v>
      </c>
      <c r="O38" s="174"/>
      <c r="P38" s="177"/>
      <c r="Q38" s="174"/>
      <c r="R38" s="174"/>
      <c r="S38" s="174"/>
      <c r="T38" s="177"/>
      <c r="U38" s="174"/>
      <c r="V38" s="180">
        <f t="shared" si="2"/>
        <v>13</v>
      </c>
      <c r="W38" s="180">
        <f t="shared" si="3"/>
        <v>13</v>
      </c>
      <c r="X38" s="180">
        <f t="shared" si="4"/>
        <v>0</v>
      </c>
      <c r="Y38" s="180">
        <f t="shared" si="5"/>
        <v>0</v>
      </c>
      <c r="Z38" s="180">
        <f>W38*10000000</f>
        <v>130000000</v>
      </c>
      <c r="AA38" s="180">
        <f t="shared" si="6"/>
        <v>32</v>
      </c>
      <c r="AB38" s="180"/>
      <c r="AC38" s="174" t="s">
        <v>2409</v>
      </c>
      <c r="AD38" s="185" t="s">
        <v>2375</v>
      </c>
      <c r="AE38" s="174"/>
      <c r="AF38" s="174"/>
      <c r="AG38" s="174"/>
      <c r="AH38" s="174"/>
      <c r="AI38" s="174"/>
      <c r="AJ38" s="174"/>
    </row>
    <row r="39" spans="2:36" s="181" customFormat="1" ht="13.5" x14ac:dyDescent="0.3">
      <c r="B39" s="181" t="s">
        <v>2474</v>
      </c>
      <c r="C39" s="174">
        <v>14</v>
      </c>
      <c r="D39" s="174">
        <v>19</v>
      </c>
      <c r="E39" s="174">
        <f t="shared" si="1"/>
        <v>33</v>
      </c>
      <c r="F39" s="174"/>
      <c r="G39" s="177"/>
      <c r="H39" s="177">
        <f t="shared" si="0"/>
        <v>0</v>
      </c>
      <c r="I39" s="174" t="s">
        <v>2338</v>
      </c>
      <c r="J39" s="174" t="s">
        <v>2172</v>
      </c>
      <c r="K39" s="174" t="s">
        <v>2313</v>
      </c>
      <c r="L39" s="174">
        <v>56</v>
      </c>
      <c r="M39" s="174">
        <v>19</v>
      </c>
      <c r="N39" s="174">
        <v>12</v>
      </c>
      <c r="O39" s="174"/>
      <c r="P39" s="177"/>
      <c r="Q39" s="174">
        <v>7</v>
      </c>
      <c r="R39" s="174">
        <v>7</v>
      </c>
      <c r="S39" s="174"/>
      <c r="T39" s="177"/>
      <c r="U39" s="174"/>
      <c r="V39" s="180">
        <f t="shared" si="2"/>
        <v>26</v>
      </c>
      <c r="W39" s="180">
        <f t="shared" si="3"/>
        <v>19</v>
      </c>
      <c r="X39" s="180">
        <f t="shared" si="4"/>
        <v>0</v>
      </c>
      <c r="Y39" s="180">
        <f t="shared" si="5"/>
        <v>0</v>
      </c>
      <c r="Z39" s="180">
        <f>W39*1500000</f>
        <v>28500000</v>
      </c>
      <c r="AA39" s="180">
        <f t="shared" si="6"/>
        <v>37</v>
      </c>
      <c r="AB39" s="180"/>
      <c r="AC39" s="174" t="s">
        <v>2410</v>
      </c>
      <c r="AD39" s="185" t="s">
        <v>2382</v>
      </c>
      <c r="AE39" s="174"/>
      <c r="AF39" s="174"/>
      <c r="AG39" s="174"/>
      <c r="AH39" s="174"/>
      <c r="AI39" s="174"/>
      <c r="AJ39" s="174" t="s">
        <v>2403</v>
      </c>
    </row>
    <row r="40" spans="2:36" s="181" customFormat="1" ht="13.5" x14ac:dyDescent="0.3">
      <c r="B40" s="181" t="s">
        <v>2474</v>
      </c>
      <c r="C40" s="174">
        <v>14</v>
      </c>
      <c r="D40" s="174">
        <v>6</v>
      </c>
      <c r="E40" s="174">
        <f t="shared" si="1"/>
        <v>20</v>
      </c>
      <c r="F40" s="174"/>
      <c r="G40" s="177"/>
      <c r="H40" s="177">
        <f t="shared" si="0"/>
        <v>0</v>
      </c>
      <c r="I40" s="174" t="s">
        <v>2338</v>
      </c>
      <c r="J40" s="174" t="s">
        <v>2172</v>
      </c>
      <c r="K40" s="174" t="s">
        <v>2314</v>
      </c>
      <c r="L40" s="174">
        <v>32</v>
      </c>
      <c r="M40" s="174">
        <v>11</v>
      </c>
      <c r="N40" s="174">
        <v>11</v>
      </c>
      <c r="O40" s="174"/>
      <c r="P40" s="177"/>
      <c r="Q40" s="174">
        <v>7</v>
      </c>
      <c r="R40" s="174">
        <v>7</v>
      </c>
      <c r="S40" s="174"/>
      <c r="T40" s="177"/>
      <c r="U40" s="174"/>
      <c r="V40" s="180">
        <f t="shared" si="2"/>
        <v>18</v>
      </c>
      <c r="W40" s="180">
        <f t="shared" si="3"/>
        <v>18</v>
      </c>
      <c r="X40" s="180">
        <f t="shared" si="4"/>
        <v>0</v>
      </c>
      <c r="Y40" s="180">
        <f t="shared" si="5"/>
        <v>0</v>
      </c>
      <c r="Z40" s="180">
        <f>W40*1000000</f>
        <v>18000000</v>
      </c>
      <c r="AA40" s="180">
        <f t="shared" si="6"/>
        <v>14</v>
      </c>
      <c r="AB40" s="180"/>
      <c r="AC40" s="174" t="s">
        <v>2411</v>
      </c>
      <c r="AD40" s="185" t="s">
        <v>2380</v>
      </c>
      <c r="AE40" s="174"/>
      <c r="AF40" s="174"/>
      <c r="AG40" s="174"/>
      <c r="AH40" s="174"/>
      <c r="AI40" s="174"/>
      <c r="AJ40" s="174" t="s">
        <v>2403</v>
      </c>
    </row>
    <row r="41" spans="2:36" s="181" customFormat="1" ht="13.5" x14ac:dyDescent="0.3">
      <c r="B41" s="181" t="s">
        <v>2474</v>
      </c>
      <c r="C41" s="174">
        <v>1</v>
      </c>
      <c r="D41" s="174">
        <v>2</v>
      </c>
      <c r="E41" s="174">
        <f t="shared" si="1"/>
        <v>3</v>
      </c>
      <c r="F41" s="174"/>
      <c r="G41" s="177"/>
      <c r="H41" s="177">
        <f t="shared" si="0"/>
        <v>0</v>
      </c>
      <c r="I41" s="174" t="s">
        <v>2338</v>
      </c>
      <c r="J41" s="174" t="s">
        <v>2172</v>
      </c>
      <c r="K41" s="174" t="s">
        <v>2315</v>
      </c>
      <c r="L41" s="174">
        <v>6</v>
      </c>
      <c r="M41" s="174">
        <v>2</v>
      </c>
      <c r="N41" s="174">
        <v>2</v>
      </c>
      <c r="O41" s="174"/>
      <c r="P41" s="177"/>
      <c r="Q41" s="174">
        <v>1</v>
      </c>
      <c r="R41" s="174">
        <v>1</v>
      </c>
      <c r="S41" s="174"/>
      <c r="T41" s="177"/>
      <c r="U41" s="174"/>
      <c r="V41" s="180">
        <f t="shared" si="2"/>
        <v>3</v>
      </c>
      <c r="W41" s="180">
        <f t="shared" si="3"/>
        <v>3</v>
      </c>
      <c r="X41" s="180">
        <f t="shared" si="4"/>
        <v>0</v>
      </c>
      <c r="Y41" s="180">
        <f t="shared" si="5"/>
        <v>0</v>
      </c>
      <c r="Z41" s="180">
        <f>W41*500000</f>
        <v>1500000</v>
      </c>
      <c r="AA41" s="180">
        <f t="shared" si="6"/>
        <v>3</v>
      </c>
      <c r="AB41" s="180"/>
      <c r="AC41" s="174" t="s">
        <v>2412</v>
      </c>
      <c r="AD41" s="185" t="s">
        <v>2382</v>
      </c>
      <c r="AE41" s="174"/>
      <c r="AF41" s="174"/>
      <c r="AG41" s="174"/>
      <c r="AH41" s="174"/>
      <c r="AI41" s="174"/>
      <c r="AJ41" s="174" t="s">
        <v>2403</v>
      </c>
    </row>
    <row r="42" spans="2:36" s="181" customFormat="1" ht="13.5" x14ac:dyDescent="0.3">
      <c r="B42" s="181" t="s">
        <v>2474</v>
      </c>
      <c r="C42" s="174"/>
      <c r="D42" s="174">
        <v>4</v>
      </c>
      <c r="E42" s="174">
        <f t="shared" si="1"/>
        <v>4</v>
      </c>
      <c r="F42" s="174"/>
      <c r="G42" s="177"/>
      <c r="H42" s="177">
        <f t="shared" si="0"/>
        <v>0</v>
      </c>
      <c r="I42" s="174" t="s">
        <v>2338</v>
      </c>
      <c r="J42" s="174" t="s">
        <v>2172</v>
      </c>
      <c r="K42" s="174" t="s">
        <v>2316</v>
      </c>
      <c r="L42" s="174">
        <v>2</v>
      </c>
      <c r="M42" s="174">
        <v>1</v>
      </c>
      <c r="N42" s="174">
        <v>1</v>
      </c>
      <c r="O42" s="174"/>
      <c r="P42" s="177"/>
      <c r="Q42" s="174"/>
      <c r="R42" s="174"/>
      <c r="S42" s="174"/>
      <c r="T42" s="177"/>
      <c r="U42" s="174"/>
      <c r="V42" s="180">
        <f t="shared" si="2"/>
        <v>1</v>
      </c>
      <c r="W42" s="180">
        <f t="shared" si="3"/>
        <v>1</v>
      </c>
      <c r="X42" s="180">
        <f t="shared" si="4"/>
        <v>0</v>
      </c>
      <c r="Y42" s="180">
        <f t="shared" si="5"/>
        <v>0</v>
      </c>
      <c r="Z42" s="180">
        <f>W42*100000</f>
        <v>100000</v>
      </c>
      <c r="AA42" s="180">
        <f t="shared" si="6"/>
        <v>1</v>
      </c>
      <c r="AB42" s="180"/>
      <c r="AC42" s="174" t="s">
        <v>2404</v>
      </c>
      <c r="AD42" s="185" t="s">
        <v>2382</v>
      </c>
      <c r="AE42" s="174"/>
      <c r="AF42" s="174"/>
      <c r="AG42" s="174"/>
      <c r="AH42" s="174"/>
      <c r="AI42" s="174"/>
      <c r="AJ42" s="174" t="s">
        <v>2403</v>
      </c>
    </row>
    <row r="43" spans="2:36" s="181" customFormat="1" ht="13.5" x14ac:dyDescent="0.3">
      <c r="B43" s="181" t="s">
        <v>2474</v>
      </c>
      <c r="C43" s="174">
        <v>1</v>
      </c>
      <c r="D43" s="174">
        <v>3</v>
      </c>
      <c r="E43" s="174">
        <f t="shared" si="1"/>
        <v>4</v>
      </c>
      <c r="F43" s="174"/>
      <c r="G43" s="177"/>
      <c r="H43" s="177">
        <f t="shared" si="0"/>
        <v>0</v>
      </c>
      <c r="I43" s="174" t="s">
        <v>2338</v>
      </c>
      <c r="J43" s="174" t="s">
        <v>2172</v>
      </c>
      <c r="K43" s="174" t="s">
        <v>2210</v>
      </c>
      <c r="L43" s="174">
        <v>5</v>
      </c>
      <c r="M43" s="174"/>
      <c r="N43" s="174"/>
      <c r="O43" s="174"/>
      <c r="P43" s="177"/>
      <c r="Q43" s="174"/>
      <c r="R43" s="174"/>
      <c r="S43" s="174"/>
      <c r="T43" s="177"/>
      <c r="U43" s="174"/>
      <c r="V43" s="180">
        <f t="shared" si="2"/>
        <v>0</v>
      </c>
      <c r="W43" s="180">
        <f t="shared" si="3"/>
        <v>0</v>
      </c>
      <c r="X43" s="180">
        <f t="shared" si="4"/>
        <v>0</v>
      </c>
      <c r="Y43" s="180">
        <f t="shared" si="5"/>
        <v>0</v>
      </c>
      <c r="Z43" s="180"/>
      <c r="AA43" s="180">
        <f t="shared" si="6"/>
        <v>5</v>
      </c>
      <c r="AB43" s="180" t="s">
        <v>2401</v>
      </c>
      <c r="AC43" s="174"/>
      <c r="AD43" s="185"/>
      <c r="AE43" s="174"/>
      <c r="AF43" s="174"/>
      <c r="AG43" s="174"/>
      <c r="AH43" s="174"/>
      <c r="AI43" s="174"/>
      <c r="AJ43" s="174" t="s">
        <v>2405</v>
      </c>
    </row>
    <row r="44" spans="2:36" s="181" customFormat="1" ht="13.5" x14ac:dyDescent="0.3">
      <c r="B44" s="181" t="s">
        <v>2474</v>
      </c>
      <c r="C44" s="174">
        <v>1</v>
      </c>
      <c r="D44" s="174">
        <v>2</v>
      </c>
      <c r="E44" s="174">
        <f t="shared" si="1"/>
        <v>3</v>
      </c>
      <c r="F44" s="174"/>
      <c r="G44" s="177"/>
      <c r="H44" s="177">
        <f t="shared" si="0"/>
        <v>0</v>
      </c>
      <c r="I44" s="174" t="s">
        <v>2338</v>
      </c>
      <c r="J44" s="174" t="s">
        <v>2172</v>
      </c>
      <c r="K44" s="174" t="s">
        <v>2317</v>
      </c>
      <c r="L44" s="174">
        <v>6</v>
      </c>
      <c r="M44" s="174">
        <v>2</v>
      </c>
      <c r="N44" s="174">
        <v>2</v>
      </c>
      <c r="O44" s="174"/>
      <c r="P44" s="177"/>
      <c r="Q44" s="174"/>
      <c r="R44" s="174"/>
      <c r="S44" s="174"/>
      <c r="T44" s="177"/>
      <c r="U44" s="174"/>
      <c r="V44" s="180">
        <f t="shared" si="2"/>
        <v>2</v>
      </c>
      <c r="W44" s="180">
        <f t="shared" si="3"/>
        <v>2</v>
      </c>
      <c r="X44" s="180">
        <f t="shared" si="4"/>
        <v>0</v>
      </c>
      <c r="Y44" s="180">
        <f t="shared" si="5"/>
        <v>0</v>
      </c>
      <c r="Z44" s="180">
        <f>W44*1500000</f>
        <v>3000000</v>
      </c>
      <c r="AA44" s="180">
        <f t="shared" si="6"/>
        <v>4</v>
      </c>
      <c r="AB44" s="180"/>
      <c r="AC44" s="174" t="s">
        <v>2414</v>
      </c>
      <c r="AD44" s="185" t="s">
        <v>2378</v>
      </c>
      <c r="AE44" s="174"/>
      <c r="AF44" s="174"/>
      <c r="AG44" s="174"/>
      <c r="AH44" s="174"/>
      <c r="AI44" s="174"/>
      <c r="AJ44" s="174"/>
    </row>
    <row r="45" spans="2:36" s="181" customFormat="1" ht="13.5" x14ac:dyDescent="0.3">
      <c r="B45" s="181" t="s">
        <v>2474</v>
      </c>
      <c r="C45" s="174"/>
      <c r="D45" s="174">
        <v>1</v>
      </c>
      <c r="E45" s="174">
        <f t="shared" si="1"/>
        <v>1</v>
      </c>
      <c r="F45" s="174"/>
      <c r="G45" s="177"/>
      <c r="H45" s="177">
        <f t="shared" si="0"/>
        <v>0</v>
      </c>
      <c r="I45" s="174" t="s">
        <v>2338</v>
      </c>
      <c r="J45" s="174" t="s">
        <v>2172</v>
      </c>
      <c r="K45" s="174" t="s">
        <v>2317</v>
      </c>
      <c r="L45" s="174">
        <v>1</v>
      </c>
      <c r="M45" s="174"/>
      <c r="N45" s="174"/>
      <c r="O45" s="174"/>
      <c r="P45" s="177"/>
      <c r="Q45" s="174">
        <v>1</v>
      </c>
      <c r="R45" s="174">
        <v>1</v>
      </c>
      <c r="S45" s="174"/>
      <c r="T45" s="177"/>
      <c r="U45" s="174"/>
      <c r="V45" s="180">
        <f t="shared" ref="V45" si="7">Q45+M45</f>
        <v>1</v>
      </c>
      <c r="W45" s="180">
        <f t="shared" ref="W45" si="8">R45+N45</f>
        <v>1</v>
      </c>
      <c r="X45" s="180">
        <f t="shared" ref="X45" si="9">S45+O45</f>
        <v>0</v>
      </c>
      <c r="Y45" s="180">
        <f t="shared" si="5"/>
        <v>0</v>
      </c>
      <c r="Z45" s="180">
        <f>W45*1500000</f>
        <v>1500000</v>
      </c>
      <c r="AA45" s="180">
        <f t="shared" ref="AA45" si="10">L45-W45</f>
        <v>0</v>
      </c>
      <c r="AB45" s="180"/>
      <c r="AC45" s="174" t="s">
        <v>2413</v>
      </c>
      <c r="AD45" s="185" t="s">
        <v>2375</v>
      </c>
      <c r="AE45" s="174"/>
      <c r="AF45" s="174"/>
      <c r="AG45" s="174"/>
      <c r="AH45" s="174"/>
      <c r="AI45" s="174"/>
      <c r="AJ45" s="174"/>
    </row>
    <row r="46" spans="2:36" s="181" customFormat="1" ht="13.5" x14ac:dyDescent="0.3">
      <c r="B46" s="181" t="s">
        <v>2474</v>
      </c>
      <c r="C46" s="174"/>
      <c r="D46" s="174">
        <v>1</v>
      </c>
      <c r="E46" s="174">
        <f t="shared" si="1"/>
        <v>1</v>
      </c>
      <c r="F46" s="174"/>
      <c r="G46" s="177"/>
      <c r="H46" s="177">
        <f t="shared" si="0"/>
        <v>0</v>
      </c>
      <c r="I46" s="174" t="s">
        <v>2338</v>
      </c>
      <c r="J46" s="174" t="s">
        <v>2172</v>
      </c>
      <c r="K46" s="174" t="s">
        <v>2368</v>
      </c>
      <c r="L46" s="174">
        <v>5</v>
      </c>
      <c r="M46" s="174"/>
      <c r="N46" s="174"/>
      <c r="O46" s="174"/>
      <c r="P46" s="177"/>
      <c r="Q46" s="174"/>
      <c r="R46" s="174"/>
      <c r="S46" s="174"/>
      <c r="T46" s="177"/>
      <c r="U46" s="174"/>
      <c r="V46" s="180">
        <f t="shared" si="2"/>
        <v>0</v>
      </c>
      <c r="W46" s="180">
        <f t="shared" si="3"/>
        <v>0</v>
      </c>
      <c r="X46" s="180">
        <f t="shared" si="4"/>
        <v>0</v>
      </c>
      <c r="Y46" s="180">
        <f t="shared" si="5"/>
        <v>0</v>
      </c>
      <c r="Z46" s="180"/>
      <c r="AA46" s="180">
        <f t="shared" si="6"/>
        <v>5</v>
      </c>
      <c r="AB46" s="180"/>
      <c r="AC46" s="174"/>
      <c r="AD46" s="185"/>
      <c r="AE46" s="174"/>
      <c r="AF46" s="174"/>
      <c r="AG46" s="174"/>
      <c r="AH46" s="174"/>
      <c r="AI46" s="174"/>
      <c r="AJ46" s="174"/>
    </row>
    <row r="47" spans="2:36" s="181" customFormat="1" ht="13.5" x14ac:dyDescent="0.3">
      <c r="B47" s="181" t="s">
        <v>2474</v>
      </c>
      <c r="C47" s="174"/>
      <c r="D47" s="174">
        <v>1</v>
      </c>
      <c r="E47" s="174">
        <f t="shared" si="1"/>
        <v>1</v>
      </c>
      <c r="F47" s="174"/>
      <c r="G47" s="177"/>
      <c r="H47" s="177">
        <f t="shared" si="0"/>
        <v>0</v>
      </c>
      <c r="I47" s="174" t="s">
        <v>2338</v>
      </c>
      <c r="J47" s="174" t="s">
        <v>2172</v>
      </c>
      <c r="K47" s="174" t="s">
        <v>2370</v>
      </c>
      <c r="L47" s="174">
        <v>2</v>
      </c>
      <c r="M47" s="174"/>
      <c r="N47" s="174"/>
      <c r="O47" s="174"/>
      <c r="P47" s="177"/>
      <c r="Q47" s="174"/>
      <c r="R47" s="174"/>
      <c r="S47" s="174"/>
      <c r="T47" s="177"/>
      <c r="U47" s="174"/>
      <c r="V47" s="180">
        <f t="shared" si="2"/>
        <v>0</v>
      </c>
      <c r="W47" s="180">
        <f t="shared" si="3"/>
        <v>0</v>
      </c>
      <c r="X47" s="180">
        <f t="shared" si="4"/>
        <v>0</v>
      </c>
      <c r="Y47" s="180">
        <f t="shared" si="5"/>
        <v>0</v>
      </c>
      <c r="Z47" s="180"/>
      <c r="AA47" s="180">
        <f t="shared" si="6"/>
        <v>2</v>
      </c>
      <c r="AB47" s="180"/>
      <c r="AC47" s="174"/>
      <c r="AD47" s="185"/>
      <c r="AE47" s="174"/>
      <c r="AF47" s="174"/>
      <c r="AG47" s="174"/>
      <c r="AH47" s="174"/>
      <c r="AI47" s="174"/>
      <c r="AJ47" s="174"/>
    </row>
    <row r="48" spans="2:36" s="181" customFormat="1" ht="13.5" x14ac:dyDescent="0.3">
      <c r="B48" s="181" t="s">
        <v>2401</v>
      </c>
      <c r="C48" s="174"/>
      <c r="D48" s="174"/>
      <c r="E48" s="174">
        <f t="shared" si="1"/>
        <v>0</v>
      </c>
      <c r="F48" s="174"/>
      <c r="G48" s="177"/>
      <c r="H48" s="177">
        <f t="shared" si="0"/>
        <v>0</v>
      </c>
      <c r="I48" s="174" t="s">
        <v>2338</v>
      </c>
      <c r="J48" s="174" t="s">
        <v>2172</v>
      </c>
      <c r="K48" s="174" t="s">
        <v>2372</v>
      </c>
      <c r="L48" s="174">
        <v>10</v>
      </c>
      <c r="M48" s="174"/>
      <c r="N48" s="174"/>
      <c r="O48" s="174"/>
      <c r="P48" s="177"/>
      <c r="Q48" s="174"/>
      <c r="R48" s="174"/>
      <c r="S48" s="174"/>
      <c r="T48" s="177"/>
      <c r="U48" s="174"/>
      <c r="V48" s="180">
        <f t="shared" si="2"/>
        <v>0</v>
      </c>
      <c r="W48" s="180">
        <f t="shared" si="3"/>
        <v>0</v>
      </c>
      <c r="X48" s="180">
        <f t="shared" si="4"/>
        <v>0</v>
      </c>
      <c r="Y48" s="180">
        <f t="shared" si="5"/>
        <v>0</v>
      </c>
      <c r="Z48" s="180"/>
      <c r="AA48" s="180">
        <f t="shared" si="6"/>
        <v>10</v>
      </c>
      <c r="AB48" s="180"/>
      <c r="AC48" s="174"/>
      <c r="AD48" s="185"/>
      <c r="AE48" s="174"/>
      <c r="AF48" s="174"/>
      <c r="AG48" s="174"/>
      <c r="AH48" s="174"/>
      <c r="AI48" s="174"/>
      <c r="AJ48" s="174"/>
    </row>
    <row r="49" spans="2:36" s="181" customFormat="1" ht="13.5" x14ac:dyDescent="0.3">
      <c r="B49" s="181" t="s">
        <v>2475</v>
      </c>
      <c r="C49" s="174"/>
      <c r="D49" s="174"/>
      <c r="E49" s="174">
        <f t="shared" si="1"/>
        <v>0</v>
      </c>
      <c r="F49" s="174"/>
      <c r="G49" s="177"/>
      <c r="H49" s="177">
        <f t="shared" si="0"/>
        <v>0</v>
      </c>
      <c r="I49" s="174" t="s">
        <v>2338</v>
      </c>
      <c r="J49" s="174" t="s">
        <v>2172</v>
      </c>
      <c r="K49" s="174" t="s">
        <v>2318</v>
      </c>
      <c r="L49" s="174">
        <v>1</v>
      </c>
      <c r="M49" s="174">
        <v>1</v>
      </c>
      <c r="N49" s="174"/>
      <c r="O49" s="174">
        <v>1</v>
      </c>
      <c r="P49" s="177">
        <v>200000000</v>
      </c>
      <c r="Q49" s="174"/>
      <c r="R49" s="174"/>
      <c r="S49" s="174"/>
      <c r="T49" s="177"/>
      <c r="U49" s="174" t="s">
        <v>2366</v>
      </c>
      <c r="V49" s="180">
        <f t="shared" si="2"/>
        <v>1</v>
      </c>
      <c r="W49" s="180">
        <f t="shared" si="3"/>
        <v>0</v>
      </c>
      <c r="X49" s="180">
        <f t="shared" si="4"/>
        <v>1</v>
      </c>
      <c r="Y49" s="180">
        <f t="shared" si="5"/>
        <v>200000000</v>
      </c>
      <c r="Z49" s="180"/>
      <c r="AA49" s="180">
        <f t="shared" si="6"/>
        <v>1</v>
      </c>
      <c r="AB49" s="180"/>
      <c r="AC49" s="174"/>
      <c r="AD49" s="185"/>
      <c r="AE49" s="174"/>
      <c r="AF49" s="174"/>
      <c r="AG49" s="174"/>
      <c r="AH49" s="174"/>
      <c r="AI49" s="174"/>
      <c r="AJ49" s="174"/>
    </row>
    <row r="50" spans="2:36" s="181" customFormat="1" ht="13.5" x14ac:dyDescent="0.3">
      <c r="B50" s="181" t="s">
        <v>2475</v>
      </c>
      <c r="C50" s="174"/>
      <c r="D50" s="174"/>
      <c r="E50" s="174">
        <f t="shared" si="1"/>
        <v>0</v>
      </c>
      <c r="F50" s="174"/>
      <c r="G50" s="177"/>
      <c r="H50" s="177">
        <f t="shared" si="0"/>
        <v>0</v>
      </c>
      <c r="I50" s="174" t="s">
        <v>2338</v>
      </c>
      <c r="J50" s="174" t="s">
        <v>2172</v>
      </c>
      <c r="K50" s="174" t="s">
        <v>2319</v>
      </c>
      <c r="L50" s="174">
        <v>9</v>
      </c>
      <c r="M50" s="174">
        <v>5</v>
      </c>
      <c r="N50" s="174">
        <v>4</v>
      </c>
      <c r="O50" s="174">
        <v>1</v>
      </c>
      <c r="P50" s="177">
        <v>60000000</v>
      </c>
      <c r="Q50" s="174"/>
      <c r="R50" s="174"/>
      <c r="S50" s="174"/>
      <c r="T50" s="177"/>
      <c r="U50" s="174" t="s">
        <v>2373</v>
      </c>
      <c r="V50" s="180">
        <f t="shared" si="2"/>
        <v>5</v>
      </c>
      <c r="W50" s="180">
        <f t="shared" si="3"/>
        <v>4</v>
      </c>
      <c r="X50" s="180">
        <f t="shared" si="4"/>
        <v>1</v>
      </c>
      <c r="Y50" s="180">
        <f t="shared" si="5"/>
        <v>60000000</v>
      </c>
      <c r="Z50" s="180" t="s">
        <v>1018</v>
      </c>
      <c r="AA50" s="180">
        <f t="shared" si="6"/>
        <v>5</v>
      </c>
      <c r="AB50" s="180"/>
      <c r="AC50" s="174"/>
      <c r="AD50" s="185"/>
      <c r="AE50" s="174"/>
      <c r="AF50" s="174"/>
      <c r="AG50" s="174"/>
      <c r="AH50" s="174"/>
      <c r="AI50" s="174"/>
      <c r="AJ50" s="174"/>
    </row>
    <row r="51" spans="2:36" s="181" customFormat="1" ht="13.5" x14ac:dyDescent="0.3">
      <c r="B51" s="181" t="s">
        <v>2475</v>
      </c>
      <c r="C51" s="174"/>
      <c r="D51" s="174"/>
      <c r="E51" s="174">
        <f t="shared" si="1"/>
        <v>0</v>
      </c>
      <c r="F51" s="174"/>
      <c r="G51" s="177"/>
      <c r="H51" s="177">
        <f t="shared" si="0"/>
        <v>0</v>
      </c>
      <c r="I51" s="174" t="s">
        <v>2338</v>
      </c>
      <c r="J51" s="174" t="s">
        <v>2172</v>
      </c>
      <c r="K51" s="174" t="s">
        <v>2320</v>
      </c>
      <c r="L51" s="174">
        <v>19</v>
      </c>
      <c r="M51" s="174">
        <v>5</v>
      </c>
      <c r="N51" s="174">
        <v>5</v>
      </c>
      <c r="O51" s="174"/>
      <c r="P51" s="177"/>
      <c r="Q51" s="174"/>
      <c r="R51" s="174"/>
      <c r="S51" s="174"/>
      <c r="T51" s="177"/>
      <c r="U51" s="174"/>
      <c r="V51" s="180">
        <f t="shared" si="2"/>
        <v>5</v>
      </c>
      <c r="W51" s="180">
        <f t="shared" si="3"/>
        <v>5</v>
      </c>
      <c r="X51" s="180">
        <f t="shared" si="4"/>
        <v>0</v>
      </c>
      <c r="Y51" s="180">
        <f t="shared" si="5"/>
        <v>0</v>
      </c>
      <c r="Z51" s="180" t="s">
        <v>1018</v>
      </c>
      <c r="AA51" s="180">
        <f t="shared" si="6"/>
        <v>14</v>
      </c>
      <c r="AB51" s="180"/>
      <c r="AC51" s="174"/>
      <c r="AD51" s="185"/>
      <c r="AE51" s="174"/>
      <c r="AF51" s="174"/>
      <c r="AG51" s="174"/>
      <c r="AH51" s="174"/>
      <c r="AI51" s="174"/>
      <c r="AJ51" s="174"/>
    </row>
    <row r="52" spans="2:36" s="181" customFormat="1" ht="13.5" x14ac:dyDescent="0.3">
      <c r="B52" s="181" t="s">
        <v>2475</v>
      </c>
      <c r="C52" s="174"/>
      <c r="D52" s="174"/>
      <c r="E52" s="174">
        <f t="shared" si="1"/>
        <v>0</v>
      </c>
      <c r="F52" s="174"/>
      <c r="G52" s="177"/>
      <c r="H52" s="177">
        <f t="shared" si="0"/>
        <v>0</v>
      </c>
      <c r="I52" s="174" t="s">
        <v>2338</v>
      </c>
      <c r="J52" s="174" t="s">
        <v>2172</v>
      </c>
      <c r="K52" s="174" t="s">
        <v>2321</v>
      </c>
      <c r="L52" s="174">
        <v>1</v>
      </c>
      <c r="M52" s="174">
        <v>1</v>
      </c>
      <c r="N52" s="174"/>
      <c r="O52" s="174">
        <v>1</v>
      </c>
      <c r="P52" s="177">
        <v>100000000</v>
      </c>
      <c r="Q52" s="174"/>
      <c r="R52" s="174"/>
      <c r="S52" s="174"/>
      <c r="T52" s="177"/>
      <c r="U52" s="174"/>
      <c r="V52" s="180">
        <f t="shared" si="2"/>
        <v>1</v>
      </c>
      <c r="W52" s="180">
        <f t="shared" si="3"/>
        <v>0</v>
      </c>
      <c r="X52" s="180">
        <f t="shared" si="4"/>
        <v>1</v>
      </c>
      <c r="Y52" s="180">
        <f t="shared" si="5"/>
        <v>100000000</v>
      </c>
      <c r="Z52" s="180"/>
      <c r="AA52" s="180">
        <f t="shared" si="6"/>
        <v>1</v>
      </c>
      <c r="AB52" s="180"/>
      <c r="AC52" s="174"/>
      <c r="AD52" s="185"/>
      <c r="AE52" s="174"/>
      <c r="AF52" s="174"/>
      <c r="AG52" s="174"/>
      <c r="AH52" s="174"/>
      <c r="AI52" s="174"/>
      <c r="AJ52" s="174"/>
    </row>
    <row r="53" spans="2:36" s="181" customFormat="1" ht="13.5" x14ac:dyDescent="0.3">
      <c r="B53" s="181" t="s">
        <v>2475</v>
      </c>
      <c r="C53" s="174"/>
      <c r="D53" s="174"/>
      <c r="E53" s="174">
        <f t="shared" si="1"/>
        <v>0</v>
      </c>
      <c r="F53" s="174"/>
      <c r="G53" s="177"/>
      <c r="H53" s="177">
        <f t="shared" si="0"/>
        <v>0</v>
      </c>
      <c r="I53" s="174" t="s">
        <v>2338</v>
      </c>
      <c r="J53" s="174" t="s">
        <v>2172</v>
      </c>
      <c r="K53" s="174" t="s">
        <v>2322</v>
      </c>
      <c r="L53" s="174">
        <v>1</v>
      </c>
      <c r="M53" s="174">
        <v>1</v>
      </c>
      <c r="N53" s="174"/>
      <c r="O53" s="174">
        <v>1</v>
      </c>
      <c r="P53" s="177">
        <v>100000000</v>
      </c>
      <c r="Q53" s="174"/>
      <c r="R53" s="174"/>
      <c r="S53" s="174"/>
      <c r="T53" s="177"/>
      <c r="U53" s="174"/>
      <c r="V53" s="180">
        <f t="shared" si="2"/>
        <v>1</v>
      </c>
      <c r="W53" s="180">
        <f t="shared" si="3"/>
        <v>0</v>
      </c>
      <c r="X53" s="180">
        <f t="shared" si="4"/>
        <v>1</v>
      </c>
      <c r="Y53" s="180">
        <f t="shared" si="5"/>
        <v>100000000</v>
      </c>
      <c r="Z53" s="180"/>
      <c r="AA53" s="180">
        <f t="shared" si="6"/>
        <v>1</v>
      </c>
      <c r="AB53" s="180"/>
      <c r="AC53" s="174"/>
      <c r="AD53" s="185"/>
      <c r="AE53" s="174"/>
      <c r="AF53" s="174"/>
      <c r="AG53" s="174"/>
      <c r="AH53" s="174"/>
      <c r="AI53" s="174"/>
      <c r="AJ53" s="174"/>
    </row>
    <row r="54" spans="2:36" s="181" customFormat="1" ht="13.5" x14ac:dyDescent="0.3">
      <c r="B54" s="181" t="s">
        <v>2475</v>
      </c>
      <c r="C54" s="174"/>
      <c r="D54" s="174"/>
      <c r="E54" s="174">
        <f t="shared" si="1"/>
        <v>0</v>
      </c>
      <c r="F54" s="174"/>
      <c r="G54" s="177"/>
      <c r="H54" s="177">
        <f t="shared" si="0"/>
        <v>0</v>
      </c>
      <c r="I54" s="174" t="s">
        <v>2338</v>
      </c>
      <c r="J54" s="174" t="s">
        <v>2172</v>
      </c>
      <c r="K54" s="174" t="s">
        <v>2323</v>
      </c>
      <c r="L54" s="174">
        <v>1</v>
      </c>
      <c r="M54" s="174"/>
      <c r="N54" s="174"/>
      <c r="O54" s="174"/>
      <c r="P54" s="177"/>
      <c r="Q54" s="174"/>
      <c r="R54" s="174"/>
      <c r="S54" s="174"/>
      <c r="T54" s="177"/>
      <c r="U54" s="174"/>
      <c r="V54" s="180">
        <f t="shared" si="2"/>
        <v>0</v>
      </c>
      <c r="W54" s="180">
        <f t="shared" si="3"/>
        <v>0</v>
      </c>
      <c r="X54" s="180">
        <f t="shared" si="4"/>
        <v>0</v>
      </c>
      <c r="Y54" s="180">
        <f t="shared" si="5"/>
        <v>0</v>
      </c>
      <c r="Z54" s="180"/>
      <c r="AA54" s="180">
        <f t="shared" si="6"/>
        <v>1</v>
      </c>
      <c r="AB54" s="180"/>
      <c r="AC54" s="174"/>
      <c r="AD54" s="185"/>
      <c r="AE54" s="174"/>
      <c r="AF54" s="174"/>
      <c r="AG54" s="174"/>
      <c r="AH54" s="174"/>
      <c r="AI54" s="174"/>
      <c r="AJ54" s="174"/>
    </row>
    <row r="55" spans="2:36" s="181" customFormat="1" ht="13.5" x14ac:dyDescent="0.3">
      <c r="B55" s="181" t="s">
        <v>2475</v>
      </c>
      <c r="C55" s="174"/>
      <c r="D55" s="174"/>
      <c r="E55" s="174">
        <f t="shared" si="1"/>
        <v>0</v>
      </c>
      <c r="F55" s="174"/>
      <c r="G55" s="177"/>
      <c r="H55" s="177">
        <f t="shared" si="0"/>
        <v>0</v>
      </c>
      <c r="I55" s="174" t="s">
        <v>2338</v>
      </c>
      <c r="J55" s="174" t="s">
        <v>2172</v>
      </c>
      <c r="K55" s="174" t="s">
        <v>2324</v>
      </c>
      <c r="L55" s="174">
        <v>3</v>
      </c>
      <c r="M55" s="174">
        <v>1</v>
      </c>
      <c r="N55" s="174">
        <v>1</v>
      </c>
      <c r="O55" s="174"/>
      <c r="P55" s="177"/>
      <c r="Q55" s="174"/>
      <c r="R55" s="174"/>
      <c r="S55" s="174"/>
      <c r="T55" s="177"/>
      <c r="U55" s="174"/>
      <c r="V55" s="180">
        <f t="shared" si="2"/>
        <v>1</v>
      </c>
      <c r="W55" s="180">
        <f t="shared" si="3"/>
        <v>1</v>
      </c>
      <c r="X55" s="180">
        <f t="shared" si="4"/>
        <v>0</v>
      </c>
      <c r="Y55" s="180">
        <f t="shared" si="5"/>
        <v>0</v>
      </c>
      <c r="Z55" s="180" t="s">
        <v>1018</v>
      </c>
      <c r="AA55" s="180">
        <f t="shared" si="6"/>
        <v>2</v>
      </c>
      <c r="AB55" s="180"/>
      <c r="AC55" s="174"/>
      <c r="AD55" s="185"/>
      <c r="AE55" s="174"/>
      <c r="AF55" s="174"/>
      <c r="AG55" s="174"/>
      <c r="AH55" s="174"/>
      <c r="AI55" s="174"/>
      <c r="AJ55" s="174"/>
    </row>
    <row r="56" spans="2:36" s="181" customFormat="1" ht="13.5" x14ac:dyDescent="0.3">
      <c r="B56" s="181" t="s">
        <v>2475</v>
      </c>
      <c r="C56" s="174"/>
      <c r="D56" s="174"/>
      <c r="E56" s="174">
        <f t="shared" si="1"/>
        <v>0</v>
      </c>
      <c r="F56" s="174"/>
      <c r="G56" s="177"/>
      <c r="H56" s="177">
        <f t="shared" si="0"/>
        <v>0</v>
      </c>
      <c r="I56" s="174" t="s">
        <v>2338</v>
      </c>
      <c r="J56" s="174" t="s">
        <v>2172</v>
      </c>
      <c r="K56" s="174" t="s">
        <v>2325</v>
      </c>
      <c r="L56" s="174">
        <v>1</v>
      </c>
      <c r="M56" s="174">
        <v>1</v>
      </c>
      <c r="N56" s="174"/>
      <c r="O56" s="174">
        <v>1</v>
      </c>
      <c r="P56" s="177">
        <v>10000000</v>
      </c>
      <c r="Q56" s="174"/>
      <c r="R56" s="174"/>
      <c r="S56" s="174"/>
      <c r="T56" s="177"/>
      <c r="U56" s="174"/>
      <c r="V56" s="180">
        <f t="shared" si="2"/>
        <v>1</v>
      </c>
      <c r="W56" s="180">
        <f t="shared" si="3"/>
        <v>0</v>
      </c>
      <c r="X56" s="180">
        <f t="shared" si="4"/>
        <v>1</v>
      </c>
      <c r="Y56" s="180">
        <f t="shared" si="5"/>
        <v>10000000</v>
      </c>
      <c r="Z56" s="180"/>
      <c r="AA56" s="180">
        <f t="shared" si="6"/>
        <v>1</v>
      </c>
      <c r="AB56" s="180"/>
      <c r="AC56" s="174"/>
      <c r="AD56" s="185"/>
      <c r="AE56" s="174"/>
      <c r="AF56" s="174"/>
      <c r="AG56" s="174"/>
      <c r="AH56" s="174"/>
      <c r="AI56" s="174"/>
      <c r="AJ56" s="174"/>
    </row>
    <row r="57" spans="2:36" s="181" customFormat="1" ht="13.5" x14ac:dyDescent="0.3">
      <c r="B57" s="181" t="s">
        <v>2475</v>
      </c>
      <c r="C57" s="174"/>
      <c r="D57" s="174"/>
      <c r="E57" s="174">
        <f t="shared" si="1"/>
        <v>0</v>
      </c>
      <c r="F57" s="174"/>
      <c r="G57" s="177"/>
      <c r="H57" s="177">
        <f t="shared" si="0"/>
        <v>0</v>
      </c>
      <c r="I57" s="174" t="s">
        <v>2338</v>
      </c>
      <c r="J57" s="174" t="s">
        <v>2172</v>
      </c>
      <c r="K57" s="174" t="s">
        <v>2326</v>
      </c>
      <c r="L57" s="174">
        <v>3</v>
      </c>
      <c r="M57" s="174">
        <v>3</v>
      </c>
      <c r="N57" s="174">
        <v>2</v>
      </c>
      <c r="O57" s="174">
        <v>1</v>
      </c>
      <c r="P57" s="177">
        <v>10000000</v>
      </c>
      <c r="Q57" s="174"/>
      <c r="R57" s="174"/>
      <c r="S57" s="174"/>
      <c r="T57" s="177"/>
      <c r="U57" s="174"/>
      <c r="V57" s="180">
        <f t="shared" si="2"/>
        <v>3</v>
      </c>
      <c r="W57" s="180">
        <f t="shared" si="3"/>
        <v>2</v>
      </c>
      <c r="X57" s="180">
        <f t="shared" si="4"/>
        <v>1</v>
      </c>
      <c r="Y57" s="180">
        <f t="shared" si="5"/>
        <v>10000000</v>
      </c>
      <c r="Z57" s="180" t="s">
        <v>1018</v>
      </c>
      <c r="AA57" s="180">
        <f t="shared" si="6"/>
        <v>1</v>
      </c>
      <c r="AB57" s="180"/>
      <c r="AC57" s="174"/>
      <c r="AD57" s="185"/>
      <c r="AE57" s="174"/>
      <c r="AF57" s="174"/>
      <c r="AG57" s="174"/>
      <c r="AH57" s="174"/>
      <c r="AI57" s="174"/>
      <c r="AJ57" s="174"/>
    </row>
    <row r="58" spans="2:36" s="181" customFormat="1" ht="13.5" x14ac:dyDescent="0.3">
      <c r="B58" s="181" t="s">
        <v>2474</v>
      </c>
      <c r="C58" s="192">
        <v>1</v>
      </c>
      <c r="D58" s="192"/>
      <c r="E58" s="192">
        <f t="shared" si="1"/>
        <v>1</v>
      </c>
      <c r="F58" s="192" t="s">
        <v>2464</v>
      </c>
      <c r="G58" s="193">
        <v>500000000</v>
      </c>
      <c r="H58" s="193">
        <f t="shared" si="0"/>
        <v>500000000</v>
      </c>
      <c r="I58" s="174" t="s">
        <v>2337</v>
      </c>
      <c r="J58" s="174" t="s">
        <v>776</v>
      </c>
      <c r="K58" s="174" t="s">
        <v>2269</v>
      </c>
      <c r="L58" s="174">
        <v>1</v>
      </c>
      <c r="M58" s="174">
        <v>1</v>
      </c>
      <c r="N58" s="174"/>
      <c r="O58" s="174">
        <v>1</v>
      </c>
      <c r="P58" s="177">
        <v>500000000</v>
      </c>
      <c r="Q58" s="174"/>
      <c r="R58" s="174"/>
      <c r="S58" s="174"/>
      <c r="T58" s="177"/>
      <c r="U58" s="174" t="s">
        <v>2331</v>
      </c>
      <c r="V58" s="180">
        <f t="shared" si="2"/>
        <v>1</v>
      </c>
      <c r="W58" s="180">
        <f t="shared" si="3"/>
        <v>0</v>
      </c>
      <c r="X58" s="180">
        <f t="shared" si="4"/>
        <v>1</v>
      </c>
      <c r="Y58" s="180">
        <f t="shared" si="5"/>
        <v>500000000</v>
      </c>
      <c r="Z58" s="180"/>
      <c r="AA58" s="180">
        <f t="shared" si="6"/>
        <v>1</v>
      </c>
      <c r="AB58" s="180" t="s">
        <v>2393</v>
      </c>
      <c r="AC58" s="174"/>
      <c r="AD58" s="185"/>
      <c r="AE58" s="174"/>
      <c r="AF58" s="174"/>
      <c r="AG58" s="174"/>
      <c r="AH58" s="174"/>
      <c r="AI58" s="174"/>
      <c r="AJ58" s="174"/>
    </row>
    <row r="59" spans="2:36" s="181" customFormat="1" ht="13.5" x14ac:dyDescent="0.3">
      <c r="B59" s="181" t="s">
        <v>2474</v>
      </c>
      <c r="C59" s="174">
        <v>1</v>
      </c>
      <c r="D59" s="174">
        <v>1</v>
      </c>
      <c r="E59" s="174">
        <f t="shared" si="1"/>
        <v>2</v>
      </c>
      <c r="F59" s="174"/>
      <c r="G59" s="177"/>
      <c r="H59" s="177">
        <f t="shared" si="0"/>
        <v>0</v>
      </c>
      <c r="I59" s="174" t="s">
        <v>2337</v>
      </c>
      <c r="J59" s="174" t="s">
        <v>776</v>
      </c>
      <c r="K59" s="174" t="s">
        <v>2203</v>
      </c>
      <c r="L59" s="174">
        <v>5</v>
      </c>
      <c r="M59" s="174">
        <v>2</v>
      </c>
      <c r="N59" s="174"/>
      <c r="O59" s="174">
        <v>1</v>
      </c>
      <c r="P59" s="177">
        <v>2000000000</v>
      </c>
      <c r="Q59" s="174">
        <v>1</v>
      </c>
      <c r="R59" s="174">
        <v>1</v>
      </c>
      <c r="S59" s="174"/>
      <c r="T59" s="177"/>
      <c r="U59" s="174" t="s">
        <v>2361</v>
      </c>
      <c r="V59" s="180">
        <f t="shared" si="2"/>
        <v>3</v>
      </c>
      <c r="W59" s="180">
        <f t="shared" si="3"/>
        <v>1</v>
      </c>
      <c r="X59" s="180">
        <f t="shared" si="4"/>
        <v>1</v>
      </c>
      <c r="Y59" s="180">
        <f t="shared" si="5"/>
        <v>2000000000</v>
      </c>
      <c r="Z59" s="180">
        <f>W59*4500000</f>
        <v>4500000</v>
      </c>
      <c r="AA59" s="180">
        <f t="shared" si="6"/>
        <v>4</v>
      </c>
      <c r="AB59" s="180" t="s">
        <v>2435</v>
      </c>
      <c r="AC59" s="174"/>
      <c r="AD59" s="185"/>
      <c r="AE59" s="174"/>
      <c r="AF59" s="174"/>
      <c r="AG59" s="174"/>
      <c r="AH59" s="174"/>
      <c r="AI59" s="174"/>
      <c r="AJ59" s="174"/>
    </row>
    <row r="60" spans="2:36" s="181" customFormat="1" ht="13.5" x14ac:dyDescent="0.3">
      <c r="B60" s="181" t="s">
        <v>2474</v>
      </c>
      <c r="C60" s="174"/>
      <c r="D60" s="174">
        <v>2</v>
      </c>
      <c r="E60" s="174">
        <f t="shared" si="1"/>
        <v>2</v>
      </c>
      <c r="F60" s="174"/>
      <c r="G60" s="177"/>
      <c r="H60" s="177">
        <f t="shared" si="0"/>
        <v>0</v>
      </c>
      <c r="I60" s="174" t="s">
        <v>2337</v>
      </c>
      <c r="J60" s="174" t="s">
        <v>776</v>
      </c>
      <c r="K60" s="174" t="s">
        <v>2328</v>
      </c>
      <c r="L60" s="174">
        <v>3</v>
      </c>
      <c r="M60" s="174">
        <v>1</v>
      </c>
      <c r="N60" s="174"/>
      <c r="O60" s="174">
        <v>1</v>
      </c>
      <c r="P60" s="177">
        <v>1000000000</v>
      </c>
      <c r="Q60" s="174">
        <v>1</v>
      </c>
      <c r="R60" s="174">
        <v>1</v>
      </c>
      <c r="S60" s="174"/>
      <c r="T60" s="177"/>
      <c r="U60" s="174"/>
      <c r="V60" s="180">
        <f t="shared" si="2"/>
        <v>2</v>
      </c>
      <c r="W60" s="180">
        <f t="shared" si="3"/>
        <v>1</v>
      </c>
      <c r="X60" s="180">
        <f t="shared" si="4"/>
        <v>1</v>
      </c>
      <c r="Y60" s="180">
        <f t="shared" si="5"/>
        <v>1000000000</v>
      </c>
      <c r="Z60" s="180">
        <f>W60*10000000</f>
        <v>10000000</v>
      </c>
      <c r="AA60" s="180">
        <f t="shared" si="6"/>
        <v>2</v>
      </c>
      <c r="AB60" s="180" t="s">
        <v>2435</v>
      </c>
      <c r="AC60" s="174"/>
      <c r="AD60" s="185"/>
      <c r="AE60" s="174"/>
      <c r="AF60" s="174"/>
      <c r="AG60" s="174"/>
      <c r="AH60" s="174"/>
      <c r="AI60" s="174"/>
      <c r="AJ60" s="174"/>
    </row>
    <row r="61" spans="2:36" s="181" customFormat="1" ht="13.5" x14ac:dyDescent="0.3">
      <c r="B61" s="181" t="s">
        <v>2474</v>
      </c>
      <c r="C61" s="174">
        <v>4</v>
      </c>
      <c r="D61" s="174">
        <v>9</v>
      </c>
      <c r="E61" s="174">
        <f t="shared" si="1"/>
        <v>13</v>
      </c>
      <c r="F61" s="174"/>
      <c r="G61" s="177"/>
      <c r="H61" s="177">
        <f t="shared" si="0"/>
        <v>0</v>
      </c>
      <c r="I61" s="174" t="s">
        <v>2337</v>
      </c>
      <c r="J61" s="174" t="s">
        <v>776</v>
      </c>
      <c r="K61" s="174" t="s">
        <v>2329</v>
      </c>
      <c r="L61" s="174">
        <v>25</v>
      </c>
      <c r="M61" s="174">
        <v>7</v>
      </c>
      <c r="N61" s="174"/>
      <c r="O61" s="174"/>
      <c r="P61" s="177"/>
      <c r="Q61" s="174">
        <v>7</v>
      </c>
      <c r="R61" s="174"/>
      <c r="S61" s="174"/>
      <c r="T61" s="177"/>
      <c r="U61" s="174" t="s">
        <v>2332</v>
      </c>
      <c r="V61" s="180">
        <f t="shared" si="2"/>
        <v>14</v>
      </c>
      <c r="W61" s="180">
        <f t="shared" si="3"/>
        <v>0</v>
      </c>
      <c r="X61" s="180">
        <f t="shared" si="4"/>
        <v>0</v>
      </c>
      <c r="Y61" s="180">
        <f t="shared" si="5"/>
        <v>0</v>
      </c>
      <c r="Z61" s="180"/>
      <c r="AA61" s="180">
        <f t="shared" si="6"/>
        <v>25</v>
      </c>
      <c r="AB61" s="180"/>
      <c r="AC61" s="174"/>
      <c r="AD61" s="185"/>
      <c r="AE61" s="174"/>
      <c r="AF61" s="174"/>
      <c r="AG61" s="174"/>
      <c r="AH61" s="174"/>
      <c r="AI61" s="174"/>
      <c r="AJ61" s="174"/>
    </row>
    <row r="62" spans="2:36" s="181" customFormat="1" ht="13.5" x14ac:dyDescent="0.3">
      <c r="B62" s="181" t="s">
        <v>2474</v>
      </c>
      <c r="C62" s="174"/>
      <c r="D62" s="174"/>
      <c r="E62" s="174">
        <f t="shared" si="1"/>
        <v>0</v>
      </c>
      <c r="F62" s="174"/>
      <c r="G62" s="177"/>
      <c r="H62" s="177">
        <f t="shared" si="0"/>
        <v>0</v>
      </c>
      <c r="I62" s="174" t="s">
        <v>2337</v>
      </c>
      <c r="J62" s="174" t="s">
        <v>776</v>
      </c>
      <c r="K62" s="174" t="s">
        <v>1309</v>
      </c>
      <c r="L62" s="174">
        <v>2</v>
      </c>
      <c r="M62" s="174">
        <v>1</v>
      </c>
      <c r="N62" s="174"/>
      <c r="O62" s="174"/>
      <c r="P62" s="177"/>
      <c r="Q62" s="174">
        <v>1</v>
      </c>
      <c r="R62" s="174">
        <v>1</v>
      </c>
      <c r="S62" s="174"/>
      <c r="T62" s="177">
        <v>150000000</v>
      </c>
      <c r="U62" s="174" t="s">
        <v>2332</v>
      </c>
      <c r="V62" s="180">
        <f t="shared" si="2"/>
        <v>2</v>
      </c>
      <c r="W62" s="180">
        <f t="shared" si="3"/>
        <v>1</v>
      </c>
      <c r="X62" s="180">
        <f t="shared" si="4"/>
        <v>0</v>
      </c>
      <c r="Y62" s="180">
        <f t="shared" si="5"/>
        <v>150000000</v>
      </c>
      <c r="Z62" s="180">
        <f>W62*500000</f>
        <v>500000</v>
      </c>
      <c r="AA62" s="180">
        <f t="shared" si="6"/>
        <v>1</v>
      </c>
      <c r="AB62" s="180" t="s">
        <v>2435</v>
      </c>
      <c r="AC62" s="174"/>
      <c r="AD62" s="185"/>
      <c r="AE62" s="174"/>
      <c r="AF62" s="174"/>
      <c r="AG62" s="174"/>
      <c r="AH62" s="174"/>
      <c r="AI62" s="174"/>
      <c r="AJ62" s="174"/>
    </row>
    <row r="63" spans="2:36" s="181" customFormat="1" ht="13.5" x14ac:dyDescent="0.3">
      <c r="B63" s="181" t="s">
        <v>2474</v>
      </c>
      <c r="C63" s="174">
        <v>4</v>
      </c>
      <c r="D63" s="174">
        <v>9</v>
      </c>
      <c r="E63" s="174">
        <f t="shared" si="1"/>
        <v>13</v>
      </c>
      <c r="F63" s="174"/>
      <c r="G63" s="177"/>
      <c r="H63" s="177">
        <f t="shared" si="0"/>
        <v>0</v>
      </c>
      <c r="I63" s="174" t="s">
        <v>2337</v>
      </c>
      <c r="J63" s="174" t="s">
        <v>776</v>
      </c>
      <c r="K63" s="174" t="s">
        <v>777</v>
      </c>
      <c r="L63" s="174">
        <v>23</v>
      </c>
      <c r="M63" s="174">
        <v>7</v>
      </c>
      <c r="N63" s="174">
        <v>7</v>
      </c>
      <c r="O63" s="174"/>
      <c r="P63" s="177"/>
      <c r="Q63" s="174">
        <v>6</v>
      </c>
      <c r="R63" s="174">
        <v>6</v>
      </c>
      <c r="S63" s="174"/>
      <c r="T63" s="177"/>
      <c r="U63" s="174" t="s">
        <v>2333</v>
      </c>
      <c r="V63" s="180">
        <f t="shared" si="2"/>
        <v>13</v>
      </c>
      <c r="W63" s="180">
        <f t="shared" si="3"/>
        <v>13</v>
      </c>
      <c r="X63" s="180">
        <f t="shared" si="4"/>
        <v>0</v>
      </c>
      <c r="Y63" s="180">
        <f t="shared" si="5"/>
        <v>0</v>
      </c>
      <c r="Z63" s="180">
        <f>W63*3900000</f>
        <v>50700000</v>
      </c>
      <c r="AA63" s="180">
        <f t="shared" si="6"/>
        <v>10</v>
      </c>
      <c r="AB63" s="174"/>
      <c r="AC63" s="180" t="s">
        <v>2436</v>
      </c>
      <c r="AD63" s="185" t="s">
        <v>2381</v>
      </c>
      <c r="AE63" s="174"/>
      <c r="AF63" s="174"/>
      <c r="AG63" s="174"/>
      <c r="AH63" s="174"/>
      <c r="AI63" s="174"/>
      <c r="AJ63" s="187" t="s">
        <v>2437</v>
      </c>
    </row>
    <row r="64" spans="2:36" s="181" customFormat="1" ht="13.5" x14ac:dyDescent="0.3">
      <c r="B64" s="181" t="s">
        <v>2474</v>
      </c>
      <c r="C64" s="174"/>
      <c r="D64" s="174">
        <v>9</v>
      </c>
      <c r="E64" s="174">
        <f t="shared" si="1"/>
        <v>9</v>
      </c>
      <c r="F64" s="174"/>
      <c r="G64" s="177"/>
      <c r="H64" s="177">
        <f t="shared" si="0"/>
        <v>0</v>
      </c>
      <c r="I64" s="174" t="s">
        <v>2337</v>
      </c>
      <c r="J64" s="174" t="s">
        <v>776</v>
      </c>
      <c r="K64" s="174" t="s">
        <v>641</v>
      </c>
      <c r="L64" s="174">
        <v>13</v>
      </c>
      <c r="M64" s="174">
        <v>5</v>
      </c>
      <c r="N64" s="174">
        <v>5</v>
      </c>
      <c r="O64" s="174"/>
      <c r="P64" s="177"/>
      <c r="Q64" s="174">
        <v>5</v>
      </c>
      <c r="R64" s="174">
        <v>5</v>
      </c>
      <c r="S64" s="174"/>
      <c r="T64" s="177"/>
      <c r="U64" s="174"/>
      <c r="V64" s="180">
        <f t="shared" si="2"/>
        <v>10</v>
      </c>
      <c r="W64" s="180">
        <f t="shared" si="3"/>
        <v>10</v>
      </c>
      <c r="X64" s="180">
        <f t="shared" si="4"/>
        <v>0</v>
      </c>
      <c r="Y64" s="180">
        <f t="shared" si="5"/>
        <v>0</v>
      </c>
      <c r="Z64" s="180">
        <f>W64*1000000</f>
        <v>10000000</v>
      </c>
      <c r="AA64" s="180">
        <f t="shared" si="6"/>
        <v>3</v>
      </c>
      <c r="AB64" s="180"/>
      <c r="AC64" s="174" t="s">
        <v>2438</v>
      </c>
      <c r="AD64" s="185" t="s">
        <v>2381</v>
      </c>
      <c r="AE64" s="174"/>
      <c r="AF64" s="174"/>
      <c r="AG64" s="174"/>
      <c r="AH64" s="174"/>
      <c r="AI64" s="174"/>
      <c r="AJ64" s="174" t="s">
        <v>2439</v>
      </c>
    </row>
    <row r="65" spans="2:36" s="181" customFormat="1" ht="13.5" x14ac:dyDescent="0.3">
      <c r="B65" s="181" t="s">
        <v>2474</v>
      </c>
      <c r="C65" s="192">
        <v>1</v>
      </c>
      <c r="D65" s="192"/>
      <c r="E65" s="192">
        <f t="shared" si="1"/>
        <v>1</v>
      </c>
      <c r="F65" s="192" t="s">
        <v>2464</v>
      </c>
      <c r="G65" s="193">
        <v>7000000</v>
      </c>
      <c r="H65" s="193">
        <f t="shared" si="0"/>
        <v>7000000</v>
      </c>
      <c r="I65" s="174" t="s">
        <v>2337</v>
      </c>
      <c r="J65" s="174" t="s">
        <v>776</v>
      </c>
      <c r="K65" s="174" t="s">
        <v>2271</v>
      </c>
      <c r="L65" s="174">
        <v>1</v>
      </c>
      <c r="M65" s="174">
        <v>1</v>
      </c>
      <c r="N65" s="174"/>
      <c r="O65" s="174">
        <v>1</v>
      </c>
      <c r="P65" s="177">
        <v>7000000</v>
      </c>
      <c r="Q65" s="174"/>
      <c r="R65" s="174"/>
      <c r="S65" s="174"/>
      <c r="T65" s="177"/>
      <c r="U65" s="174" t="s">
        <v>2334</v>
      </c>
      <c r="V65" s="180">
        <f t="shared" si="2"/>
        <v>1</v>
      </c>
      <c r="W65" s="180">
        <f t="shared" si="3"/>
        <v>0</v>
      </c>
      <c r="X65" s="180">
        <f t="shared" si="4"/>
        <v>1</v>
      </c>
      <c r="Y65" s="180">
        <f t="shared" si="5"/>
        <v>7000000</v>
      </c>
      <c r="Z65" s="180"/>
      <c r="AA65" s="180">
        <f t="shared" si="6"/>
        <v>1</v>
      </c>
      <c r="AB65" s="180" t="s">
        <v>2393</v>
      </c>
      <c r="AC65" s="174"/>
      <c r="AD65" s="185"/>
      <c r="AE65" s="174"/>
      <c r="AF65" s="174"/>
      <c r="AG65" s="174"/>
      <c r="AH65" s="174"/>
      <c r="AI65" s="174"/>
      <c r="AJ65" s="174"/>
    </row>
    <row r="66" spans="2:36" s="181" customFormat="1" ht="13.5" x14ac:dyDescent="0.3">
      <c r="B66" s="181" t="s">
        <v>2475</v>
      </c>
      <c r="C66" s="192"/>
      <c r="D66" s="192">
        <v>1</v>
      </c>
      <c r="E66" s="192">
        <f t="shared" si="1"/>
        <v>1</v>
      </c>
      <c r="F66" s="192" t="s">
        <v>2464</v>
      </c>
      <c r="G66" s="193">
        <v>200000000</v>
      </c>
      <c r="H66" s="193">
        <f t="shared" si="0"/>
        <v>200000000</v>
      </c>
      <c r="I66" s="174" t="s">
        <v>2337</v>
      </c>
      <c r="J66" s="174" t="s">
        <v>776</v>
      </c>
      <c r="K66" s="174" t="s">
        <v>2318</v>
      </c>
      <c r="L66" s="174">
        <v>1</v>
      </c>
      <c r="M66" s="174">
        <v>1</v>
      </c>
      <c r="N66" s="174"/>
      <c r="O66" s="174">
        <v>1</v>
      </c>
      <c r="P66" s="177">
        <v>200000000</v>
      </c>
      <c r="Q66" s="174"/>
      <c r="R66" s="174"/>
      <c r="S66" s="174"/>
      <c r="T66" s="177"/>
      <c r="U66" s="174" t="s">
        <v>2335</v>
      </c>
      <c r="V66" s="180">
        <f t="shared" si="2"/>
        <v>1</v>
      </c>
      <c r="W66" s="180">
        <f t="shared" si="3"/>
        <v>0</v>
      </c>
      <c r="X66" s="180">
        <f t="shared" si="4"/>
        <v>1</v>
      </c>
      <c r="Y66" s="180">
        <f t="shared" si="5"/>
        <v>200000000</v>
      </c>
      <c r="Z66" s="180"/>
      <c r="AA66" s="180">
        <f t="shared" si="6"/>
        <v>1</v>
      </c>
      <c r="AB66" s="180" t="s">
        <v>2393</v>
      </c>
      <c r="AC66" s="174"/>
      <c r="AD66" s="185"/>
      <c r="AE66" s="174"/>
      <c r="AF66" s="174"/>
      <c r="AG66" s="174"/>
      <c r="AH66" s="174"/>
      <c r="AI66" s="174"/>
      <c r="AJ66" s="174"/>
    </row>
    <row r="67" spans="2:36" s="181" customFormat="1" ht="13.5" x14ac:dyDescent="0.3">
      <c r="B67" s="181" t="s">
        <v>2475</v>
      </c>
      <c r="C67" s="192"/>
      <c r="D67" s="192">
        <v>1</v>
      </c>
      <c r="E67" s="192">
        <f t="shared" si="1"/>
        <v>1</v>
      </c>
      <c r="F67" s="192" t="s">
        <v>2464</v>
      </c>
      <c r="G67" s="193">
        <v>80000000</v>
      </c>
      <c r="H67" s="193">
        <f t="shared" si="0"/>
        <v>80000000</v>
      </c>
      <c r="I67" s="174" t="s">
        <v>2337</v>
      </c>
      <c r="J67" s="174" t="s">
        <v>776</v>
      </c>
      <c r="K67" s="174" t="s">
        <v>2330</v>
      </c>
      <c r="L67" s="174">
        <v>1</v>
      </c>
      <c r="M67" s="174">
        <v>1</v>
      </c>
      <c r="N67" s="174"/>
      <c r="O67" s="174">
        <v>1</v>
      </c>
      <c r="P67" s="177">
        <v>80000000</v>
      </c>
      <c r="Q67" s="174"/>
      <c r="R67" s="174"/>
      <c r="S67" s="174"/>
      <c r="T67" s="177"/>
      <c r="U67" s="174"/>
      <c r="V67" s="180">
        <f t="shared" si="2"/>
        <v>1</v>
      </c>
      <c r="W67" s="180">
        <f t="shared" si="3"/>
        <v>0</v>
      </c>
      <c r="X67" s="180">
        <f t="shared" si="4"/>
        <v>1</v>
      </c>
      <c r="Y67" s="180">
        <f t="shared" si="5"/>
        <v>80000000</v>
      </c>
      <c r="Z67" s="180"/>
      <c r="AA67" s="180">
        <f t="shared" si="6"/>
        <v>1</v>
      </c>
      <c r="AB67" s="180" t="s">
        <v>2393</v>
      </c>
      <c r="AC67" s="174"/>
      <c r="AD67" s="185"/>
      <c r="AE67" s="174"/>
      <c r="AF67" s="174"/>
      <c r="AG67" s="174"/>
      <c r="AH67" s="174"/>
      <c r="AI67" s="174"/>
      <c r="AJ67" s="174"/>
    </row>
    <row r="68" spans="2:36" s="181" customFormat="1" ht="13.5" x14ac:dyDescent="0.3">
      <c r="B68" s="181" t="s">
        <v>2475</v>
      </c>
      <c r="C68" s="192"/>
      <c r="D68" s="192">
        <v>2</v>
      </c>
      <c r="E68" s="192">
        <f t="shared" si="1"/>
        <v>2</v>
      </c>
      <c r="F68" s="192" t="s">
        <v>2464</v>
      </c>
      <c r="G68" s="193">
        <v>60000000</v>
      </c>
      <c r="H68" s="193">
        <f>G68*E68</f>
        <v>120000000</v>
      </c>
      <c r="I68" s="174" t="s">
        <v>2337</v>
      </c>
      <c r="J68" s="174" t="s">
        <v>776</v>
      </c>
      <c r="K68" s="174" t="s">
        <v>2319</v>
      </c>
      <c r="L68" s="174">
        <v>2</v>
      </c>
      <c r="M68" s="174">
        <v>2</v>
      </c>
      <c r="N68" s="174"/>
      <c r="O68" s="174">
        <v>2</v>
      </c>
      <c r="P68" s="177">
        <v>120000000</v>
      </c>
      <c r="Q68" s="174"/>
      <c r="R68" s="174"/>
      <c r="S68" s="174"/>
      <c r="T68" s="177"/>
      <c r="U68" s="174" t="s">
        <v>2336</v>
      </c>
      <c r="V68" s="180">
        <f t="shared" si="2"/>
        <v>2</v>
      </c>
      <c r="W68" s="180">
        <f t="shared" si="3"/>
        <v>0</v>
      </c>
      <c r="X68" s="180">
        <f t="shared" si="4"/>
        <v>2</v>
      </c>
      <c r="Y68" s="180">
        <f t="shared" si="5"/>
        <v>120000000</v>
      </c>
      <c r="Z68" s="180"/>
      <c r="AA68" s="180">
        <f t="shared" si="6"/>
        <v>2</v>
      </c>
      <c r="AB68" s="180" t="s">
        <v>2393</v>
      </c>
      <c r="AC68" s="174"/>
      <c r="AD68" s="185"/>
      <c r="AE68" s="174"/>
      <c r="AF68" s="174"/>
      <c r="AG68" s="174"/>
      <c r="AH68" s="174"/>
      <c r="AI68" s="174"/>
      <c r="AJ68" s="174"/>
    </row>
    <row r="69" spans="2:36" s="181" customFormat="1" ht="13.5" x14ac:dyDescent="0.3">
      <c r="B69" s="181" t="s">
        <v>2474</v>
      </c>
      <c r="C69" s="174">
        <v>3</v>
      </c>
      <c r="D69" s="174">
        <v>22</v>
      </c>
      <c r="E69" s="174">
        <f t="shared" si="1"/>
        <v>25</v>
      </c>
      <c r="F69" s="174"/>
      <c r="G69" s="177"/>
      <c r="H69" s="177"/>
      <c r="I69" s="174" t="s">
        <v>2339</v>
      </c>
      <c r="J69" s="174" t="s">
        <v>2341</v>
      </c>
      <c r="K69" s="174" t="s">
        <v>231</v>
      </c>
      <c r="L69" s="174">
        <v>35</v>
      </c>
      <c r="M69" s="174">
        <v>3</v>
      </c>
      <c r="N69" s="174">
        <v>3</v>
      </c>
      <c r="O69" s="174"/>
      <c r="P69" s="177"/>
      <c r="Q69" s="174">
        <v>2</v>
      </c>
      <c r="R69" s="174">
        <v>2</v>
      </c>
      <c r="S69" s="174"/>
      <c r="T69" s="177"/>
      <c r="U69" s="174"/>
      <c r="V69" s="180">
        <f t="shared" si="2"/>
        <v>5</v>
      </c>
      <c r="W69" s="180">
        <f t="shared" si="3"/>
        <v>5</v>
      </c>
      <c r="X69" s="180">
        <f t="shared" si="4"/>
        <v>0</v>
      </c>
      <c r="Y69" s="180">
        <f t="shared" si="5"/>
        <v>0</v>
      </c>
      <c r="Z69" s="180">
        <f>W69*60000000</f>
        <v>300000000</v>
      </c>
      <c r="AA69" s="180">
        <f t="shared" si="6"/>
        <v>30</v>
      </c>
      <c r="AB69" s="180"/>
      <c r="AC69" s="174" t="s">
        <v>2443</v>
      </c>
      <c r="AD69" s="185" t="s">
        <v>2377</v>
      </c>
      <c r="AE69" s="174"/>
      <c r="AF69" s="174"/>
      <c r="AG69" s="174"/>
      <c r="AH69" s="174"/>
      <c r="AI69" s="174"/>
      <c r="AJ69" s="174" t="s">
        <v>2440</v>
      </c>
    </row>
    <row r="70" spans="2:36" s="181" customFormat="1" ht="13.5" x14ac:dyDescent="0.3">
      <c r="B70" s="181" t="s">
        <v>2474</v>
      </c>
      <c r="C70" s="174">
        <v>15</v>
      </c>
      <c r="D70" s="174"/>
      <c r="E70" s="174">
        <f t="shared" ref="E70:E81" si="11">D70+C70</f>
        <v>15</v>
      </c>
      <c r="F70" s="174"/>
      <c r="G70" s="177"/>
      <c r="H70" s="177"/>
      <c r="I70" s="174" t="s">
        <v>2339</v>
      </c>
      <c r="J70" s="174" t="s">
        <v>2341</v>
      </c>
      <c r="K70" s="174" t="s">
        <v>2343</v>
      </c>
      <c r="L70" s="174">
        <v>76</v>
      </c>
      <c r="M70" s="174">
        <v>8</v>
      </c>
      <c r="N70" s="174"/>
      <c r="O70" s="174"/>
      <c r="P70" s="177"/>
      <c r="Q70" s="174">
        <v>6</v>
      </c>
      <c r="R70" s="174"/>
      <c r="S70" s="174"/>
      <c r="T70" s="177"/>
      <c r="U70" s="174" t="s">
        <v>2346</v>
      </c>
      <c r="V70" s="180">
        <f t="shared" ref="V70:V81" si="12">Q70+M70</f>
        <v>14</v>
      </c>
      <c r="W70" s="180">
        <f t="shared" ref="W70:W81" si="13">R70+N70</f>
        <v>0</v>
      </c>
      <c r="X70" s="180">
        <f t="shared" ref="X70:X81" si="14">S70+O70</f>
        <v>0</v>
      </c>
      <c r="Y70" s="180">
        <f t="shared" ref="Y70:Y81" si="15">T70+P70</f>
        <v>0</v>
      </c>
      <c r="Z70" s="180">
        <f>W70*280000000</f>
        <v>0</v>
      </c>
      <c r="AA70" s="180">
        <f t="shared" si="6"/>
        <v>76</v>
      </c>
      <c r="AB70" s="180"/>
      <c r="AC70" s="174"/>
      <c r="AD70" s="185"/>
      <c r="AE70" s="174"/>
      <c r="AF70" s="174"/>
      <c r="AG70" s="174"/>
      <c r="AH70" s="174"/>
      <c r="AI70" s="174"/>
      <c r="AJ70" s="174"/>
    </row>
    <row r="71" spans="2:36" s="181" customFormat="1" ht="13.5" x14ac:dyDescent="0.3">
      <c r="B71" s="181" t="s">
        <v>2474</v>
      </c>
      <c r="C71" s="174"/>
      <c r="D71" s="174"/>
      <c r="E71" s="174">
        <f t="shared" si="11"/>
        <v>0</v>
      </c>
      <c r="F71" s="174"/>
      <c r="G71" s="177"/>
      <c r="H71" s="177"/>
      <c r="I71" s="174" t="s">
        <v>2339</v>
      </c>
      <c r="J71" s="174" t="s">
        <v>2341</v>
      </c>
      <c r="K71" s="174" t="s">
        <v>2345</v>
      </c>
      <c r="L71" s="174">
        <v>46</v>
      </c>
      <c r="M71" s="174">
        <v>4</v>
      </c>
      <c r="N71" s="174"/>
      <c r="O71" s="174"/>
      <c r="P71" s="177"/>
      <c r="Q71" s="174">
        <v>2</v>
      </c>
      <c r="R71" s="174"/>
      <c r="S71" s="174"/>
      <c r="T71" s="177"/>
      <c r="U71" s="174" t="s">
        <v>2346</v>
      </c>
      <c r="V71" s="180">
        <f t="shared" si="12"/>
        <v>6</v>
      </c>
      <c r="W71" s="180">
        <f t="shared" si="13"/>
        <v>0</v>
      </c>
      <c r="X71" s="180">
        <f t="shared" si="14"/>
        <v>0</v>
      </c>
      <c r="Y71" s="180">
        <f t="shared" si="15"/>
        <v>0</v>
      </c>
      <c r="Z71" s="180"/>
      <c r="AA71" s="180">
        <f t="shared" ref="AA71:AA81" si="16">L71-W71</f>
        <v>46</v>
      </c>
      <c r="AB71" s="180"/>
      <c r="AC71" s="174"/>
      <c r="AD71" s="185"/>
      <c r="AE71" s="174"/>
      <c r="AF71" s="174"/>
      <c r="AG71" s="174"/>
      <c r="AH71" s="174"/>
      <c r="AI71" s="174"/>
      <c r="AJ71" s="174"/>
    </row>
    <row r="72" spans="2:36" s="181" customFormat="1" ht="13.5" x14ac:dyDescent="0.3">
      <c r="B72" s="181" t="s">
        <v>2474</v>
      </c>
      <c r="C72" s="174"/>
      <c r="D72" s="174"/>
      <c r="E72" s="174">
        <f t="shared" si="11"/>
        <v>0</v>
      </c>
      <c r="F72" s="174"/>
      <c r="G72" s="177"/>
      <c r="H72" s="177"/>
      <c r="I72" s="174" t="s">
        <v>2338</v>
      </c>
      <c r="J72" s="174" t="s">
        <v>2341</v>
      </c>
      <c r="K72" s="174" t="s">
        <v>231</v>
      </c>
      <c r="L72" s="174">
        <v>6</v>
      </c>
      <c r="M72" s="174">
        <v>2</v>
      </c>
      <c r="N72" s="174">
        <v>2</v>
      </c>
      <c r="O72" s="174"/>
      <c r="P72" s="177"/>
      <c r="Q72" s="174">
        <v>2</v>
      </c>
      <c r="R72" s="174">
        <v>2</v>
      </c>
      <c r="S72" s="174"/>
      <c r="T72" s="177"/>
      <c r="U72" s="174"/>
      <c r="V72" s="180">
        <f t="shared" si="12"/>
        <v>4</v>
      </c>
      <c r="W72" s="180">
        <f t="shared" si="13"/>
        <v>4</v>
      </c>
      <c r="X72" s="180">
        <f t="shared" si="14"/>
        <v>0</v>
      </c>
      <c r="Y72" s="180">
        <f t="shared" si="15"/>
        <v>0</v>
      </c>
      <c r="Z72" s="180">
        <f>W72*60000000</f>
        <v>240000000</v>
      </c>
      <c r="AA72" s="180">
        <f t="shared" si="16"/>
        <v>2</v>
      </c>
      <c r="AB72" s="180"/>
      <c r="AC72" s="174" t="s">
        <v>2441</v>
      </c>
      <c r="AD72" s="185"/>
      <c r="AE72" s="174"/>
      <c r="AF72" s="174"/>
      <c r="AG72" s="174"/>
      <c r="AH72" s="174"/>
      <c r="AI72" s="174"/>
      <c r="AJ72" s="174"/>
    </row>
    <row r="73" spans="2:36" s="181" customFormat="1" ht="13.5" x14ac:dyDescent="0.3">
      <c r="B73" s="181" t="s">
        <v>2474</v>
      </c>
      <c r="C73" s="174"/>
      <c r="D73" s="174"/>
      <c r="E73" s="174">
        <f t="shared" si="11"/>
        <v>0</v>
      </c>
      <c r="F73" s="174"/>
      <c r="G73" s="177"/>
      <c r="H73" s="177"/>
      <c r="I73" s="174" t="s">
        <v>2338</v>
      </c>
      <c r="J73" s="174" t="s">
        <v>2341</v>
      </c>
      <c r="K73" s="174" t="s">
        <v>2343</v>
      </c>
      <c r="L73" s="174">
        <v>18</v>
      </c>
      <c r="M73" s="174">
        <v>1</v>
      </c>
      <c r="N73" s="174">
        <v>1</v>
      </c>
      <c r="O73" s="174"/>
      <c r="P73" s="177"/>
      <c r="Q73" s="174">
        <v>1</v>
      </c>
      <c r="R73" s="174">
        <v>1</v>
      </c>
      <c r="S73" s="174"/>
      <c r="T73" s="177"/>
      <c r="U73" s="174"/>
      <c r="V73" s="180">
        <f t="shared" si="12"/>
        <v>2</v>
      </c>
      <c r="W73" s="180">
        <f t="shared" si="13"/>
        <v>2</v>
      </c>
      <c r="X73" s="180">
        <f t="shared" si="14"/>
        <v>0</v>
      </c>
      <c r="Y73" s="180">
        <f t="shared" si="15"/>
        <v>0</v>
      </c>
      <c r="Z73" s="180">
        <f>W73*280000000</f>
        <v>560000000</v>
      </c>
      <c r="AA73" s="180">
        <f t="shared" si="16"/>
        <v>16</v>
      </c>
      <c r="AB73" s="180"/>
      <c r="AC73" s="174" t="s">
        <v>2442</v>
      </c>
      <c r="AD73" s="185"/>
      <c r="AE73" s="174"/>
      <c r="AF73" s="174"/>
      <c r="AG73" s="174"/>
      <c r="AH73" s="174"/>
      <c r="AI73" s="174"/>
      <c r="AJ73" s="174"/>
    </row>
    <row r="74" spans="2:36" s="181" customFormat="1" ht="13.5" x14ac:dyDescent="0.3">
      <c r="B74" s="181" t="s">
        <v>2474</v>
      </c>
      <c r="C74" s="174">
        <v>16</v>
      </c>
      <c r="D74" s="174">
        <v>9</v>
      </c>
      <c r="E74" s="174">
        <f t="shared" si="11"/>
        <v>25</v>
      </c>
      <c r="F74" s="174"/>
      <c r="G74" s="177"/>
      <c r="H74" s="177"/>
      <c r="I74" s="174" t="s">
        <v>2338</v>
      </c>
      <c r="J74" s="174" t="s">
        <v>2348</v>
      </c>
      <c r="K74" s="174" t="s">
        <v>231</v>
      </c>
      <c r="L74" s="174">
        <v>32</v>
      </c>
      <c r="M74" s="174">
        <v>11</v>
      </c>
      <c r="N74" s="174">
        <v>11</v>
      </c>
      <c r="O74" s="174"/>
      <c r="P74" s="177"/>
      <c r="Q74" s="174">
        <v>6</v>
      </c>
      <c r="R74" s="174">
        <v>6</v>
      </c>
      <c r="S74" s="174"/>
      <c r="T74" s="177"/>
      <c r="U74" s="174"/>
      <c r="V74" s="180">
        <f t="shared" si="12"/>
        <v>17</v>
      </c>
      <c r="W74" s="180">
        <f t="shared" si="13"/>
        <v>17</v>
      </c>
      <c r="X74" s="180">
        <f t="shared" si="14"/>
        <v>0</v>
      </c>
      <c r="Y74" s="180">
        <f t="shared" si="15"/>
        <v>0</v>
      </c>
      <c r="Z74" s="180">
        <f>W74*60000000</f>
        <v>1020000000</v>
      </c>
      <c r="AA74" s="180">
        <f t="shared" si="16"/>
        <v>15</v>
      </c>
      <c r="AB74" s="180"/>
      <c r="AC74" s="174" t="s">
        <v>2417</v>
      </c>
      <c r="AD74" s="185" t="s">
        <v>2377</v>
      </c>
      <c r="AE74" s="174"/>
      <c r="AF74" s="174"/>
      <c r="AG74" s="174"/>
      <c r="AH74" s="174"/>
      <c r="AI74" s="174"/>
      <c r="AJ74" s="174"/>
    </row>
    <row r="75" spans="2:36" s="181" customFormat="1" ht="13.5" x14ac:dyDescent="0.3">
      <c r="B75" s="181" t="s">
        <v>2474</v>
      </c>
      <c r="C75" s="174">
        <v>2</v>
      </c>
      <c r="D75" s="174">
        <v>3</v>
      </c>
      <c r="E75" s="174">
        <f t="shared" si="11"/>
        <v>5</v>
      </c>
      <c r="F75" s="174"/>
      <c r="G75" s="177"/>
      <c r="H75" s="177"/>
      <c r="I75" s="174" t="s">
        <v>2338</v>
      </c>
      <c r="J75" s="174" t="s">
        <v>2348</v>
      </c>
      <c r="K75" s="174" t="s">
        <v>2349</v>
      </c>
      <c r="L75" s="174">
        <v>5</v>
      </c>
      <c r="M75" s="174">
        <v>1</v>
      </c>
      <c r="N75" s="174"/>
      <c r="O75" s="174"/>
      <c r="P75" s="177"/>
      <c r="Q75" s="174"/>
      <c r="R75" s="174"/>
      <c r="S75" s="174"/>
      <c r="T75" s="177"/>
      <c r="U75" s="174"/>
      <c r="V75" s="180">
        <f t="shared" si="12"/>
        <v>1</v>
      </c>
      <c r="W75" s="180">
        <v>1</v>
      </c>
      <c r="X75" s="180">
        <f t="shared" si="14"/>
        <v>0</v>
      </c>
      <c r="Y75" s="180">
        <f t="shared" si="15"/>
        <v>0</v>
      </c>
      <c r="Z75" s="180">
        <f>W75*10000000</f>
        <v>10000000</v>
      </c>
      <c r="AA75" s="180">
        <f t="shared" si="16"/>
        <v>4</v>
      </c>
      <c r="AB75" s="180"/>
      <c r="AC75" s="174" t="s">
        <v>2418</v>
      </c>
      <c r="AD75" s="185" t="s">
        <v>2377</v>
      </c>
      <c r="AE75" s="174"/>
      <c r="AF75" s="174"/>
      <c r="AG75" s="174"/>
      <c r="AH75" s="174"/>
      <c r="AI75" s="174"/>
      <c r="AJ75" s="174"/>
    </row>
    <row r="76" spans="2:36" s="181" customFormat="1" ht="13.5" x14ac:dyDescent="0.3">
      <c r="B76" s="181" t="s">
        <v>2474</v>
      </c>
      <c r="C76" s="174">
        <v>3</v>
      </c>
      <c r="D76" s="174"/>
      <c r="E76" s="174">
        <f t="shared" si="11"/>
        <v>3</v>
      </c>
      <c r="F76" s="174"/>
      <c r="G76" s="177"/>
      <c r="H76" s="177"/>
      <c r="I76" s="174" t="s">
        <v>2338</v>
      </c>
      <c r="J76" s="174" t="s">
        <v>2348</v>
      </c>
      <c r="K76" s="174" t="s">
        <v>2343</v>
      </c>
      <c r="L76" s="174">
        <v>4</v>
      </c>
      <c r="M76" s="174"/>
      <c r="N76" s="174"/>
      <c r="O76" s="174"/>
      <c r="P76" s="177"/>
      <c r="Q76" s="174"/>
      <c r="R76" s="174"/>
      <c r="S76" s="174"/>
      <c r="T76" s="177"/>
      <c r="U76" s="174"/>
      <c r="V76" s="180"/>
      <c r="W76" s="180"/>
      <c r="X76" s="180"/>
      <c r="Y76" s="180">
        <f t="shared" si="15"/>
        <v>0</v>
      </c>
      <c r="Z76" s="180"/>
      <c r="AA76" s="180"/>
      <c r="AB76" s="180"/>
      <c r="AC76" s="174"/>
      <c r="AD76" s="185"/>
      <c r="AE76" s="174"/>
      <c r="AF76" s="174"/>
      <c r="AG76" s="174"/>
      <c r="AH76" s="174"/>
      <c r="AI76" s="174"/>
      <c r="AJ76" s="174"/>
    </row>
    <row r="77" spans="2:36" s="181" customFormat="1" ht="13.5" x14ac:dyDescent="0.3">
      <c r="B77" s="181" t="s">
        <v>2474</v>
      </c>
      <c r="C77" s="174">
        <v>1</v>
      </c>
      <c r="D77" s="174"/>
      <c r="E77" s="174">
        <f t="shared" si="11"/>
        <v>1</v>
      </c>
      <c r="F77" s="174"/>
      <c r="G77" s="177"/>
      <c r="H77" s="177"/>
      <c r="I77" s="174" t="s">
        <v>2338</v>
      </c>
      <c r="J77" s="174" t="s">
        <v>2348</v>
      </c>
      <c r="K77" s="174" t="s">
        <v>2465</v>
      </c>
      <c r="L77" s="174">
        <v>2</v>
      </c>
      <c r="M77" s="174"/>
      <c r="N77" s="174"/>
      <c r="O77" s="174"/>
      <c r="P77" s="177"/>
      <c r="Q77" s="174"/>
      <c r="R77" s="174"/>
      <c r="S77" s="174"/>
      <c r="T77" s="177"/>
      <c r="U77" s="174"/>
      <c r="V77" s="180"/>
      <c r="W77" s="180"/>
      <c r="X77" s="180"/>
      <c r="Y77" s="180">
        <f t="shared" si="15"/>
        <v>0</v>
      </c>
      <c r="Z77" s="180"/>
      <c r="AA77" s="180"/>
      <c r="AB77" s="180"/>
      <c r="AC77" s="174"/>
      <c r="AD77" s="185"/>
      <c r="AE77" s="174"/>
      <c r="AF77" s="174"/>
      <c r="AG77" s="174"/>
      <c r="AH77" s="174"/>
      <c r="AI77" s="174"/>
      <c r="AJ77" s="174"/>
    </row>
    <row r="78" spans="2:36" s="181" customFormat="1" ht="13.5" x14ac:dyDescent="0.3">
      <c r="B78" s="181" t="s">
        <v>2474</v>
      </c>
      <c r="C78" s="174"/>
      <c r="D78" s="174">
        <v>2</v>
      </c>
      <c r="E78" s="174">
        <f t="shared" si="11"/>
        <v>2</v>
      </c>
      <c r="F78" s="174"/>
      <c r="G78" s="177"/>
      <c r="H78" s="177"/>
      <c r="I78" s="174" t="s">
        <v>2338</v>
      </c>
      <c r="J78" s="174" t="s">
        <v>2348</v>
      </c>
      <c r="K78" s="174" t="s">
        <v>2466</v>
      </c>
      <c r="L78" s="174">
        <v>4</v>
      </c>
      <c r="M78" s="174"/>
      <c r="N78" s="174"/>
      <c r="O78" s="174"/>
      <c r="P78" s="177"/>
      <c r="Q78" s="174"/>
      <c r="R78" s="174"/>
      <c r="S78" s="174"/>
      <c r="T78" s="177"/>
      <c r="U78" s="174"/>
      <c r="V78" s="180"/>
      <c r="W78" s="180"/>
      <c r="X78" s="180"/>
      <c r="Y78" s="180">
        <f t="shared" si="15"/>
        <v>0</v>
      </c>
      <c r="Z78" s="180"/>
      <c r="AA78" s="180"/>
      <c r="AB78" s="180"/>
      <c r="AC78" s="174"/>
      <c r="AD78" s="185"/>
      <c r="AE78" s="174"/>
      <c r="AF78" s="174"/>
      <c r="AG78" s="174"/>
      <c r="AH78" s="174"/>
      <c r="AI78" s="174"/>
      <c r="AJ78" s="174"/>
    </row>
    <row r="79" spans="2:36" s="181" customFormat="1" ht="13.5" x14ac:dyDescent="0.3">
      <c r="B79" s="181" t="s">
        <v>2474</v>
      </c>
      <c r="C79" s="174">
        <v>5</v>
      </c>
      <c r="D79" s="174">
        <v>4</v>
      </c>
      <c r="E79" s="174">
        <f t="shared" si="11"/>
        <v>9</v>
      </c>
      <c r="F79" s="174"/>
      <c r="G79" s="177"/>
      <c r="H79" s="177"/>
      <c r="I79" s="174" t="s">
        <v>2338</v>
      </c>
      <c r="J79" s="174" t="s">
        <v>2348</v>
      </c>
      <c r="K79" s="174" t="s">
        <v>2351</v>
      </c>
      <c r="L79" s="174">
        <v>14</v>
      </c>
      <c r="M79" s="174">
        <v>3</v>
      </c>
      <c r="N79" s="174">
        <v>3</v>
      </c>
      <c r="O79" s="174"/>
      <c r="P79" s="177"/>
      <c r="Q79" s="174">
        <v>1</v>
      </c>
      <c r="R79" s="174">
        <v>1</v>
      </c>
      <c r="S79" s="174"/>
      <c r="T79" s="177"/>
      <c r="U79" s="174"/>
      <c r="V79" s="180">
        <f t="shared" si="12"/>
        <v>4</v>
      </c>
      <c r="W79" s="180">
        <f t="shared" si="13"/>
        <v>4</v>
      </c>
      <c r="X79" s="180">
        <f t="shared" si="14"/>
        <v>0</v>
      </c>
      <c r="Y79" s="180">
        <f t="shared" si="15"/>
        <v>0</v>
      </c>
      <c r="Z79" s="180">
        <f>W79*1000000</f>
        <v>4000000</v>
      </c>
      <c r="AA79" s="180">
        <f t="shared" si="16"/>
        <v>10</v>
      </c>
      <c r="AB79" s="180"/>
      <c r="AC79" s="174" t="s">
        <v>2415</v>
      </c>
      <c r="AD79" s="185" t="s">
        <v>2377</v>
      </c>
      <c r="AE79" s="174"/>
      <c r="AF79" s="174"/>
      <c r="AG79" s="174"/>
      <c r="AH79" s="174"/>
      <c r="AI79" s="174"/>
      <c r="AJ79" s="174"/>
    </row>
    <row r="80" spans="2:36" s="181" customFormat="1" ht="13.5" x14ac:dyDescent="0.3">
      <c r="B80" s="181" t="s">
        <v>2474</v>
      </c>
      <c r="C80" s="174">
        <v>4</v>
      </c>
      <c r="D80" s="174">
        <v>4</v>
      </c>
      <c r="E80" s="174">
        <f t="shared" si="11"/>
        <v>8</v>
      </c>
      <c r="F80" s="174"/>
      <c r="G80" s="177"/>
      <c r="H80" s="177"/>
      <c r="I80" s="174" t="s">
        <v>2338</v>
      </c>
      <c r="J80" s="174" t="s">
        <v>2348</v>
      </c>
      <c r="K80" s="174" t="s">
        <v>2353</v>
      </c>
      <c r="L80" s="174">
        <v>11</v>
      </c>
      <c r="M80" s="174">
        <v>6</v>
      </c>
      <c r="N80" s="174">
        <v>6</v>
      </c>
      <c r="O80" s="174"/>
      <c r="P80" s="177"/>
      <c r="Q80" s="174">
        <v>3</v>
      </c>
      <c r="R80" s="174">
        <v>3</v>
      </c>
      <c r="S80" s="174"/>
      <c r="T80" s="177"/>
      <c r="U80" s="174"/>
      <c r="V80" s="180">
        <f t="shared" si="12"/>
        <v>9</v>
      </c>
      <c r="W80" s="180">
        <f t="shared" si="13"/>
        <v>9</v>
      </c>
      <c r="X80" s="180">
        <f t="shared" si="14"/>
        <v>0</v>
      </c>
      <c r="Y80" s="180">
        <f t="shared" si="15"/>
        <v>0</v>
      </c>
      <c r="Z80" s="180">
        <f>W80*1000000</f>
        <v>9000000</v>
      </c>
      <c r="AA80" s="180">
        <f t="shared" si="16"/>
        <v>2</v>
      </c>
      <c r="AB80" s="180"/>
      <c r="AC80" s="174" t="s">
        <v>2416</v>
      </c>
      <c r="AD80" s="185" t="s">
        <v>2377</v>
      </c>
      <c r="AE80" s="174"/>
      <c r="AF80" s="174"/>
      <c r="AG80" s="174"/>
      <c r="AH80" s="174"/>
      <c r="AI80" s="174"/>
      <c r="AJ80" s="174"/>
    </row>
    <row r="81" spans="2:36" s="181" customFormat="1" ht="13.5" x14ac:dyDescent="0.3">
      <c r="B81" s="181" t="s">
        <v>2463</v>
      </c>
      <c r="C81" s="174">
        <v>1</v>
      </c>
      <c r="D81" s="174">
        <v>1</v>
      </c>
      <c r="E81" s="174">
        <f t="shared" si="11"/>
        <v>2</v>
      </c>
      <c r="F81" s="174"/>
      <c r="G81" s="177"/>
      <c r="H81" s="177"/>
      <c r="I81" s="174" t="s">
        <v>2338</v>
      </c>
      <c r="J81" s="174" t="s">
        <v>2348</v>
      </c>
      <c r="K81" s="174" t="s">
        <v>2272</v>
      </c>
      <c r="L81" s="174"/>
      <c r="M81" s="174"/>
      <c r="N81" s="174"/>
      <c r="O81" s="174"/>
      <c r="P81" s="177"/>
      <c r="Q81" s="174"/>
      <c r="R81" s="174"/>
      <c r="S81" s="174"/>
      <c r="T81" s="177"/>
      <c r="U81" s="174"/>
      <c r="V81" s="180">
        <f t="shared" si="12"/>
        <v>0</v>
      </c>
      <c r="W81" s="180">
        <f t="shared" si="13"/>
        <v>0</v>
      </c>
      <c r="X81" s="180">
        <f t="shared" si="14"/>
        <v>0</v>
      </c>
      <c r="Y81" s="180">
        <f t="shared" si="15"/>
        <v>0</v>
      </c>
      <c r="Z81" s="180"/>
      <c r="AA81" s="180">
        <f t="shared" si="16"/>
        <v>0</v>
      </c>
      <c r="AB81" s="180"/>
      <c r="AC81" s="174"/>
      <c r="AD81" s="185"/>
      <c r="AE81" s="174"/>
      <c r="AF81" s="174"/>
      <c r="AG81" s="174"/>
      <c r="AH81" s="174"/>
      <c r="AI81" s="174"/>
      <c r="AJ81" s="174"/>
    </row>
    <row r="82" spans="2:36" x14ac:dyDescent="0.3"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</sheetData>
  <autoFilter ref="I4:X81"/>
  <phoneticPr fontId="4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47"/>
  <sheetViews>
    <sheetView workbookViewId="0">
      <selection activeCell="D32" sqref="D32"/>
    </sheetView>
  </sheetViews>
  <sheetFormatPr defaultColWidth="9" defaultRowHeight="16.5" outlineLevelCol="1" x14ac:dyDescent="0.3"/>
  <cols>
    <col min="1" max="1" width="4.375" style="256" customWidth="1"/>
    <col min="2" max="2" width="11.125" style="256" customWidth="1"/>
    <col min="3" max="3" width="26.5" style="256" bestFit="1" customWidth="1"/>
    <col min="4" max="4" width="12.625" style="256" bestFit="1" customWidth="1"/>
    <col min="5" max="5" width="9.5" style="256" bestFit="1" customWidth="1"/>
    <col min="6" max="6" width="13.25" style="256" bestFit="1" customWidth="1"/>
    <col min="7" max="7" width="3.25" style="256" customWidth="1"/>
    <col min="8" max="9" width="12.5" style="256" customWidth="1"/>
    <col min="10" max="10" width="12.75" style="256" customWidth="1"/>
    <col min="11" max="11" width="13.5" style="256" bestFit="1" customWidth="1"/>
    <col min="12" max="12" width="39.375" style="256" bestFit="1" customWidth="1" outlineLevel="1"/>
    <col min="13" max="13" width="46" style="256" bestFit="1" customWidth="1" outlineLevel="1"/>
    <col min="14" max="14" width="3.25" style="256" customWidth="1"/>
    <col min="15" max="15" width="12.25" style="256" customWidth="1"/>
    <col min="16" max="16384" width="9" style="256"/>
  </cols>
  <sheetData>
    <row r="1" spans="1:15" ht="26.25" x14ac:dyDescent="0.3">
      <c r="A1" s="255" t="s">
        <v>2559</v>
      </c>
    </row>
    <row r="2" spans="1:15" ht="17.25" x14ac:dyDescent="0.3">
      <c r="B2" s="257" t="s">
        <v>2560</v>
      </c>
    </row>
    <row r="3" spans="1:15" ht="17.25" x14ac:dyDescent="0.3">
      <c r="B3" s="257" t="s">
        <v>2561</v>
      </c>
    </row>
    <row r="4" spans="1:15" x14ac:dyDescent="0.3">
      <c r="B4" s="258"/>
    </row>
    <row r="5" spans="1:15" x14ac:dyDescent="0.3">
      <c r="B5" s="258" t="s">
        <v>2562</v>
      </c>
    </row>
    <row r="6" spans="1:15" ht="14.25" customHeight="1" x14ac:dyDescent="0.3">
      <c r="B6" s="347" t="s">
        <v>2563</v>
      </c>
      <c r="C6" s="347"/>
      <c r="D6" s="347" t="s">
        <v>2564</v>
      </c>
      <c r="E6" s="347" t="s">
        <v>2565</v>
      </c>
      <c r="F6" s="347" t="s">
        <v>2566</v>
      </c>
      <c r="G6" s="259"/>
      <c r="H6" s="348" t="s">
        <v>2567</v>
      </c>
      <c r="I6" s="348"/>
      <c r="J6" s="348"/>
      <c r="K6" s="349"/>
      <c r="L6" s="260" t="s">
        <v>2568</v>
      </c>
      <c r="M6" s="260" t="s">
        <v>2569</v>
      </c>
      <c r="N6" s="261"/>
    </row>
    <row r="7" spans="1:15" ht="27" x14ac:dyDescent="0.3">
      <c r="B7" s="347"/>
      <c r="C7" s="347"/>
      <c r="D7" s="347"/>
      <c r="E7" s="347"/>
      <c r="F7" s="347"/>
      <c r="G7" s="259"/>
      <c r="H7" s="262" t="s">
        <v>2570</v>
      </c>
      <c r="I7" s="263" t="s">
        <v>2571</v>
      </c>
      <c r="J7" s="264" t="s">
        <v>2572</v>
      </c>
      <c r="K7" s="265" t="s">
        <v>2573</v>
      </c>
      <c r="L7" s="266" t="s">
        <v>2574</v>
      </c>
      <c r="M7" s="266" t="s">
        <v>2574</v>
      </c>
      <c r="N7" s="267"/>
      <c r="O7" s="268"/>
    </row>
    <row r="8" spans="1:15" x14ac:dyDescent="0.3">
      <c r="B8" s="346" t="s">
        <v>2575</v>
      </c>
      <c r="C8" s="269" t="s">
        <v>2576</v>
      </c>
      <c r="D8" s="270">
        <v>0</v>
      </c>
      <c r="E8" s="271">
        <v>1</v>
      </c>
      <c r="F8" s="272"/>
      <c r="G8" s="273"/>
      <c r="H8" s="274">
        <v>1</v>
      </c>
      <c r="I8" s="274">
        <v>0</v>
      </c>
      <c r="J8" s="275">
        <v>1</v>
      </c>
      <c r="K8" s="276">
        <v>0.18</v>
      </c>
      <c r="L8" s="277" t="s">
        <v>2577</v>
      </c>
      <c r="M8" s="277" t="s">
        <v>2578</v>
      </c>
      <c r="N8" s="278"/>
      <c r="O8" s="268"/>
    </row>
    <row r="9" spans="1:15" x14ac:dyDescent="0.3">
      <c r="B9" s="346"/>
      <c r="C9" s="269" t="s">
        <v>2579</v>
      </c>
      <c r="D9" s="270">
        <v>0</v>
      </c>
      <c r="E9" s="271">
        <v>2</v>
      </c>
      <c r="F9" s="272"/>
      <c r="G9" s="273"/>
      <c r="H9" s="274">
        <v>1</v>
      </c>
      <c r="I9" s="274">
        <v>0</v>
      </c>
      <c r="J9" s="275">
        <v>1</v>
      </c>
      <c r="K9" s="276">
        <v>0.79</v>
      </c>
      <c r="L9" s="277" t="s">
        <v>2580</v>
      </c>
      <c r="M9" s="277" t="s">
        <v>2581</v>
      </c>
      <c r="N9" s="278"/>
      <c r="O9" s="268"/>
    </row>
    <row r="10" spans="1:15" x14ac:dyDescent="0.3">
      <c r="B10" s="346"/>
      <c r="C10" s="279" t="s">
        <v>2582</v>
      </c>
      <c r="D10" s="270">
        <v>0</v>
      </c>
      <c r="E10" s="271">
        <v>2</v>
      </c>
      <c r="F10" s="272"/>
      <c r="G10" s="273"/>
      <c r="H10" s="274">
        <v>1</v>
      </c>
      <c r="I10" s="274">
        <v>0</v>
      </c>
      <c r="J10" s="275">
        <v>1</v>
      </c>
      <c r="K10" s="276">
        <v>1.27</v>
      </c>
      <c r="L10" s="277" t="s">
        <v>2583</v>
      </c>
      <c r="M10" s="277" t="s">
        <v>2584</v>
      </c>
      <c r="N10" s="278"/>
      <c r="O10" s="268"/>
    </row>
    <row r="11" spans="1:15" x14ac:dyDescent="0.3">
      <c r="B11" s="346"/>
      <c r="C11" s="279" t="s">
        <v>2585</v>
      </c>
      <c r="D11" s="270">
        <v>0</v>
      </c>
      <c r="E11" s="271">
        <v>1</v>
      </c>
      <c r="F11" s="272"/>
      <c r="G11" s="273"/>
      <c r="H11" s="274">
        <v>1</v>
      </c>
      <c r="I11" s="274">
        <v>0</v>
      </c>
      <c r="J11" s="275">
        <v>1</v>
      </c>
      <c r="K11" s="276">
        <v>0.53</v>
      </c>
      <c r="L11" s="277" t="s">
        <v>2586</v>
      </c>
      <c r="M11" s="277" t="s">
        <v>2587</v>
      </c>
      <c r="N11" s="278"/>
      <c r="O11" s="268"/>
    </row>
    <row r="12" spans="1:15" x14ac:dyDescent="0.3">
      <c r="B12" s="346"/>
      <c r="C12" s="279" t="s">
        <v>2588</v>
      </c>
      <c r="D12" s="270">
        <v>0</v>
      </c>
      <c r="E12" s="271">
        <v>1</v>
      </c>
      <c r="F12" s="272"/>
      <c r="G12" s="273"/>
      <c r="H12" s="274">
        <v>1</v>
      </c>
      <c r="I12" s="274">
        <v>0</v>
      </c>
      <c r="J12" s="275">
        <v>1</v>
      </c>
      <c r="K12" s="276">
        <v>0.5</v>
      </c>
      <c r="L12" s="277" t="s">
        <v>2589</v>
      </c>
      <c r="M12" s="277" t="s">
        <v>2590</v>
      </c>
      <c r="N12" s="278"/>
      <c r="O12" s="280"/>
    </row>
    <row r="13" spans="1:15" ht="14.25" hidden="1" customHeight="1" x14ac:dyDescent="0.3">
      <c r="B13" s="346"/>
      <c r="C13" s="281" t="s">
        <v>1633</v>
      </c>
      <c r="D13" s="282">
        <f>SUMPRODUCT(D14:D16,E14:E16)/E13</f>
        <v>839667.97909049748</v>
      </c>
      <c r="E13" s="283">
        <f>SUM(E14:E16)</f>
        <v>17</v>
      </c>
      <c r="F13" s="284"/>
      <c r="G13" s="285"/>
      <c r="H13" s="286"/>
      <c r="I13" s="286"/>
      <c r="J13" s="287"/>
      <c r="K13" s="288"/>
      <c r="L13" s="289"/>
      <c r="M13" s="289"/>
      <c r="N13" s="290"/>
      <c r="O13" s="280"/>
    </row>
    <row r="14" spans="1:15" ht="14.25" hidden="1" customHeight="1" x14ac:dyDescent="0.3">
      <c r="B14" s="346"/>
      <c r="C14" s="281" t="s">
        <v>2591</v>
      </c>
      <c r="D14" s="291">
        <v>443104.40224294277</v>
      </c>
      <c r="E14" s="283">
        <v>5</v>
      </c>
      <c r="F14" s="284"/>
      <c r="G14" s="285"/>
      <c r="H14" s="286"/>
      <c r="I14" s="286"/>
      <c r="J14" s="287"/>
      <c r="K14" s="288"/>
      <c r="L14" s="289"/>
      <c r="M14" s="289"/>
      <c r="N14" s="290"/>
      <c r="O14" s="280"/>
    </row>
    <row r="15" spans="1:15" hidden="1" x14ac:dyDescent="0.3">
      <c r="B15" s="346"/>
      <c r="C15" s="281" t="s">
        <v>2592</v>
      </c>
      <c r="D15" s="291">
        <v>636754.0453763972</v>
      </c>
      <c r="E15" s="283">
        <v>2</v>
      </c>
      <c r="F15" s="284"/>
      <c r="G15" s="285"/>
      <c r="H15" s="286"/>
      <c r="I15" s="286"/>
      <c r="J15" s="287"/>
      <c r="K15" s="288"/>
      <c r="L15" s="289"/>
      <c r="M15" s="289"/>
      <c r="N15" s="290"/>
      <c r="O15" s="280"/>
    </row>
    <row r="16" spans="1:15" hidden="1" x14ac:dyDescent="0.3">
      <c r="B16" s="346"/>
      <c r="C16" s="281" t="s">
        <v>2593</v>
      </c>
      <c r="D16" s="291">
        <v>1078532.5542570949</v>
      </c>
      <c r="E16" s="283">
        <v>10</v>
      </c>
      <c r="F16" s="284"/>
      <c r="G16" s="285"/>
      <c r="H16" s="286"/>
      <c r="I16" s="286"/>
      <c r="J16" s="287"/>
      <c r="K16" s="288"/>
      <c r="L16" s="289"/>
      <c r="M16" s="289"/>
      <c r="N16" s="290"/>
      <c r="O16" s="280"/>
    </row>
    <row r="17" spans="1:16" ht="27" x14ac:dyDescent="0.3">
      <c r="B17" s="353" t="s">
        <v>2594</v>
      </c>
      <c r="C17" s="269" t="s">
        <v>2595</v>
      </c>
      <c r="D17" s="292">
        <v>0</v>
      </c>
      <c r="E17" s="271">
        <v>1</v>
      </c>
      <c r="F17" s="293"/>
      <c r="G17" s="294"/>
      <c r="H17" s="274">
        <v>1</v>
      </c>
      <c r="I17" s="274">
        <v>0</v>
      </c>
      <c r="J17" s="295">
        <v>1</v>
      </c>
      <c r="K17" s="296">
        <v>4.4400000000000004</v>
      </c>
      <c r="L17" s="277" t="s">
        <v>2596</v>
      </c>
      <c r="M17" s="297" t="s">
        <v>2597</v>
      </c>
      <c r="N17" s="278"/>
      <c r="O17" s="280"/>
    </row>
    <row r="18" spans="1:16" ht="16.5" customHeight="1" x14ac:dyDescent="0.3">
      <c r="B18" s="353"/>
      <c r="C18" s="269" t="s">
        <v>2598</v>
      </c>
      <c r="D18" s="292">
        <v>0</v>
      </c>
      <c r="E18" s="271">
        <v>1</v>
      </c>
      <c r="F18" s="293"/>
      <c r="G18" s="294"/>
      <c r="H18" s="274">
        <v>1</v>
      </c>
      <c r="I18" s="274">
        <v>0</v>
      </c>
      <c r="J18" s="295">
        <v>1</v>
      </c>
      <c r="K18" s="296">
        <v>0.23</v>
      </c>
      <c r="L18" s="277" t="s">
        <v>2599</v>
      </c>
      <c r="M18" s="277" t="s">
        <v>2600</v>
      </c>
      <c r="N18" s="278"/>
      <c r="O18" s="280"/>
    </row>
    <row r="19" spans="1:16" ht="16.5" customHeight="1" x14ac:dyDescent="0.3">
      <c r="B19" s="353"/>
      <c r="C19" s="269" t="s">
        <v>2601</v>
      </c>
      <c r="D19" s="298">
        <v>0</v>
      </c>
      <c r="E19" s="271">
        <v>1</v>
      </c>
      <c r="F19" s="293"/>
      <c r="G19" s="294"/>
      <c r="H19" s="274">
        <v>1</v>
      </c>
      <c r="I19" s="274">
        <v>0</v>
      </c>
      <c r="J19" s="295">
        <v>1</v>
      </c>
      <c r="K19" s="296">
        <v>0.16</v>
      </c>
      <c r="L19" s="277" t="s">
        <v>2602</v>
      </c>
      <c r="M19" s="277" t="s">
        <v>2603</v>
      </c>
      <c r="N19" s="278"/>
      <c r="O19" s="280"/>
    </row>
    <row r="20" spans="1:16" ht="16.5" customHeight="1" x14ac:dyDescent="0.3">
      <c r="B20" s="353"/>
      <c r="C20" s="269" t="s">
        <v>2604</v>
      </c>
      <c r="D20" s="298">
        <v>0</v>
      </c>
      <c r="E20" s="271">
        <v>1</v>
      </c>
      <c r="F20" s="293"/>
      <c r="G20" s="294"/>
      <c r="H20" s="274">
        <v>1</v>
      </c>
      <c r="I20" s="274">
        <v>0</v>
      </c>
      <c r="J20" s="295">
        <v>1</v>
      </c>
      <c r="K20" s="299">
        <v>0.02</v>
      </c>
      <c r="L20" s="277" t="s">
        <v>2602</v>
      </c>
      <c r="M20" s="277" t="s">
        <v>2605</v>
      </c>
      <c r="N20" s="278"/>
      <c r="O20" s="280"/>
    </row>
    <row r="21" spans="1:16" ht="16.5" customHeight="1" x14ac:dyDescent="0.3">
      <c r="B21" s="353"/>
      <c r="C21" s="269" t="s">
        <v>2606</v>
      </c>
      <c r="D21" s="292">
        <v>0</v>
      </c>
      <c r="E21" s="271">
        <v>4</v>
      </c>
      <c r="F21" s="293"/>
      <c r="G21" s="294"/>
      <c r="H21" s="274">
        <v>1</v>
      </c>
      <c r="I21" s="274">
        <v>1</v>
      </c>
      <c r="J21" s="295">
        <v>0</v>
      </c>
      <c r="K21" s="296">
        <v>0</v>
      </c>
      <c r="L21" s="277" t="s">
        <v>2607</v>
      </c>
      <c r="M21" s="277" t="s">
        <v>2608</v>
      </c>
      <c r="N21" s="278"/>
      <c r="O21" s="280"/>
    </row>
    <row r="22" spans="1:16" ht="16.5" hidden="1" customHeight="1" x14ac:dyDescent="0.3">
      <c r="B22" s="353"/>
      <c r="C22" s="269" t="s">
        <v>2609</v>
      </c>
      <c r="D22" s="292">
        <v>0</v>
      </c>
      <c r="E22" s="271">
        <v>1</v>
      </c>
      <c r="F22" s="293"/>
      <c r="G22" s="294"/>
      <c r="H22" s="274"/>
      <c r="I22" s="274"/>
      <c r="J22" s="293"/>
      <c r="K22" s="293"/>
      <c r="L22" s="300"/>
      <c r="M22" s="300"/>
      <c r="N22" s="278"/>
      <c r="O22" s="280"/>
    </row>
    <row r="23" spans="1:16" ht="16.5" hidden="1" customHeight="1" x14ac:dyDescent="0.3">
      <c r="B23" s="353"/>
      <c r="C23" s="301" t="s">
        <v>2610</v>
      </c>
      <c r="D23" s="292"/>
      <c r="E23" s="271"/>
      <c r="F23" s="293"/>
      <c r="G23" s="294"/>
      <c r="H23" s="302"/>
      <c r="I23" s="302"/>
      <c r="J23" s="293"/>
      <c r="K23" s="293"/>
      <c r="L23" s="277"/>
      <c r="M23" s="277"/>
      <c r="N23" s="278"/>
    </row>
    <row r="24" spans="1:16" ht="16.5" hidden="1" customHeight="1" x14ac:dyDescent="0.3">
      <c r="B24" s="353"/>
      <c r="C24" s="301" t="s">
        <v>2611</v>
      </c>
      <c r="D24" s="292"/>
      <c r="E24" s="303"/>
      <c r="F24" s="293"/>
      <c r="G24" s="294"/>
      <c r="H24" s="302"/>
      <c r="I24" s="302"/>
      <c r="J24" s="293"/>
      <c r="K24" s="293"/>
      <c r="L24" s="277"/>
      <c r="M24" s="277"/>
      <c r="N24" s="278"/>
    </row>
    <row r="25" spans="1:16" ht="16.5" hidden="1" customHeight="1" x14ac:dyDescent="0.3">
      <c r="B25" s="353"/>
      <c r="C25" s="301" t="s">
        <v>2612</v>
      </c>
      <c r="D25" s="292"/>
      <c r="E25" s="303"/>
      <c r="F25" s="293"/>
      <c r="G25" s="294"/>
      <c r="H25" s="302"/>
      <c r="I25" s="302"/>
      <c r="J25" s="293"/>
      <c r="K25" s="293"/>
      <c r="L25" s="277"/>
      <c r="M25" s="277"/>
      <c r="N25" s="278"/>
    </row>
    <row r="26" spans="1:16" ht="16.5" hidden="1" customHeight="1" x14ac:dyDescent="0.3">
      <c r="B26" s="353"/>
      <c r="C26" s="301" t="s">
        <v>2613</v>
      </c>
      <c r="D26" s="292"/>
      <c r="E26" s="303"/>
      <c r="F26" s="293"/>
      <c r="G26" s="294"/>
      <c r="H26" s="302"/>
      <c r="I26" s="302"/>
      <c r="J26" s="293"/>
      <c r="K26" s="293"/>
      <c r="L26" s="277"/>
      <c r="M26" s="277"/>
      <c r="N26" s="278"/>
    </row>
    <row r="27" spans="1:16" ht="16.5" hidden="1" customHeight="1" x14ac:dyDescent="0.3">
      <c r="B27" s="353"/>
      <c r="C27" s="301" t="s">
        <v>2614</v>
      </c>
      <c r="D27" s="292"/>
      <c r="E27" s="303"/>
      <c r="F27" s="293"/>
      <c r="G27" s="294"/>
      <c r="H27" s="302"/>
      <c r="I27" s="302"/>
      <c r="J27" s="293"/>
      <c r="K27" s="293"/>
      <c r="L27" s="277"/>
      <c r="M27" s="277"/>
      <c r="N27" s="278"/>
    </row>
    <row r="28" spans="1:16" ht="16.5" hidden="1" customHeight="1" x14ac:dyDescent="0.3">
      <c r="B28" s="353"/>
      <c r="C28" s="301" t="s">
        <v>2615</v>
      </c>
      <c r="D28" s="292"/>
      <c r="E28" s="303"/>
      <c r="F28" s="293"/>
      <c r="G28" s="294"/>
      <c r="H28" s="302"/>
      <c r="I28" s="302"/>
      <c r="J28" s="293"/>
      <c r="K28" s="293"/>
      <c r="L28" s="277"/>
      <c r="M28" s="277"/>
      <c r="N28" s="278"/>
    </row>
    <row r="29" spans="1:16" ht="16.5" hidden="1" customHeight="1" x14ac:dyDescent="0.3">
      <c r="B29" s="353"/>
      <c r="C29" s="301" t="s">
        <v>2616</v>
      </c>
      <c r="D29" s="292"/>
      <c r="E29" s="303"/>
      <c r="F29" s="293"/>
      <c r="G29" s="294"/>
      <c r="H29" s="302"/>
      <c r="I29" s="302"/>
      <c r="J29" s="293"/>
      <c r="K29" s="293"/>
      <c r="L29" s="277"/>
      <c r="M29" s="277"/>
      <c r="N29" s="278"/>
    </row>
    <row r="30" spans="1:16" ht="17.25" hidden="1" customHeight="1" x14ac:dyDescent="0.3">
      <c r="B30" s="354"/>
      <c r="C30" s="304"/>
      <c r="D30" s="305"/>
      <c r="E30" s="306"/>
      <c r="F30" s="307"/>
      <c r="G30" s="294"/>
      <c r="H30" s="302"/>
      <c r="I30" s="302"/>
      <c r="J30" s="307"/>
      <c r="K30" s="307"/>
      <c r="L30" s="277"/>
      <c r="M30" s="277"/>
      <c r="N30" s="278"/>
    </row>
    <row r="31" spans="1:16" s="267" customFormat="1" ht="17.25" x14ac:dyDescent="0.3">
      <c r="A31" s="256"/>
      <c r="B31" s="351"/>
      <c r="C31" s="351"/>
      <c r="D31" s="351"/>
      <c r="E31" s="351"/>
      <c r="F31" s="351"/>
      <c r="G31" s="308"/>
      <c r="H31" s="352" t="s">
        <v>2570</v>
      </c>
      <c r="I31" s="352"/>
      <c r="J31" s="309">
        <f>SUM(J8:J30)</f>
        <v>9</v>
      </c>
      <c r="K31" s="310">
        <f>SUM(K8:K30)</f>
        <v>8.120000000000001</v>
      </c>
      <c r="L31" s="278"/>
      <c r="M31" s="278"/>
      <c r="N31" s="278"/>
      <c r="O31" s="256"/>
      <c r="P31" s="256"/>
    </row>
    <row r="32" spans="1:16" s="267" customFormat="1" x14ac:dyDescent="0.3">
      <c r="A32" s="256"/>
      <c r="B32" s="278"/>
      <c r="C32" s="278"/>
      <c r="D32" s="278"/>
      <c r="E32" s="278"/>
      <c r="F32" s="278"/>
      <c r="G32" s="278"/>
      <c r="H32" s="278"/>
      <c r="I32" s="278"/>
      <c r="J32" s="278"/>
      <c r="K32" s="278"/>
      <c r="L32" s="278"/>
      <c r="M32" s="278"/>
      <c r="N32" s="278"/>
      <c r="O32" s="256"/>
      <c r="P32" s="256"/>
    </row>
    <row r="34" spans="2:15" x14ac:dyDescent="0.3">
      <c r="B34" s="258" t="s">
        <v>2617</v>
      </c>
      <c r="C34" s="258"/>
    </row>
    <row r="35" spans="2:15" ht="14.25" customHeight="1" x14ac:dyDescent="0.3">
      <c r="B35" s="347" t="s">
        <v>2563</v>
      </c>
      <c r="C35" s="347"/>
      <c r="D35" s="347" t="s">
        <v>2564</v>
      </c>
      <c r="E35" s="347" t="s">
        <v>2565</v>
      </c>
      <c r="F35" s="347" t="s">
        <v>2566</v>
      </c>
      <c r="G35" s="259"/>
      <c r="H35" s="348" t="s">
        <v>2567</v>
      </c>
      <c r="I35" s="348"/>
      <c r="J35" s="348"/>
      <c r="K35" s="349"/>
      <c r="L35" s="260" t="s">
        <v>2568</v>
      </c>
      <c r="M35" s="260" t="s">
        <v>2569</v>
      </c>
      <c r="N35" s="261"/>
    </row>
    <row r="36" spans="2:15" ht="27" x14ac:dyDescent="0.3">
      <c r="B36" s="347"/>
      <c r="C36" s="347"/>
      <c r="D36" s="347"/>
      <c r="E36" s="347"/>
      <c r="F36" s="347"/>
      <c r="G36" s="259"/>
      <c r="H36" s="262" t="s">
        <v>2570</v>
      </c>
      <c r="I36" s="263" t="s">
        <v>2571</v>
      </c>
      <c r="J36" s="264" t="s">
        <v>2572</v>
      </c>
      <c r="K36" s="265" t="s">
        <v>2573</v>
      </c>
      <c r="L36" s="266" t="s">
        <v>2574</v>
      </c>
      <c r="M36" s="266" t="s">
        <v>2574</v>
      </c>
      <c r="N36" s="267"/>
      <c r="O36" s="268"/>
    </row>
    <row r="37" spans="2:15" x14ac:dyDescent="0.3">
      <c r="B37" s="346" t="s">
        <v>2618</v>
      </c>
      <c r="C37" s="269" t="s">
        <v>2619</v>
      </c>
      <c r="D37" s="270">
        <v>72060050</v>
      </c>
      <c r="E37" s="271">
        <v>1</v>
      </c>
      <c r="F37" s="272">
        <f>D37*E37</f>
        <v>72060050</v>
      </c>
      <c r="G37" s="273"/>
      <c r="H37" s="311">
        <v>0</v>
      </c>
      <c r="I37" s="311">
        <v>0</v>
      </c>
      <c r="J37" s="275">
        <v>0</v>
      </c>
      <c r="K37" s="312">
        <v>0</v>
      </c>
      <c r="L37" s="277" t="s">
        <v>2620</v>
      </c>
      <c r="M37" s="277" t="s">
        <v>2621</v>
      </c>
    </row>
    <row r="38" spans="2:15" x14ac:dyDescent="0.3">
      <c r="B38" s="346"/>
      <c r="C38" s="269" t="s">
        <v>2622</v>
      </c>
      <c r="D38" s="270">
        <v>76800000</v>
      </c>
      <c r="E38" s="271">
        <v>1</v>
      </c>
      <c r="F38" s="272">
        <f>D38*E38</f>
        <v>76800000</v>
      </c>
      <c r="G38" s="273"/>
      <c r="H38" s="311">
        <v>1</v>
      </c>
      <c r="I38" s="311">
        <v>0</v>
      </c>
      <c r="J38" s="275">
        <v>1</v>
      </c>
      <c r="K38" s="312">
        <v>0.5</v>
      </c>
      <c r="L38" s="277" t="s">
        <v>2623</v>
      </c>
      <c r="M38" s="277" t="s">
        <v>2624</v>
      </c>
    </row>
    <row r="39" spans="2:15" x14ac:dyDescent="0.3">
      <c r="B39" s="346"/>
      <c r="C39" s="269" t="s">
        <v>2124</v>
      </c>
      <c r="D39" s="313" t="s">
        <v>2603</v>
      </c>
      <c r="E39" s="271">
        <v>1</v>
      </c>
      <c r="F39" s="272" t="s">
        <v>2603</v>
      </c>
      <c r="G39" s="273"/>
      <c r="H39" s="311">
        <v>1</v>
      </c>
      <c r="I39" s="311">
        <v>0</v>
      </c>
      <c r="J39" s="275">
        <v>1</v>
      </c>
      <c r="K39" s="312">
        <v>0.1</v>
      </c>
      <c r="L39" s="277" t="s">
        <v>2625</v>
      </c>
      <c r="M39" s="277" t="s">
        <v>2626</v>
      </c>
    </row>
    <row r="40" spans="2:15" x14ac:dyDescent="0.3">
      <c r="B40" s="314" t="s">
        <v>2627</v>
      </c>
      <c r="C40" s="269" t="s">
        <v>2619</v>
      </c>
      <c r="D40" s="270">
        <v>72060050</v>
      </c>
      <c r="E40" s="271">
        <v>3</v>
      </c>
      <c r="F40" s="272">
        <f>D40*E40</f>
        <v>216180150</v>
      </c>
      <c r="G40" s="273"/>
      <c r="H40" s="311">
        <v>1</v>
      </c>
      <c r="I40" s="311">
        <v>1</v>
      </c>
      <c r="J40" s="275">
        <v>0</v>
      </c>
      <c r="K40" s="312">
        <v>0</v>
      </c>
      <c r="L40" s="277" t="s">
        <v>2620</v>
      </c>
      <c r="M40" s="277" t="s">
        <v>2621</v>
      </c>
    </row>
    <row r="41" spans="2:15" x14ac:dyDescent="0.3">
      <c r="B41" s="346" t="s">
        <v>2628</v>
      </c>
      <c r="C41" s="269" t="s">
        <v>2629</v>
      </c>
      <c r="D41" s="270">
        <v>10609920</v>
      </c>
      <c r="E41" s="271">
        <v>4</v>
      </c>
      <c r="F41" s="272">
        <f>D41*E41</f>
        <v>42439680</v>
      </c>
      <c r="G41" s="273"/>
      <c r="H41" s="311">
        <v>3</v>
      </c>
      <c r="I41" s="311">
        <v>1</v>
      </c>
      <c r="J41" s="275">
        <v>2</v>
      </c>
      <c r="K41" s="312">
        <v>0.1</v>
      </c>
      <c r="L41" s="277" t="s">
        <v>2630</v>
      </c>
      <c r="M41" s="277" t="s">
        <v>2631</v>
      </c>
    </row>
    <row r="42" spans="2:15" x14ac:dyDescent="0.3">
      <c r="B42" s="346"/>
      <c r="C42" s="269" t="s">
        <v>2632</v>
      </c>
      <c r="D42" s="270">
        <v>0</v>
      </c>
      <c r="E42" s="271">
        <v>1</v>
      </c>
      <c r="F42" s="272">
        <f>D42*E42</f>
        <v>0</v>
      </c>
      <c r="G42" s="273"/>
      <c r="H42" s="311">
        <v>1</v>
      </c>
      <c r="I42" s="311">
        <v>0</v>
      </c>
      <c r="J42" s="275">
        <v>1</v>
      </c>
      <c r="K42" s="312">
        <v>1.8</v>
      </c>
      <c r="L42" s="277" t="s">
        <v>2633</v>
      </c>
      <c r="M42" s="277" t="s">
        <v>2624</v>
      </c>
    </row>
    <row r="43" spans="2:15" x14ac:dyDescent="0.3">
      <c r="B43" s="346"/>
      <c r="C43" s="269" t="s">
        <v>2634</v>
      </c>
      <c r="D43" s="292">
        <v>0</v>
      </c>
      <c r="E43" s="271">
        <v>1</v>
      </c>
      <c r="F43" s="315" t="s">
        <v>2603</v>
      </c>
      <c r="G43" s="316"/>
      <c r="H43" s="311">
        <v>1</v>
      </c>
      <c r="I43" s="311">
        <v>0</v>
      </c>
      <c r="J43" s="275">
        <v>1</v>
      </c>
      <c r="K43" s="312">
        <v>0.3</v>
      </c>
      <c r="L43" s="297" t="s">
        <v>2635</v>
      </c>
      <c r="M43" s="297" t="s">
        <v>2636</v>
      </c>
      <c r="N43" s="317"/>
    </row>
    <row r="44" spans="2:15" x14ac:dyDescent="0.3">
      <c r="B44" s="350"/>
      <c r="C44" s="318" t="s">
        <v>2124</v>
      </c>
      <c r="D44" s="319">
        <v>0</v>
      </c>
      <c r="E44" s="320">
        <v>1</v>
      </c>
      <c r="F44" s="321" t="s">
        <v>2603</v>
      </c>
      <c r="G44" s="316"/>
      <c r="H44" s="311">
        <v>1</v>
      </c>
      <c r="I44" s="311">
        <v>0</v>
      </c>
      <c r="J44" s="322">
        <v>1</v>
      </c>
      <c r="K44" s="323">
        <v>0.1</v>
      </c>
      <c r="L44" s="277" t="s">
        <v>2637</v>
      </c>
      <c r="M44" s="277" t="s">
        <v>2631</v>
      </c>
    </row>
    <row r="45" spans="2:15" ht="17.25" x14ac:dyDescent="0.3">
      <c r="B45" s="351"/>
      <c r="C45" s="351"/>
      <c r="D45" s="351"/>
      <c r="E45" s="351"/>
      <c r="F45" s="351"/>
      <c r="G45" s="308"/>
      <c r="H45" s="352" t="s">
        <v>2570</v>
      </c>
      <c r="I45" s="352"/>
      <c r="J45" s="309">
        <f>SUM(J37:J44)</f>
        <v>7</v>
      </c>
      <c r="K45" s="310">
        <f>SUM(K37:K44)</f>
        <v>2.9</v>
      </c>
      <c r="L45" s="278"/>
      <c r="M45" s="278"/>
    </row>
    <row r="47" spans="2:15" ht="26.25" x14ac:dyDescent="0.3">
      <c r="H47" s="324" t="s">
        <v>2638</v>
      </c>
    </row>
  </sheetData>
  <mergeCells count="18">
    <mergeCell ref="H6:K6"/>
    <mergeCell ref="B37:B39"/>
    <mergeCell ref="B41:B44"/>
    <mergeCell ref="B45:F45"/>
    <mergeCell ref="H45:I45"/>
    <mergeCell ref="B17:B30"/>
    <mergeCell ref="B31:F31"/>
    <mergeCell ref="H31:I31"/>
    <mergeCell ref="B35:C36"/>
    <mergeCell ref="D35:D36"/>
    <mergeCell ref="E35:E36"/>
    <mergeCell ref="F35:F36"/>
    <mergeCell ref="H35:K35"/>
    <mergeCell ref="B8:B16"/>
    <mergeCell ref="B6:C7"/>
    <mergeCell ref="D6:D7"/>
    <mergeCell ref="E6:E7"/>
    <mergeCell ref="F6:F7"/>
  </mergeCells>
  <phoneticPr fontId="4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101"/>
  <sheetViews>
    <sheetView topLeftCell="B6" workbookViewId="0">
      <selection activeCell="T16" sqref="T16"/>
    </sheetView>
  </sheetViews>
  <sheetFormatPr defaultRowHeight="16.5" x14ac:dyDescent="0.3"/>
  <cols>
    <col min="3" max="3" width="11.625" bestFit="1" customWidth="1"/>
    <col min="4" max="4" width="17.875" bestFit="1" customWidth="1"/>
    <col min="5" max="5" width="20.25" bestFit="1" customWidth="1"/>
    <col min="6" max="6" width="14.875" bestFit="1" customWidth="1"/>
    <col min="11" max="11" width="20.875" customWidth="1"/>
    <col min="13" max="13" width="22.375" customWidth="1"/>
    <col min="14" max="14" width="26.5" customWidth="1"/>
  </cols>
  <sheetData>
    <row r="3" spans="3:14" ht="17.25" thickBot="1" x14ac:dyDescent="0.35"/>
    <row r="4" spans="3:14" ht="17.25" thickBot="1" x14ac:dyDescent="0.35">
      <c r="C4" s="169" t="s">
        <v>2253</v>
      </c>
      <c r="D4" s="170" t="s">
        <v>2202</v>
      </c>
      <c r="E4" s="170" t="s">
        <v>2221</v>
      </c>
      <c r="F4" s="171" t="s">
        <v>2249</v>
      </c>
      <c r="G4" s="172" t="s">
        <v>2273</v>
      </c>
      <c r="J4" s="162" t="s">
        <v>2356</v>
      </c>
      <c r="K4" s="162" t="s">
        <v>2354</v>
      </c>
      <c r="L4" s="162" t="s">
        <v>2461</v>
      </c>
      <c r="M4" s="162" t="s">
        <v>2462</v>
      </c>
      <c r="N4" s="162" t="s">
        <v>2389</v>
      </c>
    </row>
    <row r="5" spans="3:14" x14ac:dyDescent="0.3">
      <c r="C5" s="164" t="s">
        <v>556</v>
      </c>
      <c r="D5" s="165" t="s">
        <v>693</v>
      </c>
      <c r="E5" s="166" t="s">
        <v>695</v>
      </c>
      <c r="F5" s="167" t="s">
        <v>710</v>
      </c>
      <c r="G5" s="189">
        <v>1</v>
      </c>
      <c r="J5" t="s">
        <v>556</v>
      </c>
      <c r="K5" t="s">
        <v>2456</v>
      </c>
      <c r="L5">
        <v>1</v>
      </c>
      <c r="M5">
        <v>1</v>
      </c>
      <c r="N5" t="s">
        <v>2380</v>
      </c>
    </row>
    <row r="6" spans="3:14" x14ac:dyDescent="0.3">
      <c r="C6" s="164"/>
      <c r="D6" s="165"/>
      <c r="E6" s="166"/>
      <c r="F6" s="167" t="s">
        <v>735</v>
      </c>
      <c r="G6" s="189">
        <v>1</v>
      </c>
      <c r="K6" t="s">
        <v>2451</v>
      </c>
      <c r="L6">
        <v>1</v>
      </c>
      <c r="M6">
        <v>0</v>
      </c>
      <c r="N6" t="s">
        <v>2198</v>
      </c>
    </row>
    <row r="7" spans="3:14" x14ac:dyDescent="0.3">
      <c r="C7" s="164"/>
      <c r="D7" s="165" t="s">
        <v>2261</v>
      </c>
      <c r="E7" s="166" t="s">
        <v>957</v>
      </c>
      <c r="F7" s="167" t="s">
        <v>2198</v>
      </c>
      <c r="G7" s="189">
        <v>1</v>
      </c>
      <c r="K7" t="s">
        <v>2258</v>
      </c>
      <c r="L7">
        <v>1</v>
      </c>
      <c r="M7">
        <v>0</v>
      </c>
      <c r="N7" t="s">
        <v>2380</v>
      </c>
    </row>
    <row r="8" spans="3:14" x14ac:dyDescent="0.3">
      <c r="C8" s="164"/>
      <c r="D8" s="165" t="s">
        <v>627</v>
      </c>
      <c r="E8" s="166" t="s">
        <v>629</v>
      </c>
      <c r="F8" s="167" t="s">
        <v>672</v>
      </c>
      <c r="G8" s="189">
        <v>1</v>
      </c>
      <c r="K8" t="s">
        <v>2449</v>
      </c>
      <c r="L8">
        <v>1</v>
      </c>
      <c r="M8">
        <v>0</v>
      </c>
      <c r="N8" t="s">
        <v>2380</v>
      </c>
    </row>
    <row r="9" spans="3:14" x14ac:dyDescent="0.3">
      <c r="C9" s="164"/>
      <c r="D9" s="165"/>
      <c r="E9" s="166" t="s">
        <v>2258</v>
      </c>
      <c r="F9" s="167" t="s">
        <v>2198</v>
      </c>
      <c r="G9" s="189"/>
      <c r="K9" t="s">
        <v>2448</v>
      </c>
      <c r="L9">
        <v>1</v>
      </c>
      <c r="M9">
        <v>0</v>
      </c>
      <c r="N9" t="s">
        <v>2198</v>
      </c>
    </row>
    <row r="10" spans="3:14" x14ac:dyDescent="0.3">
      <c r="C10" s="164"/>
      <c r="D10" s="165" t="s">
        <v>682</v>
      </c>
      <c r="E10" s="166" t="s">
        <v>684</v>
      </c>
      <c r="F10" s="167" t="s">
        <v>687</v>
      </c>
      <c r="G10" s="189">
        <v>1</v>
      </c>
      <c r="K10" t="s">
        <v>2445</v>
      </c>
      <c r="L10">
        <v>3</v>
      </c>
      <c r="M10">
        <v>3</v>
      </c>
      <c r="N10" t="s">
        <v>2380</v>
      </c>
    </row>
    <row r="11" spans="3:14" x14ac:dyDescent="0.3">
      <c r="C11" s="164"/>
      <c r="D11" s="165"/>
      <c r="E11" s="166"/>
      <c r="F11" s="167" t="s">
        <v>704</v>
      </c>
      <c r="G11" s="189">
        <v>1</v>
      </c>
      <c r="K11" t="s">
        <v>2452</v>
      </c>
      <c r="L11">
        <v>1</v>
      </c>
      <c r="M11">
        <v>1</v>
      </c>
      <c r="N11" t="s">
        <v>2382</v>
      </c>
    </row>
    <row r="12" spans="3:14" x14ac:dyDescent="0.3">
      <c r="C12" s="164"/>
      <c r="D12" s="165" t="s">
        <v>743</v>
      </c>
      <c r="E12" s="166" t="s">
        <v>2223</v>
      </c>
      <c r="F12" s="167" t="s">
        <v>748</v>
      </c>
      <c r="G12" s="189">
        <v>1</v>
      </c>
      <c r="K12" t="s">
        <v>2259</v>
      </c>
      <c r="L12">
        <v>1</v>
      </c>
      <c r="M12">
        <v>0</v>
      </c>
      <c r="N12" t="s">
        <v>2382</v>
      </c>
    </row>
    <row r="13" spans="3:14" x14ac:dyDescent="0.3">
      <c r="C13" s="164"/>
      <c r="D13" s="165" t="s">
        <v>595</v>
      </c>
      <c r="E13" s="166" t="s">
        <v>621</v>
      </c>
      <c r="F13" s="167" t="s">
        <v>599</v>
      </c>
      <c r="G13" s="189">
        <v>1</v>
      </c>
      <c r="K13" t="s">
        <v>2457</v>
      </c>
      <c r="L13">
        <v>1</v>
      </c>
      <c r="M13">
        <v>0</v>
      </c>
      <c r="N13" t="s">
        <v>2382</v>
      </c>
    </row>
    <row r="14" spans="3:14" x14ac:dyDescent="0.3">
      <c r="C14" s="164"/>
      <c r="D14" s="165"/>
      <c r="E14" s="166"/>
      <c r="F14" s="167" t="s">
        <v>623</v>
      </c>
      <c r="G14" s="189">
        <v>1</v>
      </c>
      <c r="K14" t="s">
        <v>2444</v>
      </c>
      <c r="L14">
        <v>3</v>
      </c>
      <c r="M14">
        <v>2</v>
      </c>
      <c r="N14" t="s">
        <v>2380</v>
      </c>
    </row>
    <row r="15" spans="3:14" x14ac:dyDescent="0.3">
      <c r="C15" s="164"/>
      <c r="D15" s="165"/>
      <c r="E15" s="166"/>
      <c r="F15" s="167" t="s">
        <v>640</v>
      </c>
      <c r="G15" s="189">
        <v>1</v>
      </c>
      <c r="K15" t="s">
        <v>2454</v>
      </c>
      <c r="L15">
        <v>1</v>
      </c>
      <c r="M15">
        <v>1</v>
      </c>
      <c r="N15" t="s">
        <v>2380</v>
      </c>
    </row>
    <row r="16" spans="3:14" x14ac:dyDescent="0.3">
      <c r="C16" s="164"/>
      <c r="D16" s="165"/>
      <c r="E16" s="166"/>
      <c r="F16" s="167" t="s">
        <v>653</v>
      </c>
      <c r="G16" s="189">
        <v>1</v>
      </c>
      <c r="K16" t="s">
        <v>641</v>
      </c>
      <c r="L16">
        <v>3</v>
      </c>
      <c r="M16">
        <v>3</v>
      </c>
      <c r="N16" t="s">
        <v>2380</v>
      </c>
    </row>
    <row r="17" spans="3:14" x14ac:dyDescent="0.3">
      <c r="C17" s="164"/>
      <c r="D17" s="165"/>
      <c r="E17" s="166"/>
      <c r="F17" s="167" t="s">
        <v>707</v>
      </c>
      <c r="G17" s="189">
        <v>1</v>
      </c>
      <c r="K17" t="s">
        <v>2453</v>
      </c>
      <c r="L17">
        <v>4</v>
      </c>
      <c r="M17">
        <v>0</v>
      </c>
      <c r="N17" t="s">
        <v>2198</v>
      </c>
    </row>
    <row r="18" spans="3:14" x14ac:dyDescent="0.3">
      <c r="C18" s="164"/>
      <c r="D18" s="165"/>
      <c r="E18" s="166"/>
      <c r="F18" s="167" t="s">
        <v>720</v>
      </c>
      <c r="G18" s="189">
        <v>1</v>
      </c>
      <c r="K18" t="s">
        <v>2446</v>
      </c>
      <c r="L18">
        <v>1</v>
      </c>
      <c r="M18">
        <v>0</v>
      </c>
      <c r="N18" t="s">
        <v>2198</v>
      </c>
    </row>
    <row r="19" spans="3:14" x14ac:dyDescent="0.3">
      <c r="C19" s="164"/>
      <c r="D19" s="165"/>
      <c r="E19" s="166" t="s">
        <v>1381</v>
      </c>
      <c r="F19" s="167" t="s">
        <v>2198</v>
      </c>
      <c r="G19" s="189">
        <v>1</v>
      </c>
      <c r="K19" t="s">
        <v>2447</v>
      </c>
      <c r="L19">
        <v>1</v>
      </c>
      <c r="M19" t="s">
        <v>2198</v>
      </c>
      <c r="N19" t="s">
        <v>2198</v>
      </c>
    </row>
    <row r="20" spans="3:14" x14ac:dyDescent="0.3">
      <c r="C20" s="164"/>
      <c r="D20" s="165" t="s">
        <v>608</v>
      </c>
      <c r="E20" s="166" t="s">
        <v>2225</v>
      </c>
      <c r="F20" s="167" t="s">
        <v>716</v>
      </c>
      <c r="G20" s="189">
        <v>1</v>
      </c>
      <c r="K20" t="s">
        <v>2450</v>
      </c>
      <c r="L20">
        <v>1</v>
      </c>
      <c r="M20">
        <v>1</v>
      </c>
      <c r="N20" t="s">
        <v>2378</v>
      </c>
    </row>
    <row r="21" spans="3:14" x14ac:dyDescent="0.3">
      <c r="C21" s="164"/>
      <c r="D21" s="165" t="s">
        <v>2259</v>
      </c>
      <c r="E21" s="166" t="s">
        <v>2260</v>
      </c>
      <c r="F21" s="167" t="s">
        <v>2198</v>
      </c>
      <c r="G21" s="189">
        <v>1</v>
      </c>
      <c r="K21" t="s">
        <v>2424</v>
      </c>
      <c r="L21">
        <v>1</v>
      </c>
      <c r="M21">
        <v>0</v>
      </c>
      <c r="N21" t="s">
        <v>2198</v>
      </c>
    </row>
    <row r="22" spans="3:14" x14ac:dyDescent="0.3">
      <c r="C22" s="164"/>
      <c r="D22" s="165" t="s">
        <v>581</v>
      </c>
      <c r="E22" s="166" t="s">
        <v>2222</v>
      </c>
      <c r="F22" s="167" t="s">
        <v>760</v>
      </c>
      <c r="G22" s="189">
        <v>1</v>
      </c>
      <c r="K22" t="s">
        <v>2455</v>
      </c>
      <c r="L22">
        <v>1</v>
      </c>
      <c r="M22">
        <v>0</v>
      </c>
      <c r="N22" t="s">
        <v>2198</v>
      </c>
    </row>
    <row r="23" spans="3:14" x14ac:dyDescent="0.3">
      <c r="C23" s="164"/>
      <c r="D23" s="165" t="s">
        <v>673</v>
      </c>
      <c r="E23" s="166" t="s">
        <v>675</v>
      </c>
      <c r="F23" s="167" t="s">
        <v>678</v>
      </c>
      <c r="G23" s="189">
        <v>1</v>
      </c>
      <c r="K23" t="s">
        <v>2265</v>
      </c>
      <c r="L23">
        <v>1</v>
      </c>
      <c r="M23">
        <v>0</v>
      </c>
      <c r="N23" t="s">
        <v>2198</v>
      </c>
    </row>
    <row r="24" spans="3:14" x14ac:dyDescent="0.3">
      <c r="C24" s="164"/>
      <c r="D24" s="165" t="s">
        <v>641</v>
      </c>
      <c r="E24" s="166" t="s">
        <v>643</v>
      </c>
      <c r="F24" s="167" t="s">
        <v>645</v>
      </c>
      <c r="G24" s="189">
        <v>1</v>
      </c>
      <c r="K24" t="s">
        <v>2458</v>
      </c>
      <c r="L24">
        <v>1</v>
      </c>
      <c r="M24">
        <v>0</v>
      </c>
      <c r="N24" t="s">
        <v>2198</v>
      </c>
    </row>
    <row r="25" spans="3:14" x14ac:dyDescent="0.3">
      <c r="C25" s="164"/>
      <c r="D25" s="165"/>
      <c r="E25" s="166"/>
      <c r="F25" s="167" t="s">
        <v>663</v>
      </c>
      <c r="G25" s="189">
        <v>1</v>
      </c>
      <c r="K25" t="s">
        <v>2426</v>
      </c>
      <c r="L25">
        <v>1</v>
      </c>
      <c r="M25">
        <v>0</v>
      </c>
      <c r="N25" t="s">
        <v>2198</v>
      </c>
    </row>
    <row r="26" spans="3:14" x14ac:dyDescent="0.3">
      <c r="C26" s="164"/>
      <c r="D26" s="165"/>
      <c r="E26" s="166"/>
      <c r="F26" s="167" t="s">
        <v>692</v>
      </c>
      <c r="G26" s="189">
        <v>1</v>
      </c>
      <c r="K26" t="s">
        <v>2425</v>
      </c>
      <c r="L26">
        <v>1</v>
      </c>
      <c r="M26">
        <v>0</v>
      </c>
      <c r="N26" t="s">
        <v>2198</v>
      </c>
    </row>
    <row r="27" spans="3:14" x14ac:dyDescent="0.3">
      <c r="C27" s="164"/>
      <c r="D27" s="165"/>
      <c r="E27" s="166"/>
      <c r="F27" s="167" t="s">
        <v>725</v>
      </c>
      <c r="G27" s="189">
        <v>1</v>
      </c>
      <c r="J27" t="s">
        <v>2201</v>
      </c>
      <c r="K27" t="s">
        <v>2323</v>
      </c>
      <c r="L27" t="s">
        <v>2198</v>
      </c>
      <c r="M27" t="s">
        <v>2198</v>
      </c>
      <c r="N27" t="s">
        <v>2198</v>
      </c>
    </row>
    <row r="28" spans="3:14" x14ac:dyDescent="0.3">
      <c r="C28" s="164"/>
      <c r="D28" s="165" t="s">
        <v>2204</v>
      </c>
      <c r="E28" s="166" t="s">
        <v>2222</v>
      </c>
      <c r="F28" s="167" t="s">
        <v>923</v>
      </c>
      <c r="G28" s="189">
        <v>1</v>
      </c>
      <c r="K28" t="s">
        <v>2315</v>
      </c>
      <c r="L28">
        <v>2</v>
      </c>
      <c r="M28">
        <v>2</v>
      </c>
      <c r="N28" t="s">
        <v>2382</v>
      </c>
    </row>
    <row r="29" spans="3:14" x14ac:dyDescent="0.3">
      <c r="C29" s="164"/>
      <c r="D29" s="165" t="s">
        <v>1728</v>
      </c>
      <c r="E29" s="166"/>
      <c r="F29" s="167"/>
      <c r="G29" s="189">
        <v>1</v>
      </c>
      <c r="K29" t="s">
        <v>2203</v>
      </c>
      <c r="L29">
        <v>1</v>
      </c>
      <c r="M29" t="s">
        <v>2198</v>
      </c>
      <c r="N29" t="s">
        <v>2198</v>
      </c>
    </row>
    <row r="30" spans="3:14" x14ac:dyDescent="0.3">
      <c r="C30" s="164"/>
      <c r="D30" s="165" t="s">
        <v>2217</v>
      </c>
      <c r="E30" s="166" t="s">
        <v>2248</v>
      </c>
      <c r="F30" s="167" t="s">
        <v>574</v>
      </c>
      <c r="G30" s="189">
        <v>1</v>
      </c>
      <c r="K30" t="s">
        <v>2309</v>
      </c>
      <c r="L30">
        <v>5</v>
      </c>
      <c r="M30">
        <v>3</v>
      </c>
      <c r="N30" t="s">
        <v>2374</v>
      </c>
    </row>
    <row r="31" spans="3:14" x14ac:dyDescent="0.3">
      <c r="C31" s="164"/>
      <c r="D31" s="165" t="s">
        <v>2206</v>
      </c>
      <c r="E31" s="166" t="s">
        <v>2231</v>
      </c>
      <c r="F31" s="167" t="s">
        <v>2198</v>
      </c>
      <c r="G31" s="189">
        <v>1</v>
      </c>
      <c r="K31" t="s">
        <v>2325</v>
      </c>
      <c r="L31">
        <v>1</v>
      </c>
      <c r="M31" t="s">
        <v>2198</v>
      </c>
      <c r="N31" t="s">
        <v>2198</v>
      </c>
    </row>
    <row r="32" spans="3:14" x14ac:dyDescent="0.3">
      <c r="C32" s="164"/>
      <c r="D32" s="165"/>
      <c r="E32" s="166" t="s">
        <v>2262</v>
      </c>
      <c r="F32" s="167" t="s">
        <v>2198</v>
      </c>
      <c r="G32" s="189">
        <v>5</v>
      </c>
      <c r="K32" t="s">
        <v>2326</v>
      </c>
      <c r="L32">
        <v>3</v>
      </c>
      <c r="M32">
        <v>2</v>
      </c>
      <c r="N32" t="s">
        <v>2198</v>
      </c>
    </row>
    <row r="33" spans="3:14" x14ac:dyDescent="0.3">
      <c r="C33" s="164"/>
      <c r="D33" s="165"/>
      <c r="E33" s="166" t="s">
        <v>656</v>
      </c>
      <c r="F33" s="167" t="s">
        <v>658</v>
      </c>
      <c r="G33" s="189">
        <v>1</v>
      </c>
      <c r="K33" t="s">
        <v>2310</v>
      </c>
      <c r="L33">
        <v>6</v>
      </c>
      <c r="M33">
        <v>6</v>
      </c>
      <c r="N33" t="s">
        <v>2382</v>
      </c>
    </row>
    <row r="34" spans="3:14" x14ac:dyDescent="0.3">
      <c r="C34" s="164"/>
      <c r="D34" s="165"/>
      <c r="E34" s="166" t="s">
        <v>982</v>
      </c>
      <c r="F34" s="167" t="s">
        <v>2198</v>
      </c>
      <c r="G34" s="189">
        <v>1</v>
      </c>
      <c r="K34" t="s">
        <v>2311</v>
      </c>
      <c r="L34">
        <v>8</v>
      </c>
      <c r="M34">
        <v>8</v>
      </c>
      <c r="N34" t="s">
        <v>2382</v>
      </c>
    </row>
    <row r="35" spans="3:14" x14ac:dyDescent="0.3">
      <c r="C35" s="164"/>
      <c r="D35" s="165"/>
      <c r="E35" s="166" t="s">
        <v>2265</v>
      </c>
      <c r="F35" s="167" t="s">
        <v>2198</v>
      </c>
      <c r="G35" s="189">
        <v>1</v>
      </c>
      <c r="K35" t="s">
        <v>2312</v>
      </c>
      <c r="L35">
        <v>13</v>
      </c>
      <c r="M35">
        <v>13</v>
      </c>
      <c r="N35" t="s">
        <v>2374</v>
      </c>
    </row>
    <row r="36" spans="3:14" x14ac:dyDescent="0.3">
      <c r="C36" s="164"/>
      <c r="D36" s="165"/>
      <c r="E36" s="166" t="s">
        <v>2266</v>
      </c>
      <c r="F36" s="167" t="s">
        <v>2198</v>
      </c>
      <c r="G36" s="189">
        <v>1</v>
      </c>
      <c r="K36" t="s">
        <v>2210</v>
      </c>
      <c r="L36" t="s">
        <v>2198</v>
      </c>
      <c r="M36" t="s">
        <v>2198</v>
      </c>
      <c r="N36" t="s">
        <v>2198</v>
      </c>
    </row>
    <row r="37" spans="3:14" x14ac:dyDescent="0.3">
      <c r="C37" s="164"/>
      <c r="D37" s="165"/>
      <c r="E37" s="166" t="s">
        <v>2267</v>
      </c>
      <c r="F37" s="167" t="s">
        <v>2198</v>
      </c>
      <c r="G37" s="189">
        <v>1</v>
      </c>
      <c r="K37" t="s">
        <v>2269</v>
      </c>
      <c r="L37">
        <v>1</v>
      </c>
      <c r="M37" t="s">
        <v>2198</v>
      </c>
      <c r="N37" t="s">
        <v>2198</v>
      </c>
    </row>
    <row r="38" spans="3:14" x14ac:dyDescent="0.3">
      <c r="C38" s="168"/>
      <c r="D38" s="165"/>
      <c r="E38" s="166" t="s">
        <v>2268</v>
      </c>
      <c r="F38" s="167" t="s">
        <v>2198</v>
      </c>
      <c r="G38" s="189">
        <v>1</v>
      </c>
      <c r="K38" t="s">
        <v>2308</v>
      </c>
      <c r="L38" t="s">
        <v>2198</v>
      </c>
      <c r="M38" t="s">
        <v>2198</v>
      </c>
      <c r="N38" t="s">
        <v>2198</v>
      </c>
    </row>
    <row r="39" spans="3:14" x14ac:dyDescent="0.3">
      <c r="C39" s="164" t="s">
        <v>2201</v>
      </c>
      <c r="D39" s="165" t="s">
        <v>2205</v>
      </c>
      <c r="E39" s="166"/>
      <c r="F39" s="167"/>
      <c r="G39" s="189">
        <v>2</v>
      </c>
      <c r="K39" t="s">
        <v>2328</v>
      </c>
      <c r="L39">
        <v>1</v>
      </c>
      <c r="M39" t="s">
        <v>2198</v>
      </c>
      <c r="N39" t="s">
        <v>2198</v>
      </c>
    </row>
    <row r="40" spans="3:14" x14ac:dyDescent="0.3">
      <c r="C40" s="164"/>
      <c r="D40" s="165" t="s">
        <v>2216</v>
      </c>
      <c r="E40" s="166" t="s">
        <v>2247</v>
      </c>
      <c r="F40" s="167" t="s">
        <v>2252</v>
      </c>
      <c r="G40" s="189">
        <v>1</v>
      </c>
      <c r="K40" t="s">
        <v>2307</v>
      </c>
      <c r="L40">
        <v>1</v>
      </c>
      <c r="M40">
        <v>1</v>
      </c>
      <c r="N40" t="s">
        <v>2198</v>
      </c>
    </row>
    <row r="41" spans="3:14" x14ac:dyDescent="0.3">
      <c r="C41" s="164"/>
      <c r="D41" s="165" t="s">
        <v>1255</v>
      </c>
      <c r="E41" s="166"/>
      <c r="F41" s="167"/>
      <c r="G41" s="189">
        <v>18</v>
      </c>
      <c r="K41" t="s">
        <v>2316</v>
      </c>
      <c r="L41">
        <v>1</v>
      </c>
      <c r="M41">
        <v>1</v>
      </c>
      <c r="N41" t="s">
        <v>2382</v>
      </c>
    </row>
    <row r="42" spans="3:14" x14ac:dyDescent="0.3">
      <c r="C42" s="164"/>
      <c r="D42" s="165" t="s">
        <v>1309</v>
      </c>
      <c r="E42" s="166" t="s">
        <v>1091</v>
      </c>
      <c r="F42" s="167" t="s">
        <v>1094</v>
      </c>
      <c r="G42" s="189">
        <v>2</v>
      </c>
      <c r="K42" t="s">
        <v>2319</v>
      </c>
      <c r="L42">
        <v>5</v>
      </c>
      <c r="M42">
        <v>4</v>
      </c>
      <c r="N42" t="s">
        <v>2198</v>
      </c>
    </row>
    <row r="43" spans="3:14" x14ac:dyDescent="0.3">
      <c r="C43" s="164"/>
      <c r="D43" s="165" t="s">
        <v>2209</v>
      </c>
      <c r="E43" s="166"/>
      <c r="F43" s="167"/>
      <c r="G43" s="189">
        <v>53</v>
      </c>
      <c r="K43" t="s">
        <v>2314</v>
      </c>
      <c r="L43">
        <v>11</v>
      </c>
      <c r="M43">
        <v>11</v>
      </c>
      <c r="N43" t="s">
        <v>2380</v>
      </c>
    </row>
    <row r="44" spans="3:14" x14ac:dyDescent="0.3">
      <c r="C44" s="164"/>
      <c r="D44" s="165" t="s">
        <v>2212</v>
      </c>
      <c r="E44" s="166"/>
      <c r="F44" s="167"/>
      <c r="G44" s="189">
        <v>38</v>
      </c>
      <c r="K44" t="s">
        <v>2313</v>
      </c>
      <c r="L44">
        <v>19</v>
      </c>
      <c r="M44">
        <v>12</v>
      </c>
      <c r="N44" t="s">
        <v>2382</v>
      </c>
    </row>
    <row r="45" spans="3:14" x14ac:dyDescent="0.3">
      <c r="C45" s="164"/>
      <c r="D45" s="165" t="s">
        <v>2208</v>
      </c>
      <c r="E45" s="166" t="s">
        <v>2222</v>
      </c>
      <c r="F45" s="167" t="s">
        <v>2198</v>
      </c>
      <c r="G45" s="189">
        <v>20</v>
      </c>
      <c r="K45" t="s">
        <v>2322</v>
      </c>
      <c r="L45">
        <v>1</v>
      </c>
      <c r="M45" t="s">
        <v>2198</v>
      </c>
      <c r="N45" t="s">
        <v>2198</v>
      </c>
    </row>
    <row r="46" spans="3:14" x14ac:dyDescent="0.3">
      <c r="C46" s="164"/>
      <c r="D46" s="165" t="s">
        <v>2214</v>
      </c>
      <c r="E46" s="166" t="s">
        <v>1271</v>
      </c>
      <c r="F46" s="167" t="s">
        <v>2198</v>
      </c>
      <c r="G46" s="189">
        <v>3</v>
      </c>
      <c r="K46" t="s">
        <v>2317</v>
      </c>
      <c r="L46">
        <v>2</v>
      </c>
      <c r="M46">
        <v>2</v>
      </c>
      <c r="N46" t="s">
        <v>2378</v>
      </c>
    </row>
    <row r="47" spans="3:14" x14ac:dyDescent="0.3">
      <c r="C47" s="164"/>
      <c r="D47" s="165" t="s">
        <v>2211</v>
      </c>
      <c r="E47" s="166" t="s">
        <v>2126</v>
      </c>
      <c r="F47" s="167" t="s">
        <v>2198</v>
      </c>
      <c r="G47" s="189">
        <v>4</v>
      </c>
      <c r="L47" t="s">
        <v>2198</v>
      </c>
      <c r="M47" t="s">
        <v>2198</v>
      </c>
      <c r="N47" t="s">
        <v>2374</v>
      </c>
    </row>
    <row r="48" spans="3:14" x14ac:dyDescent="0.3">
      <c r="C48" s="164"/>
      <c r="D48" s="165" t="s">
        <v>2210</v>
      </c>
      <c r="E48" s="166"/>
      <c r="F48" s="167"/>
      <c r="G48" s="189">
        <v>4</v>
      </c>
      <c r="K48" t="s">
        <v>2329</v>
      </c>
      <c r="L48">
        <v>8</v>
      </c>
      <c r="M48">
        <v>8</v>
      </c>
      <c r="N48" t="s">
        <v>2374</v>
      </c>
    </row>
    <row r="49" spans="3:14" x14ac:dyDescent="0.3">
      <c r="C49" s="164"/>
      <c r="D49" s="165" t="s">
        <v>2213</v>
      </c>
      <c r="E49" s="166" t="s">
        <v>2242</v>
      </c>
      <c r="F49" s="167" t="s">
        <v>2198</v>
      </c>
      <c r="G49" s="189">
        <v>4</v>
      </c>
      <c r="K49" t="s">
        <v>2371</v>
      </c>
      <c r="L49" t="s">
        <v>2198</v>
      </c>
      <c r="M49" t="s">
        <v>2198</v>
      </c>
      <c r="N49" t="s">
        <v>2198</v>
      </c>
    </row>
    <row r="50" spans="3:14" x14ac:dyDescent="0.3">
      <c r="C50" s="164"/>
      <c r="D50" s="165" t="s">
        <v>2215</v>
      </c>
      <c r="E50" s="166"/>
      <c r="F50" s="167"/>
      <c r="G50" s="189">
        <v>2</v>
      </c>
      <c r="K50" t="s">
        <v>2369</v>
      </c>
      <c r="L50" t="s">
        <v>2198</v>
      </c>
      <c r="M50" t="s">
        <v>2198</v>
      </c>
      <c r="N50" t="s">
        <v>2198</v>
      </c>
    </row>
    <row r="51" spans="3:14" x14ac:dyDescent="0.3">
      <c r="C51" s="168"/>
      <c r="D51" s="165" t="s">
        <v>2112</v>
      </c>
      <c r="E51" s="166" t="s">
        <v>2114</v>
      </c>
      <c r="F51" s="167" t="s">
        <v>2198</v>
      </c>
      <c r="G51" s="189">
        <v>2</v>
      </c>
      <c r="K51" t="s">
        <v>2367</v>
      </c>
      <c r="L51" t="s">
        <v>2198</v>
      </c>
      <c r="M51" t="s">
        <v>2198</v>
      </c>
      <c r="N51" t="s">
        <v>2198</v>
      </c>
    </row>
    <row r="52" spans="3:14" x14ac:dyDescent="0.3">
      <c r="C52" s="164" t="s">
        <v>764</v>
      </c>
      <c r="D52" s="165" t="s">
        <v>2269</v>
      </c>
      <c r="E52" s="166" t="s">
        <v>2263</v>
      </c>
      <c r="F52" s="167" t="s">
        <v>2198</v>
      </c>
      <c r="G52" s="189">
        <v>1</v>
      </c>
      <c r="K52" t="s">
        <v>1309</v>
      </c>
      <c r="L52">
        <v>1</v>
      </c>
      <c r="M52" t="s">
        <v>2198</v>
      </c>
      <c r="N52" t="s">
        <v>2198</v>
      </c>
    </row>
    <row r="53" spans="3:14" x14ac:dyDescent="0.3">
      <c r="C53" s="164"/>
      <c r="D53" s="165" t="s">
        <v>2203</v>
      </c>
      <c r="E53" s="166"/>
      <c r="F53" s="167"/>
      <c r="G53" s="189">
        <v>2</v>
      </c>
      <c r="K53" t="s">
        <v>2306</v>
      </c>
      <c r="L53">
        <v>1</v>
      </c>
      <c r="M53" t="s">
        <v>2198</v>
      </c>
      <c r="N53" t="s">
        <v>2198</v>
      </c>
    </row>
    <row r="54" spans="3:14" x14ac:dyDescent="0.3">
      <c r="C54" s="164"/>
      <c r="D54" s="165" t="s">
        <v>2205</v>
      </c>
      <c r="E54" s="166"/>
      <c r="F54" s="167"/>
      <c r="G54" s="189">
        <v>2</v>
      </c>
      <c r="K54" t="s">
        <v>2318</v>
      </c>
      <c r="L54">
        <v>1</v>
      </c>
      <c r="M54" t="s">
        <v>2198</v>
      </c>
      <c r="N54" t="s">
        <v>2198</v>
      </c>
    </row>
    <row r="55" spans="3:14" x14ac:dyDescent="0.3">
      <c r="C55" s="164"/>
      <c r="D55" s="165" t="s">
        <v>1255</v>
      </c>
      <c r="E55" s="166"/>
      <c r="F55" s="167"/>
      <c r="G55" s="189">
        <v>13</v>
      </c>
      <c r="K55" t="s">
        <v>2324</v>
      </c>
      <c r="L55">
        <v>1</v>
      </c>
      <c r="M55">
        <v>1</v>
      </c>
      <c r="N55" t="s">
        <v>2198</v>
      </c>
    </row>
    <row r="56" spans="3:14" x14ac:dyDescent="0.3">
      <c r="C56" s="164"/>
      <c r="D56" s="165" t="s">
        <v>777</v>
      </c>
      <c r="E56" s="166"/>
      <c r="F56" s="167"/>
      <c r="G56" s="189">
        <v>13</v>
      </c>
      <c r="K56" t="s">
        <v>2320</v>
      </c>
      <c r="L56">
        <v>5</v>
      </c>
      <c r="M56">
        <v>5</v>
      </c>
      <c r="N56" t="s">
        <v>2198</v>
      </c>
    </row>
    <row r="57" spans="3:14" x14ac:dyDescent="0.3">
      <c r="C57" s="164"/>
      <c r="D57" s="165" t="s">
        <v>794</v>
      </c>
      <c r="E57" s="166"/>
      <c r="F57" s="167"/>
      <c r="G57" s="189">
        <v>9</v>
      </c>
      <c r="K57" t="s">
        <v>2321</v>
      </c>
      <c r="L57">
        <v>1</v>
      </c>
      <c r="M57" t="s">
        <v>2198</v>
      </c>
      <c r="N57" t="s">
        <v>2198</v>
      </c>
    </row>
    <row r="58" spans="3:14" x14ac:dyDescent="0.3">
      <c r="C58" s="164"/>
      <c r="D58" s="165" t="s">
        <v>2206</v>
      </c>
      <c r="E58" s="166" t="s">
        <v>2231</v>
      </c>
      <c r="F58" s="167" t="s">
        <v>2198</v>
      </c>
      <c r="G58" s="189">
        <v>1</v>
      </c>
      <c r="J58" t="s">
        <v>764</v>
      </c>
      <c r="K58" t="s">
        <v>641</v>
      </c>
      <c r="L58">
        <v>5</v>
      </c>
      <c r="M58">
        <v>5</v>
      </c>
      <c r="N58" t="s">
        <v>2380</v>
      </c>
    </row>
    <row r="59" spans="3:14" x14ac:dyDescent="0.3">
      <c r="C59" s="164"/>
      <c r="D59" s="165"/>
      <c r="E59" s="166" t="s">
        <v>1030</v>
      </c>
      <c r="F59" s="167" t="s">
        <v>2198</v>
      </c>
      <c r="G59" s="189">
        <v>1</v>
      </c>
      <c r="K59" t="s">
        <v>2203</v>
      </c>
      <c r="L59">
        <v>2</v>
      </c>
      <c r="M59" t="s">
        <v>2198</v>
      </c>
      <c r="N59" t="s">
        <v>2198</v>
      </c>
    </row>
    <row r="60" spans="3:14" x14ac:dyDescent="0.3">
      <c r="C60" s="164"/>
      <c r="D60" s="165"/>
      <c r="E60" s="166" t="s">
        <v>1037</v>
      </c>
      <c r="F60" s="167" t="s">
        <v>2198</v>
      </c>
      <c r="G60" s="189">
        <v>2</v>
      </c>
      <c r="K60" t="s">
        <v>2269</v>
      </c>
      <c r="L60">
        <v>1</v>
      </c>
      <c r="M60" t="s">
        <v>2198</v>
      </c>
      <c r="N60" t="s">
        <v>2198</v>
      </c>
    </row>
    <row r="61" spans="3:14" x14ac:dyDescent="0.3">
      <c r="C61" s="168"/>
      <c r="D61" s="165" t="s">
        <v>2271</v>
      </c>
      <c r="E61" s="166" t="s">
        <v>2264</v>
      </c>
      <c r="F61" s="167" t="s">
        <v>2198</v>
      </c>
      <c r="G61" s="189">
        <v>1</v>
      </c>
      <c r="K61" t="s">
        <v>2328</v>
      </c>
      <c r="L61">
        <v>1</v>
      </c>
      <c r="M61" t="s">
        <v>2198</v>
      </c>
      <c r="N61" t="s">
        <v>2198</v>
      </c>
    </row>
    <row r="62" spans="3:14" x14ac:dyDescent="0.3">
      <c r="C62" s="164" t="s">
        <v>1741</v>
      </c>
      <c r="D62" s="165" t="s">
        <v>1741</v>
      </c>
      <c r="E62" s="166" t="s">
        <v>209</v>
      </c>
      <c r="F62" s="167"/>
      <c r="G62" s="189">
        <v>9</v>
      </c>
      <c r="K62" t="s">
        <v>2330</v>
      </c>
      <c r="L62">
        <v>1</v>
      </c>
      <c r="M62" t="s">
        <v>2198</v>
      </c>
      <c r="N62" t="s">
        <v>2198</v>
      </c>
    </row>
    <row r="63" spans="3:14" x14ac:dyDescent="0.3">
      <c r="C63" s="164"/>
      <c r="D63" s="165"/>
      <c r="E63" s="166" t="s">
        <v>1771</v>
      </c>
      <c r="F63" s="167" t="s">
        <v>1771</v>
      </c>
      <c r="G63" s="189">
        <v>1</v>
      </c>
      <c r="K63" t="s">
        <v>2319</v>
      </c>
      <c r="L63">
        <v>2</v>
      </c>
      <c r="M63" t="s">
        <v>2198</v>
      </c>
      <c r="N63" t="s">
        <v>2198</v>
      </c>
    </row>
    <row r="64" spans="3:14" x14ac:dyDescent="0.3">
      <c r="C64" s="164"/>
      <c r="D64" s="165"/>
      <c r="E64" s="166" t="s">
        <v>1756</v>
      </c>
      <c r="F64" s="167"/>
      <c r="G64" s="189">
        <v>8</v>
      </c>
      <c r="K64" t="s">
        <v>777</v>
      </c>
      <c r="L64">
        <v>7</v>
      </c>
      <c r="M64">
        <v>7</v>
      </c>
      <c r="N64" t="s">
        <v>2380</v>
      </c>
    </row>
    <row r="65" spans="3:14" x14ac:dyDescent="0.3">
      <c r="C65" s="164"/>
      <c r="D65" s="165"/>
      <c r="E65" s="166" t="s">
        <v>1752</v>
      </c>
      <c r="F65" s="167"/>
      <c r="G65" s="189">
        <v>25</v>
      </c>
      <c r="K65" t="s">
        <v>2271</v>
      </c>
      <c r="L65">
        <v>1</v>
      </c>
      <c r="M65" t="s">
        <v>2198</v>
      </c>
      <c r="N65" t="s">
        <v>2198</v>
      </c>
    </row>
    <row r="66" spans="3:14" x14ac:dyDescent="0.3">
      <c r="C66" s="164"/>
      <c r="D66" s="165"/>
      <c r="E66" s="166" t="s">
        <v>2227</v>
      </c>
      <c r="F66" s="167"/>
      <c r="G66" s="189">
        <v>15</v>
      </c>
      <c r="K66" t="s">
        <v>2329</v>
      </c>
      <c r="L66">
        <v>7</v>
      </c>
      <c r="M66" t="s">
        <v>2198</v>
      </c>
      <c r="N66" t="s">
        <v>2198</v>
      </c>
    </row>
    <row r="67" spans="3:14" x14ac:dyDescent="0.3">
      <c r="C67" s="164"/>
      <c r="D67" s="165"/>
      <c r="E67" s="166" t="s">
        <v>1860</v>
      </c>
      <c r="F67" s="167" t="s">
        <v>2198</v>
      </c>
      <c r="G67" s="189">
        <v>1</v>
      </c>
      <c r="K67" t="s">
        <v>1309</v>
      </c>
      <c r="L67">
        <v>1</v>
      </c>
      <c r="M67" t="s">
        <v>2198</v>
      </c>
      <c r="N67" t="s">
        <v>2198</v>
      </c>
    </row>
    <row r="68" spans="3:14" x14ac:dyDescent="0.3">
      <c r="C68" s="164"/>
      <c r="D68" s="165"/>
      <c r="E68" s="166" t="s">
        <v>492</v>
      </c>
      <c r="F68" s="167" t="s">
        <v>2198</v>
      </c>
      <c r="G68" s="189">
        <v>1</v>
      </c>
      <c r="K68" t="s">
        <v>2318</v>
      </c>
      <c r="L68">
        <v>1</v>
      </c>
      <c r="M68" t="s">
        <v>2198</v>
      </c>
      <c r="N68" t="s">
        <v>2198</v>
      </c>
    </row>
    <row r="69" spans="3:14" x14ac:dyDescent="0.3">
      <c r="C69" s="164"/>
      <c r="D69" s="165"/>
      <c r="E69" s="166" t="s">
        <v>1882</v>
      </c>
      <c r="F69" s="167" t="s">
        <v>2198</v>
      </c>
      <c r="G69" s="189">
        <v>2</v>
      </c>
      <c r="J69" t="s">
        <v>2340</v>
      </c>
      <c r="K69" t="s">
        <v>1823</v>
      </c>
      <c r="L69">
        <v>2</v>
      </c>
      <c r="M69">
        <v>2</v>
      </c>
      <c r="N69" t="s">
        <v>2198</v>
      </c>
    </row>
    <row r="70" spans="3:14" x14ac:dyDescent="0.3">
      <c r="C70" s="164"/>
      <c r="D70" s="165"/>
      <c r="E70" s="166" t="s">
        <v>473</v>
      </c>
      <c r="F70" s="167" t="s">
        <v>2198</v>
      </c>
      <c r="G70" s="189">
        <v>4</v>
      </c>
      <c r="L70">
        <v>3</v>
      </c>
      <c r="M70">
        <v>3</v>
      </c>
      <c r="N70" t="s">
        <v>2376</v>
      </c>
    </row>
    <row r="71" spans="3:14" x14ac:dyDescent="0.3">
      <c r="C71" s="164"/>
      <c r="D71" s="165"/>
      <c r="E71" s="166" t="s">
        <v>1865</v>
      </c>
      <c r="F71" s="167" t="s">
        <v>2198</v>
      </c>
      <c r="G71" s="189">
        <v>1</v>
      </c>
      <c r="K71" t="s">
        <v>2342</v>
      </c>
      <c r="L71">
        <v>1</v>
      </c>
      <c r="M71">
        <v>1</v>
      </c>
      <c r="N71" t="s">
        <v>2198</v>
      </c>
    </row>
    <row r="72" spans="3:14" x14ac:dyDescent="0.3">
      <c r="C72" s="164"/>
      <c r="D72" s="165"/>
      <c r="E72" s="166" t="s">
        <v>1750</v>
      </c>
      <c r="F72" s="167"/>
      <c r="G72" s="189">
        <v>12</v>
      </c>
      <c r="L72">
        <v>8</v>
      </c>
      <c r="M72" t="s">
        <v>2198</v>
      </c>
      <c r="N72" t="s">
        <v>2198</v>
      </c>
    </row>
    <row r="73" spans="3:14" x14ac:dyDescent="0.3">
      <c r="C73" s="164"/>
      <c r="D73" s="165"/>
      <c r="E73" s="166" t="s">
        <v>2228</v>
      </c>
      <c r="F73" s="167" t="s">
        <v>2251</v>
      </c>
      <c r="G73" s="189">
        <v>1</v>
      </c>
      <c r="K73" t="s">
        <v>2344</v>
      </c>
      <c r="L73">
        <v>4</v>
      </c>
      <c r="M73" t="s">
        <v>2198</v>
      </c>
      <c r="N73" t="s">
        <v>2198</v>
      </c>
    </row>
    <row r="74" spans="3:14" x14ac:dyDescent="0.3">
      <c r="C74" s="164"/>
      <c r="D74" s="165"/>
      <c r="E74" s="166" t="s">
        <v>453</v>
      </c>
      <c r="F74" s="167"/>
      <c r="G74" s="189">
        <v>33</v>
      </c>
      <c r="J74" t="s">
        <v>2347</v>
      </c>
      <c r="K74" t="s">
        <v>2350</v>
      </c>
      <c r="L74">
        <v>3</v>
      </c>
      <c r="M74">
        <v>3</v>
      </c>
      <c r="N74" t="s">
        <v>2376</v>
      </c>
    </row>
    <row r="75" spans="3:14" x14ac:dyDescent="0.3">
      <c r="C75" s="164"/>
      <c r="D75" s="165"/>
      <c r="E75" s="166" t="s">
        <v>2229</v>
      </c>
      <c r="F75" s="167" t="s">
        <v>2198</v>
      </c>
      <c r="G75" s="189">
        <v>16</v>
      </c>
      <c r="K75" t="s">
        <v>2352</v>
      </c>
      <c r="L75">
        <v>6</v>
      </c>
      <c r="M75">
        <v>6</v>
      </c>
      <c r="N75" t="s">
        <v>2376</v>
      </c>
    </row>
    <row r="76" spans="3:14" x14ac:dyDescent="0.3">
      <c r="C76" s="164"/>
      <c r="D76" s="165"/>
      <c r="E76" s="166" t="s">
        <v>2230</v>
      </c>
      <c r="F76" s="167" t="s">
        <v>2198</v>
      </c>
      <c r="G76" s="189">
        <v>2</v>
      </c>
      <c r="K76" t="s">
        <v>2271</v>
      </c>
      <c r="L76" t="s">
        <v>2198</v>
      </c>
      <c r="M76" t="s">
        <v>2198</v>
      </c>
      <c r="N76" t="s">
        <v>2198</v>
      </c>
    </row>
    <row r="77" spans="3:14" x14ac:dyDescent="0.3">
      <c r="C77" s="164"/>
      <c r="D77" s="165"/>
      <c r="E77" s="166" t="s">
        <v>2198</v>
      </c>
      <c r="F77" s="167" t="s">
        <v>2198</v>
      </c>
      <c r="G77" s="189">
        <v>1</v>
      </c>
      <c r="K77" t="s">
        <v>1825</v>
      </c>
      <c r="L77">
        <v>1</v>
      </c>
      <c r="M77" t="s">
        <v>2198</v>
      </c>
      <c r="N77" t="s">
        <v>2376</v>
      </c>
    </row>
    <row r="78" spans="3:14" x14ac:dyDescent="0.3">
      <c r="C78" s="164"/>
      <c r="D78" s="165" t="s">
        <v>409</v>
      </c>
      <c r="E78" s="166"/>
      <c r="F78" s="167"/>
      <c r="G78" s="189">
        <v>5</v>
      </c>
      <c r="K78" t="s">
        <v>1823</v>
      </c>
      <c r="L78">
        <v>11</v>
      </c>
      <c r="M78">
        <v>11</v>
      </c>
      <c r="N78" t="s">
        <v>2376</v>
      </c>
    </row>
    <row r="79" spans="3:14" x14ac:dyDescent="0.3">
      <c r="C79" s="168"/>
      <c r="D79" s="165" t="s">
        <v>2207</v>
      </c>
      <c r="E79" s="166" t="s">
        <v>2226</v>
      </c>
      <c r="F79" s="167" t="s">
        <v>436</v>
      </c>
      <c r="G79" s="189">
        <v>1</v>
      </c>
      <c r="J79" t="s">
        <v>2199</v>
      </c>
    </row>
    <row r="80" spans="3:14" x14ac:dyDescent="0.3">
      <c r="C80" s="164" t="s">
        <v>2257</v>
      </c>
      <c r="D80" s="165" t="s">
        <v>1873</v>
      </c>
      <c r="E80" s="166" t="s">
        <v>1949</v>
      </c>
      <c r="F80" s="167" t="s">
        <v>1951</v>
      </c>
      <c r="G80" s="189">
        <v>1</v>
      </c>
    </row>
    <row r="81" spans="3:7" x14ac:dyDescent="0.3">
      <c r="C81" s="164"/>
      <c r="D81" s="165"/>
      <c r="E81" s="166" t="s">
        <v>1951</v>
      </c>
      <c r="F81" s="167" t="s">
        <v>1951</v>
      </c>
      <c r="G81" s="189">
        <v>1</v>
      </c>
    </row>
    <row r="82" spans="3:7" x14ac:dyDescent="0.3">
      <c r="C82" s="164"/>
      <c r="D82" s="165"/>
      <c r="E82" s="166" t="s">
        <v>2050</v>
      </c>
      <c r="F82" s="167" t="s">
        <v>2050</v>
      </c>
      <c r="G82" s="189">
        <v>2</v>
      </c>
    </row>
    <row r="83" spans="3:7" x14ac:dyDescent="0.3">
      <c r="C83" s="164"/>
      <c r="D83" s="165"/>
      <c r="E83" s="166" t="s">
        <v>1756</v>
      </c>
      <c r="F83" s="167"/>
      <c r="G83" s="189">
        <v>5</v>
      </c>
    </row>
    <row r="84" spans="3:7" x14ac:dyDescent="0.3">
      <c r="C84" s="164"/>
      <c r="D84" s="165"/>
      <c r="E84" s="166" t="s">
        <v>1752</v>
      </c>
      <c r="F84" s="167"/>
      <c r="G84" s="189">
        <v>25</v>
      </c>
    </row>
    <row r="85" spans="3:7" x14ac:dyDescent="0.3">
      <c r="C85" s="164"/>
      <c r="D85" s="165"/>
      <c r="E85" s="166" t="s">
        <v>1780</v>
      </c>
      <c r="F85" s="167" t="s">
        <v>1780</v>
      </c>
      <c r="G85" s="189">
        <v>3</v>
      </c>
    </row>
    <row r="86" spans="3:7" x14ac:dyDescent="0.3">
      <c r="C86" s="164"/>
      <c r="D86" s="165"/>
      <c r="E86" s="166" t="s">
        <v>1972</v>
      </c>
      <c r="F86" s="167" t="s">
        <v>1756</v>
      </c>
      <c r="G86" s="189">
        <v>1</v>
      </c>
    </row>
    <row r="87" spans="3:7" x14ac:dyDescent="0.3">
      <c r="C87" s="164"/>
      <c r="D87" s="165"/>
      <c r="E87" s="166"/>
      <c r="F87" s="167" t="s">
        <v>2198</v>
      </c>
      <c r="G87" s="189">
        <v>1</v>
      </c>
    </row>
    <row r="88" spans="3:7" x14ac:dyDescent="0.3">
      <c r="C88" s="164"/>
      <c r="D88" s="165"/>
      <c r="E88" s="166" t="s">
        <v>1988</v>
      </c>
      <c r="F88" s="167" t="s">
        <v>1752</v>
      </c>
      <c r="G88" s="189">
        <v>2</v>
      </c>
    </row>
    <row r="89" spans="3:7" x14ac:dyDescent="0.3">
      <c r="C89" s="164"/>
      <c r="D89" s="165"/>
      <c r="E89" s="166" t="s">
        <v>1974</v>
      </c>
      <c r="F89" s="167" t="s">
        <v>1752</v>
      </c>
      <c r="G89" s="189">
        <v>7</v>
      </c>
    </row>
    <row r="90" spans="3:7" x14ac:dyDescent="0.3">
      <c r="C90" s="164"/>
      <c r="D90" s="165"/>
      <c r="E90" s="166" t="s">
        <v>1963</v>
      </c>
      <c r="F90" s="167" t="s">
        <v>1756</v>
      </c>
      <c r="G90" s="189">
        <v>1</v>
      </c>
    </row>
    <row r="91" spans="3:7" x14ac:dyDescent="0.3">
      <c r="C91" s="164"/>
      <c r="D91" s="165"/>
      <c r="E91" s="166"/>
      <c r="F91" s="167" t="s">
        <v>1752</v>
      </c>
      <c r="G91" s="189">
        <v>15</v>
      </c>
    </row>
    <row r="92" spans="3:7" x14ac:dyDescent="0.3">
      <c r="C92" s="164"/>
      <c r="D92" s="165"/>
      <c r="E92" s="166"/>
      <c r="F92" s="167" t="s">
        <v>2198</v>
      </c>
      <c r="G92" s="189">
        <v>1</v>
      </c>
    </row>
    <row r="93" spans="3:7" x14ac:dyDescent="0.3">
      <c r="C93" s="164"/>
      <c r="D93" s="165"/>
      <c r="E93" s="166" t="s">
        <v>1961</v>
      </c>
      <c r="F93" s="167" t="s">
        <v>1756</v>
      </c>
      <c r="G93" s="189">
        <v>1</v>
      </c>
    </row>
    <row r="94" spans="3:7" x14ac:dyDescent="0.3">
      <c r="C94" s="164"/>
      <c r="D94" s="165"/>
      <c r="E94" s="166"/>
      <c r="F94" s="167" t="s">
        <v>1752</v>
      </c>
      <c r="G94" s="189">
        <v>1</v>
      </c>
    </row>
    <row r="95" spans="3:7" x14ac:dyDescent="0.3">
      <c r="C95" s="164"/>
      <c r="D95" s="165"/>
      <c r="E95" s="166" t="s">
        <v>2001</v>
      </c>
      <c r="F95" s="167" t="s">
        <v>1752</v>
      </c>
      <c r="G95" s="189">
        <v>4</v>
      </c>
    </row>
    <row r="96" spans="3:7" x14ac:dyDescent="0.3">
      <c r="C96" s="164"/>
      <c r="D96" s="165"/>
      <c r="E96" s="166" t="s">
        <v>1965</v>
      </c>
      <c r="F96" s="167" t="s">
        <v>1756</v>
      </c>
      <c r="G96" s="189">
        <v>1</v>
      </c>
    </row>
    <row r="97" spans="3:7" x14ac:dyDescent="0.3">
      <c r="C97" s="164"/>
      <c r="D97" s="165"/>
      <c r="E97" s="166" t="s">
        <v>1967</v>
      </c>
      <c r="F97" s="167" t="s">
        <v>1756</v>
      </c>
      <c r="G97" s="189">
        <v>1</v>
      </c>
    </row>
    <row r="98" spans="3:7" x14ac:dyDescent="0.3">
      <c r="C98" s="164"/>
      <c r="D98" s="165"/>
      <c r="E98" s="166" t="s">
        <v>1956</v>
      </c>
      <c r="F98" s="167" t="s">
        <v>1752</v>
      </c>
      <c r="G98" s="189">
        <v>5</v>
      </c>
    </row>
    <row r="99" spans="3:7" x14ac:dyDescent="0.3">
      <c r="C99" s="164"/>
      <c r="D99" s="165"/>
      <c r="E99" s="166"/>
      <c r="F99" s="167" t="s">
        <v>1780</v>
      </c>
      <c r="G99" s="189">
        <v>3</v>
      </c>
    </row>
    <row r="100" spans="3:7" ht="17.25" thickBot="1" x14ac:dyDescent="0.35">
      <c r="C100" s="168"/>
      <c r="D100" s="165" t="s">
        <v>1728</v>
      </c>
      <c r="E100" s="166"/>
      <c r="F100" s="167"/>
      <c r="G100" s="189">
        <v>17</v>
      </c>
    </row>
    <row r="101" spans="3:7" ht="17.25" thickBot="1" x14ac:dyDescent="0.35">
      <c r="C101" s="169" t="s">
        <v>2199</v>
      </c>
      <c r="D101" s="170"/>
      <c r="E101" s="170"/>
      <c r="F101" s="171"/>
      <c r="G101" s="190">
        <v>471</v>
      </c>
    </row>
  </sheetData>
  <phoneticPr fontId="4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티저PV</vt:lpstr>
      <vt:lpstr>티져DB</vt:lpstr>
      <vt:lpstr>6월PV</vt:lpstr>
      <vt:lpstr>정리</vt:lpstr>
      <vt:lpstr>논의사항</vt:lpstr>
      <vt:lpstr>6월DB</vt:lpstr>
      <vt:lpstr>품질설비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진원 김</dc:creator>
  <cp:lastModifiedBy>USER</cp:lastModifiedBy>
  <dcterms:created xsi:type="dcterms:W3CDTF">2026-07-21T23:54:22Z</dcterms:created>
  <dcterms:modified xsi:type="dcterms:W3CDTF">2026-07-23T05:36:31Z</dcterms:modified>
</cp:coreProperties>
</file>